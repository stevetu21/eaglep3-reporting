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  <sheet name="Redmine List Values" sheetId="7" r:id="rId6"/>
  </sheets>
  <externalReferences>
    <externalReference r:id="rId7"/>
    <externalReference r:id="rId8"/>
  </externalReferences>
  <definedNames>
    <definedName name="_xlnm._FilterDatabase" localSheetId="1" hidden="1">Enforcements!$A$6:$Z$61</definedName>
    <definedName name="_xlnm._FilterDatabase" localSheetId="2" hidden="1">'Missing Trips'!$A$2:$H$2</definedName>
    <definedName name="_xlnm._FilterDatabase" localSheetId="0" hidden="1">'Train Runs'!$A$12:$AG$234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14" i="1" l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13" i="1"/>
  <c r="M26" i="5"/>
  <c r="K144" i="1" l="1"/>
  <c r="L144" i="1"/>
  <c r="M144" i="1"/>
  <c r="V144" i="1"/>
  <c r="Y144" i="1"/>
  <c r="Z144" i="1"/>
  <c r="AA144" i="1" s="1"/>
  <c r="AB144" i="1"/>
  <c r="AC144" i="1"/>
  <c r="AD144" i="1"/>
  <c r="T144" i="1" s="1"/>
  <c r="AE144" i="1"/>
  <c r="AF144" i="1"/>
  <c r="K136" i="1"/>
  <c r="L136" i="1"/>
  <c r="M136" i="1"/>
  <c r="T136" i="1"/>
  <c r="V136" i="1"/>
  <c r="Y136" i="1"/>
  <c r="Z136" i="1"/>
  <c r="AA136" i="1" s="1"/>
  <c r="AB136" i="1"/>
  <c r="AC136" i="1"/>
  <c r="AD136" i="1"/>
  <c r="AE136" i="1"/>
  <c r="AF136" i="1"/>
  <c r="S21" i="3"/>
  <c r="R21" i="3" s="1"/>
  <c r="T21" i="3"/>
  <c r="U21" i="3"/>
  <c r="V21" i="3"/>
  <c r="S7" i="3"/>
  <c r="R7" i="3" s="1"/>
  <c r="T7" i="3"/>
  <c r="U7" i="3"/>
  <c r="V7" i="3"/>
  <c r="S17" i="3"/>
  <c r="R17" i="3" s="1"/>
  <c r="T17" i="3"/>
  <c r="U17" i="3"/>
  <c r="V17" i="3"/>
  <c r="S12" i="3"/>
  <c r="R12" i="3" s="1"/>
  <c r="T12" i="3"/>
  <c r="U12" i="3"/>
  <c r="V12" i="3"/>
  <c r="S18" i="3"/>
  <c r="R18" i="3" s="1"/>
  <c r="T18" i="3"/>
  <c r="U18" i="3"/>
  <c r="V18" i="3"/>
  <c r="S22" i="3"/>
  <c r="R22" i="3" s="1"/>
  <c r="T22" i="3"/>
  <c r="U22" i="3"/>
  <c r="V22" i="3"/>
  <c r="S31" i="3"/>
  <c r="R31" i="3" s="1"/>
  <c r="T31" i="3"/>
  <c r="U31" i="3"/>
  <c r="W31" i="3" s="1"/>
  <c r="V31" i="3"/>
  <c r="S11" i="3"/>
  <c r="R11" i="3" s="1"/>
  <c r="T11" i="3"/>
  <c r="U11" i="3"/>
  <c r="V11" i="3"/>
  <c r="S13" i="3"/>
  <c r="R13" i="3" s="1"/>
  <c r="T13" i="3"/>
  <c r="U13" i="3"/>
  <c r="W13" i="3" s="1"/>
  <c r="V13" i="3"/>
  <c r="S32" i="3"/>
  <c r="R32" i="3" s="1"/>
  <c r="T32" i="3"/>
  <c r="U32" i="3"/>
  <c r="V32" i="3"/>
  <c r="S15" i="3"/>
  <c r="R15" i="3" s="1"/>
  <c r="T15" i="3"/>
  <c r="U15" i="3"/>
  <c r="W15" i="3" s="1"/>
  <c r="V15" i="3"/>
  <c r="S19" i="3"/>
  <c r="R19" i="3" s="1"/>
  <c r="T19" i="3"/>
  <c r="U19" i="3"/>
  <c r="V19" i="3"/>
  <c r="S10" i="3"/>
  <c r="R10" i="3" s="1"/>
  <c r="T10" i="3"/>
  <c r="U10" i="3"/>
  <c r="V10" i="3"/>
  <c r="S28" i="3"/>
  <c r="R28" i="3" s="1"/>
  <c r="T28" i="3"/>
  <c r="U28" i="3"/>
  <c r="V28" i="3"/>
  <c r="S27" i="3"/>
  <c r="R27" i="3" s="1"/>
  <c r="T27" i="3"/>
  <c r="U27" i="3"/>
  <c r="V27" i="3"/>
  <c r="S26" i="3"/>
  <c r="R26" i="3" s="1"/>
  <c r="T26" i="3"/>
  <c r="U26" i="3"/>
  <c r="V26" i="3"/>
  <c r="S14" i="3"/>
  <c r="R14" i="3" s="1"/>
  <c r="T14" i="3"/>
  <c r="U14" i="3"/>
  <c r="V14" i="3"/>
  <c r="S35" i="3"/>
  <c r="R35" i="3" s="1"/>
  <c r="T35" i="3"/>
  <c r="U35" i="3"/>
  <c r="V35" i="3"/>
  <c r="S8" i="3"/>
  <c r="R8" i="3" s="1"/>
  <c r="T8" i="3"/>
  <c r="U8" i="3"/>
  <c r="V8" i="3"/>
  <c r="S23" i="3"/>
  <c r="R23" i="3" s="1"/>
  <c r="T23" i="3"/>
  <c r="U23" i="3"/>
  <c r="V23" i="3"/>
  <c r="S25" i="3"/>
  <c r="R25" i="3" s="1"/>
  <c r="T25" i="3"/>
  <c r="U25" i="3"/>
  <c r="V25" i="3"/>
  <c r="S29" i="3"/>
  <c r="R29" i="3" s="1"/>
  <c r="T29" i="3"/>
  <c r="U29" i="3"/>
  <c r="V29" i="3"/>
  <c r="S24" i="3"/>
  <c r="R24" i="3" s="1"/>
  <c r="T24" i="3"/>
  <c r="U24" i="3"/>
  <c r="V24" i="3"/>
  <c r="S33" i="3"/>
  <c r="R33" i="3" s="1"/>
  <c r="T33" i="3"/>
  <c r="U33" i="3"/>
  <c r="V33" i="3"/>
  <c r="S16" i="3"/>
  <c r="R16" i="3" s="1"/>
  <c r="T16" i="3"/>
  <c r="U16" i="3"/>
  <c r="V16" i="3"/>
  <c r="S30" i="3"/>
  <c r="R30" i="3" s="1"/>
  <c r="T30" i="3"/>
  <c r="U30" i="3"/>
  <c r="V30" i="3"/>
  <c r="S9" i="3"/>
  <c r="R9" i="3" s="1"/>
  <c r="T9" i="3"/>
  <c r="U9" i="3"/>
  <c r="V9" i="3"/>
  <c r="S34" i="3"/>
  <c r="R34" i="3" s="1"/>
  <c r="T34" i="3"/>
  <c r="U34" i="3"/>
  <c r="V34" i="3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K16" i="1"/>
  <c r="L16" i="1"/>
  <c r="M16" i="1"/>
  <c r="N16" i="1" s="1"/>
  <c r="V16" i="1"/>
  <c r="Q7" i="3" s="1"/>
  <c r="Y16" i="1"/>
  <c r="Z16" i="1"/>
  <c r="AB16" i="1"/>
  <c r="AC16" i="1"/>
  <c r="AD16" i="1"/>
  <c r="AG16" i="1" s="1"/>
  <c r="AE16" i="1"/>
  <c r="P7" i="3" s="1"/>
  <c r="AF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K19" i="1"/>
  <c r="L19" i="1"/>
  <c r="M19" i="1"/>
  <c r="N19" i="1" s="1"/>
  <c r="T19" i="1"/>
  <c r="V19" i="1"/>
  <c r="Q21" i="3" s="1"/>
  <c r="Y19" i="1"/>
  <c r="Z19" i="1"/>
  <c r="AB19" i="1"/>
  <c r="AC19" i="1"/>
  <c r="AD19" i="1"/>
  <c r="AG19" i="1" s="1"/>
  <c r="AE19" i="1"/>
  <c r="P21" i="3" s="1"/>
  <c r="AF19" i="1"/>
  <c r="K20" i="1"/>
  <c r="L20" i="1"/>
  <c r="M20" i="1"/>
  <c r="N20" i="1" s="1"/>
  <c r="V20" i="1"/>
  <c r="Q17" i="3" s="1"/>
  <c r="Y20" i="1"/>
  <c r="Z20" i="1"/>
  <c r="AB20" i="1"/>
  <c r="AC20" i="1"/>
  <c r="AD20" i="1"/>
  <c r="AG20" i="1" s="1"/>
  <c r="AE20" i="1"/>
  <c r="P17" i="3" s="1"/>
  <c r="AF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K22" i="1"/>
  <c r="L22" i="1"/>
  <c r="M22" i="1"/>
  <c r="N22" i="1" s="1"/>
  <c r="V22" i="1"/>
  <c r="Q18" i="3" s="1"/>
  <c r="Y22" i="1"/>
  <c r="Z22" i="1"/>
  <c r="AB22" i="1"/>
  <c r="AC22" i="1"/>
  <c r="AD22" i="1"/>
  <c r="T22" i="1" s="1"/>
  <c r="AE22" i="1"/>
  <c r="P18" i="3" s="1"/>
  <c r="AF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K26" i="1"/>
  <c r="L26" i="1"/>
  <c r="M26" i="1"/>
  <c r="N26" i="1" s="1"/>
  <c r="V26" i="1"/>
  <c r="Q12" i="3" s="1"/>
  <c r="Y26" i="1"/>
  <c r="Z26" i="1"/>
  <c r="AB26" i="1"/>
  <c r="AC26" i="1"/>
  <c r="AD26" i="1"/>
  <c r="T26" i="1" s="1"/>
  <c r="AE26" i="1"/>
  <c r="P12" i="3" s="1"/>
  <c r="AF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K33" i="1"/>
  <c r="L33" i="1"/>
  <c r="M33" i="1"/>
  <c r="N33" i="1" s="1"/>
  <c r="V33" i="1"/>
  <c r="Q22" i="3" s="1"/>
  <c r="Y33" i="1"/>
  <c r="Z33" i="1"/>
  <c r="AB33" i="1"/>
  <c r="AC33" i="1"/>
  <c r="AD33" i="1"/>
  <c r="AG33" i="1" s="1"/>
  <c r="AE33" i="1"/>
  <c r="P22" i="3" s="1"/>
  <c r="AF33" i="1"/>
  <c r="K34" i="1"/>
  <c r="L34" i="1"/>
  <c r="M34" i="1"/>
  <c r="N34" i="1" s="1"/>
  <c r="V34" i="1"/>
  <c r="Q13" i="3" s="1"/>
  <c r="Y34" i="1"/>
  <c r="Z34" i="1"/>
  <c r="AB34" i="1"/>
  <c r="AC34" i="1"/>
  <c r="AD34" i="1"/>
  <c r="T34" i="1" s="1"/>
  <c r="AE34" i="1"/>
  <c r="P13" i="3" s="1"/>
  <c r="AF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K37" i="1"/>
  <c r="L37" i="1"/>
  <c r="M37" i="1"/>
  <c r="N37" i="1" s="1"/>
  <c r="V37" i="1"/>
  <c r="Q11" i="3" s="1"/>
  <c r="Y37" i="1"/>
  <c r="Z37" i="1"/>
  <c r="AB37" i="1"/>
  <c r="AC37" i="1"/>
  <c r="AD37" i="1"/>
  <c r="AE37" i="1"/>
  <c r="P11" i="3" s="1"/>
  <c r="AF37" i="1"/>
  <c r="K38" i="1"/>
  <c r="L38" i="1"/>
  <c r="M38" i="1"/>
  <c r="N38" i="1" s="1"/>
  <c r="V38" i="1"/>
  <c r="Q19" i="3" s="1"/>
  <c r="Y38" i="1"/>
  <c r="Z38" i="1"/>
  <c r="AB38" i="1"/>
  <c r="AC38" i="1"/>
  <c r="AD38" i="1"/>
  <c r="AE38" i="1"/>
  <c r="P15" i="3" s="1"/>
  <c r="AF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K44" i="1"/>
  <c r="L44" i="1"/>
  <c r="M44" i="1"/>
  <c r="N44" i="1" s="1"/>
  <c r="V44" i="1"/>
  <c r="Q10" i="3" s="1"/>
  <c r="Y44" i="1"/>
  <c r="Z44" i="1"/>
  <c r="AB44" i="1"/>
  <c r="AC44" i="1"/>
  <c r="AD44" i="1"/>
  <c r="AG44" i="1" s="1"/>
  <c r="AE44" i="1"/>
  <c r="P10" i="3" s="1"/>
  <c r="AF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K60" i="1"/>
  <c r="L60" i="1"/>
  <c r="M60" i="1"/>
  <c r="N60" i="1" s="1"/>
  <c r="V60" i="1"/>
  <c r="Q14" i="3" s="1"/>
  <c r="Y60" i="1"/>
  <c r="Z60" i="1"/>
  <c r="AB60" i="1"/>
  <c r="AC60" i="1"/>
  <c r="AD60" i="1"/>
  <c r="AE60" i="1"/>
  <c r="P14" i="3" s="1"/>
  <c r="AF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K76" i="1"/>
  <c r="L76" i="1"/>
  <c r="M76" i="1"/>
  <c r="N76" i="1" s="1"/>
  <c r="V76" i="1"/>
  <c r="Q8" i="3" s="1"/>
  <c r="Y76" i="1"/>
  <c r="Z76" i="1"/>
  <c r="AB76" i="1"/>
  <c r="AC76" i="1"/>
  <c r="AD76" i="1"/>
  <c r="AG76" i="1" s="1"/>
  <c r="AE76" i="1"/>
  <c r="P8" i="3" s="1"/>
  <c r="AF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K89" i="1"/>
  <c r="L89" i="1"/>
  <c r="M89" i="1"/>
  <c r="N89" i="1" s="1"/>
  <c r="V89" i="1"/>
  <c r="Q23" i="3" s="1"/>
  <c r="Y89" i="1"/>
  <c r="Z89" i="1"/>
  <c r="AB89" i="1"/>
  <c r="AC89" i="1"/>
  <c r="AD89" i="1"/>
  <c r="AE89" i="1"/>
  <c r="P23" i="3" s="1"/>
  <c r="AF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K104" i="1"/>
  <c r="L104" i="1"/>
  <c r="M104" i="1"/>
  <c r="N104" i="1" s="1"/>
  <c r="V104" i="1"/>
  <c r="Y104" i="1"/>
  <c r="Z104" i="1"/>
  <c r="AA104" i="1" s="1"/>
  <c r="AB104" i="1"/>
  <c r="AC104" i="1"/>
  <c r="AD104" i="1"/>
  <c r="T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K117" i="1"/>
  <c r="L117" i="1"/>
  <c r="M117" i="1"/>
  <c r="N117" i="1" s="1"/>
  <c r="V117" i="1"/>
  <c r="Q24" i="3" s="1"/>
  <c r="Y117" i="1"/>
  <c r="Z117" i="1"/>
  <c r="AB117" i="1"/>
  <c r="AC117" i="1"/>
  <c r="AD117" i="1"/>
  <c r="AG117" i="1" s="1"/>
  <c r="AE117" i="1"/>
  <c r="P24" i="3" s="1"/>
  <c r="AF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K120" i="1"/>
  <c r="L120" i="1"/>
  <c r="M120" i="1"/>
  <c r="N120" i="1" s="1"/>
  <c r="V120" i="1"/>
  <c r="Q16" i="3" s="1"/>
  <c r="Y120" i="1"/>
  <c r="Z120" i="1"/>
  <c r="AB120" i="1"/>
  <c r="AC120" i="1"/>
  <c r="AD120" i="1"/>
  <c r="T120" i="1" s="1"/>
  <c r="AE120" i="1"/>
  <c r="P16" i="3" s="1"/>
  <c r="AF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X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X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K143" i="1"/>
  <c r="L143" i="1"/>
  <c r="M143" i="1"/>
  <c r="N143" i="1" s="1"/>
  <c r="V143" i="1"/>
  <c r="Q9" i="3" s="1"/>
  <c r="Y143" i="1"/>
  <c r="Z143" i="1"/>
  <c r="AB143" i="1"/>
  <c r="AC143" i="1"/>
  <c r="AD143" i="1"/>
  <c r="AE143" i="1"/>
  <c r="P9" i="3" s="1"/>
  <c r="AF143" i="1"/>
  <c r="K145" i="1"/>
  <c r="L145" i="1"/>
  <c r="M145" i="1"/>
  <c r="N145" i="1" s="1"/>
  <c r="V145" i="1"/>
  <c r="Y145" i="1"/>
  <c r="Z145" i="1"/>
  <c r="AB145" i="1"/>
  <c r="AC145" i="1"/>
  <c r="AD145" i="1"/>
  <c r="X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K149" i="1"/>
  <c r="L149" i="1"/>
  <c r="M149" i="1"/>
  <c r="P149" i="1" s="1"/>
  <c r="V149" i="1"/>
  <c r="Y149" i="1"/>
  <c r="Z149" i="1"/>
  <c r="AB149" i="1"/>
  <c r="AC149" i="1"/>
  <c r="AD149" i="1"/>
  <c r="T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X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K206" i="1"/>
  <c r="L206" i="1"/>
  <c r="M206" i="1"/>
  <c r="N206" i="1" s="1"/>
  <c r="V206" i="1"/>
  <c r="Q34" i="3" s="1"/>
  <c r="Y206" i="1"/>
  <c r="Z206" i="1"/>
  <c r="AB206" i="1"/>
  <c r="AC206" i="1"/>
  <c r="AD206" i="1"/>
  <c r="AE206" i="1"/>
  <c r="P34" i="3" s="1"/>
  <c r="AF206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X208" i="1" s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K212" i="1"/>
  <c r="L212" i="1"/>
  <c r="M212" i="1"/>
  <c r="N212" i="1" s="1"/>
  <c r="V212" i="1"/>
  <c r="Q35" i="3" s="1"/>
  <c r="Y212" i="1"/>
  <c r="Z212" i="1"/>
  <c r="AB212" i="1"/>
  <c r="AC212" i="1"/>
  <c r="AD212" i="1"/>
  <c r="AG212" i="1" s="1"/>
  <c r="AE212" i="1"/>
  <c r="P35" i="3" s="1"/>
  <c r="AF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K216" i="1"/>
  <c r="L216" i="1"/>
  <c r="M216" i="1"/>
  <c r="N216" i="1" s="1"/>
  <c r="V216" i="1"/>
  <c r="Q33" i="3" s="1"/>
  <c r="Y216" i="1"/>
  <c r="Z216" i="1"/>
  <c r="AB216" i="1"/>
  <c r="AC216" i="1"/>
  <c r="AD216" i="1"/>
  <c r="AE216" i="1"/>
  <c r="P33" i="3" s="1"/>
  <c r="AF216" i="1"/>
  <c r="K217" i="1"/>
  <c r="L217" i="1"/>
  <c r="M217" i="1"/>
  <c r="N217" i="1"/>
  <c r="V217" i="1"/>
  <c r="Y217" i="1"/>
  <c r="Z217" i="1"/>
  <c r="AB217" i="1"/>
  <c r="AC217" i="1"/>
  <c r="AD217" i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K162" i="1"/>
  <c r="L162" i="1"/>
  <c r="M162" i="1"/>
  <c r="N162" i="1" s="1"/>
  <c r="V162" i="1"/>
  <c r="Q31" i="3" s="1"/>
  <c r="Y162" i="1"/>
  <c r="Z162" i="1"/>
  <c r="AB162" i="1"/>
  <c r="AC162" i="1"/>
  <c r="AD162" i="1"/>
  <c r="T162" i="1" s="1"/>
  <c r="AE162" i="1"/>
  <c r="P31" i="3" s="1"/>
  <c r="AF162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K164" i="1"/>
  <c r="L164" i="1"/>
  <c r="M164" i="1"/>
  <c r="N164" i="1" s="1"/>
  <c r="V164" i="1"/>
  <c r="Q32" i="3" s="1"/>
  <c r="Y164" i="1"/>
  <c r="Z164" i="1"/>
  <c r="AB164" i="1"/>
  <c r="AC164" i="1"/>
  <c r="AD164" i="1"/>
  <c r="T164" i="1" s="1"/>
  <c r="AE164" i="1"/>
  <c r="P32" i="3" s="1"/>
  <c r="AF164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K169" i="1"/>
  <c r="L169" i="1"/>
  <c r="M169" i="1"/>
  <c r="N169" i="1" s="1"/>
  <c r="V169" i="1"/>
  <c r="Q28" i="3" s="1"/>
  <c r="Y169" i="1"/>
  <c r="Z169" i="1"/>
  <c r="AB169" i="1"/>
  <c r="AC169" i="1"/>
  <c r="AD169" i="1"/>
  <c r="AE169" i="1"/>
  <c r="P28" i="3" s="1"/>
  <c r="AF169" i="1"/>
  <c r="K170" i="1"/>
  <c r="L170" i="1"/>
  <c r="M170" i="1"/>
  <c r="N170" i="1" s="1"/>
  <c r="V170" i="1"/>
  <c r="Q27" i="3" s="1"/>
  <c r="Y170" i="1"/>
  <c r="Z170" i="1"/>
  <c r="AB170" i="1"/>
  <c r="AC170" i="1"/>
  <c r="AD170" i="1"/>
  <c r="T170" i="1" s="1"/>
  <c r="AE170" i="1"/>
  <c r="P27" i="3" s="1"/>
  <c r="AF170" i="1"/>
  <c r="K171" i="1"/>
  <c r="L171" i="1"/>
  <c r="M171" i="1"/>
  <c r="N171" i="1" s="1"/>
  <c r="V171" i="1"/>
  <c r="Q26" i="3" s="1"/>
  <c r="Y171" i="1"/>
  <c r="Z171" i="1"/>
  <c r="AB171" i="1"/>
  <c r="AC171" i="1"/>
  <c r="AD171" i="1"/>
  <c r="AG171" i="1" s="1"/>
  <c r="AE171" i="1"/>
  <c r="P26" i="3" s="1"/>
  <c r="AF171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K187" i="1"/>
  <c r="L187" i="1"/>
  <c r="M187" i="1"/>
  <c r="N187" i="1" s="1"/>
  <c r="V187" i="1"/>
  <c r="Q25" i="3" s="1"/>
  <c r="Y187" i="1"/>
  <c r="Z187" i="1"/>
  <c r="AB187" i="1"/>
  <c r="AC187" i="1"/>
  <c r="AD187" i="1"/>
  <c r="T187" i="1" s="1"/>
  <c r="AE187" i="1"/>
  <c r="P25" i="3" s="1"/>
  <c r="AF187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197" i="1"/>
  <c r="L197" i="1"/>
  <c r="M197" i="1"/>
  <c r="N197" i="1" s="1"/>
  <c r="V197" i="1"/>
  <c r="Q30" i="3" s="1"/>
  <c r="Y197" i="1"/>
  <c r="Z197" i="1"/>
  <c r="AB197" i="1"/>
  <c r="AC197" i="1"/>
  <c r="AD197" i="1"/>
  <c r="AG197" i="1" s="1"/>
  <c r="AE197" i="1"/>
  <c r="P30" i="3" s="1"/>
  <c r="AF197" i="1"/>
  <c r="K198" i="1"/>
  <c r="L198" i="1"/>
  <c r="M198" i="1"/>
  <c r="N198" i="1" s="1"/>
  <c r="V198" i="1"/>
  <c r="Y198" i="1"/>
  <c r="Z198" i="1"/>
  <c r="AA198" i="1" s="1"/>
  <c r="AB198" i="1"/>
  <c r="AC198" i="1"/>
  <c r="AD198" i="1"/>
  <c r="T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K201" i="1"/>
  <c r="L201" i="1"/>
  <c r="M201" i="1"/>
  <c r="N201" i="1" s="1"/>
  <c r="V201" i="1"/>
  <c r="Y201" i="1"/>
  <c r="Z201" i="1"/>
  <c r="AA201" i="1" s="1"/>
  <c r="W201" i="1" s="1"/>
  <c r="AB201" i="1"/>
  <c r="AC201" i="1"/>
  <c r="AD201" i="1"/>
  <c r="AG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K211" i="1"/>
  <c r="L211" i="1"/>
  <c r="M211" i="1"/>
  <c r="N211" i="1" s="1"/>
  <c r="V211" i="1"/>
  <c r="Y211" i="1"/>
  <c r="Z211" i="1"/>
  <c r="AA211" i="1" s="1"/>
  <c r="AB211" i="1"/>
  <c r="AC211" i="1"/>
  <c r="AD211" i="1"/>
  <c r="AG211" i="1" s="1"/>
  <c r="AE211" i="1"/>
  <c r="AF211" i="1"/>
  <c r="X207" i="1" l="1"/>
  <c r="X143" i="1"/>
  <c r="X139" i="1"/>
  <c r="AA114" i="1"/>
  <c r="T96" i="1"/>
  <c r="AA62" i="1"/>
  <c r="X60" i="1"/>
  <c r="X146" i="1"/>
  <c r="X107" i="1"/>
  <c r="X151" i="1"/>
  <c r="AA130" i="1"/>
  <c r="AA121" i="1"/>
  <c r="W121" i="1" s="1"/>
  <c r="AA105" i="1"/>
  <c r="W105" i="1" s="1"/>
  <c r="AA122" i="1"/>
  <c r="W122" i="1" s="1"/>
  <c r="X136" i="1"/>
  <c r="X153" i="1"/>
  <c r="X142" i="1"/>
  <c r="X138" i="1"/>
  <c r="X44" i="1"/>
  <c r="X141" i="1"/>
  <c r="X137" i="1"/>
  <c r="AA147" i="1"/>
  <c r="AI147" i="1" s="1"/>
  <c r="AG131" i="1"/>
  <c r="U131" i="1" s="1"/>
  <c r="S131" i="1" s="1"/>
  <c r="X131" i="1"/>
  <c r="AA110" i="1"/>
  <c r="W110" i="1" s="1"/>
  <c r="X144" i="1"/>
  <c r="AA129" i="1"/>
  <c r="AA81" i="1"/>
  <c r="AA44" i="1"/>
  <c r="X148" i="1"/>
  <c r="X147" i="1"/>
  <c r="X135" i="1"/>
  <c r="X150" i="1"/>
  <c r="X149" i="1"/>
  <c r="AG144" i="1"/>
  <c r="AG136" i="1"/>
  <c r="W136" i="1" s="1"/>
  <c r="AI136" i="1"/>
  <c r="AA180" i="1"/>
  <c r="AA84" i="1"/>
  <c r="AA194" i="1"/>
  <c r="AA216" i="1"/>
  <c r="AA215" i="1"/>
  <c r="W215" i="1" s="1"/>
  <c r="T137" i="1"/>
  <c r="U137" i="1" s="1"/>
  <c r="S137" i="1" s="1"/>
  <c r="X121" i="1"/>
  <c r="W9" i="3"/>
  <c r="W16" i="3"/>
  <c r="W24" i="3"/>
  <c r="W25" i="3"/>
  <c r="W8" i="3"/>
  <c r="W14" i="3"/>
  <c r="W27" i="3"/>
  <c r="W10" i="3"/>
  <c r="Q15" i="3"/>
  <c r="W21" i="3"/>
  <c r="AA166" i="1"/>
  <c r="AA162" i="1"/>
  <c r="X104" i="1"/>
  <c r="AA98" i="1"/>
  <c r="AA20" i="1"/>
  <c r="W20" i="1" s="1"/>
  <c r="W7" i="3"/>
  <c r="T188" i="1"/>
  <c r="U188" i="1" s="1"/>
  <c r="S188" i="1" s="1"/>
  <c r="T23" i="1"/>
  <c r="U23" i="1" s="1"/>
  <c r="S23" i="1" s="1"/>
  <c r="AI20" i="1"/>
  <c r="AG184" i="1"/>
  <c r="U184" i="1" s="1"/>
  <c r="S184" i="1" s="1"/>
  <c r="AA182" i="1"/>
  <c r="AG168" i="1"/>
  <c r="U168" i="1" s="1"/>
  <c r="AA158" i="1"/>
  <c r="AA117" i="1"/>
  <c r="AI117" i="1" s="1"/>
  <c r="AA116" i="1"/>
  <c r="AG47" i="1"/>
  <c r="U47" i="1" s="1"/>
  <c r="S47" i="1" s="1"/>
  <c r="AA24" i="1"/>
  <c r="AI24" i="1" s="1"/>
  <c r="AG15" i="1"/>
  <c r="X15" i="1"/>
  <c r="AA154" i="1"/>
  <c r="AI154" i="1" s="1"/>
  <c r="AA153" i="1"/>
  <c r="AG74" i="1"/>
  <c r="U74" i="1" s="1"/>
  <c r="S74" i="1" s="1"/>
  <c r="AA16" i="1"/>
  <c r="AI16" i="1" s="1"/>
  <c r="AA15" i="1"/>
  <c r="W84" i="1"/>
  <c r="Q29" i="3"/>
  <c r="AA189" i="1"/>
  <c r="W189" i="1" s="1"/>
  <c r="AA178" i="1"/>
  <c r="AA177" i="1"/>
  <c r="W177" i="1" s="1"/>
  <c r="AA169" i="1"/>
  <c r="AA165" i="1"/>
  <c r="W165" i="1" s="1"/>
  <c r="AA163" i="1"/>
  <c r="AI163" i="1" s="1"/>
  <c r="AA219" i="1"/>
  <c r="W219" i="1" s="1"/>
  <c r="AA218" i="1"/>
  <c r="AG214" i="1"/>
  <c r="U214" i="1" s="1"/>
  <c r="S214" i="1" s="1"/>
  <c r="AA209" i="1"/>
  <c r="AI209" i="1" s="1"/>
  <c r="AA204" i="1"/>
  <c r="AA156" i="1"/>
  <c r="AA135" i="1"/>
  <c r="AI135" i="1" s="1"/>
  <c r="AA126" i="1"/>
  <c r="AA109" i="1"/>
  <c r="AI109" i="1" s="1"/>
  <c r="AG100" i="1"/>
  <c r="T92" i="1"/>
  <c r="X91" i="1"/>
  <c r="AA80" i="1"/>
  <c r="AA77" i="1"/>
  <c r="AG72" i="1"/>
  <c r="U72" i="1" s="1"/>
  <c r="S72" i="1" s="1"/>
  <c r="X72" i="1"/>
  <c r="AA70" i="1"/>
  <c r="AI70" i="1" s="1"/>
  <c r="AG61" i="1"/>
  <c r="U61" i="1" s="1"/>
  <c r="AA49" i="1"/>
  <c r="W49" i="1" s="1"/>
  <c r="AA32" i="1"/>
  <c r="W32" i="1" s="1"/>
  <c r="P29" i="3"/>
  <c r="P19" i="3"/>
  <c r="T172" i="1"/>
  <c r="U172" i="1" s="1"/>
  <c r="S172" i="1" s="1"/>
  <c r="AA202" i="1"/>
  <c r="AA196" i="1"/>
  <c r="AA174" i="1"/>
  <c r="AA173" i="1"/>
  <c r="W173" i="1" s="1"/>
  <c r="AA161" i="1"/>
  <c r="W161" i="1" s="1"/>
  <c r="AA150" i="1"/>
  <c r="AA133" i="1"/>
  <c r="AA127" i="1"/>
  <c r="X101" i="1"/>
  <c r="AA91" i="1"/>
  <c r="W91" i="1" s="1"/>
  <c r="T91" i="1"/>
  <c r="U91" i="1" s="1"/>
  <c r="S91" i="1" s="1"/>
  <c r="AA88" i="1"/>
  <c r="AA83" i="1"/>
  <c r="W83" i="1" s="1"/>
  <c r="AA72" i="1"/>
  <c r="AG51" i="1"/>
  <c r="U51" i="1" s="1"/>
  <c r="S51" i="1" s="1"/>
  <c r="AA40" i="1"/>
  <c r="AI40" i="1" s="1"/>
  <c r="AA39" i="1"/>
  <c r="W39" i="1" s="1"/>
  <c r="AA28" i="1"/>
  <c r="AI28" i="1" s="1"/>
  <c r="W22" i="3"/>
  <c r="W12" i="3"/>
  <c r="W34" i="3"/>
  <c r="W30" i="3"/>
  <c r="W33" i="3"/>
  <c r="W29" i="3"/>
  <c r="W23" i="3"/>
  <c r="W35" i="3"/>
  <c r="W26" i="3"/>
  <c r="W28" i="3"/>
  <c r="W19" i="3"/>
  <c r="W32" i="3"/>
  <c r="W11" i="3"/>
  <c r="W18" i="3"/>
  <c r="W17" i="3"/>
  <c r="X201" i="1"/>
  <c r="AG185" i="1"/>
  <c r="X185" i="1"/>
  <c r="AA170" i="1"/>
  <c r="AA138" i="1"/>
  <c r="W138" i="1" s="1"/>
  <c r="AG54" i="1"/>
  <c r="X54" i="1"/>
  <c r="T54" i="1"/>
  <c r="AG200" i="1"/>
  <c r="U200" i="1" s="1"/>
  <c r="S200" i="1" s="1"/>
  <c r="AG169" i="1"/>
  <c r="X169" i="1"/>
  <c r="T160" i="1"/>
  <c r="AG160" i="1"/>
  <c r="X108" i="1"/>
  <c r="AG108" i="1"/>
  <c r="T108" i="1"/>
  <c r="AG210" i="1"/>
  <c r="U210" i="1" s="1"/>
  <c r="S210" i="1" s="1"/>
  <c r="AA164" i="1"/>
  <c r="AA208" i="1"/>
  <c r="AA197" i="1"/>
  <c r="W197" i="1" s="1"/>
  <c r="AA195" i="1"/>
  <c r="AI195" i="1" s="1"/>
  <c r="AA190" i="1"/>
  <c r="AA185" i="1"/>
  <c r="AA151" i="1"/>
  <c r="AA146" i="1"/>
  <c r="T88" i="1"/>
  <c r="AG88" i="1"/>
  <c r="AG87" i="1"/>
  <c r="T87" i="1"/>
  <c r="AG62" i="1"/>
  <c r="T62" i="1"/>
  <c r="AA205" i="1"/>
  <c r="W205" i="1" s="1"/>
  <c r="X204" i="1"/>
  <c r="AA142" i="1"/>
  <c r="W142" i="1" s="1"/>
  <c r="AA141" i="1"/>
  <c r="AI141" i="1" s="1"/>
  <c r="AA120" i="1"/>
  <c r="AG112" i="1"/>
  <c r="AG94" i="1"/>
  <c r="AA78" i="1"/>
  <c r="X70" i="1"/>
  <c r="AA132" i="1"/>
  <c r="AA193" i="1"/>
  <c r="W193" i="1" s="1"/>
  <c r="AA186" i="1"/>
  <c r="AA181" i="1"/>
  <c r="W181" i="1" s="1"/>
  <c r="AA179" i="1"/>
  <c r="X217" i="1"/>
  <c r="AA212" i="1"/>
  <c r="W212" i="1" s="1"/>
  <c r="AA148" i="1"/>
  <c r="W148" i="1" s="1"/>
  <c r="AA139" i="1"/>
  <c r="AG132" i="1"/>
  <c r="U132" i="1" s="1"/>
  <c r="S132" i="1" s="1"/>
  <c r="AA125" i="1"/>
  <c r="AI125" i="1" s="1"/>
  <c r="AG124" i="1"/>
  <c r="U124" i="1" s="1"/>
  <c r="S124" i="1" s="1"/>
  <c r="AG120" i="1"/>
  <c r="U120" i="1" s="1"/>
  <c r="S120" i="1" s="1"/>
  <c r="AA118" i="1"/>
  <c r="AI118" i="1" s="1"/>
  <c r="AA113" i="1"/>
  <c r="X109" i="1"/>
  <c r="AG104" i="1"/>
  <c r="AI104" i="1" s="1"/>
  <c r="AA100" i="1"/>
  <c r="X99" i="1"/>
  <c r="AG90" i="1"/>
  <c r="U90" i="1" s="1"/>
  <c r="S90" i="1" s="1"/>
  <c r="AA87" i="1"/>
  <c r="T83" i="1"/>
  <c r="U83" i="1" s="1"/>
  <c r="S83" i="1" s="1"/>
  <c r="X75" i="1"/>
  <c r="AA66" i="1"/>
  <c r="AA65" i="1"/>
  <c r="AI65" i="1" s="1"/>
  <c r="AA63" i="1"/>
  <c r="W63" i="1" s="1"/>
  <c r="AA59" i="1"/>
  <c r="AA57" i="1"/>
  <c r="W57" i="1" s="1"/>
  <c r="AA56" i="1"/>
  <c r="AA55" i="1"/>
  <c r="AA54" i="1"/>
  <c r="X52" i="1"/>
  <c r="T48" i="1"/>
  <c r="U48" i="1" s="1"/>
  <c r="S48" i="1" s="1"/>
  <c r="AA43" i="1"/>
  <c r="AA42" i="1"/>
  <c r="T39" i="1"/>
  <c r="U39" i="1" s="1"/>
  <c r="S39" i="1" s="1"/>
  <c r="AA35" i="1"/>
  <c r="AA34" i="1"/>
  <c r="AA33" i="1"/>
  <c r="W33" i="1" s="1"/>
  <c r="AG30" i="1"/>
  <c r="U30" i="1" s="1"/>
  <c r="S30" i="1" s="1"/>
  <c r="AG26" i="1"/>
  <c r="AA107" i="1"/>
  <c r="AA106" i="1"/>
  <c r="AA102" i="1"/>
  <c r="AI102" i="1" s="1"/>
  <c r="AA94" i="1"/>
  <c r="AA85" i="1"/>
  <c r="AA76" i="1"/>
  <c r="W76" i="1" s="1"/>
  <c r="AA75" i="1"/>
  <c r="W75" i="1" s="1"/>
  <c r="T75" i="1"/>
  <c r="U75" i="1" s="1"/>
  <c r="S75" i="1" s="1"/>
  <c r="AA71" i="1"/>
  <c r="AI71" i="1" s="1"/>
  <c r="AA69" i="1"/>
  <c r="W69" i="1" s="1"/>
  <c r="AA53" i="1"/>
  <c r="AA52" i="1"/>
  <c r="AA48" i="1"/>
  <c r="AI48" i="1" s="1"/>
  <c r="AG42" i="1"/>
  <c r="U42" i="1" s="1"/>
  <c r="S42" i="1" s="1"/>
  <c r="AA41" i="1"/>
  <c r="W41" i="1" s="1"/>
  <c r="AA37" i="1"/>
  <c r="AG34" i="1"/>
  <c r="W34" i="1" s="1"/>
  <c r="X34" i="1"/>
  <c r="X31" i="1"/>
  <c r="AA31" i="1"/>
  <c r="AA27" i="1"/>
  <c r="AA26" i="1"/>
  <c r="AA25" i="1"/>
  <c r="X211" i="1"/>
  <c r="AA200" i="1"/>
  <c r="AA199" i="1"/>
  <c r="W199" i="1" s="1"/>
  <c r="T197" i="1"/>
  <c r="U197" i="1" s="1"/>
  <c r="S197" i="1" s="1"/>
  <c r="T192" i="1"/>
  <c r="U192" i="1" s="1"/>
  <c r="S192" i="1" s="1"/>
  <c r="X189" i="1"/>
  <c r="AA184" i="1"/>
  <c r="AA183" i="1"/>
  <c r="T181" i="1"/>
  <c r="U181" i="1" s="1"/>
  <c r="S181" i="1" s="1"/>
  <c r="T176" i="1"/>
  <c r="U176" i="1" s="1"/>
  <c r="S176" i="1" s="1"/>
  <c r="X173" i="1"/>
  <c r="AA168" i="1"/>
  <c r="AA167" i="1"/>
  <c r="W167" i="1" s="1"/>
  <c r="T165" i="1"/>
  <c r="AG218" i="1"/>
  <c r="U218" i="1" s="1"/>
  <c r="S218" i="1" s="1"/>
  <c r="AA213" i="1"/>
  <c r="T209" i="1"/>
  <c r="U209" i="1" s="1"/>
  <c r="S209" i="1" s="1"/>
  <c r="T208" i="1"/>
  <c r="AG153" i="1"/>
  <c r="AA149" i="1"/>
  <c r="T147" i="1"/>
  <c r="U147" i="1" s="1"/>
  <c r="S147" i="1" s="1"/>
  <c r="T146" i="1"/>
  <c r="T141" i="1"/>
  <c r="U141" i="1" s="1"/>
  <c r="S141" i="1" s="1"/>
  <c r="AA137" i="1"/>
  <c r="W137" i="1" s="1"/>
  <c r="X132" i="1"/>
  <c r="AG128" i="1"/>
  <c r="U128" i="1" s="1"/>
  <c r="S128" i="1" s="1"/>
  <c r="X128" i="1"/>
  <c r="AG127" i="1"/>
  <c r="U127" i="1" s="1"/>
  <c r="S127" i="1" s="1"/>
  <c r="X127" i="1"/>
  <c r="AA123" i="1"/>
  <c r="AG116" i="1"/>
  <c r="AA111" i="1"/>
  <c r="T109" i="1"/>
  <c r="U109" i="1" s="1"/>
  <c r="S109" i="1" s="1"/>
  <c r="X105" i="1"/>
  <c r="AA103" i="1"/>
  <c r="AG97" i="1"/>
  <c r="T97" i="1"/>
  <c r="AG93" i="1"/>
  <c r="T93" i="1"/>
  <c r="AA92" i="1"/>
  <c r="W92" i="1" s="1"/>
  <c r="T177" i="1"/>
  <c r="U177" i="1" s="1"/>
  <c r="S177" i="1" s="1"/>
  <c r="T161" i="1"/>
  <c r="U161" i="1" s="1"/>
  <c r="S161" i="1" s="1"/>
  <c r="T204" i="1"/>
  <c r="T125" i="1"/>
  <c r="U125" i="1" s="1"/>
  <c r="S125" i="1" s="1"/>
  <c r="W118" i="1"/>
  <c r="AI84" i="1"/>
  <c r="T193" i="1"/>
  <c r="U193" i="1" s="1"/>
  <c r="S193" i="1" s="1"/>
  <c r="T211" i="1"/>
  <c r="U211" i="1" s="1"/>
  <c r="S211" i="1" s="1"/>
  <c r="X197" i="1"/>
  <c r="AG196" i="1"/>
  <c r="U196" i="1" s="1"/>
  <c r="S196" i="1" s="1"/>
  <c r="AA192" i="1"/>
  <c r="W192" i="1" s="1"/>
  <c r="AA191" i="1"/>
  <c r="T189" i="1"/>
  <c r="U189" i="1" s="1"/>
  <c r="S189" i="1" s="1"/>
  <c r="X181" i="1"/>
  <c r="AG180" i="1"/>
  <c r="U180" i="1" s="1"/>
  <c r="AA176" i="1"/>
  <c r="W176" i="1" s="1"/>
  <c r="AA175" i="1"/>
  <c r="W175" i="1" s="1"/>
  <c r="T173" i="1"/>
  <c r="U173" i="1" s="1"/>
  <c r="S173" i="1" s="1"/>
  <c r="X165" i="1"/>
  <c r="AG164" i="1"/>
  <c r="U164" i="1" s="1"/>
  <c r="S164" i="1" s="1"/>
  <c r="AA160" i="1"/>
  <c r="AA159" i="1"/>
  <c r="W159" i="1" s="1"/>
  <c r="AA157" i="1"/>
  <c r="W157" i="1" s="1"/>
  <c r="AA214" i="1"/>
  <c r="AG213" i="1"/>
  <c r="U213" i="1" s="1"/>
  <c r="S213" i="1" s="1"/>
  <c r="X213" i="1"/>
  <c r="X209" i="1"/>
  <c r="AG208" i="1"/>
  <c r="AA207" i="1"/>
  <c r="AA206" i="1"/>
  <c r="X205" i="1"/>
  <c r="AG204" i="1"/>
  <c r="AA155" i="1"/>
  <c r="W155" i="1" s="1"/>
  <c r="AG149" i="1"/>
  <c r="U149" i="1" s="1"/>
  <c r="S149" i="1" s="1"/>
  <c r="AG146" i="1"/>
  <c r="AA145" i="1"/>
  <c r="AA143" i="1"/>
  <c r="AA140" i="1"/>
  <c r="T138" i="1"/>
  <c r="U138" i="1" s="1"/>
  <c r="S138" i="1" s="1"/>
  <c r="AA134" i="1"/>
  <c r="AA124" i="1"/>
  <c r="W124" i="1" s="1"/>
  <c r="X120" i="1"/>
  <c r="AA119" i="1"/>
  <c r="AA112" i="1"/>
  <c r="AG111" i="1"/>
  <c r="U111" i="1" s="1"/>
  <c r="S111" i="1" s="1"/>
  <c r="X111" i="1"/>
  <c r="AA99" i="1"/>
  <c r="U92" i="1"/>
  <c r="S92" i="1" s="1"/>
  <c r="AI57" i="1"/>
  <c r="AA210" i="1"/>
  <c r="AA203" i="1"/>
  <c r="T201" i="1"/>
  <c r="U201" i="1" s="1"/>
  <c r="S201" i="1" s="1"/>
  <c r="X193" i="1"/>
  <c r="X192" i="1"/>
  <c r="AA188" i="1"/>
  <c r="W188" i="1" s="1"/>
  <c r="AA187" i="1"/>
  <c r="T185" i="1"/>
  <c r="X177" i="1"/>
  <c r="AA172" i="1"/>
  <c r="W172" i="1" s="1"/>
  <c r="AA171" i="1"/>
  <c r="W171" i="1" s="1"/>
  <c r="T169" i="1"/>
  <c r="X161" i="1"/>
  <c r="X214" i="1"/>
  <c r="AA128" i="1"/>
  <c r="W128" i="1" s="1"/>
  <c r="X125" i="1"/>
  <c r="X124" i="1"/>
  <c r="X112" i="1"/>
  <c r="AG101" i="1"/>
  <c r="T101" i="1"/>
  <c r="U101" i="1" s="1"/>
  <c r="S101" i="1" s="1"/>
  <c r="AA86" i="1"/>
  <c r="T84" i="1"/>
  <c r="U84" i="1" s="1"/>
  <c r="S84" i="1" s="1"/>
  <c r="X83" i="1"/>
  <c r="AG82" i="1"/>
  <c r="U82" i="1" s="1"/>
  <c r="AG80" i="1"/>
  <c r="W72" i="1"/>
  <c r="T70" i="1"/>
  <c r="U70" i="1" s="1"/>
  <c r="S70" i="1" s="1"/>
  <c r="X65" i="1"/>
  <c r="X57" i="1"/>
  <c r="X42" i="1"/>
  <c r="X23" i="1"/>
  <c r="X19" i="1"/>
  <c r="AA108" i="1"/>
  <c r="AA101" i="1"/>
  <c r="AI101" i="1" s="1"/>
  <c r="AG98" i="1"/>
  <c r="AI98" i="1" s="1"/>
  <c r="AA97" i="1"/>
  <c r="AA96" i="1"/>
  <c r="W96" i="1" s="1"/>
  <c r="AA95" i="1"/>
  <c r="AA93" i="1"/>
  <c r="AA90" i="1"/>
  <c r="AA89" i="1"/>
  <c r="X87" i="1"/>
  <c r="AG86" i="1"/>
  <c r="U86" i="1" s="1"/>
  <c r="S86" i="1" s="1"/>
  <c r="AA79" i="1"/>
  <c r="W79" i="1" s="1"/>
  <c r="T79" i="1"/>
  <c r="U79" i="1" s="1"/>
  <c r="S79" i="1" s="1"/>
  <c r="AA74" i="1"/>
  <c r="AA73" i="1"/>
  <c r="AA67" i="1"/>
  <c r="AA64" i="1"/>
  <c r="AA58" i="1"/>
  <c r="W58" i="1" s="1"/>
  <c r="AG55" i="1"/>
  <c r="U55" i="1" s="1"/>
  <c r="S55" i="1" s="1"/>
  <c r="AG50" i="1"/>
  <c r="X50" i="1"/>
  <c r="AA47" i="1"/>
  <c r="AG46" i="1"/>
  <c r="U46" i="1" s="1"/>
  <c r="S46" i="1" s="1"/>
  <c r="AG43" i="1"/>
  <c r="U43" i="1" s="1"/>
  <c r="X43" i="1"/>
  <c r="T40" i="1"/>
  <c r="U40" i="1" s="1"/>
  <c r="S40" i="1" s="1"/>
  <c r="AA36" i="1"/>
  <c r="AG35" i="1"/>
  <c r="X35" i="1"/>
  <c r="T32" i="1"/>
  <c r="U32" i="1" s="1"/>
  <c r="S32" i="1" s="1"/>
  <c r="T31" i="1"/>
  <c r="AA29" i="1"/>
  <c r="X28" i="1"/>
  <c r="AG27" i="1"/>
  <c r="U27" i="1" s="1"/>
  <c r="S27" i="1" s="1"/>
  <c r="X27" i="1"/>
  <c r="T24" i="1"/>
  <c r="U24" i="1" s="1"/>
  <c r="S24" i="1" s="1"/>
  <c r="AA21" i="1"/>
  <c r="AA18" i="1"/>
  <c r="AA17" i="1"/>
  <c r="T76" i="1"/>
  <c r="U76" i="1" s="1"/>
  <c r="S76" i="1" s="1"/>
  <c r="T69" i="1"/>
  <c r="U69" i="1" s="1"/>
  <c r="S69" i="1" s="1"/>
  <c r="T65" i="1"/>
  <c r="U65" i="1" s="1"/>
  <c r="S65" i="1" s="1"/>
  <c r="T57" i="1"/>
  <c r="U57" i="1" s="1"/>
  <c r="S57" i="1" s="1"/>
  <c r="AA82" i="1"/>
  <c r="X79" i="1"/>
  <c r="AG78" i="1"/>
  <c r="U78" i="1" s="1"/>
  <c r="S78" i="1" s="1"/>
  <c r="AG64" i="1"/>
  <c r="U64" i="1" s="1"/>
  <c r="S64" i="1" s="1"/>
  <c r="X64" i="1"/>
  <c r="AA61" i="1"/>
  <c r="X58" i="1"/>
  <c r="AG53" i="1"/>
  <c r="AA51" i="1"/>
  <c r="AA50" i="1"/>
  <c r="AA45" i="1"/>
  <c r="X32" i="1"/>
  <c r="AG31" i="1"/>
  <c r="T28" i="1"/>
  <c r="U28" i="1" s="1"/>
  <c r="S28" i="1" s="1"/>
  <c r="X24" i="1"/>
  <c r="AA23" i="1"/>
  <c r="W23" i="1" s="1"/>
  <c r="AG22" i="1"/>
  <c r="U22" i="1" s="1"/>
  <c r="S22" i="1" s="1"/>
  <c r="AA19" i="1"/>
  <c r="W19" i="1" s="1"/>
  <c r="AG18" i="1"/>
  <c r="U18" i="1" s="1"/>
  <c r="S18" i="1" s="1"/>
  <c r="AG14" i="1"/>
  <c r="U14" i="1" s="1"/>
  <c r="S14" i="1" s="1"/>
  <c r="AI150" i="1"/>
  <c r="W150" i="1"/>
  <c r="U165" i="1"/>
  <c r="S165" i="1" s="1"/>
  <c r="AI189" i="1"/>
  <c r="AI211" i="1"/>
  <c r="W211" i="1"/>
  <c r="W163" i="1"/>
  <c r="T217" i="1"/>
  <c r="X115" i="1"/>
  <c r="AG115" i="1"/>
  <c r="X116" i="1"/>
  <c r="AG203" i="1"/>
  <c r="AI203" i="1" s="1"/>
  <c r="AG191" i="1"/>
  <c r="X188" i="1"/>
  <c r="AG187" i="1"/>
  <c r="X184" i="1"/>
  <c r="AG183" i="1"/>
  <c r="X180" i="1"/>
  <c r="AG179" i="1"/>
  <c r="X187" i="1"/>
  <c r="AG186" i="1"/>
  <c r="X167" i="1"/>
  <c r="T167" i="1"/>
  <c r="U167" i="1" s="1"/>
  <c r="S167" i="1" s="1"/>
  <c r="AG166" i="1"/>
  <c r="AI166" i="1" s="1"/>
  <c r="X163" i="1"/>
  <c r="T163" i="1"/>
  <c r="U163" i="1" s="1"/>
  <c r="S163" i="1" s="1"/>
  <c r="AG162" i="1"/>
  <c r="W162" i="1" s="1"/>
  <c r="X159" i="1"/>
  <c r="T159" i="1"/>
  <c r="U159" i="1" s="1"/>
  <c r="S159" i="1" s="1"/>
  <c r="AG158" i="1"/>
  <c r="X158" i="1"/>
  <c r="AI171" i="1"/>
  <c r="T219" i="1"/>
  <c r="U219" i="1" s="1"/>
  <c r="S219" i="1" s="1"/>
  <c r="T216" i="1"/>
  <c r="X216" i="1"/>
  <c r="X215" i="1"/>
  <c r="T207" i="1"/>
  <c r="AG156" i="1"/>
  <c r="X156" i="1"/>
  <c r="T154" i="1"/>
  <c r="U154" i="1" s="1"/>
  <c r="S154" i="1" s="1"/>
  <c r="T151" i="1"/>
  <c r="T145" i="1"/>
  <c r="T140" i="1"/>
  <c r="AI138" i="1"/>
  <c r="T122" i="1"/>
  <c r="U122" i="1" s="1"/>
  <c r="S122" i="1" s="1"/>
  <c r="X122" i="1"/>
  <c r="T115" i="1"/>
  <c r="AG113" i="1"/>
  <c r="T113" i="1"/>
  <c r="X113" i="1"/>
  <c r="AI110" i="1"/>
  <c r="U96" i="1"/>
  <c r="S96" i="1" s="1"/>
  <c r="AG95" i="1"/>
  <c r="X96" i="1"/>
  <c r="X95" i="1"/>
  <c r="T95" i="1"/>
  <c r="T206" i="1"/>
  <c r="X206" i="1"/>
  <c r="W135" i="1"/>
  <c r="T134" i="1"/>
  <c r="X134" i="1"/>
  <c r="AG134" i="1"/>
  <c r="W134" i="1" s="1"/>
  <c r="X210" i="1"/>
  <c r="X200" i="1"/>
  <c r="X203" i="1"/>
  <c r="AG202" i="1"/>
  <c r="X199" i="1"/>
  <c r="T199" i="1"/>
  <c r="U199" i="1" s="1"/>
  <c r="S199" i="1" s="1"/>
  <c r="AG198" i="1"/>
  <c r="AI198" i="1" s="1"/>
  <c r="X195" i="1"/>
  <c r="T195" i="1"/>
  <c r="U195" i="1" s="1"/>
  <c r="S195" i="1" s="1"/>
  <c r="AG194" i="1"/>
  <c r="W194" i="1" s="1"/>
  <c r="X191" i="1"/>
  <c r="T191" i="1"/>
  <c r="AG190" i="1"/>
  <c r="X183" i="1"/>
  <c r="AG182" i="1"/>
  <c r="S180" i="1"/>
  <c r="X179" i="1"/>
  <c r="AG178" i="1"/>
  <c r="X175" i="1"/>
  <c r="T175" i="1"/>
  <c r="U175" i="1" s="1"/>
  <c r="S175" i="1" s="1"/>
  <c r="AG174" i="1"/>
  <c r="X171" i="1"/>
  <c r="T171" i="1"/>
  <c r="U171" i="1" s="1"/>
  <c r="S171" i="1" s="1"/>
  <c r="AG170" i="1"/>
  <c r="X202" i="1"/>
  <c r="X198" i="1"/>
  <c r="X194" i="1"/>
  <c r="X190" i="1"/>
  <c r="X186" i="1"/>
  <c r="X182" i="1"/>
  <c r="X178" i="1"/>
  <c r="X174" i="1"/>
  <c r="X170" i="1"/>
  <c r="X166" i="1"/>
  <c r="X162" i="1"/>
  <c r="T157" i="1"/>
  <c r="U157" i="1" s="1"/>
  <c r="S157" i="1" s="1"/>
  <c r="X157" i="1"/>
  <c r="X219" i="1"/>
  <c r="X218" i="1"/>
  <c r="AA217" i="1"/>
  <c r="AG216" i="1"/>
  <c r="AG207" i="1"/>
  <c r="T205" i="1"/>
  <c r="U205" i="1" s="1"/>
  <c r="S205" i="1" s="1"/>
  <c r="T155" i="1"/>
  <c r="U155" i="1" s="1"/>
  <c r="S155" i="1" s="1"/>
  <c r="X155" i="1"/>
  <c r="X154" i="1"/>
  <c r="AA152" i="1"/>
  <c r="AG151" i="1"/>
  <c r="AG145" i="1"/>
  <c r="T142" i="1"/>
  <c r="U142" i="1" s="1"/>
  <c r="S142" i="1" s="1"/>
  <c r="AG140" i="1"/>
  <c r="AG129" i="1"/>
  <c r="X129" i="1"/>
  <c r="T106" i="1"/>
  <c r="X106" i="1"/>
  <c r="AG106" i="1"/>
  <c r="T59" i="1"/>
  <c r="X59" i="1"/>
  <c r="AG59" i="1"/>
  <c r="T152" i="1"/>
  <c r="T143" i="1"/>
  <c r="X196" i="1"/>
  <c r="X176" i="1"/>
  <c r="X172" i="1"/>
  <c r="X168" i="1"/>
  <c r="X164" i="1"/>
  <c r="X160" i="1"/>
  <c r="AG217" i="1"/>
  <c r="T215" i="1"/>
  <c r="U215" i="1" s="1"/>
  <c r="S215" i="1" s="1"/>
  <c r="T212" i="1"/>
  <c r="U212" i="1" s="1"/>
  <c r="S212" i="1" s="1"/>
  <c r="X212" i="1"/>
  <c r="AG206" i="1"/>
  <c r="AG152" i="1"/>
  <c r="T150" i="1"/>
  <c r="U150" i="1" s="1"/>
  <c r="S150" i="1" s="1"/>
  <c r="T148" i="1"/>
  <c r="U148" i="1" s="1"/>
  <c r="S148" i="1" s="1"/>
  <c r="AG143" i="1"/>
  <c r="T139" i="1"/>
  <c r="AG139" i="1"/>
  <c r="T135" i="1"/>
  <c r="U135" i="1" s="1"/>
  <c r="S135" i="1" s="1"/>
  <c r="AG133" i="1"/>
  <c r="X133" i="1"/>
  <c r="T133" i="1"/>
  <c r="T126" i="1"/>
  <c r="X126" i="1"/>
  <c r="AG126" i="1"/>
  <c r="T130" i="1"/>
  <c r="X130" i="1"/>
  <c r="T123" i="1"/>
  <c r="AI121" i="1"/>
  <c r="AG119" i="1"/>
  <c r="X119" i="1"/>
  <c r="T117" i="1"/>
  <c r="U117" i="1" s="1"/>
  <c r="S117" i="1" s="1"/>
  <c r="T114" i="1"/>
  <c r="X114" i="1"/>
  <c r="T107" i="1"/>
  <c r="AI105" i="1"/>
  <c r="AG103" i="1"/>
  <c r="X103" i="1"/>
  <c r="X93" i="1"/>
  <c r="AI91" i="1"/>
  <c r="AI79" i="1"/>
  <c r="X69" i="1"/>
  <c r="X68" i="1"/>
  <c r="AG68" i="1"/>
  <c r="AG66" i="1"/>
  <c r="X66" i="1"/>
  <c r="T66" i="1"/>
  <c r="AG56" i="1"/>
  <c r="T56" i="1"/>
  <c r="X56" i="1"/>
  <c r="U26" i="1"/>
  <c r="S26" i="1" s="1"/>
  <c r="AA131" i="1"/>
  <c r="AG130" i="1"/>
  <c r="AG123" i="1"/>
  <c r="T121" i="1"/>
  <c r="U121" i="1" s="1"/>
  <c r="S121" i="1" s="1"/>
  <c r="T118" i="1"/>
  <c r="U118" i="1" s="1"/>
  <c r="S118" i="1" s="1"/>
  <c r="X118" i="1"/>
  <c r="X117" i="1"/>
  <c r="AA115" i="1"/>
  <c r="AG114" i="1"/>
  <c r="AG107" i="1"/>
  <c r="T105" i="1"/>
  <c r="U105" i="1" s="1"/>
  <c r="S105" i="1" s="1"/>
  <c r="T102" i="1"/>
  <c r="U102" i="1" s="1"/>
  <c r="S102" i="1" s="1"/>
  <c r="X102" i="1"/>
  <c r="X97" i="1"/>
  <c r="T89" i="1"/>
  <c r="X89" i="1"/>
  <c r="AG89" i="1"/>
  <c r="T85" i="1"/>
  <c r="X85" i="1"/>
  <c r="AG85" i="1"/>
  <c r="S82" i="1"/>
  <c r="T81" i="1"/>
  <c r="X81" i="1"/>
  <c r="AG81" i="1"/>
  <c r="W81" i="1" s="1"/>
  <c r="T77" i="1"/>
  <c r="X77" i="1"/>
  <c r="AG77" i="1"/>
  <c r="T73" i="1"/>
  <c r="X73" i="1"/>
  <c r="AG73" i="1"/>
  <c r="S61" i="1"/>
  <c r="T110" i="1"/>
  <c r="U110" i="1" s="1"/>
  <c r="S110" i="1" s="1"/>
  <c r="X110" i="1"/>
  <c r="AG99" i="1"/>
  <c r="X100" i="1"/>
  <c r="AI58" i="1"/>
  <c r="X98" i="1"/>
  <c r="X94" i="1"/>
  <c r="X90" i="1"/>
  <c r="X86" i="1"/>
  <c r="X82" i="1"/>
  <c r="X78" i="1"/>
  <c r="X74" i="1"/>
  <c r="T63" i="1"/>
  <c r="U63" i="1" s="1"/>
  <c r="S63" i="1" s="1"/>
  <c r="X63" i="1"/>
  <c r="X62" i="1"/>
  <c r="X61" i="1"/>
  <c r="AA60" i="1"/>
  <c r="T45" i="1"/>
  <c r="X45" i="1"/>
  <c r="X46" i="1"/>
  <c r="AG45" i="1"/>
  <c r="X39" i="1"/>
  <c r="X38" i="1"/>
  <c r="AG38" i="1"/>
  <c r="AG36" i="1"/>
  <c r="X36" i="1"/>
  <c r="T36" i="1"/>
  <c r="T67" i="1"/>
  <c r="X67" i="1"/>
  <c r="T60" i="1"/>
  <c r="U50" i="1"/>
  <c r="S50" i="1" s="1"/>
  <c r="AI44" i="1"/>
  <c r="W44" i="1"/>
  <c r="T17" i="1"/>
  <c r="X17" i="1"/>
  <c r="AG17" i="1"/>
  <c r="X92" i="1"/>
  <c r="X88" i="1"/>
  <c r="X84" i="1"/>
  <c r="X80" i="1"/>
  <c r="X76" i="1"/>
  <c r="T71" i="1"/>
  <c r="U71" i="1" s="1"/>
  <c r="S71" i="1" s="1"/>
  <c r="X71" i="1"/>
  <c r="AA68" i="1"/>
  <c r="AG67" i="1"/>
  <c r="AG60" i="1"/>
  <c r="T58" i="1"/>
  <c r="U58" i="1" s="1"/>
  <c r="S58" i="1" s="1"/>
  <c r="AG52" i="1"/>
  <c r="X53" i="1"/>
  <c r="T38" i="1"/>
  <c r="U34" i="1"/>
  <c r="S34" i="1" s="1"/>
  <c r="T25" i="1"/>
  <c r="X25" i="1"/>
  <c r="AG25" i="1"/>
  <c r="X55" i="1"/>
  <c r="X51" i="1"/>
  <c r="T49" i="1"/>
  <c r="U49" i="1" s="1"/>
  <c r="S49" i="1" s="1"/>
  <c r="X49" i="1"/>
  <c r="X48" i="1"/>
  <c r="X47" i="1"/>
  <c r="AA46" i="1"/>
  <c r="S43" i="1"/>
  <c r="U35" i="1"/>
  <c r="S35" i="1" s="1"/>
  <c r="T33" i="1"/>
  <c r="U33" i="1" s="1"/>
  <c r="S33" i="1" s="1"/>
  <c r="X33" i="1"/>
  <c r="AA30" i="1"/>
  <c r="T21" i="1"/>
  <c r="X21" i="1"/>
  <c r="AG21" i="1"/>
  <c r="AA14" i="1"/>
  <c r="W50" i="1"/>
  <c r="T37" i="1"/>
  <c r="X37" i="1"/>
  <c r="T44" i="1"/>
  <c r="U44" i="1" s="1"/>
  <c r="S44" i="1" s="1"/>
  <c r="T41" i="1"/>
  <c r="U41" i="1" s="1"/>
  <c r="S41" i="1" s="1"/>
  <c r="X41" i="1"/>
  <c r="X40" i="1"/>
  <c r="AA38" i="1"/>
  <c r="AG37" i="1"/>
  <c r="W37" i="1" s="1"/>
  <c r="T29" i="1"/>
  <c r="X29" i="1"/>
  <c r="AG29" i="1"/>
  <c r="AA22" i="1"/>
  <c r="X20" i="1"/>
  <c r="T20" i="1"/>
  <c r="U20" i="1" s="1"/>
  <c r="S20" i="1" s="1"/>
  <c r="U19" i="1"/>
  <c r="S19" i="1" s="1"/>
  <c r="X16" i="1"/>
  <c r="T16" i="1"/>
  <c r="U16" i="1" s="1"/>
  <c r="S16" i="1" s="1"/>
  <c r="AI31" i="1"/>
  <c r="X30" i="1"/>
  <c r="X26" i="1"/>
  <c r="AI23" i="1"/>
  <c r="X22" i="1"/>
  <c r="X18" i="1"/>
  <c r="L19" i="3"/>
  <c r="L14" i="3"/>
  <c r="L16" i="3"/>
  <c r="L23" i="3"/>
  <c r="L25" i="3"/>
  <c r="L15" i="3"/>
  <c r="L18" i="3"/>
  <c r="L7" i="3"/>
  <c r="L9" i="3"/>
  <c r="L34" i="3"/>
  <c r="L28" i="3"/>
  <c r="L11" i="3"/>
  <c r="L13" i="3"/>
  <c r="L8" i="3"/>
  <c r="L20" i="3"/>
  <c r="S20" i="3"/>
  <c r="R20" i="3" s="1"/>
  <c r="T20" i="3"/>
  <c r="U20" i="3"/>
  <c r="V20" i="3"/>
  <c r="L35" i="3"/>
  <c r="L30" i="3"/>
  <c r="L22" i="3"/>
  <c r="L31" i="3"/>
  <c r="L33" i="3"/>
  <c r="L26" i="3"/>
  <c r="L24" i="3"/>
  <c r="L10" i="3"/>
  <c r="L29" i="3"/>
  <c r="L17" i="3"/>
  <c r="L21" i="3"/>
  <c r="L27" i="3"/>
  <c r="L12" i="3"/>
  <c r="AI170" i="1" l="1"/>
  <c r="AI202" i="1"/>
  <c r="AI148" i="1"/>
  <c r="W40" i="1"/>
  <c r="AI207" i="1"/>
  <c r="W178" i="1"/>
  <c r="W209" i="1"/>
  <c r="AI173" i="1"/>
  <c r="AI49" i="1"/>
  <c r="W24" i="1"/>
  <c r="AI158" i="1"/>
  <c r="AI62" i="1"/>
  <c r="W52" i="1"/>
  <c r="U185" i="1"/>
  <c r="S185" i="1" s="1"/>
  <c r="W28" i="1"/>
  <c r="AI75" i="1"/>
  <c r="AI122" i="1"/>
  <c r="AI137" i="1"/>
  <c r="AI155" i="1"/>
  <c r="S168" i="1"/>
  <c r="AI215" i="1"/>
  <c r="W31" i="1"/>
  <c r="AI51" i="1"/>
  <c r="AI82" i="1"/>
  <c r="W64" i="1"/>
  <c r="W102" i="1"/>
  <c r="U204" i="1"/>
  <c r="S204" i="1" s="1"/>
  <c r="W214" i="1"/>
  <c r="W54" i="1"/>
  <c r="U136" i="1"/>
  <c r="S136" i="1" s="1"/>
  <c r="AI165" i="1"/>
  <c r="W61" i="1"/>
  <c r="W47" i="1"/>
  <c r="W168" i="1"/>
  <c r="AI41" i="1"/>
  <c r="W131" i="1"/>
  <c r="W56" i="1"/>
  <c r="W154" i="1"/>
  <c r="W147" i="1"/>
  <c r="AI183" i="1"/>
  <c r="AI175" i="1"/>
  <c r="AI94" i="1"/>
  <c r="AI97" i="1"/>
  <c r="AI127" i="1"/>
  <c r="AI83" i="1"/>
  <c r="AI187" i="1"/>
  <c r="AI55" i="1"/>
  <c r="W87" i="1"/>
  <c r="W15" i="1"/>
  <c r="U15" i="1"/>
  <c r="S15" i="1" s="1"/>
  <c r="W16" i="1"/>
  <c r="W14" i="1"/>
  <c r="AI14" i="1"/>
  <c r="AI15" i="1"/>
  <c r="AI144" i="1"/>
  <c r="U144" i="1"/>
  <c r="S144" i="1" s="1"/>
  <c r="W144" i="1"/>
  <c r="W111" i="1"/>
  <c r="W48" i="1"/>
  <c r="W62" i="1"/>
  <c r="W115" i="1"/>
  <c r="W109" i="1"/>
  <c r="W127" i="1"/>
  <c r="W207" i="1"/>
  <c r="AI182" i="1"/>
  <c r="AI142" i="1"/>
  <c r="W186" i="1"/>
  <c r="W195" i="1"/>
  <c r="W53" i="1"/>
  <c r="AI132" i="1"/>
  <c r="W112" i="1"/>
  <c r="AI63" i="1"/>
  <c r="U88" i="1"/>
  <c r="S88" i="1" s="1"/>
  <c r="AI169" i="1"/>
  <c r="AI39" i="1"/>
  <c r="AI185" i="1"/>
  <c r="AI124" i="1"/>
  <c r="W108" i="1"/>
  <c r="W71" i="1"/>
  <c r="W22" i="1"/>
  <c r="W30" i="1"/>
  <c r="W25" i="1"/>
  <c r="W99" i="1"/>
  <c r="W66" i="1"/>
  <c r="W70" i="1"/>
  <c r="W145" i="1"/>
  <c r="AI218" i="1"/>
  <c r="AI149" i="1"/>
  <c r="AI179" i="1"/>
  <c r="W90" i="1"/>
  <c r="AI74" i="1"/>
  <c r="AI64" i="1"/>
  <c r="AI50" i="1"/>
  <c r="W97" i="1"/>
  <c r="AI92" i="1"/>
  <c r="W160" i="1"/>
  <c r="U62" i="1"/>
  <c r="S62" i="1" s="1"/>
  <c r="AI87" i="1"/>
  <c r="U160" i="1"/>
  <c r="S160" i="1" s="1"/>
  <c r="W89" i="1"/>
  <c r="U97" i="1"/>
  <c r="S97" i="1" s="1"/>
  <c r="AI108" i="1"/>
  <c r="U208" i="1"/>
  <c r="S208" i="1" s="1"/>
  <c r="AI69" i="1"/>
  <c r="AI93" i="1"/>
  <c r="W117" i="1"/>
  <c r="W149" i="1"/>
  <c r="AI213" i="1"/>
  <c r="W26" i="1"/>
  <c r="AI112" i="1"/>
  <c r="AI88" i="1"/>
  <c r="W100" i="1"/>
  <c r="W42" i="1"/>
  <c r="W113" i="1"/>
  <c r="W21" i="1"/>
  <c r="AI206" i="1"/>
  <c r="W106" i="1"/>
  <c r="AI96" i="1"/>
  <c r="W74" i="1"/>
  <c r="W95" i="1"/>
  <c r="W210" i="1"/>
  <c r="AI76" i="1"/>
  <c r="W184" i="1"/>
  <c r="AI111" i="1"/>
  <c r="W35" i="1"/>
  <c r="W43" i="1"/>
  <c r="U112" i="1"/>
  <c r="S112" i="1" s="1"/>
  <c r="U146" i="1"/>
  <c r="S146" i="1" s="1"/>
  <c r="W141" i="1"/>
  <c r="AI27" i="1"/>
  <c r="W59" i="1"/>
  <c r="AI54" i="1"/>
  <c r="W51" i="1"/>
  <c r="W68" i="1"/>
  <c r="W17" i="1"/>
  <c r="AI61" i="1"/>
  <c r="AI26" i="1"/>
  <c r="U87" i="1"/>
  <c r="S87" i="1" s="1"/>
  <c r="W126" i="1"/>
  <c r="W139" i="1"/>
  <c r="AI174" i="1"/>
  <c r="AI214" i="1"/>
  <c r="W213" i="1"/>
  <c r="AI210" i="1"/>
  <c r="AI177" i="1"/>
  <c r="AI219" i="1"/>
  <c r="W82" i="1"/>
  <c r="W18" i="1"/>
  <c r="W93" i="1"/>
  <c r="AI120" i="1"/>
  <c r="W65" i="1"/>
  <c r="U100" i="1"/>
  <c r="S100" i="1" s="1"/>
  <c r="AI32" i="1"/>
  <c r="AI100" i="1"/>
  <c r="U31" i="1"/>
  <c r="S31" i="1" s="1"/>
  <c r="W29" i="1"/>
  <c r="AI35" i="1"/>
  <c r="AI43" i="1"/>
  <c r="AI47" i="1"/>
  <c r="AI90" i="1"/>
  <c r="W140" i="1"/>
  <c r="AI190" i="1"/>
  <c r="AI146" i="1"/>
  <c r="AI161" i="1"/>
  <c r="AI199" i="1"/>
  <c r="U169" i="1"/>
  <c r="S169" i="1" s="1"/>
  <c r="W119" i="1"/>
  <c r="U104" i="1"/>
  <c r="S104" i="1" s="1"/>
  <c r="W185" i="1"/>
  <c r="AI72" i="1"/>
  <c r="AI19" i="1"/>
  <c r="AI42" i="1"/>
  <c r="W101" i="1"/>
  <c r="W88" i="1"/>
  <c r="W200" i="1"/>
  <c r="W164" i="1"/>
  <c r="AI34" i="1"/>
  <c r="AI86" i="1"/>
  <c r="W45" i="1"/>
  <c r="U54" i="1"/>
  <c r="S54" i="1" s="1"/>
  <c r="U93" i="1"/>
  <c r="S93" i="1" s="1"/>
  <c r="W46" i="1"/>
  <c r="AI18" i="1"/>
  <c r="W73" i="1"/>
  <c r="AI78" i="1"/>
  <c r="W107" i="1"/>
  <c r="W125" i="1"/>
  <c r="AI164" i="1"/>
  <c r="AI191" i="1"/>
  <c r="AI181" i="1"/>
  <c r="W132" i="1"/>
  <c r="W120" i="1"/>
  <c r="W104" i="1"/>
  <c r="AI30" i="1"/>
  <c r="AI128" i="1"/>
  <c r="W78" i="1"/>
  <c r="W27" i="1"/>
  <c r="U94" i="1"/>
  <c r="S94" i="1" s="1"/>
  <c r="W94" i="1"/>
  <c r="U108" i="1"/>
  <c r="S108" i="1" s="1"/>
  <c r="AI33" i="1"/>
  <c r="W169" i="1"/>
  <c r="U153" i="1"/>
  <c r="S153" i="1" s="1"/>
  <c r="AI153" i="1"/>
  <c r="AI162" i="1"/>
  <c r="AI131" i="1"/>
  <c r="W217" i="1"/>
  <c r="AI194" i="1"/>
  <c r="AI178" i="1"/>
  <c r="W196" i="1"/>
  <c r="W146" i="1"/>
  <c r="W204" i="1"/>
  <c r="AI157" i="1"/>
  <c r="AI186" i="1"/>
  <c r="U80" i="1"/>
  <c r="S80" i="1" s="1"/>
  <c r="AI80" i="1"/>
  <c r="W86" i="1"/>
  <c r="W55" i="1"/>
  <c r="W80" i="1"/>
  <c r="U116" i="1"/>
  <c r="S116" i="1" s="1"/>
  <c r="AI116" i="1"/>
  <c r="W218" i="1"/>
  <c r="U53" i="1"/>
  <c r="S53" i="1" s="1"/>
  <c r="AI53" i="1"/>
  <c r="U98" i="1"/>
  <c r="S98" i="1" s="1"/>
  <c r="W208" i="1"/>
  <c r="W180" i="1"/>
  <c r="W116" i="1"/>
  <c r="W98" i="1"/>
  <c r="W153" i="1"/>
  <c r="U67" i="1"/>
  <c r="S67" i="1" s="1"/>
  <c r="AI67" i="1"/>
  <c r="W67" i="1"/>
  <c r="AI85" i="1"/>
  <c r="U85" i="1"/>
  <c r="S85" i="1" s="1"/>
  <c r="AI123" i="1"/>
  <c r="U123" i="1"/>
  <c r="S123" i="1" s="1"/>
  <c r="U56" i="1"/>
  <c r="S56" i="1" s="1"/>
  <c r="AI56" i="1"/>
  <c r="AI159" i="1"/>
  <c r="U206" i="1"/>
  <c r="S206" i="1" s="1"/>
  <c r="AI216" i="1"/>
  <c r="U202" i="1"/>
  <c r="S202" i="1" s="1"/>
  <c r="U158" i="1"/>
  <c r="S158" i="1" s="1"/>
  <c r="AI172" i="1"/>
  <c r="U179" i="1"/>
  <c r="S179" i="1" s="1"/>
  <c r="AI193" i="1"/>
  <c r="AI201" i="1"/>
  <c r="U187" i="1"/>
  <c r="S187" i="1" s="1"/>
  <c r="U37" i="1"/>
  <c r="S37" i="1" s="1"/>
  <c r="AI37" i="1"/>
  <c r="AI60" i="1"/>
  <c r="U60" i="1"/>
  <c r="S60" i="1" s="1"/>
  <c r="AI77" i="1"/>
  <c r="U77" i="1"/>
  <c r="S77" i="1" s="1"/>
  <c r="AI107" i="1"/>
  <c r="U107" i="1"/>
  <c r="S107" i="1" s="1"/>
  <c r="AI114" i="1"/>
  <c r="U114" i="1"/>
  <c r="S114" i="1" s="1"/>
  <c r="W114" i="1"/>
  <c r="U130" i="1"/>
  <c r="S130" i="1" s="1"/>
  <c r="W130" i="1"/>
  <c r="AI130" i="1"/>
  <c r="AI68" i="1"/>
  <c r="U68" i="1"/>
  <c r="S68" i="1" s="1"/>
  <c r="W77" i="1"/>
  <c r="W85" i="1"/>
  <c r="AI119" i="1"/>
  <c r="U119" i="1"/>
  <c r="S119" i="1" s="1"/>
  <c r="U133" i="1"/>
  <c r="S133" i="1" s="1"/>
  <c r="AI133" i="1"/>
  <c r="AI152" i="1"/>
  <c r="U152" i="1"/>
  <c r="S152" i="1" s="1"/>
  <c r="W123" i="1"/>
  <c r="AI140" i="1"/>
  <c r="U140" i="1"/>
  <c r="S140" i="1" s="1"/>
  <c r="AI145" i="1"/>
  <c r="U145" i="1"/>
  <c r="S145" i="1" s="1"/>
  <c r="AI151" i="1"/>
  <c r="W151" i="1"/>
  <c r="U151" i="1"/>
  <c r="S151" i="1" s="1"/>
  <c r="U174" i="1"/>
  <c r="S174" i="1" s="1"/>
  <c r="AI188" i="1"/>
  <c r="U166" i="1"/>
  <c r="S166" i="1" s="1"/>
  <c r="AI180" i="1"/>
  <c r="AI197" i="1"/>
  <c r="U183" i="1"/>
  <c r="S183" i="1" s="1"/>
  <c r="AI205" i="1"/>
  <c r="U191" i="1"/>
  <c r="S191" i="1" s="1"/>
  <c r="W166" i="1"/>
  <c r="W179" i="1"/>
  <c r="W187" i="1"/>
  <c r="W206" i="1"/>
  <c r="AI22" i="1"/>
  <c r="U36" i="1"/>
  <c r="S36" i="1" s="1"/>
  <c r="AI36" i="1"/>
  <c r="AI103" i="1"/>
  <c r="U103" i="1"/>
  <c r="S103" i="1" s="1"/>
  <c r="W103" i="1"/>
  <c r="U190" i="1"/>
  <c r="S190" i="1" s="1"/>
  <c r="AI204" i="1"/>
  <c r="U29" i="1"/>
  <c r="S29" i="1" s="1"/>
  <c r="AI29" i="1"/>
  <c r="W38" i="1"/>
  <c r="U52" i="1"/>
  <c r="S52" i="1" s="1"/>
  <c r="AI52" i="1"/>
  <c r="U99" i="1"/>
  <c r="S99" i="1" s="1"/>
  <c r="AI99" i="1"/>
  <c r="W36" i="1"/>
  <c r="AI81" i="1"/>
  <c r="U81" i="1"/>
  <c r="S81" i="1" s="1"/>
  <c r="W152" i="1"/>
  <c r="AI184" i="1"/>
  <c r="U170" i="1"/>
  <c r="S170" i="1" s="1"/>
  <c r="AI192" i="1"/>
  <c r="U178" i="1"/>
  <c r="S178" i="1" s="1"/>
  <c r="AI196" i="1"/>
  <c r="U182" i="1"/>
  <c r="S182" i="1" s="1"/>
  <c r="U194" i="1"/>
  <c r="S194" i="1" s="1"/>
  <c r="AI208" i="1"/>
  <c r="AI212" i="1"/>
  <c r="U198" i="1"/>
  <c r="S198" i="1" s="1"/>
  <c r="AI200" i="1"/>
  <c r="U186" i="1"/>
  <c r="S186" i="1" s="1"/>
  <c r="AI217" i="1"/>
  <c r="U203" i="1"/>
  <c r="S203" i="1" s="1"/>
  <c r="W133" i="1"/>
  <c r="W182" i="1"/>
  <c r="W174" i="1"/>
  <c r="W190" i="1"/>
  <c r="W202" i="1"/>
  <c r="AI46" i="1"/>
  <c r="U21" i="1"/>
  <c r="S21" i="1" s="1"/>
  <c r="AI21" i="1"/>
  <c r="U25" i="1"/>
  <c r="S25" i="1" s="1"/>
  <c r="AI25" i="1"/>
  <c r="U17" i="1"/>
  <c r="S17" i="1" s="1"/>
  <c r="AI17" i="1"/>
  <c r="AI38" i="1"/>
  <c r="U38" i="1"/>
  <c r="S38" i="1" s="1"/>
  <c r="AI45" i="1"/>
  <c r="U45" i="1"/>
  <c r="S45" i="1" s="1"/>
  <c r="W60" i="1"/>
  <c r="AI73" i="1"/>
  <c r="U73" i="1"/>
  <c r="S73" i="1" s="1"/>
  <c r="AI89" i="1"/>
  <c r="U89" i="1"/>
  <c r="S89" i="1" s="1"/>
  <c r="U66" i="1"/>
  <c r="S66" i="1" s="1"/>
  <c r="AI66" i="1"/>
  <c r="AI126" i="1"/>
  <c r="U126" i="1"/>
  <c r="S126" i="1" s="1"/>
  <c r="U139" i="1"/>
  <c r="S139" i="1" s="1"/>
  <c r="AI139" i="1"/>
  <c r="U143" i="1"/>
  <c r="S143" i="1" s="1"/>
  <c r="AI143" i="1"/>
  <c r="AI168" i="1"/>
  <c r="U217" i="1"/>
  <c r="S217" i="1" s="1"/>
  <c r="AI59" i="1"/>
  <c r="U59" i="1"/>
  <c r="S59" i="1" s="1"/>
  <c r="AI106" i="1"/>
  <c r="U106" i="1"/>
  <c r="S106" i="1" s="1"/>
  <c r="U129" i="1"/>
  <c r="S129" i="1" s="1"/>
  <c r="AI129" i="1"/>
  <c r="AI160" i="1"/>
  <c r="U207" i="1"/>
  <c r="S207" i="1" s="1"/>
  <c r="AI167" i="1"/>
  <c r="U216" i="1"/>
  <c r="S216" i="1" s="1"/>
  <c r="W216" i="1"/>
  <c r="U134" i="1"/>
  <c r="S134" i="1" s="1"/>
  <c r="AI134" i="1"/>
  <c r="U95" i="1"/>
  <c r="S95" i="1" s="1"/>
  <c r="AI95" i="1"/>
  <c r="U113" i="1"/>
  <c r="S113" i="1" s="1"/>
  <c r="AI113" i="1"/>
  <c r="W129" i="1"/>
  <c r="AI156" i="1"/>
  <c r="U156" i="1"/>
  <c r="S156" i="1" s="1"/>
  <c r="U162" i="1"/>
  <c r="S162" i="1" s="1"/>
  <c r="AI176" i="1"/>
  <c r="AI115" i="1"/>
  <c r="U115" i="1"/>
  <c r="S115" i="1" s="1"/>
  <c r="W156" i="1"/>
  <c r="W158" i="1"/>
  <c r="W143" i="1"/>
  <c r="W198" i="1"/>
  <c r="W203" i="1"/>
  <c r="W170" i="1"/>
  <c r="W183" i="1"/>
  <c r="W191" i="1"/>
  <c r="W20" i="3"/>
  <c r="E7" i="6" l="1"/>
  <c r="F7" i="6"/>
  <c r="G7" i="6"/>
  <c r="H7" i="6"/>
  <c r="L32" i="3" l="1"/>
  <c r="E4" i="6" l="1"/>
  <c r="F4" i="6"/>
  <c r="G4" i="6"/>
  <c r="E5" i="6"/>
  <c r="F5" i="6"/>
  <c r="G5" i="6"/>
  <c r="E6" i="6"/>
  <c r="F6" i="6"/>
  <c r="G6" i="6"/>
  <c r="H6" i="6"/>
  <c r="H5" i="6"/>
  <c r="H4" i="6"/>
  <c r="E3" i="6"/>
  <c r="F3" i="6"/>
  <c r="G3" i="6"/>
  <c r="H3" i="6"/>
  <c r="V13" i="1" l="1"/>
  <c r="Q20" i="3" s="1"/>
  <c r="K13" i="1" l="1"/>
  <c r="X6" i="1" l="1"/>
  <c r="W6" i="1"/>
  <c r="V6" i="1"/>
  <c r="S6" i="1"/>
  <c r="R2" i="1"/>
  <c r="I2" i="1"/>
  <c r="O6" i="1"/>
  <c r="N6" i="1"/>
  <c r="M6" i="1"/>
  <c r="J6" i="1"/>
  <c r="P3" i="5" l="1"/>
  <c r="AE13" i="1" l="1"/>
  <c r="P20" i="3" s="1"/>
  <c r="M18" i="5" l="1"/>
  <c r="AF13" i="1" l="1"/>
  <c r="AD13" i="1"/>
  <c r="X14" i="1" s="1"/>
  <c r="AG13" i="1" l="1"/>
  <c r="X13" i="1"/>
  <c r="T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AC13" i="1" l="1"/>
  <c r="AB13" i="1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L13" i="1" l="1"/>
  <c r="M13" i="1"/>
  <c r="N13" i="1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Y13" i="1"/>
  <c r="Z13" i="1"/>
  <c r="S9" i="1" l="1"/>
  <c r="U13" i="1"/>
  <c r="S13" i="1" s="1"/>
  <c r="J9" i="1"/>
  <c r="AA13" i="1"/>
  <c r="W13" i="1" l="1"/>
  <c r="AI13" i="1"/>
  <c r="S11" i="1"/>
  <c r="A11" i="1"/>
  <c r="A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<sst xmlns="http://schemas.openxmlformats.org/spreadsheetml/2006/main" count="1965" uniqueCount="711">
  <si>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</si>
  <si>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</si>
  <si>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</si>
  <si>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</si>
  <si>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</si>
  <si>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</si>
  <si>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</si>
  <si>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</si>
  <si>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</si>
  <si>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</si>
  <si>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</si>
  <si>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</si>
  <si>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</si>
  <si>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</si>
  <si>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</si>
  <si>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</si>
  <si>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</si>
  <si>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</si>
  <si>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</si>
  <si>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</si>
  <si>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</si>
  <si>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</si>
  <si>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</si>
  <si>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</si>
  <si>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</si>
  <si>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</si>
  <si>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</si>
  <si>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</si>
  <si>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</si>
  <si>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</si>
  <si>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</si>
  <si>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</si>
  <si>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</si>
  <si>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</si>
  <si>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</si>
  <si>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</si>
  <si>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</si>
  <si>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</si>
  <si>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</si>
  <si>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</si>
  <si>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</si>
  <si>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</si>
  <si>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</si>
  <si>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</si>
  <si>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</si>
  <si>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</si>
  <si>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</si>
  <si>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</si>
  <si>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</si>
  <si>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</si>
  <si>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</si>
  <si>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</si>
  <si>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</si>
  <si>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</si>
  <si>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</si>
  <si>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</si>
  <si>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</si>
  <si>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</si>
  <si>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</si>
  <si>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</si>
  <si>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</si>
  <si>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</si>
  <si>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</si>
  <si>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</si>
  <si>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</si>
  <si>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</si>
  <si>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</si>
  <si>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</si>
  <si>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</si>
  <si>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</si>
  <si>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</si>
  <si>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</si>
  <si>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</si>
  <si>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</si>
  <si>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</si>
  <si>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</si>
  <si>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</si>
  <si>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</si>
  <si>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</si>
  <si>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</si>
  <si>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</si>
  <si>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</si>
  <si>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</si>
  <si>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</si>
  <si>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</si>
  <si>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</si>
  <si>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</si>
  <si>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</si>
  <si>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</si>
  <si>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</si>
  <si>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</si>
  <si>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</si>
  <si>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</si>
  <si>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</si>
  <si>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</si>
  <si>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</si>
  <si>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</si>
  <si>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</si>
  <si>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</si>
  <si>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</si>
  <si>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</si>
  <si>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</si>
  <si>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</si>
  <si>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</si>
  <si>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</si>
  <si>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</si>
  <si>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</si>
  <si>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</si>
  <si>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</si>
  <si>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204:462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</si>
  <si>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</si>
  <si>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</si>
  <si>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</si>
  <si>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</si>
  <si>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</si>
  <si>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</si>
  <si>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</si>
  <si>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</si>
  <si>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</si>
  <si>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</si>
  <si>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</si>
  <si>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</si>
  <si>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</si>
  <si>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</si>
  <si>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</si>
  <si>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</si>
  <si>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</si>
  <si>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</si>
  <si>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</si>
  <si>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</si>
  <si>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</si>
  <si>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</si>
  <si>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</si>
  <si>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</si>
  <si>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204:232994</t>
  </si>
  <si>
    <t>204:449</t>
  </si>
  <si>
    <t>204:149</t>
  </si>
  <si>
    <t>ISHMAEL</t>
  </si>
  <si>
    <t>204:469</t>
  </si>
  <si>
    <t>204:467</t>
  </si>
  <si>
    <t>LEVIN</t>
  </si>
  <si>
    <t>204:457</t>
  </si>
  <si>
    <t>204:233310</t>
  </si>
  <si>
    <t>STAMBAUGH</t>
  </si>
  <si>
    <t>rtdc.l.rtdc.4037:itc</t>
  </si>
  <si>
    <t xml:space="preserve">baselines for EC: </t>
  </si>
  <si>
    <t>baselines for NWES:</t>
  </si>
  <si>
    <t>M - F = 47 trips</t>
  </si>
  <si>
    <t>Sat - Sun = 33 Trips</t>
  </si>
  <si>
    <t>204:233300</t>
  </si>
  <si>
    <t>rtdc.l.rtdc.4042:itc</t>
  </si>
  <si>
    <t>rtdc.l.rtdc.4038:itc</t>
  </si>
  <si>
    <t>204:150</t>
  </si>
  <si>
    <t>204:156</t>
  </si>
  <si>
    <t>204:451</t>
  </si>
  <si>
    <t>204:233291</t>
  </si>
  <si>
    <t>204:154</t>
  </si>
  <si>
    <t>234-12</t>
  </si>
  <si>
    <t>236-12</t>
  </si>
  <si>
    <t>237-12</t>
  </si>
  <si>
    <t>238-12</t>
  </si>
  <si>
    <t>239-12</t>
  </si>
  <si>
    <t>240-12</t>
  </si>
  <si>
    <t>241-12</t>
  </si>
  <si>
    <t>242-12</t>
  </si>
  <si>
    <t>243-12</t>
  </si>
  <si>
    <t>244-12</t>
  </si>
  <si>
    <t>245-12</t>
  </si>
  <si>
    <t>246-12</t>
  </si>
  <si>
    <t>309-12</t>
  </si>
  <si>
    <t>311-12</t>
  </si>
  <si>
    <t>315-12</t>
  </si>
  <si>
    <t>908-12</t>
  </si>
  <si>
    <t>rtdc.l.rtdc.4008:itc</t>
  </si>
  <si>
    <t>NELSON</t>
  </si>
  <si>
    <t>YANAI</t>
  </si>
  <si>
    <t>313-12</t>
  </si>
  <si>
    <t>204:152</t>
  </si>
  <si>
    <t>rtdc.l.rtdc.4043:itc</t>
  </si>
  <si>
    <t>rtdc.l.rtdc.4009:itc</t>
  </si>
  <si>
    <t>rtdc.l.rtdc.4010:itc</t>
  </si>
  <si>
    <t>204:141</t>
  </si>
  <si>
    <t>CHANDLER</t>
  </si>
  <si>
    <t>Onboard in-route failure</t>
  </si>
  <si>
    <t>204:233314</t>
  </si>
  <si>
    <t>204:471</t>
  </si>
  <si>
    <t>rtdc.l.rtdc.4002:itc</t>
  </si>
  <si>
    <t>rtdc.l.rtdc.4001:itc</t>
  </si>
  <si>
    <t>:.+((SYSTEM_STATE.+slice.+state.+changed )|(ment ac)|(system.+state.+changed )|(\|lc)|(penalty)|(\[timeout)|(PRM\|1\|D)|(kpr)|(kdp))</t>
  </si>
  <si>
    <t>204:444</t>
  </si>
  <si>
    <t>204:145</t>
  </si>
  <si>
    <t>204:447</t>
  </si>
  <si>
    <t>rtdc.l.rtdc.4041:itc</t>
  </si>
  <si>
    <t>rtdc.l.rtdc.4007:itc</t>
  </si>
  <si>
    <t>rtdc.l.rtdc.4044:itc</t>
  </si>
  <si>
    <t>204:233297</t>
  </si>
  <si>
    <t>204:160</t>
  </si>
  <si>
    <t>204:233293</t>
  </si>
  <si>
    <t>204:232975</t>
  </si>
  <si>
    <t>204:233308</t>
  </si>
  <si>
    <t>204:233298</t>
  </si>
  <si>
    <t>204:232967</t>
  </si>
  <si>
    <t>300:58619</t>
  </si>
  <si>
    <t>300:58928</t>
  </si>
  <si>
    <t>rtdc.l.rtdc.4003:itc</t>
  </si>
  <si>
    <t>204:460</t>
  </si>
  <si>
    <t>204:466</t>
  </si>
  <si>
    <t>204:232992</t>
  </si>
  <si>
    <t>204:232986</t>
  </si>
  <si>
    <t>204:232983</t>
  </si>
  <si>
    <t>204:232978</t>
  </si>
  <si>
    <t>204:233303</t>
  </si>
  <si>
    <t>204:136</t>
  </si>
  <si>
    <t>204:233311</t>
  </si>
  <si>
    <t>204:165</t>
  </si>
  <si>
    <t>204:435</t>
  </si>
  <si>
    <t>204:233327</t>
  </si>
  <si>
    <t>STARKS</t>
  </si>
  <si>
    <t>LEVERE</t>
  </si>
  <si>
    <t>204:233312</t>
  </si>
  <si>
    <t>204:233000</t>
  </si>
  <si>
    <t>204:139</t>
  </si>
  <si>
    <t>204:163</t>
  </si>
  <si>
    <t>204:232998</t>
  </si>
  <si>
    <t>204:233317</t>
  </si>
  <si>
    <t>204:161</t>
  </si>
  <si>
    <t>300:23306</t>
  </si>
  <si>
    <t>300:58606</t>
  </si>
  <si>
    <t>204:678</t>
  </si>
  <si>
    <t>SPECTOR</t>
  </si>
  <si>
    <t>rtdc.l.rtdc.4054:itc</t>
  </si>
  <si>
    <t>ROBINSON</t>
  </si>
  <si>
    <t>HAITHCOX</t>
  </si>
  <si>
    <t>204:233368</t>
  </si>
  <si>
    <t>204:138</t>
  </si>
  <si>
    <t>204:233002</t>
  </si>
  <si>
    <t>204:233011</t>
  </si>
  <si>
    <t>204:233320</t>
  </si>
  <si>
    <t>204:134</t>
  </si>
  <si>
    <t>204:464</t>
  </si>
  <si>
    <t>204:433</t>
  </si>
  <si>
    <t>204:232989</t>
  </si>
  <si>
    <t>204:233285</t>
  </si>
  <si>
    <t>204:233008</t>
  </si>
  <si>
    <t>204:232987</t>
  </si>
  <si>
    <t>204:442</t>
  </si>
  <si>
    <t>204:478</t>
  </si>
  <si>
    <t>244-23</t>
  </si>
  <si>
    <t>311-23</t>
  </si>
  <si>
    <t>313-23</t>
  </si>
  <si>
    <t>315-23</t>
  </si>
  <si>
    <t>300:24290</t>
  </si>
  <si>
    <t>300:58653</t>
  </si>
  <si>
    <t>300:58679</t>
  </si>
  <si>
    <t>204:978</t>
  </si>
  <si>
    <t>rtdc.l.rtdc.4004:itc</t>
  </si>
  <si>
    <t>rtdc.l.rtdc.4021:itc</t>
  </si>
  <si>
    <t>rtdc.l.rtdc.4022:itc</t>
  </si>
  <si>
    <t>GEBRETEKLE</t>
  </si>
  <si>
    <t>SANTIZO</t>
  </si>
  <si>
    <t>SWANSON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</si>
  <si>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</si>
  <si>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</si>
  <si>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</si>
  <si>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</si>
  <si>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</si>
  <si>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</si>
  <si>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</si>
  <si>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</si>
  <si>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</si>
  <si>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</si>
  <si>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</si>
  <si>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</si>
  <si>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</si>
  <si>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</si>
  <si>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</si>
  <si>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</si>
  <si>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</si>
  <si>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</si>
  <si>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</si>
  <si>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</si>
  <si>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</si>
  <si>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</si>
  <si>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</si>
  <si>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</si>
  <si>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</si>
  <si>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</si>
  <si>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</si>
  <si>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</si>
  <si>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</si>
  <si>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</si>
  <si>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</si>
  <si>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</si>
  <si>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</si>
  <si>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</si>
  <si>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</si>
  <si>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MAELZER</t>
  </si>
  <si>
    <t>MAHAN</t>
  </si>
  <si>
    <t>rtdc.l.rtdc.4025:itc</t>
  </si>
  <si>
    <t>SMITH</t>
  </si>
  <si>
    <t>BRANNON</t>
  </si>
  <si>
    <t>rtdc.l.rtdc.4026:itc</t>
  </si>
  <si>
    <t>YOUNG</t>
  </si>
  <si>
    <t>CRAYTON</t>
  </si>
  <si>
    <t>MOSES</t>
  </si>
  <si>
    <t>STURGEON</t>
  </si>
  <si>
    <t>309-24</t>
  </si>
  <si>
    <t>242-24</t>
  </si>
  <si>
    <t>311-24</t>
  </si>
  <si>
    <t>244-24</t>
  </si>
  <si>
    <t>313-24</t>
  </si>
  <si>
    <t>315-24</t>
  </si>
  <si>
    <t>204:129</t>
  </si>
  <si>
    <t>204:233359</t>
  </si>
  <si>
    <t>204:446</t>
  </si>
  <si>
    <t>204:232979</t>
  </si>
  <si>
    <t>204:232990</t>
  </si>
  <si>
    <t>204:130</t>
  </si>
  <si>
    <t>204:232980</t>
  </si>
  <si>
    <t>204:232961</t>
  </si>
  <si>
    <t>204:233289</t>
  </si>
  <si>
    <t>204:233307</t>
  </si>
  <si>
    <t>204:233332</t>
  </si>
  <si>
    <t>204:232966</t>
  </si>
  <si>
    <t>204:232977</t>
  </si>
  <si>
    <t>204:233322</t>
  </si>
  <si>
    <t>204:233323</t>
  </si>
  <si>
    <t>204:169</t>
  </si>
  <si>
    <t>204:692</t>
  </si>
  <si>
    <t>204:233342</t>
  </si>
  <si>
    <t>204:132</t>
  </si>
  <si>
    <t>204:170</t>
  </si>
  <si>
    <t>204:233284</t>
  </si>
  <si>
    <t>204:440</t>
  </si>
  <si>
    <t>204:233286</t>
  </si>
  <si>
    <t>300:23308</t>
  </si>
  <si>
    <t>300:23302</t>
  </si>
  <si>
    <t>204:962</t>
  </si>
  <si>
    <t>300:58967</t>
  </si>
  <si>
    <t>300:58656</t>
  </si>
  <si>
    <t>204:685</t>
  </si>
  <si>
    <t>204:936</t>
  </si>
  <si>
    <t>204:622</t>
  </si>
  <si>
    <t>204:680</t>
  </si>
  <si>
    <t>300:58948</t>
  </si>
  <si>
    <t>300:58626</t>
  </si>
  <si>
    <t>Pena 4S was STOP, cleared a minute later</t>
  </si>
  <si>
    <t>From 08-24-2016 13:14:05.327 until 13:28:22.128, 61st 2S should have been clear (controls sent to it the entire time was CLEAR). However, it cycled back and forth between PROCEED CAB and STOP. Any ideas why?</t>
  </si>
  <si>
    <t>101-25</t>
  </si>
  <si>
    <t>204:713</t>
  </si>
  <si>
    <t>204:233085</t>
  </si>
  <si>
    <t>102-25</t>
  </si>
  <si>
    <t>204:232426</t>
  </si>
  <si>
    <t>103-25</t>
  </si>
  <si>
    <t>204:783</t>
  </si>
  <si>
    <t>104-25</t>
  </si>
  <si>
    <t>204:232668</t>
  </si>
  <si>
    <t>105-25</t>
  </si>
  <si>
    <t>204:754</t>
  </si>
  <si>
    <t>106-25</t>
  </si>
  <si>
    <t>204:127</t>
  </si>
  <si>
    <t>107-25</t>
  </si>
  <si>
    <t>204:351</t>
  </si>
  <si>
    <t>108-25</t>
  </si>
  <si>
    <t>109-25</t>
  </si>
  <si>
    <t>204:477</t>
  </si>
  <si>
    <t>110-25</t>
  </si>
  <si>
    <t>111-25</t>
  </si>
  <si>
    <t>204:766</t>
  </si>
  <si>
    <t>112-25</t>
  </si>
  <si>
    <t>113-25</t>
  </si>
  <si>
    <t>204:422</t>
  </si>
  <si>
    <t>204:233302</t>
  </si>
  <si>
    <t>114-25</t>
  </si>
  <si>
    <t>204:167</t>
  </si>
  <si>
    <t>115-25</t>
  </si>
  <si>
    <t>204:737</t>
  </si>
  <si>
    <t>116-25</t>
  </si>
  <si>
    <t>117-25</t>
  </si>
  <si>
    <t>204:427</t>
  </si>
  <si>
    <t>118-25</t>
  </si>
  <si>
    <t>204:233006</t>
  </si>
  <si>
    <t>119-25</t>
  </si>
  <si>
    <t>204:721</t>
  </si>
  <si>
    <t>204:233274</t>
  </si>
  <si>
    <t>120-25</t>
  </si>
  <si>
    <t>121-25</t>
  </si>
  <si>
    <t>122-25</t>
  </si>
  <si>
    <t>204:233010</t>
  </si>
  <si>
    <t>123-25</t>
  </si>
  <si>
    <t>124-25</t>
  </si>
  <si>
    <t>125-25</t>
  </si>
  <si>
    <t>126-25</t>
  </si>
  <si>
    <t>127-25</t>
  </si>
  <si>
    <t>128-25</t>
  </si>
  <si>
    <t>129-25</t>
  </si>
  <si>
    <t>130-25</t>
  </si>
  <si>
    <t>204:232993</t>
  </si>
  <si>
    <t>131-25</t>
  </si>
  <si>
    <t>132-25</t>
  </si>
  <si>
    <t>133-25</t>
  </si>
  <si>
    <t>204:438</t>
  </si>
  <si>
    <t>134-25</t>
  </si>
  <si>
    <t>204:232991</t>
  </si>
  <si>
    <t>135-25</t>
  </si>
  <si>
    <t>136-25</t>
  </si>
  <si>
    <t>137-25</t>
  </si>
  <si>
    <t>204:437</t>
  </si>
  <si>
    <t>204:233321</t>
  </si>
  <si>
    <t>138-25</t>
  </si>
  <si>
    <t>139-25</t>
  </si>
  <si>
    <t>140-25</t>
  </si>
  <si>
    <t>141-25</t>
  </si>
  <si>
    <t>204:233304</t>
  </si>
  <si>
    <t>142-25</t>
  </si>
  <si>
    <t>143-25</t>
  </si>
  <si>
    <t>144-25</t>
  </si>
  <si>
    <t>145-25</t>
  </si>
  <si>
    <t>204:429</t>
  </si>
  <si>
    <t>146-25</t>
  </si>
  <si>
    <t>147-25</t>
  </si>
  <si>
    <t>204:233276</t>
  </si>
  <si>
    <t>148-25</t>
  </si>
  <si>
    <t>149-25</t>
  </si>
  <si>
    <t>150-25</t>
  </si>
  <si>
    <t>151-25</t>
  </si>
  <si>
    <t>152-25</t>
  </si>
  <si>
    <t>153-25</t>
  </si>
  <si>
    <t>204:233280</t>
  </si>
  <si>
    <t>154-25</t>
  </si>
  <si>
    <t>155-25</t>
  </si>
  <si>
    <t>156-25</t>
  </si>
  <si>
    <t>157-25</t>
  </si>
  <si>
    <t>158-25</t>
  </si>
  <si>
    <t>159-25</t>
  </si>
  <si>
    <t>160-25</t>
  </si>
  <si>
    <t>204:232953</t>
  </si>
  <si>
    <t>161-25</t>
  </si>
  <si>
    <t>162-25</t>
  </si>
  <si>
    <t>163-25</t>
  </si>
  <si>
    <t>164-25</t>
  </si>
  <si>
    <t>204:232973</t>
  </si>
  <si>
    <t>165-25</t>
  </si>
  <si>
    <t>166-25</t>
  </si>
  <si>
    <t>167-25</t>
  </si>
  <si>
    <t>168-25</t>
  </si>
  <si>
    <t>204:189</t>
  </si>
  <si>
    <t>169-25</t>
  </si>
  <si>
    <t>170-25</t>
  </si>
  <si>
    <t>171-25</t>
  </si>
  <si>
    <t>204:233282</t>
  </si>
  <si>
    <t>172-25</t>
  </si>
  <si>
    <t>173-25</t>
  </si>
  <si>
    <t>204:233283</t>
  </si>
  <si>
    <t>174-25</t>
  </si>
  <si>
    <t>204:232968</t>
  </si>
  <si>
    <t>175-25</t>
  </si>
  <si>
    <t>204:233353</t>
  </si>
  <si>
    <t>176-25</t>
  </si>
  <si>
    <t>204:233023</t>
  </si>
  <si>
    <t>177-25</t>
  </si>
  <si>
    <t>178-25</t>
  </si>
  <si>
    <t>204:233013</t>
  </si>
  <si>
    <t>179-25</t>
  </si>
  <si>
    <t>204:233318</t>
  </si>
  <si>
    <t>180-25</t>
  </si>
  <si>
    <t>181-25</t>
  </si>
  <si>
    <t>182-25</t>
  </si>
  <si>
    <t>204:287</t>
  </si>
  <si>
    <t>183-25</t>
  </si>
  <si>
    <t>204:233326</t>
  </si>
  <si>
    <t>184-25</t>
  </si>
  <si>
    <t>185-25</t>
  </si>
  <si>
    <t>186-25</t>
  </si>
  <si>
    <t>187-25</t>
  </si>
  <si>
    <t>188-25</t>
  </si>
  <si>
    <t>189-25</t>
  </si>
  <si>
    <t>204:233415</t>
  </si>
  <si>
    <t>190-25</t>
  </si>
  <si>
    <t>204:233059</t>
  </si>
  <si>
    <t>191-25</t>
  </si>
  <si>
    <t>192-25</t>
  </si>
  <si>
    <t>193-25</t>
  </si>
  <si>
    <t>194-25</t>
  </si>
  <si>
    <t>195-25</t>
  </si>
  <si>
    <t>204:233337</t>
  </si>
  <si>
    <t>196-25</t>
  </si>
  <si>
    <t>204:233009</t>
  </si>
  <si>
    <t>197-25</t>
  </si>
  <si>
    <t>204:233336</t>
  </si>
  <si>
    <t>198-25</t>
  </si>
  <si>
    <t>204:233015</t>
  </si>
  <si>
    <t>199-25</t>
  </si>
  <si>
    <t>200-25</t>
  </si>
  <si>
    <t>201-25</t>
  </si>
  <si>
    <t>202-25</t>
  </si>
  <si>
    <t>203-25</t>
  </si>
  <si>
    <t>204-25</t>
  </si>
  <si>
    <t>204:233036</t>
  </si>
  <si>
    <t>205-25</t>
  </si>
  <si>
    <t>206-25</t>
  </si>
  <si>
    <t>204:232959</t>
  </si>
  <si>
    <t>207-25</t>
  </si>
  <si>
    <t>204:233301</t>
  </si>
  <si>
    <t>208-25</t>
  </si>
  <si>
    <t>209-25</t>
  </si>
  <si>
    <t>210-25</t>
  </si>
  <si>
    <t>211-25</t>
  </si>
  <si>
    <t>212-25</t>
  </si>
  <si>
    <t>213-25</t>
  </si>
  <si>
    <t>204:233253</t>
  </si>
  <si>
    <t>214-25</t>
  </si>
  <si>
    <t>215-25</t>
  </si>
  <si>
    <t>216-25</t>
  </si>
  <si>
    <t>217-25</t>
  </si>
  <si>
    <t>218-25</t>
  </si>
  <si>
    <t>219-25</t>
  </si>
  <si>
    <t>204:493</t>
  </si>
  <si>
    <t>220-25</t>
  </si>
  <si>
    <t>221-25</t>
  </si>
  <si>
    <t>222-25</t>
  </si>
  <si>
    <t>223-25</t>
  </si>
  <si>
    <t>225-25</t>
  </si>
  <si>
    <t>226-25</t>
  </si>
  <si>
    <t>227-25</t>
  </si>
  <si>
    <t>228-25</t>
  </si>
  <si>
    <t>229-25</t>
  </si>
  <si>
    <t>230-25</t>
  </si>
  <si>
    <t>231-25</t>
  </si>
  <si>
    <t>233-25</t>
  </si>
  <si>
    <t>204:431</t>
  </si>
  <si>
    <t>234-25</t>
  </si>
  <si>
    <t>235-25</t>
  </si>
  <si>
    <t>236-25</t>
  </si>
  <si>
    <t>204:232962</t>
  </si>
  <si>
    <t>237-25</t>
  </si>
  <si>
    <t>204:19129</t>
  </si>
  <si>
    <t>238-25</t>
  </si>
  <si>
    <t>239-25</t>
  </si>
  <si>
    <t>204:233288</t>
  </si>
  <si>
    <t>240-25</t>
  </si>
  <si>
    <t>241-25</t>
  </si>
  <si>
    <t>242-25</t>
  </si>
  <si>
    <t>204:232969</t>
  </si>
  <si>
    <t>243-25</t>
  </si>
  <si>
    <t>244-25</t>
  </si>
  <si>
    <t>204:232952</t>
  </si>
  <si>
    <t>303-25</t>
  </si>
  <si>
    <t>300:23000</t>
  </si>
  <si>
    <t>309-25</t>
  </si>
  <si>
    <t>311-25</t>
  </si>
  <si>
    <t>204:506</t>
  </si>
  <si>
    <t>300:23293</t>
  </si>
  <si>
    <t>313-25</t>
  </si>
  <si>
    <t>300:23304</t>
  </si>
  <si>
    <t>315-25</t>
  </si>
  <si>
    <t>50-25</t>
  </si>
  <si>
    <t>204:869</t>
  </si>
  <si>
    <t>51-25</t>
  </si>
  <si>
    <t>204:1543</t>
  </si>
  <si>
    <t>300:24201</t>
  </si>
  <si>
    <t>52-25</t>
  </si>
  <si>
    <t>300:23639</t>
  </si>
  <si>
    <t>204:1216</t>
  </si>
  <si>
    <t>53-25</t>
  </si>
  <si>
    <t>204:1196</t>
  </si>
  <si>
    <t>300:24214</t>
  </si>
  <si>
    <t>54-25</t>
  </si>
  <si>
    <t>300:22917</t>
  </si>
  <si>
    <t>300:22698</t>
  </si>
  <si>
    <t>55-25</t>
  </si>
  <si>
    <t>204:1488</t>
  </si>
  <si>
    <t>56-25</t>
  </si>
  <si>
    <t>300:23470</t>
  </si>
  <si>
    <t>58-25</t>
  </si>
  <si>
    <t>204:498</t>
  </si>
  <si>
    <t>300:24205</t>
  </si>
  <si>
    <t>800-25</t>
  </si>
  <si>
    <t>300:58628</t>
  </si>
  <si>
    <t>204:808</t>
  </si>
  <si>
    <t>801-25</t>
  </si>
  <si>
    <t>204:1105</t>
  </si>
  <si>
    <t>300:58943</t>
  </si>
  <si>
    <t>802-25</t>
  </si>
  <si>
    <t>204:836</t>
  </si>
  <si>
    <t>803-25</t>
  </si>
  <si>
    <t>300:58975</t>
  </si>
  <si>
    <t>804-25</t>
  </si>
  <si>
    <t>805-25</t>
  </si>
  <si>
    <t>204:1135</t>
  </si>
  <si>
    <t>300:58924</t>
  </si>
  <si>
    <t>806-25</t>
  </si>
  <si>
    <t>204:841</t>
  </si>
  <si>
    <t>807-25</t>
  </si>
  <si>
    <t>204:986</t>
  </si>
  <si>
    <t>300:58980</t>
  </si>
  <si>
    <t>808-25</t>
  </si>
  <si>
    <t>809-25</t>
  </si>
  <si>
    <t>204:1132</t>
  </si>
  <si>
    <t>300:58944</t>
  </si>
  <si>
    <t>810-25</t>
  </si>
  <si>
    <t>204:834</t>
  </si>
  <si>
    <t>811-25</t>
  </si>
  <si>
    <t>300:58973</t>
  </si>
  <si>
    <t>812-25</t>
  </si>
  <si>
    <t>300:58353</t>
  </si>
  <si>
    <t>813-25</t>
  </si>
  <si>
    <t>204:988</t>
  </si>
  <si>
    <t>814-25</t>
  </si>
  <si>
    <t>300:58655</t>
  </si>
  <si>
    <t>815-25</t>
  </si>
  <si>
    <t>816-25</t>
  </si>
  <si>
    <t>300:58287</t>
  </si>
  <si>
    <t>204:703</t>
  </si>
  <si>
    <t>817-25</t>
  </si>
  <si>
    <t>300:58958</t>
  </si>
  <si>
    <t>818-25</t>
  </si>
  <si>
    <t>300:58630</t>
  </si>
  <si>
    <t>204:341</t>
  </si>
  <si>
    <t>819-25</t>
  </si>
  <si>
    <t>204:636</t>
  </si>
  <si>
    <t>300:58960</t>
  </si>
  <si>
    <t>820-25</t>
  </si>
  <si>
    <t>300:58649</t>
  </si>
  <si>
    <t>204:144</t>
  </si>
  <si>
    <t>821-25</t>
  </si>
  <si>
    <t>300:58950</t>
  </si>
  <si>
    <t>822-25</t>
  </si>
  <si>
    <t>300:58632</t>
  </si>
  <si>
    <t>204:148</t>
  </si>
  <si>
    <t>823-25</t>
  </si>
  <si>
    <t>204:459</t>
  </si>
  <si>
    <t>300:58933</t>
  </si>
  <si>
    <t>824-25</t>
  </si>
  <si>
    <t>204:155</t>
  </si>
  <si>
    <t>825-25</t>
  </si>
  <si>
    <t>300:58939</t>
  </si>
  <si>
    <t>826-25</t>
  </si>
  <si>
    <t>204:769</t>
  </si>
  <si>
    <t>827-25</t>
  </si>
  <si>
    <t>204:352</t>
  </si>
  <si>
    <t>300:58926</t>
  </si>
  <si>
    <t>828-25</t>
  </si>
  <si>
    <t>300:58054</t>
  </si>
  <si>
    <t>204:643</t>
  </si>
  <si>
    <t>829-25</t>
  </si>
  <si>
    <t>204:1081</t>
  </si>
  <si>
    <t>300:58986</t>
  </si>
  <si>
    <t>830-25</t>
  </si>
  <si>
    <t>204:635</t>
  </si>
  <si>
    <t>831-25</t>
  </si>
  <si>
    <t>204:934</t>
  </si>
  <si>
    <t>832-25</t>
  </si>
  <si>
    <t>300:58609</t>
  </si>
  <si>
    <t>833-25</t>
  </si>
  <si>
    <t>204:920</t>
  </si>
  <si>
    <t>300:58931</t>
  </si>
  <si>
    <t>834-25</t>
  </si>
  <si>
    <t>204:761</t>
  </si>
  <si>
    <t>835-25</t>
  </si>
  <si>
    <t>204:958</t>
  </si>
  <si>
    <t>836-25</t>
  </si>
  <si>
    <t>204:652</t>
  </si>
  <si>
    <t>837-25</t>
  </si>
  <si>
    <t>204:1055</t>
  </si>
  <si>
    <t>838-25</t>
  </si>
  <si>
    <t>204:745</t>
  </si>
  <si>
    <t>839-25</t>
  </si>
  <si>
    <t>300:58946</t>
  </si>
  <si>
    <t>840-25</t>
  </si>
  <si>
    <t>300:57356</t>
  </si>
  <si>
    <t>204:776</t>
  </si>
  <si>
    <t>841-25</t>
  </si>
  <si>
    <t>204:1042</t>
  </si>
  <si>
    <t>842-25</t>
  </si>
  <si>
    <t>300:58602</t>
  </si>
  <si>
    <t>204:755</t>
  </si>
  <si>
    <t>843-25</t>
  </si>
  <si>
    <t>204:1065</t>
  </si>
  <si>
    <t>844-25</t>
  </si>
  <si>
    <t>204:647</t>
  </si>
  <si>
    <t>845-25</t>
  </si>
  <si>
    <t>204:1039</t>
  </si>
  <si>
    <t>847-25</t>
  </si>
  <si>
    <t>204:937</t>
  </si>
  <si>
    <t>904-25</t>
  </si>
  <si>
    <t>300:23690</t>
  </si>
  <si>
    <t>908-25</t>
  </si>
  <si>
    <t>300:28782</t>
  </si>
  <si>
    <t>rtdc.l.rtdc.4019:itc</t>
  </si>
  <si>
    <t>rtdc.l.rtdc.4012:itc</t>
  </si>
  <si>
    <t>SWITCH ALIGNMENT</t>
  </si>
  <si>
    <t>Track device (7)</t>
  </si>
  <si>
    <t>SWITCH UNKNOWN</t>
  </si>
  <si>
    <t>BEAM</t>
  </si>
  <si>
    <t>rtdc.l.rtdc.4011:itc</t>
  </si>
  <si>
    <t>rtdc.l.rtdc.4020:itc</t>
  </si>
  <si>
    <t>CLARK</t>
  </si>
  <si>
    <t>SHOOK</t>
  </si>
  <si>
    <t>rtdc.l.rtdc.4053:itc</t>
  </si>
  <si>
    <t>BROWN</t>
  </si>
  <si>
    <t>WEBSTER</t>
  </si>
  <si>
    <t>OUN</t>
  </si>
  <si>
    <t>906-25</t>
  </si>
  <si>
    <t>307-25</t>
  </si>
  <si>
    <t>40th 4S was STOP, cleared a minute later</t>
  </si>
  <si>
    <t>232-25</t>
  </si>
  <si>
    <t>224-25</t>
  </si>
  <si>
    <t>Did not initialize</t>
  </si>
  <si>
    <t>Output Refined Run Times to File?</t>
  </si>
  <si>
    <t>RefinedRTDCRunTimesOutputFile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</si>
</sst>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0" fontId="10" fillId="0" borderId="0"/>
  </cellStyleXfs>
  <cellXfs count="16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1" xfId="0" applyFill="1" applyBorder="1" applyAlignment="1">
      <alignment vertical="center"/>
    </xf>
    <xf numFmtId="169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169" fontId="0" fillId="0" borderId="0" xfId="0" applyAlignment="1"/>
    <xf numFmtId="169" fontId="0" fillId="0" borderId="14" xfId="0" applyBorder="1" applyAlignment="1">
      <alignment vertical="center"/>
    </xf>
    <xf numFmtId="169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" fontId="1" fillId="0" borderId="0" xfId="0" applyNumberFormat="1" applyFont="1" applyBorder="1"/>
    <xf numFmtId="169" fontId="0" fillId="9" borderId="0" xfId="0" applyFill="1"/>
    <xf numFmtId="0" fontId="1" fillId="0" borderId="0" xfId="3" applyFont="1"/>
    <xf numFmtId="0" fontId="10" fillId="0" borderId="0" xfId="3"/>
    <xf numFmtId="0" fontId="12" fillId="0" borderId="0" xfId="0" applyNumberFormat="1" applyFont="1"/>
    <xf numFmtId="0" fontId="10" fillId="0" borderId="0" xfId="3" applyNumberFormat="1"/>
    <xf numFmtId="0" fontId="0" fillId="0" borderId="0" xfId="3" applyFont="1"/>
    <xf numFmtId="0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0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5"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352425</xdr:colOff>
          <xdr:row>1</xdr:row>
          <xdr:rowOff>28575</xdr:rowOff>
        </xdr:from>
        <xdr:to>
          <xdr:col>13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4"/>
  <sheetViews>
    <sheetView tabSelected="1" topLeftCell="A127" workbookViewId="0">
      <selection activeCell="R140" sqref="R140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4.7109375" style="2" customWidth="1"/>
    <col min="16" max="16" width="4" style="2" customWidth="1"/>
    <col min="17" max="17" width="5.85546875" hidden="1" customWidth="1"/>
    <col min="18" max="18" width="49.7109375" bestFit="1" customWidth="1"/>
    <col min="19" max="19" width="7.7109375" style="23" customWidth="1"/>
    <col min="20" max="20" width="3.85546875" customWidth="1"/>
    <col min="21" max="21" width="5" style="114" customWidth="1"/>
    <col min="22" max="22" width="5.7109375" style="104" customWidth="1"/>
    <col min="23" max="23" width="3.85546875" style="22" customWidth="1"/>
    <col min="24" max="24" width="5.28515625" style="118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41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122</v>
      </c>
      <c r="J1" s="43"/>
      <c r="K1" s="30"/>
      <c r="L1" s="30"/>
      <c r="M1" s="42"/>
      <c r="N1" s="43"/>
      <c r="O1" s="2"/>
      <c r="P1" s="2"/>
      <c r="R1" s="40" t="s">
        <v>123</v>
      </c>
      <c r="S1" s="43"/>
      <c r="T1" s="30"/>
      <c r="U1" s="121"/>
      <c r="V1" s="42"/>
      <c r="W1" s="43"/>
      <c r="X1" s="114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42607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42607</v>
      </c>
      <c r="S2" s="79"/>
      <c r="T2" s="80"/>
      <c r="U2" s="122"/>
      <c r="V2" s="102" t="s">
        <v>8</v>
      </c>
      <c r="W2" s="82"/>
      <c r="X2" s="115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23"/>
      <c r="V3" s="44" t="s">
        <v>11</v>
      </c>
      <c r="W3" s="45" t="s">
        <v>12</v>
      </c>
      <c r="X3" s="116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47</v>
      </c>
      <c r="T4" s="46"/>
      <c r="U4" s="124"/>
      <c r="V4" s="47" t="s">
        <v>15</v>
      </c>
      <c r="W4" s="45" t="s">
        <v>15</v>
      </c>
      <c r="X4" s="116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COUNTIFS($N$13:$N$9389,"&gt;0",$AG$13:$AG$9389,I1)</f>
        <v>141</v>
      </c>
      <c r="K5" s="46"/>
      <c r="L5" s="46"/>
      <c r="M5" s="47">
        <f>AVERAGEIFS($N$13:$N$9389,$AG$13:$AG$9389,I1)</f>
        <v>38.792316785944188</v>
      </c>
      <c r="N5" s="45">
        <f t="array" ref="N5">MIN(IF($AG$13:$AG$9389=I1,IF(ISNUMBER($N$13:$N$9389),IF($N$13:$N$9389&gt;0,$N$13:$N$9389))))</f>
        <v>34.400000005261973</v>
      </c>
      <c r="O5" s="3">
        <f t="array" ref="O5">MAX(IF($AG$13:$AG$9389=I1,IF(ISNUMBER($N$13:$N$9389),IF($N$13:$N$9389&gt;0,$N$13:$N$9389))))</f>
        <v>51.55000000144355</v>
      </c>
      <c r="P5" s="2"/>
      <c r="R5" s="87" t="s">
        <v>17</v>
      </c>
      <c r="S5" s="57">
        <f>COUNTIFS($N$13:$N$9389,"&gt;0",$AG$13:$AG$9389,R1)</f>
        <v>47</v>
      </c>
      <c r="T5" s="46"/>
      <c r="U5" s="124"/>
      <c r="V5" s="47">
        <f>AVERAGEIFS($N$13:$N$9389,$AG$13:$AG$9389,R1)</f>
        <v>15.14751772983297</v>
      </c>
      <c r="W5" s="45">
        <f t="array" ref="W5">MIN(IF($AG$13:$AG$9389=R1,IF(ISNUMBER($N$13:$N$9389),IF($N$13:$N$9389&gt;0,$N$13:$N$9389))))</f>
        <v>12.633333331905305</v>
      </c>
      <c r="X5" s="116">
        <f t="array" ref="X5">MAX(IF($AG$13:$AG$9389=R1,IF(ISNUMBER($N$13:$N$9389),IF($N$13:$N$9389&gt;0,$N$13:$N$9389))))</f>
        <v>19.949999990640208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COUNT($O$13:$O$142)</f>
        <v>0</v>
      </c>
      <c r="K6" s="46"/>
      <c r="L6" s="46"/>
      <c r="M6" s="47">
        <f>IFERROR(AVERAGE($O$13:$O$142),0)</f>
        <v>0</v>
      </c>
      <c r="N6" s="45">
        <f>MIN($O$13:$O$142)</f>
        <v>0</v>
      </c>
      <c r="O6" s="3">
        <f>MAX($O$13:$O$142)</f>
        <v>0</v>
      </c>
      <c r="P6" s="2"/>
      <c r="R6" s="88" t="s">
        <v>43</v>
      </c>
      <c r="S6" s="57">
        <f>COUNT($O$13:$O$142)</f>
        <v>0</v>
      </c>
      <c r="T6" s="46"/>
      <c r="U6" s="124"/>
      <c r="V6" s="47">
        <f>IFERROR(AVERAGE($O$13:$O$142),0)</f>
        <v>0</v>
      </c>
      <c r="W6" s="45">
        <f>MIN($O$13:$O$142)</f>
        <v>0</v>
      </c>
      <c r="X6" s="116">
        <f>MAX($O$13:$O$142)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COUNTIFS($P$13:$P$9389,"&gt;0",$AG$13:$AG$9389,I1)</f>
        <v>3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COUNTIFS($P$13:$P$9389,"&gt;0",$AG$13:$AG$9389,R1)</f>
        <v>0</v>
      </c>
      <c r="T7" s="46"/>
      <c r="U7" s="124"/>
      <c r="V7" s="47" t="s">
        <v>15</v>
      </c>
      <c r="W7" s="45" t="s">
        <v>15</v>
      </c>
      <c r="X7" s="116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141</v>
      </c>
      <c r="K8" s="46"/>
      <c r="L8" s="46"/>
      <c r="M8" s="47">
        <f>M5</f>
        <v>38.792316785944188</v>
      </c>
      <c r="N8" s="45">
        <f>N5</f>
        <v>34.400000005261973</v>
      </c>
      <c r="O8" s="3">
        <f>O5</f>
        <v>51.55000000144355</v>
      </c>
      <c r="P8" s="2"/>
      <c r="R8" s="87" t="s">
        <v>16</v>
      </c>
      <c r="S8" s="57">
        <f>S5</f>
        <v>47</v>
      </c>
      <c r="T8" s="46"/>
      <c r="U8" s="124"/>
      <c r="V8" s="47">
        <f>V5</f>
        <v>15.14751772983297</v>
      </c>
      <c r="W8" s="45">
        <f>W5</f>
        <v>12.633333331905305</v>
      </c>
      <c r="X8" s="116">
        <f>X5</f>
        <v>19.949999990640208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0.97916666666666663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1</v>
      </c>
      <c r="T9" s="48"/>
      <c r="U9" s="121"/>
      <c r="V9" s="90"/>
      <c r="W9" s="43"/>
      <c r="X9" s="117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14"/>
      <c r="V10" s="103"/>
      <c r="W10" s="22"/>
      <c r="X10" s="118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63" t="str">
        <f>"Eagle P3 System Performance - "&amp;TEXT(Variables!A2,"yyyy-mm-dd")</f>
        <v>Eagle P3 System Performance - 2016-08-25</v>
      </c>
      <c r="B11" s="163"/>
      <c r="C11" s="163"/>
      <c r="D11" s="163"/>
      <c r="E11" s="163"/>
      <c r="F11" s="163"/>
      <c r="G11" s="163"/>
      <c r="H11" s="163"/>
      <c r="I11" s="163"/>
      <c r="J11" s="163"/>
      <c r="K11" s="163"/>
      <c r="L11" s="163"/>
      <c r="M11" s="163"/>
      <c r="N11" s="163"/>
      <c r="O11" s="163"/>
      <c r="P11" s="163"/>
      <c r="S11" s="72">
        <f>AVERAGE(S13:S86)</f>
        <v>1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25" t="s">
        <v>71</v>
      </c>
      <c r="V12" s="105" t="s">
        <v>45</v>
      </c>
      <c r="W12" s="53" t="s">
        <v>23</v>
      </c>
      <c r="X12" s="119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94</v>
      </c>
      <c r="AE12" s="98" t="s">
        <v>101</v>
      </c>
      <c r="AF12" s="95" t="s">
        <v>106</v>
      </c>
      <c r="AG12" s="4" t="s">
        <v>124</v>
      </c>
      <c r="AH12" s="101" t="s">
        <v>127</v>
      </c>
      <c r="AI12" s="148" t="s">
        <v>293</v>
      </c>
      <c r="AJ12" s="53" t="s">
        <v>294</v>
      </c>
      <c r="AK12" s="53" t="s">
        <v>266</v>
      </c>
      <c r="AL12" s="53" t="s">
        <v>295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348</v>
      </c>
      <c r="B13" s="7">
        <v>4031</v>
      </c>
      <c r="C13" s="24" t="s">
        <v>113</v>
      </c>
      <c r="D13" s="24" t="s">
        <v>349</v>
      </c>
      <c r="E13" s="15">
        <v>42607.127592592595</v>
      </c>
      <c r="F13" s="15">
        <v>42607.135682870372</v>
      </c>
      <c r="G13" s="7">
        <v>1</v>
      </c>
      <c r="H13" s="15" t="s">
        <v>350</v>
      </c>
      <c r="I13" s="15">
        <v>42607.161493055559</v>
      </c>
      <c r="J13" s="7">
        <v>1</v>
      </c>
      <c r="K13" s="132" t="str">
        <f t="shared" ref="K13:K76" si="0">IF(ISEVEN(B13),(B13-1)&amp;"/"&amp;B13,B13&amp;"/"&amp;(B13+1))</f>
        <v>4031/4032</v>
      </c>
      <c r="L13" s="24" t="str">
        <f>VLOOKUP(A13,'Trips&amp;Operators'!$C$1:$E$10000,3,FALSE)</f>
        <v>MAELZER</v>
      </c>
      <c r="M13" s="6">
        <f t="shared" ref="M13:M76" si="1">I13-F13</f>
        <v>2.5810185186855961E-2</v>
      </c>
      <c r="N13" s="7">
        <f t="shared" ref="N13:N44" si="2">24*60*SUM($M13:$M13)</f>
        <v>37.166666669072583</v>
      </c>
      <c r="O13" s="7"/>
      <c r="P13" s="7"/>
      <c r="Q13" s="25"/>
      <c r="R13" s="25"/>
      <c r="S13" s="37">
        <f t="shared" ref="S13:S76" si="3">SUM(U13:U13)/IF(AG13="EC",12,1)</f>
        <v>1</v>
      </c>
      <c r="T13" s="52" t="str">
        <f t="shared" ref="T13:T76" si="4">IF(ISEVEN(LEFT(AD13,4)),"Southbound","NorthBound")</f>
        <v>NorthBound</v>
      </c>
      <c r="U13" s="12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https://search-rtdc-monitor-bjffxe2xuh6vdkpspy63sjmuny.us-east-1.es.amazonaws.com/_plugin/kibana/#/discover/Steve-Slow-Train-Analysis-(2080s-and-2083s)?_g=(refreshInterval:(display:Off,section:0,value:0),time:(from:'2016-08-25 02:03:44-0600',mode:absolute,to:'2016-08-25 04:52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3" s="54" t="str">
        <f t="shared" ref="W13:W76" si="6">IF(AA13&lt;IF(AG13="EC",23,5.65),"Y","N")</f>
        <v>N</v>
      </c>
      <c r="X13" s="120" t="e">
        <f t="shared" ref="X13:X44" si="7">VALUE(LEFT(AD13,4))-VALUE(LEFT(AD12,4))</f>
        <v>#VALUE!</v>
      </c>
      <c r="Y13" s="69">
        <f t="shared" ref="Y13:Y76" si="8">RIGHT(D13,LEN(D13)-4)/10000</f>
        <v>7.1300000000000002E-2</v>
      </c>
      <c r="Z13" s="69">
        <f t="shared" ref="Z13:Z76" si="9">RIGHT(H13,LEN(H13)-4)/10000</f>
        <v>23.308499999999999</v>
      </c>
      <c r="AA13" s="69">
        <f t="shared" ref="AA13:AA76" si="10">ABS(Z13-Y13)</f>
        <v>23.237199999999998</v>
      </c>
      <c r="AB13" s="66">
        <f>VLOOKUP(A13,Enforcements!$C$7:$J$21,8,0)</f>
        <v>233491</v>
      </c>
      <c r="AC13" s="62" t="str">
        <f>VLOOKUP(A13,Enforcements!$C$7:$E$21,3,0)</f>
        <v>TRACK WARRANT AUTHORITY</v>
      </c>
      <c r="AD13" s="63" t="str">
        <f t="shared" ref="AD13:AD76" si="11">IF(LEN(A13)=6,"0"&amp;A13,A13)</f>
        <v>0101-25</v>
      </c>
      <c r="AE13" s="99" t="str">
        <f t="shared" ref="AE13:AE76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13" s="96" t="str">
        <f t="shared" ref="AF13:AF76" si="13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/stypes="*4031*20160825*" /stext=" 09:.+((SYSTEM_STATE.+slice.+state.+changed )|(ment ac)|(system.+state.+changed )|(\|lc)|(penalty)|(\[timeout)|(PRM\|1\|D)|(kpr)|(kdp))" /e /r /s</v>
      </c>
      <c r="AG13" s="1" t="str">
        <f t="shared" ref="AG13:AG76" si="14">IFERROR(IF(VALUE(LEFT(AD13,2))&lt;=2,"EC",IF(OR(VALUE(LEFT(AD13,2))=8,VALUE(LEFT(AD13,2))=18),"NW","Other")),"Other")</f>
        <v>EC</v>
      </c>
      <c r="AH13" s="100" t="str">
        <f t="shared" ref="AH13:AH76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101-25 --locoid 4031 --swversion DE.1.0.7.0 --startMP 204:713 --initTime 2016-08-25T03:03:44 --startdatetime 2016-08-25T03:15:23 --delay 1 --endMP 204:233085 --enddatetime 2016-08-25T03:52:33 --enforcementcount 1 &gt;&gt;C:\Users\stu\Documents\GitHub\eaglep3-reporting\EC\2016-08-25-refined-times.txt</v>
      </c>
      <c r="AI13" s="14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{"issue":{"subject":"","project_id":79,"tracker_id":40,"status_id":1,"priority_id":2,"assigned_to_id":23,"start_date":"2016-08-25","description":"","custom_fields":[{"id":1,"name":"Subdivision","value":"EC"},{"id":4,"name":"Milepost","value":"23.2372"},{"id":17,"name":"Train ID","value":"101-25"},{"id":16,"name":"Locomotive ID","value":"4031"},{"id":130,"name":"Impact","value":""},{"id":150,"name":"Time of Event (Mountain Time)","value":"03:52:33"},{"id":151,"name":"Denver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351</v>
      </c>
      <c r="B14" s="7">
        <v>4012</v>
      </c>
      <c r="C14" s="24" t="s">
        <v>113</v>
      </c>
      <c r="D14" s="24" t="s">
        <v>352</v>
      </c>
      <c r="E14" s="15">
        <v>42607.171087962961</v>
      </c>
      <c r="F14" s="15">
        <v>42607.174791666665</v>
      </c>
      <c r="G14" s="7">
        <v>1</v>
      </c>
      <c r="H14" s="15" t="s">
        <v>181</v>
      </c>
      <c r="I14" s="15">
        <v>42607.202847222223</v>
      </c>
      <c r="J14" s="7">
        <v>1</v>
      </c>
      <c r="K14" s="132" t="str">
        <f t="shared" si="0"/>
        <v>4011/4012</v>
      </c>
      <c r="L14" s="24" t="str">
        <f>VLOOKUP(A14,'Trips&amp;Operators'!$C$1:$E$10000,3,FALSE)</f>
        <v>MAELZER</v>
      </c>
      <c r="M14" s="6">
        <f t="shared" si="1"/>
        <v>2.8055555558239575E-2</v>
      </c>
      <c r="N14" s="7">
        <f t="shared" si="2"/>
        <v>40.400000003864989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2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03:06:22-0600',mode:absolute,to:'2016-08-25 05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4" s="54" t="str">
        <f t="shared" si="6"/>
        <v>N</v>
      </c>
      <c r="X14" s="120">
        <f t="shared" si="7"/>
        <v>1</v>
      </c>
      <c r="Y14" s="69">
        <f t="shared" si="8"/>
        <v>23.242599999999999</v>
      </c>
      <c r="Z14" s="69">
        <f t="shared" si="9"/>
        <v>1.41E-2</v>
      </c>
      <c r="AA14" s="69">
        <f t="shared" si="10"/>
        <v>23.2285</v>
      </c>
      <c r="AB14" s="66" t="e">
        <f>VLOOKUP(A14,Enforcements!$C$7:$J$21,8,0)</f>
        <v>#N/A</v>
      </c>
      <c r="AC14" s="62" t="e">
        <f>VLOOKUP(A14,Enforcements!$C$7:$E$21,3,0)</f>
        <v>#N/A</v>
      </c>
      <c r="AD14" s="63" t="str">
        <f t="shared" si="11"/>
        <v>0102-25</v>
      </c>
      <c r="AE14" s="99" t="str">
        <f t="shared" si="12"/>
        <v>aws s3 cp s3://rtdc.mdm.uploadarchive/RTDC4012/2016-08-25/ "%USERPROFILE%\AppData\Local\Temp\OnboardLogs"\RTDC4012\2016-08-25 --recursive &amp; "%USERPROFILE%\Documents\GitHub\mrs-test-scripts\Headless Mode &amp; Sideloading\WalkAndUnGZ.bat" "%USERPROFILE%\AppData\Local\Temp\OnboardLogs"\RTDC4012\2016-08-25 &amp; 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</v>
      </c>
      <c r="AF14" s="96" t="str">
        <f t="shared" si="13"/>
        <v>"C:\Program Files (x86)\AstroGrep\AstroGrep.exe" /spath="%USERPROFILE%\AppData\Local\Temp\OnboardLogs" /stypes="*4012*20160825*"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0" t="str">
        <f t="shared" si="15"/>
        <v>"%USERPROFILE%\Documents\GitHub\eaglep3\Utilities\RefineRTDCRunTimes.py" --tripid 102-25 --locoid 4012 --swversion DE.1.0.7.0 --startMP 204:232426 --initTime 2016-08-25T04:06:22 --startdatetime 2016-08-25T04:11:42 --delay 1 --endMP 204:141 --enddatetime 2016-08-25T04:52:06 --enforcementcount 1 &gt;&gt;C:\Users\stu\Documents\GitHub\eaglep3-reporting\EC\2016-08-25-refined-times.txt</v>
      </c>
      <c r="AI14" s="149" t="str">
        <f t="shared" ref="AI14:AI77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{"issue":{"subject":"","project_id":79,"tracker_id":40,"status_id":1,"priority_id":2,"assigned_to_id":23,"start_date":"2016-08-25","description":"","custom_fields":[{"id":1,"name":"Subdivision","value":"EC"},{"id":4,"name":"Milepost","value":"23.2285"},{"id":17,"name":"Train ID","value":"102-25"},{"id":16,"name":"Locomotive ID","value":"4012"},{"id":130,"name":"Impact","value":""},{"id":150,"name":"Time of Event (Mountain Time)","value":"04:52:06"},{"id":151,"name":"Denver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353</v>
      </c>
      <c r="B15" s="7">
        <v>4044</v>
      </c>
      <c r="C15" s="24" t="s">
        <v>113</v>
      </c>
      <c r="D15" s="24" t="s">
        <v>354</v>
      </c>
      <c r="E15" s="15">
        <v>42607.155671296299</v>
      </c>
      <c r="F15" s="15">
        <v>42607.157187500001</v>
      </c>
      <c r="G15" s="7">
        <v>1</v>
      </c>
      <c r="H15" s="15" t="s">
        <v>199</v>
      </c>
      <c r="I15" s="15">
        <v>42607.182766203703</v>
      </c>
      <c r="J15" s="7">
        <v>1</v>
      </c>
      <c r="K15" s="132" t="str">
        <f t="shared" si="0"/>
        <v>4043/4044</v>
      </c>
      <c r="L15" s="24" t="str">
        <f>VLOOKUP(A15,'Trips&amp;Operators'!$C$1:$E$10000,3,FALSE)</f>
        <v>SPECTOR</v>
      </c>
      <c r="M15" s="6">
        <f t="shared" si="1"/>
        <v>2.5578703702194616E-2</v>
      </c>
      <c r="N15" s="7">
        <f t="shared" si="2"/>
        <v>36.833333331160247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2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02:44:10-0600',mode:absolute,to:'2016-08-25 05:23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5" s="54" t="str">
        <f t="shared" si="6"/>
        <v>N</v>
      </c>
      <c r="X15" s="120">
        <f t="shared" si="7"/>
        <v>1</v>
      </c>
      <c r="Y15" s="69">
        <f t="shared" si="8"/>
        <v>7.8299999999999995E-2</v>
      </c>
      <c r="Z15" s="69">
        <f t="shared" si="9"/>
        <v>23.3308</v>
      </c>
      <c r="AA15" s="69">
        <f t="shared" si="10"/>
        <v>23.252500000000001</v>
      </c>
      <c r="AB15" s="66" t="e">
        <f>VLOOKUP(A15,Enforcements!$C$7:$J$21,8,0)</f>
        <v>#N/A</v>
      </c>
      <c r="AC15" s="62" t="e">
        <f>VLOOKUP(A15,Enforcements!$C$7:$E$21,3,0)</f>
        <v>#N/A</v>
      </c>
      <c r="AD15" s="63" t="str">
        <f t="shared" si="11"/>
        <v>0103-25</v>
      </c>
      <c r="AE15" s="99" t="str">
        <f t="shared" si="1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15" s="96" t="str">
        <f t="shared" si="13"/>
        <v>"C:\Program Files (x86)\AstroGrep\AstroGrep.exe" /spath="%USERPROFILE%\AppData\Local\Temp\OnboardLogs" /stypes="*4044*20160825*"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0" t="str">
        <f t="shared" si="15"/>
        <v>"%USERPROFILE%\Documents\GitHub\eaglep3\Utilities\RefineRTDCRunTimes.py" --tripid 103-25 --locoid 4044 --swversion DE.1.0.7.0 --startMP 204:783 --initTime 2016-08-25T03:44:10 --startdatetime 2016-08-25T03:46:21 --delay 1 --endMP 204:233308 --enddatetime 2016-08-25T04:23:11 --enforcementcount 1 &gt;&gt;C:\Users\stu\Documents\GitHub\eaglep3-reporting\EC\2016-08-25-refined-times.txt</v>
      </c>
      <c r="AI15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{"issue":{"subject":"","project_id":79,"tracker_id":40,"status_id":1,"priority_id":2,"assigned_to_id":23,"start_date":"2016-08-25","description":"","custom_fields":[{"id":1,"name":"Subdivision","value":"EC"},{"id":4,"name":"Milepost","value":"23.2525"},{"id":17,"name":"Train ID","value":"103-25"},{"id":16,"name":"Locomotive ID","value":"4044"},{"id":130,"name":"Impact","value":""},{"id":150,"name":"Time of Event (Mountain Time)","value":"04:23:11"},{"id":151,"name":"Denver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355</v>
      </c>
      <c r="B16" s="7">
        <v>4019</v>
      </c>
      <c r="C16" s="24" t="s">
        <v>113</v>
      </c>
      <c r="D16" s="24" t="s">
        <v>356</v>
      </c>
      <c r="E16" s="15">
        <v>42607.190960648149</v>
      </c>
      <c r="F16" s="15">
        <v>42607.195393518516</v>
      </c>
      <c r="G16" s="7">
        <v>1</v>
      </c>
      <c r="H16" s="15" t="s">
        <v>330</v>
      </c>
      <c r="I16" s="15">
        <v>42607.223449074074</v>
      </c>
      <c r="J16" s="7">
        <v>1</v>
      </c>
      <c r="K16" s="132" t="str">
        <f t="shared" si="0"/>
        <v>4019/4020</v>
      </c>
      <c r="L16" s="24" t="str">
        <f>VLOOKUP(A16,'Trips&amp;Operators'!$C$1:$E$10000,3,FALSE)</f>
        <v>SPECTOR</v>
      </c>
      <c r="M16" s="6">
        <f t="shared" si="1"/>
        <v>2.8055555558239575E-2</v>
      </c>
      <c r="N16" s="7">
        <f t="shared" si="2"/>
        <v>40.400000003864989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2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03:34:59-0600',mode:absolute,to:'2016-08-25 06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6" s="54" t="str">
        <f t="shared" si="6"/>
        <v>N</v>
      </c>
      <c r="X16" s="120">
        <f t="shared" si="7"/>
        <v>1</v>
      </c>
      <c r="Y16" s="69">
        <f t="shared" si="8"/>
        <v>23.2668</v>
      </c>
      <c r="Z16" s="69">
        <f t="shared" si="9"/>
        <v>1.32E-2</v>
      </c>
      <c r="AA16" s="69">
        <f t="shared" si="10"/>
        <v>23.253599999999999</v>
      </c>
      <c r="AB16" s="66">
        <f>VLOOKUP(A16,Enforcements!$C$7:$J$21,8,0)</f>
        <v>5457</v>
      </c>
      <c r="AC16" s="62" t="str">
        <f>VLOOKUP(A16,Enforcements!$C$7:$E$21,3,0)</f>
        <v>PERMANENT SPEED RESTRICTION</v>
      </c>
      <c r="AD16" s="63" t="str">
        <f t="shared" si="11"/>
        <v>0104-25</v>
      </c>
      <c r="AE16" s="99" t="str">
        <f t="shared" si="12"/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AF16" s="96" t="str">
        <f t="shared" si="13"/>
        <v>"C:\Program Files (x86)\AstroGrep\AstroGrep.exe" /spath="%USERPROFILE%\AppData\Local\Temp\OnboardLogs" /stypes="*4019*20160825*"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0" t="str">
        <f t="shared" si="15"/>
        <v>"%USERPROFILE%\Documents\GitHub\eaglep3\Utilities\RefineRTDCRunTimes.py" --tripid 104-25 --locoid 4019 --swversion DE.1.0.7.0 --startMP 204:232668 --initTime 2016-08-25T04:34:59 --startdatetime 2016-08-25T04:41:22 --delay 1 --endMP 204:132 --enddatetime 2016-08-25T05:21:46 --enforcementcount 1 &gt;&gt;C:\Users\stu\Documents\GitHub\eaglep3-reporting\EC\2016-08-25-refined-times.txt</v>
      </c>
      <c r="AI16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{"issue":{"subject":"","project_id":79,"tracker_id":40,"status_id":1,"priority_id":2,"assigned_to_id":23,"start_date":"2016-08-25","description":"","custom_fields":[{"id":1,"name":"Subdivision","value":"EC"},{"id":4,"name":"Milepost","value":"23.2536"},{"id":17,"name":"Train ID","value":"104-25"},{"id":16,"name":"Locomotive ID","value":"4019"},{"id":130,"name":"Impact","value":""},{"id":150,"name":"Time of Event (Mountain Time)","value":"05:21:46"},{"id":151,"name":"Denver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357</v>
      </c>
      <c r="B17" s="7">
        <v>4007</v>
      </c>
      <c r="C17" s="24" t="s">
        <v>113</v>
      </c>
      <c r="D17" s="24" t="s">
        <v>358</v>
      </c>
      <c r="E17" s="15">
        <v>42607.173460648148</v>
      </c>
      <c r="F17" s="15">
        <v>42607.177361111113</v>
      </c>
      <c r="G17" s="7">
        <v>1</v>
      </c>
      <c r="H17" s="15" t="s">
        <v>216</v>
      </c>
      <c r="I17" s="15">
        <v>42607.203067129631</v>
      </c>
      <c r="J17" s="7">
        <v>1</v>
      </c>
      <c r="K17" s="132" t="str">
        <f t="shared" si="0"/>
        <v>4007/4008</v>
      </c>
      <c r="L17" s="24" t="str">
        <f>VLOOKUP(A17,'Trips&amp;Operators'!$C$1:$E$10000,3,FALSE)</f>
        <v>BEAM</v>
      </c>
      <c r="M17" s="6">
        <f t="shared" si="1"/>
        <v>2.5706018517666962E-2</v>
      </c>
      <c r="N17" s="7">
        <f t="shared" si="2"/>
        <v>37.016666665440425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2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03:09:47-0600',mode:absolute,to:'2016-08-25 05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7" s="54" t="str">
        <f t="shared" si="6"/>
        <v>N</v>
      </c>
      <c r="X17" s="120">
        <f t="shared" si="7"/>
        <v>1</v>
      </c>
      <c r="Y17" s="69">
        <f t="shared" si="8"/>
        <v>7.5399999999999995E-2</v>
      </c>
      <c r="Z17" s="69">
        <f t="shared" si="9"/>
        <v>23.332699999999999</v>
      </c>
      <c r="AA17" s="69">
        <f t="shared" si="10"/>
        <v>23.257300000000001</v>
      </c>
      <c r="AB17" s="66" t="e">
        <f>VLOOKUP(A17,Enforcements!$C$7:$J$21,8,0)</f>
        <v>#N/A</v>
      </c>
      <c r="AC17" s="62" t="e">
        <f>VLOOKUP(A17,Enforcements!$C$7:$E$21,3,0)</f>
        <v>#N/A</v>
      </c>
      <c r="AD17" s="63" t="str">
        <f t="shared" si="11"/>
        <v>0105-25</v>
      </c>
      <c r="AE17" s="99" t="str">
        <f t="shared" si="1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17" s="96" t="str">
        <f t="shared" si="13"/>
        <v>"C:\Program Files (x86)\AstroGrep\AstroGrep.exe" /spath="%USERPROFILE%\AppData\Local\Temp\OnboardLogs" /stypes="*4007*20160825*"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0" t="str">
        <f t="shared" si="15"/>
        <v>"%USERPROFILE%\Documents\GitHub\eaglep3\Utilities\RefineRTDCRunTimes.py" --tripid 105-25 --locoid 4007 --swversion DE.1.0.7.0 --startMP 204:754 --initTime 2016-08-25T04:09:47 --startdatetime 2016-08-25T04:15:24 --delay 1 --endMP 204:233327 --enddatetime 2016-08-25T04:52:25 --enforcementcount 1 &gt;&gt;C:\Users\stu\Documents\GitHub\eaglep3-reporting\EC\2016-08-25-refined-times.txt</v>
      </c>
      <c r="AI17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{"issue":{"subject":"","project_id":79,"tracker_id":40,"status_id":1,"priority_id":2,"assigned_to_id":23,"start_date":"2016-08-25","description":"","custom_fields":[{"id":1,"name":"Subdivision","value":"EC"},{"id":4,"name":"Milepost","value":"23.2573"},{"id":17,"name":"Train ID","value":"105-25"},{"id":16,"name":"Locomotive ID","value":"4007"},{"id":130,"name":"Impact","value":""},{"id":150,"name":"Time of Event (Mountain Time)","value":"04:52:25"},{"id":151,"name":"Denver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359</v>
      </c>
      <c r="B18" s="7">
        <v>4001</v>
      </c>
      <c r="C18" s="24" t="s">
        <v>113</v>
      </c>
      <c r="D18" s="24" t="s">
        <v>356</v>
      </c>
      <c r="E18" s="15">
        <v>42607.209722222222</v>
      </c>
      <c r="F18" s="15">
        <v>42607.216226851851</v>
      </c>
      <c r="G18" s="7">
        <v>1</v>
      </c>
      <c r="H18" s="15" t="s">
        <v>360</v>
      </c>
      <c r="I18" s="15">
        <v>42607.244421296295</v>
      </c>
      <c r="J18" s="7">
        <v>1</v>
      </c>
      <c r="K18" s="132" t="str">
        <f t="shared" si="0"/>
        <v>4001/4002</v>
      </c>
      <c r="L18" s="24" t="str">
        <f>VLOOKUP(A18,'Trips&amp;Operators'!$C$1:$E$10000,3,FALSE)</f>
        <v>BEAM</v>
      </c>
      <c r="M18" s="6">
        <f t="shared" si="1"/>
        <v>2.8194444443215616E-2</v>
      </c>
      <c r="N18" s="7">
        <f t="shared" si="2"/>
        <v>40.599999998230487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2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04:02:00-0600',mode:absolute,to:'2016-08-25 06:51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8" s="54" t="str">
        <f t="shared" si="6"/>
        <v>N</v>
      </c>
      <c r="X18" s="120">
        <f t="shared" si="7"/>
        <v>1</v>
      </c>
      <c r="Y18" s="69">
        <f t="shared" si="8"/>
        <v>23.2668</v>
      </c>
      <c r="Z18" s="69">
        <f t="shared" si="9"/>
        <v>1.2699999999999999E-2</v>
      </c>
      <c r="AA18" s="69">
        <f t="shared" si="10"/>
        <v>23.254100000000001</v>
      </c>
      <c r="AB18" s="66" t="e">
        <f>VLOOKUP(A18,Enforcements!$C$7:$J$21,8,0)</f>
        <v>#N/A</v>
      </c>
      <c r="AC18" s="62" t="e">
        <f>VLOOKUP(A18,Enforcements!$C$7:$E$21,3,0)</f>
        <v>#N/A</v>
      </c>
      <c r="AD18" s="63" t="str">
        <f t="shared" si="11"/>
        <v>0106-25</v>
      </c>
      <c r="AE18" s="99" t="str">
        <f t="shared" si="12"/>
        <v>aws s3 cp s3://rtdc.mdm.uploadarchive/RTDC4001/2016-08-25/ "%USERPROFILE%\AppData\Local\Temp\OnboardLogs"\RTDC4001\2016-08-25 --recursive &amp; "%USERPROFILE%\Documents\GitHub\mrs-test-scripts\Headless Mode &amp; Sideloading\WalkAndUnGZ.bat" "%USERPROFILE%\AppData\Local\Temp\OnboardLogs"\RTDC4001\2016-08-25 &amp; 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</v>
      </c>
      <c r="AF18" s="96" t="str">
        <f t="shared" si="13"/>
        <v>"C:\Program Files (x86)\AstroGrep\AstroGrep.exe" /spath="%USERPROFILE%\AppData\Local\Temp\OnboardLogs" /stypes="*4001*20160825*"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0" t="str">
        <f t="shared" si="15"/>
        <v>"%USERPROFILE%\Documents\GitHub\eaglep3\Utilities\RefineRTDCRunTimes.py" --tripid 106-25 --locoid 4001 --swversion DE.1.0.7.0 --startMP 204:232668 --initTime 2016-08-25T05:02:00 --startdatetime 2016-08-25T05:11:22 --delay 1 --endMP 204:127 --enddatetime 2016-08-25T05:51:58 --enforcementcount 1 &gt;&gt;C:\Users\stu\Documents\GitHub\eaglep3-reporting\EC\2016-08-25-refined-times.txt</v>
      </c>
      <c r="AI18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{"issue":{"subject":"","project_id":79,"tracker_id":40,"status_id":1,"priority_id":2,"assigned_to_id":23,"start_date":"2016-08-25","description":"","custom_fields":[{"id":1,"name":"Subdivision","value":"EC"},{"id":4,"name":"Milepost","value":"23.2541"},{"id":17,"name":"Train ID","value":"106-25"},{"id":16,"name":"Locomotive ID","value":"4001"},{"id":130,"name":"Impact","value":""},{"id":150,"name":"Time of Event (Mountain Time)","value":"05:51:58"},{"id":151,"name":"Denver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361</v>
      </c>
      <c r="B19" s="7">
        <v>4042</v>
      </c>
      <c r="C19" s="24" t="s">
        <v>113</v>
      </c>
      <c r="D19" s="24" t="s">
        <v>362</v>
      </c>
      <c r="E19" s="15">
        <v>42607.176342592589</v>
      </c>
      <c r="F19" s="15">
        <v>42607.187800925924</v>
      </c>
      <c r="G19" s="7">
        <v>1</v>
      </c>
      <c r="H19" s="15" t="s">
        <v>211</v>
      </c>
      <c r="I19" s="15">
        <v>42607.21329861111</v>
      </c>
      <c r="J19" s="7">
        <v>1</v>
      </c>
      <c r="K19" s="132" t="str">
        <f t="shared" si="0"/>
        <v>4041/4042</v>
      </c>
      <c r="L19" s="24" t="str">
        <f>VLOOKUP(A19,'Trips&amp;Operators'!$C$1:$E$10000,3,FALSE)</f>
        <v>SANTIZO</v>
      </c>
      <c r="M19" s="6">
        <f t="shared" si="1"/>
        <v>2.5497685186564922E-2</v>
      </c>
      <c r="N19" s="7">
        <f t="shared" si="2"/>
        <v>36.716666668653488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2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03:13:56-0600',mode:absolute,to:'2016-08-25 06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9" s="54" t="str">
        <f t="shared" si="6"/>
        <v>N</v>
      </c>
      <c r="X19" s="120">
        <f t="shared" si="7"/>
        <v>1</v>
      </c>
      <c r="Y19" s="69">
        <f t="shared" si="8"/>
        <v>3.5099999999999999E-2</v>
      </c>
      <c r="Z19" s="69">
        <f t="shared" si="9"/>
        <v>23.330300000000001</v>
      </c>
      <c r="AA19" s="69">
        <f t="shared" si="10"/>
        <v>23.295200000000001</v>
      </c>
      <c r="AB19" s="66">
        <f>VLOOKUP(A19,Enforcements!$C$7:$J$21,8,0)</f>
        <v>233491</v>
      </c>
      <c r="AC19" s="62" t="str">
        <f>VLOOKUP(A19,Enforcements!$C$7:$E$21,3,0)</f>
        <v>TRACK WARRANT AUTHORITY</v>
      </c>
      <c r="AD19" s="63" t="str">
        <f t="shared" si="11"/>
        <v>0107-25</v>
      </c>
      <c r="AE19" s="99" t="str">
        <f t="shared" si="1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19" s="96" t="str">
        <f t="shared" si="13"/>
        <v>"C:\Program Files (x86)\AstroGrep\AstroGrep.exe" /spath="%USERPROFILE%\AppData\Local\Temp\OnboardLogs" /stypes="*4042*20160825*"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0" t="str">
        <f t="shared" si="15"/>
        <v>"%USERPROFILE%\Documents\GitHub\eaglep3\Utilities\RefineRTDCRunTimes.py" --tripid 107-25 --locoid 4042 --swversion DE.1.0.7.0 --startMP 204:351 --initTime 2016-08-25T04:13:56 --startdatetime 2016-08-25T04:30:26 --delay 1 --endMP 204:233303 --enddatetime 2016-08-25T05:07:09 --enforcementcount 1 &gt;&gt;C:\Users\stu\Documents\GitHub\eaglep3-reporting\EC\2016-08-25-refined-times.txt</v>
      </c>
      <c r="AI19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{"issue":{"subject":"","project_id":79,"tracker_id":40,"status_id":1,"priority_id":2,"assigned_to_id":23,"start_date":"2016-08-25","description":"","custom_fields":[{"id":1,"name":"Subdivision","value":"EC"},{"id":4,"name":"Milepost","value":"23.2952"},{"id":17,"name":"Train ID","value":"107-25"},{"id":16,"name":"Locomotive ID","value":"4042"},{"id":130,"name":"Impact","value":""},{"id":150,"name":"Time of Event (Mountain Time)","value":"05:07:09"},{"id":151,"name":"Denver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363</v>
      </c>
      <c r="B20" s="7">
        <v>4041</v>
      </c>
      <c r="C20" s="24" t="s">
        <v>113</v>
      </c>
      <c r="D20" s="24" t="s">
        <v>208</v>
      </c>
      <c r="E20" s="15">
        <v>42607.214583333334</v>
      </c>
      <c r="F20" s="15">
        <v>42607.226724537039</v>
      </c>
      <c r="G20" s="7">
        <v>1</v>
      </c>
      <c r="H20" s="15" t="s">
        <v>238</v>
      </c>
      <c r="I20" s="15">
        <v>42607.254027777781</v>
      </c>
      <c r="J20" s="7">
        <v>1</v>
      </c>
      <c r="K20" s="132" t="str">
        <f t="shared" si="0"/>
        <v>4041/4042</v>
      </c>
      <c r="L20" s="24" t="str">
        <f>VLOOKUP(A20,'Trips&amp;Operators'!$C$1:$E$10000,3,FALSE)</f>
        <v>SANTIZO</v>
      </c>
      <c r="M20" s="6">
        <f t="shared" si="1"/>
        <v>2.7303240742185153E-2</v>
      </c>
      <c r="N20" s="7">
        <f t="shared" si="2"/>
        <v>39.31666666874662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2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04:09:00-0600',mode:absolute,to:'2016-08-25 07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20" s="54" t="str">
        <f t="shared" si="6"/>
        <v>N</v>
      </c>
      <c r="X20" s="120">
        <f t="shared" si="7"/>
        <v>1</v>
      </c>
      <c r="Y20" s="69">
        <f t="shared" si="8"/>
        <v>23.2986</v>
      </c>
      <c r="Z20" s="69">
        <f t="shared" si="9"/>
        <v>1.34E-2</v>
      </c>
      <c r="AA20" s="69">
        <f t="shared" si="10"/>
        <v>23.2852</v>
      </c>
      <c r="AB20" s="66">
        <f>VLOOKUP(A20,Enforcements!$C$7:$J$21,8,0)</f>
        <v>1</v>
      </c>
      <c r="AC20" s="62" t="str">
        <f>VLOOKUP(A20,Enforcements!$C$7:$E$21,3,0)</f>
        <v>TRACK WARRANT AUTHORITY</v>
      </c>
      <c r="AD20" s="63" t="str">
        <f t="shared" si="11"/>
        <v>0108-25</v>
      </c>
      <c r="AE20" s="99" t="str">
        <f t="shared" si="1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20" s="96" t="str">
        <f t="shared" si="13"/>
        <v>"C:\Program Files (x86)\AstroGrep\AstroGrep.exe" /spath="%USERPROFILE%\AppData\Local\Temp\OnboardLogs" /stypes="*4041*20160825*"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0" t="str">
        <f t="shared" si="15"/>
        <v>"%USERPROFILE%\Documents\GitHub\eaglep3\Utilities\RefineRTDCRunTimes.py" --tripid 108-25 --locoid 4041 --swversion DE.1.0.7.0 --startMP 204:232986 --initTime 2016-08-25T05:09:00 --startdatetime 2016-08-25T05:26:29 --delay 1 --endMP 204:134 --enddatetime 2016-08-25T06:05:48 --enforcementcount 1 &gt;&gt;C:\Users\stu\Documents\GitHub\eaglep3-reporting\EC\2016-08-25-refined-times.txt</v>
      </c>
      <c r="AI20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{"issue":{"subject":"","project_id":79,"tracker_id":40,"status_id":1,"priority_id":2,"assigned_to_id":23,"start_date":"2016-08-25","description":"","custom_fields":[{"id":1,"name":"Subdivision","value":"EC"},{"id":4,"name":"Milepost","value":"23.2852"},{"id":17,"name":"Train ID","value":"108-25"},{"id":16,"name":"Locomotive ID","value":"4041"},{"id":130,"name":"Impact","value":""},{"id":150,"name":"Time of Event (Mountain Time)","value":"06:05:48"},{"id":151,"name":"Denver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364</v>
      </c>
      <c r="B21" s="7">
        <v>4009</v>
      </c>
      <c r="C21" s="24" t="s">
        <v>113</v>
      </c>
      <c r="D21" s="24" t="s">
        <v>365</v>
      </c>
      <c r="E21" s="15">
        <v>42607.194675925923</v>
      </c>
      <c r="F21" s="15">
        <v>42607.198206018518</v>
      </c>
      <c r="G21" s="7">
        <v>2</v>
      </c>
      <c r="H21" s="15" t="s">
        <v>149</v>
      </c>
      <c r="I21" s="15">
        <v>42607.225810185184</v>
      </c>
      <c r="J21" s="7">
        <v>1</v>
      </c>
      <c r="K21" s="132" t="str">
        <f t="shared" si="0"/>
        <v>4009/4010</v>
      </c>
      <c r="L21" s="24" t="str">
        <f>VLOOKUP(A21,'Trips&amp;Operators'!$C$1:$E$10000,3,FALSE)</f>
        <v>SMITH</v>
      </c>
      <c r="M21" s="6">
        <f t="shared" si="1"/>
        <v>2.7604166665696539E-2</v>
      </c>
      <c r="N21" s="7">
        <f t="shared" si="2"/>
        <v>39.749999998603016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2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03:40:20-0600',mode:absolute,to:'2016-08-25 06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21" s="54" t="str">
        <f t="shared" si="6"/>
        <v>N</v>
      </c>
      <c r="X21" s="120">
        <f t="shared" si="7"/>
        <v>1</v>
      </c>
      <c r="Y21" s="69">
        <f t="shared" si="8"/>
        <v>4.7699999999999999E-2</v>
      </c>
      <c r="Z21" s="69">
        <f t="shared" si="9"/>
        <v>23.33</v>
      </c>
      <c r="AA21" s="69">
        <f t="shared" si="10"/>
        <v>23.282299999999999</v>
      </c>
      <c r="AB21" s="66" t="e">
        <f>VLOOKUP(A21,Enforcements!$C$7:$J$21,8,0)</f>
        <v>#N/A</v>
      </c>
      <c r="AC21" s="62" t="e">
        <f>VLOOKUP(A21,Enforcements!$C$7:$E$21,3,0)</f>
        <v>#N/A</v>
      </c>
      <c r="AD21" s="63" t="str">
        <f t="shared" si="11"/>
        <v>0109-25</v>
      </c>
      <c r="AE21" s="99" t="str">
        <f t="shared" si="12"/>
        <v>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 &amp; 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</v>
      </c>
      <c r="AF21" s="96" t="str">
        <f t="shared" si="13"/>
        <v>"C:\Program Files (x86)\AstroGrep\AstroGrep.exe" /spath="%USERPROFILE%\AppData\Local\Temp\OnboardLogs" /stypes="*4009*20160825*"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0" t="str">
        <f t="shared" si="15"/>
        <v>"%USERPROFILE%\Documents\GitHub\eaglep3\Utilities\RefineRTDCRunTimes.py" --tripid 109-25 --locoid 4009 --swversion DE.1.0.7.0 --startMP 204:477 --initTime 2016-08-25T04:40:20 --startdatetime 2016-08-25T04:45:25 --delay 2 --endMP 204:233300 --enddatetime 2016-08-25T05:25:10 --enforcementcount 1 &gt;&gt;C:\Users\stu\Documents\GitHub\eaglep3-reporting\EC\2016-08-25-refined-times.txt</v>
      </c>
      <c r="AI21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{"issue":{"subject":"","project_id":79,"tracker_id":40,"status_id":1,"priority_id":2,"assigned_to_id":23,"start_date":"2016-08-25","description":"","custom_fields":[{"id":1,"name":"Subdivision","value":"EC"},{"id":4,"name":"Milepost","value":"23.2823"},{"id":17,"name":"Train ID","value":"109-25"},{"id":16,"name":"Locomotive ID","value":"4009"},{"id":130,"name":"Impact","value":""},{"id":150,"name":"Time of Event (Mountain Time)","value":"05:25:10"},{"id":151,"name":"Denver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366</v>
      </c>
      <c r="B22" s="7">
        <v>4010</v>
      </c>
      <c r="C22" s="24" t="s">
        <v>113</v>
      </c>
      <c r="D22" s="24" t="s">
        <v>134</v>
      </c>
      <c r="E22" s="15">
        <v>42607.229212962964</v>
      </c>
      <c r="F22" s="15">
        <v>42607.237083333333</v>
      </c>
      <c r="G22" s="7">
        <v>1</v>
      </c>
      <c r="H22" s="15" t="s">
        <v>327</v>
      </c>
      <c r="I22" s="15">
        <v>42607.265370370369</v>
      </c>
      <c r="J22" s="7">
        <v>1</v>
      </c>
      <c r="K22" s="132" t="str">
        <f t="shared" si="0"/>
        <v>4009/4010</v>
      </c>
      <c r="L22" s="24" t="str">
        <f>VLOOKUP(A22,'Trips&amp;Operators'!$C$1:$E$10000,3,FALSE)</f>
        <v>SMITH</v>
      </c>
      <c r="M22" s="6">
        <f t="shared" si="1"/>
        <v>2.8287037035624962E-2</v>
      </c>
      <c r="N22" s="7">
        <f t="shared" si="2"/>
        <v>40.733333331299946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2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04:30:04-0600',mode:absolute,to:'2016-08-25 07:22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22" s="54" t="str">
        <f t="shared" si="6"/>
        <v>N</v>
      </c>
      <c r="X22" s="120">
        <f t="shared" si="7"/>
        <v>1</v>
      </c>
      <c r="Y22" s="69">
        <f t="shared" si="8"/>
        <v>23.299399999999999</v>
      </c>
      <c r="Z22" s="69">
        <f t="shared" si="9"/>
        <v>1.6899999999999998E-2</v>
      </c>
      <c r="AA22" s="69">
        <f t="shared" si="10"/>
        <v>23.282499999999999</v>
      </c>
      <c r="AB22" s="66">
        <f>VLOOKUP(A22,Enforcements!$C$7:$J$21,8,0)</f>
        <v>1</v>
      </c>
      <c r="AC22" s="62" t="str">
        <f>VLOOKUP(A22,Enforcements!$C$7:$E$21,3,0)</f>
        <v>TRACK WARRANT AUTHORITY</v>
      </c>
      <c r="AD22" s="63" t="str">
        <f t="shared" si="11"/>
        <v>0110-25</v>
      </c>
      <c r="AE22" s="99" t="str">
        <f t="shared" si="12"/>
        <v>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 &amp; 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</v>
      </c>
      <c r="AF22" s="96" t="str">
        <f t="shared" si="13"/>
        <v>"C:\Program Files (x86)\AstroGrep\AstroGrep.exe" /spath="%USERPROFILE%\AppData\Local\Temp\OnboardLogs" /stypes="*4010*20160825*"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0" t="str">
        <f t="shared" si="15"/>
        <v>"%USERPROFILE%\Documents\GitHub\eaglep3\Utilities\RefineRTDCRunTimes.py" --tripid 110-25 --locoid 4010 --swversion DE.1.0.7.0 --startMP 204:232994 --initTime 2016-08-25T05:30:04 --startdatetime 2016-08-25T05:41:24 --delay 1 --endMP 204:169 --enddatetime 2016-08-25T06:22:08 --enforcementcount 1 &gt;&gt;C:\Users\stu\Documents\GitHub\eaglep3-reporting\EC\2016-08-25-refined-times.txt</v>
      </c>
      <c r="AI22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{"issue":{"subject":"","project_id":79,"tracker_id":40,"status_id":1,"priority_id":2,"assigned_to_id":23,"start_date":"2016-08-25","description":"","custom_fields":[{"id":1,"name":"Subdivision","value":"EC"},{"id":4,"name":"Milepost","value":"23.2825"},{"id":17,"name":"Train ID","value":"110-25"},{"id":16,"name":"Locomotive ID","value":"4010"},{"id":130,"name":"Impact","value":""},{"id":150,"name":"Time of Event (Mountain Time)","value":"06:22:08"},{"id":151,"name":"Denver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367</v>
      </c>
      <c r="B23" s="7">
        <v>4031</v>
      </c>
      <c r="C23" s="24" t="s">
        <v>113</v>
      </c>
      <c r="D23" s="24" t="s">
        <v>368</v>
      </c>
      <c r="E23" s="15">
        <v>42607.204664351855</v>
      </c>
      <c r="F23" s="15">
        <v>42607.208611111113</v>
      </c>
      <c r="G23" s="7">
        <v>1</v>
      </c>
      <c r="H23" s="15" t="s">
        <v>320</v>
      </c>
      <c r="I23" s="15">
        <v>42607.234861111108</v>
      </c>
      <c r="J23" s="7">
        <v>1</v>
      </c>
      <c r="K23" s="132" t="str">
        <f t="shared" si="0"/>
        <v>4031/4032</v>
      </c>
      <c r="L23" s="24" t="str">
        <f>VLOOKUP(A23,'Trips&amp;Operators'!$C$1:$E$10000,3,FALSE)</f>
        <v>STARKS</v>
      </c>
      <c r="M23" s="6">
        <f t="shared" si="1"/>
        <v>2.6249999995343387E-2</v>
      </c>
      <c r="N23" s="7">
        <f t="shared" si="2"/>
        <v>37.799999993294477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2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03:54:43-0600',mode:absolute,to:'2016-08-25 06:38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3" s="54" t="str">
        <f t="shared" si="6"/>
        <v>N</v>
      </c>
      <c r="X23" s="120">
        <f t="shared" si="7"/>
        <v>1</v>
      </c>
      <c r="Y23" s="69">
        <f t="shared" si="8"/>
        <v>7.6600000000000001E-2</v>
      </c>
      <c r="Z23" s="69">
        <f t="shared" si="9"/>
        <v>23.328900000000001</v>
      </c>
      <c r="AA23" s="69">
        <f t="shared" si="10"/>
        <v>23.252300000000002</v>
      </c>
      <c r="AB23" s="66" t="e">
        <f>VLOOKUP(A23,Enforcements!$C$7:$J$21,8,0)</f>
        <v>#N/A</v>
      </c>
      <c r="AC23" s="62" t="e">
        <f>VLOOKUP(A23,Enforcements!$C$7:$E$21,3,0)</f>
        <v>#N/A</v>
      </c>
      <c r="AD23" s="63" t="str">
        <f t="shared" si="11"/>
        <v>0111-25</v>
      </c>
      <c r="AE23" s="99" t="str">
        <f t="shared" si="12"/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23" s="96" t="str">
        <f t="shared" si="13"/>
        <v>"C:\Program Files (x86)\AstroGrep\AstroGrep.exe" /spath="%USERPROFILE%\AppData\Local\Temp\OnboardLogs" /stypes="*4031*20160825*"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0" t="str">
        <f t="shared" si="15"/>
        <v>"%USERPROFILE%\Documents\GitHub\eaglep3\Utilities\RefineRTDCRunTimes.py" --tripid 111-25 --locoid 4031 --swversion DE.1.0.7.0 --startMP 204:766 --initTime 2016-08-25T04:54:43 --startdatetime 2016-08-25T05:00:24 --delay 1 --endMP 204:233289 --enddatetime 2016-08-25T05:38:12 --enforcementcount 1 &gt;&gt;C:\Users\stu\Documents\GitHub\eaglep3-reporting\EC\2016-08-25-refined-times.txt</v>
      </c>
      <c r="AI23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{"issue":{"subject":"","project_id":79,"tracker_id":40,"status_id":1,"priority_id":2,"assigned_to_id":23,"start_date":"2016-08-25","description":"","custom_fields":[{"id":1,"name":"Subdivision","value":"EC"},{"id":4,"name":"Milepost","value":"23.2523"},{"id":17,"name":"Train ID","value":"111-25"},{"id":16,"name":"Locomotive ID","value":"4031"},{"id":130,"name":"Impact","value":""},{"id":150,"name":"Time of Event (Mountain Time)","value":"05:38:12"},{"id":151,"name":"Denver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369</v>
      </c>
      <c r="B24" s="7">
        <v>4032</v>
      </c>
      <c r="C24" s="24" t="s">
        <v>113</v>
      </c>
      <c r="D24" s="24" t="s">
        <v>201</v>
      </c>
      <c r="E24" s="15">
        <v>42607.242118055554</v>
      </c>
      <c r="F24" s="15">
        <v>42607.247465277775</v>
      </c>
      <c r="G24" s="7">
        <v>1</v>
      </c>
      <c r="H24" s="15" t="s">
        <v>177</v>
      </c>
      <c r="I24" s="15">
        <v>42607.275069444448</v>
      </c>
      <c r="J24" s="7">
        <v>1</v>
      </c>
      <c r="K24" s="132" t="str">
        <f t="shared" si="0"/>
        <v>4031/4032</v>
      </c>
      <c r="L24" s="24" t="str">
        <f>VLOOKUP(A24,'Trips&amp;Operators'!$C$1:$E$10000,3,FALSE)</f>
        <v>STARKS</v>
      </c>
      <c r="M24" s="6">
        <f t="shared" si="1"/>
        <v>2.7604166672972497E-2</v>
      </c>
      <c r="N24" s="7">
        <f t="shared" si="2"/>
        <v>39.750000009080395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2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04:48:39-0600',mode:absolute,to:'2016-08-25 07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24" s="54" t="str">
        <f t="shared" si="6"/>
        <v>N</v>
      </c>
      <c r="X24" s="120">
        <f t="shared" si="7"/>
        <v>1</v>
      </c>
      <c r="Y24" s="69">
        <f t="shared" si="8"/>
        <v>23.296700000000001</v>
      </c>
      <c r="Z24" s="69">
        <f t="shared" si="9"/>
        <v>1.52E-2</v>
      </c>
      <c r="AA24" s="69">
        <f t="shared" si="10"/>
        <v>23.281500000000001</v>
      </c>
      <c r="AB24" s="66" t="e">
        <f>VLOOKUP(A24,Enforcements!$C$7:$J$21,8,0)</f>
        <v>#N/A</v>
      </c>
      <c r="AC24" s="62" t="e">
        <f>VLOOKUP(A24,Enforcements!$C$7:$E$21,3,0)</f>
        <v>#N/A</v>
      </c>
      <c r="AD24" s="63" t="str">
        <f t="shared" si="11"/>
        <v>0112-25</v>
      </c>
      <c r="AE24" s="99" t="str">
        <f t="shared" si="1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24" s="96" t="str">
        <f t="shared" si="13"/>
        <v>"C:\Program Files (x86)\AstroGrep\AstroGrep.exe" /spath="%USERPROFILE%\AppData\Local\Temp\OnboardLogs" /stypes="*4032*20160825*"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0" t="str">
        <f t="shared" si="15"/>
        <v>"%USERPROFILE%\Documents\GitHub\eaglep3\Utilities\RefineRTDCRunTimes.py" --tripid 112-25 --locoid 4032 --swversion DE.1.0.7.0 --startMP 204:232967 --initTime 2016-08-25T05:48:39 --startdatetime 2016-08-25T05:56:21 --delay 1 --endMP 204:152 --enddatetime 2016-08-25T06:36:06 --enforcementcount 1 &gt;&gt;C:\Users\stu\Documents\GitHub\eaglep3-reporting\EC\2016-08-25-refined-times.txt</v>
      </c>
      <c r="AI24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{"issue":{"subject":"","project_id":79,"tracker_id":40,"status_id":1,"priority_id":2,"assigned_to_id":23,"start_date":"2016-08-25","description":"","custom_fields":[{"id":1,"name":"Subdivision","value":"EC"},{"id":4,"name":"Milepost","value":"23.2815"},{"id":17,"name":"Train ID","value":"112-25"},{"id":16,"name":"Locomotive ID","value":"4032"},{"id":130,"name":"Impact","value":""},{"id":150,"name":"Time of Event (Mountain Time)","value":"06:36:06"},{"id":151,"name":"Denver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370</v>
      </c>
      <c r="B25" s="7">
        <v>4011</v>
      </c>
      <c r="C25" s="24" t="s">
        <v>113</v>
      </c>
      <c r="D25" s="24" t="s">
        <v>371</v>
      </c>
      <c r="E25" s="15">
        <v>42607.210555555554</v>
      </c>
      <c r="F25" s="15">
        <v>42607.218969907408</v>
      </c>
      <c r="G25" s="7">
        <v>1</v>
      </c>
      <c r="H25" s="15" t="s">
        <v>372</v>
      </c>
      <c r="I25" s="15">
        <v>42607.244884259257</v>
      </c>
      <c r="J25" s="7">
        <v>1</v>
      </c>
      <c r="K25" s="132" t="str">
        <f t="shared" si="0"/>
        <v>4011/4012</v>
      </c>
      <c r="L25" s="24" t="str">
        <f>VLOOKUP(A25,'Trips&amp;Operators'!$C$1:$E$10000,3,FALSE)</f>
        <v>MAELZER</v>
      </c>
      <c r="M25" s="6">
        <f t="shared" si="1"/>
        <v>2.5914351848769002E-2</v>
      </c>
      <c r="N25" s="7">
        <f t="shared" si="2"/>
        <v>37.316666662227362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2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04:03:12-0600',mode:absolute,to:'2016-08-25 06:52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25" s="54" t="str">
        <f t="shared" si="6"/>
        <v>N</v>
      </c>
      <c r="X25" s="120">
        <f t="shared" si="7"/>
        <v>1</v>
      </c>
      <c r="Y25" s="69">
        <f t="shared" si="8"/>
        <v>4.2200000000000001E-2</v>
      </c>
      <c r="Z25" s="69">
        <f t="shared" si="9"/>
        <v>23.330200000000001</v>
      </c>
      <c r="AA25" s="69">
        <f t="shared" si="10"/>
        <v>23.288</v>
      </c>
      <c r="AB25" s="66" t="e">
        <f>VLOOKUP(A25,Enforcements!$C$7:$J$21,8,0)</f>
        <v>#N/A</v>
      </c>
      <c r="AC25" s="62" t="e">
        <f>VLOOKUP(A25,Enforcements!$C$7:$E$21,3,0)</f>
        <v>#N/A</v>
      </c>
      <c r="AD25" s="63" t="str">
        <f t="shared" si="11"/>
        <v>0113-25</v>
      </c>
      <c r="AE25" s="99" t="str">
        <f t="shared" si="12"/>
        <v>aws s3 cp s3://rtdc.mdm.uploadarchive/RTDC4011/2016-08-25/ "%USERPROFILE%\AppData\Local\Temp\OnboardLogs"\RTDC4011\2016-08-25 --recursive &amp; "%USERPROFILE%\Documents\GitHub\mrs-test-scripts\Headless Mode &amp; Sideloading\WalkAndUnGZ.bat" "%USERPROFILE%\AppData\Local\Temp\OnboardLogs"\RTDC4011\2016-08-25 &amp; 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</v>
      </c>
      <c r="AF25" s="96" t="str">
        <f t="shared" si="13"/>
        <v>"C:\Program Files (x86)\AstroGrep\AstroGrep.exe" /spath="%USERPROFILE%\AppData\Local\Temp\OnboardLogs" /stypes="*4011*20160825*"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100" t="str">
        <f t="shared" si="15"/>
        <v>"%USERPROFILE%\Documents\GitHub\eaglep3\Utilities\RefineRTDCRunTimes.py" --tripid 113-25 --locoid 4011 --swversion DE.1.0.7.0 --startMP 204:422 --initTime 2016-08-25T05:03:12 --startdatetime 2016-08-25T05:15:19 --delay 1 --endMP 204:233302 --enddatetime 2016-08-25T05:52:38 --enforcementcount 1 &gt;&gt;C:\Users\stu\Documents\GitHub\eaglep3-reporting\EC\2016-08-25-refined-times.txt</v>
      </c>
      <c r="AI25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{"issue":{"subject":"","project_id":79,"tracker_id":40,"status_id":1,"priority_id":2,"assigned_to_id":23,"start_date":"2016-08-25","description":"","custom_fields":[{"id":1,"name":"Subdivision","value":"EC"},{"id":4,"name":"Milepost","value":"23.288"},{"id":17,"name":"Train ID","value":"113-25"},{"id":16,"name":"Locomotive ID","value":"4011"},{"id":130,"name":"Impact","value":""},{"id":150,"name":"Time of Event (Mountain Time)","value":"05:52:38"},{"id":151,"name":"Denver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373</v>
      </c>
      <c r="B26" s="7">
        <v>4012</v>
      </c>
      <c r="C26" s="24" t="s">
        <v>113</v>
      </c>
      <c r="D26" s="24" t="s">
        <v>315</v>
      </c>
      <c r="E26" s="15">
        <v>42607.252939814818</v>
      </c>
      <c r="F26" s="15">
        <v>42607.257997685185</v>
      </c>
      <c r="G26" s="7">
        <v>5</v>
      </c>
      <c r="H26" s="15" t="s">
        <v>374</v>
      </c>
      <c r="I26" s="15">
        <v>42607.285185185188</v>
      </c>
      <c r="J26" s="7">
        <v>1</v>
      </c>
      <c r="K26" s="132" t="str">
        <f t="shared" si="0"/>
        <v>4011/4012</v>
      </c>
      <c r="L26" s="24" t="str">
        <f>VLOOKUP(A26,'Trips&amp;Operators'!$C$1:$E$10000,3,FALSE)</f>
        <v>MAELZER</v>
      </c>
      <c r="M26" s="6">
        <f t="shared" si="1"/>
        <v>2.718750000349246E-2</v>
      </c>
      <c r="N26" s="7">
        <f t="shared" si="2"/>
        <v>39.150000005029142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2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05:04:14-0600',mode:absolute,to:'2016-08-25 07:50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26" s="54" t="str">
        <f t="shared" si="6"/>
        <v>N</v>
      </c>
      <c r="X26" s="120">
        <f t="shared" si="7"/>
        <v>1</v>
      </c>
      <c r="Y26" s="69">
        <f t="shared" si="8"/>
        <v>23.297899999999998</v>
      </c>
      <c r="Z26" s="69">
        <f t="shared" si="9"/>
        <v>1.67E-2</v>
      </c>
      <c r="AA26" s="69">
        <f t="shared" si="10"/>
        <v>23.281199999999998</v>
      </c>
      <c r="AB26" s="66">
        <f>VLOOKUP(A26,Enforcements!$C$7:$J$21,8,0)</f>
        <v>232107</v>
      </c>
      <c r="AC26" s="62" t="str">
        <f>VLOOKUP(A26,Enforcements!$C$7:$E$21,3,0)</f>
        <v>PERMANENT SPEED RESTRICTION</v>
      </c>
      <c r="AD26" s="63" t="str">
        <f t="shared" si="11"/>
        <v>0114-25</v>
      </c>
      <c r="AE26" s="99" t="str">
        <f t="shared" si="12"/>
        <v>aws s3 cp s3://rtdc.mdm.uploadarchive/RTDC4012/2016-08-25/ "%USERPROFILE%\AppData\Local\Temp\OnboardLogs"\RTDC4012\2016-08-25 --recursive &amp; "%USERPROFILE%\Documents\GitHub\mrs-test-scripts\Headless Mode &amp; Sideloading\WalkAndUnGZ.bat" "%USERPROFILE%\AppData\Local\Temp\OnboardLogs"\RTDC4012\2016-08-25 &amp; 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</v>
      </c>
      <c r="AF26" s="96" t="str">
        <f t="shared" si="13"/>
        <v>"C:\Program Files (x86)\AstroGrep\AstroGrep.exe" /spath="%USERPROFILE%\AppData\Local\Temp\OnboardLogs" /stypes="*4012*20160825*"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0" t="str">
        <f t="shared" si="15"/>
        <v>"%USERPROFILE%\Documents\GitHub\eaglep3\Utilities\RefineRTDCRunTimes.py" --tripid 114-25 --locoid 4012 --swversion DE.1.0.7.0 --startMP 204:232979 --initTime 2016-08-25T06:04:14 --startdatetime 2016-08-25T06:11:31 --delay 5 --endMP 204:167 --enddatetime 2016-08-25T06:50:40 --enforcementcount 1 &gt;&gt;C:\Users\stu\Documents\GitHub\eaglep3-reporting\EC\2016-08-25-refined-times.txt</v>
      </c>
      <c r="AI26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{"issue":{"subject":"","project_id":79,"tracker_id":40,"status_id":1,"priority_id":2,"assigned_to_id":23,"start_date":"2016-08-25","description":"","custom_fields":[{"id":1,"name":"Subdivision","value":"EC"},{"id":4,"name":"Milepost","value":"23.2812"},{"id":17,"name":"Train ID","value":"114-25"},{"id":16,"name":"Locomotive ID","value":"4012"},{"id":130,"name":"Impact","value":""},{"id":150,"name":"Time of Event (Mountain Time)","value":"06:50:40"},{"id":151,"name":"Denver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375</v>
      </c>
      <c r="B27" s="7">
        <v>4044</v>
      </c>
      <c r="C27" s="24" t="s">
        <v>113</v>
      </c>
      <c r="D27" s="24" t="s">
        <v>376</v>
      </c>
      <c r="E27" s="15">
        <v>42607.225057870368</v>
      </c>
      <c r="F27" s="15">
        <v>42607.229432870372</v>
      </c>
      <c r="G27" s="7">
        <v>1</v>
      </c>
      <c r="H27" s="15" t="s">
        <v>320</v>
      </c>
      <c r="I27" s="15">
        <v>42607.25409722222</v>
      </c>
      <c r="J27" s="7">
        <v>1</v>
      </c>
      <c r="K27" s="132" t="str">
        <f t="shared" si="0"/>
        <v>4043/4044</v>
      </c>
      <c r="L27" s="24" t="str">
        <f>VLOOKUP(A27,'Trips&amp;Operators'!$C$1:$E$10000,3,FALSE)</f>
        <v>BRANNON</v>
      </c>
      <c r="M27" s="6">
        <f t="shared" si="1"/>
        <v>2.4664351847604848E-2</v>
      </c>
      <c r="N27" s="7">
        <f t="shared" si="2"/>
        <v>35.516666660550982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2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04:24:05-0600',mode:absolute,to:'2016-08-25 07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7" s="54" t="str">
        <f t="shared" si="6"/>
        <v>N</v>
      </c>
      <c r="X27" s="120">
        <f t="shared" si="7"/>
        <v>1</v>
      </c>
      <c r="Y27" s="69">
        <f t="shared" si="8"/>
        <v>7.3700000000000002E-2</v>
      </c>
      <c r="Z27" s="69">
        <f t="shared" si="9"/>
        <v>23.328900000000001</v>
      </c>
      <c r="AA27" s="69">
        <f t="shared" si="10"/>
        <v>23.255200000000002</v>
      </c>
      <c r="AB27" s="66" t="e">
        <f>VLOOKUP(A27,Enforcements!$C$7:$J$21,8,0)</f>
        <v>#N/A</v>
      </c>
      <c r="AC27" s="62" t="e">
        <f>VLOOKUP(A27,Enforcements!$C$7:$E$21,3,0)</f>
        <v>#N/A</v>
      </c>
      <c r="AD27" s="63" t="str">
        <f t="shared" si="11"/>
        <v>0115-25</v>
      </c>
      <c r="AE27" s="99" t="str">
        <f t="shared" si="1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27" s="96" t="str">
        <f t="shared" si="13"/>
        <v>"C:\Program Files (x86)\AstroGrep\AstroGrep.exe" /spath="%USERPROFILE%\AppData\Local\Temp\OnboardLogs" /stypes="*4044*20160825*"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0" t="str">
        <f t="shared" si="15"/>
        <v>"%USERPROFILE%\Documents\GitHub\eaglep3\Utilities\RefineRTDCRunTimes.py" --tripid 115-25 --locoid 4044 --swversion DE.1.0.7.0 --startMP 204:737 --initTime 2016-08-25T05:24:05 --startdatetime 2016-08-25T05:30:23 --delay 1 --endMP 204:233289 --enddatetime 2016-08-25T06:05:54 --enforcementcount 1 &gt;&gt;C:\Users\stu\Documents\GitHub\eaglep3-reporting\EC\2016-08-25-refined-times.txt</v>
      </c>
      <c r="AI27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{"issue":{"subject":"","project_id":79,"tracker_id":40,"status_id":1,"priority_id":2,"assigned_to_id":23,"start_date":"2016-08-25","description":"","custom_fields":[{"id":1,"name":"Subdivision","value":"EC"},{"id":4,"name":"Milepost","value":"23.2552"},{"id":17,"name":"Train ID","value":"115-25"},{"id":16,"name":"Locomotive ID","value":"4044"},{"id":130,"name":"Impact","value":""},{"id":150,"name":"Time of Event (Mountain Time)","value":"06:05:54"},{"id":151,"name":"Denver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377</v>
      </c>
      <c r="B28" s="7">
        <v>4043</v>
      </c>
      <c r="C28" s="24" t="s">
        <v>113</v>
      </c>
      <c r="D28" s="24" t="s">
        <v>210</v>
      </c>
      <c r="E28" s="15">
        <v>42607.260868055557</v>
      </c>
      <c r="F28" s="15">
        <v>42607.268229166664</v>
      </c>
      <c r="G28" s="7">
        <v>2</v>
      </c>
      <c r="H28" s="15" t="s">
        <v>136</v>
      </c>
      <c r="I28" s="15">
        <v>42607.295370370368</v>
      </c>
      <c r="J28" s="7">
        <v>1</v>
      </c>
      <c r="K28" s="132" t="str">
        <f t="shared" si="0"/>
        <v>4043/4044</v>
      </c>
      <c r="L28" s="24" t="str">
        <f>VLOOKUP(A28,'Trips&amp;Operators'!$C$1:$E$10000,3,FALSE)</f>
        <v>BRANNON</v>
      </c>
      <c r="M28" s="6">
        <f t="shared" si="1"/>
        <v>2.7141203703649808E-2</v>
      </c>
      <c r="N28" s="7">
        <f t="shared" si="2"/>
        <v>39.083333333255723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2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05:15:39-0600',mode:absolute,to:'2016-08-25 08:05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28" s="54" t="str">
        <f t="shared" si="6"/>
        <v>N</v>
      </c>
      <c r="X28" s="120">
        <f t="shared" si="7"/>
        <v>1</v>
      </c>
      <c r="Y28" s="69">
        <f t="shared" si="8"/>
        <v>23.297799999999999</v>
      </c>
      <c r="Z28" s="69">
        <f t="shared" si="9"/>
        <v>1.49E-2</v>
      </c>
      <c r="AA28" s="69">
        <f t="shared" si="10"/>
        <v>23.282899999999998</v>
      </c>
      <c r="AB28" s="66" t="e">
        <f>VLOOKUP(A28,Enforcements!$C$7:$J$21,8,0)</f>
        <v>#N/A</v>
      </c>
      <c r="AC28" s="62" t="e">
        <f>VLOOKUP(A28,Enforcements!$C$7:$E$21,3,0)</f>
        <v>#N/A</v>
      </c>
      <c r="AD28" s="63" t="str">
        <f t="shared" si="11"/>
        <v>0116-25</v>
      </c>
      <c r="AE28" s="99" t="str">
        <f t="shared" si="12"/>
        <v>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 &amp; 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</v>
      </c>
      <c r="AF28" s="96" t="str">
        <f t="shared" si="13"/>
        <v>"C:\Program Files (x86)\AstroGrep\AstroGrep.exe" /spath="%USERPROFILE%\AppData\Local\Temp\OnboardLogs" /stypes="*4043*20160825*"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0" t="str">
        <f t="shared" si="15"/>
        <v>"%USERPROFILE%\Documents\GitHub\eaglep3\Utilities\RefineRTDCRunTimes.py" --tripid 116-25 --locoid 4043 --swversion DE.1.0.7.0 --startMP 204:232978 --initTime 2016-08-25T06:15:39 --startdatetime 2016-08-25T06:26:15 --delay 2 --endMP 204:149 --enddatetime 2016-08-25T07:05:20 --enforcementcount 1 &gt;&gt;C:\Users\stu\Documents\GitHub\eaglep3-reporting\EC\2016-08-25-refined-times.txt</v>
      </c>
      <c r="AI28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{"issue":{"subject":"","project_id":79,"tracker_id":40,"status_id":1,"priority_id":2,"assigned_to_id":23,"start_date":"2016-08-25","description":"","custom_fields":[{"id":1,"name":"Subdivision","value":"EC"},{"id":4,"name":"Milepost","value":"23.2829"},{"id":17,"name":"Train ID","value":"116-25"},{"id":16,"name":"Locomotive ID","value":"4043"},{"id":130,"name":"Impact","value":""},{"id":150,"name":"Time of Event (Mountain Time)","value":"07:05:20"},{"id":151,"name":"Denver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378</v>
      </c>
      <c r="B29" s="7">
        <v>4020</v>
      </c>
      <c r="C29" s="24" t="s">
        <v>113</v>
      </c>
      <c r="D29" s="24" t="s">
        <v>379</v>
      </c>
      <c r="E29" s="15">
        <v>42607.233622685184</v>
      </c>
      <c r="F29" s="15">
        <v>42607.239768518521</v>
      </c>
      <c r="G29" s="7">
        <v>1</v>
      </c>
      <c r="H29" s="15" t="s">
        <v>326</v>
      </c>
      <c r="I29" s="15">
        <v>42607.2655787037</v>
      </c>
      <c r="J29" s="7">
        <v>1</v>
      </c>
      <c r="K29" s="132" t="str">
        <f t="shared" si="0"/>
        <v>4019/4020</v>
      </c>
      <c r="L29" s="24" t="str">
        <f>VLOOKUP(A29,'Trips&amp;Operators'!$C$1:$E$10000,3,FALSE)</f>
        <v>SPECTOR</v>
      </c>
      <c r="M29" s="6">
        <f t="shared" si="1"/>
        <v>2.5810185179580003E-2</v>
      </c>
      <c r="N29" s="7">
        <f t="shared" si="2"/>
        <v>37.166666658595204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2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04:36:25-0600',mode:absolute,to:'2016-08-25 07:22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9" s="54" t="str">
        <f t="shared" si="6"/>
        <v>N</v>
      </c>
      <c r="X29" s="120">
        <f t="shared" si="7"/>
        <v>1</v>
      </c>
      <c r="Y29" s="69">
        <f t="shared" si="8"/>
        <v>4.2700000000000002E-2</v>
      </c>
      <c r="Z29" s="69">
        <f t="shared" si="9"/>
        <v>23.3323</v>
      </c>
      <c r="AA29" s="69">
        <f t="shared" si="10"/>
        <v>23.2896</v>
      </c>
      <c r="AB29" s="66" t="e">
        <f>VLOOKUP(A29,Enforcements!$C$7:$J$21,8,0)</f>
        <v>#N/A</v>
      </c>
      <c r="AC29" s="62" t="e">
        <f>VLOOKUP(A29,Enforcements!$C$7:$E$21,3,0)</f>
        <v>#N/A</v>
      </c>
      <c r="AD29" s="63" t="str">
        <f t="shared" si="11"/>
        <v>0117-25</v>
      </c>
      <c r="AE29" s="99" t="str">
        <f t="shared" si="12"/>
        <v>aws s3 cp s3://rtdc.mdm.uploadarchive/RTDC4020/2016-08-25/ "%USERPROFILE%\AppData\Local\Temp\OnboardLogs"\RTDC4020\2016-08-25 --recursive &amp; "%USERPROFILE%\Documents\GitHub\mrs-test-scripts\Headless Mode &amp; Sideloading\WalkAndUnGZ.bat" "%USERPROFILE%\AppData\Local\Temp\OnboardLogs"\RTDC4020\2016-08-25 &amp; 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</v>
      </c>
      <c r="AF29" s="96" t="str">
        <f t="shared" si="13"/>
        <v>"C:\Program Files (x86)\AstroGrep\AstroGrep.exe" /spath="%USERPROFILE%\AppData\Local\Temp\OnboardLogs" /stypes="*4020*20160825*"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0" t="str">
        <f t="shared" si="15"/>
        <v>"%USERPROFILE%\Documents\GitHub\eaglep3\Utilities\RefineRTDCRunTimes.py" --tripid 117-25 --locoid 4020 --swversion DE.1.0.7.0 --startMP 204:427 --initTime 2016-08-25T05:36:25 --startdatetime 2016-08-25T05:45:16 --delay 1 --endMP 204:233323 --enddatetime 2016-08-25T06:22:26 --enforcementcount 1 &gt;&gt;C:\Users\stu\Documents\GitHub\eaglep3-reporting\EC\2016-08-25-refined-times.txt</v>
      </c>
      <c r="AI29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{"issue":{"subject":"","project_id":79,"tracker_id":40,"status_id":1,"priority_id":2,"assigned_to_id":23,"start_date":"2016-08-25","description":"","custom_fields":[{"id":1,"name":"Subdivision","value":"EC"},{"id":4,"name":"Milepost","value":"23.2896"},{"id":17,"name":"Train ID","value":"117-25"},{"id":16,"name":"Locomotive ID","value":"4020"},{"id":130,"name":"Impact","value":""},{"id":150,"name":"Time of Event (Mountain Time)","value":"06:22:26"},{"id":151,"name":"Denver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ht="16.5" customHeight="1" x14ac:dyDescent="0.25">
      <c r="A30" s="39" t="s">
        <v>380</v>
      </c>
      <c r="B30" s="7">
        <v>4019</v>
      </c>
      <c r="C30" s="24" t="s">
        <v>113</v>
      </c>
      <c r="D30" s="24" t="s">
        <v>381</v>
      </c>
      <c r="E30" s="15">
        <v>42607.271469907406</v>
      </c>
      <c r="F30" s="15">
        <v>42607.278657407405</v>
      </c>
      <c r="G30" s="7">
        <v>1</v>
      </c>
      <c r="H30" s="15" t="s">
        <v>153</v>
      </c>
      <c r="I30" s="15">
        <v>42607.305960648147</v>
      </c>
      <c r="J30" s="7">
        <v>1</v>
      </c>
      <c r="K30" s="132" t="str">
        <f t="shared" si="0"/>
        <v>4019/4020</v>
      </c>
      <c r="L30" s="24" t="str">
        <f>VLOOKUP(A30,'Trips&amp;Operators'!$C$1:$E$10000,3,FALSE)</f>
        <v>SPECTOR</v>
      </c>
      <c r="M30" s="6">
        <f t="shared" si="1"/>
        <v>2.7303240742185153E-2</v>
      </c>
      <c r="N30" s="7">
        <f t="shared" si="2"/>
        <v>39.31666666874662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2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05:30:55-0600',mode:absolute,to:'2016-08-25 08:20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30" s="54" t="str">
        <f t="shared" si="6"/>
        <v>N</v>
      </c>
      <c r="X30" s="120">
        <f t="shared" si="7"/>
        <v>1</v>
      </c>
      <c r="Y30" s="69">
        <f t="shared" si="8"/>
        <v>23.300599999999999</v>
      </c>
      <c r="Z30" s="69">
        <f t="shared" si="9"/>
        <v>1.5599999999999999E-2</v>
      </c>
      <c r="AA30" s="69">
        <f t="shared" si="10"/>
        <v>23.285</v>
      </c>
      <c r="AB30" s="66" t="e">
        <f>VLOOKUP(A30,Enforcements!$C$7:$J$21,8,0)</f>
        <v>#N/A</v>
      </c>
      <c r="AC30" s="62" t="e">
        <f>VLOOKUP(A30,Enforcements!$C$7:$E$21,3,0)</f>
        <v>#N/A</v>
      </c>
      <c r="AD30" s="63" t="str">
        <f t="shared" si="11"/>
        <v>0118-25</v>
      </c>
      <c r="AE30" s="99" t="str">
        <f t="shared" si="12"/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AF30" s="96" t="str">
        <f t="shared" si="13"/>
        <v>"C:\Program Files (x86)\AstroGrep\AstroGrep.exe" /spath="%USERPROFILE%\AppData\Local\Temp\OnboardLogs" /stypes="*4019*20160825*"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0" t="str">
        <f t="shared" si="15"/>
        <v>"%USERPROFILE%\Documents\GitHub\eaglep3\Utilities\RefineRTDCRunTimes.py" --tripid 118-25 --locoid 4019 --swversion DE.1.0.7.0 --startMP 204:233006 --initTime 2016-08-25T06:30:55 --startdatetime 2016-08-25T06:41:16 --delay 1 --endMP 204:156 --enddatetime 2016-08-25T07:20:35 --enforcementcount 1 &gt;&gt;C:\Users\stu\Documents\GitHub\eaglep3-reporting\EC\2016-08-25-refined-times.txt</v>
      </c>
      <c r="AI30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{"issue":{"subject":"","project_id":79,"tracker_id":40,"status_id":1,"priority_id":2,"assigned_to_id":23,"start_date":"2016-08-25","description":"","custom_fields":[{"id":1,"name":"Subdivision","value":"EC"},{"id":4,"name":"Milepost","value":"23.285"},{"id":17,"name":"Train ID","value":"118-25"},{"id":16,"name":"Locomotive ID","value":"4019"},{"id":130,"name":"Impact","value":""},{"id":150,"name":"Time of Event (Mountain Time)","value":"07:20:35"},{"id":151,"name":"Denver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382</v>
      </c>
      <c r="B31" s="7">
        <v>4007</v>
      </c>
      <c r="C31" s="24" t="s">
        <v>113</v>
      </c>
      <c r="D31" s="24" t="s">
        <v>383</v>
      </c>
      <c r="E31" s="15">
        <v>42607.248298611114</v>
      </c>
      <c r="F31" s="15">
        <v>42607.250393518516</v>
      </c>
      <c r="G31" s="7">
        <v>0</v>
      </c>
      <c r="H31" s="15" t="s">
        <v>384</v>
      </c>
      <c r="I31" s="15">
        <v>42607.275590277779</v>
      </c>
      <c r="J31" s="7">
        <v>1</v>
      </c>
      <c r="K31" s="132" t="str">
        <f t="shared" si="0"/>
        <v>4007/4008</v>
      </c>
      <c r="L31" s="24" t="str">
        <f>VLOOKUP(A31,'Trips&amp;Operators'!$C$1:$E$10000,3,FALSE)</f>
        <v>BEAM</v>
      </c>
      <c r="M31" s="6">
        <f t="shared" si="1"/>
        <v>2.5196759263053536E-2</v>
      </c>
      <c r="N31" s="7">
        <f t="shared" si="2"/>
        <v>36.283333338797092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2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04:57:33-0600',mode:absolute,to:'2016-08-25 07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31" s="54" t="str">
        <f t="shared" si="6"/>
        <v>N</v>
      </c>
      <c r="X31" s="120">
        <f t="shared" si="7"/>
        <v>1</v>
      </c>
      <c r="Y31" s="69">
        <f t="shared" si="8"/>
        <v>7.2099999999999997E-2</v>
      </c>
      <c r="Z31" s="69">
        <f t="shared" si="9"/>
        <v>23.327400000000001</v>
      </c>
      <c r="AA31" s="69">
        <f t="shared" si="10"/>
        <v>23.255300000000002</v>
      </c>
      <c r="AB31" s="66" t="e">
        <f>VLOOKUP(A31,Enforcements!$C$7:$J$21,8,0)</f>
        <v>#N/A</v>
      </c>
      <c r="AC31" s="62" t="e">
        <f>VLOOKUP(A31,Enforcements!$C$7:$E$21,3,0)</f>
        <v>#N/A</v>
      </c>
      <c r="AD31" s="63" t="str">
        <f t="shared" si="11"/>
        <v>0119-25</v>
      </c>
      <c r="AE31" s="99" t="str">
        <f t="shared" si="1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31" s="96" t="str">
        <f t="shared" si="13"/>
        <v>"C:\Program Files (x86)\AstroGrep\AstroGrep.exe" /spath="%USERPROFILE%\AppData\Local\Temp\OnboardLogs" /stypes="*4007*20160825*"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0" t="str">
        <f t="shared" si="15"/>
        <v>"%USERPROFILE%\Documents\GitHub\eaglep3\Utilities\RefineRTDCRunTimes.py" --tripid 119-25 --locoid 4007 --swversion DE.1.0.7.0 --startMP 204:721 --initTime 2016-08-25T05:57:33 --startdatetime 2016-08-25T06:00:34 --delay 0 --endMP 204:233274 --enddatetime 2016-08-25T06:36:51 --enforcementcount 1 &gt;&gt;C:\Users\stu\Documents\GitHub\eaglep3-reporting\EC\2016-08-25-refined-times.txt</v>
      </c>
      <c r="AI31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{"issue":{"subject":"","project_id":79,"tracker_id":40,"status_id":1,"priority_id":2,"assigned_to_id":23,"start_date":"2016-08-25","description":"","custom_fields":[{"id":1,"name":"Subdivision","value":"EC"},{"id":4,"name":"Milepost","value":"23.2553"},{"id":17,"name":"Train ID","value":"119-25"},{"id":16,"name":"Locomotive ID","value":"4007"},{"id":130,"name":"Impact","value":""},{"id":150,"name":"Time of Event (Mountain Time)","value":"06:36:51"},{"id":151,"name":"Denver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31" customFormat="1" x14ac:dyDescent="0.25">
      <c r="A32" s="39" t="s">
        <v>385</v>
      </c>
      <c r="B32" s="7">
        <v>4008</v>
      </c>
      <c r="C32" s="24" t="s">
        <v>113</v>
      </c>
      <c r="D32" s="24" t="s">
        <v>318</v>
      </c>
      <c r="E32" s="15">
        <v>42607.285601851851</v>
      </c>
      <c r="F32" s="15">
        <v>42607.2891087963</v>
      </c>
      <c r="G32" s="7">
        <v>1</v>
      </c>
      <c r="H32" s="15" t="s">
        <v>190</v>
      </c>
      <c r="I32" s="15">
        <v>42607.316944444443</v>
      </c>
      <c r="J32" s="7">
        <v>1</v>
      </c>
      <c r="K32" s="132" t="str">
        <f t="shared" si="0"/>
        <v>4007/4008</v>
      </c>
      <c r="L32" s="24" t="str">
        <f>VLOOKUP(A32,'Trips&amp;Operators'!$C$1:$E$10000,3,FALSE)</f>
        <v>BEAM</v>
      </c>
      <c r="M32" s="6">
        <f t="shared" si="1"/>
        <v>2.7835648143081926E-2</v>
      </c>
      <c r="N32" s="7">
        <f t="shared" si="2"/>
        <v>40.083333326037973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2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05:51:16-0600',mode:absolute,to:'2016-08-25 08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32" s="54" t="str">
        <f t="shared" si="6"/>
        <v>N</v>
      </c>
      <c r="X32" s="120">
        <f t="shared" si="7"/>
        <v>1</v>
      </c>
      <c r="Y32" s="69">
        <f t="shared" si="8"/>
        <v>23.297999999999998</v>
      </c>
      <c r="Z32" s="69">
        <f t="shared" si="9"/>
        <v>1.4500000000000001E-2</v>
      </c>
      <c r="AA32" s="69">
        <f t="shared" si="10"/>
        <v>23.283499999999997</v>
      </c>
      <c r="AB32" s="66" t="e">
        <f>VLOOKUP(A32,Enforcements!$C$7:$J$21,8,0)</f>
        <v>#N/A</v>
      </c>
      <c r="AC32" s="62" t="e">
        <f>VLOOKUP(A32,Enforcements!$C$7:$E$21,3,0)</f>
        <v>#N/A</v>
      </c>
      <c r="AD32" s="63" t="str">
        <f t="shared" si="11"/>
        <v>0120-25</v>
      </c>
      <c r="AE32" s="99" t="str">
        <f t="shared" si="12"/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AF32" s="96" t="str">
        <f t="shared" si="13"/>
        <v>"C:\Program Files (x86)\AstroGrep\AstroGrep.exe" /spath="%USERPROFILE%\AppData\Local\Temp\OnboardLogs" /stypes="*4008*20160825*"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100" t="str">
        <f t="shared" si="15"/>
        <v>"%USERPROFILE%\Documents\GitHub\eaglep3\Utilities\RefineRTDCRunTimes.py" --tripid 120-25 --locoid 4008 --swversion DE.1.0.7.0 --startMP 204:232980 --initTime 2016-08-25T06:51:16 --startdatetime 2016-08-25T06:56:19 --delay 1 --endMP 204:145 --enddatetime 2016-08-25T07:36:24 --enforcementcount 1 &gt;&gt;C:\Users\stu\Documents\GitHub\eaglep3-reporting\EC\2016-08-25-refined-times.txt</v>
      </c>
      <c r="AI32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{"issue":{"subject":"","project_id":79,"tracker_id":40,"status_id":1,"priority_id":2,"assigned_to_id":23,"start_date":"2016-08-25","description":"","custom_fields":[{"id":1,"name":"Subdivision","value":"EC"},{"id":4,"name":"Milepost","value":"23.2835"},{"id":17,"name":"Train ID","value":"120-25"},{"id":16,"name":"Locomotive ID","value":"4008"},{"id":130,"name":"Impact","value":""},{"id":150,"name":"Time of Event (Mountain Time)","value":"07:36:24"},{"id":151,"name":"Denver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386</v>
      </c>
      <c r="B33" s="7">
        <v>4042</v>
      </c>
      <c r="C33" s="24" t="s">
        <v>113</v>
      </c>
      <c r="D33" s="24" t="s">
        <v>191</v>
      </c>
      <c r="E33" s="15">
        <v>42607.256168981483</v>
      </c>
      <c r="F33" s="15">
        <v>42607.260740740741</v>
      </c>
      <c r="G33" s="7">
        <v>1</v>
      </c>
      <c r="H33" s="15" t="s">
        <v>224</v>
      </c>
      <c r="I33" s="15">
        <v>42607.285509259258</v>
      </c>
      <c r="J33" s="7">
        <v>1</v>
      </c>
      <c r="K33" s="132" t="str">
        <f t="shared" si="0"/>
        <v>4041/4042</v>
      </c>
      <c r="L33" s="24" t="str">
        <f>VLOOKUP(A33,'Trips&amp;Operators'!$C$1:$E$10000,3,FALSE)</f>
        <v>SANTIZO</v>
      </c>
      <c r="M33" s="6">
        <f t="shared" si="1"/>
        <v>2.4768518516793847E-2</v>
      </c>
      <c r="N33" s="7">
        <f t="shared" si="2"/>
        <v>35.66666666418314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2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05:08:53-0600',mode:absolute,to:'2016-08-25 07:51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33" s="54" t="str">
        <f t="shared" si="6"/>
        <v>N</v>
      </c>
      <c r="X33" s="120">
        <f t="shared" si="7"/>
        <v>1</v>
      </c>
      <c r="Y33" s="69">
        <f t="shared" si="8"/>
        <v>4.4699999999999997E-2</v>
      </c>
      <c r="Z33" s="69">
        <f t="shared" si="9"/>
        <v>23.331700000000001</v>
      </c>
      <c r="AA33" s="69">
        <f t="shared" si="10"/>
        <v>23.287000000000003</v>
      </c>
      <c r="AB33" s="66" t="e">
        <f>VLOOKUP(A33,Enforcements!$C$7:$J$21,8,0)</f>
        <v>#N/A</v>
      </c>
      <c r="AC33" s="62" t="e">
        <f>VLOOKUP(A33,Enforcements!$C$7:$E$21,3,0)</f>
        <v>#N/A</v>
      </c>
      <c r="AD33" s="63" t="str">
        <f t="shared" si="11"/>
        <v>0121-25</v>
      </c>
      <c r="AE33" s="99" t="str">
        <f t="shared" si="1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33" s="96" t="str">
        <f t="shared" si="13"/>
        <v>"C:\Program Files (x86)\AstroGrep\AstroGrep.exe" /spath="%USERPROFILE%\AppData\Local\Temp\OnboardLogs" /stypes="*4042*20160825*" /stext=" 12:.+((SYSTEM_STATE.+slice.+state.+changed )|(ment ac)|(system.+state.+changed )|(\|lc)|(penalty)|(\[timeout)|(PRM\|1\|D)|(kpr)|(kdp))" /e /r /s</v>
      </c>
      <c r="AG33" s="1" t="str">
        <f t="shared" si="14"/>
        <v>EC</v>
      </c>
      <c r="AH33" s="100" t="str">
        <f t="shared" si="15"/>
        <v>"%USERPROFILE%\Documents\GitHub\eaglep3\Utilities\RefineRTDCRunTimes.py" --tripid 121-25 --locoid 4042 --swversion DE.1.0.7.0 --startMP 204:447 --initTime 2016-08-25T06:08:53 --startdatetime 2016-08-25T06:15:28 --delay 1 --endMP 204:233317 --enddatetime 2016-08-25T06:51:08 --enforcementcount 1 &gt;&gt;C:\Users\stu\Documents\GitHub\eaglep3-reporting\EC\2016-08-25-refined-times.txt</v>
      </c>
      <c r="AI33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{"issue":{"subject":"","project_id":79,"tracker_id":40,"status_id":1,"priority_id":2,"assigned_to_id":23,"start_date":"2016-08-25","description":"","custom_fields":[{"id":1,"name":"Subdivision","value":"EC"},{"id":4,"name":"Milepost","value":"23.287"},{"id":17,"name":"Train ID","value":"121-25"},{"id":16,"name":"Locomotive ID","value":"4042"},{"id":130,"name":"Impact","value":""},{"id":150,"name":"Time of Event (Mountain Time)","value":"06:51:08"},{"id":151,"name":"Denver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387</v>
      </c>
      <c r="B34" s="7">
        <v>4041</v>
      </c>
      <c r="C34" s="24" t="s">
        <v>113</v>
      </c>
      <c r="D34" s="24" t="s">
        <v>388</v>
      </c>
      <c r="E34" s="15">
        <v>42607.286724537036</v>
      </c>
      <c r="F34" s="15">
        <v>42607.299560185187</v>
      </c>
      <c r="G34" s="7">
        <v>1</v>
      </c>
      <c r="H34" s="15" t="s">
        <v>156</v>
      </c>
      <c r="I34" s="15">
        <v>42607.325578703705</v>
      </c>
      <c r="J34" s="7">
        <v>1</v>
      </c>
      <c r="K34" s="132" t="str">
        <f t="shared" si="0"/>
        <v>4041/4042</v>
      </c>
      <c r="L34" s="24" t="str">
        <f>VLOOKUP(A34,'Trips&amp;Operators'!$C$1:$E$10000,3,FALSE)</f>
        <v>SANTIZO</v>
      </c>
      <c r="M34" s="6">
        <f t="shared" si="1"/>
        <v>2.6018518517958E-2</v>
      </c>
      <c r="N34" s="7">
        <f t="shared" si="2"/>
        <v>37.46666666585952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2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05:52:53-0600',mode:absolute,to:'2016-08-25 08:48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34" s="54" t="str">
        <f t="shared" si="6"/>
        <v>N</v>
      </c>
      <c r="X34" s="120">
        <f t="shared" si="7"/>
        <v>1</v>
      </c>
      <c r="Y34" s="69">
        <f t="shared" si="8"/>
        <v>23.300999999999998</v>
      </c>
      <c r="Z34" s="69">
        <f t="shared" si="9"/>
        <v>1.54E-2</v>
      </c>
      <c r="AA34" s="69">
        <f t="shared" si="10"/>
        <v>23.285599999999999</v>
      </c>
      <c r="AB34" s="66">
        <f>VLOOKUP(A34,Enforcements!$C$7:$J$21,8,0)</f>
        <v>127587</v>
      </c>
      <c r="AC34" s="62" t="str">
        <f>VLOOKUP(A34,Enforcements!$C$7:$E$21,3,0)</f>
        <v>SIGNAL</v>
      </c>
      <c r="AD34" s="63" t="str">
        <f t="shared" si="11"/>
        <v>0122-25</v>
      </c>
      <c r="AE34" s="99" t="str">
        <f t="shared" si="1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34" s="96" t="str">
        <f t="shared" si="13"/>
        <v>"C:\Program Files (x86)\AstroGrep\AstroGrep.exe" /spath="%USERPROFILE%\AppData\Local\Temp\OnboardLogs" /stypes="*4041*20160825*"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0" t="str">
        <f t="shared" si="15"/>
        <v>"%USERPROFILE%\Documents\GitHub\eaglep3\Utilities\RefineRTDCRunTimes.py" --tripid 122-25 --locoid 4041 --swversion DE.1.0.7.0 --startMP 204:233010 --initTime 2016-08-25T06:52:53 --startdatetime 2016-08-25T07:11:22 --delay 1 --endMP 204:154 --enddatetime 2016-08-25T07:48:50 --enforcementcount 1 &gt;&gt;C:\Users\stu\Documents\GitHub\eaglep3-reporting\EC\2016-08-25-refined-times.txt</v>
      </c>
      <c r="AI34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{"issue":{"subject":"","project_id":79,"tracker_id":40,"status_id":1,"priority_id":2,"assigned_to_id":23,"start_date":"2016-08-25","description":"","custom_fields":[{"id":1,"name":"Subdivision","value":"EC"},{"id":4,"name":"Milepost","value":"23.2856"},{"id":17,"name":"Train ID","value":"122-25"},{"id":16,"name":"Locomotive ID","value":"4041"},{"id":130,"name":"Impact","value":""},{"id":150,"name":"Time of Event (Mountain Time)","value":"07:48:50"},{"id":151,"name":"Denver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389</v>
      </c>
      <c r="B35" s="7">
        <v>4009</v>
      </c>
      <c r="C35" s="24" t="s">
        <v>113</v>
      </c>
      <c r="D35" s="24" t="s">
        <v>139</v>
      </c>
      <c r="E35" s="15">
        <v>42607.267395833333</v>
      </c>
      <c r="F35" s="15">
        <v>42607.27175925926</v>
      </c>
      <c r="G35" s="7">
        <v>1</v>
      </c>
      <c r="H35" s="15" t="s">
        <v>197</v>
      </c>
      <c r="I35" s="15">
        <v>42607.297731481478</v>
      </c>
      <c r="J35" s="7">
        <v>1</v>
      </c>
      <c r="K35" s="132" t="str">
        <f t="shared" si="0"/>
        <v>4009/4010</v>
      </c>
      <c r="L35" s="24" t="str">
        <f>VLOOKUP(A35,'Trips&amp;Operators'!$C$1:$E$10000,3,FALSE)</f>
        <v>SMITH</v>
      </c>
      <c r="M35" s="6">
        <f t="shared" si="1"/>
        <v>2.5972222218115348E-2</v>
      </c>
      <c r="N35" s="7">
        <f t="shared" si="2"/>
        <v>37.399999994086102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2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05:25:03-0600',mode:absolute,to:'2016-08-25 08:08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35" s="54" t="str">
        <f t="shared" si="6"/>
        <v>N</v>
      </c>
      <c r="X35" s="120">
        <f t="shared" si="7"/>
        <v>1</v>
      </c>
      <c r="Y35" s="69">
        <f t="shared" si="8"/>
        <v>4.6699999999999998E-2</v>
      </c>
      <c r="Z35" s="69">
        <f t="shared" si="9"/>
        <v>23.3293</v>
      </c>
      <c r="AA35" s="69">
        <f t="shared" si="10"/>
        <v>23.282599999999999</v>
      </c>
      <c r="AB35" s="66" t="e">
        <f>VLOOKUP(A35,Enforcements!$C$7:$J$21,8,0)</f>
        <v>#N/A</v>
      </c>
      <c r="AC35" s="62" t="e">
        <f>VLOOKUP(A35,Enforcements!$C$7:$E$21,3,0)</f>
        <v>#N/A</v>
      </c>
      <c r="AD35" s="63" t="str">
        <f t="shared" si="11"/>
        <v>0123-25</v>
      </c>
      <c r="AE35" s="99" t="str">
        <f t="shared" si="12"/>
        <v>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 &amp; 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</v>
      </c>
      <c r="AF35" s="96" t="str">
        <f t="shared" si="13"/>
        <v>"C:\Program Files (x86)\AstroGrep\AstroGrep.exe" /spath="%USERPROFILE%\AppData\Local\Temp\OnboardLogs" /stypes="*4009*20160825*"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0" t="str">
        <f t="shared" si="15"/>
        <v>"%USERPROFILE%\Documents\GitHub\eaglep3\Utilities\RefineRTDCRunTimes.py" --tripid 123-25 --locoid 4009 --swversion DE.1.0.7.0 --startMP 204:467 --initTime 2016-08-25T06:25:03 --startdatetime 2016-08-25T06:31:20 --delay 1 --endMP 204:233293 --enddatetime 2016-08-25T07:08:44 --enforcementcount 1 &gt;&gt;C:\Users\stu\Documents\GitHub\eaglep3-reporting\EC\2016-08-25-refined-times.txt</v>
      </c>
      <c r="AI35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{"issue":{"subject":"","project_id":79,"tracker_id":40,"status_id":1,"priority_id":2,"assigned_to_id":23,"start_date":"2016-08-25","description":"","custom_fields":[{"id":1,"name":"Subdivision","value":"EC"},{"id":4,"name":"Milepost","value":"23.2826"},{"id":17,"name":"Train ID","value":"123-25"},{"id":16,"name":"Locomotive ID","value":"4009"},{"id":130,"name":"Impact","value":""},{"id":150,"name":"Time of Event (Mountain Time)","value":"07:08:44"},{"id":151,"name":"Denver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390</v>
      </c>
      <c r="B36" s="7">
        <v>4010</v>
      </c>
      <c r="C36" s="24" t="s">
        <v>113</v>
      </c>
      <c r="D36" s="24" t="s">
        <v>324</v>
      </c>
      <c r="E36" s="15">
        <v>42607.302314814813</v>
      </c>
      <c r="F36" s="15">
        <v>42607.310185185182</v>
      </c>
      <c r="G36" s="7">
        <v>1</v>
      </c>
      <c r="H36" s="15" t="s">
        <v>89</v>
      </c>
      <c r="I36" s="15">
        <v>42607.337245370371</v>
      </c>
      <c r="J36" s="7">
        <v>1</v>
      </c>
      <c r="K36" s="132" t="str">
        <f t="shared" si="0"/>
        <v>4009/4010</v>
      </c>
      <c r="L36" s="24" t="str">
        <f>VLOOKUP(A36,'Trips&amp;Operators'!$C$1:$E$10000,3,FALSE)</f>
        <v>SMITH</v>
      </c>
      <c r="M36" s="6">
        <f t="shared" si="1"/>
        <v>2.7060185188020114E-2</v>
      </c>
      <c r="N36" s="7">
        <f t="shared" si="2"/>
        <v>38.966666670748964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2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06:15:20-0600',mode:absolute,to:'2016-08-25 09:05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36" s="54" t="str">
        <f t="shared" si="6"/>
        <v>N</v>
      </c>
      <c r="X36" s="120">
        <f t="shared" si="7"/>
        <v>1</v>
      </c>
      <c r="Y36" s="69">
        <f t="shared" si="8"/>
        <v>23.297699999999999</v>
      </c>
      <c r="Z36" s="69">
        <f t="shared" si="9"/>
        <v>1.43E-2</v>
      </c>
      <c r="AA36" s="69">
        <f t="shared" si="10"/>
        <v>23.2834</v>
      </c>
      <c r="AB36" s="66" t="e">
        <f>VLOOKUP(A36,Enforcements!$C$7:$J$21,8,0)</f>
        <v>#N/A</v>
      </c>
      <c r="AC36" s="62" t="e">
        <f>VLOOKUP(A36,Enforcements!$C$7:$E$21,3,0)</f>
        <v>#N/A</v>
      </c>
      <c r="AD36" s="63" t="str">
        <f t="shared" si="11"/>
        <v>0124-25</v>
      </c>
      <c r="AE36" s="99" t="str">
        <f t="shared" si="12"/>
        <v>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 &amp; 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</v>
      </c>
      <c r="AF36" s="96" t="str">
        <f t="shared" si="13"/>
        <v>"C:\Program Files (x86)\AstroGrep\AstroGrep.exe" /spath="%USERPROFILE%\AppData\Local\Temp\OnboardLogs" /stypes="*4010*20160825*"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100" t="str">
        <f t="shared" si="15"/>
        <v>"%USERPROFILE%\Documents\GitHub\eaglep3\Utilities\RefineRTDCRunTimes.py" --tripid 124-25 --locoid 4010 --swversion DE.1.0.7.0 --startMP 204:232977 --initTime 2016-08-25T07:15:20 --startdatetime 2016-08-25T07:26:40 --delay 1 --endMP 204:143 --enddatetime 2016-08-25T08:05:38 --enforcementcount 1 &gt;&gt;C:\Users\stu\Documents\GitHub\eaglep3-reporting\EC\2016-08-25-refined-times.txt</v>
      </c>
      <c r="AI36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{"issue":{"subject":"","project_id":79,"tracker_id":40,"status_id":1,"priority_id":2,"assigned_to_id":23,"start_date":"2016-08-25","description":"","custom_fields":[{"id":1,"name":"Subdivision","value":"EC"},{"id":4,"name":"Milepost","value":"23.2834"},{"id":17,"name":"Train ID","value":"124-25"},{"id":16,"name":"Locomotive ID","value":"4010"},{"id":130,"name":"Impact","value":""},{"id":150,"name":"Time of Event (Mountain Time)","value":"08:05:38"},{"id":151,"name":"Denver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ht="14.25" customHeight="1" x14ac:dyDescent="0.25">
      <c r="A37" s="39" t="s">
        <v>391</v>
      </c>
      <c r="B37" s="7">
        <v>4031</v>
      </c>
      <c r="C37" s="24" t="s">
        <v>113</v>
      </c>
      <c r="D37" s="24" t="s">
        <v>139</v>
      </c>
      <c r="E37" s="15">
        <v>42607.277025462965</v>
      </c>
      <c r="F37" s="15">
        <v>42607.281423611108</v>
      </c>
      <c r="G37" s="7">
        <v>1</v>
      </c>
      <c r="H37" s="15" t="s">
        <v>149</v>
      </c>
      <c r="I37" s="15">
        <v>42607.306932870371</v>
      </c>
      <c r="J37" s="7">
        <v>1</v>
      </c>
      <c r="K37" s="132" t="str">
        <f t="shared" si="0"/>
        <v>4031/4032</v>
      </c>
      <c r="L37" s="24" t="str">
        <f>VLOOKUP(A37,'Trips&amp;Operators'!$C$1:$E$10000,3,FALSE)</f>
        <v>STARKS</v>
      </c>
      <c r="M37" s="6">
        <f t="shared" si="1"/>
        <v>2.5509259263344575E-2</v>
      </c>
      <c r="N37" s="7">
        <f t="shared" si="2"/>
        <v>36.733333339216188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2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05:38:55-0600',mode:absolute,to:'2016-08-25 08:21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37" s="54" t="str">
        <f t="shared" si="6"/>
        <v>N</v>
      </c>
      <c r="X37" s="120">
        <f t="shared" si="7"/>
        <v>1</v>
      </c>
      <c r="Y37" s="69">
        <f t="shared" si="8"/>
        <v>4.6699999999999998E-2</v>
      </c>
      <c r="Z37" s="69">
        <f t="shared" si="9"/>
        <v>23.33</v>
      </c>
      <c r="AA37" s="69">
        <f t="shared" si="10"/>
        <v>23.283299999999997</v>
      </c>
      <c r="AB37" s="66">
        <f>VLOOKUP(A37,Enforcements!$C$7:$J$21,8,0)</f>
        <v>230436</v>
      </c>
      <c r="AC37" s="62" t="str">
        <f>VLOOKUP(A37,Enforcements!$C$7:$E$21,3,0)</f>
        <v>PERMANENT SPEED RESTRICTION</v>
      </c>
      <c r="AD37" s="63" t="str">
        <f t="shared" si="11"/>
        <v>0125-25</v>
      </c>
      <c r="AE37" s="99" t="str">
        <f t="shared" si="12"/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37" s="96" t="str">
        <f t="shared" si="13"/>
        <v>"C:\Program Files (x86)\AstroGrep\AstroGrep.exe" /spath="%USERPROFILE%\AppData\Local\Temp\OnboardLogs" /stypes="*4031*20160825*"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0" t="str">
        <f t="shared" si="15"/>
        <v>"%USERPROFILE%\Documents\GitHub\eaglep3\Utilities\RefineRTDCRunTimes.py" --tripid 125-25 --locoid 4031 --swversion DE.1.0.7.0 --startMP 204:467 --initTime 2016-08-25T06:38:55 --startdatetime 2016-08-25T06:45:15 --delay 1 --endMP 204:233300 --enddatetime 2016-08-25T07:21:59 --enforcementcount 1 &gt;&gt;C:\Users\stu\Documents\GitHub\eaglep3-reporting\EC\2016-08-25-refined-times.txt</v>
      </c>
      <c r="AI37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{"issue":{"subject":"","project_id":79,"tracker_id":40,"status_id":1,"priority_id":2,"assigned_to_id":23,"start_date":"2016-08-25","description":"","custom_fields":[{"id":1,"name":"Subdivision","value":"EC"},{"id":4,"name":"Milepost","value":"23.2833"},{"id":17,"name":"Train ID","value":"125-25"},{"id":16,"name":"Locomotive ID","value":"4031"},{"id":130,"name":"Impact","value":""},{"id":150,"name":"Time of Event (Mountain Time)","value":"07:21:59"},{"id":151,"name":"Denver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392</v>
      </c>
      <c r="B38" s="7">
        <v>4032</v>
      </c>
      <c r="C38" s="24" t="s">
        <v>113</v>
      </c>
      <c r="D38" s="24" t="s">
        <v>241</v>
      </c>
      <c r="E38" s="15">
        <v>42607.31890046296</v>
      </c>
      <c r="F38" s="15">
        <v>42607.320300925923</v>
      </c>
      <c r="G38" s="7">
        <v>0</v>
      </c>
      <c r="H38" s="15" t="s">
        <v>132</v>
      </c>
      <c r="I38" s="15">
        <v>42607.348182870373</v>
      </c>
      <c r="J38" s="7">
        <v>1</v>
      </c>
      <c r="K38" s="132" t="str">
        <f t="shared" si="0"/>
        <v>4031/4032</v>
      </c>
      <c r="L38" s="24" t="str">
        <f>VLOOKUP(A38,'Trips&amp;Operators'!$C$1:$E$10000,3,FALSE)</f>
        <v>STARKS</v>
      </c>
      <c r="M38" s="6">
        <f t="shared" si="1"/>
        <v>2.7881944450200535E-2</v>
      </c>
      <c r="N38" s="7">
        <f t="shared" si="2"/>
        <v>40.150000008288771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2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06:39:13-0600',mode:absolute,to:'2016-08-25 09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38" s="54" t="str">
        <f t="shared" si="6"/>
        <v>N</v>
      </c>
      <c r="X38" s="120">
        <f t="shared" si="7"/>
        <v>1</v>
      </c>
      <c r="Y38" s="69">
        <f t="shared" si="8"/>
        <v>23.2989</v>
      </c>
      <c r="Z38" s="69">
        <f t="shared" si="9"/>
        <v>1.47E-2</v>
      </c>
      <c r="AA38" s="69">
        <f t="shared" si="10"/>
        <v>23.284199999999998</v>
      </c>
      <c r="AB38" s="66">
        <f>VLOOKUP(A38,Enforcements!$C$7:$J$21,8,0)</f>
        <v>191723</v>
      </c>
      <c r="AC38" s="62" t="str">
        <f>VLOOKUP(A38,Enforcements!$C$7:$E$21,3,0)</f>
        <v>SIGNAL</v>
      </c>
      <c r="AD38" s="63" t="str">
        <f t="shared" si="11"/>
        <v>0126-25</v>
      </c>
      <c r="AE38" s="99" t="str">
        <f t="shared" si="1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38" s="96" t="str">
        <f t="shared" si="13"/>
        <v>"C:\Program Files (x86)\AstroGrep\AstroGrep.exe" /spath="%USERPROFILE%\AppData\Local\Temp\OnboardLogs" /stypes="*4032*20160825*"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0" t="str">
        <f t="shared" si="15"/>
        <v>"%USERPROFILE%\Documents\GitHub\eaglep3\Utilities\RefineRTDCRunTimes.py" --tripid 126-25 --locoid 4032 --swversion DE.1.0.7.0 --startMP 204:232989 --initTime 2016-08-25T07:39:13 --startdatetime 2016-08-25T07:41:14 --delay 0 --endMP 204:147 --enddatetime 2016-08-25T08:21:23 --enforcementcount 1 &gt;&gt;C:\Users\stu\Documents\GitHub\eaglep3-reporting\EC\2016-08-25-refined-times.txt</v>
      </c>
      <c r="AI38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{"issue":{"subject":"","project_id":79,"tracker_id":40,"status_id":1,"priority_id":2,"assigned_to_id":23,"start_date":"2016-08-25","description":"","custom_fields":[{"id":1,"name":"Subdivision","value":"EC"},{"id":4,"name":"Milepost","value":"23.2842"},{"id":17,"name":"Train ID","value":"126-25"},{"id":16,"name":"Locomotive ID","value":"4032"},{"id":130,"name":"Impact","value":""},{"id":150,"name":"Time of Event (Mountain Time)","value":"08:21:23"},{"id":151,"name":"Denver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393</v>
      </c>
      <c r="B39" s="7">
        <v>4011</v>
      </c>
      <c r="C39" s="24" t="s">
        <v>113</v>
      </c>
      <c r="D39" s="24" t="s">
        <v>206</v>
      </c>
      <c r="E39" s="15">
        <v>42607.287719907406</v>
      </c>
      <c r="F39" s="15">
        <v>42607.291990740741</v>
      </c>
      <c r="G39" s="7">
        <v>1</v>
      </c>
      <c r="H39" s="15" t="s">
        <v>320</v>
      </c>
      <c r="I39" s="15">
        <v>42607.317696759259</v>
      </c>
      <c r="J39" s="7">
        <v>1</v>
      </c>
      <c r="K39" s="132" t="str">
        <f t="shared" si="0"/>
        <v>4011/4012</v>
      </c>
      <c r="L39" s="24" t="str">
        <f>VLOOKUP(A39,'Trips&amp;Operators'!$C$1:$E$10000,3,FALSE)</f>
        <v>MAELZER</v>
      </c>
      <c r="M39" s="6">
        <f t="shared" si="1"/>
        <v>2.5706018517666962E-2</v>
      </c>
      <c r="N39" s="7">
        <f t="shared" si="2"/>
        <v>37.016666665440425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2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05:54:19-0600',mode:absolute,to:'2016-08-25 08:37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39" s="54" t="str">
        <f t="shared" si="6"/>
        <v>N</v>
      </c>
      <c r="X39" s="120">
        <f t="shared" si="7"/>
        <v>1</v>
      </c>
      <c r="Y39" s="69">
        <f t="shared" si="8"/>
        <v>4.6600000000000003E-2</v>
      </c>
      <c r="Z39" s="69">
        <f t="shared" si="9"/>
        <v>23.328900000000001</v>
      </c>
      <c r="AA39" s="69">
        <f t="shared" si="10"/>
        <v>23.282299999999999</v>
      </c>
      <c r="AB39" s="66" t="e">
        <f>VLOOKUP(A39,Enforcements!$C$7:$J$21,8,0)</f>
        <v>#N/A</v>
      </c>
      <c r="AC39" s="62" t="e">
        <f>VLOOKUP(A39,Enforcements!$C$7:$E$21,3,0)</f>
        <v>#N/A</v>
      </c>
      <c r="AD39" s="63" t="str">
        <f t="shared" si="11"/>
        <v>0127-25</v>
      </c>
      <c r="AE39" s="99" t="str">
        <f t="shared" si="12"/>
        <v>aws s3 cp s3://rtdc.mdm.uploadarchive/RTDC4011/2016-08-25/ "%USERPROFILE%\AppData\Local\Temp\OnboardLogs"\RTDC4011\2016-08-25 --recursive &amp; "%USERPROFILE%\Documents\GitHub\mrs-test-scripts\Headless Mode &amp; Sideloading\WalkAndUnGZ.bat" "%USERPROFILE%\AppData\Local\Temp\OnboardLogs"\RTDC4011\2016-08-25 &amp; 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</v>
      </c>
      <c r="AF39" s="96" t="str">
        <f t="shared" si="13"/>
        <v>"C:\Program Files (x86)\AstroGrep\AstroGrep.exe" /spath="%USERPROFILE%\AppData\Local\Temp\OnboardLogs" /stypes="*4011*20160825*"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0" t="str">
        <f t="shared" si="15"/>
        <v>"%USERPROFILE%\Documents\GitHub\eaglep3\Utilities\RefineRTDCRunTimes.py" --tripid 127-25 --locoid 4011 --swversion DE.1.0.7.0 --startMP 204:466 --initTime 2016-08-25T06:54:19 --startdatetime 2016-08-25T07:00:28 --delay 1 --endMP 204:233289 --enddatetime 2016-08-25T07:37:29 --enforcementcount 1 &gt;&gt;C:\Users\stu\Documents\GitHub\eaglep3-reporting\EC\2016-08-25-refined-times.txt</v>
      </c>
      <c r="AI39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{"issue":{"subject":"","project_id":79,"tracker_id":40,"status_id":1,"priority_id":2,"assigned_to_id":23,"start_date":"2016-08-25","description":"","custom_fields":[{"id":1,"name":"Subdivision","value":"EC"},{"id":4,"name":"Milepost","value":"23.2823"},{"id":17,"name":"Train ID","value":"127-25"},{"id":16,"name":"Locomotive ID","value":"4011"},{"id":130,"name":"Impact","value":""},{"id":150,"name":"Time of Event (Mountain Time)","value":"07:37:29"},{"id":151,"name":"Denver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394</v>
      </c>
      <c r="B40" s="7">
        <v>4012</v>
      </c>
      <c r="C40" s="24" t="s">
        <v>113</v>
      </c>
      <c r="D40" s="24" t="s">
        <v>210</v>
      </c>
      <c r="E40" s="15">
        <v>42607.323703703703</v>
      </c>
      <c r="F40" s="15">
        <v>42607.33085648148</v>
      </c>
      <c r="G40" s="7">
        <v>1</v>
      </c>
      <c r="H40" s="15" t="s">
        <v>177</v>
      </c>
      <c r="I40" s="15">
        <v>42607.357777777775</v>
      </c>
      <c r="J40" s="7">
        <v>1</v>
      </c>
      <c r="K40" s="132" t="str">
        <f t="shared" si="0"/>
        <v>4011/4012</v>
      </c>
      <c r="L40" s="24" t="str">
        <f>VLOOKUP(A40,'Trips&amp;Operators'!$C$1:$E$10000,3,FALSE)</f>
        <v>MAELZER</v>
      </c>
      <c r="M40" s="6">
        <f t="shared" si="1"/>
        <v>2.6921296295768116E-2</v>
      </c>
      <c r="N40" s="7">
        <f t="shared" si="2"/>
        <v>38.766666665906087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2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06:46:08-0600',mode:absolute,to:'2016-08-25 09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40" s="54" t="str">
        <f t="shared" si="6"/>
        <v>N</v>
      </c>
      <c r="X40" s="120">
        <f t="shared" si="7"/>
        <v>1</v>
      </c>
      <c r="Y40" s="69">
        <f t="shared" si="8"/>
        <v>23.297799999999999</v>
      </c>
      <c r="Z40" s="69">
        <f t="shared" si="9"/>
        <v>1.52E-2</v>
      </c>
      <c r="AA40" s="69">
        <f t="shared" si="10"/>
        <v>23.282599999999999</v>
      </c>
      <c r="AB40" s="66" t="e">
        <f>VLOOKUP(A40,Enforcements!$C$7:$J$21,8,0)</f>
        <v>#N/A</v>
      </c>
      <c r="AC40" s="62" t="e">
        <f>VLOOKUP(A40,Enforcements!$C$7:$E$21,3,0)</f>
        <v>#N/A</v>
      </c>
      <c r="AD40" s="63" t="str">
        <f t="shared" si="11"/>
        <v>0128-25</v>
      </c>
      <c r="AE40" s="99" t="str">
        <f t="shared" si="12"/>
        <v>aws s3 cp s3://rtdc.mdm.uploadarchive/RTDC4012/2016-08-25/ "%USERPROFILE%\AppData\Local\Temp\OnboardLogs"\RTDC4012\2016-08-25 --recursive &amp; "%USERPROFILE%\Documents\GitHub\mrs-test-scripts\Headless Mode &amp; Sideloading\WalkAndUnGZ.bat" "%USERPROFILE%\AppData\Local\Temp\OnboardLogs"\RTDC4012\2016-08-25 &amp; 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</v>
      </c>
      <c r="AF40" s="96" t="str">
        <f t="shared" si="13"/>
        <v>"C:\Program Files (x86)\AstroGrep\AstroGrep.exe" /spath="%USERPROFILE%\AppData\Local\Temp\OnboardLogs" /stypes="*4012*20160825*"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0" t="str">
        <f t="shared" si="15"/>
        <v>"%USERPROFILE%\Documents\GitHub\eaglep3\Utilities\RefineRTDCRunTimes.py" --tripid 128-25 --locoid 4012 --swversion DE.1.0.7.0 --startMP 204:232978 --initTime 2016-08-25T07:46:08 --startdatetime 2016-08-25T07:56:26 --delay 1 --endMP 204:152 --enddatetime 2016-08-25T08:35:12 --enforcementcount 1 &gt;&gt;C:\Users\stu\Documents\GitHub\eaglep3-reporting\EC\2016-08-25-refined-times.txt</v>
      </c>
      <c r="AI40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{"issue":{"subject":"","project_id":79,"tracker_id":40,"status_id":1,"priority_id":2,"assigned_to_id":23,"start_date":"2016-08-25","description":"","custom_fields":[{"id":1,"name":"Subdivision","value":"EC"},{"id":4,"name":"Milepost","value":"23.2826"},{"id":17,"name":"Train ID","value":"128-25"},{"id":16,"name":"Locomotive ID","value":"4012"},{"id":130,"name":"Impact","value":""},{"id":150,"name":"Time of Event (Mountain Time)","value":"08:35:12"},{"id":151,"name":"Denver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395</v>
      </c>
      <c r="B41" s="7">
        <v>4044</v>
      </c>
      <c r="C41" s="24" t="s">
        <v>113</v>
      </c>
      <c r="D41" s="24" t="s">
        <v>139</v>
      </c>
      <c r="E41" s="15">
        <v>42607.296585648146</v>
      </c>
      <c r="F41" s="15">
        <v>42607.302418981482</v>
      </c>
      <c r="G41" s="7">
        <v>1</v>
      </c>
      <c r="H41" s="15" t="s">
        <v>372</v>
      </c>
      <c r="I41" s="15">
        <v>42607.326944444445</v>
      </c>
      <c r="J41" s="7">
        <v>1</v>
      </c>
      <c r="K41" s="132" t="str">
        <f t="shared" si="0"/>
        <v>4043/4044</v>
      </c>
      <c r="L41" s="24" t="str">
        <f>VLOOKUP(A41,'Trips&amp;Operators'!$C$1:$E$10000,3,FALSE)</f>
        <v>BRANNON</v>
      </c>
      <c r="M41" s="6">
        <f t="shared" si="1"/>
        <v>2.4525462962628808E-2</v>
      </c>
      <c r="N41" s="7">
        <f t="shared" si="2"/>
        <v>35.316666666185483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2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06:07:05-0600',mode:absolute,to:'2016-08-25 08:50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41" s="54" t="str">
        <f t="shared" si="6"/>
        <v>N</v>
      </c>
      <c r="X41" s="120">
        <f t="shared" si="7"/>
        <v>1</v>
      </c>
      <c r="Y41" s="69">
        <f t="shared" si="8"/>
        <v>4.6699999999999998E-2</v>
      </c>
      <c r="Z41" s="69">
        <f t="shared" si="9"/>
        <v>23.330200000000001</v>
      </c>
      <c r="AA41" s="69">
        <f t="shared" si="10"/>
        <v>23.2835</v>
      </c>
      <c r="AB41" s="66" t="e">
        <f>VLOOKUP(A41,Enforcements!$C$7:$J$21,8,0)</f>
        <v>#N/A</v>
      </c>
      <c r="AC41" s="62" t="e">
        <f>VLOOKUP(A41,Enforcements!$C$7:$E$21,3,0)</f>
        <v>#N/A</v>
      </c>
      <c r="AD41" s="63" t="str">
        <f t="shared" si="11"/>
        <v>0129-25</v>
      </c>
      <c r="AE41" s="99" t="str">
        <f t="shared" si="1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41" s="96" t="str">
        <f t="shared" si="13"/>
        <v>"C:\Program Files (x86)\AstroGrep\AstroGrep.exe" /spath="%USERPROFILE%\AppData\Local\Temp\OnboardLogs" /stypes="*4044*20160825*"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0" t="str">
        <f t="shared" si="15"/>
        <v>"%USERPROFILE%\Documents\GitHub\eaglep3\Utilities\RefineRTDCRunTimes.py" --tripid 129-25 --locoid 4044 --swversion DE.1.0.7.0 --startMP 204:467 --initTime 2016-08-25T07:07:05 --startdatetime 2016-08-25T07:15:29 --delay 1 --endMP 204:233302 --enddatetime 2016-08-25T07:50:48 --enforcementcount 1 &gt;&gt;C:\Users\stu\Documents\GitHub\eaglep3-reporting\EC\2016-08-25-refined-times.txt</v>
      </c>
      <c r="AI41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{"issue":{"subject":"","project_id":79,"tracker_id":40,"status_id":1,"priority_id":2,"assigned_to_id":23,"start_date":"2016-08-25","description":"","custom_fields":[{"id":1,"name":"Subdivision","value":"EC"},{"id":4,"name":"Milepost","value":"23.2835"},{"id":17,"name":"Train ID","value":"129-25"},{"id":16,"name":"Locomotive ID","value":"4044"},{"id":130,"name":"Impact","value":""},{"id":150,"name":"Time of Event (Mountain Time)","value":"07:50:48"},{"id":151,"name":"Denver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396</v>
      </c>
      <c r="B42" s="7">
        <v>4043</v>
      </c>
      <c r="C42" s="24" t="s">
        <v>113</v>
      </c>
      <c r="D42" s="24" t="s">
        <v>397</v>
      </c>
      <c r="E42" s="15">
        <v>42607.333518518521</v>
      </c>
      <c r="F42" s="15">
        <v>42607.341145833336</v>
      </c>
      <c r="G42" s="7">
        <v>2</v>
      </c>
      <c r="H42" s="15" t="s">
        <v>190</v>
      </c>
      <c r="I42" s="15">
        <v>42607.367199074077</v>
      </c>
      <c r="J42" s="7">
        <v>1</v>
      </c>
      <c r="K42" s="132" t="str">
        <f t="shared" si="0"/>
        <v>4043/4044</v>
      </c>
      <c r="L42" s="24" t="str">
        <f>VLOOKUP(A42,'Trips&amp;Operators'!$C$1:$E$10000,3,FALSE)</f>
        <v>BRANNON</v>
      </c>
      <c r="M42" s="6">
        <f t="shared" si="1"/>
        <v>2.6053240741021E-2</v>
      </c>
      <c r="N42" s="7">
        <f t="shared" si="2"/>
        <v>37.51666666707024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2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07:00:16-0600',mode:absolute,to:'2016-08-25 09:48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42" s="54" t="str">
        <f t="shared" si="6"/>
        <v>N</v>
      </c>
      <c r="X42" s="120">
        <f t="shared" si="7"/>
        <v>1</v>
      </c>
      <c r="Y42" s="69">
        <f t="shared" si="8"/>
        <v>23.299299999999999</v>
      </c>
      <c r="Z42" s="69">
        <f t="shared" si="9"/>
        <v>1.4500000000000001E-2</v>
      </c>
      <c r="AA42" s="69">
        <f t="shared" si="10"/>
        <v>23.284799999999997</v>
      </c>
      <c r="AB42" s="66" t="e">
        <f>VLOOKUP(A42,Enforcements!$C$7:$J$21,8,0)</f>
        <v>#N/A</v>
      </c>
      <c r="AC42" s="62" t="e">
        <f>VLOOKUP(A42,Enforcements!$C$7:$E$21,3,0)</f>
        <v>#N/A</v>
      </c>
      <c r="AD42" s="63" t="str">
        <f t="shared" si="11"/>
        <v>0130-25</v>
      </c>
      <c r="AE42" s="99" t="str">
        <f t="shared" si="12"/>
        <v>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 &amp; 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</v>
      </c>
      <c r="AF42" s="96" t="str">
        <f t="shared" si="13"/>
        <v>"C:\Program Files (x86)\AstroGrep\AstroGrep.exe" /spath="%USERPROFILE%\AppData\Local\Temp\OnboardLogs" /stypes="*4043*20160825*"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0" t="str">
        <f t="shared" si="15"/>
        <v>"%USERPROFILE%\Documents\GitHub\eaglep3\Utilities\RefineRTDCRunTimes.py" --tripid 130-25 --locoid 4043 --swversion DE.1.0.7.0 --startMP 204:232993 --initTime 2016-08-25T08:00:16 --startdatetime 2016-08-25T08:11:15 --delay 2 --endMP 204:145 --enddatetime 2016-08-25T08:48:46 --enforcementcount 1 &gt;&gt;C:\Users\stu\Documents\GitHub\eaglep3-reporting\EC\2016-08-25-refined-times.txt</v>
      </c>
      <c r="AI42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{"issue":{"subject":"","project_id":79,"tracker_id":40,"status_id":1,"priority_id":2,"assigned_to_id":23,"start_date":"2016-08-25","description":"","custom_fields":[{"id":1,"name":"Subdivision","value":"EC"},{"id":4,"name":"Milepost","value":"23.2848"},{"id":17,"name":"Train ID","value":"130-25"},{"id":16,"name":"Locomotive ID","value":"4043"},{"id":130,"name":"Impact","value":""},{"id":150,"name":"Time of Event (Mountain Time)","value":"08:48:46"},{"id":151,"name":"Denver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398</v>
      </c>
      <c r="B43" s="7">
        <v>4020</v>
      </c>
      <c r="C43" s="24" t="s">
        <v>113</v>
      </c>
      <c r="D43" s="24" t="s">
        <v>125</v>
      </c>
      <c r="E43" s="15">
        <v>42607.309490740743</v>
      </c>
      <c r="F43" s="15">
        <v>42607.3127662037</v>
      </c>
      <c r="G43" s="7">
        <v>1</v>
      </c>
      <c r="H43" s="15" t="s">
        <v>325</v>
      </c>
      <c r="I43" s="15">
        <v>42607.337523148148</v>
      </c>
      <c r="J43" s="7">
        <v>1</v>
      </c>
      <c r="K43" s="132" t="str">
        <f t="shared" si="0"/>
        <v>4019/4020</v>
      </c>
      <c r="L43" s="24" t="str">
        <f>VLOOKUP(A43,'Trips&amp;Operators'!$C$1:$E$10000,3,FALSE)</f>
        <v>SPECTOR</v>
      </c>
      <c r="M43" s="6">
        <f t="shared" si="1"/>
        <v>2.4756944447290152E-2</v>
      </c>
      <c r="N43" s="7">
        <f t="shared" si="2"/>
        <v>35.650000004097819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2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06:25:40-0600',mode:absolute,to:'2016-08-25 09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43" s="54" t="str">
        <f t="shared" si="6"/>
        <v>N</v>
      </c>
      <c r="X43" s="120">
        <f t="shared" si="7"/>
        <v>1</v>
      </c>
      <c r="Y43" s="69">
        <f t="shared" si="8"/>
        <v>4.5499999999999999E-2</v>
      </c>
      <c r="Z43" s="69">
        <f t="shared" si="9"/>
        <v>23.3322</v>
      </c>
      <c r="AA43" s="69">
        <f t="shared" si="10"/>
        <v>23.2867</v>
      </c>
      <c r="AB43" s="66" t="e">
        <f>VLOOKUP(A43,Enforcements!$C$7:$J$21,8,0)</f>
        <v>#N/A</v>
      </c>
      <c r="AC43" s="62" t="e">
        <f>VLOOKUP(A43,Enforcements!$C$7:$E$21,3,0)</f>
        <v>#N/A</v>
      </c>
      <c r="AD43" s="63" t="str">
        <f t="shared" si="11"/>
        <v>0131-25</v>
      </c>
      <c r="AE43" s="99" t="str">
        <f t="shared" si="12"/>
        <v>aws s3 cp s3://rtdc.mdm.uploadarchive/RTDC4020/2016-08-25/ "%USERPROFILE%\AppData\Local\Temp\OnboardLogs"\RTDC4020\2016-08-25 --recursive &amp; "%USERPROFILE%\Documents\GitHub\mrs-test-scripts\Headless Mode &amp; Sideloading\WalkAndUnGZ.bat" "%USERPROFILE%\AppData\Local\Temp\OnboardLogs"\RTDC4020\2016-08-25 &amp; 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</v>
      </c>
      <c r="AF43" s="96" t="str">
        <f t="shared" si="13"/>
        <v>"C:\Program Files (x86)\AstroGrep\AstroGrep.exe" /spath="%USERPROFILE%\AppData\Local\Temp\OnboardLogs" /stypes="*4020*20160825*"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00" t="str">
        <f t="shared" si="15"/>
        <v>"%USERPROFILE%\Documents\GitHub\eaglep3\Utilities\RefineRTDCRunTimes.py" --tripid 131-25 --locoid 4020 --swversion DE.1.0.7.0 --startMP 204:455 --initTime 2016-08-25T07:25:40 --startdatetime 2016-08-25T07:30:23 --delay 1 --endMP 204:233322 --enddatetime 2016-08-25T08:06:02 --enforcementcount 1 &gt;&gt;C:\Users\stu\Documents\GitHub\eaglep3-reporting\EC\2016-08-25-refined-times.txt</v>
      </c>
      <c r="AI43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{"issue":{"subject":"","project_id":79,"tracker_id":40,"status_id":1,"priority_id":2,"assigned_to_id":23,"start_date":"2016-08-25","description":"","custom_fields":[{"id":1,"name":"Subdivision","value":"EC"},{"id":4,"name":"Milepost","value":"23.2867"},{"id":17,"name":"Train ID","value":"131-25"},{"id":16,"name":"Locomotive ID","value":"4020"},{"id":130,"name":"Impact","value":""},{"id":150,"name":"Time of Event (Mountain Time)","value":"08:06:02"},{"id":151,"name":"Denver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399</v>
      </c>
      <c r="B44" s="7">
        <v>4019</v>
      </c>
      <c r="C44" s="24" t="s">
        <v>113</v>
      </c>
      <c r="D44" s="24" t="s">
        <v>223</v>
      </c>
      <c r="E44" s="15">
        <v>42607.346250000002</v>
      </c>
      <c r="F44" s="15">
        <v>42607.3518287037</v>
      </c>
      <c r="G44" s="7">
        <v>1</v>
      </c>
      <c r="H44" s="15" t="s">
        <v>330</v>
      </c>
      <c r="I44" s="15">
        <v>42607.37908564815</v>
      </c>
      <c r="J44" s="7">
        <v>1</v>
      </c>
      <c r="K44" s="132" t="str">
        <f t="shared" si="0"/>
        <v>4019/4020</v>
      </c>
      <c r="L44" s="24" t="str">
        <f>VLOOKUP(A44,'Trips&amp;Operators'!$C$1:$E$10000,3,FALSE)</f>
        <v>SPECTOR</v>
      </c>
      <c r="M44" s="6">
        <f t="shared" si="1"/>
        <v>2.7256944449618459E-2</v>
      </c>
      <c r="N44" s="7">
        <f t="shared" si="2"/>
        <v>39.250000007450581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2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07:18:36-0600',mode:absolute,to:'2016-08-25 10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44" s="54" t="str">
        <f t="shared" si="6"/>
        <v>N</v>
      </c>
      <c r="X44" s="120">
        <f t="shared" si="7"/>
        <v>1</v>
      </c>
      <c r="Y44" s="69">
        <f t="shared" si="8"/>
        <v>23.299800000000001</v>
      </c>
      <c r="Z44" s="69">
        <f t="shared" si="9"/>
        <v>1.32E-2</v>
      </c>
      <c r="AA44" s="69">
        <f t="shared" si="10"/>
        <v>23.2866</v>
      </c>
      <c r="AB44" s="66">
        <f>VLOOKUP(A44,Enforcements!$C$7:$J$21,8,0)</f>
        <v>228668</v>
      </c>
      <c r="AC44" s="62" t="str">
        <f>VLOOKUP(A44,Enforcements!$C$7:$E$21,3,0)</f>
        <v>PERMANENT SPEED RESTRICTION</v>
      </c>
      <c r="AD44" s="63" t="str">
        <f t="shared" si="11"/>
        <v>0132-25</v>
      </c>
      <c r="AE44" s="99" t="str">
        <f t="shared" si="12"/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AF44" s="96" t="str">
        <f t="shared" si="13"/>
        <v>"C:\Program Files (x86)\AstroGrep\AstroGrep.exe" /spath="%USERPROFILE%\AppData\Local\Temp\OnboardLogs" /stypes="*4019*20160825*" /stext=" 15:.+((SYSTEM_STATE.+slice.+state.+changed )|(ment ac)|(system.+state.+changed )|(\|lc)|(penalty)|(\[timeout)|(PRM\|1\|D)|(kpr)|(kdp))" /e /r /s</v>
      </c>
      <c r="AG44" s="1" t="str">
        <f t="shared" si="14"/>
        <v>EC</v>
      </c>
      <c r="AH44" s="100" t="str">
        <f t="shared" si="15"/>
        <v>"%USERPROFILE%\Documents\GitHub\eaglep3\Utilities\RefineRTDCRunTimes.py" --tripid 132-25 --locoid 4019 --swversion DE.1.0.7.0 --startMP 204:232998 --initTime 2016-08-25T08:18:36 --startdatetime 2016-08-25T08:26:38 --delay 1 --endMP 204:132 --enddatetime 2016-08-25T09:05:53 --enforcementcount 1 &gt;&gt;C:\Users\stu\Documents\GitHub\eaglep3-reporting\EC\2016-08-25-refined-times.txt</v>
      </c>
      <c r="AI44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{"issue":{"subject":"","project_id":79,"tracker_id":40,"status_id":1,"priority_id":2,"assigned_to_id":23,"start_date":"2016-08-25","description":"","custom_fields":[{"id":1,"name":"Subdivision","value":"EC"},{"id":4,"name":"Milepost","value":"23.2866"},{"id":17,"name":"Train ID","value":"132-25"},{"id":16,"name":"Locomotive ID","value":"4019"},{"id":130,"name":"Impact","value":""},{"id":150,"name":"Time of Event (Mountain Time)","value":"09:05:53"},{"id":151,"name":"Denver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400</v>
      </c>
      <c r="B45" s="7">
        <v>4007</v>
      </c>
      <c r="C45" s="24" t="s">
        <v>113</v>
      </c>
      <c r="D45" s="24" t="s">
        <v>401</v>
      </c>
      <c r="E45" s="15">
        <v>42607.320486111108</v>
      </c>
      <c r="F45" s="15">
        <v>42607.323506944442</v>
      </c>
      <c r="G45" s="7">
        <v>1</v>
      </c>
      <c r="H45" s="15" t="s">
        <v>219</v>
      </c>
      <c r="I45" s="15">
        <v>42607.348287037035</v>
      </c>
      <c r="J45" s="7">
        <v>1</v>
      </c>
      <c r="K45" s="132" t="str">
        <f t="shared" si="0"/>
        <v>4007/4008</v>
      </c>
      <c r="L45" s="24" t="str">
        <f>VLOOKUP(A45,'Trips&amp;Operators'!$C$1:$E$10000,3,FALSE)</f>
        <v>BEAM</v>
      </c>
      <c r="M45" s="6">
        <f t="shared" si="1"/>
        <v>2.4780092593573499E-2</v>
      </c>
      <c r="N45" s="7">
        <f t="shared" ref="N45:N76" si="18">24*60*SUM($M45:$M45)</f>
        <v>35.683333334745839</v>
      </c>
      <c r="O45" s="7"/>
      <c r="P45" s="7"/>
      <c r="Q45" s="25"/>
      <c r="R45" s="25"/>
      <c r="S45" s="37">
        <f t="shared" si="3"/>
        <v>1</v>
      </c>
      <c r="T45" s="52" t="str">
        <f t="shared" si="4"/>
        <v>NorthBound</v>
      </c>
      <c r="U45" s="12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06:41:30-0600',mode:absolute,to:'2016-08-25 09:21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45" s="54" t="str">
        <f t="shared" si="6"/>
        <v>N</v>
      </c>
      <c r="X45" s="120">
        <f t="shared" ref="X45:X76" si="19">VALUE(LEFT(AD45,4))-VALUE(LEFT(AD44,4))</f>
        <v>1</v>
      </c>
      <c r="Y45" s="69">
        <f t="shared" si="8"/>
        <v>4.3799999999999999E-2</v>
      </c>
      <c r="Z45" s="69">
        <f t="shared" si="9"/>
        <v>23.331199999999999</v>
      </c>
      <c r="AA45" s="69">
        <f t="shared" si="10"/>
        <v>23.287399999999998</v>
      </c>
      <c r="AB45" s="66" t="e">
        <f>VLOOKUP(A45,Enforcements!$C$7:$J$21,8,0)</f>
        <v>#N/A</v>
      </c>
      <c r="AC45" s="62" t="e">
        <f>VLOOKUP(A45,Enforcements!$C$7:$E$21,3,0)</f>
        <v>#N/A</v>
      </c>
      <c r="AD45" s="63" t="str">
        <f t="shared" si="11"/>
        <v>0133-25</v>
      </c>
      <c r="AE45" s="99" t="str">
        <f t="shared" si="1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45" s="96" t="str">
        <f t="shared" si="13"/>
        <v>"C:\Program Files (x86)\AstroGrep\AstroGrep.exe" /spath="%USERPROFILE%\AppData\Local\Temp\OnboardLogs" /stypes="*4007*20160825*" /stext=" 14:.+((SYSTEM_STATE.+slice.+state.+changed )|(ment ac)|(system.+state.+changed )|(\|lc)|(penalty)|(\[timeout)|(PRM\|1\|D)|(kpr)|(kdp))" /e /r /s</v>
      </c>
      <c r="AG45" s="1" t="str">
        <f t="shared" si="14"/>
        <v>EC</v>
      </c>
      <c r="AH45" s="100" t="str">
        <f t="shared" si="15"/>
        <v>"%USERPROFILE%\Documents\GitHub\eaglep3\Utilities\RefineRTDCRunTimes.py" --tripid 133-25 --locoid 4007 --swversion DE.1.0.7.0 --startMP 204:438 --initTime 2016-08-25T07:41:30 --startdatetime 2016-08-25T07:45:51 --delay 1 --endMP 204:233312 --enddatetime 2016-08-25T08:21:32 --enforcementcount 1 &gt;&gt;C:\Users\stu\Documents\GitHub\eaglep3-reporting\EC\2016-08-25-refined-times.txt</v>
      </c>
      <c r="AI45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{"issue":{"subject":"","project_id":79,"tracker_id":40,"status_id":1,"priority_id":2,"assigned_to_id":23,"start_date":"2016-08-25","description":"","custom_fields":[{"id":1,"name":"Subdivision","value":"EC"},{"id":4,"name":"Milepost","value":"23.2874"},{"id":17,"name":"Train ID","value":"133-25"},{"id":16,"name":"Locomotive ID","value":"4007"},{"id":130,"name":"Impact","value":""},{"id":150,"name":"Time of Event (Mountain Time)","value":"08:21:32"},{"id":151,"name":"Denver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402</v>
      </c>
      <c r="B46" s="7">
        <v>4008</v>
      </c>
      <c r="C46" s="24" t="s">
        <v>113</v>
      </c>
      <c r="D46" s="24" t="s">
        <v>403</v>
      </c>
      <c r="E46" s="15">
        <v>42607.35837962963</v>
      </c>
      <c r="F46" s="15">
        <v>42607.362071759257</v>
      </c>
      <c r="G46" s="7">
        <v>1</v>
      </c>
      <c r="H46" s="15" t="s">
        <v>234</v>
      </c>
      <c r="I46" s="15">
        <v>42607.387928240743</v>
      </c>
      <c r="J46" s="7">
        <v>1</v>
      </c>
      <c r="K46" s="132" t="str">
        <f t="shared" si="0"/>
        <v>4007/4008</v>
      </c>
      <c r="L46" s="24" t="str">
        <f>VLOOKUP(A46,'Trips&amp;Operators'!$C$1:$E$10000,3,FALSE)</f>
        <v>BEAM</v>
      </c>
      <c r="M46" s="6">
        <f t="shared" si="1"/>
        <v>2.5856481486698613E-2</v>
      </c>
      <c r="N46" s="7">
        <f t="shared" si="18"/>
        <v>37.233333340846002</v>
      </c>
      <c r="O46" s="7"/>
      <c r="P46" s="7"/>
      <c r="Q46" s="25"/>
      <c r="R46" s="25"/>
      <c r="S46" s="37">
        <f t="shared" si="3"/>
        <v>1</v>
      </c>
      <c r="T46" s="52" t="str">
        <f t="shared" si="4"/>
        <v>Southbound</v>
      </c>
      <c r="U46" s="12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07:36:04-0600',mode:absolute,to:'2016-08-25 10:18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46" s="54" t="str">
        <f t="shared" si="6"/>
        <v>N</v>
      </c>
      <c r="X46" s="120">
        <f t="shared" si="19"/>
        <v>1</v>
      </c>
      <c r="Y46" s="69">
        <f t="shared" si="8"/>
        <v>23.299099999999999</v>
      </c>
      <c r="Z46" s="69">
        <f t="shared" si="9"/>
        <v>1.38E-2</v>
      </c>
      <c r="AA46" s="69">
        <f t="shared" si="10"/>
        <v>23.285299999999999</v>
      </c>
      <c r="AB46" s="66" t="e">
        <f>VLOOKUP(A46,Enforcements!$C$7:$J$21,8,0)</f>
        <v>#N/A</v>
      </c>
      <c r="AC46" s="62" t="e">
        <f>VLOOKUP(A46,Enforcements!$C$7:$E$21,3,0)</f>
        <v>#N/A</v>
      </c>
      <c r="AD46" s="63" t="str">
        <f t="shared" si="11"/>
        <v>0134-25</v>
      </c>
      <c r="AE46" s="99" t="str">
        <f t="shared" si="12"/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AF46" s="96" t="str">
        <f t="shared" si="13"/>
        <v>"C:\Program Files (x86)\AstroGrep\AstroGrep.exe" /spath="%USERPROFILE%\AppData\Local\Temp\OnboardLogs" /stypes="*4008*20160825*" /stext=" 15:.+((SYSTEM_STATE.+slice.+state.+changed )|(ment ac)|(system.+state.+changed )|(\|lc)|(penalty)|(\[timeout)|(PRM\|1\|D)|(kpr)|(kdp))" /e /r /s</v>
      </c>
      <c r="AG46" s="1" t="str">
        <f t="shared" si="14"/>
        <v>EC</v>
      </c>
      <c r="AH46" s="100" t="str">
        <f t="shared" si="15"/>
        <v>"%USERPROFILE%\Documents\GitHub\eaglep3\Utilities\RefineRTDCRunTimes.py" --tripid 134-25 --locoid 4008 --swversion DE.1.0.7.0 --startMP 204:232991 --initTime 2016-08-25T08:36:04 --startdatetime 2016-08-25T08:41:23 --delay 1 --endMP 204:138 --enddatetime 2016-08-25T09:18:37 --enforcementcount 1 &gt;&gt;C:\Users\stu\Documents\GitHub\eaglep3-reporting\EC\2016-08-25-refined-times.txt</v>
      </c>
      <c r="AI46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{"issue":{"subject":"","project_id":79,"tracker_id":40,"status_id":1,"priority_id":2,"assigned_to_id":23,"start_date":"2016-08-25","description":"","custom_fields":[{"id":1,"name":"Subdivision","value":"EC"},{"id":4,"name":"Milepost","value":"23.2853"},{"id":17,"name":"Train ID","value":"134-25"},{"id":16,"name":"Locomotive ID","value":"4008"},{"id":130,"name":"Impact","value":""},{"id":150,"name":"Time of Event (Mountain Time)","value":"09:18:37"},{"id":151,"name":"Denver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404</v>
      </c>
      <c r="B47" s="7">
        <v>4042</v>
      </c>
      <c r="C47" s="24" t="s">
        <v>113</v>
      </c>
      <c r="D47" s="24" t="s">
        <v>109</v>
      </c>
      <c r="E47" s="15">
        <v>42607.330879629626</v>
      </c>
      <c r="F47" s="15">
        <v>42607.33384259259</v>
      </c>
      <c r="G47" s="7">
        <v>1</v>
      </c>
      <c r="H47" s="15" t="s">
        <v>211</v>
      </c>
      <c r="I47" s="15">
        <v>42607.358923611115</v>
      </c>
      <c r="J47" s="7">
        <v>1</v>
      </c>
      <c r="K47" s="132" t="str">
        <f t="shared" si="0"/>
        <v>4041/4042</v>
      </c>
      <c r="L47" s="24" t="str">
        <f>VLOOKUP(A47,'Trips&amp;Operators'!$C$1:$E$10000,3,FALSE)</f>
        <v>SANTIZO</v>
      </c>
      <c r="M47" s="6">
        <f t="shared" si="1"/>
        <v>2.5081018524360843E-2</v>
      </c>
      <c r="N47" s="7">
        <f t="shared" si="18"/>
        <v>36.116666675079614</v>
      </c>
      <c r="O47" s="7"/>
      <c r="P47" s="7"/>
      <c r="Q47" s="25"/>
      <c r="R47" s="25"/>
      <c r="S47" s="37">
        <f t="shared" si="3"/>
        <v>1</v>
      </c>
      <c r="T47" s="52" t="str">
        <f t="shared" si="4"/>
        <v>NorthBound</v>
      </c>
      <c r="U47" s="12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06:56:28-0600',mode:absolute,to:'2016-08-25 09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47" s="54" t="str">
        <f t="shared" si="6"/>
        <v>N</v>
      </c>
      <c r="X47" s="120">
        <f t="shared" si="19"/>
        <v>1</v>
      </c>
      <c r="Y47" s="69">
        <f t="shared" si="8"/>
        <v>4.6199999999999998E-2</v>
      </c>
      <c r="Z47" s="69">
        <f t="shared" si="9"/>
        <v>23.330300000000001</v>
      </c>
      <c r="AA47" s="69">
        <f t="shared" si="10"/>
        <v>23.284100000000002</v>
      </c>
      <c r="AB47" s="66" t="e">
        <f>VLOOKUP(A47,Enforcements!$C$7:$J$21,8,0)</f>
        <v>#N/A</v>
      </c>
      <c r="AC47" s="62" t="e">
        <f>VLOOKUP(A47,Enforcements!$C$7:$E$21,3,0)</f>
        <v>#N/A</v>
      </c>
      <c r="AD47" s="63" t="str">
        <f t="shared" si="11"/>
        <v>0135-25</v>
      </c>
      <c r="AE47" s="99" t="str">
        <f t="shared" si="1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47" s="96" t="str">
        <f t="shared" si="13"/>
        <v>"C:\Program Files (x86)\AstroGrep\AstroGrep.exe" /spath="%USERPROFILE%\AppData\Local\Temp\OnboardLogs" /stypes="*4042*20160825*" /stext=" 14:.+((SYSTEM_STATE.+slice.+state.+changed )|(ment ac)|(system.+state.+changed )|(\|lc)|(penalty)|(\[timeout)|(PRM\|1\|D)|(kpr)|(kdp))" /e /r /s</v>
      </c>
      <c r="AG47" s="1" t="str">
        <f t="shared" si="14"/>
        <v>EC</v>
      </c>
      <c r="AH47" s="100" t="str">
        <f t="shared" si="15"/>
        <v>"%USERPROFILE%\Documents\GitHub\eaglep3\Utilities\RefineRTDCRunTimes.py" --tripid 135-25 --locoid 4042 --swversion DE.1.0.7.0 --startMP 204:462 --initTime 2016-08-25T07:56:28 --startdatetime 2016-08-25T08:00:44 --delay 1 --endMP 204:233303 --enddatetime 2016-08-25T08:36:51 --enforcementcount 1 &gt;&gt;C:\Users\stu\Documents\GitHub\eaglep3-reporting\EC\2016-08-25-refined-times.txt</v>
      </c>
      <c r="AI47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{"issue":{"subject":"","project_id":79,"tracker_id":40,"status_id":1,"priority_id":2,"assigned_to_id":23,"start_date":"2016-08-25","description":"","custom_fields":[{"id":1,"name":"Subdivision","value":"EC"},{"id":4,"name":"Milepost","value":"23.2841"},{"id":17,"name":"Train ID","value":"135-25"},{"id":16,"name":"Locomotive ID","value":"4042"},{"id":130,"name":"Impact","value":""},{"id":150,"name":"Time of Event (Mountain Time)","value":"08:36:51"},{"id":151,"name":"Denver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405</v>
      </c>
      <c r="B48" s="7">
        <v>4041</v>
      </c>
      <c r="C48" s="24" t="s">
        <v>113</v>
      </c>
      <c r="D48" s="24" t="s">
        <v>207</v>
      </c>
      <c r="E48" s="15">
        <v>42607.360266203701</v>
      </c>
      <c r="F48" s="15">
        <v>42607.37259259259</v>
      </c>
      <c r="G48" s="7">
        <v>1</v>
      </c>
      <c r="H48" s="15" t="s">
        <v>153</v>
      </c>
      <c r="I48" s="15">
        <v>42607.398842592593</v>
      </c>
      <c r="J48" s="7">
        <v>1</v>
      </c>
      <c r="K48" s="132" t="str">
        <f t="shared" si="0"/>
        <v>4041/4042</v>
      </c>
      <c r="L48" s="24" t="str">
        <f>VLOOKUP(A48,'Trips&amp;Operators'!$C$1:$E$10000,3,FALSE)</f>
        <v>SANTIZO</v>
      </c>
      <c r="M48" s="6">
        <f t="shared" si="1"/>
        <v>2.6250000002619345E-2</v>
      </c>
      <c r="N48" s="7">
        <f t="shared" si="18"/>
        <v>37.800000003771856</v>
      </c>
      <c r="O48" s="7"/>
      <c r="P48" s="7"/>
      <c r="Q48" s="25"/>
      <c r="R48" s="25"/>
      <c r="S48" s="37">
        <f t="shared" si="3"/>
        <v>1</v>
      </c>
      <c r="T48" s="52" t="str">
        <f t="shared" si="4"/>
        <v>Southbound</v>
      </c>
      <c r="U48" s="12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07:38:47-0600',mode:absolute,to:'2016-08-25 10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48" s="54" t="str">
        <f t="shared" si="6"/>
        <v>N</v>
      </c>
      <c r="X48" s="120">
        <f t="shared" si="19"/>
        <v>1</v>
      </c>
      <c r="Y48" s="69">
        <f t="shared" si="8"/>
        <v>23.299199999999999</v>
      </c>
      <c r="Z48" s="69">
        <f t="shared" si="9"/>
        <v>1.5599999999999999E-2</v>
      </c>
      <c r="AA48" s="69">
        <f t="shared" si="10"/>
        <v>23.2836</v>
      </c>
      <c r="AB48" s="66" t="e">
        <f>VLOOKUP(A48,Enforcements!$C$7:$J$21,8,0)</f>
        <v>#N/A</v>
      </c>
      <c r="AC48" s="62" t="e">
        <f>VLOOKUP(A48,Enforcements!$C$7:$E$21,3,0)</f>
        <v>#N/A</v>
      </c>
      <c r="AD48" s="63" t="str">
        <f t="shared" si="11"/>
        <v>0136-25</v>
      </c>
      <c r="AE48" s="99" t="str">
        <f t="shared" si="1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48" s="96" t="str">
        <f t="shared" si="13"/>
        <v>"C:\Program Files (x86)\AstroGrep\AstroGrep.exe" /spath="%USERPROFILE%\AppData\Local\Temp\OnboardLogs" /stypes="*4041*20160825*" /stext=" 15:.+((SYSTEM_STATE.+slice.+state.+changed )|(ment ac)|(system.+state.+changed )|(\|lc)|(penalty)|(\[timeout)|(PRM\|1\|D)|(kpr)|(kdp))" /e /r /s</v>
      </c>
      <c r="AG48" s="1" t="str">
        <f t="shared" si="14"/>
        <v>EC</v>
      </c>
      <c r="AH48" s="100" t="str">
        <f t="shared" si="15"/>
        <v>"%USERPROFILE%\Documents\GitHub\eaglep3\Utilities\RefineRTDCRunTimes.py" --tripid 136-25 --locoid 4041 --swversion DE.1.0.7.0 --startMP 204:232992 --initTime 2016-08-25T08:38:47 --startdatetime 2016-08-25T08:56:32 --delay 1 --endMP 204:156 --enddatetime 2016-08-25T09:34:20 --enforcementcount 1 &gt;&gt;C:\Users\stu\Documents\GitHub\eaglep3-reporting\EC\2016-08-25-refined-times.txt</v>
      </c>
      <c r="AI48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{"issue":{"subject":"","project_id":79,"tracker_id":40,"status_id":1,"priority_id":2,"assigned_to_id":23,"start_date":"2016-08-25","description":"","custom_fields":[{"id":1,"name":"Subdivision","value":"EC"},{"id":4,"name":"Milepost","value":"23.2836"},{"id":17,"name":"Train ID","value":"136-25"},{"id":16,"name":"Locomotive ID","value":"4041"},{"id":130,"name":"Impact","value":""},{"id":150,"name":"Time of Event (Mountain Time)","value":"09:34:20"},{"id":151,"name":"Denver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406</v>
      </c>
      <c r="B49" s="7">
        <v>4009</v>
      </c>
      <c r="C49" s="24" t="s">
        <v>113</v>
      </c>
      <c r="D49" s="24" t="s">
        <v>407</v>
      </c>
      <c r="E49" s="15">
        <v>42607.339629629627</v>
      </c>
      <c r="F49" s="15">
        <v>42607.344247685185</v>
      </c>
      <c r="G49" s="7">
        <v>1</v>
      </c>
      <c r="H49" s="15" t="s">
        <v>408</v>
      </c>
      <c r="I49" s="15">
        <v>42607.369108796294</v>
      </c>
      <c r="J49" s="7">
        <v>1</v>
      </c>
      <c r="K49" s="132" t="str">
        <f t="shared" si="0"/>
        <v>4009/4010</v>
      </c>
      <c r="L49" s="24" t="str">
        <f>VLOOKUP(A49,'Trips&amp;Operators'!$C$1:$E$10000,3,FALSE)</f>
        <v>SMITH</v>
      </c>
      <c r="M49" s="6">
        <f t="shared" si="1"/>
        <v>2.4861111109203193E-2</v>
      </c>
      <c r="N49" s="7">
        <f t="shared" si="18"/>
        <v>35.799999997252598</v>
      </c>
      <c r="O49" s="7"/>
      <c r="P49" s="7"/>
      <c r="Q49" s="25"/>
      <c r="R49" s="25"/>
      <c r="S49" s="37">
        <f t="shared" si="3"/>
        <v>1</v>
      </c>
      <c r="T49" s="52" t="str">
        <f t="shared" si="4"/>
        <v>NorthBound</v>
      </c>
      <c r="U49" s="12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07:09:04-0600',mode:absolute,to:'2016-08-25 09:51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49" s="54" t="str">
        <f t="shared" si="6"/>
        <v>N</v>
      </c>
      <c r="X49" s="120">
        <f t="shared" si="19"/>
        <v>1</v>
      </c>
      <c r="Y49" s="69">
        <f t="shared" si="8"/>
        <v>4.3700000000000003E-2</v>
      </c>
      <c r="Z49" s="69">
        <f t="shared" si="9"/>
        <v>23.332100000000001</v>
      </c>
      <c r="AA49" s="69">
        <f t="shared" si="10"/>
        <v>23.288399999999999</v>
      </c>
      <c r="AB49" s="66" t="e">
        <f>VLOOKUP(A49,Enforcements!$C$7:$J$21,8,0)</f>
        <v>#N/A</v>
      </c>
      <c r="AC49" s="62" t="e">
        <f>VLOOKUP(A49,Enforcements!$C$7:$E$21,3,0)</f>
        <v>#N/A</v>
      </c>
      <c r="AD49" s="63" t="str">
        <f t="shared" si="11"/>
        <v>0137-25</v>
      </c>
      <c r="AE49" s="99" t="str">
        <f t="shared" si="12"/>
        <v>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 &amp; 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</v>
      </c>
      <c r="AF49" s="96" t="str">
        <f t="shared" si="13"/>
        <v>"C:\Program Files (x86)\AstroGrep\AstroGrep.exe" /spath="%USERPROFILE%\AppData\Local\Temp\OnboardLogs" /stypes="*4009*20160825*" /stext=" 14:.+((SYSTEM_STATE.+slice.+state.+changed )|(ment ac)|(system.+state.+changed )|(\|lc)|(penalty)|(\[timeout)|(PRM\|1\|D)|(kpr)|(kdp))" /e /r /s</v>
      </c>
      <c r="AG49" s="1" t="str">
        <f t="shared" si="14"/>
        <v>EC</v>
      </c>
      <c r="AH49" s="100" t="str">
        <f t="shared" si="15"/>
        <v>"%USERPROFILE%\Documents\GitHub\eaglep3\Utilities\RefineRTDCRunTimes.py" --tripid 137-25 --locoid 4009 --swversion DE.1.0.7.0 --startMP 204:437 --initTime 2016-08-25T08:09:04 --startdatetime 2016-08-25T08:15:43 --delay 1 --endMP 204:233321 --enddatetime 2016-08-25T08:51:31 --enforcementcount 1 &gt;&gt;C:\Users\stu\Documents\GitHub\eaglep3-reporting\EC\2016-08-25-refined-times.txt</v>
      </c>
      <c r="AI49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{"issue":{"subject":"","project_id":79,"tracker_id":40,"status_id":1,"priority_id":2,"assigned_to_id":23,"start_date":"2016-08-25","description":"","custom_fields":[{"id":1,"name":"Subdivision","value":"EC"},{"id":4,"name":"Milepost","value":"23.2884"},{"id":17,"name":"Train ID","value":"137-25"},{"id":16,"name":"Locomotive ID","value":"4009"},{"id":130,"name":"Impact","value":""},{"id":150,"name":"Time of Event (Mountain Time)","value":"08:51:31"},{"id":151,"name":"Denver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409</v>
      </c>
      <c r="B50" s="7">
        <v>4010</v>
      </c>
      <c r="C50" s="24" t="s">
        <v>113</v>
      </c>
      <c r="D50" s="24" t="s">
        <v>241</v>
      </c>
      <c r="E50" s="15">
        <v>42607.371886574074</v>
      </c>
      <c r="F50" s="15">
        <v>42607.383240740739</v>
      </c>
      <c r="G50" s="7">
        <v>1</v>
      </c>
      <c r="H50" s="15" t="s">
        <v>136</v>
      </c>
      <c r="I50" s="15">
        <v>42607.410636574074</v>
      </c>
      <c r="J50" s="7">
        <v>1</v>
      </c>
      <c r="K50" s="132" t="str">
        <f t="shared" si="0"/>
        <v>4009/4010</v>
      </c>
      <c r="L50" s="24" t="str">
        <f>VLOOKUP(A50,'Trips&amp;Operators'!$C$1:$E$10000,3,FALSE)</f>
        <v>SMITH</v>
      </c>
      <c r="M50" s="6">
        <f t="shared" si="1"/>
        <v>2.7395833334594499E-2</v>
      </c>
      <c r="N50" s="7">
        <f t="shared" si="18"/>
        <v>39.450000001816079</v>
      </c>
      <c r="O50" s="7"/>
      <c r="P50" s="7"/>
      <c r="Q50" s="25"/>
      <c r="R50" s="25"/>
      <c r="S50" s="37">
        <f t="shared" si="3"/>
        <v>1</v>
      </c>
      <c r="T50" s="52" t="str">
        <f t="shared" si="4"/>
        <v>Southbound</v>
      </c>
      <c r="U50" s="12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07:55:31-0600',mode:absolute,to:'2016-08-25 10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50" s="54" t="str">
        <f t="shared" si="6"/>
        <v>N</v>
      </c>
      <c r="X50" s="120">
        <f t="shared" si="19"/>
        <v>1</v>
      </c>
      <c r="Y50" s="69">
        <f t="shared" si="8"/>
        <v>23.2989</v>
      </c>
      <c r="Z50" s="69">
        <f t="shared" si="9"/>
        <v>1.49E-2</v>
      </c>
      <c r="AA50" s="69">
        <f t="shared" si="10"/>
        <v>23.283999999999999</v>
      </c>
      <c r="AB50" s="66" t="e">
        <f>VLOOKUP(A50,Enforcements!$C$7:$J$21,8,0)</f>
        <v>#N/A</v>
      </c>
      <c r="AC50" s="62" t="e">
        <f>VLOOKUP(A50,Enforcements!$C$7:$E$21,3,0)</f>
        <v>#N/A</v>
      </c>
      <c r="AD50" s="63" t="str">
        <f t="shared" si="11"/>
        <v>0138-25</v>
      </c>
      <c r="AE50" s="99" t="str">
        <f t="shared" si="12"/>
        <v>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 &amp; 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</v>
      </c>
      <c r="AF50" s="96" t="str">
        <f t="shared" si="13"/>
        <v>"C:\Program Files (x86)\AstroGrep\AstroGrep.exe" /spath="%USERPROFILE%\AppData\Local\Temp\OnboardLogs" /stypes="*4010*20160825*" /stext=" 15:.+((SYSTEM_STATE.+slice.+state.+changed )|(ment ac)|(system.+state.+changed )|(\|lc)|(penalty)|(\[timeout)|(PRM\|1\|D)|(kpr)|(kdp))" /e /r /s</v>
      </c>
      <c r="AG50" s="1" t="str">
        <f t="shared" si="14"/>
        <v>EC</v>
      </c>
      <c r="AH50" s="100" t="str">
        <f t="shared" si="15"/>
        <v>"%USERPROFILE%\Documents\GitHub\eaglep3\Utilities\RefineRTDCRunTimes.py" --tripid 138-25 --locoid 4010 --swversion DE.1.0.7.0 --startMP 204:232989 --initTime 2016-08-25T08:55:31 --startdatetime 2016-08-25T09:11:52 --delay 1 --endMP 204:149 --enddatetime 2016-08-25T09:51:19 --enforcementcount 1 &gt;&gt;C:\Users\stu\Documents\GitHub\eaglep3-reporting\EC\2016-08-25-refined-times.txt</v>
      </c>
      <c r="AI50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{"issue":{"subject":"","project_id":79,"tracker_id":40,"status_id":1,"priority_id":2,"assigned_to_id":23,"start_date":"2016-08-25","description":"","custom_fields":[{"id":1,"name":"Subdivision","value":"EC"},{"id":4,"name":"Milepost","value":"23.284"},{"id":17,"name":"Train ID","value":"138-25"},{"id":16,"name":"Locomotive ID","value":"4010"},{"id":130,"name":"Impact","value":""},{"id":150,"name":"Time of Event (Mountain Time)","value":"09:51:19"},{"id":151,"name":"Denver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410</v>
      </c>
      <c r="B51" s="7">
        <v>4031</v>
      </c>
      <c r="C51" s="24" t="s">
        <v>113</v>
      </c>
      <c r="D51" s="24" t="s">
        <v>125</v>
      </c>
      <c r="E51" s="15">
        <v>42607.350393518522</v>
      </c>
      <c r="F51" s="15">
        <v>42607.35434027778</v>
      </c>
      <c r="G51" s="7">
        <v>1</v>
      </c>
      <c r="H51" s="15" t="s">
        <v>197</v>
      </c>
      <c r="I51" s="15">
        <v>42607.381122685183</v>
      </c>
      <c r="J51" s="7">
        <v>1</v>
      </c>
      <c r="K51" s="132" t="str">
        <f t="shared" si="0"/>
        <v>4031/4032</v>
      </c>
      <c r="L51" s="24" t="str">
        <f>VLOOKUP(A51,'Trips&amp;Operators'!$C$1:$E$10000,3,FALSE)</f>
        <v>STARKS</v>
      </c>
      <c r="M51" s="6">
        <f t="shared" si="1"/>
        <v>2.6782407403516117E-2</v>
      </c>
      <c r="N51" s="7">
        <f t="shared" si="18"/>
        <v>38.566666661063209</v>
      </c>
      <c r="O51" s="7"/>
      <c r="P51" s="7"/>
      <c r="Q51" s="25"/>
      <c r="R51" s="25"/>
      <c r="S51" s="37">
        <f t="shared" si="3"/>
        <v>1</v>
      </c>
      <c r="T51" s="52" t="str">
        <f t="shared" si="4"/>
        <v>NorthBound</v>
      </c>
      <c r="U51" s="12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07:24:34-0600',mode:absolute,to:'2016-08-25 10:08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51" s="54" t="str">
        <f t="shared" si="6"/>
        <v>N</v>
      </c>
      <c r="X51" s="120">
        <f t="shared" si="19"/>
        <v>1</v>
      </c>
      <c r="Y51" s="69">
        <f t="shared" si="8"/>
        <v>4.5499999999999999E-2</v>
      </c>
      <c r="Z51" s="69">
        <f t="shared" si="9"/>
        <v>23.3293</v>
      </c>
      <c r="AA51" s="69">
        <f t="shared" si="10"/>
        <v>23.283799999999999</v>
      </c>
      <c r="AB51" s="66" t="e">
        <f>VLOOKUP(A51,Enforcements!$C$7:$J$21,8,0)</f>
        <v>#N/A</v>
      </c>
      <c r="AC51" s="62" t="e">
        <f>VLOOKUP(A51,Enforcements!$C$7:$E$21,3,0)</f>
        <v>#N/A</v>
      </c>
      <c r="AD51" s="63" t="str">
        <f t="shared" si="11"/>
        <v>0139-25</v>
      </c>
      <c r="AE51" s="99" t="str">
        <f t="shared" si="12"/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51" s="96" t="str">
        <f t="shared" si="13"/>
        <v>"C:\Program Files (x86)\AstroGrep\AstroGrep.exe" /spath="%USERPROFILE%\AppData\Local\Temp\OnboardLogs" /stypes="*4031*20160825*" /stext=" 15:.+((SYSTEM_STATE.+slice.+state.+changed )|(ment ac)|(system.+state.+changed )|(\|lc)|(penalty)|(\[timeout)|(PRM\|1\|D)|(kpr)|(kdp))" /e /r /s</v>
      </c>
      <c r="AG51" s="1" t="str">
        <f t="shared" si="14"/>
        <v>EC</v>
      </c>
      <c r="AH51" s="100" t="str">
        <f t="shared" si="15"/>
        <v>"%USERPROFILE%\Documents\GitHub\eaglep3\Utilities\RefineRTDCRunTimes.py" --tripid 139-25 --locoid 4031 --swversion DE.1.0.7.0 --startMP 204:455 --initTime 2016-08-25T08:24:34 --startdatetime 2016-08-25T08:30:15 --delay 1 --endMP 204:233293 --enddatetime 2016-08-25T09:08:49 --enforcementcount 1 &gt;&gt;C:\Users\stu\Documents\GitHub\eaglep3-reporting\EC\2016-08-25-refined-times.txt</v>
      </c>
      <c r="AI51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{"issue":{"subject":"","project_id":79,"tracker_id":40,"status_id":1,"priority_id":2,"assigned_to_id":23,"start_date":"2016-08-25","description":"","custom_fields":[{"id":1,"name":"Subdivision","value":"EC"},{"id":4,"name":"Milepost","value":"23.2838"},{"id":17,"name":"Train ID","value":"139-25"},{"id":16,"name":"Locomotive ID","value":"4031"},{"id":130,"name":"Impact","value":""},{"id":150,"name":"Time of Event (Mountain Time)","value":"09:08:49"},{"id":151,"name":"Denver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411</v>
      </c>
      <c r="B52" s="7">
        <v>4032</v>
      </c>
      <c r="C52" s="24" t="s">
        <v>113</v>
      </c>
      <c r="D52" s="24" t="s">
        <v>319</v>
      </c>
      <c r="E52" s="15">
        <v>42607.390648148146</v>
      </c>
      <c r="F52" s="15">
        <v>42607.393263888887</v>
      </c>
      <c r="G52" s="7">
        <v>1</v>
      </c>
      <c r="H52" s="15" t="s">
        <v>177</v>
      </c>
      <c r="I52" s="15">
        <v>42607.420231481483</v>
      </c>
      <c r="J52" s="7">
        <v>1</v>
      </c>
      <c r="K52" s="132" t="str">
        <f t="shared" si="0"/>
        <v>4031/4032</v>
      </c>
      <c r="L52" s="24" t="str">
        <f>VLOOKUP(A52,'Trips&amp;Operators'!$C$1:$E$10000,3,FALSE)</f>
        <v>STARKS</v>
      </c>
      <c r="M52" s="6">
        <f t="shared" si="1"/>
        <v>2.6967592595610768E-2</v>
      </c>
      <c r="N52" s="7">
        <f t="shared" si="18"/>
        <v>38.833333337679505</v>
      </c>
      <c r="O52" s="7"/>
      <c r="P52" s="7"/>
      <c r="Q52" s="25"/>
      <c r="R52" s="25"/>
      <c r="S52" s="37">
        <f t="shared" si="3"/>
        <v>1</v>
      </c>
      <c r="T52" s="52" t="str">
        <f t="shared" si="4"/>
        <v>Southbound</v>
      </c>
      <c r="U52" s="12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08:22:32-0600',mode:absolute,to:'2016-08-25 11:05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52" s="54" t="str">
        <f t="shared" si="6"/>
        <v>N</v>
      </c>
      <c r="X52" s="120">
        <f t="shared" si="19"/>
        <v>1</v>
      </c>
      <c r="Y52" s="69">
        <f t="shared" si="8"/>
        <v>23.296099999999999</v>
      </c>
      <c r="Z52" s="69">
        <f t="shared" si="9"/>
        <v>1.52E-2</v>
      </c>
      <c r="AA52" s="69">
        <f t="shared" si="10"/>
        <v>23.280899999999999</v>
      </c>
      <c r="AB52" s="66" t="e">
        <f>VLOOKUP(A52,Enforcements!$C$7:$J$21,8,0)</f>
        <v>#N/A</v>
      </c>
      <c r="AC52" s="62" t="e">
        <f>VLOOKUP(A52,Enforcements!$C$7:$E$21,3,0)</f>
        <v>#N/A</v>
      </c>
      <c r="AD52" s="63" t="str">
        <f t="shared" si="11"/>
        <v>0140-25</v>
      </c>
      <c r="AE52" s="99" t="str">
        <f t="shared" si="1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52" s="96" t="str">
        <f t="shared" si="13"/>
        <v>"C:\Program Files (x86)\AstroGrep\AstroGrep.exe" /spath="%USERPROFILE%\AppData\Local\Temp\OnboardLogs" /stypes="*4032*20160825*" /stext=" 16:.+((SYSTEM_STATE.+slice.+state.+changed )|(ment ac)|(system.+state.+changed )|(\|lc)|(penalty)|(\[timeout)|(PRM\|1\|D)|(kpr)|(kdp))" /e /r /s</v>
      </c>
      <c r="AG52" s="1" t="str">
        <f t="shared" si="14"/>
        <v>EC</v>
      </c>
      <c r="AH52" s="100" t="str">
        <f t="shared" si="15"/>
        <v>"%USERPROFILE%\Documents\GitHub\eaglep3\Utilities\RefineRTDCRunTimes.py" --tripid 140-25 --locoid 4032 --swversion DE.1.0.7.0 --startMP 204:232961 --initTime 2016-08-25T09:22:32 --startdatetime 2016-08-25T09:26:18 --delay 1 --endMP 204:152 --enddatetime 2016-08-25T10:05:08 --enforcementcount 1 &gt;&gt;C:\Users\stu\Documents\GitHub\eaglep3-reporting\EC\2016-08-25-refined-times.txt</v>
      </c>
      <c r="AI52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{"issue":{"subject":"","project_id":79,"tracker_id":40,"status_id":1,"priority_id":2,"assigned_to_id":23,"start_date":"2016-08-25","description":"","custom_fields":[{"id":1,"name":"Subdivision","value":"EC"},{"id":4,"name":"Milepost","value":"23.2809"},{"id":17,"name":"Train ID","value":"140-25"},{"id":16,"name":"Locomotive ID","value":"4032"},{"id":130,"name":"Impact","value":""},{"id":150,"name":"Time of Event (Mountain Time)","value":"10:05:08"},{"id":151,"name":"Denver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412</v>
      </c>
      <c r="B53" s="7">
        <v>4011</v>
      </c>
      <c r="C53" s="24" t="s">
        <v>113</v>
      </c>
      <c r="D53" s="24" t="s">
        <v>135</v>
      </c>
      <c r="E53" s="15">
        <v>42607.360358796293</v>
      </c>
      <c r="F53" s="15">
        <v>42607.364803240744</v>
      </c>
      <c r="G53" s="7">
        <v>1</v>
      </c>
      <c r="H53" s="15" t="s">
        <v>413</v>
      </c>
      <c r="I53" s="15">
        <v>42607.390092592592</v>
      </c>
      <c r="J53" s="7">
        <v>1</v>
      </c>
      <c r="K53" s="132" t="str">
        <f t="shared" si="0"/>
        <v>4011/4012</v>
      </c>
      <c r="L53" s="24" t="str">
        <f>VLOOKUP(A53,'Trips&amp;Operators'!$C$1:$E$10000,3,FALSE)</f>
        <v>MAELZER</v>
      </c>
      <c r="M53" s="6">
        <f t="shared" si="1"/>
        <v>2.5289351848186925E-2</v>
      </c>
      <c r="N53" s="7">
        <f t="shared" si="18"/>
        <v>36.416666661389172</v>
      </c>
      <c r="O53" s="7"/>
      <c r="P53" s="7"/>
      <c r="Q53" s="25"/>
      <c r="R53" s="25"/>
      <c r="S53" s="37">
        <f t="shared" si="3"/>
        <v>1</v>
      </c>
      <c r="T53" s="52" t="str">
        <f t="shared" si="4"/>
        <v>NorthBound</v>
      </c>
      <c r="U53" s="12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07:38:55-0600',mode:absolute,to:'2016-08-25 10:21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53" s="54" t="str">
        <f t="shared" si="6"/>
        <v>N</v>
      </c>
      <c r="X53" s="120">
        <f t="shared" si="19"/>
        <v>1</v>
      </c>
      <c r="Y53" s="69">
        <f t="shared" si="8"/>
        <v>4.4900000000000002E-2</v>
      </c>
      <c r="Z53" s="69">
        <f t="shared" si="9"/>
        <v>23.330400000000001</v>
      </c>
      <c r="AA53" s="69">
        <f t="shared" si="10"/>
        <v>23.285500000000003</v>
      </c>
      <c r="AB53" s="66" t="e">
        <f>VLOOKUP(A53,Enforcements!$C$7:$J$21,8,0)</f>
        <v>#N/A</v>
      </c>
      <c r="AC53" s="62" t="e">
        <f>VLOOKUP(A53,Enforcements!$C$7:$E$21,3,0)</f>
        <v>#N/A</v>
      </c>
      <c r="AD53" s="63" t="str">
        <f t="shared" si="11"/>
        <v>0141-25</v>
      </c>
      <c r="AE53" s="99" t="str">
        <f t="shared" si="12"/>
        <v>aws s3 cp s3://rtdc.mdm.uploadarchive/RTDC4011/2016-08-25/ "%USERPROFILE%\AppData\Local\Temp\OnboardLogs"\RTDC4011\2016-08-25 --recursive &amp; "%USERPROFILE%\Documents\GitHub\mrs-test-scripts\Headless Mode &amp; Sideloading\WalkAndUnGZ.bat" "%USERPROFILE%\AppData\Local\Temp\OnboardLogs"\RTDC4011\2016-08-25 &amp; 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</v>
      </c>
      <c r="AF53" s="96" t="str">
        <f t="shared" si="13"/>
        <v>"C:\Program Files (x86)\AstroGrep\AstroGrep.exe" /spath="%USERPROFILE%\AppData\Local\Temp\OnboardLogs" /stypes="*4011*20160825*" /stext=" 15:.+((SYSTEM_STATE.+slice.+state.+changed )|(ment ac)|(system.+state.+changed )|(\|lc)|(penalty)|(\[timeout)|(PRM\|1\|D)|(kpr)|(kdp))" /e /r /s</v>
      </c>
      <c r="AG53" s="1" t="str">
        <f t="shared" si="14"/>
        <v>EC</v>
      </c>
      <c r="AH53" s="100" t="str">
        <f t="shared" si="15"/>
        <v>"%USERPROFILE%\Documents\GitHub\eaglep3\Utilities\RefineRTDCRunTimes.py" --tripid 141-25 --locoid 4011 --swversion DE.1.0.7.0 --startMP 204:449 --initTime 2016-08-25T08:38:55 --startdatetime 2016-08-25T08:45:19 --delay 1 --endMP 204:233304 --enddatetime 2016-08-25T09:21:44 --enforcementcount 1 &gt;&gt;C:\Users\stu\Documents\GitHub\eaglep3-reporting\EC\2016-08-25-refined-times.txt</v>
      </c>
      <c r="AI53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{"issue":{"subject":"","project_id":79,"tracker_id":40,"status_id":1,"priority_id":2,"assigned_to_id":23,"start_date":"2016-08-25","description":"","custom_fields":[{"id":1,"name":"Subdivision","value":"EC"},{"id":4,"name":"Milepost","value":"23.2855"},{"id":17,"name":"Train ID","value":"141-25"},{"id":16,"name":"Locomotive ID","value":"4011"},{"id":130,"name":"Impact","value":""},{"id":150,"name":"Time of Event (Mountain Time)","value":"09:21:44"},{"id":151,"name":"Denver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414</v>
      </c>
      <c r="B54" s="7">
        <v>4012</v>
      </c>
      <c r="C54" s="24" t="s">
        <v>113</v>
      </c>
      <c r="D54" s="24" t="s">
        <v>397</v>
      </c>
      <c r="E54" s="15">
        <v>42607.397499999999</v>
      </c>
      <c r="F54" s="15">
        <v>42607.403912037036</v>
      </c>
      <c r="G54" s="7">
        <v>1</v>
      </c>
      <c r="H54" s="15" t="s">
        <v>221</v>
      </c>
      <c r="I54" s="15">
        <v>42607.43041666667</v>
      </c>
      <c r="J54" s="7">
        <v>1</v>
      </c>
      <c r="K54" s="132" t="str">
        <f t="shared" si="0"/>
        <v>4011/4012</v>
      </c>
      <c r="L54" s="24" t="str">
        <f>VLOOKUP(A54,'Trips&amp;Operators'!$C$1:$E$10000,3,FALSE)</f>
        <v>MAELZER</v>
      </c>
      <c r="M54" s="6">
        <f t="shared" si="1"/>
        <v>2.6504629633564036E-2</v>
      </c>
      <c r="N54" s="7">
        <f t="shared" si="18"/>
        <v>38.166666672332212</v>
      </c>
      <c r="O54" s="7"/>
      <c r="P54" s="7"/>
      <c r="Q54" s="25"/>
      <c r="R54" s="25"/>
      <c r="S54" s="37">
        <f t="shared" si="3"/>
        <v>1</v>
      </c>
      <c r="T54" s="52" t="str">
        <f t="shared" si="4"/>
        <v>Southbound</v>
      </c>
      <c r="U54" s="12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08:32:24-0600',mode:absolute,to:'2016-08-25 11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54" s="54" t="str">
        <f t="shared" si="6"/>
        <v>N</v>
      </c>
      <c r="X54" s="120">
        <f t="shared" si="19"/>
        <v>1</v>
      </c>
      <c r="Y54" s="69">
        <f t="shared" si="8"/>
        <v>23.299299999999999</v>
      </c>
      <c r="Z54" s="69">
        <f t="shared" si="9"/>
        <v>1.3899999999999999E-2</v>
      </c>
      <c r="AA54" s="69">
        <f t="shared" si="10"/>
        <v>23.285399999999999</v>
      </c>
      <c r="AB54" s="66" t="e">
        <f>VLOOKUP(A54,Enforcements!$C$7:$J$21,8,0)</f>
        <v>#N/A</v>
      </c>
      <c r="AC54" s="62" t="e">
        <f>VLOOKUP(A54,Enforcements!$C$7:$E$21,3,0)</f>
        <v>#N/A</v>
      </c>
      <c r="AD54" s="63" t="str">
        <f t="shared" si="11"/>
        <v>0142-25</v>
      </c>
      <c r="AE54" s="99" t="str">
        <f t="shared" si="12"/>
        <v>aws s3 cp s3://rtdc.mdm.uploadarchive/RTDC4012/2016-08-25/ "%USERPROFILE%\AppData\Local\Temp\OnboardLogs"\RTDC4012\2016-08-25 --recursive &amp; "%USERPROFILE%\Documents\GitHub\mrs-test-scripts\Headless Mode &amp; Sideloading\WalkAndUnGZ.bat" "%USERPROFILE%\AppData\Local\Temp\OnboardLogs"\RTDC4012\2016-08-25 &amp; 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</v>
      </c>
      <c r="AF54" s="96" t="str">
        <f t="shared" si="13"/>
        <v>"C:\Program Files (x86)\AstroGrep\AstroGrep.exe" /spath="%USERPROFILE%\AppData\Local\Temp\OnboardLogs" /stypes="*4012*20160825*" /stext=" 16:.+((SYSTEM_STATE.+slice.+state.+changed )|(ment ac)|(system.+state.+changed )|(\|lc)|(penalty)|(\[timeout)|(PRM\|1\|D)|(kpr)|(kdp))" /e /r /s</v>
      </c>
      <c r="AG54" s="1" t="str">
        <f t="shared" si="14"/>
        <v>EC</v>
      </c>
      <c r="AH54" s="100" t="str">
        <f t="shared" si="15"/>
        <v>"%USERPROFILE%\Documents\GitHub\eaglep3\Utilities\RefineRTDCRunTimes.py" --tripid 142-25 --locoid 4012 --swversion DE.1.0.7.0 --startMP 204:232993 --initTime 2016-08-25T09:32:24 --startdatetime 2016-08-25T09:41:38 --delay 1 --endMP 204:139 --enddatetime 2016-08-25T10:19:48 --enforcementcount 1 &gt;&gt;C:\Users\stu\Documents\GitHub\eaglep3-reporting\EC\2016-08-25-refined-times.txt</v>
      </c>
      <c r="AI54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{"issue":{"subject":"","project_id":79,"tracker_id":40,"status_id":1,"priority_id":2,"assigned_to_id":23,"start_date":"2016-08-25","description":"","custom_fields":[{"id":1,"name":"Subdivision","value":"EC"},{"id":4,"name":"Milepost","value":"23.2854"},{"id":17,"name":"Train ID","value":"142-25"},{"id":16,"name":"Locomotive ID","value":"4012"},{"id":130,"name":"Impact","value":""},{"id":150,"name":"Time of Event (Mountain Time)","value":"10:19:48"},{"id":151,"name":"Denver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415</v>
      </c>
      <c r="B55" s="7">
        <v>4044</v>
      </c>
      <c r="C55" s="24" t="s">
        <v>113</v>
      </c>
      <c r="D55" s="24" t="s">
        <v>191</v>
      </c>
      <c r="E55" s="15">
        <v>42607.368460648147</v>
      </c>
      <c r="F55" s="15">
        <v>42607.375138888892</v>
      </c>
      <c r="G55" s="7">
        <v>0</v>
      </c>
      <c r="H55" s="15" t="s">
        <v>155</v>
      </c>
      <c r="I55" s="15">
        <v>42607.404583333337</v>
      </c>
      <c r="J55" s="7">
        <v>1</v>
      </c>
      <c r="K55" s="132" t="str">
        <f t="shared" si="0"/>
        <v>4043/4044</v>
      </c>
      <c r="L55" s="24" t="str">
        <f>VLOOKUP(A55,'Trips&amp;Operators'!$C$1:$E$10000,3,FALSE)</f>
        <v>BRANNON</v>
      </c>
      <c r="M55" s="6">
        <f t="shared" si="1"/>
        <v>2.9444444444379769E-2</v>
      </c>
      <c r="N55" s="7">
        <f t="shared" si="18"/>
        <v>42.399999999906868</v>
      </c>
      <c r="O55" s="7"/>
      <c r="P55" s="7"/>
      <c r="Q55" s="25"/>
      <c r="R55" s="25"/>
      <c r="S55" s="37">
        <f t="shared" si="3"/>
        <v>1</v>
      </c>
      <c r="T55" s="52" t="str">
        <f t="shared" si="4"/>
        <v>NorthBound</v>
      </c>
      <c r="U55" s="12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07:50:35-0600',mode:absolute,to:'2016-08-25 10:42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55" s="54" t="str">
        <f t="shared" si="6"/>
        <v>N</v>
      </c>
      <c r="X55" s="120">
        <f t="shared" si="19"/>
        <v>1</v>
      </c>
      <c r="Y55" s="69">
        <f t="shared" si="8"/>
        <v>4.4699999999999997E-2</v>
      </c>
      <c r="Z55" s="69">
        <f t="shared" si="9"/>
        <v>23.3291</v>
      </c>
      <c r="AA55" s="69">
        <f t="shared" si="10"/>
        <v>23.284400000000002</v>
      </c>
      <c r="AB55" s="66" t="e">
        <f>VLOOKUP(A55,Enforcements!$C$7:$J$21,8,0)</f>
        <v>#N/A</v>
      </c>
      <c r="AC55" s="62" t="e">
        <f>VLOOKUP(A55,Enforcements!$C$7:$E$21,3,0)</f>
        <v>#N/A</v>
      </c>
      <c r="AD55" s="63" t="str">
        <f t="shared" si="11"/>
        <v>0143-25</v>
      </c>
      <c r="AE55" s="99" t="str">
        <f t="shared" si="1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55" s="96" t="str">
        <f t="shared" si="13"/>
        <v>"C:\Program Files (x86)\AstroGrep\AstroGrep.exe" /spath="%USERPROFILE%\AppData\Local\Temp\OnboardLogs" /stypes="*4044*20160825*" /stext=" 15:.+((SYSTEM_STATE.+slice.+state.+changed )|(ment ac)|(system.+state.+changed )|(\|lc)|(penalty)|(\[timeout)|(PRM\|1\|D)|(kpr)|(kdp))" /e /r /s</v>
      </c>
      <c r="AG55" s="1" t="str">
        <f t="shared" si="14"/>
        <v>EC</v>
      </c>
      <c r="AH55" s="100" t="str">
        <f t="shared" si="15"/>
        <v>"%USERPROFILE%\Documents\GitHub\eaglep3\Utilities\RefineRTDCRunTimes.py" --tripid 143-25 --locoid 4044 --swversion DE.1.0.7.0 --startMP 204:447 --initTime 2016-08-25T08:50:35 --startdatetime 2016-08-25T09:00:12 --delay 0 --endMP 204:233291 --enddatetime 2016-08-25T09:42:36 --enforcementcount 1 &gt;&gt;C:\Users\stu\Documents\GitHub\eaglep3-reporting\EC\2016-08-25-refined-times.txt</v>
      </c>
      <c r="AI55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{"issue":{"subject":"","project_id":79,"tracker_id":40,"status_id":1,"priority_id":2,"assigned_to_id":23,"start_date":"2016-08-25","description":"","custom_fields":[{"id":1,"name":"Subdivision","value":"EC"},{"id":4,"name":"Milepost","value":"23.2844"},{"id":17,"name":"Train ID","value":"143-25"},{"id":16,"name":"Locomotive ID","value":"4044"},{"id":130,"name":"Impact","value":""},{"id":150,"name":"Time of Event (Mountain Time)","value":"09:42:36"},{"id":151,"name":"Denver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416</v>
      </c>
      <c r="B56" s="7">
        <v>4043</v>
      </c>
      <c r="C56" s="24" t="s">
        <v>113</v>
      </c>
      <c r="D56" s="24" t="s">
        <v>210</v>
      </c>
      <c r="E56" s="15">
        <v>42607.410162037035</v>
      </c>
      <c r="F56" s="15">
        <v>42607.414363425924</v>
      </c>
      <c r="G56" s="7">
        <v>1</v>
      </c>
      <c r="H56" s="15" t="s">
        <v>153</v>
      </c>
      <c r="I56" s="15">
        <v>42607.444062499999</v>
      </c>
      <c r="J56" s="7">
        <v>1</v>
      </c>
      <c r="K56" s="132" t="str">
        <f t="shared" si="0"/>
        <v>4043/4044</v>
      </c>
      <c r="L56" s="24" t="str">
        <f>VLOOKUP(A56,'Trips&amp;Operators'!$C$1:$E$10000,3,FALSE)</f>
        <v>CLARK</v>
      </c>
      <c r="M56" s="6">
        <f t="shared" si="1"/>
        <v>2.9699074075324461E-2</v>
      </c>
      <c r="N56" s="7">
        <f t="shared" si="18"/>
        <v>42.766666668467224</v>
      </c>
      <c r="O56" s="7"/>
      <c r="P56" s="7"/>
      <c r="Q56" s="25"/>
      <c r="R56" s="25"/>
      <c r="S56" s="37">
        <f t="shared" si="3"/>
        <v>1</v>
      </c>
      <c r="T56" s="52" t="str">
        <f t="shared" si="4"/>
        <v>Southbound</v>
      </c>
      <c r="U56" s="12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08:50:38-0600',mode:absolute,to:'2016-08-25 11:39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56" s="54" t="str">
        <f t="shared" si="6"/>
        <v>N</v>
      </c>
      <c r="X56" s="120">
        <f t="shared" si="19"/>
        <v>1</v>
      </c>
      <c r="Y56" s="69">
        <f t="shared" si="8"/>
        <v>23.297799999999999</v>
      </c>
      <c r="Z56" s="69">
        <f t="shared" si="9"/>
        <v>1.5599999999999999E-2</v>
      </c>
      <c r="AA56" s="69">
        <f t="shared" si="10"/>
        <v>23.2822</v>
      </c>
      <c r="AB56" s="66" t="e">
        <f>VLOOKUP(A56,Enforcements!$C$7:$J$21,8,0)</f>
        <v>#N/A</v>
      </c>
      <c r="AC56" s="62" t="e">
        <f>VLOOKUP(A56,Enforcements!$C$7:$E$21,3,0)</f>
        <v>#N/A</v>
      </c>
      <c r="AD56" s="63" t="str">
        <f t="shared" si="11"/>
        <v>0144-25</v>
      </c>
      <c r="AE56" s="99" t="str">
        <f t="shared" si="12"/>
        <v>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 &amp; 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</v>
      </c>
      <c r="AF56" s="96" t="str">
        <f t="shared" si="13"/>
        <v>"C:\Program Files (x86)\AstroGrep\AstroGrep.exe" /spath="%USERPROFILE%\AppData\Local\Temp\OnboardLogs" /stypes="*4043*20160825*" /stext=" 16:.+((SYSTEM_STATE.+slice.+state.+changed )|(ment ac)|(system.+state.+changed )|(\|lc)|(penalty)|(\[timeout)|(PRM\|1\|D)|(kpr)|(kdp))" /e /r /s</v>
      </c>
      <c r="AG56" s="1" t="str">
        <f t="shared" si="14"/>
        <v>EC</v>
      </c>
      <c r="AH56" s="100" t="str">
        <f t="shared" si="15"/>
        <v>"%USERPROFILE%\Documents\GitHub\eaglep3\Utilities\RefineRTDCRunTimes.py" --tripid 144-25 --locoid 4043 --swversion DE.1.0.7.0 --startMP 204:232978 --initTime 2016-08-25T09:50:38 --startdatetime 2016-08-25T09:56:41 --delay 1 --endMP 204:156 --enddatetime 2016-08-25T10:39:27 --enforcementcount 1 &gt;&gt;C:\Users\stu\Documents\GitHub\eaglep3-reporting\EC\2016-08-25-refined-times.txt</v>
      </c>
      <c r="AI56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{"issue":{"subject":"","project_id":79,"tracker_id":40,"status_id":1,"priority_id":2,"assigned_to_id":23,"start_date":"2016-08-25","description":"","custom_fields":[{"id":1,"name":"Subdivision","value":"EC"},{"id":4,"name":"Milepost","value":"23.2822"},{"id":17,"name":"Train ID","value":"144-25"},{"id":16,"name":"Locomotive ID","value":"4043"},{"id":130,"name":"Impact","value":""},{"id":150,"name":"Time of Event (Mountain Time)","value":"10:39:27"},{"id":151,"name":"Denver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417</v>
      </c>
      <c r="B57" s="7">
        <v>4020</v>
      </c>
      <c r="C57" s="24" t="s">
        <v>113</v>
      </c>
      <c r="D57" s="24" t="s">
        <v>418</v>
      </c>
      <c r="E57" s="15">
        <v>42607.382025462961</v>
      </c>
      <c r="F57" s="15">
        <v>42607.385578703703</v>
      </c>
      <c r="G57" s="7">
        <v>1</v>
      </c>
      <c r="H57" s="15" t="s">
        <v>219</v>
      </c>
      <c r="I57" s="15">
        <v>42607.41065972222</v>
      </c>
      <c r="J57" s="7">
        <v>1</v>
      </c>
      <c r="K57" s="132" t="str">
        <f t="shared" si="0"/>
        <v>4019/4020</v>
      </c>
      <c r="L57" s="24" t="str">
        <f>VLOOKUP(A57,'Trips&amp;Operators'!$C$1:$E$10000,3,FALSE)</f>
        <v>SPECTOR</v>
      </c>
      <c r="M57" s="6">
        <f t="shared" si="1"/>
        <v>2.5081018517084885E-2</v>
      </c>
      <c r="N57" s="7">
        <f t="shared" si="18"/>
        <v>36.116666664602235</v>
      </c>
      <c r="O57" s="7"/>
      <c r="P57" s="7"/>
      <c r="Q57" s="25"/>
      <c r="R57" s="25"/>
      <c r="S57" s="37">
        <f t="shared" si="3"/>
        <v>1</v>
      </c>
      <c r="T57" s="52" t="str">
        <f t="shared" si="4"/>
        <v>NorthBound</v>
      </c>
      <c r="U57" s="12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08:10:07-0600',mode:absolute,to:'2016-08-25 10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57" s="54" t="str">
        <f t="shared" si="6"/>
        <v>N</v>
      </c>
      <c r="X57" s="120">
        <f t="shared" si="19"/>
        <v>1</v>
      </c>
      <c r="Y57" s="69">
        <f t="shared" si="8"/>
        <v>4.2900000000000001E-2</v>
      </c>
      <c r="Z57" s="69">
        <f t="shared" si="9"/>
        <v>23.331199999999999</v>
      </c>
      <c r="AA57" s="69">
        <f t="shared" si="10"/>
        <v>23.2883</v>
      </c>
      <c r="AB57" s="66" t="e">
        <f>VLOOKUP(A57,Enforcements!$C$7:$J$21,8,0)</f>
        <v>#N/A</v>
      </c>
      <c r="AC57" s="62" t="e">
        <f>VLOOKUP(A57,Enforcements!$C$7:$E$21,3,0)</f>
        <v>#N/A</v>
      </c>
      <c r="AD57" s="63" t="str">
        <f t="shared" si="11"/>
        <v>0145-25</v>
      </c>
      <c r="AE57" s="99" t="str">
        <f t="shared" si="12"/>
        <v>aws s3 cp s3://rtdc.mdm.uploadarchive/RTDC4020/2016-08-25/ "%USERPROFILE%\AppData\Local\Temp\OnboardLogs"\RTDC4020\2016-08-25 --recursive &amp; "%USERPROFILE%\Documents\GitHub\mrs-test-scripts\Headless Mode &amp; Sideloading\WalkAndUnGZ.bat" "%USERPROFILE%\AppData\Local\Temp\OnboardLogs"\RTDC4020\2016-08-25 &amp; 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</v>
      </c>
      <c r="AF57" s="96" t="str">
        <f t="shared" si="13"/>
        <v>"C:\Program Files (x86)\AstroGrep\AstroGrep.exe" /spath="%USERPROFILE%\AppData\Local\Temp\OnboardLogs" /stypes="*4020*20160825*" /stext=" 15:.+((SYSTEM_STATE.+slice.+state.+changed )|(ment ac)|(system.+state.+changed )|(\|lc)|(penalty)|(\[timeout)|(PRM\|1\|D)|(kpr)|(kdp))" /e /r /s</v>
      </c>
      <c r="AG57" s="1" t="str">
        <f t="shared" si="14"/>
        <v>EC</v>
      </c>
      <c r="AH57" s="100" t="str">
        <f t="shared" si="15"/>
        <v>"%USERPROFILE%\Documents\GitHub\eaglep3\Utilities\RefineRTDCRunTimes.py" --tripid 145-25 --locoid 4020 --swversion DE.1.0.7.0 --startMP 204:429 --initTime 2016-08-25T09:10:07 --startdatetime 2016-08-25T09:15:14 --delay 1 --endMP 204:233312 --enddatetime 2016-08-25T09:51:21 --enforcementcount 1 &gt;&gt;C:\Users\stu\Documents\GitHub\eaglep3-reporting\EC\2016-08-25-refined-times.txt</v>
      </c>
      <c r="AI57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{"issue":{"subject":"","project_id":79,"tracker_id":40,"status_id":1,"priority_id":2,"assigned_to_id":23,"start_date":"2016-08-25","description":"","custom_fields":[{"id":1,"name":"Subdivision","value":"EC"},{"id":4,"name":"Milepost","value":"23.2883"},{"id":17,"name":"Train ID","value":"145-25"},{"id":16,"name":"Locomotive ID","value":"4020"},{"id":130,"name":"Impact","value":""},{"id":150,"name":"Time of Event (Mountain Time)","value":"09:51:21"},{"id":151,"name":"Denver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419</v>
      </c>
      <c r="B58" s="7">
        <v>4019</v>
      </c>
      <c r="C58" s="24" t="s">
        <v>113</v>
      </c>
      <c r="D58" s="24" t="s">
        <v>134</v>
      </c>
      <c r="E58" s="15">
        <v>42607.420914351853</v>
      </c>
      <c r="F58" s="15">
        <v>42607.424490740741</v>
      </c>
      <c r="G58" s="7">
        <v>1</v>
      </c>
      <c r="H58" s="15" t="s">
        <v>181</v>
      </c>
      <c r="I58" s="15">
        <v>42607.450960648152</v>
      </c>
      <c r="J58" s="7">
        <v>1</v>
      </c>
      <c r="K58" s="132" t="str">
        <f t="shared" si="0"/>
        <v>4019/4020</v>
      </c>
      <c r="L58" s="24" t="str">
        <f>VLOOKUP(A58,'Trips&amp;Operators'!$C$1:$E$10000,3,FALSE)</f>
        <v>SPECTOR</v>
      </c>
      <c r="M58" s="6">
        <f t="shared" si="1"/>
        <v>2.6469907410501037E-2</v>
      </c>
      <c r="N58" s="7">
        <f t="shared" si="18"/>
        <v>38.116666671121493</v>
      </c>
      <c r="O58" s="7"/>
      <c r="P58" s="7"/>
      <c r="Q58" s="25"/>
      <c r="R58" s="25"/>
      <c r="S58" s="37">
        <f t="shared" si="3"/>
        <v>1</v>
      </c>
      <c r="T58" s="52" t="str">
        <f t="shared" si="4"/>
        <v>Southbound</v>
      </c>
      <c r="U58" s="12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09:06:07-0600',mode:absolute,to:'2016-08-25 11:49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58" s="54" t="str">
        <f t="shared" si="6"/>
        <v>N</v>
      </c>
      <c r="X58" s="120">
        <f t="shared" si="19"/>
        <v>1</v>
      </c>
      <c r="Y58" s="69">
        <f t="shared" si="8"/>
        <v>23.299399999999999</v>
      </c>
      <c r="Z58" s="69">
        <f t="shared" si="9"/>
        <v>1.41E-2</v>
      </c>
      <c r="AA58" s="69">
        <f t="shared" si="10"/>
        <v>23.285299999999999</v>
      </c>
      <c r="AB58" s="66" t="e">
        <f>VLOOKUP(A58,Enforcements!$C$7:$J$21,8,0)</f>
        <v>#N/A</v>
      </c>
      <c r="AC58" s="62" t="e">
        <f>VLOOKUP(A58,Enforcements!$C$7:$E$21,3,0)</f>
        <v>#N/A</v>
      </c>
      <c r="AD58" s="63" t="str">
        <f t="shared" si="11"/>
        <v>0146-25</v>
      </c>
      <c r="AE58" s="99" t="str">
        <f t="shared" si="12"/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AF58" s="96" t="str">
        <f t="shared" si="13"/>
        <v>"C:\Program Files (x86)\AstroGrep\AstroGrep.exe" /spath="%USERPROFILE%\AppData\Local\Temp\OnboardLogs" /stypes="*4019*20160825*" /stext=" 16:.+((SYSTEM_STATE.+slice.+state.+changed )|(ment ac)|(system.+state.+changed )|(\|lc)|(penalty)|(\[timeout)|(PRM\|1\|D)|(kpr)|(kdp))" /e /r /s</v>
      </c>
      <c r="AG58" s="1" t="str">
        <f t="shared" si="14"/>
        <v>EC</v>
      </c>
      <c r="AH58" s="100" t="str">
        <f t="shared" si="15"/>
        <v>"%USERPROFILE%\Documents\GitHub\eaglep3\Utilities\RefineRTDCRunTimes.py" --tripid 146-25 --locoid 4019 --swversion DE.1.0.7.0 --startMP 204:232994 --initTime 2016-08-25T10:06:07 --startdatetime 2016-08-25T10:11:16 --delay 1 --endMP 204:141 --enddatetime 2016-08-25T10:49:23 --enforcementcount 1 &gt;&gt;C:\Users\stu\Documents\GitHub\eaglep3-reporting\EC\2016-08-25-refined-times.txt</v>
      </c>
      <c r="AI58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{"issue":{"subject":"","project_id":79,"tracker_id":40,"status_id":1,"priority_id":2,"assigned_to_id":23,"start_date":"2016-08-25","description":"","custom_fields":[{"id":1,"name":"Subdivision","value":"EC"},{"id":4,"name":"Milepost","value":"23.2853"},{"id":17,"name":"Train ID","value":"146-25"},{"id":16,"name":"Locomotive ID","value":"4019"},{"id":130,"name":"Impact","value":""},{"id":150,"name":"Time of Event (Mountain Time)","value":"10:49:23"},{"id":151,"name":"Denver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420</v>
      </c>
      <c r="B59" s="7">
        <v>4007</v>
      </c>
      <c r="C59" s="24" t="s">
        <v>113</v>
      </c>
      <c r="D59" s="24" t="s">
        <v>133</v>
      </c>
      <c r="E59" s="15">
        <v>42607.391886574071</v>
      </c>
      <c r="F59" s="15">
        <v>42607.396099537036</v>
      </c>
      <c r="G59" s="7">
        <v>1</v>
      </c>
      <c r="H59" s="15" t="s">
        <v>421</v>
      </c>
      <c r="I59" s="15">
        <v>42607.419988425929</v>
      </c>
      <c r="J59" s="7">
        <v>1</v>
      </c>
      <c r="K59" s="132" t="str">
        <f t="shared" si="0"/>
        <v>4007/4008</v>
      </c>
      <c r="L59" s="24" t="str">
        <f>VLOOKUP(A59,'Trips&amp;Operators'!$C$1:$E$10000,3,FALSE)</f>
        <v>BEAM</v>
      </c>
      <c r="M59" s="6">
        <f t="shared" si="1"/>
        <v>2.3888888892543036E-2</v>
      </c>
      <c r="N59" s="7">
        <f t="shared" si="18"/>
        <v>34.400000005261973</v>
      </c>
      <c r="O59" s="7"/>
      <c r="P59" s="7"/>
      <c r="Q59" s="25"/>
      <c r="R59" s="25"/>
      <c r="S59" s="37">
        <f t="shared" si="3"/>
        <v>1</v>
      </c>
      <c r="T59" s="52" t="str">
        <f t="shared" si="4"/>
        <v>NorthBound</v>
      </c>
      <c r="U59" s="12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08:24:19-0600',mode:absolute,to:'2016-08-25 11:04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59" s="54" t="str">
        <f t="shared" si="6"/>
        <v>N</v>
      </c>
      <c r="X59" s="120">
        <f t="shared" si="19"/>
        <v>1</v>
      </c>
      <c r="Y59" s="69">
        <f t="shared" si="8"/>
        <v>4.53E-2</v>
      </c>
      <c r="Z59" s="69">
        <f t="shared" si="9"/>
        <v>23.3276</v>
      </c>
      <c r="AA59" s="69">
        <f t="shared" si="10"/>
        <v>23.282299999999999</v>
      </c>
      <c r="AB59" s="66" t="e">
        <f>VLOOKUP(A59,Enforcements!$C$7:$J$21,8,0)</f>
        <v>#N/A</v>
      </c>
      <c r="AC59" s="62" t="e">
        <f>VLOOKUP(A59,Enforcements!$C$7:$E$21,3,0)</f>
        <v>#N/A</v>
      </c>
      <c r="AD59" s="63" t="str">
        <f t="shared" si="11"/>
        <v>0147-25</v>
      </c>
      <c r="AE59" s="99" t="str">
        <f t="shared" si="1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59" s="96" t="str">
        <f t="shared" si="13"/>
        <v>"C:\Program Files (x86)\AstroGrep\AstroGrep.exe" /spath="%USERPROFILE%\AppData\Local\Temp\OnboardLogs" /stypes="*4007*20160825*" /stext=" 16:.+((SYSTEM_STATE.+slice.+state.+changed )|(ment ac)|(system.+state.+changed )|(\|lc)|(penalty)|(\[timeout)|(PRM\|1\|D)|(kpr)|(kdp))" /e /r /s</v>
      </c>
      <c r="AG59" s="1" t="str">
        <f t="shared" si="14"/>
        <v>EC</v>
      </c>
      <c r="AH59" s="100" t="str">
        <f t="shared" si="15"/>
        <v>"%USERPROFILE%\Documents\GitHub\eaglep3\Utilities\RefineRTDCRunTimes.py" --tripid 147-25 --locoid 4007 --swversion DE.1.0.7.0 --startMP 204:453 --initTime 2016-08-25T09:24:19 --startdatetime 2016-08-25T09:30:23 --delay 1 --endMP 204:233276 --enddatetime 2016-08-25T10:04:47 --enforcementcount 1 &gt;&gt;C:\Users\stu\Documents\GitHub\eaglep3-reporting\EC\2016-08-25-refined-times.txt</v>
      </c>
      <c r="AI59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{"issue":{"subject":"","project_id":79,"tracker_id":40,"status_id":1,"priority_id":2,"assigned_to_id":23,"start_date":"2016-08-25","description":"","custom_fields":[{"id":1,"name":"Subdivision","value":"EC"},{"id":4,"name":"Milepost","value":"23.2823"},{"id":17,"name":"Train ID","value":"147-25"},{"id":16,"name":"Locomotive ID","value":"4007"},{"id":130,"name":"Impact","value":""},{"id":150,"name":"Time of Event (Mountain Time)","value":"10:04:47"},{"id":151,"name":"Denver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422</v>
      </c>
      <c r="B60" s="7">
        <v>4008</v>
      </c>
      <c r="C60" s="24" t="s">
        <v>113</v>
      </c>
      <c r="D60" s="24" t="s">
        <v>198</v>
      </c>
      <c r="E60" s="15">
        <v>42607.430277777778</v>
      </c>
      <c r="F60" s="15">
        <v>42607.435069444444</v>
      </c>
      <c r="G60" s="7">
        <v>1</v>
      </c>
      <c r="H60" s="15" t="s">
        <v>131</v>
      </c>
      <c r="I60" s="15">
        <v>42607.461215277777</v>
      </c>
      <c r="J60" s="7">
        <v>1</v>
      </c>
      <c r="K60" s="132" t="str">
        <f t="shared" si="0"/>
        <v>4007/4008</v>
      </c>
      <c r="L60" s="24" t="str">
        <f>VLOOKUP(A60,'Trips&amp;Operators'!$C$1:$E$10000,3,FALSE)</f>
        <v>BEAM</v>
      </c>
      <c r="M60" s="6">
        <f t="shared" si="1"/>
        <v>2.6145833333430346E-2</v>
      </c>
      <c r="N60" s="7">
        <f t="shared" si="18"/>
        <v>37.650000000139698</v>
      </c>
      <c r="O60" s="7"/>
      <c r="P60" s="7"/>
      <c r="Q60" s="25"/>
      <c r="R60" s="25"/>
      <c r="S60" s="37">
        <f t="shared" si="3"/>
        <v>1</v>
      </c>
      <c r="T60" s="52" t="str">
        <f t="shared" si="4"/>
        <v>Southbound</v>
      </c>
      <c r="U60" s="12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09:19:36-0600',mode:absolute,to:'2016-08-25 12:04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60" s="54" t="str">
        <f t="shared" si="6"/>
        <v>N</v>
      </c>
      <c r="X60" s="120">
        <f t="shared" si="19"/>
        <v>1</v>
      </c>
      <c r="Y60" s="69">
        <f t="shared" si="8"/>
        <v>23.297499999999999</v>
      </c>
      <c r="Z60" s="69">
        <f t="shared" si="9"/>
        <v>1.5800000000000002E-2</v>
      </c>
      <c r="AA60" s="69">
        <f t="shared" si="10"/>
        <v>23.281700000000001</v>
      </c>
      <c r="AB60" s="66">
        <f>VLOOKUP(A60,Enforcements!$C$7:$J$21,8,0)</f>
        <v>127587</v>
      </c>
      <c r="AC60" s="62" t="str">
        <f>VLOOKUP(A60,Enforcements!$C$7:$E$21,3,0)</f>
        <v>SIGNAL</v>
      </c>
      <c r="AD60" s="63" t="str">
        <f t="shared" si="11"/>
        <v>0148-25</v>
      </c>
      <c r="AE60" s="99" t="str">
        <f t="shared" si="12"/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AF60" s="96" t="str">
        <f t="shared" si="13"/>
        <v>"C:\Program Files (x86)\AstroGrep\AstroGrep.exe" /spath="%USERPROFILE%\AppData\Local\Temp\OnboardLogs" /stypes="*4008*20160825*" /stext=" 17:.+((SYSTEM_STATE.+slice.+state.+changed )|(ment ac)|(system.+state.+changed )|(\|lc)|(penalty)|(\[timeout)|(PRM\|1\|D)|(kpr)|(kdp))" /e /r /s</v>
      </c>
      <c r="AG60" s="1" t="str">
        <f t="shared" si="14"/>
        <v>EC</v>
      </c>
      <c r="AH60" s="100" t="str">
        <f t="shared" si="15"/>
        <v>"%USERPROFILE%\Documents\GitHub\eaglep3\Utilities\RefineRTDCRunTimes.py" --tripid 148-25 --locoid 4008 --swversion DE.1.0.7.0 --startMP 204:232975 --initTime 2016-08-25T10:19:36 --startdatetime 2016-08-25T10:26:30 --delay 1 --endMP 204:158 --enddatetime 2016-08-25T11:04:09 --enforcementcount 1 &gt;&gt;C:\Users\stu\Documents\GitHub\eaglep3-reporting\EC\2016-08-25-refined-times.txt</v>
      </c>
      <c r="AI60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{"issue":{"subject":"","project_id":79,"tracker_id":40,"status_id":1,"priority_id":2,"assigned_to_id":23,"start_date":"2016-08-25","description":"","custom_fields":[{"id":1,"name":"Subdivision","value":"EC"},{"id":4,"name":"Milepost","value":"23.2817"},{"id":17,"name":"Train ID","value":"148-25"},{"id":16,"name":"Locomotive ID","value":"4008"},{"id":130,"name":"Impact","value":""},{"id":150,"name":"Time of Event (Mountain Time)","value":"11:04:09"},{"id":151,"name":"Denver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423</v>
      </c>
      <c r="B61" s="7">
        <v>4042</v>
      </c>
      <c r="C61" s="24" t="s">
        <v>113</v>
      </c>
      <c r="D61" s="24" t="s">
        <v>141</v>
      </c>
      <c r="E61" s="15">
        <v>42607.402766203704</v>
      </c>
      <c r="F61" s="15">
        <v>42607.406631944446</v>
      </c>
      <c r="G61" s="7">
        <v>1</v>
      </c>
      <c r="H61" s="15" t="s">
        <v>313</v>
      </c>
      <c r="I61" s="15">
        <v>42607.431203703702</v>
      </c>
      <c r="J61" s="7">
        <v>1</v>
      </c>
      <c r="K61" s="132" t="str">
        <f t="shared" si="0"/>
        <v>4041/4042</v>
      </c>
      <c r="L61" s="24" t="str">
        <f>VLOOKUP(A61,'Trips&amp;Operators'!$C$1:$E$10000,3,FALSE)</f>
        <v>SANTIZO</v>
      </c>
      <c r="M61" s="6">
        <f t="shared" si="1"/>
        <v>2.4571759255195502E-2</v>
      </c>
      <c r="N61" s="7">
        <f t="shared" si="18"/>
        <v>35.383333327481523</v>
      </c>
      <c r="O61" s="7"/>
      <c r="P61" s="7"/>
      <c r="Q61" s="25"/>
      <c r="R61" s="25"/>
      <c r="S61" s="37">
        <f t="shared" si="3"/>
        <v>1</v>
      </c>
      <c r="T61" s="52" t="str">
        <f t="shared" si="4"/>
        <v>NorthBound</v>
      </c>
      <c r="U61" s="12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08:39:59-0600',mode:absolute,to:'2016-08-25 11:20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61" s="54" t="str">
        <f t="shared" si="6"/>
        <v>N</v>
      </c>
      <c r="X61" s="120">
        <f t="shared" si="19"/>
        <v>1</v>
      </c>
      <c r="Y61" s="69">
        <f t="shared" si="8"/>
        <v>4.5699999999999998E-2</v>
      </c>
      <c r="Z61" s="69">
        <f t="shared" si="9"/>
        <v>23.335899999999999</v>
      </c>
      <c r="AA61" s="69">
        <f t="shared" si="10"/>
        <v>23.290199999999999</v>
      </c>
      <c r="AB61" s="66" t="e">
        <f>VLOOKUP(A61,Enforcements!$C$7:$J$21,8,0)</f>
        <v>#N/A</v>
      </c>
      <c r="AC61" s="62" t="e">
        <f>VLOOKUP(A61,Enforcements!$C$7:$E$21,3,0)</f>
        <v>#N/A</v>
      </c>
      <c r="AD61" s="63" t="str">
        <f t="shared" si="11"/>
        <v>0149-25</v>
      </c>
      <c r="AE61" s="99" t="str">
        <f t="shared" si="1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61" s="96" t="str">
        <f t="shared" si="13"/>
        <v>"C:\Program Files (x86)\AstroGrep\AstroGrep.exe" /spath="%USERPROFILE%\AppData\Local\Temp\OnboardLogs" /stypes="*4042*20160825*" /stext=" 16:.+((SYSTEM_STATE.+slice.+state.+changed )|(ment ac)|(system.+state.+changed )|(\|lc)|(penalty)|(\[timeout)|(PRM\|1\|D)|(kpr)|(kdp))" /e /r /s</v>
      </c>
      <c r="AG61" s="1" t="str">
        <f t="shared" si="14"/>
        <v>EC</v>
      </c>
      <c r="AH61" s="100" t="str">
        <f t="shared" si="15"/>
        <v>"%USERPROFILE%\Documents\GitHub\eaglep3\Utilities\RefineRTDCRunTimes.py" --tripid 149-25 --locoid 4042 --swversion DE.1.0.7.0 --startMP 204:457 --initTime 2016-08-25T09:39:59 --startdatetime 2016-08-25T09:45:33 --delay 1 --endMP 204:233359 --enddatetime 2016-08-25T10:20:56 --enforcementcount 1 &gt;&gt;C:\Users\stu\Documents\GitHub\eaglep3-reporting\EC\2016-08-25-refined-times.txt</v>
      </c>
      <c r="AI61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{"issue":{"subject":"","project_id":79,"tracker_id":40,"status_id":1,"priority_id":2,"assigned_to_id":23,"start_date":"2016-08-25","description":"","custom_fields":[{"id":1,"name":"Subdivision","value":"EC"},{"id":4,"name":"Milepost","value":"23.2902"},{"id":17,"name":"Train ID","value":"149-25"},{"id":16,"name":"Locomotive ID","value":"4042"},{"id":130,"name":"Impact","value":""},{"id":150,"name":"Time of Event (Mountain Time)","value":"10:20:56"},{"id":151,"name":"Denver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424</v>
      </c>
      <c r="B62" s="7">
        <v>4041</v>
      </c>
      <c r="C62" s="24" t="s">
        <v>113</v>
      </c>
      <c r="D62" s="24" t="s">
        <v>243</v>
      </c>
      <c r="E62" s="15">
        <v>42607.432314814818</v>
      </c>
      <c r="F62" s="15">
        <v>42607.445439814815</v>
      </c>
      <c r="G62" s="7">
        <v>1</v>
      </c>
      <c r="H62" s="15" t="s">
        <v>214</v>
      </c>
      <c r="I62" s="15">
        <v>42607.471828703703</v>
      </c>
      <c r="J62" s="7">
        <v>1</v>
      </c>
      <c r="K62" s="132" t="str">
        <f t="shared" si="0"/>
        <v>4041/4042</v>
      </c>
      <c r="L62" s="24" t="str">
        <f>VLOOKUP(A62,'Trips&amp;Operators'!$C$1:$E$10000,3,FALSE)</f>
        <v>SANTIZO</v>
      </c>
      <c r="M62" s="6">
        <f t="shared" si="1"/>
        <v>2.6388888887595385E-2</v>
      </c>
      <c r="N62" s="7">
        <f t="shared" si="18"/>
        <v>37.999999998137355</v>
      </c>
      <c r="O62" s="7"/>
      <c r="P62" s="7"/>
      <c r="Q62" s="25"/>
      <c r="R62" s="25"/>
      <c r="S62" s="37">
        <f t="shared" si="3"/>
        <v>1</v>
      </c>
      <c r="T62" s="52" t="str">
        <f t="shared" si="4"/>
        <v>Southbound</v>
      </c>
      <c r="U62" s="12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09:22:32-0600',mode:absolute,to:'2016-08-25 12:19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62" s="54" t="str">
        <f t="shared" si="6"/>
        <v>N</v>
      </c>
      <c r="X62" s="120">
        <f t="shared" si="19"/>
        <v>1</v>
      </c>
      <c r="Y62" s="69">
        <f t="shared" si="8"/>
        <v>23.300799999999999</v>
      </c>
      <c r="Z62" s="69">
        <f t="shared" si="9"/>
        <v>1.6500000000000001E-2</v>
      </c>
      <c r="AA62" s="69">
        <f t="shared" si="10"/>
        <v>23.284299999999998</v>
      </c>
      <c r="AB62" s="66" t="e">
        <f>VLOOKUP(A62,Enforcements!$C$7:$J$21,8,0)</f>
        <v>#N/A</v>
      </c>
      <c r="AC62" s="62" t="e">
        <f>VLOOKUP(A62,Enforcements!$C$7:$E$21,3,0)</f>
        <v>#N/A</v>
      </c>
      <c r="AD62" s="63" t="str">
        <f t="shared" si="11"/>
        <v>0150-25</v>
      </c>
      <c r="AE62" s="99" t="str">
        <f t="shared" si="1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62" s="96" t="str">
        <f t="shared" si="13"/>
        <v>"C:\Program Files (x86)\AstroGrep\AstroGrep.exe" /spath="%USERPROFILE%\AppData\Local\Temp\OnboardLogs" /stypes="*4041*20160825*" /stext=" 17:.+((SYSTEM_STATE.+slice.+state.+changed )|(ment ac)|(system.+state.+changed )|(\|lc)|(penalty)|(\[timeout)|(PRM\|1\|D)|(kpr)|(kdp))" /e /r /s</v>
      </c>
      <c r="AG62" s="1" t="str">
        <f t="shared" si="14"/>
        <v>EC</v>
      </c>
      <c r="AH62" s="100" t="str">
        <f t="shared" si="15"/>
        <v>"%USERPROFILE%\Documents\GitHub\eaglep3\Utilities\RefineRTDCRunTimes.py" --tripid 150-25 --locoid 4041 --swversion DE.1.0.7.0 --startMP 204:233008 --initTime 2016-08-25T10:22:32 --startdatetime 2016-08-25T10:41:26 --delay 1 --endMP 204:165 --enddatetime 2016-08-25T11:19:26 --enforcementcount 1 &gt;&gt;C:\Users\stu\Documents\GitHub\eaglep3-reporting\EC\2016-08-25-refined-times.txt</v>
      </c>
      <c r="AI62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{"issue":{"subject":"","project_id":79,"tracker_id":40,"status_id":1,"priority_id":2,"assigned_to_id":23,"start_date":"2016-08-25","description":"","custom_fields":[{"id":1,"name":"Subdivision","value":"EC"},{"id":4,"name":"Milepost","value":"23.2843"},{"id":17,"name":"Train ID","value":"150-25"},{"id":16,"name":"Locomotive ID","value":"4041"},{"id":130,"name":"Impact","value":""},{"id":150,"name":"Time of Event (Mountain Time)","value":"11:19:26"},{"id":151,"name":"Denver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425</v>
      </c>
      <c r="B63" s="7">
        <v>4009</v>
      </c>
      <c r="C63" s="24" t="s">
        <v>113</v>
      </c>
      <c r="D63" s="24" t="s">
        <v>135</v>
      </c>
      <c r="E63" s="15">
        <v>42607.413321759261</v>
      </c>
      <c r="F63" s="15">
        <v>42607.416944444441</v>
      </c>
      <c r="G63" s="7">
        <v>5</v>
      </c>
      <c r="H63" s="15" t="s">
        <v>213</v>
      </c>
      <c r="I63" s="15">
        <v>42607.441018518519</v>
      </c>
      <c r="J63" s="7">
        <v>1</v>
      </c>
      <c r="K63" s="132" t="str">
        <f t="shared" si="0"/>
        <v>4009/4010</v>
      </c>
      <c r="L63" s="24" t="str">
        <f>VLOOKUP(A63,'Trips&amp;Operators'!$C$1:$E$10000,3,FALSE)</f>
        <v>SMITH</v>
      </c>
      <c r="M63" s="6">
        <f t="shared" si="1"/>
        <v>2.4074074077361729E-2</v>
      </c>
      <c r="N63" s="7">
        <f t="shared" si="18"/>
        <v>34.66666667140089</v>
      </c>
      <c r="O63" s="7"/>
      <c r="P63" s="7"/>
      <c r="Q63" s="25"/>
      <c r="R63" s="25"/>
      <c r="S63" s="37">
        <f t="shared" si="3"/>
        <v>1</v>
      </c>
      <c r="T63" s="52" t="str">
        <f t="shared" si="4"/>
        <v>NorthBound</v>
      </c>
      <c r="U63" s="12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08:55:11-0600',mode:absolute,to:'2016-08-25 11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63" s="54" t="str">
        <f t="shared" si="6"/>
        <v>N</v>
      </c>
      <c r="X63" s="120">
        <f t="shared" si="19"/>
        <v>1</v>
      </c>
      <c r="Y63" s="69">
        <f t="shared" si="8"/>
        <v>4.4900000000000002E-2</v>
      </c>
      <c r="Z63" s="69">
        <f t="shared" si="9"/>
        <v>23.331099999999999</v>
      </c>
      <c r="AA63" s="69">
        <f t="shared" si="10"/>
        <v>23.286200000000001</v>
      </c>
      <c r="AB63" s="66" t="e">
        <f>VLOOKUP(A63,Enforcements!$C$7:$J$21,8,0)</f>
        <v>#N/A</v>
      </c>
      <c r="AC63" s="62" t="e">
        <f>VLOOKUP(A63,Enforcements!$C$7:$E$21,3,0)</f>
        <v>#N/A</v>
      </c>
      <c r="AD63" s="63" t="str">
        <f t="shared" si="11"/>
        <v>0151-25</v>
      </c>
      <c r="AE63" s="99" t="str">
        <f t="shared" si="12"/>
        <v>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 &amp; 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</v>
      </c>
      <c r="AF63" s="96" t="str">
        <f t="shared" si="13"/>
        <v>"C:\Program Files (x86)\AstroGrep\AstroGrep.exe" /spath="%USERPROFILE%\AppData\Local\Temp\OnboardLogs" /stypes="*4009*20160825*" /stext=" 16:.+((SYSTEM_STATE.+slice.+state.+changed )|(ment ac)|(system.+state.+changed )|(\|lc)|(penalty)|(\[timeout)|(PRM\|1\|D)|(kpr)|(kdp))" /e /r /s</v>
      </c>
      <c r="AG63" s="1" t="str">
        <f t="shared" si="14"/>
        <v>EC</v>
      </c>
      <c r="AH63" s="100" t="str">
        <f t="shared" si="15"/>
        <v>"%USERPROFILE%\Documents\GitHub\eaglep3\Utilities\RefineRTDCRunTimes.py" --tripid 151-25 --locoid 4009 --swversion DE.1.0.7.0 --startMP 204:449 --initTime 2016-08-25T09:55:11 --startdatetime 2016-08-25T10:00:24 --delay 5 --endMP 204:233311 --enddatetime 2016-08-25T10:35:04 --enforcementcount 1 &gt;&gt;C:\Users\stu\Documents\GitHub\eaglep3-reporting\EC\2016-08-25-refined-times.txt</v>
      </c>
      <c r="AI63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{"issue":{"subject":"","project_id":79,"tracker_id":40,"status_id":1,"priority_id":2,"assigned_to_id":23,"start_date":"2016-08-25","description":"","custom_fields":[{"id":1,"name":"Subdivision","value":"EC"},{"id":4,"name":"Milepost","value":"23.2862"},{"id":17,"name":"Train ID","value":"151-25"},{"id":16,"name":"Locomotive ID","value":"4009"},{"id":130,"name":"Impact","value":""},{"id":150,"name":"Time of Event (Mountain Time)","value":"10:35:04"},{"id":151,"name":"Denver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426</v>
      </c>
      <c r="B64" s="7">
        <v>4010</v>
      </c>
      <c r="C64" s="24" t="s">
        <v>113</v>
      </c>
      <c r="D64" s="24" t="s">
        <v>210</v>
      </c>
      <c r="E64" s="15">
        <v>42607.454988425925</v>
      </c>
      <c r="F64" s="15">
        <v>42607.456793981481</v>
      </c>
      <c r="G64" s="7">
        <v>1</v>
      </c>
      <c r="H64" s="15" t="s">
        <v>152</v>
      </c>
      <c r="I64" s="15">
        <v>42607.483842592592</v>
      </c>
      <c r="J64" s="7">
        <v>1</v>
      </c>
      <c r="K64" s="132" t="str">
        <f t="shared" si="0"/>
        <v>4009/4010</v>
      </c>
      <c r="L64" s="24" t="str">
        <f>VLOOKUP(A64,'Trips&amp;Operators'!$C$1:$E$10000,3,FALSE)</f>
        <v>SMITH</v>
      </c>
      <c r="M64" s="6">
        <f t="shared" si="1"/>
        <v>2.7048611111240461E-2</v>
      </c>
      <c r="N64" s="7">
        <f t="shared" si="18"/>
        <v>38.950000000186265</v>
      </c>
      <c r="O64" s="7"/>
      <c r="P64" s="7"/>
      <c r="Q64" s="25"/>
      <c r="R64" s="25"/>
      <c r="S64" s="37">
        <f t="shared" si="3"/>
        <v>1</v>
      </c>
      <c r="T64" s="52" t="str">
        <f t="shared" si="4"/>
        <v>Southbound</v>
      </c>
      <c r="U64" s="12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09:55:11-0600',mode:absolute,to:'2016-08-25 12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64" s="54" t="str">
        <f t="shared" si="6"/>
        <v>N</v>
      </c>
      <c r="X64" s="120">
        <f t="shared" si="19"/>
        <v>1</v>
      </c>
      <c r="Y64" s="69">
        <f t="shared" si="8"/>
        <v>23.297799999999999</v>
      </c>
      <c r="Z64" s="69">
        <f t="shared" si="9"/>
        <v>1.4999999999999999E-2</v>
      </c>
      <c r="AA64" s="69">
        <f t="shared" si="10"/>
        <v>23.282799999999998</v>
      </c>
      <c r="AB64" s="66" t="e">
        <f>VLOOKUP(A64,Enforcements!$C$7:$J$21,8,0)</f>
        <v>#N/A</v>
      </c>
      <c r="AC64" s="62" t="e">
        <f>VLOOKUP(A64,Enforcements!$C$7:$E$21,3,0)</f>
        <v>#N/A</v>
      </c>
      <c r="AD64" s="63" t="str">
        <f t="shared" si="11"/>
        <v>0152-25</v>
      </c>
      <c r="AE64" s="99" t="str">
        <f t="shared" si="12"/>
        <v>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 &amp; 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</v>
      </c>
      <c r="AF64" s="96" t="str">
        <f t="shared" si="13"/>
        <v>"C:\Program Files (x86)\AstroGrep\AstroGrep.exe" /spath="%USERPROFILE%\AppData\Local\Temp\OnboardLogs" /stypes="*4010*20160825*" /stext=" 17:.+((SYSTEM_STATE.+slice.+state.+changed )|(ment ac)|(system.+state.+changed )|(\|lc)|(penalty)|(\[timeout)|(PRM\|1\|D)|(kpr)|(kdp))" /e /r /s</v>
      </c>
      <c r="AG64" s="1" t="str">
        <f t="shared" si="14"/>
        <v>EC</v>
      </c>
      <c r="AH64" s="100" t="str">
        <f t="shared" si="15"/>
        <v>"%USERPROFILE%\Documents\GitHub\eaglep3\Utilities\RefineRTDCRunTimes.py" --tripid 152-25 --locoid 4010 --swversion DE.1.0.7.0 --startMP 204:232978 --initTime 2016-08-25T10:55:11 --startdatetime 2016-08-25T10:57:47 --delay 1 --endMP 204:150 --enddatetime 2016-08-25T11:36:44 --enforcementcount 1 &gt;&gt;C:\Users\stu\Documents\GitHub\eaglep3-reporting\EC\2016-08-25-refined-times.txt</v>
      </c>
      <c r="AI64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{"issue":{"subject":"","project_id":79,"tracker_id":40,"status_id":1,"priority_id":2,"assigned_to_id":23,"start_date":"2016-08-25","description":"","custom_fields":[{"id":1,"name":"Subdivision","value":"EC"},{"id":4,"name":"Milepost","value":"23.2828"},{"id":17,"name":"Train ID","value":"152-25"},{"id":16,"name":"Locomotive ID","value":"4010"},{"id":130,"name":"Impact","value":""},{"id":150,"name":"Time of Event (Mountain Time)","value":"11:36:44"},{"id":151,"name":"Denver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427</v>
      </c>
      <c r="B65" s="7">
        <v>4031</v>
      </c>
      <c r="C65" s="24" t="s">
        <v>113</v>
      </c>
      <c r="D65" s="24" t="s">
        <v>135</v>
      </c>
      <c r="E65" s="15">
        <v>42607.422037037039</v>
      </c>
      <c r="F65" s="15">
        <v>42607.427442129629</v>
      </c>
      <c r="G65" s="7">
        <v>1</v>
      </c>
      <c r="H65" s="15" t="s">
        <v>428</v>
      </c>
      <c r="I65" s="15">
        <v>42607.453136574077</v>
      </c>
      <c r="J65" s="7">
        <v>1</v>
      </c>
      <c r="K65" s="132" t="str">
        <f t="shared" si="0"/>
        <v>4031/4032</v>
      </c>
      <c r="L65" s="24" t="str">
        <f>VLOOKUP(A65,'Trips&amp;Operators'!$C$1:$E$10000,3,FALSE)</f>
        <v>STARKS</v>
      </c>
      <c r="M65" s="6">
        <f t="shared" si="1"/>
        <v>2.5694444448163267E-2</v>
      </c>
      <c r="N65" s="7">
        <f t="shared" si="18"/>
        <v>37.000000005355105</v>
      </c>
      <c r="O65" s="7"/>
      <c r="P65" s="7"/>
      <c r="Q65" s="25"/>
      <c r="R65" s="25"/>
      <c r="S65" s="37">
        <f t="shared" si="3"/>
        <v>1</v>
      </c>
      <c r="T65" s="52" t="str">
        <f t="shared" si="4"/>
        <v>NorthBound</v>
      </c>
      <c r="U65" s="12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09:07:44-0600',mode:absolute,to:'2016-08-25 11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65" s="54" t="str">
        <f t="shared" si="6"/>
        <v>N</v>
      </c>
      <c r="X65" s="120">
        <f t="shared" si="19"/>
        <v>1</v>
      </c>
      <c r="Y65" s="69">
        <f t="shared" si="8"/>
        <v>4.4900000000000002E-2</v>
      </c>
      <c r="Z65" s="69">
        <f t="shared" si="9"/>
        <v>23.327999999999999</v>
      </c>
      <c r="AA65" s="69">
        <f t="shared" si="10"/>
        <v>23.283100000000001</v>
      </c>
      <c r="AB65" s="66" t="e">
        <f>VLOOKUP(A65,Enforcements!$C$7:$J$21,8,0)</f>
        <v>#N/A</v>
      </c>
      <c r="AC65" s="62" t="e">
        <f>VLOOKUP(A65,Enforcements!$C$7:$E$21,3,0)</f>
        <v>#N/A</v>
      </c>
      <c r="AD65" s="63" t="str">
        <f t="shared" si="11"/>
        <v>0153-25</v>
      </c>
      <c r="AE65" s="99" t="str">
        <f t="shared" si="12"/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65" s="96" t="str">
        <f t="shared" si="13"/>
        <v>"C:\Program Files (x86)\AstroGrep\AstroGrep.exe" /spath="%USERPROFILE%\AppData\Local\Temp\OnboardLogs" /stypes="*4031*20160825*" /stext=" 16:.+((SYSTEM_STATE.+slice.+state.+changed )|(ment ac)|(system.+state.+changed )|(\|lc)|(penalty)|(\[timeout)|(PRM\|1\|D)|(kpr)|(kdp))" /e /r /s</v>
      </c>
      <c r="AG65" s="1" t="str">
        <f t="shared" si="14"/>
        <v>EC</v>
      </c>
      <c r="AH65" s="100" t="str">
        <f t="shared" si="15"/>
        <v>"%USERPROFILE%\Documents\GitHub\eaglep3\Utilities\RefineRTDCRunTimes.py" --tripid 153-25 --locoid 4031 --swversion DE.1.0.7.0 --startMP 204:449 --initTime 2016-08-25T10:07:44 --startdatetime 2016-08-25T10:15:31 --delay 1 --endMP 204:233280 --enddatetime 2016-08-25T10:52:31 --enforcementcount 1 &gt;&gt;C:\Users\stu\Documents\GitHub\eaglep3-reporting\EC\2016-08-25-refined-times.txt</v>
      </c>
      <c r="AI65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{"issue":{"subject":"","project_id":79,"tracker_id":40,"status_id":1,"priority_id":2,"assigned_to_id":23,"start_date":"2016-08-25","description":"","custom_fields":[{"id":1,"name":"Subdivision","value":"EC"},{"id":4,"name":"Milepost","value":"23.2831"},{"id":17,"name":"Train ID","value":"153-25"},{"id":16,"name":"Locomotive ID","value":"4031"},{"id":130,"name":"Impact","value":""},{"id":150,"name":"Time of Event (Mountain Time)","value":"10:52:31"},{"id":151,"name":"Denver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429</v>
      </c>
      <c r="B66" s="7">
        <v>4032</v>
      </c>
      <c r="C66" s="24" t="s">
        <v>113</v>
      </c>
      <c r="D66" s="24" t="s">
        <v>315</v>
      </c>
      <c r="E66" s="15">
        <v>42607.463194444441</v>
      </c>
      <c r="F66" s="15">
        <v>42607.466215277775</v>
      </c>
      <c r="G66" s="7">
        <v>2</v>
      </c>
      <c r="H66" s="15" t="s">
        <v>221</v>
      </c>
      <c r="I66" s="15">
        <v>42607.495752314811</v>
      </c>
      <c r="J66" s="7">
        <v>1</v>
      </c>
      <c r="K66" s="132" t="str">
        <f t="shared" si="0"/>
        <v>4031/4032</v>
      </c>
      <c r="L66" s="24" t="str">
        <f>VLOOKUP(A66,'Trips&amp;Operators'!$C$1:$E$10000,3,FALSE)</f>
        <v>STARKS</v>
      </c>
      <c r="M66" s="6">
        <f t="shared" si="1"/>
        <v>2.9537037036789116E-2</v>
      </c>
      <c r="N66" s="7">
        <f t="shared" si="18"/>
        <v>42.533333332976326</v>
      </c>
      <c r="O66" s="7"/>
      <c r="P66" s="7"/>
      <c r="Q66" s="25"/>
      <c r="R66" s="25"/>
      <c r="S66" s="37">
        <f t="shared" si="3"/>
        <v>1</v>
      </c>
      <c r="T66" s="52" t="str">
        <f t="shared" si="4"/>
        <v>Southbound</v>
      </c>
      <c r="U66" s="12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10:07:00-0600',mode:absolute,to:'2016-08-25 12:53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66" s="54" t="str">
        <f t="shared" si="6"/>
        <v>N</v>
      </c>
      <c r="X66" s="120">
        <f t="shared" si="19"/>
        <v>1</v>
      </c>
      <c r="Y66" s="69">
        <f t="shared" si="8"/>
        <v>23.297899999999998</v>
      </c>
      <c r="Z66" s="69">
        <f t="shared" si="9"/>
        <v>1.3899999999999999E-2</v>
      </c>
      <c r="AA66" s="69">
        <f t="shared" si="10"/>
        <v>23.283999999999999</v>
      </c>
      <c r="AB66" s="66" t="e">
        <f>VLOOKUP(A66,Enforcements!$C$7:$J$21,8,0)</f>
        <v>#N/A</v>
      </c>
      <c r="AC66" s="62" t="e">
        <f>VLOOKUP(A66,Enforcements!$C$7:$E$21,3,0)</f>
        <v>#N/A</v>
      </c>
      <c r="AD66" s="63" t="str">
        <f t="shared" si="11"/>
        <v>0154-25</v>
      </c>
      <c r="AE66" s="99" t="str">
        <f t="shared" si="1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66" s="96" t="str">
        <f t="shared" si="13"/>
        <v>"C:\Program Files (x86)\AstroGrep\AstroGrep.exe" /spath="%USERPROFILE%\AppData\Local\Temp\OnboardLogs" /stypes="*4032*20160825*" /stext=" 17:.+((SYSTEM_STATE.+slice.+state.+changed )|(ment ac)|(system.+state.+changed )|(\|lc)|(penalty)|(\[timeout)|(PRM\|1\|D)|(kpr)|(kdp))" /e /r /s</v>
      </c>
      <c r="AG66" s="1" t="str">
        <f t="shared" si="14"/>
        <v>EC</v>
      </c>
      <c r="AH66" s="100" t="str">
        <f t="shared" si="15"/>
        <v>"%USERPROFILE%\Documents\GitHub\eaglep3\Utilities\RefineRTDCRunTimes.py" --tripid 154-25 --locoid 4032 --swversion DE.1.0.7.0 --startMP 204:232979 --initTime 2016-08-25T11:07:00 --startdatetime 2016-08-25T11:11:21 --delay 2 --endMP 204:139 --enddatetime 2016-08-25T11:53:53 --enforcementcount 1 &gt;&gt;C:\Users\stu\Documents\GitHub\eaglep3-reporting\EC\2016-08-25-refined-times.txt</v>
      </c>
      <c r="AI66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{"issue":{"subject":"","project_id":79,"tracker_id":40,"status_id":1,"priority_id":2,"assigned_to_id":23,"start_date":"2016-08-25","description":"","custom_fields":[{"id":1,"name":"Subdivision","value":"EC"},{"id":4,"name":"Milepost","value":"23.284"},{"id":17,"name":"Train ID","value":"154-25"},{"id":16,"name":"Locomotive ID","value":"4032"},{"id":130,"name":"Impact","value":""},{"id":150,"name":"Time of Event (Mountain Time)","value":"11:53:53"},{"id":151,"name":"Denver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430</v>
      </c>
      <c r="B67" s="7">
        <v>4011</v>
      </c>
      <c r="C67" s="24" t="s">
        <v>113</v>
      </c>
      <c r="D67" s="24" t="s">
        <v>240</v>
      </c>
      <c r="E67" s="15">
        <v>42607.432905092595</v>
      </c>
      <c r="F67" s="15">
        <v>42607.437893518516</v>
      </c>
      <c r="G67" s="7">
        <v>1</v>
      </c>
      <c r="H67" s="15" t="s">
        <v>334</v>
      </c>
      <c r="I67" s="15">
        <v>42607.462083333332</v>
      </c>
      <c r="J67" s="7">
        <v>1</v>
      </c>
      <c r="K67" s="132" t="str">
        <f t="shared" si="0"/>
        <v>4011/4012</v>
      </c>
      <c r="L67" s="24" t="str">
        <f>VLOOKUP(A67,'Trips&amp;Operators'!$C$1:$E$10000,3,FALSE)</f>
        <v>MAHAN</v>
      </c>
      <c r="M67" s="6">
        <f t="shared" si="1"/>
        <v>2.4189814816054422E-2</v>
      </c>
      <c r="N67" s="7">
        <f t="shared" si="18"/>
        <v>34.833333335118368</v>
      </c>
      <c r="O67" s="7"/>
      <c r="P67" s="7"/>
      <c r="Q67" s="25"/>
      <c r="R67" s="25"/>
      <c r="S67" s="37">
        <f t="shared" si="3"/>
        <v>1</v>
      </c>
      <c r="T67" s="52" t="str">
        <f t="shared" si="4"/>
        <v>NorthBound</v>
      </c>
      <c r="U67" s="12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09:23:23-0600',mode:absolute,to:'2016-08-25 12:05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67" s="54" t="str">
        <f t="shared" si="6"/>
        <v>N</v>
      </c>
      <c r="X67" s="120">
        <f t="shared" si="19"/>
        <v>1</v>
      </c>
      <c r="Y67" s="69">
        <f t="shared" si="8"/>
        <v>4.3299999999999998E-2</v>
      </c>
      <c r="Z67" s="69">
        <f t="shared" si="9"/>
        <v>23.328600000000002</v>
      </c>
      <c r="AA67" s="69">
        <f t="shared" si="10"/>
        <v>23.285300000000003</v>
      </c>
      <c r="AB67" s="66" t="e">
        <f>VLOOKUP(A67,Enforcements!$C$7:$J$21,8,0)</f>
        <v>#N/A</v>
      </c>
      <c r="AC67" s="62" t="e">
        <f>VLOOKUP(A67,Enforcements!$C$7:$E$21,3,0)</f>
        <v>#N/A</v>
      </c>
      <c r="AD67" s="63" t="str">
        <f t="shared" si="11"/>
        <v>0155-25</v>
      </c>
      <c r="AE67" s="99" t="str">
        <f t="shared" si="12"/>
        <v>aws s3 cp s3://rtdc.mdm.uploadarchive/RTDC4011/2016-08-25/ "%USERPROFILE%\AppData\Local\Temp\OnboardLogs"\RTDC4011\2016-08-25 --recursive &amp; "%USERPROFILE%\Documents\GitHub\mrs-test-scripts\Headless Mode &amp; Sideloading\WalkAndUnGZ.bat" "%USERPROFILE%\AppData\Local\Temp\OnboardLogs"\RTDC4011\2016-08-25 &amp; 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</v>
      </c>
      <c r="AF67" s="96" t="str">
        <f t="shared" si="13"/>
        <v>"C:\Program Files (x86)\AstroGrep\AstroGrep.exe" /spath="%USERPROFILE%\AppData\Local\Temp\OnboardLogs" /stypes="*4011*20160825*" /stext=" 17:.+((SYSTEM_STATE.+slice.+state.+changed )|(ment ac)|(system.+state.+changed )|(\|lc)|(penalty)|(\[timeout)|(PRM\|1\|D)|(kpr)|(kdp))" /e /r /s</v>
      </c>
      <c r="AG67" s="1" t="str">
        <f t="shared" si="14"/>
        <v>EC</v>
      </c>
      <c r="AH67" s="100" t="str">
        <f t="shared" si="15"/>
        <v>"%USERPROFILE%\Documents\GitHub\eaglep3\Utilities\RefineRTDCRunTimes.py" --tripid 155-25 --locoid 4011 --swversion DE.1.0.7.0 --startMP 204:433 --initTime 2016-08-25T10:23:23 --startdatetime 2016-08-25T10:30:34 --delay 1 --endMP 204:233286 --enddatetime 2016-08-25T11:05:24 --enforcementcount 1 &gt;&gt;C:\Users\stu\Documents\GitHub\eaglep3-reporting\EC\2016-08-25-refined-times.txt</v>
      </c>
      <c r="AI67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{"issue":{"subject":"","project_id":79,"tracker_id":40,"status_id":1,"priority_id":2,"assigned_to_id":23,"start_date":"2016-08-25","description":"","custom_fields":[{"id":1,"name":"Subdivision","value":"EC"},{"id":4,"name":"Milepost","value":"23.2853"},{"id":17,"name":"Train ID","value":"155-25"},{"id":16,"name":"Locomotive ID","value":"4011"},{"id":130,"name":"Impact","value":""},{"id":150,"name":"Time of Event (Mountain Time)","value":"11:05:24"},{"id":151,"name":"Denver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x14ac:dyDescent="0.25">
      <c r="A68" s="39" t="s">
        <v>431</v>
      </c>
      <c r="B68" s="7">
        <v>4012</v>
      </c>
      <c r="C68" s="24" t="s">
        <v>113</v>
      </c>
      <c r="D68" s="24" t="s">
        <v>319</v>
      </c>
      <c r="E68" s="15">
        <v>42607.464386574073</v>
      </c>
      <c r="F68" s="15">
        <v>42607.477129629631</v>
      </c>
      <c r="G68" s="7">
        <v>1</v>
      </c>
      <c r="H68" s="15" t="s">
        <v>89</v>
      </c>
      <c r="I68" s="15">
        <v>42607.503437500003</v>
      </c>
      <c r="J68" s="7">
        <v>1</v>
      </c>
      <c r="K68" s="132" t="str">
        <f t="shared" si="0"/>
        <v>4011/4012</v>
      </c>
      <c r="L68" s="24" t="str">
        <f>VLOOKUP(A68,'Trips&amp;Operators'!$C$1:$E$10000,3,FALSE)</f>
        <v>MAHAN</v>
      </c>
      <c r="M68" s="6">
        <f t="shared" si="1"/>
        <v>2.6307870371965691E-2</v>
      </c>
      <c r="N68" s="7">
        <f t="shared" si="18"/>
        <v>37.883333335630596</v>
      </c>
      <c r="O68" s="7"/>
      <c r="P68" s="7"/>
      <c r="Q68" s="25"/>
      <c r="R68" s="25"/>
      <c r="S68" s="37">
        <f t="shared" si="3"/>
        <v>1</v>
      </c>
      <c r="T68" s="52" t="str">
        <f t="shared" si="4"/>
        <v>Southbound</v>
      </c>
      <c r="U68" s="12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10:08:43-0600',mode:absolute,to:'2016-08-25 13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68" s="54" t="str">
        <f t="shared" si="6"/>
        <v>N</v>
      </c>
      <c r="X68" s="120">
        <f t="shared" si="19"/>
        <v>1</v>
      </c>
      <c r="Y68" s="69">
        <f t="shared" si="8"/>
        <v>23.296099999999999</v>
      </c>
      <c r="Z68" s="69">
        <f t="shared" si="9"/>
        <v>1.43E-2</v>
      </c>
      <c r="AA68" s="69">
        <f t="shared" si="10"/>
        <v>23.2818</v>
      </c>
      <c r="AB68" s="66" t="e">
        <f>VLOOKUP(A68,Enforcements!$C$7:$J$21,8,0)</f>
        <v>#N/A</v>
      </c>
      <c r="AC68" s="62" t="e">
        <f>VLOOKUP(A68,Enforcements!$C$7:$E$21,3,0)</f>
        <v>#N/A</v>
      </c>
      <c r="AD68" s="63" t="str">
        <f t="shared" si="11"/>
        <v>0156-25</v>
      </c>
      <c r="AE68" s="99" t="str">
        <f t="shared" si="12"/>
        <v>aws s3 cp s3://rtdc.mdm.uploadarchive/RTDC4012/2016-08-25/ "%USERPROFILE%\AppData\Local\Temp\OnboardLogs"\RTDC4012\2016-08-25 --recursive &amp; "%USERPROFILE%\Documents\GitHub\mrs-test-scripts\Headless Mode &amp; Sideloading\WalkAndUnGZ.bat" "%USERPROFILE%\AppData\Local\Temp\OnboardLogs"\RTDC4012\2016-08-25 &amp; 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</v>
      </c>
      <c r="AF68" s="96" t="str">
        <f t="shared" si="13"/>
        <v>"C:\Program Files (x86)\AstroGrep\AstroGrep.exe" /spath="%USERPROFILE%\AppData\Local\Temp\OnboardLogs" /stypes="*4012*20160825*" /stext=" 18:.+((SYSTEM_STATE.+slice.+state.+changed )|(ment ac)|(system.+state.+changed )|(\|lc)|(penalty)|(\[timeout)|(PRM\|1\|D)|(kpr)|(kdp))" /e /r /s</v>
      </c>
      <c r="AG68" s="1" t="str">
        <f t="shared" si="14"/>
        <v>EC</v>
      </c>
      <c r="AH68" s="100" t="str">
        <f t="shared" si="15"/>
        <v>"%USERPROFILE%\Documents\GitHub\eaglep3\Utilities\RefineRTDCRunTimes.py" --tripid 156-25 --locoid 4012 --swversion DE.1.0.7.0 --startMP 204:232961 --initTime 2016-08-25T11:08:43 --startdatetime 2016-08-25T11:27:04 --delay 1 --endMP 204:143 --enddatetime 2016-08-25T12:04:57 --enforcementcount 1 &gt;&gt;C:\Users\stu\Documents\GitHub\eaglep3-reporting\EC\2016-08-25-refined-times.txt</v>
      </c>
      <c r="AI68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{"issue":{"subject":"","project_id":79,"tracker_id":40,"status_id":1,"priority_id":2,"assigned_to_id":23,"start_date":"2016-08-25","description":"","custom_fields":[{"id":1,"name":"Subdivision","value":"EC"},{"id":4,"name":"Milepost","value":"23.2818"},{"id":17,"name":"Train ID","value":"156-25"},{"id":16,"name":"Locomotive ID","value":"4012"},{"id":130,"name":"Impact","value":""},{"id":150,"name":"Time of Event (Mountain Time)","value":"12:04:57"},{"id":151,"name":"Denver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432</v>
      </c>
      <c r="B69" s="7">
        <v>4044</v>
      </c>
      <c r="C69" s="24" t="s">
        <v>113</v>
      </c>
      <c r="D69" s="24" t="s">
        <v>135</v>
      </c>
      <c r="E69" s="15">
        <v>42607.446377314816</v>
      </c>
      <c r="F69" s="15">
        <v>42607.448645833334</v>
      </c>
      <c r="G69" s="7">
        <v>1</v>
      </c>
      <c r="H69" s="15" t="s">
        <v>142</v>
      </c>
      <c r="I69" s="15">
        <v>42607.476793981485</v>
      </c>
      <c r="J69" s="7">
        <v>1</v>
      </c>
      <c r="K69" s="132" t="str">
        <f t="shared" si="0"/>
        <v>4043/4044</v>
      </c>
      <c r="L69" s="24" t="str">
        <f>VLOOKUP(A69,'Trips&amp;Operators'!$C$1:$E$10000,3,FALSE)</f>
        <v>CLARK</v>
      </c>
      <c r="M69" s="6">
        <f t="shared" si="1"/>
        <v>2.8148148150648922E-2</v>
      </c>
      <c r="N69" s="7">
        <f t="shared" si="18"/>
        <v>40.533333336934447</v>
      </c>
      <c r="O69" s="7"/>
      <c r="P69" s="7"/>
      <c r="Q69" s="25"/>
      <c r="R69" s="25"/>
      <c r="S69" s="37">
        <f t="shared" si="3"/>
        <v>1</v>
      </c>
      <c r="T69" s="52" t="str">
        <f t="shared" si="4"/>
        <v>NorthBound</v>
      </c>
      <c r="U69" s="12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09:42:47-0600',mode:absolute,to:'2016-08-25 12:26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69" s="54" t="str">
        <f t="shared" si="6"/>
        <v>N</v>
      </c>
      <c r="X69" s="120">
        <f t="shared" si="19"/>
        <v>1</v>
      </c>
      <c r="Y69" s="69">
        <f t="shared" si="8"/>
        <v>4.4900000000000002E-2</v>
      </c>
      <c r="Z69" s="69">
        <f t="shared" si="9"/>
        <v>23.331</v>
      </c>
      <c r="AA69" s="69">
        <f t="shared" si="10"/>
        <v>23.286100000000001</v>
      </c>
      <c r="AB69" s="66" t="e">
        <f>VLOOKUP(A69,Enforcements!$C$7:$J$21,8,0)</f>
        <v>#N/A</v>
      </c>
      <c r="AC69" s="62" t="e">
        <f>VLOOKUP(A69,Enforcements!$C$7:$E$21,3,0)</f>
        <v>#N/A</v>
      </c>
      <c r="AD69" s="63" t="str">
        <f t="shared" si="11"/>
        <v>0157-25</v>
      </c>
      <c r="AE69" s="99" t="str">
        <f t="shared" si="1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69" s="96" t="str">
        <f t="shared" si="13"/>
        <v>"C:\Program Files (x86)\AstroGrep\AstroGrep.exe" /spath="%USERPROFILE%\AppData\Local\Temp\OnboardLogs" /stypes="*4044*20160825*" /stext=" 17:.+((SYSTEM_STATE.+slice.+state.+changed )|(ment ac)|(system.+state.+changed )|(\|lc)|(penalty)|(\[timeout)|(PRM\|1\|D)|(kpr)|(kdp))" /e /r /s</v>
      </c>
      <c r="AG69" s="1" t="str">
        <f t="shared" si="14"/>
        <v>EC</v>
      </c>
      <c r="AH69" s="100" t="str">
        <f t="shared" si="15"/>
        <v>"%USERPROFILE%\Documents\GitHub\eaglep3\Utilities\RefineRTDCRunTimes.py" --tripid 157-25 --locoid 4044 --swversion DE.1.0.7.0 --startMP 204:449 --initTime 2016-08-25T10:42:47 --startdatetime 2016-08-25T10:46:03 --delay 1 --endMP 204:233310 --enddatetime 2016-08-25T11:26:35 --enforcementcount 1 &gt;&gt;C:\Users\stu\Documents\GitHub\eaglep3-reporting\EC\2016-08-25-refined-times.txt</v>
      </c>
      <c r="AI69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{"issue":{"subject":"","project_id":79,"tracker_id":40,"status_id":1,"priority_id":2,"assigned_to_id":23,"start_date":"2016-08-25","description":"","custom_fields":[{"id":1,"name":"Subdivision","value":"EC"},{"id":4,"name":"Milepost","value":"23.2861"},{"id":17,"name":"Train ID","value":"157-25"},{"id":16,"name":"Locomotive ID","value":"4044"},{"id":130,"name":"Impact","value":""},{"id":150,"name":"Time of Event (Mountain Time)","value":"11:26:35"},{"id":151,"name":"Denver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433</v>
      </c>
      <c r="B70" s="7">
        <v>4043</v>
      </c>
      <c r="C70" s="24" t="s">
        <v>113</v>
      </c>
      <c r="D70" s="24" t="s">
        <v>397</v>
      </c>
      <c r="E70" s="15">
        <v>42607.482245370367</v>
      </c>
      <c r="F70" s="15">
        <v>42607.486956018518</v>
      </c>
      <c r="G70" s="7">
        <v>1</v>
      </c>
      <c r="H70" s="15" t="s">
        <v>89</v>
      </c>
      <c r="I70" s="15">
        <v>42607.513159722221</v>
      </c>
      <c r="J70" s="7">
        <v>1</v>
      </c>
      <c r="K70" s="132" t="str">
        <f t="shared" si="0"/>
        <v>4043/4044</v>
      </c>
      <c r="L70" s="24" t="str">
        <f>VLOOKUP(A70,'Trips&amp;Operators'!$C$1:$E$10000,3,FALSE)</f>
        <v>BRANNON</v>
      </c>
      <c r="M70" s="6">
        <f t="shared" si="1"/>
        <v>2.6203703702776693E-2</v>
      </c>
      <c r="N70" s="7">
        <f t="shared" si="18"/>
        <v>37.733333331998438</v>
      </c>
      <c r="O70" s="7"/>
      <c r="P70" s="7"/>
      <c r="Q70" s="25"/>
      <c r="R70" s="25"/>
      <c r="S70" s="37">
        <f t="shared" si="3"/>
        <v>1</v>
      </c>
      <c r="T70" s="52" t="str">
        <f t="shared" si="4"/>
        <v>Southbound</v>
      </c>
      <c r="U70" s="12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10:34:26-0600',mode:absolute,to:'2016-08-25 13:18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70" s="54" t="str">
        <f t="shared" si="6"/>
        <v>N</v>
      </c>
      <c r="X70" s="120">
        <f t="shared" si="19"/>
        <v>1</v>
      </c>
      <c r="Y70" s="69">
        <f t="shared" si="8"/>
        <v>23.299299999999999</v>
      </c>
      <c r="Z70" s="69">
        <f t="shared" si="9"/>
        <v>1.43E-2</v>
      </c>
      <c r="AA70" s="69">
        <f t="shared" si="10"/>
        <v>23.285</v>
      </c>
      <c r="AB70" s="66" t="e">
        <f>VLOOKUP(A70,Enforcements!$C$7:$J$21,8,0)</f>
        <v>#N/A</v>
      </c>
      <c r="AC70" s="62" t="e">
        <f>VLOOKUP(A70,Enforcements!$C$7:$E$21,3,0)</f>
        <v>#N/A</v>
      </c>
      <c r="AD70" s="63" t="str">
        <f t="shared" si="11"/>
        <v>0158-25</v>
      </c>
      <c r="AE70" s="99" t="str">
        <f t="shared" si="12"/>
        <v>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 &amp; 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</v>
      </c>
      <c r="AF70" s="96" t="str">
        <f t="shared" si="13"/>
        <v>"C:\Program Files (x86)\AstroGrep\AstroGrep.exe" /spath="%USERPROFILE%\AppData\Local\Temp\OnboardLogs" /stypes="*4043*20160825*" /stext=" 18:.+((SYSTEM_STATE.+slice.+state.+changed )|(ment ac)|(system.+state.+changed )|(\|lc)|(penalty)|(\[timeout)|(PRM\|1\|D)|(kpr)|(kdp))" /e /r /s</v>
      </c>
      <c r="AG70" s="1" t="str">
        <f t="shared" si="14"/>
        <v>EC</v>
      </c>
      <c r="AH70" s="100" t="str">
        <f t="shared" si="15"/>
        <v>"%USERPROFILE%\Documents\GitHub\eaglep3\Utilities\RefineRTDCRunTimes.py" --tripid 158-25 --locoid 4043 --swversion DE.1.0.7.0 --startMP 204:232993 --initTime 2016-08-25T11:34:26 --startdatetime 2016-08-25T11:41:13 --delay 1 --endMP 204:143 --enddatetime 2016-08-25T12:18:57 --enforcementcount 1 &gt;&gt;C:\Users\stu\Documents\GitHub\eaglep3-reporting\EC\2016-08-25-refined-times.txt</v>
      </c>
      <c r="AI70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{"issue":{"subject":"","project_id":79,"tracker_id":40,"status_id":1,"priority_id":2,"assigned_to_id":23,"start_date":"2016-08-25","description":"","custom_fields":[{"id":1,"name":"Subdivision","value":"EC"},{"id":4,"name":"Milepost","value":"23.285"},{"id":17,"name":"Train ID","value":"158-25"},{"id":16,"name":"Locomotive ID","value":"4043"},{"id":130,"name":"Impact","value":""},{"id":150,"name":"Time of Event (Mountain Time)","value":"12:18:57"},{"id":151,"name":"Denver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434</v>
      </c>
      <c r="B71" s="7">
        <v>4020</v>
      </c>
      <c r="C71" s="24" t="s">
        <v>113</v>
      </c>
      <c r="D71" s="24" t="s">
        <v>133</v>
      </c>
      <c r="E71" s="15">
        <v>42607.453182870369</v>
      </c>
      <c r="F71" s="15">
        <v>42607.458483796298</v>
      </c>
      <c r="G71" s="7">
        <v>1</v>
      </c>
      <c r="H71" s="15" t="s">
        <v>428</v>
      </c>
      <c r="I71" s="15">
        <v>42607.484942129631</v>
      </c>
      <c r="J71" s="7">
        <v>1</v>
      </c>
      <c r="K71" s="132" t="str">
        <f t="shared" si="0"/>
        <v>4019/4020</v>
      </c>
      <c r="L71" s="24" t="str">
        <f>VLOOKUP(A71,'Trips&amp;Operators'!$C$1:$E$10000,3,FALSE)</f>
        <v>ROBINSON</v>
      </c>
      <c r="M71" s="6">
        <f t="shared" si="1"/>
        <v>2.6458333333721384E-2</v>
      </c>
      <c r="N71" s="7">
        <f t="shared" si="18"/>
        <v>38.100000000558794</v>
      </c>
      <c r="O71" s="7"/>
      <c r="P71" s="7"/>
      <c r="Q71" s="25"/>
      <c r="R71" s="25"/>
      <c r="S71" s="37">
        <f t="shared" si="3"/>
        <v>1</v>
      </c>
      <c r="T71" s="52" t="str">
        <f t="shared" si="4"/>
        <v>NorthBound</v>
      </c>
      <c r="U71" s="12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09:52:35-0600',mode:absolute,to:'2016-08-25 12:38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71" s="54" t="str">
        <f t="shared" si="6"/>
        <v>N</v>
      </c>
      <c r="X71" s="120">
        <f t="shared" si="19"/>
        <v>1</v>
      </c>
      <c r="Y71" s="69">
        <f t="shared" si="8"/>
        <v>4.53E-2</v>
      </c>
      <c r="Z71" s="69">
        <f t="shared" si="9"/>
        <v>23.327999999999999</v>
      </c>
      <c r="AA71" s="69">
        <f t="shared" si="10"/>
        <v>23.282699999999998</v>
      </c>
      <c r="AB71" s="66" t="e">
        <f>VLOOKUP(A71,Enforcements!$C$7:$J$21,8,0)</f>
        <v>#N/A</v>
      </c>
      <c r="AC71" s="62" t="e">
        <f>VLOOKUP(A71,Enforcements!$C$7:$E$21,3,0)</f>
        <v>#N/A</v>
      </c>
      <c r="AD71" s="63" t="str">
        <f t="shared" si="11"/>
        <v>0159-25</v>
      </c>
      <c r="AE71" s="99" t="str">
        <f t="shared" si="12"/>
        <v>aws s3 cp s3://rtdc.mdm.uploadarchive/RTDC4020/2016-08-25/ "%USERPROFILE%\AppData\Local\Temp\OnboardLogs"\RTDC4020\2016-08-25 --recursive &amp; "%USERPROFILE%\Documents\GitHub\mrs-test-scripts\Headless Mode &amp; Sideloading\WalkAndUnGZ.bat" "%USERPROFILE%\AppData\Local\Temp\OnboardLogs"\RTDC4020\2016-08-25 &amp; 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</v>
      </c>
      <c r="AF71" s="96" t="str">
        <f t="shared" si="13"/>
        <v>"C:\Program Files (x86)\AstroGrep\AstroGrep.exe" /spath="%USERPROFILE%\AppData\Local\Temp\OnboardLogs" /stypes="*4020*20160825*" /stext=" 17:.+((SYSTEM_STATE.+slice.+state.+changed )|(ment ac)|(system.+state.+changed )|(\|lc)|(penalty)|(\[timeout)|(PRM\|1\|D)|(kpr)|(kdp))" /e /r /s</v>
      </c>
      <c r="AG71" s="1" t="str">
        <f t="shared" si="14"/>
        <v>EC</v>
      </c>
      <c r="AH71" s="100" t="str">
        <f t="shared" si="15"/>
        <v>"%USERPROFILE%\Documents\GitHub\eaglep3\Utilities\RefineRTDCRunTimes.py" --tripid 159-25 --locoid 4020 --swversion DE.1.0.7.0 --startMP 204:453 --initTime 2016-08-25T10:52:35 --startdatetime 2016-08-25T11:00:13 --delay 1 --endMP 204:233280 --enddatetime 2016-08-25T11:38:19 --enforcementcount 1 &gt;&gt;C:\Users\stu\Documents\GitHub\eaglep3-reporting\EC\2016-08-25-refined-times.txt</v>
      </c>
      <c r="AI71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{"issue":{"subject":"","project_id":79,"tracker_id":40,"status_id":1,"priority_id":2,"assigned_to_id":23,"start_date":"2016-08-25","description":"","custom_fields":[{"id":1,"name":"Subdivision","value":"EC"},{"id":4,"name":"Milepost","value":"23.2827"},{"id":17,"name":"Train ID","value":"159-25"},{"id":16,"name":"Locomotive ID","value":"4020"},{"id":130,"name":"Impact","value":""},{"id":150,"name":"Time of Event (Mountain Time)","value":"11:38:19"},{"id":151,"name":"Denver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x14ac:dyDescent="0.25">
      <c r="A72" s="39" t="s">
        <v>435</v>
      </c>
      <c r="B72" s="7">
        <v>4019</v>
      </c>
      <c r="C72" s="24" t="s">
        <v>113</v>
      </c>
      <c r="D72" s="24" t="s">
        <v>436</v>
      </c>
      <c r="E72" s="15">
        <v>42607.490694444445</v>
      </c>
      <c r="F72" s="15">
        <v>42607.497488425928</v>
      </c>
      <c r="G72" s="7">
        <v>2</v>
      </c>
      <c r="H72" s="15" t="s">
        <v>152</v>
      </c>
      <c r="I72" s="15">
        <v>42607.526006944441</v>
      </c>
      <c r="J72" s="7">
        <v>1</v>
      </c>
      <c r="K72" s="132" t="str">
        <f t="shared" si="0"/>
        <v>4019/4020</v>
      </c>
      <c r="L72" s="24" t="str">
        <f>VLOOKUP(A72,'Trips&amp;Operators'!$C$1:$E$10000,3,FALSE)</f>
        <v>ROBINSON</v>
      </c>
      <c r="M72" s="6">
        <f t="shared" si="1"/>
        <v>2.8518518513010349E-2</v>
      </c>
      <c r="N72" s="7">
        <f t="shared" si="18"/>
        <v>41.066666658734903</v>
      </c>
      <c r="O72" s="7"/>
      <c r="P72" s="7"/>
      <c r="Q72" s="25"/>
      <c r="R72" s="25"/>
      <c r="S72" s="37">
        <f t="shared" si="3"/>
        <v>1</v>
      </c>
      <c r="T72" s="52" t="str">
        <f t="shared" si="4"/>
        <v>Southbound</v>
      </c>
      <c r="U72" s="12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10:46:36-0600',mode:absolute,to:'2016-08-25 13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72" s="54" t="str">
        <f t="shared" si="6"/>
        <v>N</v>
      </c>
      <c r="X72" s="120">
        <f t="shared" si="19"/>
        <v>1</v>
      </c>
      <c r="Y72" s="69">
        <f t="shared" si="8"/>
        <v>23.295300000000001</v>
      </c>
      <c r="Z72" s="69">
        <f t="shared" si="9"/>
        <v>1.4999999999999999E-2</v>
      </c>
      <c r="AA72" s="69">
        <f t="shared" si="10"/>
        <v>23.2803</v>
      </c>
      <c r="AB72" s="66" t="e">
        <f>VLOOKUP(A72,Enforcements!$C$7:$J$21,8,0)</f>
        <v>#N/A</v>
      </c>
      <c r="AC72" s="62" t="e">
        <f>VLOOKUP(A72,Enforcements!$C$7:$E$21,3,0)</f>
        <v>#N/A</v>
      </c>
      <c r="AD72" s="63" t="str">
        <f t="shared" si="11"/>
        <v>0160-25</v>
      </c>
      <c r="AE72" s="99" t="str">
        <f t="shared" si="12"/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AF72" s="96" t="str">
        <f t="shared" si="13"/>
        <v>"C:\Program Files (x86)\AstroGrep\AstroGrep.exe" /spath="%USERPROFILE%\AppData\Local\Temp\OnboardLogs" /stypes="*4019*20160825*" /stext=" 18:.+((SYSTEM_STATE.+slice.+state.+changed )|(ment ac)|(system.+state.+changed )|(\|lc)|(penalty)|(\[timeout)|(PRM\|1\|D)|(kpr)|(kdp))" /e /r /s</v>
      </c>
      <c r="AG72" s="1" t="str">
        <f t="shared" si="14"/>
        <v>EC</v>
      </c>
      <c r="AH72" s="100" t="str">
        <f t="shared" si="15"/>
        <v>"%USERPROFILE%\Documents\GitHub\eaglep3\Utilities\RefineRTDCRunTimes.py" --tripid 160-25 --locoid 4019 --swversion DE.1.0.7.0 --startMP 204:232953 --initTime 2016-08-25T11:46:36 --startdatetime 2016-08-25T11:56:23 --delay 2 --endMP 204:150 --enddatetime 2016-08-25T12:37:27 --enforcementcount 1 &gt;&gt;C:\Users\stu\Documents\GitHub\eaglep3-reporting\EC\2016-08-25-refined-times.txt</v>
      </c>
      <c r="AI72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{"issue":{"subject":"","project_id":79,"tracker_id":40,"status_id":1,"priority_id":2,"assigned_to_id":23,"start_date":"2016-08-25","description":"","custom_fields":[{"id":1,"name":"Subdivision","value":"EC"},{"id":4,"name":"Milepost","value":"23.2803"},{"id":17,"name":"Train ID","value":"160-25"},{"id":16,"name":"Locomotive ID","value":"4019"},{"id":130,"name":"Impact","value":""},{"id":150,"name":"Time of Event (Mountain Time)","value":"12:37:27"},{"id":151,"name":"Denver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23" customFormat="1" x14ac:dyDescent="0.25">
      <c r="A73" s="39" t="s">
        <v>437</v>
      </c>
      <c r="B73" s="7">
        <v>4007</v>
      </c>
      <c r="C73" s="24" t="s">
        <v>113</v>
      </c>
      <c r="D73" s="24" t="s">
        <v>314</v>
      </c>
      <c r="E73" s="15">
        <v>42607.464143518519</v>
      </c>
      <c r="F73" s="15">
        <v>42607.468935185185</v>
      </c>
      <c r="G73" s="7">
        <v>2</v>
      </c>
      <c r="H73" s="15" t="s">
        <v>329</v>
      </c>
      <c r="I73" s="15">
        <v>42607.494722222225</v>
      </c>
      <c r="J73" s="7">
        <v>1</v>
      </c>
      <c r="K73" s="132" t="str">
        <f t="shared" si="0"/>
        <v>4007/4008</v>
      </c>
      <c r="L73" s="24" t="str">
        <f>VLOOKUP(A73,'Trips&amp;Operators'!$C$1:$E$10000,3,FALSE)</f>
        <v>SHOOK</v>
      </c>
      <c r="M73" s="6">
        <f t="shared" si="1"/>
        <v>2.5787037040572613E-2</v>
      </c>
      <c r="N73" s="7">
        <f t="shared" si="18"/>
        <v>37.133333338424563</v>
      </c>
      <c r="O73" s="7"/>
      <c r="P73" s="7"/>
      <c r="Q73" s="25"/>
      <c r="R73" s="25"/>
      <c r="S73" s="37">
        <f t="shared" si="3"/>
        <v>1</v>
      </c>
      <c r="T73" s="52" t="str">
        <f t="shared" si="4"/>
        <v>NorthBound</v>
      </c>
      <c r="U73" s="12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10:08:22-0600',mode:absolute,to:'2016-08-25 12:52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73" s="54" t="str">
        <f t="shared" si="6"/>
        <v>N</v>
      </c>
      <c r="X73" s="120">
        <f t="shared" si="19"/>
        <v>1</v>
      </c>
      <c r="Y73" s="69">
        <f t="shared" si="8"/>
        <v>4.4600000000000001E-2</v>
      </c>
      <c r="Z73" s="69">
        <f t="shared" si="9"/>
        <v>23.334199999999999</v>
      </c>
      <c r="AA73" s="69">
        <f t="shared" si="10"/>
        <v>23.2896</v>
      </c>
      <c r="AB73" s="66" t="e">
        <f>VLOOKUP(A73,Enforcements!$C$7:$J$21,8,0)</f>
        <v>#N/A</v>
      </c>
      <c r="AC73" s="62" t="e">
        <f>VLOOKUP(A73,Enforcements!$C$7:$E$21,3,0)</f>
        <v>#N/A</v>
      </c>
      <c r="AD73" s="63" t="str">
        <f t="shared" si="11"/>
        <v>0161-25</v>
      </c>
      <c r="AE73" s="99" t="str">
        <f t="shared" si="1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73" s="96" t="str">
        <f t="shared" si="13"/>
        <v>"C:\Program Files (x86)\AstroGrep\AstroGrep.exe" /spath="%USERPROFILE%\AppData\Local\Temp\OnboardLogs" /stypes="*4007*20160825*" /stext=" 17:.+((SYSTEM_STATE.+slice.+state.+changed )|(ment ac)|(system.+state.+changed )|(\|lc)|(penalty)|(\[timeout)|(PRM\|1\|D)|(kpr)|(kdp))" /e /r /s</v>
      </c>
      <c r="AG73" s="1" t="str">
        <f t="shared" si="14"/>
        <v>EC</v>
      </c>
      <c r="AH73" s="100" t="str">
        <f t="shared" si="15"/>
        <v>"%USERPROFILE%\Documents\GitHub\eaglep3\Utilities\RefineRTDCRunTimes.py" --tripid 161-25 --locoid 4007 --swversion DE.1.0.7.0 --startMP 204:446 --initTime 2016-08-25T11:08:22 --startdatetime 2016-08-25T11:15:16 --delay 2 --endMP 204:233342 --enddatetime 2016-08-25T11:52:24 --enforcementcount 1 &gt;&gt;C:\Users\stu\Documents\GitHub\eaglep3-reporting\EC\2016-08-25-refined-times.txt</v>
      </c>
      <c r="AI73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{"issue":{"subject":"","project_id":79,"tracker_id":40,"status_id":1,"priority_id":2,"assigned_to_id":23,"start_date":"2016-08-25","description":"","custom_fields":[{"id":1,"name":"Subdivision","value":"EC"},{"id":4,"name":"Milepost","value":"23.2896"},{"id":17,"name":"Train ID","value":"161-25"},{"id":16,"name":"Locomotive ID","value":"4007"},{"id":130,"name":"Impact","value":""},{"id":150,"name":"Time of Event (Mountain Time)","value":"11:52:24"},{"id":151,"name":"Denver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x14ac:dyDescent="0.25">
      <c r="A74" s="39" t="s">
        <v>438</v>
      </c>
      <c r="B74" s="7">
        <v>4008</v>
      </c>
      <c r="C74" s="24" t="s">
        <v>113</v>
      </c>
      <c r="D74" s="24" t="s">
        <v>236</v>
      </c>
      <c r="E74" s="15">
        <v>42607.503553240742</v>
      </c>
      <c r="F74" s="15">
        <v>42607.5078125</v>
      </c>
      <c r="G74" s="7">
        <v>1</v>
      </c>
      <c r="H74" s="15" t="s">
        <v>136</v>
      </c>
      <c r="I74" s="15">
        <v>42607.535069444442</v>
      </c>
      <c r="J74" s="7">
        <v>1</v>
      </c>
      <c r="K74" s="132" t="str">
        <f t="shared" si="0"/>
        <v>4007/4008</v>
      </c>
      <c r="L74" s="24" t="str">
        <f>VLOOKUP(A74,'Trips&amp;Operators'!$C$1:$E$10000,3,FALSE)</f>
        <v>SHOOK</v>
      </c>
      <c r="M74" s="6">
        <f t="shared" si="1"/>
        <v>2.7256944442342501E-2</v>
      </c>
      <c r="N74" s="7">
        <f t="shared" si="18"/>
        <v>39.249999996973202</v>
      </c>
      <c r="O74" s="7"/>
      <c r="P74" s="7"/>
      <c r="Q74" s="25"/>
      <c r="R74" s="25"/>
      <c r="S74" s="37">
        <f t="shared" si="3"/>
        <v>1</v>
      </c>
      <c r="T74" s="52" t="str">
        <f t="shared" si="4"/>
        <v>Southbound</v>
      </c>
      <c r="U74" s="12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11:05:07-0600',mode:absolute,to:'2016-08-25 13:50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74" s="54" t="str">
        <f t="shared" si="6"/>
        <v>N</v>
      </c>
      <c r="X74" s="120">
        <f t="shared" si="19"/>
        <v>1</v>
      </c>
      <c r="Y74" s="69">
        <f t="shared" si="8"/>
        <v>23.301100000000002</v>
      </c>
      <c r="Z74" s="69">
        <f t="shared" si="9"/>
        <v>1.49E-2</v>
      </c>
      <c r="AA74" s="69">
        <f t="shared" si="10"/>
        <v>23.286200000000001</v>
      </c>
      <c r="AB74" s="66" t="e">
        <f>VLOOKUP(A74,Enforcements!$C$7:$J$21,8,0)</f>
        <v>#N/A</v>
      </c>
      <c r="AC74" s="62" t="e">
        <f>VLOOKUP(A74,Enforcements!$C$7:$E$21,3,0)</f>
        <v>#N/A</v>
      </c>
      <c r="AD74" s="63" t="str">
        <f t="shared" si="11"/>
        <v>0162-25</v>
      </c>
      <c r="AE74" s="99" t="str">
        <f t="shared" si="12"/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AF74" s="96" t="str">
        <f t="shared" si="13"/>
        <v>"C:\Program Files (x86)\AstroGrep\AstroGrep.exe" /spath="%USERPROFILE%\AppData\Local\Temp\OnboardLogs" /stypes="*4008*20160825*" /stext=" 18:.+((SYSTEM_STATE.+slice.+state.+changed )|(ment ac)|(system.+state.+changed )|(\|lc)|(penalty)|(\[timeout)|(PRM\|1\|D)|(kpr)|(kdp))" /e /r /s</v>
      </c>
      <c r="AG74" s="1" t="str">
        <f t="shared" si="14"/>
        <v>EC</v>
      </c>
      <c r="AH74" s="100" t="str">
        <f t="shared" si="15"/>
        <v>"%USERPROFILE%\Documents\GitHub\eaglep3\Utilities\RefineRTDCRunTimes.py" --tripid 162-25 --locoid 4008 --swversion DE.1.0.7.0 --startMP 204:233011 --initTime 2016-08-25T12:05:07 --startdatetime 2016-08-25T12:11:15 --delay 1 --endMP 204:149 --enddatetime 2016-08-25T12:50:30 --enforcementcount 1 &gt;&gt;C:\Users\stu\Documents\GitHub\eaglep3-reporting\EC\2016-08-25-refined-times.txt</v>
      </c>
      <c r="AI74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{"issue":{"subject":"","project_id":79,"tracker_id":40,"status_id":1,"priority_id":2,"assigned_to_id":23,"start_date":"2016-08-25","description":"","custom_fields":[{"id":1,"name":"Subdivision","value":"EC"},{"id":4,"name":"Milepost","value":"23.2862"},{"id":17,"name":"Train ID","value":"162-25"},{"id":16,"name":"Locomotive ID","value":"4008"},{"id":130,"name":"Impact","value":""},{"id":150,"name":"Time of Event (Mountain Time)","value":"12:50:30"},{"id":151,"name":"Denver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x14ac:dyDescent="0.25">
      <c r="A75" s="39" t="s">
        <v>439</v>
      </c>
      <c r="B75" s="7">
        <v>4042</v>
      </c>
      <c r="C75" s="24" t="s">
        <v>113</v>
      </c>
      <c r="D75" s="24" t="s">
        <v>138</v>
      </c>
      <c r="E75" s="15">
        <v>42607.475474537037</v>
      </c>
      <c r="F75" s="15">
        <v>42607.479479166665</v>
      </c>
      <c r="G75" s="7">
        <v>2</v>
      </c>
      <c r="H75" s="15" t="s">
        <v>428</v>
      </c>
      <c r="I75" s="15">
        <v>42607.505335648151</v>
      </c>
      <c r="J75" s="7">
        <v>1</v>
      </c>
      <c r="K75" s="132" t="str">
        <f t="shared" si="0"/>
        <v>4041/4042</v>
      </c>
      <c r="L75" s="24" t="str">
        <f>VLOOKUP(A75,'Trips&amp;Operators'!$C$1:$E$10000,3,FALSE)</f>
        <v>MOSES</v>
      </c>
      <c r="M75" s="6">
        <f t="shared" si="1"/>
        <v>2.5856481486698613E-2</v>
      </c>
      <c r="N75" s="7">
        <f t="shared" si="18"/>
        <v>37.233333340846002</v>
      </c>
      <c r="O75" s="7"/>
      <c r="P75" s="7"/>
      <c r="Q75" s="25"/>
      <c r="R75" s="25"/>
      <c r="S75" s="37">
        <f t="shared" si="3"/>
        <v>1</v>
      </c>
      <c r="T75" s="52" t="str">
        <f t="shared" si="4"/>
        <v>NorthBound</v>
      </c>
      <c r="U75" s="12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10:24:41-0600',mode:absolute,to:'2016-08-25 13:07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75" s="54" t="str">
        <f t="shared" si="6"/>
        <v>N</v>
      </c>
      <c r="X75" s="120">
        <f t="shared" si="19"/>
        <v>1</v>
      </c>
      <c r="Y75" s="69">
        <f t="shared" si="8"/>
        <v>4.6899999999999997E-2</v>
      </c>
      <c r="Z75" s="69">
        <f t="shared" si="9"/>
        <v>23.327999999999999</v>
      </c>
      <c r="AA75" s="69">
        <f t="shared" si="10"/>
        <v>23.281099999999999</v>
      </c>
      <c r="AB75" s="66" t="e">
        <f>VLOOKUP(A75,Enforcements!$C$7:$J$21,8,0)</f>
        <v>#N/A</v>
      </c>
      <c r="AC75" s="62" t="e">
        <f>VLOOKUP(A75,Enforcements!$C$7:$E$21,3,0)</f>
        <v>#N/A</v>
      </c>
      <c r="AD75" s="63" t="str">
        <f t="shared" si="11"/>
        <v>0163-25</v>
      </c>
      <c r="AE75" s="99" t="str">
        <f t="shared" si="1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75" s="96" t="str">
        <f t="shared" si="13"/>
        <v>"C:\Program Files (x86)\AstroGrep\AstroGrep.exe" /spath="%USERPROFILE%\AppData\Local\Temp\OnboardLogs" /stypes="*4042*20160825*" /stext=" 18:.+((SYSTEM_STATE.+slice.+state.+changed )|(ment ac)|(system.+state.+changed )|(\|lc)|(penalty)|(\[timeout)|(PRM\|1\|D)|(kpr)|(kdp))" /e /r /s</v>
      </c>
      <c r="AG75" s="1" t="str">
        <f t="shared" si="14"/>
        <v>EC</v>
      </c>
      <c r="AH75" s="100" t="str">
        <f t="shared" si="15"/>
        <v>"%USERPROFILE%\Documents\GitHub\eaglep3\Utilities\RefineRTDCRunTimes.py" --tripid 163-25 --locoid 4042 --swversion DE.1.0.7.0 --startMP 204:469 --initTime 2016-08-25T11:24:41 --startdatetime 2016-08-25T11:30:27 --delay 2 --endMP 204:233280 --enddatetime 2016-08-25T12:07:41 --enforcementcount 1 &gt;&gt;C:\Users\stu\Documents\GitHub\eaglep3-reporting\EC\2016-08-25-refined-times.txt</v>
      </c>
      <c r="AI75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{"issue":{"subject":"","project_id":79,"tracker_id":40,"status_id":1,"priority_id":2,"assigned_to_id":23,"start_date":"2016-08-25","description":"","custom_fields":[{"id":1,"name":"Subdivision","value":"EC"},{"id":4,"name":"Milepost","value":"23.2811"},{"id":17,"name":"Train ID","value":"163-25"},{"id":16,"name":"Locomotive ID","value":"4042"},{"id":130,"name":"Impact","value":""},{"id":150,"name":"Time of Event (Mountain Time)","value":"12:07:41"},{"id":151,"name":"Denver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x14ac:dyDescent="0.25">
      <c r="A76" s="39" t="s">
        <v>440</v>
      </c>
      <c r="B76" s="7">
        <v>4041</v>
      </c>
      <c r="C76" s="24" t="s">
        <v>113</v>
      </c>
      <c r="D76" s="24" t="s">
        <v>441</v>
      </c>
      <c r="E76" s="15">
        <v>42607.514108796298</v>
      </c>
      <c r="F76" s="15">
        <v>42607.518437500003</v>
      </c>
      <c r="G76" s="7">
        <v>1</v>
      </c>
      <c r="H76" s="15" t="s">
        <v>136</v>
      </c>
      <c r="I76" s="15">
        <v>42607.547291666669</v>
      </c>
      <c r="J76" s="7">
        <v>1</v>
      </c>
      <c r="K76" s="132" t="str">
        <f t="shared" si="0"/>
        <v>4041/4042</v>
      </c>
      <c r="L76" s="24" t="str">
        <f>VLOOKUP(A76,'Trips&amp;Operators'!$C$1:$E$10000,3,FALSE)</f>
        <v>MOSES</v>
      </c>
      <c r="M76" s="6">
        <f t="shared" si="1"/>
        <v>2.8854166666860692E-2</v>
      </c>
      <c r="N76" s="7">
        <f t="shared" si="18"/>
        <v>41.550000000279397</v>
      </c>
      <c r="O76" s="7"/>
      <c r="P76" s="7"/>
      <c r="Q76" s="25"/>
      <c r="R76" s="25"/>
      <c r="S76" s="37">
        <f t="shared" si="3"/>
        <v>1</v>
      </c>
      <c r="T76" s="52" t="str">
        <f t="shared" si="4"/>
        <v>Southbound</v>
      </c>
      <c r="U76" s="12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11:20:19-0600',mode:absolute,to:'2016-08-25 14:08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76" s="54" t="str">
        <f t="shared" si="6"/>
        <v>N</v>
      </c>
      <c r="X76" s="120">
        <f t="shared" si="19"/>
        <v>1</v>
      </c>
      <c r="Y76" s="69">
        <f t="shared" si="8"/>
        <v>23.2973</v>
      </c>
      <c r="Z76" s="69">
        <f t="shared" si="9"/>
        <v>1.49E-2</v>
      </c>
      <c r="AA76" s="69">
        <f t="shared" si="10"/>
        <v>23.282399999999999</v>
      </c>
      <c r="AB76" s="66">
        <f>VLOOKUP(A76,Enforcements!$C$7:$J$21,8,0)</f>
        <v>21848</v>
      </c>
      <c r="AC76" s="62" t="str">
        <f>VLOOKUP(A76,Enforcements!$C$7:$E$21,3,0)</f>
        <v>PERMANENT SPEED RESTRICTION</v>
      </c>
      <c r="AD76" s="63" t="str">
        <f t="shared" si="11"/>
        <v>0164-25</v>
      </c>
      <c r="AE76" s="99" t="str">
        <f t="shared" si="1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76" s="96" t="str">
        <f t="shared" si="13"/>
        <v>"C:\Program Files (x86)\AstroGrep\AstroGrep.exe" /spath="%USERPROFILE%\AppData\Local\Temp\OnboardLogs" /stypes="*4041*20160825*" /stext=" 19:.+((SYSTEM_STATE.+slice.+state.+changed )|(ment ac)|(system.+state.+changed )|(\|lc)|(penalty)|(\[timeout)|(PRM\|1\|D)|(kpr)|(kdp))" /e /r /s</v>
      </c>
      <c r="AG76" s="1" t="str">
        <f t="shared" si="14"/>
        <v>EC</v>
      </c>
      <c r="AH76" s="100" t="str">
        <f t="shared" si="15"/>
        <v>"%USERPROFILE%\Documents\GitHub\eaglep3\Utilities\RefineRTDCRunTimes.py" --tripid 164-25 --locoid 4041 --swversion DE.1.0.7.0 --startMP 204:232973 --initTime 2016-08-25T12:20:19 --startdatetime 2016-08-25T12:26:33 --delay 1 --endMP 204:149 --enddatetime 2016-08-25T13:08:06 --enforcementcount 1 &gt;&gt;C:\Users\stu\Documents\GitHub\eaglep3-reporting\EC\2016-08-25-refined-times.txt</v>
      </c>
      <c r="AI76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{"issue":{"subject":"","project_id":79,"tracker_id":40,"status_id":1,"priority_id":2,"assigned_to_id":23,"start_date":"2016-08-25","description":"","custom_fields":[{"id":1,"name":"Subdivision","value":"EC"},{"id":4,"name":"Milepost","value":"23.2824"},{"id":17,"name":"Train ID","value":"164-25"},{"id":16,"name":"Locomotive ID","value":"4041"},{"id":130,"name":"Impact","value":""},{"id":150,"name":"Time of Event (Mountain Time)","value":"13:08:06"},{"id":151,"name":"Denver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23" customFormat="1" x14ac:dyDescent="0.25">
      <c r="A77" s="39" t="s">
        <v>442</v>
      </c>
      <c r="B77" s="7">
        <v>4009</v>
      </c>
      <c r="C77" s="24" t="s">
        <v>113</v>
      </c>
      <c r="D77" s="24" t="s">
        <v>185</v>
      </c>
      <c r="E77" s="15">
        <v>42607.486446759256</v>
      </c>
      <c r="F77" s="15">
        <v>42607.489733796298</v>
      </c>
      <c r="G77" s="7">
        <v>1</v>
      </c>
      <c r="H77" s="15" t="s">
        <v>408</v>
      </c>
      <c r="I77" s="15">
        <v>42607.514803240738</v>
      </c>
      <c r="J77" s="7">
        <v>1</v>
      </c>
      <c r="K77" s="132" t="str">
        <f t="shared" ref="K77:K140" si="20">IF(ISEVEN(B77),(B77-1)&amp;"/"&amp;B77,B77&amp;"/"&amp;(B77+1))</f>
        <v>4009/4010</v>
      </c>
      <c r="L77" s="24" t="str">
        <f>VLOOKUP(A77,'Trips&amp;Operators'!$C$1:$E$10000,3,FALSE)</f>
        <v>CRAYTON</v>
      </c>
      <c r="M77" s="6">
        <f t="shared" ref="M77:M140" si="21">I77-F77</f>
        <v>2.5069444440305233E-2</v>
      </c>
      <c r="N77" s="7">
        <f t="shared" ref="N77:N108" si="22">24*60*SUM($M77:$M77)</f>
        <v>36.099999994039536</v>
      </c>
      <c r="O77" s="7"/>
      <c r="P77" s="7"/>
      <c r="Q77" s="25"/>
      <c r="R77" s="25"/>
      <c r="S77" s="37">
        <f t="shared" ref="S77:S140" si="23">SUM(U77:U77)/IF(AG77="EC",12,1)</f>
        <v>1</v>
      </c>
      <c r="T77" s="52" t="str">
        <f t="shared" ref="T77:T140" si="24">IF(ISEVEN(LEFT(AD77,4)),"Southbound","NorthBound")</f>
        <v>NorthBound</v>
      </c>
      <c r="U77" s="12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40" si="25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https://search-rtdc-monitor-bjffxe2xuh6vdkpspy63sjmuny.us-east-1.es.amazonaws.com/_plugin/kibana/#/discover/Steve-Slow-Train-Analysis-(2080s-and-2083s)?_g=(refreshInterval:(display:Off,section:0,value:0),time:(from:'2016-08-25 10:40:29-0600',mode:absolute,to:'2016-08-25 13:21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77" s="54" t="str">
        <f t="shared" ref="W77:W140" si="26">IF(AA77&lt;IF(AG77="EC",23,5.65),"Y","N")</f>
        <v>N</v>
      </c>
      <c r="X77" s="120">
        <f t="shared" ref="X77:X108" si="27">VALUE(LEFT(AD77,4))-VALUE(LEFT(AD76,4))</f>
        <v>1</v>
      </c>
      <c r="Y77" s="69">
        <f t="shared" ref="Y77:Y140" si="28">RIGHT(D77,LEN(D77)-4)/10000</f>
        <v>4.7100000000000003E-2</v>
      </c>
      <c r="Z77" s="69">
        <f t="shared" ref="Z77:Z140" si="29">RIGHT(H77,LEN(H77)-4)/10000</f>
        <v>23.332100000000001</v>
      </c>
      <c r="AA77" s="69">
        <f t="shared" ref="AA77:AA140" si="30">ABS(Z77-Y77)</f>
        <v>23.285</v>
      </c>
      <c r="AB77" s="66" t="e">
        <f>VLOOKUP(A77,Enforcements!$C$7:$J$21,8,0)</f>
        <v>#N/A</v>
      </c>
      <c r="AC77" s="62" t="e">
        <f>VLOOKUP(A77,Enforcements!$C$7:$E$21,3,0)</f>
        <v>#N/A</v>
      </c>
      <c r="AD77" s="63" t="str">
        <f t="shared" ref="AD77:AD140" si="31">IF(LEN(A77)=6,"0"&amp;A77,A77)</f>
        <v>0165-25</v>
      </c>
      <c r="AE77" s="99" t="str">
        <f t="shared" ref="AE77:AE140" si="32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 &amp; 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</v>
      </c>
      <c r="AF77" s="96" t="str">
        <f t="shared" ref="AF77:AF140" si="33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/stypes="*4009*20160825*" /stext=" 18:.+((SYSTEM_STATE.+slice.+state.+changed )|(ment ac)|(system.+state.+changed )|(\|lc)|(penalty)|(\[timeout)|(PRM\|1\|D)|(kpr)|(kdp))" /e /r /s</v>
      </c>
      <c r="AG77" s="1" t="str">
        <f t="shared" ref="AG77:AG140" si="34">IFERROR(IF(VALUE(LEFT(AD77,2))&lt;=2,"EC",IF(OR(VALUE(LEFT(AD77,2))=8,VALUE(LEFT(AD77,2))=18),"NW","Other")),"Other")</f>
        <v>EC</v>
      </c>
      <c r="AH77" s="100" t="str">
        <f t="shared" ref="AH77:AH140" si="35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165-25 --locoid 4009 --swversion DE.1.0.7.0 --startMP 204:471 --initTime 2016-08-25T11:40:29 --startdatetime 2016-08-25T11:45:13 --delay 1 --endMP 204:233321 --enddatetime 2016-08-25T12:21:19 --enforcementcount 1 &gt;&gt;C:\Users\stu\Documents\GitHub\eaglep3-reporting\EC\2016-08-25-refined-times.txt</v>
      </c>
      <c r="AI77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{"issue":{"subject":"","project_id":79,"tracker_id":40,"status_id":1,"priority_id":2,"assigned_to_id":23,"start_date":"2016-08-25","description":"","custom_fields":[{"id":1,"name":"Subdivision","value":"EC"},{"id":4,"name":"Milepost","value":"23.285"},{"id":17,"name":"Train ID","value":"165-25"},{"id":16,"name":"Locomotive ID","value":"4009"},{"id":130,"name":"Impact","value":""},{"id":150,"name":"Time of Event (Mountain Time)","value":"12:21:19"},{"id":151,"name":"Denver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x14ac:dyDescent="0.25">
      <c r="A78" s="39" t="s">
        <v>443</v>
      </c>
      <c r="B78" s="7">
        <v>4010</v>
      </c>
      <c r="C78" s="24" t="s">
        <v>113</v>
      </c>
      <c r="D78" s="24" t="s">
        <v>388</v>
      </c>
      <c r="E78" s="15">
        <v>42607.516631944447</v>
      </c>
      <c r="F78" s="15">
        <v>42607.528668981482</v>
      </c>
      <c r="G78" s="7">
        <v>1</v>
      </c>
      <c r="H78" s="15" t="s">
        <v>152</v>
      </c>
      <c r="I78" s="15">
        <v>42607.55609953704</v>
      </c>
      <c r="J78" s="7">
        <v>1</v>
      </c>
      <c r="K78" s="132" t="str">
        <f t="shared" si="20"/>
        <v>4009/4010</v>
      </c>
      <c r="L78" s="24" t="str">
        <f>VLOOKUP(A78,'Trips&amp;Operators'!$C$1:$E$10000,3,FALSE)</f>
        <v>CRAYTON</v>
      </c>
      <c r="M78" s="6">
        <f t="shared" si="21"/>
        <v>2.7430555557657499E-2</v>
      </c>
      <c r="N78" s="7">
        <f t="shared" si="22"/>
        <v>39.500000003026798</v>
      </c>
      <c r="O78" s="7"/>
      <c r="P78" s="7"/>
      <c r="Q78" s="25"/>
      <c r="R78" s="25"/>
      <c r="S78" s="37">
        <f t="shared" si="23"/>
        <v>1</v>
      </c>
      <c r="T78" s="52" t="str">
        <f t="shared" si="24"/>
        <v>Southbound</v>
      </c>
      <c r="U78" s="12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11:23:57-0600',mode:absolute,to:'2016-08-25 14:20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78" s="54" t="str">
        <f t="shared" si="26"/>
        <v>N</v>
      </c>
      <c r="X78" s="120">
        <f t="shared" si="27"/>
        <v>1</v>
      </c>
      <c r="Y78" s="69">
        <f t="shared" si="28"/>
        <v>23.300999999999998</v>
      </c>
      <c r="Z78" s="69">
        <f t="shared" si="29"/>
        <v>1.4999999999999999E-2</v>
      </c>
      <c r="AA78" s="69">
        <f t="shared" si="30"/>
        <v>23.285999999999998</v>
      </c>
      <c r="AB78" s="66" t="e">
        <f>VLOOKUP(A78,Enforcements!$C$7:$J$21,8,0)</f>
        <v>#N/A</v>
      </c>
      <c r="AC78" s="62" t="e">
        <f>VLOOKUP(A78,Enforcements!$C$7:$E$21,3,0)</f>
        <v>#N/A</v>
      </c>
      <c r="AD78" s="63" t="str">
        <f t="shared" si="31"/>
        <v>0166-25</v>
      </c>
      <c r="AE78" s="99" t="str">
        <f t="shared" si="32"/>
        <v>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 &amp; 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</v>
      </c>
      <c r="AF78" s="96" t="str">
        <f t="shared" si="33"/>
        <v>"C:\Program Files (x86)\AstroGrep\AstroGrep.exe" /spath="%USERPROFILE%\AppData\Local\Temp\OnboardLogs" /stypes="*4010*20160825*" /stext=" 19:.+((SYSTEM_STATE.+slice.+state.+changed )|(ment ac)|(system.+state.+changed )|(\|lc)|(penalty)|(\[timeout)|(PRM\|1\|D)|(kpr)|(kdp))" /e /r /s</v>
      </c>
      <c r="AG78" s="1" t="str">
        <f t="shared" si="34"/>
        <v>EC</v>
      </c>
      <c r="AH78" s="100" t="str">
        <f t="shared" si="35"/>
        <v>"%USERPROFILE%\Documents\GitHub\eaglep3\Utilities\RefineRTDCRunTimes.py" --tripid 166-25 --locoid 4010 --swversion DE.1.0.7.0 --startMP 204:233010 --initTime 2016-08-25T12:23:57 --startdatetime 2016-08-25T12:41:17 --delay 1 --endMP 204:150 --enddatetime 2016-08-25T13:20:47 --enforcementcount 1 &gt;&gt;C:\Users\stu\Documents\GitHub\eaglep3-reporting\EC\2016-08-25-refined-times.txt</v>
      </c>
      <c r="AI78" s="149" t="str">
        <f t="shared" ref="AI78:AI142" si="36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AA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{"issue":{"subject":"","project_id":79,"tracker_id":40,"status_id":1,"priority_id":2,"assigned_to_id":23,"start_date":"2016-08-25","description":"","custom_fields":[{"id":1,"name":"Subdivision","value":"EC"},{"id":4,"name":"Milepost","value":"23.286"},{"id":17,"name":"Train ID","value":"166-25"},{"id":16,"name":"Locomotive ID","value":"4010"},{"id":130,"name":"Impact","value":""},{"id":150,"name":"Time of Event (Mountain Time)","value":"13:20:47"},{"id":151,"name":"Denver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x14ac:dyDescent="0.25">
      <c r="A79" s="39" t="s">
        <v>444</v>
      </c>
      <c r="B79" s="7">
        <v>4031</v>
      </c>
      <c r="C79" s="24" t="s">
        <v>113</v>
      </c>
      <c r="D79" s="24" t="s">
        <v>239</v>
      </c>
      <c r="E79" s="15">
        <v>42607.499074074076</v>
      </c>
      <c r="F79" s="15">
        <v>42607.500555555554</v>
      </c>
      <c r="G79" s="7">
        <v>1</v>
      </c>
      <c r="H79" s="15" t="s">
        <v>219</v>
      </c>
      <c r="I79" s="15">
        <v>42607.52752314815</v>
      </c>
      <c r="J79" s="7">
        <v>1</v>
      </c>
      <c r="K79" s="132" t="str">
        <f t="shared" si="20"/>
        <v>4031/4032</v>
      </c>
      <c r="L79" s="24" t="str">
        <f>VLOOKUP(A79,'Trips&amp;Operators'!$C$1:$E$10000,3,FALSE)</f>
        <v>YOUNG</v>
      </c>
      <c r="M79" s="6">
        <f t="shared" si="21"/>
        <v>2.6967592595610768E-2</v>
      </c>
      <c r="N79" s="7">
        <f t="shared" si="22"/>
        <v>38.833333337679505</v>
      </c>
      <c r="O79" s="7"/>
      <c r="P79" s="7"/>
      <c r="Q79" s="25"/>
      <c r="R79" s="25"/>
      <c r="S79" s="37">
        <f t="shared" si="23"/>
        <v>1</v>
      </c>
      <c r="T79" s="52" t="str">
        <f t="shared" si="24"/>
        <v>NorthBound</v>
      </c>
      <c r="U79" s="12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10:58:40-0600',mode:absolute,to:'2016-08-25 13:39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79" s="54" t="str">
        <f t="shared" si="26"/>
        <v>N</v>
      </c>
      <c r="X79" s="120">
        <f t="shared" si="27"/>
        <v>1</v>
      </c>
      <c r="Y79" s="69">
        <f t="shared" si="28"/>
        <v>4.6399999999999997E-2</v>
      </c>
      <c r="Z79" s="69">
        <f t="shared" si="29"/>
        <v>23.331199999999999</v>
      </c>
      <c r="AA79" s="69">
        <f t="shared" si="30"/>
        <v>23.284800000000001</v>
      </c>
      <c r="AB79" s="66" t="e">
        <f>VLOOKUP(A79,Enforcements!$C$7:$J$21,8,0)</f>
        <v>#N/A</v>
      </c>
      <c r="AC79" s="62" t="e">
        <f>VLOOKUP(A79,Enforcements!$C$7:$E$21,3,0)</f>
        <v>#N/A</v>
      </c>
      <c r="AD79" s="63" t="str">
        <f t="shared" si="31"/>
        <v>0167-25</v>
      </c>
      <c r="AE79" s="99" t="str">
        <f t="shared" si="32"/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79" s="96" t="str">
        <f t="shared" si="33"/>
        <v>"C:\Program Files (x86)\AstroGrep\AstroGrep.exe" /spath="%USERPROFILE%\AppData\Local\Temp\OnboardLogs" /stypes="*4031*20160825*" /stext=" 18:.+((SYSTEM_STATE.+slice.+state.+changed )|(ment ac)|(system.+state.+changed )|(\|lc)|(penalty)|(\[timeout)|(PRM\|1\|D)|(kpr)|(kdp))" /e /r /s</v>
      </c>
      <c r="AG79" s="1" t="str">
        <f t="shared" si="34"/>
        <v>EC</v>
      </c>
      <c r="AH79" s="100" t="str">
        <f t="shared" si="35"/>
        <v>"%USERPROFILE%\Documents\GitHub\eaglep3\Utilities\RefineRTDCRunTimes.py" --tripid 167-25 --locoid 4031 --swversion DE.1.0.7.0 --startMP 204:464 --initTime 2016-08-25T11:58:40 --startdatetime 2016-08-25T12:00:48 --delay 1 --endMP 204:233312 --enddatetime 2016-08-25T12:39:38 --enforcementcount 1 &gt;&gt;C:\Users\stu\Documents\GitHub\eaglep3-reporting\EC\2016-08-25-refined-times.txt</v>
      </c>
      <c r="AI79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{"issue":{"subject":"","project_id":79,"tracker_id":40,"status_id":1,"priority_id":2,"assigned_to_id":23,"start_date":"2016-08-25","description":"","custom_fields":[{"id":1,"name":"Subdivision","value":"EC"},{"id":4,"name":"Milepost","value":"23.2848"},{"id":17,"name":"Train ID","value":"167-25"},{"id":16,"name":"Locomotive ID","value":"4031"},{"id":130,"name":"Impact","value":""},{"id":150,"name":"Time of Event (Mountain Time)","value":"12:39:38"},{"id":151,"name":"Denver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x14ac:dyDescent="0.25">
      <c r="A80" s="39" t="s">
        <v>445</v>
      </c>
      <c r="B80" s="7">
        <v>4032</v>
      </c>
      <c r="C80" s="24" t="s">
        <v>113</v>
      </c>
      <c r="D80" s="24" t="s">
        <v>316</v>
      </c>
      <c r="E80" s="15">
        <v>42607.529560185183</v>
      </c>
      <c r="F80" s="15">
        <v>42607.539097222223</v>
      </c>
      <c r="G80" s="7">
        <v>1</v>
      </c>
      <c r="H80" s="15" t="s">
        <v>446</v>
      </c>
      <c r="I80" s="15">
        <v>42607.570555555554</v>
      </c>
      <c r="J80" s="7">
        <v>1</v>
      </c>
      <c r="K80" s="132" t="str">
        <f t="shared" si="20"/>
        <v>4031/4032</v>
      </c>
      <c r="L80" s="24" t="str">
        <f>VLOOKUP(A80,'Trips&amp;Operators'!$C$1:$E$10000,3,FALSE)</f>
        <v>YOUNG</v>
      </c>
      <c r="M80" s="6">
        <f t="shared" si="21"/>
        <v>3.145833333110204E-2</v>
      </c>
      <c r="N80" s="7">
        <f t="shared" si="22"/>
        <v>45.299999996786937</v>
      </c>
      <c r="O80" s="7"/>
      <c r="P80" s="7"/>
      <c r="Q80" s="25"/>
      <c r="R80" s="25"/>
      <c r="S80" s="37">
        <f t="shared" si="23"/>
        <v>1</v>
      </c>
      <c r="T80" s="52" t="str">
        <f t="shared" si="24"/>
        <v>Southbound</v>
      </c>
      <c r="U80" s="12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11:42:34-0600',mode:absolute,to:'2016-08-25 14:41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80" s="54" t="str">
        <f t="shared" si="26"/>
        <v>N</v>
      </c>
      <c r="X80" s="120">
        <f t="shared" si="27"/>
        <v>1</v>
      </c>
      <c r="Y80" s="69">
        <f t="shared" si="28"/>
        <v>23.298999999999999</v>
      </c>
      <c r="Z80" s="69">
        <f t="shared" si="29"/>
        <v>1.89E-2</v>
      </c>
      <c r="AA80" s="69">
        <f t="shared" si="30"/>
        <v>23.280100000000001</v>
      </c>
      <c r="AB80" s="66" t="e">
        <f>VLOOKUP(A80,Enforcements!$C$7:$J$21,8,0)</f>
        <v>#N/A</v>
      </c>
      <c r="AC80" s="62" t="e">
        <f>VLOOKUP(A80,Enforcements!$C$7:$E$21,3,0)</f>
        <v>#N/A</v>
      </c>
      <c r="AD80" s="63" t="str">
        <f t="shared" si="31"/>
        <v>0168-25</v>
      </c>
      <c r="AE80" s="99" t="str">
        <f t="shared" si="3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80" s="96" t="str">
        <f t="shared" si="33"/>
        <v>"C:\Program Files (x86)\AstroGrep\AstroGrep.exe" /spath="%USERPROFILE%\AppData\Local\Temp\OnboardLogs" /stypes="*4032*20160825*" /stext=" 19:.+((SYSTEM_STATE.+slice.+state.+changed )|(ment ac)|(system.+state.+changed )|(\|lc)|(penalty)|(\[timeout)|(PRM\|1\|D)|(kpr)|(kdp))" /e /r /s</v>
      </c>
      <c r="AG80" s="1" t="str">
        <f t="shared" si="34"/>
        <v>EC</v>
      </c>
      <c r="AH80" s="100" t="str">
        <f t="shared" si="35"/>
        <v>"%USERPROFILE%\Documents\GitHub\eaglep3\Utilities\RefineRTDCRunTimes.py" --tripid 168-25 --locoid 4032 --swversion DE.1.0.7.0 --startMP 204:232990 --initTime 2016-08-25T12:42:34 --startdatetime 2016-08-25T12:56:18 --delay 1 --endMP 204:189 --enddatetime 2016-08-25T13:41:36 --enforcementcount 1 &gt;&gt;C:\Users\stu\Documents\GitHub\eaglep3-reporting\EC\2016-08-25-refined-times.txt</v>
      </c>
      <c r="AI80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{"issue":{"subject":"","project_id":79,"tracker_id":40,"status_id":1,"priority_id":2,"assigned_to_id":23,"start_date":"2016-08-25","description":"","custom_fields":[{"id":1,"name":"Subdivision","value":"EC"},{"id":4,"name":"Milepost","value":"23.2801"},{"id":17,"name":"Train ID","value":"168-25"},{"id":16,"name":"Locomotive ID","value":"4032"},{"id":130,"name":"Impact","value":""},{"id":150,"name":"Time of Event (Mountain Time)","value":"13:41:36"},{"id":151,"name":"Denver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x14ac:dyDescent="0.25">
      <c r="A81" s="39" t="s">
        <v>447</v>
      </c>
      <c r="B81" s="7">
        <v>4011</v>
      </c>
      <c r="C81" s="24" t="s">
        <v>113</v>
      </c>
      <c r="D81" s="24" t="s">
        <v>141</v>
      </c>
      <c r="E81" s="15">
        <v>42607.505949074075</v>
      </c>
      <c r="F81" s="15">
        <v>42607.510775462964</v>
      </c>
      <c r="G81" s="7">
        <v>1</v>
      </c>
      <c r="H81" s="15" t="s">
        <v>322</v>
      </c>
      <c r="I81" s="15">
        <v>42607.535555555558</v>
      </c>
      <c r="J81" s="7">
        <v>1</v>
      </c>
      <c r="K81" s="132" t="str">
        <f t="shared" si="20"/>
        <v>4011/4012</v>
      </c>
      <c r="L81" s="24" t="str">
        <f>VLOOKUP(A81,'Trips&amp;Operators'!$C$1:$E$10000,3,FALSE)</f>
        <v>STAMBAUGH</v>
      </c>
      <c r="M81" s="6">
        <f t="shared" si="21"/>
        <v>2.4780092593573499E-2</v>
      </c>
      <c r="N81" s="7">
        <f t="shared" si="22"/>
        <v>35.683333334745839</v>
      </c>
      <c r="O81" s="7"/>
      <c r="P81" s="7"/>
      <c r="Q81" s="25"/>
      <c r="R81" s="25"/>
      <c r="S81" s="37">
        <f t="shared" si="23"/>
        <v>1</v>
      </c>
      <c r="T81" s="52" t="str">
        <f t="shared" si="24"/>
        <v>NorthBound</v>
      </c>
      <c r="U81" s="12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11:08:34-0600',mode:absolute,to:'2016-08-25 13:51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81" s="54" t="str">
        <f t="shared" si="26"/>
        <v>N</v>
      </c>
      <c r="X81" s="120">
        <f t="shared" si="27"/>
        <v>1</v>
      </c>
      <c r="Y81" s="69">
        <f t="shared" si="28"/>
        <v>4.5699999999999998E-2</v>
      </c>
      <c r="Z81" s="69">
        <f t="shared" si="29"/>
        <v>23.333200000000001</v>
      </c>
      <c r="AA81" s="69">
        <f t="shared" si="30"/>
        <v>23.287500000000001</v>
      </c>
      <c r="AB81" s="66" t="e">
        <f>VLOOKUP(A81,Enforcements!$C$7:$J$21,8,0)</f>
        <v>#N/A</v>
      </c>
      <c r="AC81" s="62" t="e">
        <f>VLOOKUP(A81,Enforcements!$C$7:$E$21,3,0)</f>
        <v>#N/A</v>
      </c>
      <c r="AD81" s="63" t="str">
        <f t="shared" si="31"/>
        <v>0169-25</v>
      </c>
      <c r="AE81" s="99" t="str">
        <f t="shared" si="32"/>
        <v>aws s3 cp s3://rtdc.mdm.uploadarchive/RTDC4011/2016-08-25/ "%USERPROFILE%\AppData\Local\Temp\OnboardLogs"\RTDC4011\2016-08-25 --recursive &amp; "%USERPROFILE%\Documents\GitHub\mrs-test-scripts\Headless Mode &amp; Sideloading\WalkAndUnGZ.bat" "%USERPROFILE%\AppData\Local\Temp\OnboardLogs"\RTDC4011\2016-08-25 &amp; 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</v>
      </c>
      <c r="AF81" s="96" t="str">
        <f t="shared" si="33"/>
        <v>"C:\Program Files (x86)\AstroGrep\AstroGrep.exe" /spath="%USERPROFILE%\AppData\Local\Temp\OnboardLogs" /stypes="*4011*20160825*" /stext=" 18:.+((SYSTEM_STATE.+slice.+state.+changed )|(ment ac)|(system.+state.+changed )|(\|lc)|(penalty)|(\[timeout)|(PRM\|1\|D)|(kpr)|(kdp))" /e /r /s</v>
      </c>
      <c r="AG81" s="1" t="str">
        <f t="shared" si="34"/>
        <v>EC</v>
      </c>
      <c r="AH81" s="100" t="str">
        <f t="shared" si="35"/>
        <v>"%USERPROFILE%\Documents\GitHub\eaglep3\Utilities\RefineRTDCRunTimes.py" --tripid 169-25 --locoid 4011 --swversion DE.1.0.7.0 --startMP 204:457 --initTime 2016-08-25T12:08:34 --startdatetime 2016-08-25T12:15:31 --delay 1 --endMP 204:233332 --enddatetime 2016-08-25T12:51:12 --enforcementcount 1 &gt;&gt;C:\Users\stu\Documents\GitHub\eaglep3-reporting\EC\2016-08-25-refined-times.txt</v>
      </c>
      <c r="AI81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{"issue":{"subject":"","project_id":79,"tracker_id":40,"status_id":1,"priority_id":2,"assigned_to_id":23,"start_date":"2016-08-25","description":"","custom_fields":[{"id":1,"name":"Subdivision","value":"EC"},{"id":4,"name":"Milepost","value":"23.2875"},{"id":17,"name":"Train ID","value":"169-25"},{"id":16,"name":"Locomotive ID","value":"4011"},{"id":130,"name":"Impact","value":""},{"id":150,"name":"Time of Event (Mountain Time)","value":"12:51:12"},{"id":151,"name":"Denver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x14ac:dyDescent="0.25">
      <c r="A82" s="39" t="s">
        <v>448</v>
      </c>
      <c r="B82" s="7">
        <v>4012</v>
      </c>
      <c r="C82" s="24" t="s">
        <v>113</v>
      </c>
      <c r="D82" s="24" t="s">
        <v>243</v>
      </c>
      <c r="E82" s="15">
        <v>42607.54587962963</v>
      </c>
      <c r="F82" s="15">
        <v>42607.549791666665</v>
      </c>
      <c r="G82" s="7">
        <v>1</v>
      </c>
      <c r="H82" s="15" t="s">
        <v>360</v>
      </c>
      <c r="I82" s="15">
        <v>42607.576539351852</v>
      </c>
      <c r="J82" s="7">
        <v>1</v>
      </c>
      <c r="K82" s="132" t="str">
        <f t="shared" si="20"/>
        <v>4011/4012</v>
      </c>
      <c r="L82" s="24" t="str">
        <f>VLOOKUP(A82,'Trips&amp;Operators'!$C$1:$E$10000,3,FALSE)</f>
        <v>STAMBAUGH</v>
      </c>
      <c r="M82" s="6">
        <f t="shared" si="21"/>
        <v>2.6747685187729076E-2</v>
      </c>
      <c r="N82" s="7">
        <f t="shared" si="22"/>
        <v>38.516666670329869</v>
      </c>
      <c r="O82" s="7"/>
      <c r="P82" s="7"/>
      <c r="Q82" s="25"/>
      <c r="R82" s="25"/>
      <c r="S82" s="37">
        <f t="shared" si="23"/>
        <v>1</v>
      </c>
      <c r="T82" s="52" t="str">
        <f t="shared" si="24"/>
        <v>Southbound</v>
      </c>
      <c r="U82" s="12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12:06:04-0600',mode:absolute,to:'2016-08-25 14:50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82" s="54" t="str">
        <f t="shared" si="26"/>
        <v>N</v>
      </c>
      <c r="X82" s="120">
        <f t="shared" si="27"/>
        <v>1</v>
      </c>
      <c r="Y82" s="69">
        <f t="shared" si="28"/>
        <v>23.300799999999999</v>
      </c>
      <c r="Z82" s="69">
        <f t="shared" si="29"/>
        <v>1.2699999999999999E-2</v>
      </c>
      <c r="AA82" s="69">
        <f t="shared" si="30"/>
        <v>23.2881</v>
      </c>
      <c r="AB82" s="66" t="e">
        <f>VLOOKUP(A82,Enforcements!$C$7:$J$21,8,0)</f>
        <v>#N/A</v>
      </c>
      <c r="AC82" s="62" t="e">
        <f>VLOOKUP(A82,Enforcements!$C$7:$E$21,3,0)</f>
        <v>#N/A</v>
      </c>
      <c r="AD82" s="63" t="str">
        <f t="shared" si="31"/>
        <v>0170-25</v>
      </c>
      <c r="AE82" s="99" t="str">
        <f t="shared" si="32"/>
        <v>aws s3 cp s3://rtdc.mdm.uploadarchive/RTDC4012/2016-08-25/ "%USERPROFILE%\AppData\Local\Temp\OnboardLogs"\RTDC4012\2016-08-25 --recursive &amp; "%USERPROFILE%\Documents\GitHub\mrs-test-scripts\Headless Mode &amp; Sideloading\WalkAndUnGZ.bat" "%USERPROFILE%\AppData\Local\Temp\OnboardLogs"\RTDC4012\2016-08-25 &amp; 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</v>
      </c>
      <c r="AF82" s="96" t="str">
        <f t="shared" si="33"/>
        <v>"C:\Program Files (x86)\AstroGrep\AstroGrep.exe" /spath="%USERPROFILE%\AppData\Local\Temp\OnboardLogs" /stypes="*4012*20160825*" /stext=" 19:.+((SYSTEM_STATE.+slice.+state.+changed )|(ment ac)|(system.+state.+changed )|(\|lc)|(penalty)|(\[timeout)|(PRM\|1\|D)|(kpr)|(kdp))" /e /r /s</v>
      </c>
      <c r="AG82" s="1" t="str">
        <f t="shared" si="34"/>
        <v>EC</v>
      </c>
      <c r="AH82" s="100" t="str">
        <f t="shared" si="35"/>
        <v>"%USERPROFILE%\Documents\GitHub\eaglep3\Utilities\RefineRTDCRunTimes.py" --tripid 170-25 --locoid 4012 --swversion DE.1.0.7.0 --startMP 204:233008 --initTime 2016-08-25T13:06:04 --startdatetime 2016-08-25T13:11:42 --delay 1 --endMP 204:127 --enddatetime 2016-08-25T13:50:13 --enforcementcount 1 &gt;&gt;C:\Users\stu\Documents\GitHub\eaglep3-reporting\EC\2016-08-25-refined-times.txt</v>
      </c>
      <c r="AI82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{"issue":{"subject":"","project_id":79,"tracker_id":40,"status_id":1,"priority_id":2,"assigned_to_id":23,"start_date":"2016-08-25","description":"","custom_fields":[{"id":1,"name":"Subdivision","value":"EC"},{"id":4,"name":"Milepost","value":"23.2881"},{"id":17,"name":"Train ID","value":"170-25"},{"id":16,"name":"Locomotive ID","value":"4012"},{"id":130,"name":"Impact","value":""},{"id":150,"name":"Time of Event (Mountain Time)","value":"13:50:13"},{"id":151,"name":"Denver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x14ac:dyDescent="0.25">
      <c r="A83" s="39" t="s">
        <v>449</v>
      </c>
      <c r="B83" s="7">
        <v>4044</v>
      </c>
      <c r="C83" s="24" t="s">
        <v>113</v>
      </c>
      <c r="D83" s="24" t="s">
        <v>333</v>
      </c>
      <c r="E83" s="15">
        <v>42607.516342592593</v>
      </c>
      <c r="F83" s="15">
        <v>42607.521412037036</v>
      </c>
      <c r="G83" s="7">
        <v>1</v>
      </c>
      <c r="H83" s="15" t="s">
        <v>450</v>
      </c>
      <c r="I83" s="15">
        <v>42607.548252314817</v>
      </c>
      <c r="J83" s="7">
        <v>1</v>
      </c>
      <c r="K83" s="132" t="str">
        <f t="shared" si="20"/>
        <v>4043/4044</v>
      </c>
      <c r="L83" s="24" t="str">
        <f>VLOOKUP(A83,'Trips&amp;Operators'!$C$1:$E$10000,3,FALSE)</f>
        <v>ISHMAEL</v>
      </c>
      <c r="M83" s="6">
        <f t="shared" si="21"/>
        <v>2.6840277780138422E-2</v>
      </c>
      <c r="N83" s="7">
        <f t="shared" si="22"/>
        <v>38.650000003399327</v>
      </c>
      <c r="O83" s="7"/>
      <c r="P83" s="7"/>
      <c r="Q83" s="25"/>
      <c r="R83" s="25"/>
      <c r="S83" s="37">
        <f t="shared" si="23"/>
        <v>1</v>
      </c>
      <c r="T83" s="52" t="str">
        <f t="shared" si="24"/>
        <v>NorthBound</v>
      </c>
      <c r="U83" s="12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11:23:32-0600',mode:absolute,to:'2016-08-25 14:09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83" s="54" t="str">
        <f t="shared" si="26"/>
        <v>N</v>
      </c>
      <c r="X83" s="120">
        <f t="shared" si="27"/>
        <v>1</v>
      </c>
      <c r="Y83" s="69">
        <f t="shared" si="28"/>
        <v>4.3999999999999997E-2</v>
      </c>
      <c r="Z83" s="69">
        <f t="shared" si="29"/>
        <v>23.328199999999999</v>
      </c>
      <c r="AA83" s="69">
        <f t="shared" si="30"/>
        <v>23.284199999999998</v>
      </c>
      <c r="AB83" s="66" t="e">
        <f>VLOOKUP(A83,Enforcements!$C$7:$J$21,8,0)</f>
        <v>#N/A</v>
      </c>
      <c r="AC83" s="62" t="e">
        <f>VLOOKUP(A83,Enforcements!$C$7:$E$21,3,0)</f>
        <v>#N/A</v>
      </c>
      <c r="AD83" s="63" t="str">
        <f t="shared" si="31"/>
        <v>0171-25</v>
      </c>
      <c r="AE83" s="99" t="str">
        <f t="shared" si="3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83" s="96" t="str">
        <f t="shared" si="33"/>
        <v>"C:\Program Files (x86)\AstroGrep\AstroGrep.exe" /spath="%USERPROFILE%\AppData\Local\Temp\OnboardLogs" /stypes="*4044*20160825*" /stext=" 19:.+((SYSTEM_STATE.+slice.+state.+changed )|(ment ac)|(system.+state.+changed )|(\|lc)|(penalty)|(\[timeout)|(PRM\|1\|D)|(kpr)|(kdp))" /e /r /s</v>
      </c>
      <c r="AG83" s="1" t="str">
        <f t="shared" si="34"/>
        <v>EC</v>
      </c>
      <c r="AH83" s="100" t="str">
        <f t="shared" si="35"/>
        <v>"%USERPROFILE%\Documents\GitHub\eaglep3\Utilities\RefineRTDCRunTimes.py" --tripid 171-25 --locoid 4044 --swversion DE.1.0.7.0 --startMP 204:440 --initTime 2016-08-25T12:23:32 --startdatetime 2016-08-25T12:30:50 --delay 1 --endMP 204:233282 --enddatetime 2016-08-25T13:09:29 --enforcementcount 1 &gt;&gt;C:\Users\stu\Documents\GitHub\eaglep3-reporting\EC\2016-08-25-refined-times.txt</v>
      </c>
      <c r="AI83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{"issue":{"subject":"","project_id":79,"tracker_id":40,"status_id":1,"priority_id":2,"assigned_to_id":23,"start_date":"2016-08-25","description":"","custom_fields":[{"id":1,"name":"Subdivision","value":"EC"},{"id":4,"name":"Milepost","value":"23.2842"},{"id":17,"name":"Train ID","value":"171-25"},{"id":16,"name":"Locomotive ID","value":"4044"},{"id":130,"name":"Impact","value":""},{"id":150,"name":"Time of Event (Mountain Time)","value":"13:09:29"},{"id":151,"name":"Denver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23" customFormat="1" x14ac:dyDescent="0.25">
      <c r="A84" s="39" t="s">
        <v>451</v>
      </c>
      <c r="B84" s="7">
        <v>4043</v>
      </c>
      <c r="C84" s="24" t="s">
        <v>113</v>
      </c>
      <c r="D84" s="24" t="s">
        <v>201</v>
      </c>
      <c r="E84" s="15">
        <v>42607.549837962964</v>
      </c>
      <c r="F84" s="15">
        <v>42607.561527777776</v>
      </c>
      <c r="G84" s="7">
        <v>1</v>
      </c>
      <c r="H84" s="15" t="s">
        <v>222</v>
      </c>
      <c r="I84" s="15">
        <v>42607.588530092595</v>
      </c>
      <c r="J84" s="7">
        <v>1</v>
      </c>
      <c r="K84" s="132" t="str">
        <f t="shared" si="20"/>
        <v>4043/4044</v>
      </c>
      <c r="L84" s="24" t="str">
        <f>VLOOKUP(A84,'Trips&amp;Operators'!$C$1:$E$10000,3,FALSE)</f>
        <v>ISHMAEL</v>
      </c>
      <c r="M84" s="6">
        <f t="shared" si="21"/>
        <v>2.7002314818673767E-2</v>
      </c>
      <c r="N84" s="7">
        <f t="shared" si="22"/>
        <v>38.883333338890225</v>
      </c>
      <c r="O84" s="7"/>
      <c r="P84" s="7"/>
      <c r="Q84" s="25"/>
      <c r="R84" s="25"/>
      <c r="S84" s="37">
        <f t="shared" si="23"/>
        <v>1</v>
      </c>
      <c r="T84" s="52" t="str">
        <f t="shared" si="24"/>
        <v>Southbound</v>
      </c>
      <c r="U84" s="12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12:11:46-0600',mode:absolute,to:'2016-08-25 15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84" s="54" t="str">
        <f t="shared" si="26"/>
        <v>N</v>
      </c>
      <c r="X84" s="120">
        <f t="shared" si="27"/>
        <v>1</v>
      </c>
      <c r="Y84" s="69">
        <f t="shared" si="28"/>
        <v>23.296700000000001</v>
      </c>
      <c r="Z84" s="69">
        <f t="shared" si="29"/>
        <v>1.6299999999999999E-2</v>
      </c>
      <c r="AA84" s="69">
        <f t="shared" si="30"/>
        <v>23.2804</v>
      </c>
      <c r="AB84" s="66" t="e">
        <f>VLOOKUP(A84,Enforcements!$C$7:$J$21,8,0)</f>
        <v>#N/A</v>
      </c>
      <c r="AC84" s="62" t="e">
        <f>VLOOKUP(A84,Enforcements!$C$7:$E$21,3,0)</f>
        <v>#N/A</v>
      </c>
      <c r="AD84" s="63" t="str">
        <f t="shared" si="31"/>
        <v>0172-25</v>
      </c>
      <c r="AE84" s="99" t="str">
        <f t="shared" si="32"/>
        <v>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 &amp; 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</v>
      </c>
      <c r="AF84" s="96" t="str">
        <f t="shared" si="33"/>
        <v>"C:\Program Files (x86)\AstroGrep\AstroGrep.exe" /spath="%USERPROFILE%\AppData\Local\Temp\OnboardLogs" /stypes="*4043*20160825*" /stext=" 20:.+((SYSTEM_STATE.+slice.+state.+changed )|(ment ac)|(system.+state.+changed )|(\|lc)|(penalty)|(\[timeout)|(PRM\|1\|D)|(kpr)|(kdp))" /e /r /s</v>
      </c>
      <c r="AG84" s="1" t="str">
        <f t="shared" si="34"/>
        <v>EC</v>
      </c>
      <c r="AH84" s="100" t="str">
        <f t="shared" si="35"/>
        <v>"%USERPROFILE%\Documents\GitHub\eaglep3\Utilities\RefineRTDCRunTimes.py" --tripid 172-25 --locoid 4043 --swversion DE.1.0.7.0 --startMP 204:232967 --initTime 2016-08-25T13:11:46 --startdatetime 2016-08-25T13:28:36 --delay 1 --endMP 204:163 --enddatetime 2016-08-25T14:07:29 --enforcementcount 1 &gt;&gt;C:\Users\stu\Documents\GitHub\eaglep3-reporting\EC\2016-08-25-refined-times.txt</v>
      </c>
      <c r="AI84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{"issue":{"subject":"","project_id":79,"tracker_id":40,"status_id":1,"priority_id":2,"assigned_to_id":23,"start_date":"2016-08-25","description":"","custom_fields":[{"id":1,"name":"Subdivision","value":"EC"},{"id":4,"name":"Milepost","value":"23.2804"},{"id":17,"name":"Train ID","value":"172-25"},{"id":16,"name":"Locomotive ID","value":"4043"},{"id":130,"name":"Impact","value":""},{"id":150,"name":"Time of Event (Mountain Time)","value":"14:07:29"},{"id":151,"name":"Denver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23" customFormat="1" x14ac:dyDescent="0.25">
      <c r="A85" s="39" t="s">
        <v>452</v>
      </c>
      <c r="B85" s="7">
        <v>4020</v>
      </c>
      <c r="C85" s="24" t="s">
        <v>113</v>
      </c>
      <c r="D85" s="24" t="s">
        <v>138</v>
      </c>
      <c r="E85" s="15">
        <v>42607.527141203704</v>
      </c>
      <c r="F85" s="15">
        <v>42607.531678240739</v>
      </c>
      <c r="G85" s="7">
        <v>1</v>
      </c>
      <c r="H85" s="15" t="s">
        <v>453</v>
      </c>
      <c r="I85" s="15">
        <v>42607.557858796295</v>
      </c>
      <c r="J85" s="7">
        <v>1</v>
      </c>
      <c r="K85" s="132" t="str">
        <f t="shared" si="20"/>
        <v>4019/4020</v>
      </c>
      <c r="L85" s="24" t="str">
        <f>VLOOKUP(A85,'Trips&amp;Operators'!$C$1:$E$10000,3,FALSE)</f>
        <v>ROBINSON</v>
      </c>
      <c r="M85" s="6">
        <f t="shared" si="21"/>
        <v>2.6180555556493346E-2</v>
      </c>
      <c r="N85" s="7">
        <f t="shared" si="22"/>
        <v>37.700000001350418</v>
      </c>
      <c r="O85" s="7"/>
      <c r="P85" s="7"/>
      <c r="Q85" s="25"/>
      <c r="R85" s="25"/>
      <c r="S85" s="37">
        <f t="shared" si="23"/>
        <v>1</v>
      </c>
      <c r="T85" s="52" t="str">
        <f t="shared" si="24"/>
        <v>NorthBound</v>
      </c>
      <c r="U85" s="12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11:39:05-0600',mode:absolute,to:'2016-08-25 14:23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85" s="54" t="str">
        <f t="shared" si="26"/>
        <v>N</v>
      </c>
      <c r="X85" s="120">
        <f t="shared" si="27"/>
        <v>1</v>
      </c>
      <c r="Y85" s="69">
        <f t="shared" si="28"/>
        <v>4.6899999999999997E-2</v>
      </c>
      <c r="Z85" s="69">
        <f t="shared" si="29"/>
        <v>23.328299999999999</v>
      </c>
      <c r="AA85" s="69">
        <f t="shared" si="30"/>
        <v>23.281399999999998</v>
      </c>
      <c r="AB85" s="66" t="e">
        <f>VLOOKUP(A85,Enforcements!$C$7:$J$21,8,0)</f>
        <v>#N/A</v>
      </c>
      <c r="AC85" s="62" t="e">
        <f>VLOOKUP(A85,Enforcements!$C$7:$E$21,3,0)</f>
        <v>#N/A</v>
      </c>
      <c r="AD85" s="63" t="str">
        <f t="shared" si="31"/>
        <v>0173-25</v>
      </c>
      <c r="AE85" s="99" t="str">
        <f t="shared" si="32"/>
        <v>aws s3 cp s3://rtdc.mdm.uploadarchive/RTDC4020/2016-08-25/ "%USERPROFILE%\AppData\Local\Temp\OnboardLogs"\RTDC4020\2016-08-25 --recursive &amp; "%USERPROFILE%\Documents\GitHub\mrs-test-scripts\Headless Mode &amp; Sideloading\WalkAndUnGZ.bat" "%USERPROFILE%\AppData\Local\Temp\OnboardLogs"\RTDC4020\2016-08-25 &amp; 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</v>
      </c>
      <c r="AF85" s="96" t="str">
        <f t="shared" si="33"/>
        <v>"C:\Program Files (x86)\AstroGrep\AstroGrep.exe" /spath="%USERPROFILE%\AppData\Local\Temp\OnboardLogs" /stypes="*4020*20160825*" /stext=" 19:.+((SYSTEM_STATE.+slice.+state.+changed )|(ment ac)|(system.+state.+changed )|(\|lc)|(penalty)|(\[timeout)|(PRM\|1\|D)|(kpr)|(kdp))" /e /r /s</v>
      </c>
      <c r="AG85" s="1" t="str">
        <f t="shared" si="34"/>
        <v>EC</v>
      </c>
      <c r="AH85" s="100" t="str">
        <f t="shared" si="35"/>
        <v>"%USERPROFILE%\Documents\GitHub\eaglep3\Utilities\RefineRTDCRunTimes.py" --tripid 173-25 --locoid 4020 --swversion DE.1.0.7.0 --startMP 204:469 --initTime 2016-08-25T12:39:05 --startdatetime 2016-08-25T12:45:37 --delay 1 --endMP 204:233283 --enddatetime 2016-08-25T13:23:19 --enforcementcount 1 &gt;&gt;C:\Users\stu\Documents\GitHub\eaglep3-reporting\EC\2016-08-25-refined-times.txt</v>
      </c>
      <c r="AI85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{"issue":{"subject":"","project_id":79,"tracker_id":40,"status_id":1,"priority_id":2,"assigned_to_id":23,"start_date":"2016-08-25","description":"","custom_fields":[{"id":1,"name":"Subdivision","value":"EC"},{"id":4,"name":"Milepost","value":"23.2814"},{"id":17,"name":"Train ID","value":"173-25"},{"id":16,"name":"Locomotive ID","value":"4020"},{"id":130,"name":"Impact","value":""},{"id":150,"name":"Time of Event (Mountain Time)","value":"13:23:19"},{"id":151,"name":"Denver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x14ac:dyDescent="0.25">
      <c r="A86" s="39" t="s">
        <v>454</v>
      </c>
      <c r="B86" s="7">
        <v>4019</v>
      </c>
      <c r="C86" s="24" t="s">
        <v>113</v>
      </c>
      <c r="D86" s="24" t="s">
        <v>455</v>
      </c>
      <c r="E86" s="15">
        <v>42607.562962962962</v>
      </c>
      <c r="F86" s="15">
        <v>42607.570439814815</v>
      </c>
      <c r="G86" s="7">
        <v>1</v>
      </c>
      <c r="H86" s="15" t="s">
        <v>153</v>
      </c>
      <c r="I86" s="15">
        <v>42607.598333333335</v>
      </c>
      <c r="J86" s="7">
        <v>1</v>
      </c>
      <c r="K86" s="132" t="str">
        <f t="shared" si="20"/>
        <v>4019/4020</v>
      </c>
      <c r="L86" s="24" t="str">
        <f>VLOOKUP(A86,'Trips&amp;Operators'!$C$1:$E$10000,3,FALSE)</f>
        <v>ROBINSON</v>
      </c>
      <c r="M86" s="6">
        <f t="shared" si="21"/>
        <v>2.789351851970423E-2</v>
      </c>
      <c r="N86" s="7">
        <f t="shared" si="22"/>
        <v>40.166666668374091</v>
      </c>
      <c r="O86" s="7"/>
      <c r="P86" s="7"/>
      <c r="Q86" s="25"/>
      <c r="R86" s="25"/>
      <c r="S86" s="37">
        <f t="shared" si="23"/>
        <v>1</v>
      </c>
      <c r="T86" s="52" t="str">
        <f t="shared" si="24"/>
        <v>Southbound</v>
      </c>
      <c r="U86" s="12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12:30:40-0600',mode:absolute,to:'2016-08-25 15:21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86" s="54" t="str">
        <f t="shared" si="26"/>
        <v>N</v>
      </c>
      <c r="X86" s="120">
        <f t="shared" si="27"/>
        <v>1</v>
      </c>
      <c r="Y86" s="69">
        <f t="shared" si="28"/>
        <v>23.296800000000001</v>
      </c>
      <c r="Z86" s="69">
        <f t="shared" si="29"/>
        <v>1.5599999999999999E-2</v>
      </c>
      <c r="AA86" s="69">
        <f t="shared" si="30"/>
        <v>23.281200000000002</v>
      </c>
      <c r="AB86" s="66" t="e">
        <f>VLOOKUP(A86,Enforcements!$C$7:$J$21,8,0)</f>
        <v>#N/A</v>
      </c>
      <c r="AC86" s="62" t="e">
        <f>VLOOKUP(A86,Enforcements!$C$7:$E$21,3,0)</f>
        <v>#N/A</v>
      </c>
      <c r="AD86" s="63" t="str">
        <f t="shared" si="31"/>
        <v>0174-25</v>
      </c>
      <c r="AE86" s="99" t="str">
        <f t="shared" si="32"/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AF86" s="96" t="str">
        <f t="shared" si="33"/>
        <v>"C:\Program Files (x86)\AstroGrep\AstroGrep.exe" /spath="%USERPROFILE%\AppData\Local\Temp\OnboardLogs" /stypes="*4019*20160825*" /stext=" 20:.+((SYSTEM_STATE.+slice.+state.+changed )|(ment ac)|(system.+state.+changed )|(\|lc)|(penalty)|(\[timeout)|(PRM\|1\|D)|(kpr)|(kdp))" /e /r /s</v>
      </c>
      <c r="AG86" s="1" t="str">
        <f t="shared" si="34"/>
        <v>EC</v>
      </c>
      <c r="AH86" s="100" t="str">
        <f t="shared" si="35"/>
        <v>"%USERPROFILE%\Documents\GitHub\eaglep3\Utilities\RefineRTDCRunTimes.py" --tripid 174-25 --locoid 4019 --swversion DE.1.0.7.0 --startMP 204:232968 --initTime 2016-08-25T13:30:40 --startdatetime 2016-08-25T13:41:26 --delay 1 --endMP 204:156 --enddatetime 2016-08-25T14:21:36 --enforcementcount 1 &gt;&gt;C:\Users\stu\Documents\GitHub\eaglep3-reporting\EC\2016-08-25-refined-times.txt</v>
      </c>
      <c r="AI86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{"issue":{"subject":"","project_id":79,"tracker_id":40,"status_id":1,"priority_id":2,"assigned_to_id":23,"start_date":"2016-08-25","description":"","custom_fields":[{"id":1,"name":"Subdivision","value":"EC"},{"id":4,"name":"Milepost","value":"23.2812"},{"id":17,"name":"Train ID","value":"174-25"},{"id":16,"name":"Locomotive ID","value":"4019"},{"id":130,"name":"Impact","value":""},{"id":150,"name":"Time of Event (Mountain Time)","value":"14:21:36"},{"id":151,"name":"Denver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23" customFormat="1" x14ac:dyDescent="0.25">
      <c r="A87" s="39" t="s">
        <v>456</v>
      </c>
      <c r="B87" s="7">
        <v>4007</v>
      </c>
      <c r="C87" s="24" t="s">
        <v>113</v>
      </c>
      <c r="D87" s="24" t="s">
        <v>154</v>
      </c>
      <c r="E87" s="15">
        <v>42607.537152777775</v>
      </c>
      <c r="F87" s="15">
        <v>42607.54184027778</v>
      </c>
      <c r="G87" s="7">
        <v>1</v>
      </c>
      <c r="H87" s="15" t="s">
        <v>457</v>
      </c>
      <c r="I87" s="15">
        <v>42607.567824074074</v>
      </c>
      <c r="J87" s="7">
        <v>1</v>
      </c>
      <c r="K87" s="132" t="str">
        <f t="shared" si="20"/>
        <v>4007/4008</v>
      </c>
      <c r="L87" s="24" t="str">
        <f>VLOOKUP(A87,'Trips&amp;Operators'!$C$1:$E$10000,3,FALSE)</f>
        <v>SHOOK</v>
      </c>
      <c r="M87" s="6">
        <f t="shared" si="21"/>
        <v>2.5983796294895001E-2</v>
      </c>
      <c r="N87" s="7">
        <f t="shared" si="22"/>
        <v>37.416666664648801</v>
      </c>
      <c r="O87" s="7"/>
      <c r="P87" s="7"/>
      <c r="Q87" s="25"/>
      <c r="R87" s="25"/>
      <c r="S87" s="37">
        <f t="shared" si="23"/>
        <v>1</v>
      </c>
      <c r="T87" s="52" t="str">
        <f t="shared" si="24"/>
        <v>NorthBound</v>
      </c>
      <c r="U87" s="12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11:53:30-0600',mode:absolute,to:'2016-08-25 14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87" s="54" t="str">
        <f t="shared" si="26"/>
        <v>N</v>
      </c>
      <c r="X87" s="120">
        <f t="shared" si="27"/>
        <v>1</v>
      </c>
      <c r="Y87" s="69">
        <f t="shared" si="28"/>
        <v>4.5100000000000001E-2</v>
      </c>
      <c r="Z87" s="69">
        <f t="shared" si="29"/>
        <v>23.3353</v>
      </c>
      <c r="AA87" s="69">
        <f t="shared" si="30"/>
        <v>23.290199999999999</v>
      </c>
      <c r="AB87" s="66" t="e">
        <f>VLOOKUP(A87,Enforcements!$C$7:$J$21,8,0)</f>
        <v>#N/A</v>
      </c>
      <c r="AC87" s="62" t="e">
        <f>VLOOKUP(A87,Enforcements!$C$7:$E$21,3,0)</f>
        <v>#N/A</v>
      </c>
      <c r="AD87" s="63" t="str">
        <f t="shared" si="31"/>
        <v>0175-25</v>
      </c>
      <c r="AE87" s="99" t="str">
        <f t="shared" si="3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87" s="96" t="str">
        <f t="shared" si="33"/>
        <v>"C:\Program Files (x86)\AstroGrep\AstroGrep.exe" /spath="%USERPROFILE%\AppData\Local\Temp\OnboardLogs" /stypes="*4007*20160825*" /stext=" 19:.+((SYSTEM_STATE.+slice.+state.+changed )|(ment ac)|(system.+state.+changed )|(\|lc)|(penalty)|(\[timeout)|(PRM\|1\|D)|(kpr)|(kdp))" /e /r /s</v>
      </c>
      <c r="AG87" s="1" t="str">
        <f t="shared" si="34"/>
        <v>EC</v>
      </c>
      <c r="AH87" s="100" t="str">
        <f t="shared" si="35"/>
        <v>"%USERPROFILE%\Documents\GitHub\eaglep3\Utilities\RefineRTDCRunTimes.py" --tripid 175-25 --locoid 4007 --swversion DE.1.0.7.0 --startMP 204:451 --initTime 2016-08-25T12:53:30 --startdatetime 2016-08-25T13:00:15 --delay 1 --endMP 204:233353 --enddatetime 2016-08-25T13:37:40 --enforcementcount 1 &gt;&gt;C:\Users\stu\Documents\GitHub\eaglep3-reporting\EC\2016-08-25-refined-times.txt</v>
      </c>
      <c r="AI87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{"issue":{"subject":"","project_id":79,"tracker_id":40,"status_id":1,"priority_id":2,"assigned_to_id":23,"start_date":"2016-08-25","description":"","custom_fields":[{"id":1,"name":"Subdivision","value":"EC"},{"id":4,"name":"Milepost","value":"23.2902"},{"id":17,"name":"Train ID","value":"175-25"},{"id":16,"name":"Locomotive ID","value":"4007"},{"id":130,"name":"Impact","value":""},{"id":150,"name":"Time of Event (Mountain Time)","value":"13:37:40"},{"id":151,"name":"Denver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x14ac:dyDescent="0.25">
      <c r="A88" s="39" t="s">
        <v>458</v>
      </c>
      <c r="B88" s="7">
        <v>4008</v>
      </c>
      <c r="C88" s="24" t="s">
        <v>113</v>
      </c>
      <c r="D88" s="24" t="s">
        <v>459</v>
      </c>
      <c r="E88" s="15">
        <v>42607.573993055557</v>
      </c>
      <c r="F88" s="15">
        <v>42607.580752314818</v>
      </c>
      <c r="G88" s="7">
        <v>1</v>
      </c>
      <c r="H88" s="15" t="s">
        <v>177</v>
      </c>
      <c r="I88" s="15">
        <v>42607.608472222222</v>
      </c>
      <c r="J88" s="7">
        <v>1</v>
      </c>
      <c r="K88" s="132" t="str">
        <f t="shared" si="20"/>
        <v>4007/4008</v>
      </c>
      <c r="L88" s="24" t="str">
        <f>VLOOKUP(A88,'Trips&amp;Operators'!$C$1:$E$10000,3,FALSE)</f>
        <v>SHOOK</v>
      </c>
      <c r="M88" s="6">
        <f t="shared" si="21"/>
        <v>2.7719907404389232E-2</v>
      </c>
      <c r="N88" s="7">
        <f t="shared" si="22"/>
        <v>39.916666662320495</v>
      </c>
      <c r="O88" s="7"/>
      <c r="P88" s="7"/>
      <c r="Q88" s="25"/>
      <c r="R88" s="25"/>
      <c r="S88" s="37">
        <f t="shared" si="23"/>
        <v>1</v>
      </c>
      <c r="T88" s="52" t="str">
        <f t="shared" si="24"/>
        <v>Southbound</v>
      </c>
      <c r="U88" s="12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12:46:33-0600',mode:absolute,to:'2016-08-25 15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88" s="54" t="str">
        <f t="shared" si="26"/>
        <v>N</v>
      </c>
      <c r="X88" s="120">
        <f t="shared" si="27"/>
        <v>1</v>
      </c>
      <c r="Y88" s="69">
        <f t="shared" si="28"/>
        <v>23.302299999999999</v>
      </c>
      <c r="Z88" s="69">
        <f t="shared" si="29"/>
        <v>1.52E-2</v>
      </c>
      <c r="AA88" s="69">
        <f t="shared" si="30"/>
        <v>23.287099999999999</v>
      </c>
      <c r="AB88" s="66" t="e">
        <f>VLOOKUP(A88,Enforcements!$C$7:$J$21,8,0)</f>
        <v>#N/A</v>
      </c>
      <c r="AC88" s="62" t="e">
        <f>VLOOKUP(A88,Enforcements!$C$7:$E$21,3,0)</f>
        <v>#N/A</v>
      </c>
      <c r="AD88" s="63" t="str">
        <f t="shared" si="31"/>
        <v>0176-25</v>
      </c>
      <c r="AE88" s="99" t="str">
        <f t="shared" si="32"/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AF88" s="96" t="str">
        <f t="shared" si="33"/>
        <v>"C:\Program Files (x86)\AstroGrep\AstroGrep.exe" /spath="%USERPROFILE%\AppData\Local\Temp\OnboardLogs" /stypes="*4008*20160825*" /stext=" 20:.+((SYSTEM_STATE.+slice.+state.+changed )|(ment ac)|(system.+state.+changed )|(\|lc)|(penalty)|(\[timeout)|(PRM\|1\|D)|(kpr)|(kdp))" /e /r /s</v>
      </c>
      <c r="AG88" s="1" t="str">
        <f t="shared" si="34"/>
        <v>EC</v>
      </c>
      <c r="AH88" s="100" t="str">
        <f t="shared" si="35"/>
        <v>"%USERPROFILE%\Documents\GitHub\eaglep3\Utilities\RefineRTDCRunTimes.py" --tripid 176-25 --locoid 4008 --swversion DE.1.0.7.0 --startMP 204:233023 --initTime 2016-08-25T13:46:33 --startdatetime 2016-08-25T13:56:17 --delay 1 --endMP 204:152 --enddatetime 2016-08-25T14:36:12 --enforcementcount 1 &gt;&gt;C:\Users\stu\Documents\GitHub\eaglep3-reporting\EC\2016-08-25-refined-times.txt</v>
      </c>
      <c r="AI88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{"issue":{"subject":"","project_id":79,"tracker_id":40,"status_id":1,"priority_id":2,"assigned_to_id":23,"start_date":"2016-08-25","description":"","custom_fields":[{"id":1,"name":"Subdivision","value":"EC"},{"id":4,"name":"Milepost","value":"23.2871"},{"id":17,"name":"Train ID","value":"176-25"},{"id":16,"name":"Locomotive ID","value":"4008"},{"id":130,"name":"Impact","value":""},{"id":150,"name":"Time of Event (Mountain Time)","value":"14:36:12"},{"id":151,"name":"Denver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23" customFormat="1" x14ac:dyDescent="0.25">
      <c r="A89" s="39" t="s">
        <v>460</v>
      </c>
      <c r="B89" s="7">
        <v>4042</v>
      </c>
      <c r="C89" s="24" t="s">
        <v>113</v>
      </c>
      <c r="D89" s="24" t="s">
        <v>333</v>
      </c>
      <c r="E89" s="15">
        <v>42607.549502314818</v>
      </c>
      <c r="F89" s="15">
        <v>42607.552291666667</v>
      </c>
      <c r="G89" s="7">
        <v>1</v>
      </c>
      <c r="H89" s="15" t="s">
        <v>322</v>
      </c>
      <c r="I89" s="15">
        <v>42607.578113425923</v>
      </c>
      <c r="J89" s="7">
        <v>1</v>
      </c>
      <c r="K89" s="132" t="str">
        <f t="shared" si="20"/>
        <v>4041/4042</v>
      </c>
      <c r="L89" s="24" t="str">
        <f>VLOOKUP(A89,'Trips&amp;Operators'!$C$1:$E$10000,3,FALSE)</f>
        <v>MOSES</v>
      </c>
      <c r="M89" s="6">
        <f t="shared" si="21"/>
        <v>2.5821759256359655E-2</v>
      </c>
      <c r="N89" s="7">
        <f t="shared" si="22"/>
        <v>37.183333329157904</v>
      </c>
      <c r="O89" s="7"/>
      <c r="P89" s="7"/>
      <c r="Q89" s="25"/>
      <c r="R89" s="25"/>
      <c r="S89" s="37">
        <f t="shared" si="23"/>
        <v>1</v>
      </c>
      <c r="T89" s="52" t="str">
        <f t="shared" si="24"/>
        <v>NorthBound</v>
      </c>
      <c r="U89" s="12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12:11:17-0600',mode:absolute,to:'2016-08-25 14:52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89" s="54" t="str">
        <f t="shared" si="26"/>
        <v>N</v>
      </c>
      <c r="X89" s="120">
        <f t="shared" si="27"/>
        <v>1</v>
      </c>
      <c r="Y89" s="69">
        <f t="shared" si="28"/>
        <v>4.3999999999999997E-2</v>
      </c>
      <c r="Z89" s="69">
        <f t="shared" si="29"/>
        <v>23.333200000000001</v>
      </c>
      <c r="AA89" s="69">
        <f t="shared" si="30"/>
        <v>23.289200000000001</v>
      </c>
      <c r="AB89" s="66" t="e">
        <f>VLOOKUP(A89,Enforcements!$C$7:$J$21,8,0)</f>
        <v>#N/A</v>
      </c>
      <c r="AC89" s="62" t="e">
        <f>VLOOKUP(A89,Enforcements!$C$7:$E$21,3,0)</f>
        <v>#N/A</v>
      </c>
      <c r="AD89" s="63" t="str">
        <f t="shared" si="31"/>
        <v>0177-25</v>
      </c>
      <c r="AE89" s="99" t="str">
        <f t="shared" si="3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89" s="96" t="str">
        <f t="shared" si="33"/>
        <v>"C:\Program Files (x86)\AstroGrep\AstroGrep.exe" /spath="%USERPROFILE%\AppData\Local\Temp\OnboardLogs" /stypes="*4042*20160825*" /stext=" 19:.+((SYSTEM_STATE.+slice.+state.+changed )|(ment ac)|(system.+state.+changed )|(\|lc)|(penalty)|(\[timeout)|(PRM\|1\|D)|(kpr)|(kdp))" /e /r /s</v>
      </c>
      <c r="AG89" s="1" t="str">
        <f t="shared" si="34"/>
        <v>EC</v>
      </c>
      <c r="AH89" s="100" t="str">
        <f t="shared" si="35"/>
        <v>"%USERPROFILE%\Documents\GitHub\eaglep3\Utilities\RefineRTDCRunTimes.py" --tripid 177-25 --locoid 4042 --swversion DE.1.0.7.0 --startMP 204:440 --initTime 2016-08-25T13:11:17 --startdatetime 2016-08-25T13:15:18 --delay 1 --endMP 204:233332 --enddatetime 2016-08-25T13:52:29 --enforcementcount 1 &gt;&gt;C:\Users\stu\Documents\GitHub\eaglep3-reporting\EC\2016-08-25-refined-times.txt</v>
      </c>
      <c r="AI89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{"issue":{"subject":"","project_id":79,"tracker_id":40,"status_id":1,"priority_id":2,"assigned_to_id":23,"start_date":"2016-08-25","description":"","custom_fields":[{"id":1,"name":"Subdivision","value":"EC"},{"id":4,"name":"Milepost","value":"23.2892"},{"id":17,"name":"Train ID","value":"177-25"},{"id":16,"name":"Locomotive ID","value":"4042"},{"id":130,"name":"Impact","value":""},{"id":150,"name":"Time of Event (Mountain Time)","value":"13:52:29"},{"id":151,"name":"Denver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x14ac:dyDescent="0.25">
      <c r="A90" s="39" t="s">
        <v>461</v>
      </c>
      <c r="B90" s="7">
        <v>4041</v>
      </c>
      <c r="C90" s="24" t="s">
        <v>113</v>
      </c>
      <c r="D90" s="24" t="s">
        <v>462</v>
      </c>
      <c r="E90" s="15">
        <v>42607.587442129632</v>
      </c>
      <c r="F90" s="15">
        <v>42607.591354166667</v>
      </c>
      <c r="G90" s="7">
        <v>1</v>
      </c>
      <c r="H90" s="15" t="s">
        <v>89</v>
      </c>
      <c r="I90" s="15">
        <v>42607.62</v>
      </c>
      <c r="J90" s="7">
        <v>1</v>
      </c>
      <c r="K90" s="132" t="str">
        <f t="shared" si="20"/>
        <v>4041/4042</v>
      </c>
      <c r="L90" s="24" t="str">
        <f>VLOOKUP(A90,'Trips&amp;Operators'!$C$1:$E$10000,3,FALSE)</f>
        <v>MOSES</v>
      </c>
      <c r="M90" s="6">
        <f t="shared" si="21"/>
        <v>2.8645833335758653E-2</v>
      </c>
      <c r="N90" s="7">
        <f t="shared" si="22"/>
        <v>41.25000000349246</v>
      </c>
      <c r="O90" s="7"/>
      <c r="P90" s="7"/>
      <c r="Q90" s="25"/>
      <c r="R90" s="25"/>
      <c r="S90" s="37">
        <f t="shared" si="23"/>
        <v>1</v>
      </c>
      <c r="T90" s="52" t="str">
        <f t="shared" si="24"/>
        <v>Southbound</v>
      </c>
      <c r="U90" s="12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13:05:55-0600',mode:absolute,to:'2016-08-25 15:52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90" s="54" t="str">
        <f t="shared" si="26"/>
        <v>N</v>
      </c>
      <c r="X90" s="120">
        <f t="shared" si="27"/>
        <v>1</v>
      </c>
      <c r="Y90" s="69">
        <f t="shared" si="28"/>
        <v>23.301300000000001</v>
      </c>
      <c r="Z90" s="69">
        <f t="shared" si="29"/>
        <v>1.43E-2</v>
      </c>
      <c r="AA90" s="69">
        <f t="shared" si="30"/>
        <v>23.287000000000003</v>
      </c>
      <c r="AB90" s="66" t="e">
        <f>VLOOKUP(A90,Enforcements!$C$7:$J$21,8,0)</f>
        <v>#N/A</v>
      </c>
      <c r="AC90" s="62" t="e">
        <f>VLOOKUP(A90,Enforcements!$C$7:$E$21,3,0)</f>
        <v>#N/A</v>
      </c>
      <c r="AD90" s="63" t="str">
        <f t="shared" si="31"/>
        <v>0178-25</v>
      </c>
      <c r="AE90" s="99" t="str">
        <f t="shared" si="3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90" s="96" t="str">
        <f t="shared" si="33"/>
        <v>"C:\Program Files (x86)\AstroGrep\AstroGrep.exe" /spath="%USERPROFILE%\AppData\Local\Temp\OnboardLogs" /stypes="*4041*20160825*" /stext=" 20:.+((SYSTEM_STATE.+slice.+state.+changed )|(ment ac)|(system.+state.+changed )|(\|lc)|(penalty)|(\[timeout)|(PRM\|1\|D)|(kpr)|(kdp))" /e /r /s</v>
      </c>
      <c r="AG90" s="1" t="str">
        <f t="shared" si="34"/>
        <v>EC</v>
      </c>
      <c r="AH90" s="100" t="str">
        <f t="shared" si="35"/>
        <v>"%USERPROFILE%\Documents\GitHub\eaglep3\Utilities\RefineRTDCRunTimes.py" --tripid 178-25 --locoid 4041 --swversion DE.1.0.7.0 --startMP 204:233013 --initTime 2016-08-25T14:05:55 --startdatetime 2016-08-25T14:11:33 --delay 1 --endMP 204:143 --enddatetime 2016-08-25T14:52:48 --enforcementcount 1 &gt;&gt;C:\Users\stu\Documents\GitHub\eaglep3-reporting\EC\2016-08-25-refined-times.txt</v>
      </c>
      <c r="AI90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{"issue":{"subject":"","project_id":79,"tracker_id":40,"status_id":1,"priority_id":2,"assigned_to_id":23,"start_date":"2016-08-25","description":"","custom_fields":[{"id":1,"name":"Subdivision","value":"EC"},{"id":4,"name":"Milepost","value":"23.287"},{"id":17,"name":"Train ID","value":"178-25"},{"id":16,"name":"Locomotive ID","value":"4041"},{"id":130,"name":"Impact","value":""},{"id":150,"name":"Time of Event (Mountain Time)","value":"14:52:48"},{"id":151,"name":"Denver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23" customFormat="1" x14ac:dyDescent="0.25">
      <c r="A91" s="39" t="s">
        <v>463</v>
      </c>
      <c r="B91" s="7">
        <v>4009</v>
      </c>
      <c r="C91" s="24" t="s">
        <v>113</v>
      </c>
      <c r="D91" s="24" t="s">
        <v>333</v>
      </c>
      <c r="E91" s="15">
        <v>42607.558078703703</v>
      </c>
      <c r="F91" s="15">
        <v>42607.5627662037</v>
      </c>
      <c r="G91" s="7">
        <v>1</v>
      </c>
      <c r="H91" s="15" t="s">
        <v>464</v>
      </c>
      <c r="I91" s="15">
        <v>42607.588356481479</v>
      </c>
      <c r="J91" s="7">
        <v>1</v>
      </c>
      <c r="K91" s="132" t="str">
        <f t="shared" si="20"/>
        <v>4009/4010</v>
      </c>
      <c r="L91" s="24" t="str">
        <f>VLOOKUP(A91,'Trips&amp;Operators'!$C$1:$E$10000,3,FALSE)</f>
        <v>CRAYTON</v>
      </c>
      <c r="M91" s="6">
        <f t="shared" si="21"/>
        <v>2.5590277778974269E-2</v>
      </c>
      <c r="N91" s="7">
        <f t="shared" si="22"/>
        <v>36.850000001722947</v>
      </c>
      <c r="O91" s="7"/>
      <c r="P91" s="7"/>
      <c r="Q91" s="25"/>
      <c r="R91" s="25"/>
      <c r="S91" s="37">
        <f t="shared" si="23"/>
        <v>1</v>
      </c>
      <c r="T91" s="52" t="str">
        <f t="shared" si="24"/>
        <v>NorthBound</v>
      </c>
      <c r="U91" s="12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12:23:38-0600',mode:absolute,to:'2016-08-25 15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91" s="54" t="str">
        <f t="shared" si="26"/>
        <v>N</v>
      </c>
      <c r="X91" s="120">
        <f t="shared" si="27"/>
        <v>1</v>
      </c>
      <c r="Y91" s="69">
        <f t="shared" si="28"/>
        <v>4.3999999999999997E-2</v>
      </c>
      <c r="Z91" s="69">
        <f t="shared" si="29"/>
        <v>23.331800000000001</v>
      </c>
      <c r="AA91" s="69">
        <f t="shared" si="30"/>
        <v>23.287800000000001</v>
      </c>
      <c r="AB91" s="66" t="e">
        <f>VLOOKUP(A91,Enforcements!$C$7:$J$21,8,0)</f>
        <v>#N/A</v>
      </c>
      <c r="AC91" s="62" t="e">
        <f>VLOOKUP(A91,Enforcements!$C$7:$E$21,3,0)</f>
        <v>#N/A</v>
      </c>
      <c r="AD91" s="63" t="str">
        <f t="shared" si="31"/>
        <v>0179-25</v>
      </c>
      <c r="AE91" s="99" t="str">
        <f t="shared" si="32"/>
        <v>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 &amp; 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</v>
      </c>
      <c r="AF91" s="96" t="str">
        <f t="shared" si="33"/>
        <v>"C:\Program Files (x86)\AstroGrep\AstroGrep.exe" /spath="%USERPROFILE%\AppData\Local\Temp\OnboardLogs" /stypes="*4009*20160825*" /stext=" 20:.+((SYSTEM_STATE.+slice.+state.+changed )|(ment ac)|(system.+state.+changed )|(\|lc)|(penalty)|(\[timeout)|(PRM\|1\|D)|(kpr)|(kdp))" /e /r /s</v>
      </c>
      <c r="AG91" s="1" t="str">
        <f t="shared" si="34"/>
        <v>EC</v>
      </c>
      <c r="AH91" s="100" t="str">
        <f t="shared" si="35"/>
        <v>"%USERPROFILE%\Documents\GitHub\eaglep3\Utilities\RefineRTDCRunTimes.py" --tripid 179-25 --locoid 4009 --swversion DE.1.0.7.0 --startMP 204:440 --initTime 2016-08-25T13:23:38 --startdatetime 2016-08-25T13:30:23 --delay 1 --endMP 204:233318 --enddatetime 2016-08-25T14:07:14 --enforcementcount 1 &gt;&gt;C:\Users\stu\Documents\GitHub\eaglep3-reporting\EC\2016-08-25-refined-times.txt</v>
      </c>
      <c r="AI91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{"issue":{"subject":"","project_id":79,"tracker_id":40,"status_id":1,"priority_id":2,"assigned_to_id":23,"start_date":"2016-08-25","description":"","custom_fields":[{"id":1,"name":"Subdivision","value":"EC"},{"id":4,"name":"Milepost","value":"23.2878"},{"id":17,"name":"Train ID","value":"179-25"},{"id":16,"name":"Locomotive ID","value":"4009"},{"id":130,"name":"Impact","value":""},{"id":150,"name":"Time of Event (Mountain Time)","value":"14:07:14"},{"id":151,"name":"Denver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23" customFormat="1" x14ac:dyDescent="0.25">
      <c r="A92" s="39" t="s">
        <v>465</v>
      </c>
      <c r="B92" s="7">
        <v>4010</v>
      </c>
      <c r="C92" s="24" t="s">
        <v>113</v>
      </c>
      <c r="D92" s="24" t="s">
        <v>324</v>
      </c>
      <c r="E92" s="15">
        <v>42607.593958333331</v>
      </c>
      <c r="F92" s="15">
        <v>42607.6015625</v>
      </c>
      <c r="G92" s="7">
        <v>1</v>
      </c>
      <c r="H92" s="15" t="s">
        <v>132</v>
      </c>
      <c r="I92" s="15">
        <v>42607.628703703704</v>
      </c>
      <c r="J92" s="7">
        <v>1</v>
      </c>
      <c r="K92" s="132" t="str">
        <f t="shared" si="20"/>
        <v>4009/4010</v>
      </c>
      <c r="L92" s="24" t="str">
        <f>VLOOKUP(A92,'Trips&amp;Operators'!$C$1:$E$10000,3,FALSE)</f>
        <v>CRAYTON</v>
      </c>
      <c r="M92" s="6">
        <f t="shared" si="21"/>
        <v>2.7141203703649808E-2</v>
      </c>
      <c r="N92" s="7">
        <f t="shared" si="22"/>
        <v>39.083333333255723</v>
      </c>
      <c r="O92" s="7"/>
      <c r="P92" s="7"/>
      <c r="Q92" s="25"/>
      <c r="R92" s="25"/>
      <c r="S92" s="37">
        <f t="shared" si="23"/>
        <v>1</v>
      </c>
      <c r="T92" s="52" t="str">
        <f t="shared" si="24"/>
        <v>Southbound</v>
      </c>
      <c r="U92" s="12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13:15:18-0600',mode:absolute,to:'2016-08-25 16:05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92" s="54" t="str">
        <f t="shared" si="26"/>
        <v>N</v>
      </c>
      <c r="X92" s="120">
        <f t="shared" si="27"/>
        <v>1</v>
      </c>
      <c r="Y92" s="69">
        <f t="shared" si="28"/>
        <v>23.297699999999999</v>
      </c>
      <c r="Z92" s="69">
        <f t="shared" si="29"/>
        <v>1.47E-2</v>
      </c>
      <c r="AA92" s="69">
        <f t="shared" si="30"/>
        <v>23.282999999999998</v>
      </c>
      <c r="AB92" s="66" t="e">
        <f>VLOOKUP(A92,Enforcements!$C$7:$J$21,8,0)</f>
        <v>#N/A</v>
      </c>
      <c r="AC92" s="62" t="e">
        <f>VLOOKUP(A92,Enforcements!$C$7:$E$21,3,0)</f>
        <v>#N/A</v>
      </c>
      <c r="AD92" s="63" t="str">
        <f t="shared" si="31"/>
        <v>0180-25</v>
      </c>
      <c r="AE92" s="99" t="str">
        <f t="shared" si="32"/>
        <v>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 &amp; 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</v>
      </c>
      <c r="AF92" s="96" t="str">
        <f t="shared" si="33"/>
        <v>"C:\Program Files (x86)\AstroGrep\AstroGrep.exe" /spath="%USERPROFILE%\AppData\Local\Temp\OnboardLogs" /stypes="*4010*20160825*" /stext=" 21:.+((SYSTEM_STATE.+slice.+state.+changed )|(ment ac)|(system.+state.+changed )|(\|lc)|(penalty)|(\[timeout)|(PRM\|1\|D)|(kpr)|(kdp))" /e /r /s</v>
      </c>
      <c r="AG92" s="1" t="str">
        <f t="shared" si="34"/>
        <v>EC</v>
      </c>
      <c r="AH92" s="100" t="str">
        <f t="shared" si="35"/>
        <v>"%USERPROFILE%\Documents\GitHub\eaglep3\Utilities\RefineRTDCRunTimes.py" --tripid 180-25 --locoid 4010 --swversion DE.1.0.7.0 --startMP 204:232977 --initTime 2016-08-25T14:15:18 --startdatetime 2016-08-25T14:26:15 --delay 1 --endMP 204:147 --enddatetime 2016-08-25T15:05:20 --enforcementcount 1 &gt;&gt;C:\Users\stu\Documents\GitHub\eaglep3-reporting\EC\2016-08-25-refined-times.txt</v>
      </c>
      <c r="AI92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{"issue":{"subject":"","project_id":79,"tracker_id":40,"status_id":1,"priority_id":2,"assigned_to_id":23,"start_date":"2016-08-25","description":"","custom_fields":[{"id":1,"name":"Subdivision","value":"EC"},{"id":4,"name":"Milepost","value":"23.283"},{"id":17,"name":"Train ID","value":"180-25"},{"id":16,"name":"Locomotive ID","value":"4010"},{"id":130,"name":"Impact","value":""},{"id":150,"name":"Time of Event (Mountain Time)","value":"15:05:20"},{"id":151,"name":"Denver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23" customFormat="1" x14ac:dyDescent="0.25">
      <c r="A93" s="39" t="s">
        <v>466</v>
      </c>
      <c r="B93" s="7">
        <v>4031</v>
      </c>
      <c r="C93" s="24" t="s">
        <v>113</v>
      </c>
      <c r="D93" s="24" t="s">
        <v>109</v>
      </c>
      <c r="E93" s="15">
        <v>42607.57236111111</v>
      </c>
      <c r="F93" s="15">
        <v>42607.574016203704</v>
      </c>
      <c r="G93" s="7">
        <v>1</v>
      </c>
      <c r="H93" s="15" t="s">
        <v>413</v>
      </c>
      <c r="I93" s="15">
        <v>42607.600416666668</v>
      </c>
      <c r="J93" s="7">
        <v>1</v>
      </c>
      <c r="K93" s="132" t="str">
        <f t="shared" si="20"/>
        <v>4031/4032</v>
      </c>
      <c r="L93" s="24" t="str">
        <f>VLOOKUP(A93,'Trips&amp;Operators'!$C$1:$E$10000,3,FALSE)</f>
        <v>YOUNG</v>
      </c>
      <c r="M93" s="6">
        <f t="shared" si="21"/>
        <v>2.6400462964375038E-2</v>
      </c>
      <c r="N93" s="7">
        <f t="shared" si="22"/>
        <v>38.016666668700054</v>
      </c>
      <c r="O93" s="7"/>
      <c r="P93" s="7"/>
      <c r="Q93" s="25"/>
      <c r="R93" s="25"/>
      <c r="S93" s="37">
        <f t="shared" si="23"/>
        <v>1</v>
      </c>
      <c r="T93" s="52" t="str">
        <f t="shared" si="24"/>
        <v>NorthBound</v>
      </c>
      <c r="U93" s="12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12:44:12-0600',mode:absolute,to:'2016-08-25 15:24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93" s="54" t="str">
        <f t="shared" si="26"/>
        <v>N</v>
      </c>
      <c r="X93" s="120">
        <f t="shared" si="27"/>
        <v>1</v>
      </c>
      <c r="Y93" s="69">
        <f t="shared" si="28"/>
        <v>4.6199999999999998E-2</v>
      </c>
      <c r="Z93" s="69">
        <f t="shared" si="29"/>
        <v>23.330400000000001</v>
      </c>
      <c r="AA93" s="69">
        <f t="shared" si="30"/>
        <v>23.284200000000002</v>
      </c>
      <c r="AB93" s="66" t="e">
        <f>VLOOKUP(A93,Enforcements!$C$7:$J$21,8,0)</f>
        <v>#N/A</v>
      </c>
      <c r="AC93" s="62" t="e">
        <f>VLOOKUP(A93,Enforcements!$C$7:$E$21,3,0)</f>
        <v>#N/A</v>
      </c>
      <c r="AD93" s="63" t="str">
        <f t="shared" si="31"/>
        <v>0181-25</v>
      </c>
      <c r="AE93" s="99" t="str">
        <f t="shared" si="32"/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93" s="96" t="str">
        <f t="shared" si="33"/>
        <v>"C:\Program Files (x86)\AstroGrep\AstroGrep.exe" /spath="%USERPROFILE%\AppData\Local\Temp\OnboardLogs" /stypes="*4031*20160825*" /stext=" 20:.+((SYSTEM_STATE.+slice.+state.+changed )|(ment ac)|(system.+state.+changed )|(\|lc)|(penalty)|(\[timeout)|(PRM\|1\|D)|(kpr)|(kdp))" /e /r /s</v>
      </c>
      <c r="AG93" s="1" t="str">
        <f t="shared" si="34"/>
        <v>EC</v>
      </c>
      <c r="AH93" s="100" t="str">
        <f t="shared" si="35"/>
        <v>"%USERPROFILE%\Documents\GitHub\eaglep3\Utilities\RefineRTDCRunTimes.py" --tripid 181-25 --locoid 4031 --swversion DE.1.0.7.0 --startMP 204:462 --initTime 2016-08-25T13:44:12 --startdatetime 2016-08-25T13:46:35 --delay 1 --endMP 204:233304 --enddatetime 2016-08-25T14:24:36 --enforcementcount 1 &gt;&gt;C:\Users\stu\Documents\GitHub\eaglep3-reporting\EC\2016-08-25-refined-times.txt</v>
      </c>
      <c r="AI93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{"issue":{"subject":"","project_id":79,"tracker_id":40,"status_id":1,"priority_id":2,"assigned_to_id":23,"start_date":"2016-08-25","description":"","custom_fields":[{"id":1,"name":"Subdivision","value":"EC"},{"id":4,"name":"Milepost","value":"23.2842"},{"id":17,"name":"Train ID","value":"181-25"},{"id":16,"name":"Locomotive ID","value":"4031"},{"id":130,"name":"Impact","value":""},{"id":150,"name":"Time of Event (Mountain Time)","value":"14:24:36"},{"id":151,"name":"Denver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23" customFormat="1" x14ac:dyDescent="0.25">
      <c r="A94" s="39" t="s">
        <v>467</v>
      </c>
      <c r="B94" s="7">
        <v>4032</v>
      </c>
      <c r="C94" s="24" t="s">
        <v>113</v>
      </c>
      <c r="D94" s="24" t="s">
        <v>241</v>
      </c>
      <c r="E94" s="15">
        <v>42607.602881944447</v>
      </c>
      <c r="F94" s="15">
        <v>42607.612256944441</v>
      </c>
      <c r="G94" s="7">
        <v>1</v>
      </c>
      <c r="H94" s="15" t="s">
        <v>468</v>
      </c>
      <c r="I94" s="15">
        <v>42607.642326388886</v>
      </c>
      <c r="J94" s="7">
        <v>1</v>
      </c>
      <c r="K94" s="132" t="str">
        <f t="shared" si="20"/>
        <v>4031/4032</v>
      </c>
      <c r="L94" s="24" t="str">
        <f>VLOOKUP(A94,'Trips&amp;Operators'!$C$1:$E$10000,3,FALSE)</f>
        <v>YOUNG</v>
      </c>
      <c r="M94" s="6">
        <f t="shared" si="21"/>
        <v>3.0069444444961846E-2</v>
      </c>
      <c r="N94" s="7">
        <f t="shared" si="22"/>
        <v>43.300000000745058</v>
      </c>
      <c r="O94" s="7"/>
      <c r="P94" s="7"/>
      <c r="Q94" s="25"/>
      <c r="R94" s="25"/>
      <c r="S94" s="37">
        <f t="shared" si="23"/>
        <v>1</v>
      </c>
      <c r="T94" s="52" t="str">
        <f t="shared" si="24"/>
        <v>Southbound</v>
      </c>
      <c r="U94" s="12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13:28:09-0600',mode:absolute,to:'2016-08-25 16:24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94" s="54" t="str">
        <f t="shared" si="26"/>
        <v>N</v>
      </c>
      <c r="X94" s="120">
        <f t="shared" si="27"/>
        <v>1</v>
      </c>
      <c r="Y94" s="69">
        <f t="shared" si="28"/>
        <v>23.2989</v>
      </c>
      <c r="Z94" s="69">
        <f t="shared" si="29"/>
        <v>2.87E-2</v>
      </c>
      <c r="AA94" s="69">
        <f t="shared" si="30"/>
        <v>23.270199999999999</v>
      </c>
      <c r="AB94" s="66" t="e">
        <f>VLOOKUP(A94,Enforcements!$C$7:$J$21,8,0)</f>
        <v>#N/A</v>
      </c>
      <c r="AC94" s="62" t="e">
        <f>VLOOKUP(A94,Enforcements!$C$7:$E$21,3,0)</f>
        <v>#N/A</v>
      </c>
      <c r="AD94" s="63" t="str">
        <f t="shared" si="31"/>
        <v>0182-25</v>
      </c>
      <c r="AE94" s="99" t="str">
        <f t="shared" si="3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94" s="96" t="str">
        <f t="shared" si="33"/>
        <v>"C:\Program Files (x86)\AstroGrep\AstroGrep.exe" /spath="%USERPROFILE%\AppData\Local\Temp\OnboardLogs" /stypes="*4032*20160825*" /stext=" 21:.+((SYSTEM_STATE.+slice.+state.+changed )|(ment ac)|(system.+state.+changed )|(\|lc)|(penalty)|(\[timeout)|(PRM\|1\|D)|(kpr)|(kdp))" /e /r /s</v>
      </c>
      <c r="AG94" s="1" t="str">
        <f t="shared" si="34"/>
        <v>EC</v>
      </c>
      <c r="AH94" s="100" t="str">
        <f t="shared" si="35"/>
        <v>"%USERPROFILE%\Documents\GitHub\eaglep3\Utilities\RefineRTDCRunTimes.py" --tripid 182-25 --locoid 4032 --swversion DE.1.0.7.0 --startMP 204:232989 --initTime 2016-08-25T14:28:09 --startdatetime 2016-08-25T14:41:39 --delay 1 --endMP 204:287 --enddatetime 2016-08-25T15:24:57 --enforcementcount 1 &gt;&gt;C:\Users\stu\Documents\GitHub\eaglep3-reporting\EC\2016-08-25-refined-times.txt</v>
      </c>
      <c r="AI94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{"issue":{"subject":"","project_id":79,"tracker_id":40,"status_id":1,"priority_id":2,"assigned_to_id":23,"start_date":"2016-08-25","description":"","custom_fields":[{"id":1,"name":"Subdivision","value":"EC"},{"id":4,"name":"Milepost","value":"23.2702"},{"id":17,"name":"Train ID","value":"182-25"},{"id":16,"name":"Locomotive ID","value":"4032"},{"id":130,"name":"Impact","value":""},{"id":150,"name":"Time of Event (Mountain Time)","value":"15:24:57"},{"id":151,"name":"Denver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23" customFormat="1" x14ac:dyDescent="0.25">
      <c r="A95" s="39" t="s">
        <v>469</v>
      </c>
      <c r="B95" s="7">
        <v>4011</v>
      </c>
      <c r="C95" s="24" t="s">
        <v>113</v>
      </c>
      <c r="D95" s="24" t="s">
        <v>333</v>
      </c>
      <c r="E95" s="15">
        <v>42607.578020833331</v>
      </c>
      <c r="F95" s="15">
        <v>42607.583935185183</v>
      </c>
      <c r="G95" s="7">
        <v>1</v>
      </c>
      <c r="H95" s="15" t="s">
        <v>470</v>
      </c>
      <c r="I95" s="15">
        <v>42607.608136574076</v>
      </c>
      <c r="J95" s="7">
        <v>1</v>
      </c>
      <c r="K95" s="132" t="str">
        <f t="shared" si="20"/>
        <v>4011/4012</v>
      </c>
      <c r="L95" s="24" t="str">
        <f>VLOOKUP(A95,'Trips&amp;Operators'!$C$1:$E$10000,3,FALSE)</f>
        <v>STAMBAUGH</v>
      </c>
      <c r="M95" s="6">
        <f t="shared" si="21"/>
        <v>2.4201388892834075E-2</v>
      </c>
      <c r="N95" s="7">
        <f t="shared" si="22"/>
        <v>34.850000005681068</v>
      </c>
      <c r="O95" s="7"/>
      <c r="P95" s="7"/>
      <c r="Q95" s="25"/>
      <c r="R95" s="25"/>
      <c r="S95" s="37">
        <f t="shared" si="23"/>
        <v>1</v>
      </c>
      <c r="T95" s="52" t="str">
        <f t="shared" si="24"/>
        <v>NorthBound</v>
      </c>
      <c r="U95" s="12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12:52:21-0600',mode:absolute,to:'2016-08-25 15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95" s="54" t="str">
        <f t="shared" si="26"/>
        <v>N</v>
      </c>
      <c r="X95" s="120">
        <f t="shared" si="27"/>
        <v>1</v>
      </c>
      <c r="Y95" s="69">
        <f t="shared" si="28"/>
        <v>4.3999999999999997E-2</v>
      </c>
      <c r="Z95" s="69">
        <f t="shared" si="29"/>
        <v>23.332599999999999</v>
      </c>
      <c r="AA95" s="69">
        <f t="shared" si="30"/>
        <v>23.288599999999999</v>
      </c>
      <c r="AB95" s="66" t="e">
        <f>VLOOKUP(A95,Enforcements!$C$7:$J$21,8,0)</f>
        <v>#N/A</v>
      </c>
      <c r="AC95" s="62" t="e">
        <f>VLOOKUP(A95,Enforcements!$C$7:$E$21,3,0)</f>
        <v>#N/A</v>
      </c>
      <c r="AD95" s="63" t="str">
        <f t="shared" si="31"/>
        <v>0183-25</v>
      </c>
      <c r="AE95" s="99" t="str">
        <f t="shared" si="32"/>
        <v>aws s3 cp s3://rtdc.mdm.uploadarchive/RTDC4011/2016-08-25/ "%USERPROFILE%\AppData\Local\Temp\OnboardLogs"\RTDC4011\2016-08-25 --recursive &amp; "%USERPROFILE%\Documents\GitHub\mrs-test-scripts\Headless Mode &amp; Sideloading\WalkAndUnGZ.bat" "%USERPROFILE%\AppData\Local\Temp\OnboardLogs"\RTDC4011\2016-08-25 &amp; 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</v>
      </c>
      <c r="AF95" s="96" t="str">
        <f t="shared" si="33"/>
        <v>"C:\Program Files (x86)\AstroGrep\AstroGrep.exe" /spath="%USERPROFILE%\AppData\Local\Temp\OnboardLogs" /stypes="*4011*20160825*" /stext=" 20:.+((SYSTEM_STATE.+slice.+state.+changed )|(ment ac)|(system.+state.+changed )|(\|lc)|(penalty)|(\[timeout)|(PRM\|1\|D)|(kpr)|(kdp))" /e /r /s</v>
      </c>
      <c r="AG95" s="1" t="str">
        <f t="shared" si="34"/>
        <v>EC</v>
      </c>
      <c r="AH95" s="100" t="str">
        <f t="shared" si="35"/>
        <v>"%USERPROFILE%\Documents\GitHub\eaglep3\Utilities\RefineRTDCRunTimes.py" --tripid 183-25 --locoid 4011 --swversion DE.1.0.7.0 --startMP 204:440 --initTime 2016-08-25T13:52:21 --startdatetime 2016-08-25T14:00:52 --delay 1 --endMP 204:233326 --enddatetime 2016-08-25T14:35:43 --enforcementcount 1 &gt;&gt;C:\Users\stu\Documents\GitHub\eaglep3-reporting\EC\2016-08-25-refined-times.txt</v>
      </c>
      <c r="AI95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{"issue":{"subject":"","project_id":79,"tracker_id":40,"status_id":1,"priority_id":2,"assigned_to_id":23,"start_date":"2016-08-25","description":"","custom_fields":[{"id":1,"name":"Subdivision","value":"EC"},{"id":4,"name":"Milepost","value":"23.2886"},{"id":17,"name":"Train ID","value":"183-25"},{"id":16,"name":"Locomotive ID","value":"4011"},{"id":130,"name":"Impact","value":""},{"id":150,"name":"Time of Event (Mountain Time)","value":"14:35:43"},{"id":151,"name":"Denver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23" customFormat="1" x14ac:dyDescent="0.25">
      <c r="A96" s="39" t="s">
        <v>471</v>
      </c>
      <c r="B96" s="7">
        <v>4012</v>
      </c>
      <c r="C96" s="24" t="s">
        <v>113</v>
      </c>
      <c r="D96" s="24" t="s">
        <v>208</v>
      </c>
      <c r="E96" s="15">
        <v>42607.620081018518</v>
      </c>
      <c r="F96" s="15">
        <v>42607.622673611113</v>
      </c>
      <c r="G96" s="7">
        <v>1</v>
      </c>
      <c r="H96" s="15" t="s">
        <v>238</v>
      </c>
      <c r="I96" s="15">
        <v>42607.648634259262</v>
      </c>
      <c r="J96" s="7">
        <v>1</v>
      </c>
      <c r="K96" s="132" t="str">
        <f t="shared" si="20"/>
        <v>4011/4012</v>
      </c>
      <c r="L96" s="24" t="str">
        <f>VLOOKUP(A96,'Trips&amp;Operators'!$C$1:$E$10000,3,FALSE)</f>
        <v>STAMBAUGH</v>
      </c>
      <c r="M96" s="6">
        <f t="shared" si="21"/>
        <v>2.5960648148611654E-2</v>
      </c>
      <c r="N96" s="7">
        <f t="shared" si="22"/>
        <v>37.383333334000781</v>
      </c>
      <c r="O96" s="7"/>
      <c r="P96" s="7"/>
      <c r="Q96" s="25"/>
      <c r="R96" s="25"/>
      <c r="S96" s="37">
        <f t="shared" si="23"/>
        <v>1</v>
      </c>
      <c r="T96" s="52" t="str">
        <f t="shared" si="24"/>
        <v>Southbound</v>
      </c>
      <c r="U96" s="12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13:52:55-0600',mode:absolute,to:'2016-08-25 16:34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96" s="54" t="str">
        <f t="shared" si="26"/>
        <v>N</v>
      </c>
      <c r="X96" s="120">
        <f t="shared" si="27"/>
        <v>1</v>
      </c>
      <c r="Y96" s="69">
        <f t="shared" si="28"/>
        <v>23.2986</v>
      </c>
      <c r="Z96" s="69">
        <f t="shared" si="29"/>
        <v>1.34E-2</v>
      </c>
      <c r="AA96" s="69">
        <f t="shared" si="30"/>
        <v>23.2852</v>
      </c>
      <c r="AB96" s="66" t="e">
        <f>VLOOKUP(A96,Enforcements!$C$7:$J$21,8,0)</f>
        <v>#N/A</v>
      </c>
      <c r="AC96" s="62" t="e">
        <f>VLOOKUP(A96,Enforcements!$C$7:$E$21,3,0)</f>
        <v>#N/A</v>
      </c>
      <c r="AD96" s="63" t="str">
        <f t="shared" si="31"/>
        <v>0184-25</v>
      </c>
      <c r="AE96" s="99" t="str">
        <f t="shared" si="32"/>
        <v>aws s3 cp s3://rtdc.mdm.uploadarchive/RTDC4012/2016-08-25/ "%USERPROFILE%\AppData\Local\Temp\OnboardLogs"\RTDC4012\2016-08-25 --recursive &amp; "%USERPROFILE%\Documents\GitHub\mrs-test-scripts\Headless Mode &amp; Sideloading\WalkAndUnGZ.bat" "%USERPROFILE%\AppData\Local\Temp\OnboardLogs"\RTDC4012\2016-08-25 &amp; 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</v>
      </c>
      <c r="AF96" s="96" t="str">
        <f t="shared" si="33"/>
        <v>"C:\Program Files (x86)\AstroGrep\AstroGrep.exe" /spath="%USERPROFILE%\AppData\Local\Temp\OnboardLogs" /stypes="*4012*20160825*" /stext=" 21:.+((SYSTEM_STATE.+slice.+state.+changed )|(ment ac)|(system.+state.+changed )|(\|lc)|(penalty)|(\[timeout)|(PRM\|1\|D)|(kpr)|(kdp))" /e /r /s</v>
      </c>
      <c r="AG96" s="1" t="str">
        <f t="shared" si="34"/>
        <v>EC</v>
      </c>
      <c r="AH96" s="100" t="str">
        <f t="shared" si="35"/>
        <v>"%USERPROFILE%\Documents\GitHub\eaglep3\Utilities\RefineRTDCRunTimes.py" --tripid 184-25 --locoid 4012 --swversion DE.1.0.7.0 --startMP 204:232986 --initTime 2016-08-25T14:52:55 --startdatetime 2016-08-25T14:56:39 --delay 1 --endMP 204:134 --enddatetime 2016-08-25T15:34:02 --enforcementcount 1 &gt;&gt;C:\Users\stu\Documents\GitHub\eaglep3-reporting\EC\2016-08-25-refined-times.txt</v>
      </c>
      <c r="AI96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{"issue":{"subject":"","project_id":79,"tracker_id":40,"status_id":1,"priority_id":2,"assigned_to_id":23,"start_date":"2016-08-25","description":"","custom_fields":[{"id":1,"name":"Subdivision","value":"EC"},{"id":4,"name":"Milepost","value":"23.2852"},{"id":17,"name":"Train ID","value":"184-25"},{"id":16,"name":"Locomotive ID","value":"4012"},{"id":130,"name":"Impact","value":""},{"id":150,"name":"Time of Event (Mountain Time)","value":"15:34:02"},{"id":151,"name":"Denver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23" customFormat="1" x14ac:dyDescent="0.25">
      <c r="A97" s="39" t="s">
        <v>472</v>
      </c>
      <c r="B97" s="7">
        <v>4044</v>
      </c>
      <c r="C97" s="24" t="s">
        <v>113</v>
      </c>
      <c r="D97" s="24" t="s">
        <v>141</v>
      </c>
      <c r="E97" s="15">
        <v>42607.590717592589</v>
      </c>
      <c r="F97" s="15">
        <v>42607.594201388885</v>
      </c>
      <c r="G97" s="7">
        <v>2</v>
      </c>
      <c r="H97" s="15" t="s">
        <v>219</v>
      </c>
      <c r="I97" s="15">
        <v>42607.620092592595</v>
      </c>
      <c r="J97" s="7">
        <v>1</v>
      </c>
      <c r="K97" s="132" t="str">
        <f t="shared" si="20"/>
        <v>4043/4044</v>
      </c>
      <c r="L97" s="24" t="str">
        <f>VLOOKUP(A97,'Trips&amp;Operators'!$C$1:$E$10000,3,FALSE)</f>
        <v>WEBSTER</v>
      </c>
      <c r="M97" s="6">
        <f t="shared" si="21"/>
        <v>2.5891203709761612E-2</v>
      </c>
      <c r="N97" s="7">
        <f t="shared" si="22"/>
        <v>37.283333342056721</v>
      </c>
      <c r="O97" s="7"/>
      <c r="P97" s="7"/>
      <c r="Q97" s="25"/>
      <c r="R97" s="25"/>
      <c r="S97" s="37">
        <f t="shared" si="23"/>
        <v>1</v>
      </c>
      <c r="T97" s="52" t="str">
        <f t="shared" si="24"/>
        <v>NorthBound</v>
      </c>
      <c r="U97" s="12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13:10:38-0600',mode:absolute,to:'2016-08-25 15:52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97" s="54" t="str">
        <f t="shared" si="26"/>
        <v>N</v>
      </c>
      <c r="X97" s="120">
        <f t="shared" si="27"/>
        <v>1</v>
      </c>
      <c r="Y97" s="69">
        <f t="shared" si="28"/>
        <v>4.5699999999999998E-2</v>
      </c>
      <c r="Z97" s="69">
        <f t="shared" si="29"/>
        <v>23.331199999999999</v>
      </c>
      <c r="AA97" s="69">
        <f t="shared" si="30"/>
        <v>23.285499999999999</v>
      </c>
      <c r="AB97" s="66" t="e">
        <f>VLOOKUP(A97,Enforcements!$C$7:$J$21,8,0)</f>
        <v>#N/A</v>
      </c>
      <c r="AC97" s="62" t="e">
        <f>VLOOKUP(A97,Enforcements!$C$7:$E$21,3,0)</f>
        <v>#N/A</v>
      </c>
      <c r="AD97" s="63" t="str">
        <f t="shared" si="31"/>
        <v>0185-25</v>
      </c>
      <c r="AE97" s="99" t="str">
        <f t="shared" si="3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97" s="96" t="str">
        <f t="shared" si="33"/>
        <v>"C:\Program Files (x86)\AstroGrep\AstroGrep.exe" /spath="%USERPROFILE%\AppData\Local\Temp\OnboardLogs" /stypes="*4044*20160825*" /stext=" 20:.+((SYSTEM_STATE.+slice.+state.+changed )|(ment ac)|(system.+state.+changed )|(\|lc)|(penalty)|(\[timeout)|(PRM\|1\|D)|(kpr)|(kdp))" /e /r /s</v>
      </c>
      <c r="AG97" s="1" t="str">
        <f t="shared" si="34"/>
        <v>EC</v>
      </c>
      <c r="AH97" s="100" t="str">
        <f t="shared" si="35"/>
        <v>"%USERPROFILE%\Documents\GitHub\eaglep3\Utilities\RefineRTDCRunTimes.py" --tripid 185-25 --locoid 4044 --swversion DE.1.0.7.0 --startMP 204:457 --initTime 2016-08-25T14:10:38 --startdatetime 2016-08-25T14:15:39 --delay 2 --endMP 204:233312 --enddatetime 2016-08-25T14:52:56 --enforcementcount 1 &gt;&gt;C:\Users\stu\Documents\GitHub\eaglep3-reporting\EC\2016-08-25-refined-times.txt</v>
      </c>
      <c r="AI97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{"issue":{"subject":"","project_id":79,"tracker_id":40,"status_id":1,"priority_id":2,"assigned_to_id":23,"start_date":"2016-08-25","description":"","custom_fields":[{"id":1,"name":"Subdivision","value":"EC"},{"id":4,"name":"Milepost","value":"23.2855"},{"id":17,"name":"Train ID","value":"185-25"},{"id":16,"name":"Locomotive ID","value":"4044"},{"id":130,"name":"Impact","value":""},{"id":150,"name":"Time of Event (Mountain Time)","value":"14:52:56"},{"id":151,"name":"Denver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x14ac:dyDescent="0.25">
      <c r="A98" s="39" t="s">
        <v>473</v>
      </c>
      <c r="B98" s="7">
        <v>4043</v>
      </c>
      <c r="C98" s="24" t="s">
        <v>113</v>
      </c>
      <c r="D98" s="24" t="s">
        <v>397</v>
      </c>
      <c r="E98" s="15">
        <v>42607.628321759257</v>
      </c>
      <c r="F98" s="15">
        <v>42607.632893518516</v>
      </c>
      <c r="G98" s="7">
        <v>1</v>
      </c>
      <c r="H98" s="15" t="s">
        <v>225</v>
      </c>
      <c r="I98" s="15">
        <v>42607.660462962966</v>
      </c>
      <c r="J98" s="7">
        <v>1</v>
      </c>
      <c r="K98" s="132" t="str">
        <f t="shared" si="20"/>
        <v>4043/4044</v>
      </c>
      <c r="L98" s="24" t="str">
        <f>VLOOKUP(A98,'Trips&amp;Operators'!$C$1:$E$10000,3,FALSE)</f>
        <v>WEBSTER</v>
      </c>
      <c r="M98" s="6">
        <f t="shared" si="21"/>
        <v>2.7569444449909497E-2</v>
      </c>
      <c r="N98" s="7">
        <f t="shared" si="22"/>
        <v>39.700000007869676</v>
      </c>
      <c r="O98" s="7"/>
      <c r="P98" s="7"/>
      <c r="Q98" s="25"/>
      <c r="R98" s="25"/>
      <c r="S98" s="37">
        <f t="shared" si="23"/>
        <v>1</v>
      </c>
      <c r="T98" s="52" t="str">
        <f t="shared" si="24"/>
        <v>Southbound</v>
      </c>
      <c r="U98" s="12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14:04:47-0600',mode:absolute,to:'2016-08-25 16:51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98" s="54" t="str">
        <f t="shared" si="26"/>
        <v>N</v>
      </c>
      <c r="X98" s="120">
        <f t="shared" si="27"/>
        <v>1</v>
      </c>
      <c r="Y98" s="69">
        <f t="shared" si="28"/>
        <v>23.299299999999999</v>
      </c>
      <c r="Z98" s="69">
        <f t="shared" si="29"/>
        <v>1.61E-2</v>
      </c>
      <c r="AA98" s="69">
        <f t="shared" si="30"/>
        <v>23.283199999999997</v>
      </c>
      <c r="AB98" s="66" t="e">
        <f>VLOOKUP(A98,Enforcements!$C$7:$J$21,8,0)</f>
        <v>#N/A</v>
      </c>
      <c r="AC98" s="62" t="e">
        <f>VLOOKUP(A98,Enforcements!$C$7:$E$21,3,0)</f>
        <v>#N/A</v>
      </c>
      <c r="AD98" s="63" t="str">
        <f t="shared" si="31"/>
        <v>0186-25</v>
      </c>
      <c r="AE98" s="99" t="str">
        <f t="shared" si="32"/>
        <v>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 &amp; 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</v>
      </c>
      <c r="AF98" s="96" t="str">
        <f t="shared" si="33"/>
        <v>"C:\Program Files (x86)\AstroGrep\AstroGrep.exe" /spath="%USERPROFILE%\AppData\Local\Temp\OnboardLogs" /stypes="*4043*20160825*" /stext=" 21:.+((SYSTEM_STATE.+slice.+state.+changed )|(ment ac)|(system.+state.+changed )|(\|lc)|(penalty)|(\[timeout)|(PRM\|1\|D)|(kpr)|(kdp))" /e /r /s</v>
      </c>
      <c r="AG98" s="1" t="str">
        <f t="shared" si="34"/>
        <v>EC</v>
      </c>
      <c r="AH98" s="100" t="str">
        <f t="shared" si="35"/>
        <v>"%USERPROFILE%\Documents\GitHub\eaglep3\Utilities\RefineRTDCRunTimes.py" --tripid 186-25 --locoid 4043 --swversion DE.1.0.7.0 --startMP 204:232993 --initTime 2016-08-25T15:04:47 --startdatetime 2016-08-25T15:11:22 --delay 1 --endMP 204:161 --enddatetime 2016-08-25T15:51:04 --enforcementcount 1 &gt;&gt;C:\Users\stu\Documents\GitHub\eaglep3-reporting\EC\2016-08-25-refined-times.txt</v>
      </c>
      <c r="AI98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{"issue":{"subject":"","project_id":79,"tracker_id":40,"status_id":1,"priority_id":2,"assigned_to_id":23,"start_date":"2016-08-25","description":"","custom_fields":[{"id":1,"name":"Subdivision","value":"EC"},{"id":4,"name":"Milepost","value":"23.2832"},{"id":17,"name":"Train ID","value":"186-25"},{"id":16,"name":"Locomotive ID","value":"4043"},{"id":130,"name":"Impact","value":""},{"id":150,"name":"Time of Event (Mountain Time)","value":"15:51:04"},{"id":151,"name":"Denver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474</v>
      </c>
      <c r="B99" s="7">
        <v>4020</v>
      </c>
      <c r="C99" s="24" t="s">
        <v>113</v>
      </c>
      <c r="D99" s="24" t="s">
        <v>109</v>
      </c>
      <c r="E99" s="15">
        <v>42607.600266203706</v>
      </c>
      <c r="F99" s="15">
        <v>42607.604317129626</v>
      </c>
      <c r="G99" s="7">
        <v>1</v>
      </c>
      <c r="H99" s="15" t="s">
        <v>195</v>
      </c>
      <c r="I99" s="15">
        <v>42607.629803240743</v>
      </c>
      <c r="J99" s="7">
        <v>1</v>
      </c>
      <c r="K99" s="132" t="str">
        <f t="shared" si="20"/>
        <v>4019/4020</v>
      </c>
      <c r="L99" s="24" t="str">
        <f>VLOOKUP(A99,'Trips&amp;Operators'!$C$1:$E$10000,3,FALSE)</f>
        <v>ROBINSON</v>
      </c>
      <c r="M99" s="6">
        <f t="shared" si="21"/>
        <v>2.5486111117061228E-2</v>
      </c>
      <c r="N99" s="7">
        <f t="shared" si="22"/>
        <v>36.700000008568168</v>
      </c>
      <c r="O99" s="7"/>
      <c r="P99" s="7"/>
      <c r="Q99" s="25"/>
      <c r="R99" s="25"/>
      <c r="S99" s="37">
        <f t="shared" si="23"/>
        <v>1</v>
      </c>
      <c r="T99" s="52" t="str">
        <f t="shared" si="24"/>
        <v>NorthBound</v>
      </c>
      <c r="U99" s="12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13:24:23-0600',mode:absolute,to:'2016-08-25 16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99" s="54" t="str">
        <f t="shared" si="26"/>
        <v>N</v>
      </c>
      <c r="X99" s="120">
        <f t="shared" si="27"/>
        <v>1</v>
      </c>
      <c r="Y99" s="69">
        <f t="shared" si="28"/>
        <v>4.6199999999999998E-2</v>
      </c>
      <c r="Z99" s="69">
        <f t="shared" si="29"/>
        <v>23.329699999999999</v>
      </c>
      <c r="AA99" s="69">
        <f t="shared" si="30"/>
        <v>23.2835</v>
      </c>
      <c r="AB99" s="66" t="e">
        <f>VLOOKUP(A99,Enforcements!$C$7:$J$21,8,0)</f>
        <v>#N/A</v>
      </c>
      <c r="AC99" s="62" t="e">
        <f>VLOOKUP(A99,Enforcements!$C$7:$E$21,3,0)</f>
        <v>#N/A</v>
      </c>
      <c r="AD99" s="63" t="str">
        <f t="shared" si="31"/>
        <v>0187-25</v>
      </c>
      <c r="AE99" s="99" t="str">
        <f t="shared" si="32"/>
        <v>aws s3 cp s3://rtdc.mdm.uploadarchive/RTDC4020/2016-08-25/ "%USERPROFILE%\AppData\Local\Temp\OnboardLogs"\RTDC4020\2016-08-25 --recursive &amp; "%USERPROFILE%\Documents\GitHub\mrs-test-scripts\Headless Mode &amp; Sideloading\WalkAndUnGZ.bat" "%USERPROFILE%\AppData\Local\Temp\OnboardLogs"\RTDC4020\2016-08-25 &amp; 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</v>
      </c>
      <c r="AF99" s="96" t="str">
        <f t="shared" si="33"/>
        <v>"C:\Program Files (x86)\AstroGrep\AstroGrep.exe" /spath="%USERPROFILE%\AppData\Local\Temp\OnboardLogs" /stypes="*4020*20160825*" /stext=" 21:.+((SYSTEM_STATE.+slice.+state.+changed )|(ment ac)|(system.+state.+changed )|(\|lc)|(penalty)|(\[timeout)|(PRM\|1\|D)|(kpr)|(kdp))" /e /r /s</v>
      </c>
      <c r="AG99" s="1" t="str">
        <f t="shared" si="34"/>
        <v>EC</v>
      </c>
      <c r="AH99" s="100" t="str">
        <f t="shared" si="35"/>
        <v>"%USERPROFILE%\Documents\GitHub\eaglep3\Utilities\RefineRTDCRunTimes.py" --tripid 187-25 --locoid 4020 --swversion DE.1.0.7.0 --startMP 204:462 --initTime 2016-08-25T14:24:23 --startdatetime 2016-08-25T14:30:13 --delay 1 --endMP 204:233297 --enddatetime 2016-08-25T15:06:55 --enforcementcount 1 &gt;&gt;C:\Users\stu\Documents\GitHub\eaglep3-reporting\EC\2016-08-25-refined-times.txt</v>
      </c>
      <c r="AI99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{"issue":{"subject":"","project_id":79,"tracker_id":40,"status_id":1,"priority_id":2,"assigned_to_id":23,"start_date":"2016-08-25","description":"","custom_fields":[{"id":1,"name":"Subdivision","value":"EC"},{"id":4,"name":"Milepost","value":"23.2835"},{"id":17,"name":"Train ID","value":"187-25"},{"id":16,"name":"Locomotive ID","value":"4020"},{"id":130,"name":"Impact","value":""},{"id":150,"name":"Time of Event (Mountain Time)","value":"15:06:55"},{"id":151,"name":"Denver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x14ac:dyDescent="0.25">
      <c r="A100" s="39" t="s">
        <v>475</v>
      </c>
      <c r="B100" s="7">
        <v>4019</v>
      </c>
      <c r="C100" s="24" t="s">
        <v>113</v>
      </c>
      <c r="D100" s="24" t="s">
        <v>441</v>
      </c>
      <c r="E100" s="15">
        <v>42607.637118055558</v>
      </c>
      <c r="F100" s="15">
        <v>42607.643252314818</v>
      </c>
      <c r="G100" s="7">
        <v>1</v>
      </c>
      <c r="H100" s="15" t="s">
        <v>181</v>
      </c>
      <c r="I100" s="15">
        <v>42607.672337962962</v>
      </c>
      <c r="J100" s="7">
        <v>1</v>
      </c>
      <c r="K100" s="132" t="str">
        <f t="shared" si="20"/>
        <v>4019/4020</v>
      </c>
      <c r="L100" s="24" t="str">
        <f>VLOOKUP(A100,'Trips&amp;Operators'!$C$1:$E$10000,3,FALSE)</f>
        <v>ROBINSON</v>
      </c>
      <c r="M100" s="6">
        <f t="shared" si="21"/>
        <v>2.9085648144246079E-2</v>
      </c>
      <c r="N100" s="7">
        <f t="shared" si="22"/>
        <v>41.883333327714354</v>
      </c>
      <c r="O100" s="7"/>
      <c r="P100" s="7"/>
      <c r="Q100" s="25"/>
      <c r="R100" s="25"/>
      <c r="S100" s="37">
        <f t="shared" si="23"/>
        <v>1</v>
      </c>
      <c r="T100" s="52" t="str">
        <f t="shared" si="24"/>
        <v>Southbound</v>
      </c>
      <c r="U100" s="12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14:17:27-0600',mode:absolute,to:'2016-08-25 17:08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00" s="54" t="str">
        <f t="shared" si="26"/>
        <v>N</v>
      </c>
      <c r="X100" s="120">
        <f t="shared" si="27"/>
        <v>1</v>
      </c>
      <c r="Y100" s="69">
        <f t="shared" si="28"/>
        <v>23.2973</v>
      </c>
      <c r="Z100" s="69">
        <f t="shared" si="29"/>
        <v>1.41E-2</v>
      </c>
      <c r="AA100" s="69">
        <f t="shared" si="30"/>
        <v>23.283200000000001</v>
      </c>
      <c r="AB100" s="66" t="e">
        <f>VLOOKUP(A100,Enforcements!$C$7:$J$21,8,0)</f>
        <v>#N/A</v>
      </c>
      <c r="AC100" s="62" t="e">
        <f>VLOOKUP(A100,Enforcements!$C$7:$E$21,3,0)</f>
        <v>#N/A</v>
      </c>
      <c r="AD100" s="63" t="str">
        <f t="shared" si="31"/>
        <v>0188-25</v>
      </c>
      <c r="AE100" s="99" t="str">
        <f t="shared" si="32"/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AF100" s="96" t="str">
        <f t="shared" si="33"/>
        <v>"C:\Program Files (x86)\AstroGrep\AstroGrep.exe" /spath="%USERPROFILE%\AppData\Local\Temp\OnboardLogs" /stypes="*4019*20160825*" /stext=" 22:.+((SYSTEM_STATE.+slice.+state.+changed )|(ment ac)|(system.+state.+changed )|(\|lc)|(penalty)|(\[timeout)|(PRM\|1\|D)|(kpr)|(kdp))" /e /r /s</v>
      </c>
      <c r="AG100" s="1" t="str">
        <f t="shared" si="34"/>
        <v>EC</v>
      </c>
      <c r="AH100" s="100" t="str">
        <f t="shared" si="35"/>
        <v>"%USERPROFILE%\Documents\GitHub\eaglep3\Utilities\RefineRTDCRunTimes.py" --tripid 188-25 --locoid 4019 --swversion DE.1.0.7.0 --startMP 204:232973 --initTime 2016-08-25T15:17:27 --startdatetime 2016-08-25T15:26:17 --delay 1 --endMP 204:141 --enddatetime 2016-08-25T16:08:10 --enforcementcount 1 &gt;&gt;C:\Users\stu\Documents\GitHub\eaglep3-reporting\EC\2016-08-25-refined-times.txt</v>
      </c>
      <c r="AI100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{"issue":{"subject":"","project_id":79,"tracker_id":40,"status_id":1,"priority_id":2,"assigned_to_id":23,"start_date":"2016-08-25","description":"","custom_fields":[{"id":1,"name":"Subdivision","value":"EC"},{"id":4,"name":"Milepost","value":"23.2832"},{"id":17,"name":"Train ID","value":"188-25"},{"id":16,"name":"Locomotive ID","value":"4019"},{"id":130,"name":"Impact","value":""},{"id":150,"name":"Time of Event (Mountain Time)","value":"16:08:10"},{"id":151,"name":"Denver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476</v>
      </c>
      <c r="B101" s="7">
        <v>4007</v>
      </c>
      <c r="C101" s="24" t="s">
        <v>113</v>
      </c>
      <c r="D101" s="24" t="s">
        <v>239</v>
      </c>
      <c r="E101" s="15">
        <v>42607.61105324074</v>
      </c>
      <c r="F101" s="15">
        <v>42607.614745370367</v>
      </c>
      <c r="G101" s="7">
        <v>1</v>
      </c>
      <c r="H101" s="15" t="s">
        <v>477</v>
      </c>
      <c r="I101" s="15">
        <v>42607.640416666669</v>
      </c>
      <c r="J101" s="7">
        <v>1</v>
      </c>
      <c r="K101" s="132" t="str">
        <f t="shared" si="20"/>
        <v>4007/4008</v>
      </c>
      <c r="L101" s="24" t="str">
        <f>VLOOKUP(A101,'Trips&amp;Operators'!$C$1:$E$10000,3,FALSE)</f>
        <v>SHOOK</v>
      </c>
      <c r="M101" s="6">
        <f t="shared" si="21"/>
        <v>2.567129630187992E-2</v>
      </c>
      <c r="N101" s="7">
        <f t="shared" si="22"/>
        <v>36.966666674707085</v>
      </c>
      <c r="O101" s="7"/>
      <c r="P101" s="7"/>
      <c r="Q101" s="25"/>
      <c r="R101" s="25"/>
      <c r="S101" s="37">
        <f t="shared" si="23"/>
        <v>1</v>
      </c>
      <c r="T101" s="52" t="str">
        <f t="shared" si="24"/>
        <v>NorthBound</v>
      </c>
      <c r="U101" s="12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13:39:55-0600',mode:absolute,to:'2016-08-25 16:22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01" s="54" t="str">
        <f t="shared" si="26"/>
        <v>N</v>
      </c>
      <c r="X101" s="120">
        <f t="shared" si="27"/>
        <v>1</v>
      </c>
      <c r="Y101" s="69">
        <f t="shared" si="28"/>
        <v>4.6399999999999997E-2</v>
      </c>
      <c r="Z101" s="69">
        <f t="shared" si="29"/>
        <v>23.3415</v>
      </c>
      <c r="AA101" s="69">
        <f t="shared" si="30"/>
        <v>23.295100000000001</v>
      </c>
      <c r="AB101" s="66" t="e">
        <f>VLOOKUP(A101,Enforcements!$C$7:$J$21,8,0)</f>
        <v>#N/A</v>
      </c>
      <c r="AC101" s="62" t="e">
        <f>VLOOKUP(A101,Enforcements!$C$7:$E$21,3,0)</f>
        <v>#N/A</v>
      </c>
      <c r="AD101" s="63" t="str">
        <f t="shared" si="31"/>
        <v>0189-25</v>
      </c>
      <c r="AE101" s="99" t="str">
        <f t="shared" si="3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101" s="96" t="str">
        <f t="shared" si="33"/>
        <v>"C:\Program Files (x86)\AstroGrep\AstroGrep.exe" /spath="%USERPROFILE%\AppData\Local\Temp\OnboardLogs" /stypes="*4007*20160825*" /stext=" 21:.+((SYSTEM_STATE.+slice.+state.+changed )|(ment ac)|(system.+state.+changed )|(\|lc)|(penalty)|(\[timeout)|(PRM\|1\|D)|(kpr)|(kdp))" /e /r /s</v>
      </c>
      <c r="AG101" s="1" t="str">
        <f t="shared" si="34"/>
        <v>EC</v>
      </c>
      <c r="AH101" s="100" t="str">
        <f t="shared" si="35"/>
        <v>"%USERPROFILE%\Documents\GitHub\eaglep3\Utilities\RefineRTDCRunTimes.py" --tripid 189-25 --locoid 4007 --swversion DE.1.0.7.0 --startMP 204:464 --initTime 2016-08-25T14:39:55 --startdatetime 2016-08-25T14:45:14 --delay 1 --endMP 204:233415 --enddatetime 2016-08-25T15:22:12 --enforcementcount 1 &gt;&gt;C:\Users\stu\Documents\GitHub\eaglep3-reporting\EC\2016-08-25-refined-times.txt</v>
      </c>
      <c r="AI101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{"issue":{"subject":"","project_id":79,"tracker_id":40,"status_id":1,"priority_id":2,"assigned_to_id":23,"start_date":"2016-08-25","description":"","custom_fields":[{"id":1,"name":"Subdivision","value":"EC"},{"id":4,"name":"Milepost","value":"23.2951"},{"id":17,"name":"Train ID","value":"189-25"},{"id":16,"name":"Locomotive ID","value":"4007"},{"id":130,"name":"Impact","value":""},{"id":150,"name":"Time of Event (Mountain Time)","value":"15:22:12"},{"id":151,"name":"Denver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478</v>
      </c>
      <c r="B102" s="7">
        <v>4008</v>
      </c>
      <c r="C102" s="24" t="s">
        <v>113</v>
      </c>
      <c r="D102" s="24" t="s">
        <v>479</v>
      </c>
      <c r="E102" s="15">
        <v>42607.646284722221</v>
      </c>
      <c r="F102" s="15">
        <v>42607.687696759262</v>
      </c>
      <c r="G102" s="7">
        <v>2</v>
      </c>
      <c r="H102" s="15" t="s">
        <v>312</v>
      </c>
      <c r="I102" s="15">
        <v>42607.71607638889</v>
      </c>
      <c r="J102" s="7">
        <v>1</v>
      </c>
      <c r="K102" s="132" t="str">
        <f t="shared" si="20"/>
        <v>4007/4008</v>
      </c>
      <c r="L102" s="24" t="str">
        <f>VLOOKUP(A102,'Trips&amp;Operators'!$C$1:$E$10000,3,FALSE)</f>
        <v>SHOOK</v>
      </c>
      <c r="M102" s="6">
        <f t="shared" si="21"/>
        <v>2.8379629628034309E-2</v>
      </c>
      <c r="N102" s="7">
        <f t="shared" si="22"/>
        <v>40.866666664369404</v>
      </c>
      <c r="O102" s="7"/>
      <c r="P102" s="7"/>
      <c r="Q102" s="25"/>
      <c r="R102" s="25"/>
      <c r="S102" s="37">
        <f t="shared" si="23"/>
        <v>1</v>
      </c>
      <c r="T102" s="52" t="str">
        <f t="shared" si="24"/>
        <v>Southbound</v>
      </c>
      <c r="U102" s="12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14:30:39-0600',mode:absolute,to:'2016-08-25 18:11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02" s="54" t="str">
        <f t="shared" si="26"/>
        <v>N</v>
      </c>
      <c r="X102" s="120">
        <f t="shared" si="27"/>
        <v>1</v>
      </c>
      <c r="Y102" s="69">
        <f t="shared" si="28"/>
        <v>23.305900000000001</v>
      </c>
      <c r="Z102" s="69">
        <f t="shared" si="29"/>
        <v>1.29E-2</v>
      </c>
      <c r="AA102" s="69">
        <f t="shared" si="30"/>
        <v>23.293000000000003</v>
      </c>
      <c r="AB102" s="66" t="e">
        <f>VLOOKUP(A102,Enforcements!$C$7:$J$21,8,0)</f>
        <v>#N/A</v>
      </c>
      <c r="AC102" s="62" t="e">
        <f>VLOOKUP(A102,Enforcements!$C$7:$E$21,3,0)</f>
        <v>#N/A</v>
      </c>
      <c r="AD102" s="63" t="str">
        <f t="shared" si="31"/>
        <v>0190-25</v>
      </c>
      <c r="AE102" s="99" t="str">
        <f t="shared" si="32"/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AF102" s="96" t="str">
        <f t="shared" si="33"/>
        <v>"C:\Program Files (x86)\AstroGrep\AstroGrep.exe" /spath="%USERPROFILE%\AppData\Local\Temp\OnboardLogs" /stypes="*4008*20160825*" /stext=" 23:.+((SYSTEM_STATE.+slice.+state.+changed )|(ment ac)|(system.+state.+changed )|(\|lc)|(penalty)|(\[timeout)|(PRM\|1\|D)|(kpr)|(kdp))" /e /r /s</v>
      </c>
      <c r="AG102" s="1" t="str">
        <f t="shared" si="34"/>
        <v>EC</v>
      </c>
      <c r="AH102" s="100" t="str">
        <f t="shared" si="35"/>
        <v>"%USERPROFILE%\Documents\GitHub\eaglep3\Utilities\RefineRTDCRunTimes.py" --tripid 190-25 --locoid 4008 --swversion DE.1.0.7.0 --startMP 204:233059 --initTime 2016-08-25T15:30:39 --startdatetime 2016-08-25T16:30:17 --delay 2 --endMP 204:129 --enddatetime 2016-08-25T17:11:09 --enforcementcount 1 &gt;&gt;C:\Users\stu\Documents\GitHub\eaglep3-reporting\EC\2016-08-25-refined-times.txt</v>
      </c>
      <c r="AI102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{"issue":{"subject":"","project_id":79,"tracker_id":40,"status_id":1,"priority_id":2,"assigned_to_id":23,"start_date":"2016-08-25","description":"","custom_fields":[{"id":1,"name":"Subdivision","value":"EC"},{"id":4,"name":"Milepost","value":"23.293"},{"id":17,"name":"Train ID","value":"190-25"},{"id":16,"name":"Locomotive ID","value":"4008"},{"id":130,"name":"Impact","value":""},{"id":150,"name":"Time of Event (Mountain Time)","value":"17:11:09"},{"id":151,"name":"Denver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x14ac:dyDescent="0.25">
      <c r="A103" s="39" t="s">
        <v>480</v>
      </c>
      <c r="B103" s="7">
        <v>4042</v>
      </c>
      <c r="C103" s="24" t="s">
        <v>113</v>
      </c>
      <c r="D103" s="24" t="s">
        <v>401</v>
      </c>
      <c r="E103" s="15">
        <v>42607.622997685183</v>
      </c>
      <c r="F103" s="15">
        <v>42607.625694444447</v>
      </c>
      <c r="G103" s="7">
        <v>3</v>
      </c>
      <c r="H103" s="15" t="s">
        <v>211</v>
      </c>
      <c r="I103" s="15">
        <v>42607.651898148149</v>
      </c>
      <c r="J103" s="7">
        <v>1</v>
      </c>
      <c r="K103" s="132" t="str">
        <f t="shared" si="20"/>
        <v>4041/4042</v>
      </c>
      <c r="L103" s="24" t="str">
        <f>VLOOKUP(A103,'Trips&amp;Operators'!$C$1:$E$10000,3,FALSE)</f>
        <v>MOSES</v>
      </c>
      <c r="M103" s="6">
        <f t="shared" si="21"/>
        <v>2.6203703702776693E-2</v>
      </c>
      <c r="N103" s="7">
        <f t="shared" si="22"/>
        <v>37.733333331998438</v>
      </c>
      <c r="O103" s="7"/>
      <c r="P103" s="7"/>
      <c r="Q103" s="25"/>
      <c r="R103" s="25"/>
      <c r="S103" s="37">
        <f t="shared" si="23"/>
        <v>1</v>
      </c>
      <c r="T103" s="52" t="str">
        <f t="shared" si="24"/>
        <v>NorthBound</v>
      </c>
      <c r="U103" s="12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13:57:07-0600',mode:absolute,to:'2016-08-25 16:38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03" s="54" t="str">
        <f t="shared" si="26"/>
        <v>N</v>
      </c>
      <c r="X103" s="120">
        <f t="shared" si="27"/>
        <v>1</v>
      </c>
      <c r="Y103" s="69">
        <f t="shared" si="28"/>
        <v>4.3799999999999999E-2</v>
      </c>
      <c r="Z103" s="69">
        <f t="shared" si="29"/>
        <v>23.330300000000001</v>
      </c>
      <c r="AA103" s="69">
        <f t="shared" si="30"/>
        <v>23.2865</v>
      </c>
      <c r="AB103" s="66" t="e">
        <f>VLOOKUP(A103,Enforcements!$C$7:$J$21,8,0)</f>
        <v>#N/A</v>
      </c>
      <c r="AC103" s="62" t="e">
        <f>VLOOKUP(A103,Enforcements!$C$7:$E$21,3,0)</f>
        <v>#N/A</v>
      </c>
      <c r="AD103" s="63" t="str">
        <f t="shared" si="31"/>
        <v>0191-25</v>
      </c>
      <c r="AE103" s="99" t="str">
        <f t="shared" si="3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103" s="96" t="str">
        <f t="shared" si="33"/>
        <v>"C:\Program Files (x86)\AstroGrep\AstroGrep.exe" /spath="%USERPROFILE%\AppData\Local\Temp\OnboardLogs" /stypes="*4042*20160825*" /stext=" 21:.+((SYSTEM_STATE.+slice.+state.+changed )|(ment ac)|(system.+state.+changed )|(\|lc)|(penalty)|(\[timeout)|(PRM\|1\|D)|(kpr)|(kdp))" /e /r /s</v>
      </c>
      <c r="AG103" s="1" t="str">
        <f t="shared" si="34"/>
        <v>EC</v>
      </c>
      <c r="AH103" s="100" t="str">
        <f t="shared" si="35"/>
        <v>"%USERPROFILE%\Documents\GitHub\eaglep3\Utilities\RefineRTDCRunTimes.py" --tripid 191-25 --locoid 4042 --swversion DE.1.0.7.0 --startMP 204:438 --initTime 2016-08-25T14:57:07 --startdatetime 2016-08-25T15:01:00 --delay 3 --endMP 204:233303 --enddatetime 2016-08-25T15:38:44 --enforcementcount 1 &gt;&gt;C:\Users\stu\Documents\GitHub\eaglep3-reporting\EC\2016-08-25-refined-times.txt</v>
      </c>
      <c r="AI103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{"issue":{"subject":"","project_id":79,"tracker_id":40,"status_id":1,"priority_id":2,"assigned_to_id":23,"start_date":"2016-08-25","description":"","custom_fields":[{"id":1,"name":"Subdivision","value":"EC"},{"id":4,"name":"Milepost","value":"23.2865"},{"id":17,"name":"Train ID","value":"191-25"},{"id":16,"name":"Locomotive ID","value":"4042"},{"id":130,"name":"Impact","value":""},{"id":150,"name":"Time of Event (Mountain Time)","value":"15:38:44"},{"id":151,"name":"Denver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x14ac:dyDescent="0.25">
      <c r="A104" s="39" t="s">
        <v>481</v>
      </c>
      <c r="B104" s="7">
        <v>4041</v>
      </c>
      <c r="C104" s="24" t="s">
        <v>113</v>
      </c>
      <c r="D104" s="24" t="s">
        <v>220</v>
      </c>
      <c r="E104" s="15">
        <v>42607.660682870373</v>
      </c>
      <c r="F104" s="15">
        <v>42607.664085648146</v>
      </c>
      <c r="G104" s="7">
        <v>1</v>
      </c>
      <c r="H104" s="15" t="s">
        <v>317</v>
      </c>
      <c r="I104" s="15">
        <v>42607.693807870368</v>
      </c>
      <c r="J104" s="7">
        <v>1</v>
      </c>
      <c r="K104" s="132" t="str">
        <f t="shared" si="20"/>
        <v>4041/4042</v>
      </c>
      <c r="L104" s="24" t="str">
        <f>VLOOKUP(A104,'Trips&amp;Operators'!$C$1:$E$10000,3,FALSE)</f>
        <v>MOSES</v>
      </c>
      <c r="M104" s="6">
        <f t="shared" si="21"/>
        <v>2.9722222221607808E-2</v>
      </c>
      <c r="N104" s="7">
        <f t="shared" si="22"/>
        <v>42.799999999115244</v>
      </c>
      <c r="O104" s="7"/>
      <c r="P104" s="7"/>
      <c r="Q104" s="25"/>
      <c r="R104" s="25"/>
      <c r="S104" s="37">
        <f t="shared" si="23"/>
        <v>1</v>
      </c>
      <c r="T104" s="52" t="str">
        <f t="shared" si="24"/>
        <v>Southbound</v>
      </c>
      <c r="U104" s="12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14:51:23-0600',mode:absolute,to:'2016-08-25 17:39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04" s="54" t="str">
        <f t="shared" si="26"/>
        <v>N</v>
      </c>
      <c r="X104" s="120">
        <f t="shared" si="27"/>
        <v>1</v>
      </c>
      <c r="Y104" s="69">
        <f t="shared" si="28"/>
        <v>23.3</v>
      </c>
      <c r="Z104" s="69">
        <f t="shared" si="29"/>
        <v>1.2999999999999999E-2</v>
      </c>
      <c r="AA104" s="69">
        <f t="shared" si="30"/>
        <v>23.286999999999999</v>
      </c>
      <c r="AB104" s="66" t="e">
        <f>VLOOKUP(A104,Enforcements!$C$7:$J$21,8,0)</f>
        <v>#N/A</v>
      </c>
      <c r="AC104" s="62" t="e">
        <f>VLOOKUP(A104,Enforcements!$C$7:$E$21,3,0)</f>
        <v>#N/A</v>
      </c>
      <c r="AD104" s="63" t="str">
        <f t="shared" si="31"/>
        <v>0192-25</v>
      </c>
      <c r="AE104" s="99" t="str">
        <f t="shared" si="3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104" s="96" t="str">
        <f t="shared" si="33"/>
        <v>"C:\Program Files (x86)\AstroGrep\AstroGrep.exe" /spath="%USERPROFILE%\AppData\Local\Temp\OnboardLogs" /stypes="*4041*20160825*" /stext=" 22:.+((SYSTEM_STATE.+slice.+state.+changed )|(ment ac)|(system.+state.+changed )|(\|lc)|(penalty)|(\[timeout)|(PRM\|1\|D)|(kpr)|(kdp))" /e /r /s</v>
      </c>
      <c r="AG104" s="1" t="str">
        <f t="shared" si="34"/>
        <v>EC</v>
      </c>
      <c r="AH104" s="100" t="str">
        <f t="shared" si="35"/>
        <v>"%USERPROFILE%\Documents\GitHub\eaglep3\Utilities\RefineRTDCRunTimes.py" --tripid 192-25 --locoid 4041 --swversion DE.1.0.7.0 --startMP 204:233000 --initTime 2016-08-25T15:51:23 --startdatetime 2016-08-25T15:56:17 --delay 1 --endMP 204:130 --enddatetime 2016-08-25T16:39:05 --enforcementcount 1 &gt;&gt;C:\Users\stu\Documents\GitHub\eaglep3-reporting\EC\2016-08-25-refined-times.txt</v>
      </c>
      <c r="AI104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{"issue":{"subject":"","project_id":79,"tracker_id":40,"status_id":1,"priority_id":2,"assigned_to_id":23,"start_date":"2016-08-25","description":"","custom_fields":[{"id":1,"name":"Subdivision","value":"EC"},{"id":4,"name":"Milepost","value":"23.287"},{"id":17,"name":"Train ID","value":"192-25"},{"id":16,"name":"Locomotive ID","value":"4041"},{"id":130,"name":"Impact","value":""},{"id":150,"name":"Time of Event (Mountain Time)","value":"16:39:05"},{"id":151,"name":"Denver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x14ac:dyDescent="0.25">
      <c r="A105" s="39" t="s">
        <v>482</v>
      </c>
      <c r="B105" s="7">
        <v>4009</v>
      </c>
      <c r="C105" s="24" t="s">
        <v>113</v>
      </c>
      <c r="D105" s="24" t="s">
        <v>333</v>
      </c>
      <c r="E105" s="15">
        <v>42607.631018518521</v>
      </c>
      <c r="F105" s="15">
        <v>42607.635787037034</v>
      </c>
      <c r="G105" s="7">
        <v>1</v>
      </c>
      <c r="H105" s="15" t="s">
        <v>408</v>
      </c>
      <c r="I105" s="15">
        <v>42607.661111111112</v>
      </c>
      <c r="J105" s="7">
        <v>1</v>
      </c>
      <c r="K105" s="132" t="str">
        <f t="shared" si="20"/>
        <v>4009/4010</v>
      </c>
      <c r="L105" s="24" t="str">
        <f>VLOOKUP(A105,'Trips&amp;Operators'!$C$1:$E$10000,3,FALSE)</f>
        <v>CRAYTON</v>
      </c>
      <c r="M105" s="6">
        <f t="shared" si="21"/>
        <v>2.5324074078525882E-2</v>
      </c>
      <c r="N105" s="7">
        <f t="shared" si="22"/>
        <v>36.46666667307727</v>
      </c>
      <c r="O105" s="7"/>
      <c r="P105" s="7"/>
      <c r="Q105" s="25"/>
      <c r="R105" s="25"/>
      <c r="S105" s="37">
        <f t="shared" si="23"/>
        <v>1</v>
      </c>
      <c r="T105" s="52" t="str">
        <f t="shared" si="24"/>
        <v>NorthBound</v>
      </c>
      <c r="U105" s="12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14:08:40-0600',mode:absolute,to:'2016-08-25 16:52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05" s="54" t="str">
        <f t="shared" si="26"/>
        <v>N</v>
      </c>
      <c r="X105" s="120">
        <f t="shared" si="27"/>
        <v>1</v>
      </c>
      <c r="Y105" s="69">
        <f t="shared" si="28"/>
        <v>4.3999999999999997E-2</v>
      </c>
      <c r="Z105" s="69">
        <f t="shared" si="29"/>
        <v>23.332100000000001</v>
      </c>
      <c r="AA105" s="69">
        <f t="shared" si="30"/>
        <v>23.2881</v>
      </c>
      <c r="AB105" s="66" t="e">
        <f>VLOOKUP(A105,Enforcements!$C$7:$J$21,8,0)</f>
        <v>#N/A</v>
      </c>
      <c r="AC105" s="62" t="e">
        <f>VLOOKUP(A105,Enforcements!$C$7:$E$21,3,0)</f>
        <v>#N/A</v>
      </c>
      <c r="AD105" s="63" t="str">
        <f t="shared" si="31"/>
        <v>0193-25</v>
      </c>
      <c r="AE105" s="99" t="str">
        <f t="shared" si="32"/>
        <v>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 &amp; 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</v>
      </c>
      <c r="AF105" s="96" t="str">
        <f t="shared" si="33"/>
        <v>"C:\Program Files (x86)\AstroGrep\AstroGrep.exe" /spath="%USERPROFILE%\AppData\Local\Temp\OnboardLogs" /stypes="*4009*20160825*" /stext=" 21:.+((SYSTEM_STATE.+slice.+state.+changed )|(ment ac)|(system.+state.+changed )|(\|lc)|(penalty)|(\[timeout)|(PRM\|1\|D)|(kpr)|(kdp))" /e /r /s</v>
      </c>
      <c r="AG105" s="1" t="str">
        <f t="shared" si="34"/>
        <v>EC</v>
      </c>
      <c r="AH105" s="100" t="str">
        <f t="shared" si="35"/>
        <v>"%USERPROFILE%\Documents\GitHub\eaglep3\Utilities\RefineRTDCRunTimes.py" --tripid 193-25 --locoid 4009 --swversion DE.1.0.7.0 --startMP 204:440 --initTime 2016-08-25T15:08:40 --startdatetime 2016-08-25T15:15:32 --delay 1 --endMP 204:233321 --enddatetime 2016-08-25T15:52:00 --enforcementcount 1 &gt;&gt;C:\Users\stu\Documents\GitHub\eaglep3-reporting\EC\2016-08-25-refined-times.txt</v>
      </c>
      <c r="AI105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{"issue":{"subject":"","project_id":79,"tracker_id":40,"status_id":1,"priority_id":2,"assigned_to_id":23,"start_date":"2016-08-25","description":"","custom_fields":[{"id":1,"name":"Subdivision","value":"EC"},{"id":4,"name":"Milepost","value":"23.2881"},{"id":17,"name":"Train ID","value":"193-25"},{"id":16,"name":"Locomotive ID","value":"4009"},{"id":130,"name":"Impact","value":""},{"id":150,"name":"Time of Event (Mountain Time)","value":"15:52:00"},{"id":151,"name":"Denver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483</v>
      </c>
      <c r="B106" s="7">
        <v>4010</v>
      </c>
      <c r="C106" s="24" t="s">
        <v>113</v>
      </c>
      <c r="D106" s="24" t="s">
        <v>462</v>
      </c>
      <c r="E106" s="15">
        <v>42607.662997685184</v>
      </c>
      <c r="F106" s="15">
        <v>42607.674525462964</v>
      </c>
      <c r="G106" s="7">
        <v>1</v>
      </c>
      <c r="H106" s="15" t="s">
        <v>331</v>
      </c>
      <c r="I106" s="15">
        <v>42607.702974537038</v>
      </c>
      <c r="J106" s="7">
        <v>1</v>
      </c>
      <c r="K106" s="132" t="str">
        <f t="shared" si="20"/>
        <v>4009/4010</v>
      </c>
      <c r="L106" s="24" t="str">
        <f>VLOOKUP(A106,'Trips&amp;Operators'!$C$1:$E$10000,3,FALSE)</f>
        <v>CRAYTON</v>
      </c>
      <c r="M106" s="6">
        <f t="shared" si="21"/>
        <v>2.8449074074160308E-2</v>
      </c>
      <c r="N106" s="7">
        <f t="shared" si="22"/>
        <v>40.966666666790843</v>
      </c>
      <c r="O106" s="7"/>
      <c r="P106" s="7"/>
      <c r="Q106" s="25"/>
      <c r="R106" s="25"/>
      <c r="S106" s="37">
        <f t="shared" si="23"/>
        <v>1</v>
      </c>
      <c r="T106" s="52" t="str">
        <f t="shared" si="24"/>
        <v>Southbound</v>
      </c>
      <c r="U106" s="12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14:54:43-0600',mode:absolute,to:'2016-08-25 17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06" s="54" t="str">
        <f t="shared" si="26"/>
        <v>N</v>
      </c>
      <c r="X106" s="120">
        <f t="shared" si="27"/>
        <v>1</v>
      </c>
      <c r="Y106" s="69">
        <f t="shared" si="28"/>
        <v>23.301300000000001</v>
      </c>
      <c r="Z106" s="69">
        <f t="shared" si="29"/>
        <v>1.7000000000000001E-2</v>
      </c>
      <c r="AA106" s="69">
        <f t="shared" si="30"/>
        <v>23.284300000000002</v>
      </c>
      <c r="AB106" s="66" t="e">
        <f>VLOOKUP(A106,Enforcements!$C$7:$J$21,8,0)</f>
        <v>#N/A</v>
      </c>
      <c r="AC106" s="62" t="e">
        <f>VLOOKUP(A106,Enforcements!$C$7:$E$21,3,0)</f>
        <v>#N/A</v>
      </c>
      <c r="AD106" s="63" t="str">
        <f t="shared" si="31"/>
        <v>0194-25</v>
      </c>
      <c r="AE106" s="99" t="str">
        <f t="shared" si="32"/>
        <v>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 &amp; 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</v>
      </c>
      <c r="AF106" s="96" t="str">
        <f t="shared" si="33"/>
        <v>"C:\Program Files (x86)\AstroGrep\AstroGrep.exe" /spath="%USERPROFILE%\AppData\Local\Temp\OnboardLogs" /stypes="*4010*20160825*" /stext=" 22:.+((SYSTEM_STATE.+slice.+state.+changed )|(ment ac)|(system.+state.+changed )|(\|lc)|(penalty)|(\[timeout)|(PRM\|1\|D)|(kpr)|(kdp))" /e /r /s</v>
      </c>
      <c r="AG106" s="1" t="str">
        <f t="shared" si="34"/>
        <v>EC</v>
      </c>
      <c r="AH106" s="100" t="str">
        <f t="shared" si="35"/>
        <v>"%USERPROFILE%\Documents\GitHub\eaglep3\Utilities\RefineRTDCRunTimes.py" --tripid 194-25 --locoid 4010 --swversion DE.1.0.7.0 --startMP 204:233013 --initTime 2016-08-25T15:54:43 --startdatetime 2016-08-25T16:11:19 --delay 1 --endMP 204:170 --enddatetime 2016-08-25T16:52:17 --enforcementcount 1 &gt;&gt;C:\Users\stu\Documents\GitHub\eaglep3-reporting\EC\2016-08-25-refined-times.txt</v>
      </c>
      <c r="AI106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{"issue":{"subject":"","project_id":79,"tracker_id":40,"status_id":1,"priority_id":2,"assigned_to_id":23,"start_date":"2016-08-25","description":"","custom_fields":[{"id":1,"name":"Subdivision","value":"EC"},{"id":4,"name":"Milepost","value":"23.2843"},{"id":17,"name":"Train ID","value":"194-25"},{"id":16,"name":"Locomotive ID","value":"4010"},{"id":130,"name":"Impact","value":""},{"id":150,"name":"Time of Event (Mountain Time)","value":"16:52:17"},{"id":151,"name":"Denver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x14ac:dyDescent="0.25">
      <c r="A107" s="39" t="s">
        <v>484</v>
      </c>
      <c r="B107" s="7">
        <v>4031</v>
      </c>
      <c r="C107" s="24" t="s">
        <v>113</v>
      </c>
      <c r="D107" s="24" t="s">
        <v>342</v>
      </c>
      <c r="E107" s="15">
        <v>42607.644212962965</v>
      </c>
      <c r="F107" s="15">
        <v>42607.646331018521</v>
      </c>
      <c r="G107" s="7">
        <v>1</v>
      </c>
      <c r="H107" s="15" t="s">
        <v>485</v>
      </c>
      <c r="I107" s="15">
        <v>42607.673090277778</v>
      </c>
      <c r="J107" s="7">
        <v>1</v>
      </c>
      <c r="K107" s="132" t="str">
        <f t="shared" si="20"/>
        <v>4031/4032</v>
      </c>
      <c r="L107" s="24" t="str">
        <f>VLOOKUP(A107,'Trips&amp;Operators'!$C$1:$E$10000,3,FALSE)</f>
        <v>YOUNG</v>
      </c>
      <c r="M107" s="6">
        <f t="shared" si="21"/>
        <v>2.675925925723277E-2</v>
      </c>
      <c r="N107" s="7">
        <f t="shared" si="22"/>
        <v>38.533333330415189</v>
      </c>
      <c r="O107" s="7"/>
      <c r="P107" s="7"/>
      <c r="Q107" s="25"/>
      <c r="R107" s="25"/>
      <c r="S107" s="37">
        <f t="shared" si="23"/>
        <v>1</v>
      </c>
      <c r="T107" s="52" t="str">
        <f t="shared" si="24"/>
        <v>NorthBound</v>
      </c>
      <c r="U107" s="12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14:27:40-0600',mode:absolute,to:'2016-08-25 17:09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07" s="54" t="str">
        <f t="shared" si="26"/>
        <v>N</v>
      </c>
      <c r="X107" s="120">
        <f t="shared" si="27"/>
        <v>1</v>
      </c>
      <c r="Y107" s="69">
        <f t="shared" si="28"/>
        <v>6.2199999999999998E-2</v>
      </c>
      <c r="Z107" s="69">
        <f t="shared" si="29"/>
        <v>23.3337</v>
      </c>
      <c r="AA107" s="69">
        <f t="shared" si="30"/>
        <v>23.2715</v>
      </c>
      <c r="AB107" s="66" t="e">
        <f>VLOOKUP(A107,Enforcements!$C$7:$J$21,8,0)</f>
        <v>#N/A</v>
      </c>
      <c r="AC107" s="62" t="e">
        <f>VLOOKUP(A107,Enforcements!$C$7:$E$21,3,0)</f>
        <v>#N/A</v>
      </c>
      <c r="AD107" s="63" t="str">
        <f t="shared" si="31"/>
        <v>0195-25</v>
      </c>
      <c r="AE107" s="99" t="str">
        <f t="shared" si="32"/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107" s="96" t="str">
        <f t="shared" si="33"/>
        <v>"C:\Program Files (x86)\AstroGrep\AstroGrep.exe" /spath="%USERPROFILE%\AppData\Local\Temp\OnboardLogs" /stypes="*4031*20160825*" /stext=" 22:.+((SYSTEM_STATE.+slice.+state.+changed )|(ment ac)|(system.+state.+changed )|(\|lc)|(penalty)|(\[timeout)|(PRM\|1\|D)|(kpr)|(kdp))" /e /r /s</v>
      </c>
      <c r="AG107" s="1" t="str">
        <f t="shared" si="34"/>
        <v>EC</v>
      </c>
      <c r="AH107" s="100" t="str">
        <f t="shared" si="35"/>
        <v>"%USERPROFILE%\Documents\GitHub\eaglep3\Utilities\RefineRTDCRunTimes.py" --tripid 195-25 --locoid 4031 --swversion DE.1.0.7.0 --startMP 204:622 --initTime 2016-08-25T15:27:40 --startdatetime 2016-08-25T15:30:43 --delay 1 --endMP 204:233337 --enddatetime 2016-08-25T16:09:15 --enforcementcount 1 &gt;&gt;C:\Users\stu\Documents\GitHub\eaglep3-reporting\EC\2016-08-25-refined-times.txt</v>
      </c>
      <c r="AI107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{"issue":{"subject":"","project_id":79,"tracker_id":40,"status_id":1,"priority_id":2,"assigned_to_id":23,"start_date":"2016-08-25","description":"","custom_fields":[{"id":1,"name":"Subdivision","value":"EC"},{"id":4,"name":"Milepost","value":"23.2715"},{"id":17,"name":"Train ID","value":"195-25"},{"id":16,"name":"Locomotive ID","value":"4031"},{"id":130,"name":"Impact","value":""},{"id":150,"name":"Time of Event (Mountain Time)","value":"16:09:15"},{"id":151,"name":"Denver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486</v>
      </c>
      <c r="B108" s="7">
        <v>4032</v>
      </c>
      <c r="C108" s="24" t="s">
        <v>113</v>
      </c>
      <c r="D108" s="24" t="s">
        <v>487</v>
      </c>
      <c r="E108" s="15">
        <v>42607.679884259262</v>
      </c>
      <c r="F108" s="15">
        <v>42607.684999999998</v>
      </c>
      <c r="G108" s="7">
        <v>6</v>
      </c>
      <c r="H108" s="15" t="s">
        <v>222</v>
      </c>
      <c r="I108" s="15">
        <v>42607.72079861111</v>
      </c>
      <c r="J108" s="7">
        <v>1</v>
      </c>
      <c r="K108" s="132" t="str">
        <f t="shared" si="20"/>
        <v>4031/4032</v>
      </c>
      <c r="L108" s="24" t="str">
        <f>VLOOKUP(A108,'Trips&amp;Operators'!$C$1:$E$10000,3,FALSE)</f>
        <v>YOUNG</v>
      </c>
      <c r="M108" s="6">
        <f t="shared" si="21"/>
        <v>3.5798611112113576E-2</v>
      </c>
      <c r="N108" s="7">
        <f t="shared" si="22"/>
        <v>51.55000000144355</v>
      </c>
      <c r="O108" s="7"/>
      <c r="P108" s="7"/>
      <c r="Q108" s="25"/>
      <c r="R108" s="25"/>
      <c r="S108" s="37">
        <f t="shared" si="23"/>
        <v>1</v>
      </c>
      <c r="T108" s="52" t="str">
        <f t="shared" si="24"/>
        <v>Southbound</v>
      </c>
      <c r="U108" s="12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15:19:02-0600',mode:absolute,to:'2016-08-25 18:17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08" s="54" t="str">
        <f t="shared" si="26"/>
        <v>N</v>
      </c>
      <c r="X108" s="120">
        <f t="shared" si="27"/>
        <v>1</v>
      </c>
      <c r="Y108" s="69">
        <f t="shared" si="28"/>
        <v>23.300899999999999</v>
      </c>
      <c r="Z108" s="69">
        <f t="shared" si="29"/>
        <v>1.6299999999999999E-2</v>
      </c>
      <c r="AA108" s="69">
        <f t="shared" si="30"/>
        <v>23.284599999999998</v>
      </c>
      <c r="AB108" s="66" t="e">
        <f>VLOOKUP(A108,Enforcements!$C$7:$J$21,8,0)</f>
        <v>#N/A</v>
      </c>
      <c r="AC108" s="62" t="e">
        <f>VLOOKUP(A108,Enforcements!$C$7:$E$21,3,0)</f>
        <v>#N/A</v>
      </c>
      <c r="AD108" s="63" t="str">
        <f t="shared" si="31"/>
        <v>0196-25</v>
      </c>
      <c r="AE108" s="99" t="str">
        <f t="shared" si="3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108" s="96" t="str">
        <f t="shared" si="33"/>
        <v>"C:\Program Files (x86)\AstroGrep\AstroGrep.exe" /spath="%USERPROFILE%\AppData\Local\Temp\OnboardLogs" /stypes="*4032*20160825*" /stext=" 23:.+((SYSTEM_STATE.+slice.+state.+changed )|(ment ac)|(system.+state.+changed )|(\|lc)|(penalty)|(\[timeout)|(PRM\|1\|D)|(kpr)|(kdp))" /e /r /s</v>
      </c>
      <c r="AG108" s="1" t="str">
        <f t="shared" si="34"/>
        <v>EC</v>
      </c>
      <c r="AH108" s="100" t="str">
        <f t="shared" si="35"/>
        <v>"%USERPROFILE%\Documents\GitHub\eaglep3\Utilities\RefineRTDCRunTimes.py" --tripid 196-25 --locoid 4032 --swversion DE.1.0.7.0 --startMP 204:233009 --initTime 2016-08-25T16:19:02 --startdatetime 2016-08-25T16:26:24 --delay 6 --endMP 204:163 --enddatetime 2016-08-25T17:17:57 --enforcementcount 1 &gt;&gt;C:\Users\stu\Documents\GitHub\eaglep3-reporting\EC\2016-08-25-refined-times.txt</v>
      </c>
      <c r="AI108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{"issue":{"subject":"","project_id":79,"tracker_id":40,"status_id":1,"priority_id":2,"assigned_to_id":23,"start_date":"2016-08-25","description":"","custom_fields":[{"id":1,"name":"Subdivision","value":"EC"},{"id":4,"name":"Milepost","value":"23.2846"},{"id":17,"name":"Train ID","value":"196-25"},{"id":16,"name":"Locomotive ID","value":"4032"},{"id":130,"name":"Impact","value":""},{"id":150,"name":"Time of Event (Mountain Time)","value":"17:17:57"},{"id":151,"name":"Denver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x14ac:dyDescent="0.25">
      <c r="A109" s="39" t="s">
        <v>488</v>
      </c>
      <c r="B109" s="7">
        <v>4011</v>
      </c>
      <c r="C109" s="24" t="s">
        <v>113</v>
      </c>
      <c r="D109" s="24" t="s">
        <v>240</v>
      </c>
      <c r="E109" s="15">
        <v>42607.650092592594</v>
      </c>
      <c r="F109" s="15">
        <v>42607.656655092593</v>
      </c>
      <c r="G109" s="7">
        <v>1</v>
      </c>
      <c r="H109" s="15" t="s">
        <v>489</v>
      </c>
      <c r="I109" s="15">
        <v>42607.682685185187</v>
      </c>
      <c r="J109" s="7">
        <v>1</v>
      </c>
      <c r="K109" s="132" t="str">
        <f t="shared" si="20"/>
        <v>4011/4012</v>
      </c>
      <c r="L109" s="24" t="str">
        <f>VLOOKUP(A109,'Trips&amp;Operators'!$C$1:$E$10000,3,FALSE)</f>
        <v>STAMBAUGH</v>
      </c>
      <c r="M109" s="6">
        <f t="shared" si="21"/>
        <v>2.6030092594737653E-2</v>
      </c>
      <c r="N109" s="7">
        <f t="shared" ref="N109:N135" si="37">24*60*SUM($M109:$M109)</f>
        <v>37.48333333642222</v>
      </c>
      <c r="O109" s="7"/>
      <c r="P109" s="7"/>
      <c r="Q109" s="25"/>
      <c r="R109" s="25"/>
      <c r="S109" s="37">
        <f t="shared" si="23"/>
        <v>1</v>
      </c>
      <c r="T109" s="52" t="str">
        <f t="shared" si="24"/>
        <v>NorthBound</v>
      </c>
      <c r="U109" s="12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14:36:08-0600',mode:absolute,to:'2016-08-25 17:23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09" s="54" t="str">
        <f t="shared" si="26"/>
        <v>N</v>
      </c>
      <c r="X109" s="120">
        <f t="shared" ref="X109:X134" si="38">VALUE(LEFT(AD109,4))-VALUE(LEFT(AD108,4))</f>
        <v>1</v>
      </c>
      <c r="Y109" s="69">
        <f t="shared" si="28"/>
        <v>4.3299999999999998E-2</v>
      </c>
      <c r="Z109" s="69">
        <f t="shared" si="29"/>
        <v>23.333600000000001</v>
      </c>
      <c r="AA109" s="69">
        <f t="shared" si="30"/>
        <v>23.290300000000002</v>
      </c>
      <c r="AB109" s="66" t="e">
        <f>VLOOKUP(A109,Enforcements!$C$7:$J$21,8,0)</f>
        <v>#N/A</v>
      </c>
      <c r="AC109" s="62" t="e">
        <f>VLOOKUP(A109,Enforcements!$C$7:$E$21,3,0)</f>
        <v>#N/A</v>
      </c>
      <c r="AD109" s="63" t="str">
        <f t="shared" si="31"/>
        <v>0197-25</v>
      </c>
      <c r="AE109" s="99" t="str">
        <f t="shared" si="32"/>
        <v>aws s3 cp s3://rtdc.mdm.uploadarchive/RTDC4011/2016-08-25/ "%USERPROFILE%\AppData\Local\Temp\OnboardLogs"\RTDC4011\2016-08-25 --recursive &amp; "%USERPROFILE%\Documents\GitHub\mrs-test-scripts\Headless Mode &amp; Sideloading\WalkAndUnGZ.bat" "%USERPROFILE%\AppData\Local\Temp\OnboardLogs"\RTDC4011\2016-08-25 &amp; 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</v>
      </c>
      <c r="AF109" s="96" t="str">
        <f t="shared" si="33"/>
        <v>"C:\Program Files (x86)\AstroGrep\AstroGrep.exe" /spath="%USERPROFILE%\AppData\Local\Temp\OnboardLogs" /stypes="*4011*20160825*" /stext=" 22:.+((SYSTEM_STATE.+slice.+state.+changed )|(ment ac)|(system.+state.+changed )|(\|lc)|(penalty)|(\[timeout)|(PRM\|1\|D)|(kpr)|(kdp))" /e /r /s</v>
      </c>
      <c r="AG109" s="1" t="str">
        <f t="shared" si="34"/>
        <v>EC</v>
      </c>
      <c r="AH109" s="100" t="str">
        <f t="shared" si="35"/>
        <v>"%USERPROFILE%\Documents\GitHub\eaglep3\Utilities\RefineRTDCRunTimes.py" --tripid 197-25 --locoid 4011 --swversion DE.1.0.7.0 --startMP 204:433 --initTime 2016-08-25T15:36:08 --startdatetime 2016-08-25T15:45:35 --delay 1 --endMP 204:233336 --enddatetime 2016-08-25T16:23:04 --enforcementcount 1 &gt;&gt;C:\Users\stu\Documents\GitHub\eaglep3-reporting\EC\2016-08-25-refined-times.txt</v>
      </c>
      <c r="AI109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{"issue":{"subject":"","project_id":79,"tracker_id":40,"status_id":1,"priority_id":2,"assigned_to_id":23,"start_date":"2016-08-25","description":"","custom_fields":[{"id":1,"name":"Subdivision","value":"EC"},{"id":4,"name":"Milepost","value":"23.2903"},{"id":17,"name":"Train ID","value":"197-25"},{"id":16,"name":"Locomotive ID","value":"4011"},{"id":130,"name":"Impact","value":""},{"id":150,"name":"Time of Event (Mountain Time)","value":"16:23:04"},{"id":151,"name":"Denver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490</v>
      </c>
      <c r="B110" s="7">
        <v>4012</v>
      </c>
      <c r="C110" s="24" t="s">
        <v>113</v>
      </c>
      <c r="D110" s="24" t="s">
        <v>491</v>
      </c>
      <c r="E110" s="15">
        <v>42607.692083333335</v>
      </c>
      <c r="F110" s="15">
        <v>42607.6955787037</v>
      </c>
      <c r="G110" s="7">
        <v>1</v>
      </c>
      <c r="H110" s="15" t="s">
        <v>212</v>
      </c>
      <c r="I110" s="15">
        <v>42607.723182870373</v>
      </c>
      <c r="J110" s="7">
        <v>1</v>
      </c>
      <c r="K110" s="132" t="str">
        <f t="shared" si="20"/>
        <v>4011/4012</v>
      </c>
      <c r="L110" s="24" t="str">
        <f>VLOOKUP(A110,'Trips&amp;Operators'!$C$1:$E$10000,3,FALSE)</f>
        <v>STAMBAUGH</v>
      </c>
      <c r="M110" s="6">
        <f t="shared" si="21"/>
        <v>2.7604166672972497E-2</v>
      </c>
      <c r="N110" s="7">
        <f t="shared" si="37"/>
        <v>39.750000009080395</v>
      </c>
      <c r="O110" s="7"/>
      <c r="P110" s="7"/>
      <c r="Q110" s="25"/>
      <c r="R110" s="25"/>
      <c r="S110" s="37">
        <f t="shared" si="23"/>
        <v>1</v>
      </c>
      <c r="T110" s="52" t="str">
        <f t="shared" si="24"/>
        <v>Southbound</v>
      </c>
      <c r="U110" s="12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15:36:36-0600',mode:absolute,to:'2016-08-25 18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10" s="54" t="str">
        <f t="shared" si="26"/>
        <v>N</v>
      </c>
      <c r="X110" s="120">
        <f t="shared" si="38"/>
        <v>1</v>
      </c>
      <c r="Y110" s="69">
        <f t="shared" si="28"/>
        <v>23.301500000000001</v>
      </c>
      <c r="Z110" s="69">
        <f t="shared" si="29"/>
        <v>1.3599999999999999E-2</v>
      </c>
      <c r="AA110" s="69">
        <f t="shared" si="30"/>
        <v>23.2879</v>
      </c>
      <c r="AB110" s="66" t="e">
        <f>VLOOKUP(A110,Enforcements!$C$7:$J$21,8,0)</f>
        <v>#N/A</v>
      </c>
      <c r="AC110" s="62" t="e">
        <f>VLOOKUP(A110,Enforcements!$C$7:$E$21,3,0)</f>
        <v>#N/A</v>
      </c>
      <c r="AD110" s="63" t="str">
        <f t="shared" si="31"/>
        <v>0198-25</v>
      </c>
      <c r="AE110" s="99" t="str">
        <f t="shared" si="32"/>
        <v>aws s3 cp s3://rtdc.mdm.uploadarchive/RTDC4012/2016-08-25/ "%USERPROFILE%\AppData\Local\Temp\OnboardLogs"\RTDC4012\2016-08-25 --recursive &amp; "%USERPROFILE%\Documents\GitHub\mrs-test-scripts\Headless Mode &amp; Sideloading\WalkAndUnGZ.bat" "%USERPROFILE%\AppData\Local\Temp\OnboardLogs"\RTDC4012\2016-08-25 &amp; 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</v>
      </c>
      <c r="AF110" s="96" t="str">
        <f t="shared" si="33"/>
        <v>"C:\Program Files (x86)\AstroGrep\AstroGrep.exe" /spath="%USERPROFILE%\AppData\Local\Temp\OnboardLogs" /stypes="*4012*20160825*" /stext=" 23:.+((SYSTEM_STATE.+slice.+state.+changed )|(ment ac)|(system.+state.+changed )|(\|lc)|(penalty)|(\[timeout)|(PRM\|1\|D)|(kpr)|(kdp))" /e /r /s</v>
      </c>
      <c r="AG110" s="1" t="str">
        <f t="shared" si="34"/>
        <v>EC</v>
      </c>
      <c r="AH110" s="100" t="str">
        <f t="shared" si="35"/>
        <v>"%USERPROFILE%\Documents\GitHub\eaglep3\Utilities\RefineRTDCRunTimes.py" --tripid 198-25 --locoid 4012 --swversion DE.1.0.7.0 --startMP 204:233015 --initTime 2016-08-25T16:36:36 --startdatetime 2016-08-25T16:41:38 --delay 1 --endMP 204:136 --enddatetime 2016-08-25T17:21:23 --enforcementcount 1 &gt;&gt;C:\Users\stu\Documents\GitHub\eaglep3-reporting\EC\2016-08-25-refined-times.txt</v>
      </c>
      <c r="AI110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{"issue":{"subject":"","project_id":79,"tracker_id":40,"status_id":1,"priority_id":2,"assigned_to_id":23,"start_date":"2016-08-25","description":"","custom_fields":[{"id":1,"name":"Subdivision","value":"EC"},{"id":4,"name":"Milepost","value":"23.2879"},{"id":17,"name":"Train ID","value":"198-25"},{"id":16,"name":"Locomotive ID","value":"4012"},{"id":130,"name":"Impact","value":""},{"id":150,"name":"Time of Event (Mountain Time)","value":"17:21:23"},{"id":151,"name":"Denver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492</v>
      </c>
      <c r="B111" s="7">
        <v>4044</v>
      </c>
      <c r="C111" s="24" t="s">
        <v>113</v>
      </c>
      <c r="D111" s="24" t="s">
        <v>135</v>
      </c>
      <c r="E111" s="15">
        <v>42607.662465277775</v>
      </c>
      <c r="F111" s="15">
        <v>42607.667013888888</v>
      </c>
      <c r="G111" s="7">
        <v>1</v>
      </c>
      <c r="H111" s="15" t="s">
        <v>184</v>
      </c>
      <c r="I111" s="15">
        <v>42607.693043981482</v>
      </c>
      <c r="J111" s="7">
        <v>1</v>
      </c>
      <c r="K111" s="132" t="str">
        <f t="shared" si="20"/>
        <v>4043/4044</v>
      </c>
      <c r="L111" s="24" t="str">
        <f>VLOOKUP(A111,'Trips&amp;Operators'!$C$1:$E$10000,3,FALSE)</f>
        <v>WEBSTER</v>
      </c>
      <c r="M111" s="6">
        <f t="shared" si="21"/>
        <v>2.6030092594737653E-2</v>
      </c>
      <c r="N111" s="7">
        <f t="shared" si="37"/>
        <v>37.48333333642222</v>
      </c>
      <c r="O111" s="7"/>
      <c r="P111" s="7"/>
      <c r="Q111" s="25"/>
      <c r="R111" s="25"/>
      <c r="S111" s="37">
        <f t="shared" si="23"/>
        <v>1</v>
      </c>
      <c r="T111" s="52" t="str">
        <f t="shared" si="24"/>
        <v>NorthBound</v>
      </c>
      <c r="U111" s="12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14:53:57-0600',mode:absolute,to:'2016-08-25 17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11" s="54" t="str">
        <f t="shared" si="26"/>
        <v>N</v>
      </c>
      <c r="X111" s="120">
        <f t="shared" si="38"/>
        <v>1</v>
      </c>
      <c r="Y111" s="69">
        <f t="shared" si="28"/>
        <v>4.4900000000000002E-2</v>
      </c>
      <c r="Z111" s="69">
        <f t="shared" si="29"/>
        <v>23.331399999999999</v>
      </c>
      <c r="AA111" s="69">
        <f t="shared" si="30"/>
        <v>23.2865</v>
      </c>
      <c r="AB111" s="66" t="e">
        <f>VLOOKUP(A111,Enforcements!$C$7:$J$21,8,0)</f>
        <v>#N/A</v>
      </c>
      <c r="AC111" s="62" t="e">
        <f>VLOOKUP(A111,Enforcements!$C$7:$E$21,3,0)</f>
        <v>#N/A</v>
      </c>
      <c r="AD111" s="63" t="str">
        <f t="shared" si="31"/>
        <v>0199-25</v>
      </c>
      <c r="AE111" s="99" t="str">
        <f t="shared" si="3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111" s="96" t="str">
        <f t="shared" si="33"/>
        <v>"C:\Program Files (x86)\AstroGrep\AstroGrep.exe" /spath="%USERPROFILE%\AppData\Local\Temp\OnboardLogs" /stypes="*4044*20160825*" /stext=" 22:.+((SYSTEM_STATE.+slice.+state.+changed )|(ment ac)|(system.+state.+changed )|(\|lc)|(penalty)|(\[timeout)|(PRM\|1\|D)|(kpr)|(kdp))" /e /r /s</v>
      </c>
      <c r="AG111" s="1" t="str">
        <f t="shared" si="34"/>
        <v>EC</v>
      </c>
      <c r="AH111" s="100" t="str">
        <f t="shared" si="35"/>
        <v>"%USERPROFILE%\Documents\GitHub\eaglep3\Utilities\RefineRTDCRunTimes.py" --tripid 199-25 --locoid 4044 --swversion DE.1.0.7.0 --startMP 204:449 --initTime 2016-08-25T15:53:57 --startdatetime 2016-08-25T16:00:30 --delay 1 --endMP 204:233314 --enddatetime 2016-08-25T16:37:59 --enforcementcount 1 &gt;&gt;C:\Users\stu\Documents\GitHub\eaglep3-reporting\EC\2016-08-25-refined-times.txt</v>
      </c>
      <c r="AI111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{"issue":{"subject":"","project_id":79,"tracker_id":40,"status_id":1,"priority_id":2,"assigned_to_id":23,"start_date":"2016-08-25","description":"","custom_fields":[{"id":1,"name":"Subdivision","value":"EC"},{"id":4,"name":"Milepost","value":"23.2865"},{"id":17,"name":"Train ID","value":"199-25"},{"id":16,"name":"Locomotive ID","value":"4044"},{"id":130,"name":"Impact","value":""},{"id":150,"name":"Time of Event (Mountain Time)","value":"16:37:59"},{"id":151,"name":"Denver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493</v>
      </c>
      <c r="B112" s="7">
        <v>4043</v>
      </c>
      <c r="C112" s="24" t="s">
        <v>113</v>
      </c>
      <c r="D112" s="24" t="s">
        <v>207</v>
      </c>
      <c r="E112" s="15">
        <v>42607.702569444446</v>
      </c>
      <c r="F112" s="15">
        <v>42607.706284722219</v>
      </c>
      <c r="G112" s="7">
        <v>1</v>
      </c>
      <c r="H112" s="15" t="s">
        <v>152</v>
      </c>
      <c r="I112" s="15">
        <v>42607.735532407409</v>
      </c>
      <c r="J112" s="7">
        <v>1</v>
      </c>
      <c r="K112" s="132" t="str">
        <f t="shared" si="20"/>
        <v>4043/4044</v>
      </c>
      <c r="L112" s="24" t="str">
        <f>VLOOKUP(A112,'Trips&amp;Operators'!$C$1:$E$10000,3,FALSE)</f>
        <v>WEBSTER</v>
      </c>
      <c r="M112" s="6">
        <f t="shared" si="21"/>
        <v>2.9247685190057382E-2</v>
      </c>
      <c r="N112" s="7">
        <f t="shared" si="37"/>
        <v>42.11666667368263</v>
      </c>
      <c r="O112" s="7"/>
      <c r="P112" s="7"/>
      <c r="Q112" s="25"/>
      <c r="R112" s="25"/>
      <c r="S112" s="37">
        <f t="shared" si="23"/>
        <v>1</v>
      </c>
      <c r="T112" s="52" t="str">
        <f t="shared" si="24"/>
        <v>Southbound</v>
      </c>
      <c r="U112" s="12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15:51:42-0600',mode:absolute,to:'2016-08-25 18:39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12" s="54" t="str">
        <f t="shared" si="26"/>
        <v>N</v>
      </c>
      <c r="X112" s="120">
        <f t="shared" si="38"/>
        <v>1</v>
      </c>
      <c r="Y112" s="69">
        <f t="shared" si="28"/>
        <v>23.299199999999999</v>
      </c>
      <c r="Z112" s="69">
        <f t="shared" si="29"/>
        <v>1.4999999999999999E-2</v>
      </c>
      <c r="AA112" s="69">
        <f t="shared" si="30"/>
        <v>23.284199999999998</v>
      </c>
      <c r="AB112" s="66" t="e">
        <f>VLOOKUP(A112,Enforcements!$C$7:$J$21,8,0)</f>
        <v>#N/A</v>
      </c>
      <c r="AC112" s="62" t="e">
        <f>VLOOKUP(A112,Enforcements!$C$7:$E$21,3,0)</f>
        <v>#N/A</v>
      </c>
      <c r="AD112" s="63" t="str">
        <f t="shared" si="31"/>
        <v>0200-25</v>
      </c>
      <c r="AE112" s="99" t="str">
        <f t="shared" si="32"/>
        <v>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 &amp; 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</v>
      </c>
      <c r="AF112" s="96" t="str">
        <f t="shared" si="33"/>
        <v>"C:\Program Files (x86)\AstroGrep\AstroGrep.exe" /spath="%USERPROFILE%\AppData\Local\Temp\OnboardLogs" /stypes="*4043*20160825*" /stext=" 23:.+((SYSTEM_STATE.+slice.+state.+changed )|(ment ac)|(system.+state.+changed )|(\|lc)|(penalty)|(\[timeout)|(PRM\|1\|D)|(kpr)|(kdp))" /e /r /s</v>
      </c>
      <c r="AG112" s="1" t="str">
        <f t="shared" si="34"/>
        <v>EC</v>
      </c>
      <c r="AH112" s="100" t="str">
        <f t="shared" si="35"/>
        <v>"%USERPROFILE%\Documents\GitHub\eaglep3\Utilities\RefineRTDCRunTimes.py" --tripid 200-25 --locoid 4043 --swversion DE.1.0.7.0 --startMP 204:232992 --initTime 2016-08-25T16:51:42 --startdatetime 2016-08-25T16:57:03 --delay 1 --endMP 204:150 --enddatetime 2016-08-25T17:39:10 --enforcementcount 1 &gt;&gt;C:\Users\stu\Documents\GitHub\eaglep3-reporting\EC\2016-08-25-refined-times.txt</v>
      </c>
      <c r="AI112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{"issue":{"subject":"","project_id":79,"tracker_id":40,"status_id":1,"priority_id":2,"assigned_to_id":23,"start_date":"2016-08-25","description":"","custom_fields":[{"id":1,"name":"Subdivision","value":"EC"},{"id":4,"name":"Milepost","value":"23.2842"},{"id":17,"name":"Train ID","value":"200-25"},{"id":16,"name":"Locomotive ID","value":"4043"},{"id":130,"name":"Impact","value":""},{"id":150,"name":"Time of Event (Mountain Time)","value":"17:39:10"},{"id":151,"name":"Denver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494</v>
      </c>
      <c r="B113" s="7">
        <v>4020</v>
      </c>
      <c r="C113" s="24" t="s">
        <v>113</v>
      </c>
      <c r="D113" s="24" t="s">
        <v>189</v>
      </c>
      <c r="E113" s="15">
        <v>42607.67596064815</v>
      </c>
      <c r="F113" s="15">
        <v>42607.677662037036</v>
      </c>
      <c r="G113" s="7">
        <v>1</v>
      </c>
      <c r="H113" s="15" t="s">
        <v>142</v>
      </c>
      <c r="I113" s="15">
        <v>42607.705000000002</v>
      </c>
      <c r="J113" s="7">
        <v>1</v>
      </c>
      <c r="K113" s="132" t="str">
        <f t="shared" si="20"/>
        <v>4019/4020</v>
      </c>
      <c r="L113" s="24" t="str">
        <f>VLOOKUP(A113,'Trips&amp;Operators'!$C$1:$E$10000,3,FALSE)</f>
        <v>ROBINSON</v>
      </c>
      <c r="M113" s="6">
        <f t="shared" si="21"/>
        <v>2.7337962965248153E-2</v>
      </c>
      <c r="N113" s="7">
        <f t="shared" si="37"/>
        <v>39.36666666995734</v>
      </c>
      <c r="O113" s="7"/>
      <c r="P113" s="7"/>
      <c r="Q113" s="25"/>
      <c r="R113" s="25"/>
      <c r="S113" s="37">
        <f t="shared" si="23"/>
        <v>1</v>
      </c>
      <c r="T113" s="52" t="str">
        <f t="shared" si="24"/>
        <v>NorthBound</v>
      </c>
      <c r="U113" s="12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15:13:23-0600',mode:absolute,to:'2016-08-25 17:55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13" s="54" t="str">
        <f t="shared" si="26"/>
        <v>N</v>
      </c>
      <c r="X113" s="120">
        <f t="shared" si="38"/>
        <v>1</v>
      </c>
      <c r="Y113" s="69">
        <f t="shared" si="28"/>
        <v>4.4400000000000002E-2</v>
      </c>
      <c r="Z113" s="69">
        <f t="shared" si="29"/>
        <v>23.331</v>
      </c>
      <c r="AA113" s="69">
        <f t="shared" si="30"/>
        <v>23.2866</v>
      </c>
      <c r="AB113" s="66" t="e">
        <f>VLOOKUP(A113,Enforcements!$C$7:$J$21,8,0)</f>
        <v>#N/A</v>
      </c>
      <c r="AC113" s="62" t="e">
        <f>VLOOKUP(A113,Enforcements!$C$7:$E$21,3,0)</f>
        <v>#N/A</v>
      </c>
      <c r="AD113" s="63" t="str">
        <f t="shared" si="31"/>
        <v>0201-25</v>
      </c>
      <c r="AE113" s="99" t="str">
        <f t="shared" si="32"/>
        <v>aws s3 cp s3://rtdc.mdm.uploadarchive/RTDC4020/2016-08-25/ "%USERPROFILE%\AppData\Local\Temp\OnboardLogs"\RTDC4020\2016-08-25 --recursive &amp; "%USERPROFILE%\Documents\GitHub\mrs-test-scripts\Headless Mode &amp; Sideloading\WalkAndUnGZ.bat" "%USERPROFILE%\AppData\Local\Temp\OnboardLogs"\RTDC4020\2016-08-25 &amp; 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</v>
      </c>
      <c r="AF113" s="96" t="str">
        <f t="shared" si="33"/>
        <v>"C:\Program Files (x86)\AstroGrep\AstroGrep.exe" /spath="%USERPROFILE%\AppData\Local\Temp\OnboardLogs" /stypes="*4020*20160825*" /stext=" 22:.+((SYSTEM_STATE.+slice.+state.+changed )|(ment ac)|(system.+state.+changed )|(\|lc)|(penalty)|(\[timeout)|(PRM\|1\|D)|(kpr)|(kdp))" /e /r /s</v>
      </c>
      <c r="AG113" s="1" t="str">
        <f t="shared" si="34"/>
        <v>EC</v>
      </c>
      <c r="AH113" s="100" t="str">
        <f t="shared" si="35"/>
        <v>"%USERPROFILE%\Documents\GitHub\eaglep3\Utilities\RefineRTDCRunTimes.py" --tripid 201-25 --locoid 4020 --swversion DE.1.0.7.0 --startMP 204:444 --initTime 2016-08-25T16:13:23 --startdatetime 2016-08-25T16:15:50 --delay 1 --endMP 204:233310 --enddatetime 2016-08-25T16:55:12 --enforcementcount 1 &gt;&gt;C:\Users\stu\Documents\GitHub\eaglep3-reporting\EC\2016-08-25-refined-times.txt</v>
      </c>
      <c r="AI113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{"issue":{"subject":"","project_id":79,"tracker_id":40,"status_id":1,"priority_id":2,"assigned_to_id":23,"start_date":"2016-08-25","description":"","custom_fields":[{"id":1,"name":"Subdivision","value":"EC"},{"id":4,"name":"Milepost","value":"23.2866"},{"id":17,"name":"Train ID","value":"201-25"},{"id":16,"name":"Locomotive ID","value":"4020"},{"id":130,"name":"Impact","value":""},{"id":150,"name":"Time of Event (Mountain Time)","value":"16:55:12"},{"id":151,"name":"Denver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495</v>
      </c>
      <c r="B114" s="7">
        <v>4019</v>
      </c>
      <c r="C114" s="24" t="s">
        <v>113</v>
      </c>
      <c r="D114" s="24" t="s">
        <v>403</v>
      </c>
      <c r="E114" s="15">
        <v>42607.707245370373</v>
      </c>
      <c r="F114" s="15">
        <v>42607.716122685182</v>
      </c>
      <c r="G114" s="7">
        <v>1</v>
      </c>
      <c r="H114" s="15" t="s">
        <v>190</v>
      </c>
      <c r="I114" s="15">
        <v>42607.745046296295</v>
      </c>
      <c r="J114" s="7">
        <v>1</v>
      </c>
      <c r="K114" s="132" t="str">
        <f t="shared" si="20"/>
        <v>4019/4020</v>
      </c>
      <c r="L114" s="24" t="str">
        <f>VLOOKUP(A114,'Trips&amp;Operators'!$C$1:$E$10000,3,FALSE)</f>
        <v>ROBINSON</v>
      </c>
      <c r="M114" s="6">
        <f t="shared" si="21"/>
        <v>2.8923611112986691E-2</v>
      </c>
      <c r="N114" s="7">
        <f t="shared" si="37"/>
        <v>41.650000002700835</v>
      </c>
      <c r="O114" s="7"/>
      <c r="P114" s="7"/>
      <c r="Q114" s="25"/>
      <c r="R114" s="25"/>
      <c r="S114" s="37">
        <f t="shared" si="23"/>
        <v>1</v>
      </c>
      <c r="T114" s="52" t="str">
        <f t="shared" si="24"/>
        <v>Southbound</v>
      </c>
      <c r="U114" s="12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15:58:26-0600',mode:absolute,to:'2016-08-25 18:52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14" s="54" t="str">
        <f t="shared" si="26"/>
        <v>N</v>
      </c>
      <c r="X114" s="120">
        <f t="shared" si="38"/>
        <v>1</v>
      </c>
      <c r="Y114" s="69">
        <f t="shared" si="28"/>
        <v>23.299099999999999</v>
      </c>
      <c r="Z114" s="69">
        <f t="shared" si="29"/>
        <v>1.4500000000000001E-2</v>
      </c>
      <c r="AA114" s="69">
        <f t="shared" si="30"/>
        <v>23.284599999999998</v>
      </c>
      <c r="AB114" s="66" t="e">
        <f>VLOOKUP(A114,Enforcements!$C$7:$J$21,8,0)</f>
        <v>#N/A</v>
      </c>
      <c r="AC114" s="62" t="e">
        <f>VLOOKUP(A114,Enforcements!$C$7:$E$21,3,0)</f>
        <v>#N/A</v>
      </c>
      <c r="AD114" s="63" t="str">
        <f t="shared" si="31"/>
        <v>0202-25</v>
      </c>
      <c r="AE114" s="99" t="str">
        <f t="shared" si="32"/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AF114" s="96" t="str">
        <f t="shared" si="33"/>
        <v>"C:\Program Files (x86)\AstroGrep\AstroGrep.exe" /spath="%USERPROFILE%\AppData\Local\Temp\OnboardLogs" /stypes="*4019*20160825*" /stext=" 23:.+((SYSTEM_STATE.+slice.+state.+changed )|(ment ac)|(system.+state.+changed )|(\|lc)|(penalty)|(\[timeout)|(PRM\|1\|D)|(kpr)|(kdp))" /e /r /s</v>
      </c>
      <c r="AG114" s="1" t="str">
        <f t="shared" si="34"/>
        <v>EC</v>
      </c>
      <c r="AH114" s="100" t="str">
        <f t="shared" si="35"/>
        <v>"%USERPROFILE%\Documents\GitHub\eaglep3\Utilities\RefineRTDCRunTimes.py" --tripid 202-25 --locoid 4019 --swversion DE.1.0.7.0 --startMP 204:232991 --initTime 2016-08-25T16:58:26 --startdatetime 2016-08-25T17:11:13 --delay 1 --endMP 204:145 --enddatetime 2016-08-25T17:52:52 --enforcementcount 1 &gt;&gt;C:\Users\stu\Documents\GitHub\eaglep3-reporting\EC\2016-08-25-refined-times.txt</v>
      </c>
      <c r="AI114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{"issue":{"subject":"","project_id":79,"tracker_id":40,"status_id":1,"priority_id":2,"assigned_to_id":23,"start_date":"2016-08-25","description":"","custom_fields":[{"id":1,"name":"Subdivision","value":"EC"},{"id":4,"name":"Milepost","value":"23.2846"},{"id":17,"name":"Train ID","value":"202-25"},{"id":16,"name":"Locomotive ID","value":"4019"},{"id":130,"name":"Impact","value":""},{"id":150,"name":"Time of Event (Mountain Time)","value":"17:52:52"},{"id":151,"name":"Denver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496</v>
      </c>
      <c r="B115" s="7">
        <v>4007</v>
      </c>
      <c r="C115" s="24" t="s">
        <v>113</v>
      </c>
      <c r="D115" s="24" t="s">
        <v>314</v>
      </c>
      <c r="E115" s="15">
        <v>42607.684062499997</v>
      </c>
      <c r="F115" s="15">
        <v>42607.687696759262</v>
      </c>
      <c r="G115" s="7">
        <v>1</v>
      </c>
      <c r="H115" s="15" t="s">
        <v>233</v>
      </c>
      <c r="I115" s="15">
        <v>42607.71607638889</v>
      </c>
      <c r="J115" s="7">
        <v>1</v>
      </c>
      <c r="K115" s="132" t="str">
        <f t="shared" si="20"/>
        <v>4007/4008</v>
      </c>
      <c r="L115" s="24" t="str">
        <f>VLOOKUP(A115,'Trips&amp;Operators'!$C$1:$E$10000,3,FALSE)</f>
        <v>SHOOK</v>
      </c>
      <c r="M115" s="6">
        <f t="shared" si="21"/>
        <v>2.8379629628034309E-2</v>
      </c>
      <c r="N115" s="7">
        <f t="shared" si="37"/>
        <v>40.866666664369404</v>
      </c>
      <c r="O115" s="7"/>
      <c r="P115" s="7"/>
      <c r="Q115" s="25"/>
      <c r="R115" s="25"/>
      <c r="S115" s="37">
        <f t="shared" si="23"/>
        <v>1</v>
      </c>
      <c r="T115" s="52" t="str">
        <f t="shared" si="24"/>
        <v>NorthBound</v>
      </c>
      <c r="U115" s="12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15:25:03-0600',mode:absolute,to:'2016-08-25 18:11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15" s="54" t="str">
        <f t="shared" si="26"/>
        <v>N</v>
      </c>
      <c r="X115" s="120">
        <f t="shared" si="38"/>
        <v>1</v>
      </c>
      <c r="Y115" s="69">
        <f t="shared" si="28"/>
        <v>4.4600000000000001E-2</v>
      </c>
      <c r="Z115" s="69">
        <f t="shared" si="29"/>
        <v>23.3368</v>
      </c>
      <c r="AA115" s="69">
        <f t="shared" si="30"/>
        <v>23.292200000000001</v>
      </c>
      <c r="AB115" s="66" t="e">
        <f>VLOOKUP(A115,Enforcements!$C$7:$J$21,8,0)</f>
        <v>#N/A</v>
      </c>
      <c r="AC115" s="62" t="e">
        <f>VLOOKUP(A115,Enforcements!$C$7:$E$21,3,0)</f>
        <v>#N/A</v>
      </c>
      <c r="AD115" s="63" t="str">
        <f t="shared" si="31"/>
        <v>0203-25</v>
      </c>
      <c r="AE115" s="99" t="str">
        <f t="shared" si="3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115" s="96" t="str">
        <f t="shared" si="33"/>
        <v>"C:\Program Files (x86)\AstroGrep\AstroGrep.exe" /spath="%USERPROFILE%\AppData\Local\Temp\OnboardLogs" /stypes="*4007*20160825*" /stext=" 23:.+((SYSTEM_STATE.+slice.+state.+changed )|(ment ac)|(system.+state.+changed )|(\|lc)|(penalty)|(\[timeout)|(PRM\|1\|D)|(kpr)|(kdp))" /e /r /s</v>
      </c>
      <c r="AG115" s="1" t="str">
        <f t="shared" si="34"/>
        <v>EC</v>
      </c>
      <c r="AH115" s="100" t="str">
        <f t="shared" si="35"/>
        <v>"%USERPROFILE%\Documents\GitHub\eaglep3\Utilities\RefineRTDCRunTimes.py" --tripid 203-25 --locoid 4007 --swversion DE.1.0.7.0 --startMP 204:446 --initTime 2016-08-25T16:25:03 --startdatetime 2016-08-25T16:30:17 --delay 1 --endMP 204:233368 --enddatetime 2016-08-25T17:11:09 --enforcementcount 1 &gt;&gt;C:\Users\stu\Documents\GitHub\eaglep3-reporting\EC\2016-08-25-refined-times.txt</v>
      </c>
      <c r="AI115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{"issue":{"subject":"","project_id":79,"tracker_id":40,"status_id":1,"priority_id":2,"assigned_to_id":23,"start_date":"2016-08-25","description":"","custom_fields":[{"id":1,"name":"Subdivision","value":"EC"},{"id":4,"name":"Milepost","value":"23.2922"},{"id":17,"name":"Train ID","value":"203-25"},{"id":16,"name":"Locomotive ID","value":"4007"},{"id":130,"name":"Impact","value":""},{"id":150,"name":"Time of Event (Mountain Time)","value":"17:11:09"},{"id":151,"name":"Denver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x14ac:dyDescent="0.25">
      <c r="A116" s="39" t="s">
        <v>497</v>
      </c>
      <c r="B116" s="7">
        <v>4008</v>
      </c>
      <c r="C116" s="24" t="s">
        <v>113</v>
      </c>
      <c r="D116" s="24" t="s">
        <v>498</v>
      </c>
      <c r="E116" s="15">
        <v>42607.723657407405</v>
      </c>
      <c r="F116" s="15">
        <v>42607.726585648146</v>
      </c>
      <c r="G116" s="7">
        <v>1</v>
      </c>
      <c r="H116" s="15" t="s">
        <v>221</v>
      </c>
      <c r="I116" s="15">
        <v>42607.753379629627</v>
      </c>
      <c r="J116" s="7">
        <v>1</v>
      </c>
      <c r="K116" s="132" t="str">
        <f t="shared" si="20"/>
        <v>4007/4008</v>
      </c>
      <c r="L116" s="24" t="str">
        <f>VLOOKUP(A116,'Trips&amp;Operators'!$C$1:$E$10000,3,FALSE)</f>
        <v>SHOOK</v>
      </c>
      <c r="M116" s="6">
        <f t="shared" si="21"/>
        <v>2.679398148029577E-2</v>
      </c>
      <c r="N116" s="7">
        <f t="shared" si="37"/>
        <v>38.583333331625909</v>
      </c>
      <c r="O116" s="7"/>
      <c r="P116" s="7"/>
      <c r="Q116" s="25"/>
      <c r="R116" s="25"/>
      <c r="S116" s="37">
        <f t="shared" si="23"/>
        <v>1</v>
      </c>
      <c r="T116" s="52" t="str">
        <f t="shared" si="24"/>
        <v>Southbound</v>
      </c>
      <c r="U116" s="12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16:22:04-0600',mode:absolute,to:'2016-08-25 19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16" s="54" t="str">
        <f t="shared" si="26"/>
        <v>N</v>
      </c>
      <c r="X116" s="120">
        <f t="shared" si="38"/>
        <v>1</v>
      </c>
      <c r="Y116" s="69">
        <f t="shared" si="28"/>
        <v>23.303599999999999</v>
      </c>
      <c r="Z116" s="69">
        <f t="shared" si="29"/>
        <v>1.3899999999999999E-2</v>
      </c>
      <c r="AA116" s="69">
        <f t="shared" si="30"/>
        <v>23.2897</v>
      </c>
      <c r="AB116" s="66" t="e">
        <f>VLOOKUP(A116,Enforcements!$C$7:$J$21,8,0)</f>
        <v>#N/A</v>
      </c>
      <c r="AC116" s="62" t="e">
        <f>VLOOKUP(A116,Enforcements!$C$7:$E$21,3,0)</f>
        <v>#N/A</v>
      </c>
      <c r="AD116" s="63" t="str">
        <f t="shared" si="31"/>
        <v>0204-25</v>
      </c>
      <c r="AE116" s="99" t="str">
        <f t="shared" si="32"/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AF116" s="96" t="str">
        <f t="shared" si="33"/>
        <v>"C:\Program Files (x86)\AstroGrep\AstroGrep.exe" /spath="%USERPROFILE%\AppData\Local\Temp\OnboardLogs" /stypes="*4008*20160826*" /stext=" 00:.+((SYSTEM_STATE.+slice.+state.+changed )|(ment ac)|(system.+state.+changed )|(\|lc)|(penalty)|(\[timeout)|(PRM\|1\|D)|(kpr)|(kdp))" /e /r /s</v>
      </c>
      <c r="AG116" s="1" t="str">
        <f t="shared" si="34"/>
        <v>EC</v>
      </c>
      <c r="AH116" s="100" t="str">
        <f t="shared" si="35"/>
        <v>"%USERPROFILE%\Documents\GitHub\eaglep3\Utilities\RefineRTDCRunTimes.py" --tripid 204-25 --locoid 4008 --swversion DE.1.0.7.0 --startMP 204:233036 --initTime 2016-08-25T17:22:04 --startdatetime 2016-08-25T17:26:17 --delay 1 --endMP 204:139 --enddatetime 2016-08-25T18:04:52 --enforcementcount 1 &gt;&gt;C:\Users\stu\Documents\GitHub\eaglep3-reporting\EC\2016-08-25-refined-times.txt</v>
      </c>
      <c r="AI116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{"issue":{"subject":"","project_id":79,"tracker_id":40,"status_id":1,"priority_id":2,"assigned_to_id":23,"start_date":"2016-08-25","description":"","custom_fields":[{"id":1,"name":"Subdivision","value":"EC"},{"id":4,"name":"Milepost","value":"23.2897"},{"id":17,"name":"Train ID","value":"204-25"},{"id":16,"name":"Locomotive ID","value":"4008"},{"id":130,"name":"Impact","value":""},{"id":150,"name":"Time of Event (Mountain Time)","value":"18:04:52"},{"id":151,"name":"Denver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x14ac:dyDescent="0.25">
      <c r="A117" s="39" t="s">
        <v>499</v>
      </c>
      <c r="B117" s="7">
        <v>4042</v>
      </c>
      <c r="C117" s="24" t="s">
        <v>113</v>
      </c>
      <c r="D117" s="24" t="s">
        <v>245</v>
      </c>
      <c r="E117" s="15">
        <v>42607.695879629631</v>
      </c>
      <c r="F117" s="15">
        <v>42607.69871527778</v>
      </c>
      <c r="G117" s="7">
        <v>1</v>
      </c>
      <c r="H117" s="15" t="s">
        <v>421</v>
      </c>
      <c r="I117" s="15">
        <v>42607.725254629629</v>
      </c>
      <c r="J117" s="7">
        <v>1</v>
      </c>
      <c r="K117" s="132" t="str">
        <f t="shared" si="20"/>
        <v>4041/4042</v>
      </c>
      <c r="L117" s="24" t="str">
        <f>VLOOKUP(A117,'Trips&amp;Operators'!$C$1:$E$10000,3,FALSE)</f>
        <v>MOSES</v>
      </c>
      <c r="M117" s="6">
        <f t="shared" si="21"/>
        <v>2.6539351849351078E-2</v>
      </c>
      <c r="N117" s="7">
        <f t="shared" si="37"/>
        <v>38.216666663065553</v>
      </c>
      <c r="O117" s="7"/>
      <c r="P117" s="7"/>
      <c r="Q117" s="25"/>
      <c r="R117" s="25"/>
      <c r="S117" s="37">
        <f t="shared" si="23"/>
        <v>1</v>
      </c>
      <c r="T117" s="52" t="str">
        <f t="shared" si="24"/>
        <v>NorthBound</v>
      </c>
      <c r="U117" s="12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15:42:04-0600',mode:absolute,to:'2016-08-25 18:24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17" s="54" t="str">
        <f t="shared" si="26"/>
        <v>N</v>
      </c>
      <c r="X117" s="120">
        <f t="shared" si="38"/>
        <v>1</v>
      </c>
      <c r="Y117" s="69">
        <f t="shared" si="28"/>
        <v>4.4200000000000003E-2</v>
      </c>
      <c r="Z117" s="69">
        <f t="shared" si="29"/>
        <v>23.3276</v>
      </c>
      <c r="AA117" s="69">
        <f t="shared" si="30"/>
        <v>23.2834</v>
      </c>
      <c r="AB117" s="66" t="e">
        <f>VLOOKUP(A117,Enforcements!$C$7:$J$21,8,0)</f>
        <v>#N/A</v>
      </c>
      <c r="AC117" s="62" t="e">
        <f>VLOOKUP(A117,Enforcements!$C$7:$E$21,3,0)</f>
        <v>#N/A</v>
      </c>
      <c r="AD117" s="63" t="str">
        <f t="shared" si="31"/>
        <v>0205-25</v>
      </c>
      <c r="AE117" s="99" t="str">
        <f t="shared" si="3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117" s="96" t="str">
        <f t="shared" si="33"/>
        <v>"C:\Program Files (x86)\AstroGrep\AstroGrep.exe" /spath="%USERPROFILE%\AppData\Local\Temp\OnboardLogs" /stypes="*4042*20160825*" /stext=" 23:.+((SYSTEM_STATE.+slice.+state.+changed )|(ment ac)|(system.+state.+changed )|(\|lc)|(penalty)|(\[timeout)|(PRM\|1\|D)|(kpr)|(kdp))" /e /r /s</v>
      </c>
      <c r="AG117" s="1" t="str">
        <f t="shared" si="34"/>
        <v>EC</v>
      </c>
      <c r="AH117" s="100" t="str">
        <f t="shared" si="35"/>
        <v>"%USERPROFILE%\Documents\GitHub\eaglep3\Utilities\RefineRTDCRunTimes.py" --tripid 205-25 --locoid 4042 --swversion DE.1.0.7.0 --startMP 204:442 --initTime 2016-08-25T16:42:04 --startdatetime 2016-08-25T16:46:09 --delay 1 --endMP 204:233276 --enddatetime 2016-08-25T17:24:22 --enforcementcount 1 &gt;&gt;C:\Users\stu\Documents\GitHub\eaglep3-reporting\EC\2016-08-25-refined-times.txt</v>
      </c>
      <c r="AI117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{"issue":{"subject":"","project_id":79,"tracker_id":40,"status_id":1,"priority_id":2,"assigned_to_id":23,"start_date":"2016-08-25","description":"","custom_fields":[{"id":1,"name":"Subdivision","value":"EC"},{"id":4,"name":"Milepost","value":"23.2834"},{"id":17,"name":"Train ID","value":"205-25"},{"id":16,"name":"Locomotive ID","value":"4042"},{"id":130,"name":"Impact","value":""},{"id":150,"name":"Time of Event (Mountain Time)","value":"17:24:22"},{"id":151,"name":"Denver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500</v>
      </c>
      <c r="B118" s="7">
        <v>4041</v>
      </c>
      <c r="C118" s="24" t="s">
        <v>113</v>
      </c>
      <c r="D118" s="24" t="s">
        <v>501</v>
      </c>
      <c r="E118" s="15">
        <v>42607.732118055559</v>
      </c>
      <c r="F118" s="15">
        <v>42607.737685185188</v>
      </c>
      <c r="G118" s="7">
        <v>1</v>
      </c>
      <c r="H118" s="15" t="s">
        <v>89</v>
      </c>
      <c r="I118" s="15">
        <v>42607.766597222224</v>
      </c>
      <c r="J118" s="7">
        <v>1</v>
      </c>
      <c r="K118" s="132" t="str">
        <f t="shared" si="20"/>
        <v>4041/4042</v>
      </c>
      <c r="L118" s="24" t="str">
        <f>VLOOKUP(A118,'Trips&amp;Operators'!$C$1:$E$10000,3,FALSE)</f>
        <v>MOSES</v>
      </c>
      <c r="M118" s="6">
        <f t="shared" si="21"/>
        <v>2.8912037036207039E-2</v>
      </c>
      <c r="N118" s="7">
        <f t="shared" si="37"/>
        <v>41.633333332138136</v>
      </c>
      <c r="O118" s="7"/>
      <c r="P118" s="7"/>
      <c r="Q118" s="25"/>
      <c r="R118" s="25"/>
      <c r="S118" s="37">
        <f t="shared" si="23"/>
        <v>1</v>
      </c>
      <c r="T118" s="52" t="str">
        <f t="shared" si="24"/>
        <v>Southbound</v>
      </c>
      <c r="U118" s="12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16:34:15-0600',mode:absolute,to:'2016-08-25 19:23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18" s="54" t="str">
        <f t="shared" si="26"/>
        <v>N</v>
      </c>
      <c r="X118" s="120">
        <f t="shared" si="38"/>
        <v>1</v>
      </c>
      <c r="Y118" s="69">
        <f t="shared" si="28"/>
        <v>23.2959</v>
      </c>
      <c r="Z118" s="69">
        <f t="shared" si="29"/>
        <v>1.43E-2</v>
      </c>
      <c r="AA118" s="69">
        <f t="shared" si="30"/>
        <v>23.281600000000001</v>
      </c>
      <c r="AB118" s="66" t="e">
        <f>VLOOKUP(A118,Enforcements!$C$7:$J$21,8,0)</f>
        <v>#N/A</v>
      </c>
      <c r="AC118" s="62" t="e">
        <f>VLOOKUP(A118,Enforcements!$C$7:$E$21,3,0)</f>
        <v>#N/A</v>
      </c>
      <c r="AD118" s="63" t="str">
        <f t="shared" si="31"/>
        <v>0206-25</v>
      </c>
      <c r="AE118" s="99" t="str">
        <f t="shared" si="3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118" s="96" t="str">
        <f t="shared" si="33"/>
        <v>"C:\Program Files (x86)\AstroGrep\AstroGrep.exe" /spath="%USERPROFILE%\AppData\Local\Temp\OnboardLogs" /stypes="*4041*20160826*" /stext=" 00:.+((SYSTEM_STATE.+slice.+state.+changed )|(ment ac)|(system.+state.+changed )|(\|lc)|(penalty)|(\[timeout)|(PRM\|1\|D)|(kpr)|(kdp))" /e /r /s</v>
      </c>
      <c r="AG118" s="1" t="str">
        <f t="shared" si="34"/>
        <v>EC</v>
      </c>
      <c r="AH118" s="100" t="str">
        <f t="shared" si="35"/>
        <v>"%USERPROFILE%\Documents\GitHub\eaglep3\Utilities\RefineRTDCRunTimes.py" --tripid 206-25 --locoid 4041 --swversion DE.1.0.7.0 --startMP 204:232959 --initTime 2016-08-25T17:34:15 --startdatetime 2016-08-25T17:42:16 --delay 1 --endMP 204:143 --enddatetime 2016-08-25T18:23:54 --enforcementcount 1 &gt;&gt;C:\Users\stu\Documents\GitHub\eaglep3-reporting\EC\2016-08-25-refined-times.txt</v>
      </c>
      <c r="AI118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{"issue":{"subject":"","project_id":79,"tracker_id":40,"status_id":1,"priority_id":2,"assigned_to_id":23,"start_date":"2016-08-25","description":"","custom_fields":[{"id":1,"name":"Subdivision","value":"EC"},{"id":4,"name":"Milepost","value":"23.2816"},{"id":17,"name":"Train ID","value":"206-25"},{"id":16,"name":"Locomotive ID","value":"4041"},{"id":130,"name":"Impact","value":""},{"id":150,"name":"Time of Event (Mountain Time)","value":"18:23:54"},{"id":151,"name":"Denver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x14ac:dyDescent="0.25">
      <c r="A119" s="39" t="s">
        <v>502</v>
      </c>
      <c r="B119" s="7">
        <v>4009</v>
      </c>
      <c r="C119" s="24" t="s">
        <v>113</v>
      </c>
      <c r="D119" s="24" t="s">
        <v>109</v>
      </c>
      <c r="E119" s="15">
        <v>42607.703946759262</v>
      </c>
      <c r="F119" s="15">
        <v>42607.708680555559</v>
      </c>
      <c r="G119" s="7">
        <v>1</v>
      </c>
      <c r="H119" s="15" t="s">
        <v>503</v>
      </c>
      <c r="I119" s="15">
        <v>42607.733206018522</v>
      </c>
      <c r="J119" s="7">
        <v>1</v>
      </c>
      <c r="K119" s="132" t="str">
        <f t="shared" si="20"/>
        <v>4009/4010</v>
      </c>
      <c r="L119" s="24" t="str">
        <f>VLOOKUP(A119,'Trips&amp;Operators'!$C$1:$E$10000,3,FALSE)</f>
        <v>CRAYTON</v>
      </c>
      <c r="M119" s="6">
        <f t="shared" si="21"/>
        <v>2.4525462962628808E-2</v>
      </c>
      <c r="N119" s="7">
        <f t="shared" si="37"/>
        <v>35.316666666185483</v>
      </c>
      <c r="O119" s="7"/>
      <c r="P119" s="7"/>
      <c r="Q119" s="25"/>
      <c r="R119" s="25"/>
      <c r="S119" s="37">
        <f t="shared" si="23"/>
        <v>1</v>
      </c>
      <c r="T119" s="52" t="str">
        <f t="shared" si="24"/>
        <v>NorthBound</v>
      </c>
      <c r="U119" s="12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15:53:41-0600',mode:absolute,to:'2016-08-25 18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19" s="54" t="str">
        <f t="shared" si="26"/>
        <v>N</v>
      </c>
      <c r="X119" s="120">
        <f t="shared" si="38"/>
        <v>1</v>
      </c>
      <c r="Y119" s="69">
        <f t="shared" si="28"/>
        <v>4.6199999999999998E-2</v>
      </c>
      <c r="Z119" s="69">
        <f t="shared" si="29"/>
        <v>23.330100000000002</v>
      </c>
      <c r="AA119" s="69">
        <f t="shared" si="30"/>
        <v>23.283900000000003</v>
      </c>
      <c r="AB119" s="66" t="e">
        <f>VLOOKUP(A119,Enforcements!$C$7:$J$21,8,0)</f>
        <v>#N/A</v>
      </c>
      <c r="AC119" s="62" t="e">
        <f>VLOOKUP(A119,Enforcements!$C$7:$E$21,3,0)</f>
        <v>#N/A</v>
      </c>
      <c r="AD119" s="63" t="str">
        <f t="shared" si="31"/>
        <v>0207-25</v>
      </c>
      <c r="AE119" s="99" t="str">
        <f t="shared" si="32"/>
        <v>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 &amp; 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</v>
      </c>
      <c r="AF119" s="96" t="str">
        <f t="shared" si="33"/>
        <v>"C:\Program Files (x86)\AstroGrep\AstroGrep.exe" /spath="%USERPROFILE%\AppData\Local\Temp\OnboardLogs" /stypes="*4009*20160825*" /stext=" 23:.+((SYSTEM_STATE.+slice.+state.+changed )|(ment ac)|(system.+state.+changed )|(\|lc)|(penalty)|(\[timeout)|(PRM\|1\|D)|(kpr)|(kdp))" /e /r /s</v>
      </c>
      <c r="AG119" s="1" t="str">
        <f t="shared" si="34"/>
        <v>EC</v>
      </c>
      <c r="AH119" s="100" t="str">
        <f t="shared" si="35"/>
        <v>"%USERPROFILE%\Documents\GitHub\eaglep3\Utilities\RefineRTDCRunTimes.py" --tripid 207-25 --locoid 4009 --swversion DE.1.0.7.0 --startMP 204:462 --initTime 2016-08-25T16:53:41 --startdatetime 2016-08-25T17:00:30 --delay 1 --endMP 204:233301 --enddatetime 2016-08-25T17:35:49 --enforcementcount 1 &gt;&gt;C:\Users\stu\Documents\GitHub\eaglep3-reporting\EC\2016-08-25-refined-times.txt</v>
      </c>
      <c r="AI119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{"issue":{"subject":"","project_id":79,"tracker_id":40,"status_id":1,"priority_id":2,"assigned_to_id":23,"start_date":"2016-08-25","description":"","custom_fields":[{"id":1,"name":"Subdivision","value":"EC"},{"id":4,"name":"Milepost","value":"23.2839"},{"id":17,"name":"Train ID","value":"207-25"},{"id":16,"name":"Locomotive ID","value":"4009"},{"id":130,"name":"Impact","value":""},{"id":150,"name":"Time of Event (Mountain Time)","value":"17:35:49"},{"id":151,"name":"Denver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x14ac:dyDescent="0.25">
      <c r="A120" s="39" t="s">
        <v>504</v>
      </c>
      <c r="B120" s="7">
        <v>4010</v>
      </c>
      <c r="C120" s="24" t="s">
        <v>113</v>
      </c>
      <c r="D120" s="24" t="s">
        <v>134</v>
      </c>
      <c r="E120" s="15">
        <v>42607.735034722224</v>
      </c>
      <c r="F120" s="15">
        <v>42607.747407407405</v>
      </c>
      <c r="G120" s="7">
        <v>1</v>
      </c>
      <c r="H120" s="15" t="s">
        <v>196</v>
      </c>
      <c r="I120" s="15">
        <v>42607.777245370373</v>
      </c>
      <c r="J120" s="7">
        <v>1</v>
      </c>
      <c r="K120" s="132" t="str">
        <f t="shared" si="20"/>
        <v>4009/4010</v>
      </c>
      <c r="L120" s="24" t="str">
        <f>VLOOKUP(A120,'Trips&amp;Operators'!$C$1:$E$10000,3,FALSE)</f>
        <v>CRAYTON</v>
      </c>
      <c r="M120" s="6">
        <f t="shared" si="21"/>
        <v>2.9837962967576459E-2</v>
      </c>
      <c r="N120" s="7">
        <f t="shared" si="37"/>
        <v>42.966666673310101</v>
      </c>
      <c r="O120" s="7"/>
      <c r="P120" s="7"/>
      <c r="Q120" s="25"/>
      <c r="R120" s="25"/>
      <c r="S120" s="37">
        <f t="shared" si="23"/>
        <v>1</v>
      </c>
      <c r="T120" s="52" t="str">
        <f t="shared" si="24"/>
        <v>Southbound</v>
      </c>
      <c r="U120" s="12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16:38:27-0600',mode:absolute,to:'2016-08-25 19:39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20" s="54" t="str">
        <f t="shared" si="26"/>
        <v>N</v>
      </c>
      <c r="X120" s="120">
        <f t="shared" si="38"/>
        <v>1</v>
      </c>
      <c r="Y120" s="69">
        <f t="shared" si="28"/>
        <v>23.299399999999999</v>
      </c>
      <c r="Z120" s="69">
        <f t="shared" si="29"/>
        <v>1.6E-2</v>
      </c>
      <c r="AA120" s="69">
        <f t="shared" si="30"/>
        <v>23.2834</v>
      </c>
      <c r="AB120" s="66">
        <f>VLOOKUP(A120,Enforcements!$C$7:$J$21,8,0)</f>
        <v>191723</v>
      </c>
      <c r="AC120" s="62" t="str">
        <f>VLOOKUP(A120,Enforcements!$C$7:$E$21,3,0)</f>
        <v>SIGNAL</v>
      </c>
      <c r="AD120" s="63" t="str">
        <f t="shared" si="31"/>
        <v>0208-25</v>
      </c>
      <c r="AE120" s="99" t="str">
        <f t="shared" si="32"/>
        <v>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 &amp; 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</v>
      </c>
      <c r="AF120" s="96" t="str">
        <f t="shared" si="33"/>
        <v>"C:\Program Files (x86)\AstroGrep\AstroGrep.exe" /spath="%USERPROFILE%\AppData\Local\Temp\OnboardLogs" /stypes="*4010*20160826*" /stext=" 00:.+((SYSTEM_STATE.+slice.+state.+changed )|(ment ac)|(system.+state.+changed )|(\|lc)|(penalty)|(\[timeout)|(PRM\|1\|D)|(kpr)|(kdp))" /e /r /s</v>
      </c>
      <c r="AG120" s="1" t="str">
        <f t="shared" si="34"/>
        <v>EC</v>
      </c>
      <c r="AH120" s="100" t="str">
        <f t="shared" si="35"/>
        <v>"%USERPROFILE%\Documents\GitHub\eaglep3\Utilities\RefineRTDCRunTimes.py" --tripid 208-25 --locoid 4010 --swversion DE.1.0.7.0 --startMP 204:232994 --initTime 2016-08-25T17:38:27 --startdatetime 2016-08-25T17:56:16 --delay 1 --endMP 204:160 --enddatetime 2016-08-25T18:39:14 --enforcementcount 1 &gt;&gt;C:\Users\stu\Documents\GitHub\eaglep3-reporting\EC\2016-08-25-refined-times.txt</v>
      </c>
      <c r="AI120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{"issue":{"subject":"","project_id":79,"tracker_id":40,"status_id":1,"priority_id":2,"assigned_to_id":23,"start_date":"2016-08-25","description":"","custom_fields":[{"id":1,"name":"Subdivision","value":"EC"},{"id":4,"name":"Milepost","value":"23.2834"},{"id":17,"name":"Train ID","value":"208-25"},{"id":16,"name":"Locomotive ID","value":"4010"},{"id":130,"name":"Impact","value":""},{"id":150,"name":"Time of Event (Mountain Time)","value":"18:39:14"},{"id":151,"name":"Denver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x14ac:dyDescent="0.25">
      <c r="A121" s="39" t="s">
        <v>505</v>
      </c>
      <c r="B121" s="7">
        <v>4031</v>
      </c>
      <c r="C121" s="24" t="s">
        <v>113</v>
      </c>
      <c r="D121" s="24" t="s">
        <v>138</v>
      </c>
      <c r="E121" s="15">
        <v>42607.723437499997</v>
      </c>
      <c r="F121" s="15">
        <v>42607.72556712963</v>
      </c>
      <c r="G121" s="7">
        <v>1</v>
      </c>
      <c r="H121" s="15" t="s">
        <v>200</v>
      </c>
      <c r="I121" s="15">
        <v>42607.751747685186</v>
      </c>
      <c r="J121" s="7">
        <v>1</v>
      </c>
      <c r="K121" s="132" t="str">
        <f t="shared" si="20"/>
        <v>4031/4032</v>
      </c>
      <c r="L121" s="24" t="str">
        <f>VLOOKUP(A121,'Trips&amp;Operators'!$C$1:$E$10000,3,FALSE)</f>
        <v>LEVERE</v>
      </c>
      <c r="M121" s="6">
        <f t="shared" si="21"/>
        <v>2.6180555556493346E-2</v>
      </c>
      <c r="N121" s="7">
        <f t="shared" si="37"/>
        <v>37.700000001350418</v>
      </c>
      <c r="O121" s="7"/>
      <c r="P121" s="7"/>
      <c r="Q121" s="25"/>
      <c r="R121" s="25"/>
      <c r="S121" s="37">
        <f t="shared" si="23"/>
        <v>1</v>
      </c>
      <c r="T121" s="52" t="str">
        <f t="shared" si="24"/>
        <v>NorthBound</v>
      </c>
      <c r="U121" s="12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16:21:45-0600',mode:absolute,to:'2016-08-25 19:02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21" s="54" t="str">
        <f t="shared" si="26"/>
        <v>N</v>
      </c>
      <c r="X121" s="120">
        <f t="shared" si="38"/>
        <v>1</v>
      </c>
      <c r="Y121" s="69">
        <f t="shared" si="28"/>
        <v>4.6899999999999997E-2</v>
      </c>
      <c r="Z121" s="69">
        <f t="shared" si="29"/>
        <v>23.329799999999999</v>
      </c>
      <c r="AA121" s="69">
        <f t="shared" si="30"/>
        <v>23.282899999999998</v>
      </c>
      <c r="AB121" s="66" t="e">
        <f>VLOOKUP(A121,Enforcements!$C$7:$J$21,8,0)</f>
        <v>#N/A</v>
      </c>
      <c r="AC121" s="62" t="e">
        <f>VLOOKUP(A121,Enforcements!$C$7:$E$21,3,0)</f>
        <v>#N/A</v>
      </c>
      <c r="AD121" s="63" t="str">
        <f t="shared" si="31"/>
        <v>0209-25</v>
      </c>
      <c r="AE121" s="99" t="str">
        <f t="shared" si="32"/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121" s="96" t="str">
        <f t="shared" si="33"/>
        <v>"C:\Program Files (x86)\AstroGrep\AstroGrep.exe" /spath="%USERPROFILE%\AppData\Local\Temp\OnboardLogs" /stypes="*4031*20160826*" /stext=" 00:.+((SYSTEM_STATE.+slice.+state.+changed )|(ment ac)|(system.+state.+changed )|(\|lc)|(penalty)|(\[timeout)|(PRM\|1\|D)|(kpr)|(kdp))" /e /r /s</v>
      </c>
      <c r="AG121" s="1" t="str">
        <f t="shared" si="34"/>
        <v>EC</v>
      </c>
      <c r="AH121" s="100" t="str">
        <f t="shared" si="35"/>
        <v>"%USERPROFILE%\Documents\GitHub\eaglep3\Utilities\RefineRTDCRunTimes.py" --tripid 209-25 --locoid 4031 --swversion DE.1.0.7.0 --startMP 204:469 --initTime 2016-08-25T17:21:45 --startdatetime 2016-08-25T17:24:49 --delay 1 --endMP 204:233298 --enddatetime 2016-08-25T18:02:31 --enforcementcount 1 &gt;&gt;C:\Users\stu\Documents\GitHub\eaglep3-reporting\EC\2016-08-25-refined-times.txt</v>
      </c>
      <c r="AI121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{"issue":{"subject":"","project_id":79,"tracker_id":40,"status_id":1,"priority_id":2,"assigned_to_id":23,"start_date":"2016-08-25","description":"","custom_fields":[{"id":1,"name":"Subdivision","value":"EC"},{"id":4,"name":"Milepost","value":"23.2829"},{"id":17,"name":"Train ID","value":"209-25"},{"id":16,"name":"Locomotive ID","value":"4031"},{"id":130,"name":"Impact","value":""},{"id":150,"name":"Time of Event (Mountain Time)","value":"18:02:31"},{"id":151,"name":"Denver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x14ac:dyDescent="0.25">
      <c r="A122" s="39" t="s">
        <v>506</v>
      </c>
      <c r="B122" s="7">
        <v>4032</v>
      </c>
      <c r="C122" s="24" t="s">
        <v>113</v>
      </c>
      <c r="D122" s="24" t="s">
        <v>241</v>
      </c>
      <c r="E122" s="15">
        <v>42607.755162037036</v>
      </c>
      <c r="F122" s="15">
        <v>42607.758055555554</v>
      </c>
      <c r="G122" s="7">
        <v>1</v>
      </c>
      <c r="H122" s="15" t="s">
        <v>153</v>
      </c>
      <c r="I122" s="15">
        <v>42607.78534722222</v>
      </c>
      <c r="J122" s="7">
        <v>1</v>
      </c>
      <c r="K122" s="132" t="str">
        <f t="shared" si="20"/>
        <v>4031/4032</v>
      </c>
      <c r="L122" s="24" t="str">
        <f>VLOOKUP(A122,'Trips&amp;Operators'!$C$1:$E$10000,3,FALSE)</f>
        <v>LEVERE</v>
      </c>
      <c r="M122" s="6">
        <f t="shared" si="21"/>
        <v>2.7291666665405501E-2</v>
      </c>
      <c r="N122" s="7">
        <f t="shared" si="37"/>
        <v>39.299999998183921</v>
      </c>
      <c r="O122" s="7"/>
      <c r="P122" s="7"/>
      <c r="Q122" s="25"/>
      <c r="R122" s="25"/>
      <c r="S122" s="37">
        <f t="shared" si="23"/>
        <v>1</v>
      </c>
      <c r="T122" s="52" t="str">
        <f t="shared" si="24"/>
        <v>Southbound</v>
      </c>
      <c r="U122" s="12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17:07:26-0600',mode:absolute,to:'2016-08-25 19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22" s="54" t="str">
        <f t="shared" si="26"/>
        <v>N</v>
      </c>
      <c r="X122" s="120">
        <f t="shared" si="38"/>
        <v>1</v>
      </c>
      <c r="Y122" s="69">
        <f t="shared" si="28"/>
        <v>23.2989</v>
      </c>
      <c r="Z122" s="69">
        <f t="shared" si="29"/>
        <v>1.5599999999999999E-2</v>
      </c>
      <c r="AA122" s="69">
        <f t="shared" si="30"/>
        <v>23.283300000000001</v>
      </c>
      <c r="AB122" s="66" t="e">
        <f>VLOOKUP(A122,Enforcements!$C$7:$J$21,8,0)</f>
        <v>#N/A</v>
      </c>
      <c r="AC122" s="62" t="e">
        <f>VLOOKUP(A122,Enforcements!$C$7:$E$21,3,0)</f>
        <v>#N/A</v>
      </c>
      <c r="AD122" s="63" t="str">
        <f t="shared" si="31"/>
        <v>0210-25</v>
      </c>
      <c r="AE122" s="99" t="str">
        <f t="shared" si="3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122" s="96" t="str">
        <f t="shared" si="33"/>
        <v>"C:\Program Files (x86)\AstroGrep\AstroGrep.exe" /spath="%USERPROFILE%\AppData\Local\Temp\OnboardLogs" /stypes="*4032*20160826*" /stext=" 00:.+((SYSTEM_STATE.+slice.+state.+changed )|(ment ac)|(system.+state.+changed )|(\|lc)|(penalty)|(\[timeout)|(PRM\|1\|D)|(kpr)|(kdp))" /e /r /s</v>
      </c>
      <c r="AG122" s="1" t="str">
        <f t="shared" si="34"/>
        <v>EC</v>
      </c>
      <c r="AH122" s="100" t="str">
        <f t="shared" si="35"/>
        <v>"%USERPROFILE%\Documents\GitHub\eaglep3\Utilities\RefineRTDCRunTimes.py" --tripid 210-25 --locoid 4032 --swversion DE.1.0.7.0 --startMP 204:232989 --initTime 2016-08-25T18:07:26 --startdatetime 2016-08-25T18:11:36 --delay 1 --endMP 204:156 --enddatetime 2016-08-25T18:50:54 --enforcementcount 1 &gt;&gt;C:\Users\stu\Documents\GitHub\eaglep3-reporting\EC\2016-08-25-refined-times.txt</v>
      </c>
      <c r="AI122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{"issue":{"subject":"","project_id":79,"tracker_id":40,"status_id":1,"priority_id":2,"assigned_to_id":23,"start_date":"2016-08-25","description":"","custom_fields":[{"id":1,"name":"Subdivision","value":"EC"},{"id":4,"name":"Milepost","value":"23.2833"},{"id":17,"name":"Train ID","value":"210-25"},{"id":16,"name":"Locomotive ID","value":"4032"},{"id":130,"name":"Impact","value":""},{"id":150,"name":"Time of Event (Mountain Time)","value":"18:50:54"},{"id":151,"name":"Denver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x14ac:dyDescent="0.25">
      <c r="A123" s="39" t="s">
        <v>507</v>
      </c>
      <c r="B123" s="7">
        <v>4011</v>
      </c>
      <c r="C123" s="24" t="s">
        <v>113</v>
      </c>
      <c r="D123" s="24" t="s">
        <v>135</v>
      </c>
      <c r="E123" s="15">
        <v>42607.726400462961</v>
      </c>
      <c r="F123" s="15">
        <v>42607.729641203703</v>
      </c>
      <c r="G123" s="7">
        <v>4</v>
      </c>
      <c r="H123" s="15" t="s">
        <v>195</v>
      </c>
      <c r="I123" s="15">
        <v>42607.757939814815</v>
      </c>
      <c r="J123" s="7">
        <v>1</v>
      </c>
      <c r="K123" s="132" t="str">
        <f t="shared" si="20"/>
        <v>4011/4012</v>
      </c>
      <c r="L123" s="24" t="str">
        <f>VLOOKUP(A123,'Trips&amp;Operators'!$C$1:$E$10000,3,FALSE)</f>
        <v>YOUNG</v>
      </c>
      <c r="M123" s="6">
        <f t="shared" si="21"/>
        <v>2.8298611112404615E-2</v>
      </c>
      <c r="N123" s="7">
        <f t="shared" si="37"/>
        <v>40.750000001862645</v>
      </c>
      <c r="O123" s="7"/>
      <c r="P123" s="7"/>
      <c r="Q123" s="25"/>
      <c r="R123" s="25"/>
      <c r="S123" s="37">
        <f t="shared" si="23"/>
        <v>1</v>
      </c>
      <c r="T123" s="52" t="str">
        <f t="shared" si="24"/>
        <v>NorthBound</v>
      </c>
      <c r="U123" s="12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16:26:01-0600',mode:absolute,to:'2016-08-25 19:11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23" s="54" t="str">
        <f t="shared" si="26"/>
        <v>N</v>
      </c>
      <c r="X123" s="120">
        <f t="shared" si="38"/>
        <v>1</v>
      </c>
      <c r="Y123" s="69">
        <f t="shared" si="28"/>
        <v>4.4900000000000002E-2</v>
      </c>
      <c r="Z123" s="69">
        <f t="shared" si="29"/>
        <v>23.329699999999999</v>
      </c>
      <c r="AA123" s="69">
        <f t="shared" si="30"/>
        <v>23.284800000000001</v>
      </c>
      <c r="AB123" s="66" t="e">
        <f>VLOOKUP(A123,Enforcements!$C$7:$J$21,8,0)</f>
        <v>#N/A</v>
      </c>
      <c r="AC123" s="62" t="e">
        <f>VLOOKUP(A123,Enforcements!$C$7:$E$21,3,0)</f>
        <v>#N/A</v>
      </c>
      <c r="AD123" s="63" t="str">
        <f t="shared" si="31"/>
        <v>0211-25</v>
      </c>
      <c r="AE123" s="99" t="str">
        <f t="shared" si="32"/>
        <v>aws s3 cp s3://rtdc.mdm.uploadarchive/RTDC4011/2016-08-25/ "%USERPROFILE%\AppData\Local\Temp\OnboardLogs"\RTDC4011\2016-08-25 --recursive &amp; "%USERPROFILE%\Documents\GitHub\mrs-test-scripts\Headless Mode &amp; Sideloading\WalkAndUnGZ.bat" "%USERPROFILE%\AppData\Local\Temp\OnboardLogs"\RTDC4011\2016-08-25 &amp; 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</v>
      </c>
      <c r="AF123" s="96" t="str">
        <f t="shared" si="33"/>
        <v>"C:\Program Files (x86)\AstroGrep\AstroGrep.exe" /spath="%USERPROFILE%\AppData\Local\Temp\OnboardLogs" /stypes="*4011*20160826*" /stext=" 00:.+((SYSTEM_STATE.+slice.+state.+changed )|(ment ac)|(system.+state.+changed )|(\|lc)|(penalty)|(\[timeout)|(PRM\|1\|D)|(kpr)|(kdp))" /e /r /s</v>
      </c>
      <c r="AG123" s="1" t="str">
        <f t="shared" si="34"/>
        <v>EC</v>
      </c>
      <c r="AH123" s="100" t="str">
        <f t="shared" si="35"/>
        <v>"%USERPROFILE%\Documents\GitHub\eaglep3\Utilities\RefineRTDCRunTimes.py" --tripid 211-25 --locoid 4011 --swversion DE.1.0.7.0 --startMP 204:449 --initTime 2016-08-25T17:26:01 --startdatetime 2016-08-25T17:30:41 --delay 4 --endMP 204:233297 --enddatetime 2016-08-25T18:11:26 --enforcementcount 1 &gt;&gt;C:\Users\stu\Documents\GitHub\eaglep3-reporting\EC\2016-08-25-refined-times.txt</v>
      </c>
      <c r="AI123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{"issue":{"subject":"","project_id":79,"tracker_id":40,"status_id":1,"priority_id":2,"assigned_to_id":23,"start_date":"2016-08-25","description":"","custom_fields":[{"id":1,"name":"Subdivision","value":"EC"},{"id":4,"name":"Milepost","value":"23.2848"},{"id":17,"name":"Train ID","value":"211-25"},{"id":16,"name":"Locomotive ID","value":"4011"},{"id":130,"name":"Impact","value":""},{"id":150,"name":"Time of Event (Mountain Time)","value":"18:11:26"},{"id":151,"name":"Denver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508</v>
      </c>
      <c r="B124" s="7">
        <v>4012</v>
      </c>
      <c r="C124" s="24" t="s">
        <v>113</v>
      </c>
      <c r="D124" s="24" t="s">
        <v>198</v>
      </c>
      <c r="E124" s="15">
        <v>42607.764421296299</v>
      </c>
      <c r="F124" s="15">
        <v>42607.768437500003</v>
      </c>
      <c r="G124" s="7">
        <v>1</v>
      </c>
      <c r="H124" s="15" t="s">
        <v>234</v>
      </c>
      <c r="I124" s="15">
        <v>42607.799826388888</v>
      </c>
      <c r="J124" s="7">
        <v>1</v>
      </c>
      <c r="K124" s="132" t="str">
        <f t="shared" si="20"/>
        <v>4011/4012</v>
      </c>
      <c r="L124" s="24" t="str">
        <f>VLOOKUP(A124,'Trips&amp;Operators'!$C$1:$E$10000,3,FALSE)</f>
        <v>YOUNG</v>
      </c>
      <c r="M124" s="6">
        <f t="shared" si="21"/>
        <v>3.1388888884976041E-2</v>
      </c>
      <c r="N124" s="7">
        <f t="shared" si="37"/>
        <v>45.199999994365498</v>
      </c>
      <c r="O124" s="7"/>
      <c r="P124" s="7"/>
      <c r="Q124" s="25"/>
      <c r="R124" s="25"/>
      <c r="S124" s="37">
        <f t="shared" si="23"/>
        <v>1</v>
      </c>
      <c r="T124" s="52" t="str">
        <f t="shared" si="24"/>
        <v>Southbound</v>
      </c>
      <c r="U124" s="12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17:20:46-0600',mode:absolute,to:'2016-08-25 20:11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24" s="54" t="str">
        <f t="shared" si="26"/>
        <v>N</v>
      </c>
      <c r="X124" s="120">
        <f t="shared" si="38"/>
        <v>1</v>
      </c>
      <c r="Y124" s="69">
        <f t="shared" si="28"/>
        <v>23.297499999999999</v>
      </c>
      <c r="Z124" s="69">
        <f t="shared" si="29"/>
        <v>1.38E-2</v>
      </c>
      <c r="AA124" s="69">
        <f t="shared" si="30"/>
        <v>23.2837</v>
      </c>
      <c r="AB124" s="66" t="e">
        <f>VLOOKUP(A124,Enforcements!$C$7:$J$21,8,0)</f>
        <v>#N/A</v>
      </c>
      <c r="AC124" s="62" t="e">
        <f>VLOOKUP(A124,Enforcements!$C$7:$E$21,3,0)</f>
        <v>#N/A</v>
      </c>
      <c r="AD124" s="63" t="str">
        <f t="shared" si="31"/>
        <v>0212-25</v>
      </c>
      <c r="AE124" s="99" t="str">
        <f t="shared" si="32"/>
        <v>aws s3 cp s3://rtdc.mdm.uploadarchive/RTDC4012/2016-08-25/ "%USERPROFILE%\AppData\Local\Temp\OnboardLogs"\RTDC4012\2016-08-25 --recursive &amp; "%USERPROFILE%\Documents\GitHub\mrs-test-scripts\Headless Mode &amp; Sideloading\WalkAndUnGZ.bat" "%USERPROFILE%\AppData\Local\Temp\OnboardLogs"\RTDC4012\2016-08-25 &amp; 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</v>
      </c>
      <c r="AF124" s="96" t="str">
        <f t="shared" si="33"/>
        <v>"C:\Program Files (x86)\AstroGrep\AstroGrep.exe" /spath="%USERPROFILE%\AppData\Local\Temp\OnboardLogs" /stypes="*4012*20160826*" /stext=" 01:.+((SYSTEM_STATE.+slice.+state.+changed )|(ment ac)|(system.+state.+changed )|(\|lc)|(penalty)|(\[timeout)|(PRM\|1\|D)|(kpr)|(kdp))" /e /r /s</v>
      </c>
      <c r="AG124" s="1" t="str">
        <f t="shared" si="34"/>
        <v>EC</v>
      </c>
      <c r="AH124" s="100" t="str">
        <f t="shared" si="35"/>
        <v>"%USERPROFILE%\Documents\GitHub\eaglep3\Utilities\RefineRTDCRunTimes.py" --tripid 212-25 --locoid 4012 --swversion DE.1.0.7.0 --startMP 204:232975 --initTime 2016-08-25T18:20:46 --startdatetime 2016-08-25T18:26:33 --delay 1 --endMP 204:138 --enddatetime 2016-08-25T19:11:45 --enforcementcount 1 &gt;&gt;C:\Users\stu\Documents\GitHub\eaglep3-reporting\EC\2016-08-25-refined-times.txt</v>
      </c>
      <c r="AI124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{"issue":{"subject":"","project_id":79,"tracker_id":40,"status_id":1,"priority_id":2,"assigned_to_id":23,"start_date":"2016-08-25","description":"","custom_fields":[{"id":1,"name":"Subdivision","value":"EC"},{"id":4,"name":"Milepost","value":"23.2837"},{"id":17,"name":"Train ID","value":"212-25"},{"id":16,"name":"Locomotive ID","value":"4012"},{"id":130,"name":"Impact","value":""},{"id":150,"name":"Time of Event (Mountain Time)","value":"19:11:45"},{"id":151,"name":"Denver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509</v>
      </c>
      <c r="B125" s="7">
        <v>4044</v>
      </c>
      <c r="C125" s="24" t="s">
        <v>113</v>
      </c>
      <c r="D125" s="24" t="s">
        <v>215</v>
      </c>
      <c r="E125" s="15">
        <v>42607.737199074072</v>
      </c>
      <c r="F125" s="15">
        <v>42607.739884259259</v>
      </c>
      <c r="G125" s="7">
        <v>2</v>
      </c>
      <c r="H125" s="15" t="s">
        <v>510</v>
      </c>
      <c r="I125" s="15">
        <v>42607.765324074076</v>
      </c>
      <c r="J125" s="7">
        <v>1</v>
      </c>
      <c r="K125" s="132" t="str">
        <f t="shared" si="20"/>
        <v>4043/4044</v>
      </c>
      <c r="L125" s="24" t="str">
        <f>VLOOKUP(A125,'Trips&amp;Operators'!$C$1:$E$10000,3,FALSE)</f>
        <v>OUN</v>
      </c>
      <c r="M125" s="6">
        <f t="shared" si="21"/>
        <v>2.5439814817218576E-2</v>
      </c>
      <c r="N125" s="7">
        <f t="shared" si="37"/>
        <v>36.633333336794749</v>
      </c>
      <c r="O125" s="7"/>
      <c r="P125" s="7"/>
      <c r="Q125" s="25"/>
      <c r="R125" s="25"/>
      <c r="S125" s="37">
        <f t="shared" si="23"/>
        <v>1</v>
      </c>
      <c r="T125" s="52" t="str">
        <f t="shared" si="24"/>
        <v>NorthBound</v>
      </c>
      <c r="U125" s="12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16:41:34-0600',mode:absolute,to:'2016-08-25 19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25" s="54" t="str">
        <f t="shared" si="26"/>
        <v>N</v>
      </c>
      <c r="X125" s="120">
        <f t="shared" si="38"/>
        <v>1</v>
      </c>
      <c r="Y125" s="69">
        <f t="shared" si="28"/>
        <v>4.3499999999999997E-2</v>
      </c>
      <c r="Z125" s="69">
        <f t="shared" si="29"/>
        <v>23.325299999999999</v>
      </c>
      <c r="AA125" s="69">
        <f t="shared" si="30"/>
        <v>23.281799999999997</v>
      </c>
      <c r="AB125" s="66" t="e">
        <f>VLOOKUP(A125,Enforcements!$C$7:$J$21,8,0)</f>
        <v>#N/A</v>
      </c>
      <c r="AC125" s="62" t="e">
        <f>VLOOKUP(A125,Enforcements!$C$7:$E$21,3,0)</f>
        <v>#N/A</v>
      </c>
      <c r="AD125" s="63" t="str">
        <f t="shared" si="31"/>
        <v>0213-25</v>
      </c>
      <c r="AE125" s="99" t="str">
        <f t="shared" si="3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125" s="96" t="str">
        <f t="shared" si="33"/>
        <v>"C:\Program Files (x86)\AstroGrep\AstroGrep.exe" /spath="%USERPROFILE%\AppData\Local\Temp\OnboardLogs" /stypes="*4044*20160826*" /stext=" 00:.+((SYSTEM_STATE.+slice.+state.+changed )|(ment ac)|(system.+state.+changed )|(\|lc)|(penalty)|(\[timeout)|(PRM\|1\|D)|(kpr)|(kdp))" /e /r /s</v>
      </c>
      <c r="AG125" s="1" t="str">
        <f t="shared" si="34"/>
        <v>EC</v>
      </c>
      <c r="AH125" s="100" t="str">
        <f t="shared" si="35"/>
        <v>"%USERPROFILE%\Documents\GitHub\eaglep3\Utilities\RefineRTDCRunTimes.py" --tripid 213-25 --locoid 4044 --swversion DE.1.0.7.0 --startMP 204:435 --initTime 2016-08-25T17:41:34 --startdatetime 2016-08-25T17:45:26 --delay 2 --endMP 204:233253 --enddatetime 2016-08-25T18:22:04 --enforcementcount 1 &gt;&gt;C:\Users\stu\Documents\GitHub\eaglep3-reporting\EC\2016-08-25-refined-times.txt</v>
      </c>
      <c r="AI125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{"issue":{"subject":"","project_id":79,"tracker_id":40,"status_id":1,"priority_id":2,"assigned_to_id":23,"start_date":"2016-08-25","description":"","custom_fields":[{"id":1,"name":"Subdivision","value":"EC"},{"id":4,"name":"Milepost","value":"23.2818"},{"id":17,"name":"Train ID","value":"213-25"},{"id":16,"name":"Locomotive ID","value":"4044"},{"id":130,"name":"Impact","value":""},{"id":150,"name":"Time of Event (Mountain Time)","value":"18:22:04"},{"id":151,"name":"Denver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511</v>
      </c>
      <c r="B126" s="7">
        <v>4043</v>
      </c>
      <c r="C126" s="24" t="s">
        <v>113</v>
      </c>
      <c r="D126" s="24" t="s">
        <v>403</v>
      </c>
      <c r="E126" s="15">
        <v>42607.773472222223</v>
      </c>
      <c r="F126" s="15">
        <v>42607.778726851851</v>
      </c>
      <c r="G126" s="7">
        <v>1</v>
      </c>
      <c r="H126" s="15" t="s">
        <v>225</v>
      </c>
      <c r="I126" s="15">
        <v>42607.807303240741</v>
      </c>
      <c r="J126" s="7">
        <v>1</v>
      </c>
      <c r="K126" s="132" t="str">
        <f t="shared" si="20"/>
        <v>4043/4044</v>
      </c>
      <c r="L126" s="24" t="str">
        <f>VLOOKUP(A126,'Trips&amp;Operators'!$C$1:$E$10000,3,FALSE)</f>
        <v>OUN</v>
      </c>
      <c r="M126" s="6">
        <f t="shared" si="21"/>
        <v>2.8576388889632653E-2</v>
      </c>
      <c r="N126" s="7">
        <f t="shared" si="37"/>
        <v>41.150000001071021</v>
      </c>
      <c r="O126" s="7"/>
      <c r="P126" s="7"/>
      <c r="Q126" s="25"/>
      <c r="R126" s="25"/>
      <c r="S126" s="37">
        <f t="shared" si="23"/>
        <v>1</v>
      </c>
      <c r="T126" s="52" t="str">
        <f t="shared" si="24"/>
        <v>Southbound</v>
      </c>
      <c r="U126" s="12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17:33:48-0600',mode:absolute,to:'2016-08-25 20:22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26" s="54" t="str">
        <f t="shared" si="26"/>
        <v>N</v>
      </c>
      <c r="X126" s="120">
        <f t="shared" si="38"/>
        <v>1</v>
      </c>
      <c r="Y126" s="69">
        <f t="shared" si="28"/>
        <v>23.299099999999999</v>
      </c>
      <c r="Z126" s="69">
        <f t="shared" si="29"/>
        <v>1.61E-2</v>
      </c>
      <c r="AA126" s="69">
        <f t="shared" si="30"/>
        <v>23.282999999999998</v>
      </c>
      <c r="AB126" s="66" t="e">
        <f>VLOOKUP(A126,Enforcements!$C$7:$J$21,8,0)</f>
        <v>#N/A</v>
      </c>
      <c r="AC126" s="62" t="e">
        <f>VLOOKUP(A126,Enforcements!$C$7:$E$21,3,0)</f>
        <v>#N/A</v>
      </c>
      <c r="AD126" s="63" t="str">
        <f t="shared" si="31"/>
        <v>0214-25</v>
      </c>
      <c r="AE126" s="99" t="str">
        <f t="shared" si="32"/>
        <v>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 &amp; 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</v>
      </c>
      <c r="AF126" s="96" t="str">
        <f t="shared" si="33"/>
        <v>"C:\Program Files (x86)\AstroGrep\AstroGrep.exe" /spath="%USERPROFILE%\AppData\Local\Temp\OnboardLogs" /stypes="*4043*20160826*" /stext=" 01:.+((SYSTEM_STATE.+slice.+state.+changed )|(ment ac)|(system.+state.+changed )|(\|lc)|(penalty)|(\[timeout)|(PRM\|1\|D)|(kpr)|(kdp))" /e /r /s</v>
      </c>
      <c r="AG126" s="1" t="str">
        <f t="shared" si="34"/>
        <v>EC</v>
      </c>
      <c r="AH126" s="100" t="str">
        <f t="shared" si="35"/>
        <v>"%USERPROFILE%\Documents\GitHub\eaglep3\Utilities\RefineRTDCRunTimes.py" --tripid 214-25 --locoid 4043 --swversion DE.1.0.7.0 --startMP 204:232991 --initTime 2016-08-25T18:33:48 --startdatetime 2016-08-25T18:41:22 --delay 1 --endMP 204:161 --enddatetime 2016-08-25T19:22:31 --enforcementcount 1 &gt;&gt;C:\Users\stu\Documents\GitHub\eaglep3-reporting\EC\2016-08-25-refined-times.txt</v>
      </c>
      <c r="AI126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{"issue":{"subject":"","project_id":79,"tracker_id":40,"status_id":1,"priority_id":2,"assigned_to_id":23,"start_date":"2016-08-25","description":"","custom_fields":[{"id":1,"name":"Subdivision","value":"EC"},{"id":4,"name":"Milepost","value":"23.283"},{"id":17,"name":"Train ID","value":"214-25"},{"id":16,"name":"Locomotive ID","value":"4043"},{"id":130,"name":"Impact","value":""},{"id":150,"name":"Time of Event (Mountain Time)","value":"19:22:31"},{"id":151,"name":"Denver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x14ac:dyDescent="0.25">
      <c r="A127" s="39" t="s">
        <v>512</v>
      </c>
      <c r="B127" s="7">
        <v>4020</v>
      </c>
      <c r="C127" s="24" t="s">
        <v>113</v>
      </c>
      <c r="D127" s="24" t="s">
        <v>154</v>
      </c>
      <c r="E127" s="15">
        <v>42607.747881944444</v>
      </c>
      <c r="F127" s="15">
        <v>42607.750219907408</v>
      </c>
      <c r="G127" s="7">
        <v>2</v>
      </c>
      <c r="H127" s="15" t="s">
        <v>213</v>
      </c>
      <c r="I127" s="15">
        <v>42607.776331018518</v>
      </c>
      <c r="J127" s="7">
        <v>1</v>
      </c>
      <c r="K127" s="132" t="str">
        <f t="shared" si="20"/>
        <v>4019/4020</v>
      </c>
      <c r="L127" s="24" t="str">
        <f>VLOOKUP(A127,'Trips&amp;Operators'!$C$1:$E$10000,3,FALSE)</f>
        <v>WEBSTER</v>
      </c>
      <c r="M127" s="6">
        <f t="shared" si="21"/>
        <v>2.6111111110367347E-2</v>
      </c>
      <c r="N127" s="7">
        <f t="shared" si="37"/>
        <v>37.599999998928979</v>
      </c>
      <c r="O127" s="7"/>
      <c r="P127" s="7"/>
      <c r="Q127" s="25"/>
      <c r="R127" s="25"/>
      <c r="S127" s="37">
        <f t="shared" si="23"/>
        <v>1</v>
      </c>
      <c r="T127" s="52" t="str">
        <f t="shared" si="24"/>
        <v>NorthBound</v>
      </c>
      <c r="U127" s="12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16:56:57-0600',mode:absolute,to:'2016-08-25 19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27" s="54" t="str">
        <f t="shared" si="26"/>
        <v>N</v>
      </c>
      <c r="X127" s="120">
        <f t="shared" si="38"/>
        <v>1</v>
      </c>
      <c r="Y127" s="69">
        <f t="shared" si="28"/>
        <v>4.5100000000000001E-2</v>
      </c>
      <c r="Z127" s="69">
        <f t="shared" si="29"/>
        <v>23.331099999999999</v>
      </c>
      <c r="AA127" s="69">
        <f t="shared" si="30"/>
        <v>23.285999999999998</v>
      </c>
      <c r="AB127" s="66" t="e">
        <f>VLOOKUP(A127,Enforcements!$C$7:$J$21,8,0)</f>
        <v>#N/A</v>
      </c>
      <c r="AC127" s="62" t="e">
        <f>VLOOKUP(A127,Enforcements!$C$7:$E$21,3,0)</f>
        <v>#N/A</v>
      </c>
      <c r="AD127" s="63" t="str">
        <f t="shared" si="31"/>
        <v>0215-25</v>
      </c>
      <c r="AE127" s="99" t="str">
        <f t="shared" si="32"/>
        <v>aws s3 cp s3://rtdc.mdm.uploadarchive/RTDC4020/2016-08-25/ "%USERPROFILE%\AppData\Local\Temp\OnboardLogs"\RTDC4020\2016-08-25 --recursive &amp; "%USERPROFILE%\Documents\GitHub\mrs-test-scripts\Headless Mode &amp; Sideloading\WalkAndUnGZ.bat" "%USERPROFILE%\AppData\Local\Temp\OnboardLogs"\RTDC4020\2016-08-25 &amp; 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</v>
      </c>
      <c r="AF127" s="96" t="str">
        <f t="shared" si="33"/>
        <v>"C:\Program Files (x86)\AstroGrep\AstroGrep.exe" /spath="%USERPROFILE%\AppData\Local\Temp\OnboardLogs" /stypes="*4020*20160826*" /stext=" 00:.+((SYSTEM_STATE.+slice.+state.+changed )|(ment ac)|(system.+state.+changed )|(\|lc)|(penalty)|(\[timeout)|(PRM\|1\|D)|(kpr)|(kdp))" /e /r /s</v>
      </c>
      <c r="AG127" s="1" t="str">
        <f t="shared" si="34"/>
        <v>EC</v>
      </c>
      <c r="AH127" s="100" t="str">
        <f t="shared" si="35"/>
        <v>"%USERPROFILE%\Documents\GitHub\eaglep3\Utilities\RefineRTDCRunTimes.py" --tripid 215-25 --locoid 4020 --swversion DE.1.0.7.0 --startMP 204:451 --initTime 2016-08-25T17:56:57 --startdatetime 2016-08-25T18:00:19 --delay 2 --endMP 204:233311 --enddatetime 2016-08-25T18:37:55 --enforcementcount 1 &gt;&gt;C:\Users\stu\Documents\GitHub\eaglep3-reporting\EC\2016-08-25-refined-times.txt</v>
      </c>
      <c r="AI127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{"issue":{"subject":"","project_id":79,"tracker_id":40,"status_id":1,"priority_id":2,"assigned_to_id":23,"start_date":"2016-08-25","description":"","custom_fields":[{"id":1,"name":"Subdivision","value":"EC"},{"id":4,"name":"Milepost","value":"23.286"},{"id":17,"name":"Train ID","value":"215-25"},{"id":16,"name":"Locomotive ID","value":"4020"},{"id":130,"name":"Impact","value":""},{"id":150,"name":"Time of Event (Mountain Time)","value":"18:37:55"},{"id":151,"name":"Denver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x14ac:dyDescent="0.25">
      <c r="A128" s="39" t="s">
        <v>513</v>
      </c>
      <c r="B128" s="7">
        <v>4019</v>
      </c>
      <c r="C128" s="24" t="s">
        <v>113</v>
      </c>
      <c r="D128" s="24" t="s">
        <v>208</v>
      </c>
      <c r="E128" s="15">
        <v>42607.785173611112</v>
      </c>
      <c r="F128" s="15">
        <v>42607.78943287037</v>
      </c>
      <c r="G128" s="7">
        <v>1</v>
      </c>
      <c r="H128" s="15" t="s">
        <v>132</v>
      </c>
      <c r="I128" s="15">
        <v>42607.818101851852</v>
      </c>
      <c r="J128" s="7">
        <v>1</v>
      </c>
      <c r="K128" s="132" t="str">
        <f t="shared" si="20"/>
        <v>4019/4020</v>
      </c>
      <c r="L128" s="24" t="str">
        <f>VLOOKUP(A128,'Trips&amp;Operators'!$C$1:$E$10000,3,FALSE)</f>
        <v>WEBSTER</v>
      </c>
      <c r="M128" s="6">
        <f t="shared" si="21"/>
        <v>2.8668981482042E-2</v>
      </c>
      <c r="N128" s="7">
        <f t="shared" si="37"/>
        <v>41.28333333414048</v>
      </c>
      <c r="O128" s="7"/>
      <c r="P128" s="7"/>
      <c r="Q128" s="25"/>
      <c r="R128" s="25"/>
      <c r="S128" s="37">
        <f t="shared" si="23"/>
        <v>1</v>
      </c>
      <c r="T128" s="52" t="str">
        <f t="shared" si="24"/>
        <v>Southbound</v>
      </c>
      <c r="U128" s="12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17:50:39-0600',mode:absolute,to:'2016-08-25 20:38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28" s="54" t="str">
        <f t="shared" si="26"/>
        <v>N</v>
      </c>
      <c r="X128" s="120">
        <f t="shared" si="38"/>
        <v>1</v>
      </c>
      <c r="Y128" s="69">
        <f t="shared" si="28"/>
        <v>23.2986</v>
      </c>
      <c r="Z128" s="69">
        <f t="shared" si="29"/>
        <v>1.47E-2</v>
      </c>
      <c r="AA128" s="69">
        <f t="shared" si="30"/>
        <v>23.283899999999999</v>
      </c>
      <c r="AB128" s="66" t="e">
        <f>VLOOKUP(A128,Enforcements!$C$7:$J$21,8,0)</f>
        <v>#N/A</v>
      </c>
      <c r="AC128" s="62" t="e">
        <f>VLOOKUP(A128,Enforcements!$C$7:$E$21,3,0)</f>
        <v>#N/A</v>
      </c>
      <c r="AD128" s="63" t="str">
        <f t="shared" si="31"/>
        <v>0216-25</v>
      </c>
      <c r="AE128" s="99" t="str">
        <f t="shared" si="32"/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AF128" s="96" t="str">
        <f t="shared" si="33"/>
        <v>"C:\Program Files (x86)\AstroGrep\AstroGrep.exe" /spath="%USERPROFILE%\AppData\Local\Temp\OnboardLogs" /stypes="*4019*20160826*" /stext=" 01:.+((SYSTEM_STATE.+slice.+state.+changed )|(ment ac)|(system.+state.+changed )|(\|lc)|(penalty)|(\[timeout)|(PRM\|1\|D)|(kpr)|(kdp))" /e /r /s</v>
      </c>
      <c r="AG128" s="1" t="str">
        <f t="shared" si="34"/>
        <v>EC</v>
      </c>
      <c r="AH128" s="100" t="str">
        <f t="shared" si="35"/>
        <v>"%USERPROFILE%\Documents\GitHub\eaglep3\Utilities\RefineRTDCRunTimes.py" --tripid 216-25 --locoid 4019 --swversion DE.1.0.7.0 --startMP 204:232986 --initTime 2016-08-25T18:50:39 --startdatetime 2016-08-25T18:56:47 --delay 1 --endMP 204:147 --enddatetime 2016-08-25T19:38:04 --enforcementcount 1 &gt;&gt;C:\Users\stu\Documents\GitHub\eaglep3-reporting\EC\2016-08-25-refined-times.txt</v>
      </c>
      <c r="AI128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{"issue":{"subject":"","project_id":79,"tracker_id":40,"status_id":1,"priority_id":2,"assigned_to_id":23,"start_date":"2016-08-25","description":"","custom_fields":[{"id":1,"name":"Subdivision","value":"EC"},{"id":4,"name":"Milepost","value":"23.2839"},{"id":17,"name":"Train ID","value":"216-25"},{"id":16,"name":"Locomotive ID","value":"4019"},{"id":130,"name":"Impact","value":""},{"id":150,"name":"Time of Event (Mountain Time)","value":"19:38:04"},{"id":151,"name":"Denver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514</v>
      </c>
      <c r="B129" s="7">
        <v>4007</v>
      </c>
      <c r="C129" s="24" t="s">
        <v>113</v>
      </c>
      <c r="D129" s="24" t="s">
        <v>141</v>
      </c>
      <c r="E129" s="15">
        <v>42607.755393518521</v>
      </c>
      <c r="F129" s="15">
        <v>42607.761400462965</v>
      </c>
      <c r="G129" s="7">
        <v>2</v>
      </c>
      <c r="H129" s="15" t="s">
        <v>372</v>
      </c>
      <c r="I129" s="15">
        <v>42607.787581018521</v>
      </c>
      <c r="J129" s="7">
        <v>1</v>
      </c>
      <c r="K129" s="132" t="str">
        <f t="shared" si="20"/>
        <v>4007/4008</v>
      </c>
      <c r="L129" s="24" t="str">
        <f>VLOOKUP(A129,'Trips&amp;Operators'!$C$1:$E$10000,3,FALSE)</f>
        <v>SWANSON</v>
      </c>
      <c r="M129" s="6">
        <f t="shared" si="21"/>
        <v>2.6180555556493346E-2</v>
      </c>
      <c r="N129" s="7">
        <f t="shared" si="37"/>
        <v>37.700000001350418</v>
      </c>
      <c r="O129" s="7"/>
      <c r="P129" s="7"/>
      <c r="Q129" s="25"/>
      <c r="R129" s="25"/>
      <c r="S129" s="37">
        <f t="shared" si="23"/>
        <v>1</v>
      </c>
      <c r="T129" s="52" t="str">
        <f t="shared" si="24"/>
        <v>NorthBound</v>
      </c>
      <c r="U129" s="12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17:07:46-0600',mode:absolute,to:'2016-08-25 19:54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29" s="54" t="str">
        <f t="shared" si="26"/>
        <v>N</v>
      </c>
      <c r="X129" s="120">
        <f t="shared" si="38"/>
        <v>1</v>
      </c>
      <c r="Y129" s="69">
        <f t="shared" si="28"/>
        <v>4.5699999999999998E-2</v>
      </c>
      <c r="Z129" s="69">
        <f t="shared" si="29"/>
        <v>23.330200000000001</v>
      </c>
      <c r="AA129" s="69">
        <f t="shared" si="30"/>
        <v>23.284500000000001</v>
      </c>
      <c r="AB129" s="66" t="e">
        <f>VLOOKUP(A129,Enforcements!$C$7:$J$21,8,0)</f>
        <v>#N/A</v>
      </c>
      <c r="AC129" s="62" t="e">
        <f>VLOOKUP(A129,Enforcements!$C$7:$E$21,3,0)</f>
        <v>#N/A</v>
      </c>
      <c r="AD129" s="63" t="str">
        <f t="shared" si="31"/>
        <v>0217-25</v>
      </c>
      <c r="AE129" s="99" t="str">
        <f t="shared" si="3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129" s="96" t="str">
        <f t="shared" si="33"/>
        <v>"C:\Program Files (x86)\AstroGrep\AstroGrep.exe" /spath="%USERPROFILE%\AppData\Local\Temp\OnboardLogs" /stypes="*4007*20160826*" /stext=" 00:.+((SYSTEM_STATE.+slice.+state.+changed )|(ment ac)|(system.+state.+changed )|(\|lc)|(penalty)|(\[timeout)|(PRM\|1\|D)|(kpr)|(kdp))" /e /r /s</v>
      </c>
      <c r="AG129" s="1" t="str">
        <f t="shared" si="34"/>
        <v>EC</v>
      </c>
      <c r="AH129" s="100" t="str">
        <f t="shared" si="35"/>
        <v>"%USERPROFILE%\Documents\GitHub\eaglep3\Utilities\RefineRTDCRunTimes.py" --tripid 217-25 --locoid 4007 --swversion DE.1.0.7.0 --startMP 204:457 --initTime 2016-08-25T18:07:46 --startdatetime 2016-08-25T18:16:25 --delay 2 --endMP 204:233302 --enddatetime 2016-08-25T18:54:07 --enforcementcount 1 &gt;&gt;C:\Users\stu\Documents\GitHub\eaglep3-reporting\EC\2016-08-25-refined-times.txt</v>
      </c>
      <c r="AI129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{"issue":{"subject":"","project_id":79,"tracker_id":40,"status_id":1,"priority_id":2,"assigned_to_id":23,"start_date":"2016-08-25","description":"","custom_fields":[{"id":1,"name":"Subdivision","value":"EC"},{"id":4,"name":"Milepost","value":"23.2845"},{"id":17,"name":"Train ID","value":"217-25"},{"id":16,"name":"Locomotive ID","value":"4007"},{"id":130,"name":"Impact","value":""},{"id":150,"name":"Time of Event (Mountain Time)","value":"18:54:07"},{"id":151,"name":"Denver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x14ac:dyDescent="0.25">
      <c r="A130" s="39" t="s">
        <v>515</v>
      </c>
      <c r="B130" s="7">
        <v>4008</v>
      </c>
      <c r="C130" s="24" t="s">
        <v>113</v>
      </c>
      <c r="D130" s="24" t="s">
        <v>209</v>
      </c>
      <c r="E130" s="15">
        <v>42607.795370370368</v>
      </c>
      <c r="F130" s="15">
        <v>42607.799675925926</v>
      </c>
      <c r="G130" s="7">
        <v>1</v>
      </c>
      <c r="H130" s="15" t="s">
        <v>190</v>
      </c>
      <c r="I130" s="15">
        <v>42607.827488425923</v>
      </c>
      <c r="J130" s="7">
        <v>1</v>
      </c>
      <c r="K130" s="132" t="str">
        <f t="shared" si="20"/>
        <v>4007/4008</v>
      </c>
      <c r="L130" s="24" t="str">
        <f>VLOOKUP(A130,'Trips&amp;Operators'!$C$1:$E$10000,3,FALSE)</f>
        <v>SWANSON</v>
      </c>
      <c r="M130" s="6">
        <f t="shared" si="21"/>
        <v>2.7812499996798579E-2</v>
      </c>
      <c r="N130" s="7">
        <f t="shared" si="37"/>
        <v>40.049999995389953</v>
      </c>
      <c r="O130" s="7"/>
      <c r="P130" s="7"/>
      <c r="Q130" s="25"/>
      <c r="R130" s="25"/>
      <c r="S130" s="37">
        <f t="shared" si="23"/>
        <v>1</v>
      </c>
      <c r="T130" s="52" t="str">
        <f t="shared" si="24"/>
        <v>Southbound</v>
      </c>
      <c r="U130" s="12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18:05:20-0600',mode:absolute,to:'2016-08-25 20:51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30" s="54" t="str">
        <f t="shared" si="26"/>
        <v>N</v>
      </c>
      <c r="X130" s="120">
        <f t="shared" si="38"/>
        <v>1</v>
      </c>
      <c r="Y130" s="69">
        <f t="shared" si="28"/>
        <v>23.298300000000001</v>
      </c>
      <c r="Z130" s="69">
        <f t="shared" si="29"/>
        <v>1.4500000000000001E-2</v>
      </c>
      <c r="AA130" s="69">
        <f t="shared" si="30"/>
        <v>23.283799999999999</v>
      </c>
      <c r="AB130" s="66" t="e">
        <f>VLOOKUP(A130,Enforcements!$C$7:$J$21,8,0)</f>
        <v>#N/A</v>
      </c>
      <c r="AC130" s="62" t="e">
        <f>VLOOKUP(A130,Enforcements!$C$7:$E$21,3,0)</f>
        <v>#N/A</v>
      </c>
      <c r="AD130" s="63" t="str">
        <f t="shared" si="31"/>
        <v>0218-25</v>
      </c>
      <c r="AE130" s="99" t="str">
        <f t="shared" si="32"/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AF130" s="96" t="str">
        <f t="shared" si="33"/>
        <v>"C:\Program Files (x86)\AstroGrep\AstroGrep.exe" /spath="%USERPROFILE%\AppData\Local\Temp\OnboardLogs" /stypes="*4008*20160826*" /stext=" 01:.+((SYSTEM_STATE.+slice.+state.+changed )|(ment ac)|(system.+state.+changed )|(\|lc)|(penalty)|(\[timeout)|(PRM\|1\|D)|(kpr)|(kdp))" /e /r /s</v>
      </c>
      <c r="AG130" s="1" t="str">
        <f t="shared" si="34"/>
        <v>EC</v>
      </c>
      <c r="AH130" s="100" t="str">
        <f t="shared" si="35"/>
        <v>"%USERPROFILE%\Documents\GitHub\eaglep3\Utilities\RefineRTDCRunTimes.py" --tripid 218-25 --locoid 4008 --swversion DE.1.0.7.0 --startMP 204:232983 --initTime 2016-08-25T19:05:20 --startdatetime 2016-08-25T19:11:32 --delay 1 --endMP 204:145 --enddatetime 2016-08-25T19:51:35 --enforcementcount 1 &gt;&gt;C:\Users\stu\Documents\GitHub\eaglep3-reporting\EC\2016-08-25-refined-times.txt</v>
      </c>
      <c r="AI130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{"issue":{"subject":"","project_id":79,"tracker_id":40,"status_id":1,"priority_id":2,"assigned_to_id":23,"start_date":"2016-08-25","description":"","custom_fields":[{"id":1,"name":"Subdivision","value":"EC"},{"id":4,"name":"Milepost","value":"23.2838"},{"id":17,"name":"Train ID","value":"218-25"},{"id":16,"name":"Locomotive ID","value":"4008"},{"id":130,"name":"Impact","value":""},{"id":150,"name":"Time of Event (Mountain Time)","value":"19:51:35"},{"id":151,"name":"Denver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516</v>
      </c>
      <c r="B131" s="7">
        <v>4042</v>
      </c>
      <c r="C131" s="24" t="s">
        <v>113</v>
      </c>
      <c r="D131" s="24" t="s">
        <v>517</v>
      </c>
      <c r="E131" s="15">
        <v>42607.768391203703</v>
      </c>
      <c r="F131" s="15">
        <v>42607.771597222221</v>
      </c>
      <c r="G131" s="7">
        <v>1</v>
      </c>
      <c r="H131" s="15" t="s">
        <v>321</v>
      </c>
      <c r="I131" s="15">
        <v>42607.798611111109</v>
      </c>
      <c r="J131" s="7">
        <v>1</v>
      </c>
      <c r="K131" s="132" t="str">
        <f t="shared" si="20"/>
        <v>4041/4042</v>
      </c>
      <c r="L131" s="24" t="str">
        <f>VLOOKUP(A131,'Trips&amp;Operators'!$C$1:$E$10000,3,FALSE)</f>
        <v>ARVIDSON</v>
      </c>
      <c r="M131" s="6">
        <f t="shared" si="21"/>
        <v>2.7013888888177462E-2</v>
      </c>
      <c r="N131" s="7">
        <f t="shared" si="37"/>
        <v>38.899999998975545</v>
      </c>
      <c r="O131" s="7"/>
      <c r="P131" s="7"/>
      <c r="Q131" s="25"/>
      <c r="S131" s="37">
        <f t="shared" si="23"/>
        <v>1</v>
      </c>
      <c r="T131" s="52" t="str">
        <f t="shared" si="24"/>
        <v>NorthBound</v>
      </c>
      <c r="U131" s="12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17:26:29-0600',mode:absolute,to:'2016-08-25 20:10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31" s="54" t="str">
        <f t="shared" si="26"/>
        <v>N</v>
      </c>
      <c r="X131" s="120">
        <f t="shared" si="38"/>
        <v>1</v>
      </c>
      <c r="Y131" s="69">
        <f t="shared" si="28"/>
        <v>4.9299999999999997E-2</v>
      </c>
      <c r="Z131" s="69">
        <f t="shared" si="29"/>
        <v>23.3307</v>
      </c>
      <c r="AA131" s="69">
        <f t="shared" si="30"/>
        <v>23.281400000000001</v>
      </c>
      <c r="AB131" s="66" t="e">
        <f>VLOOKUP(A131,Enforcements!$C$7:$J$21,8,0)</f>
        <v>#N/A</v>
      </c>
      <c r="AC131" s="62" t="e">
        <f>VLOOKUP(A131,Enforcements!$C$7:$E$21,3,0)</f>
        <v>#N/A</v>
      </c>
      <c r="AD131" s="63" t="str">
        <f t="shared" si="31"/>
        <v>0219-25</v>
      </c>
      <c r="AE131" s="99" t="str">
        <f t="shared" si="3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131" s="96" t="str">
        <f t="shared" si="33"/>
        <v>"C:\Program Files (x86)\AstroGrep\AstroGrep.exe" /spath="%USERPROFILE%\AppData\Local\Temp\OnboardLogs" /stypes="*4042*20160826*" /stext=" 01:.+((SYSTEM_STATE.+slice.+state.+changed )|(ment ac)|(system.+state.+changed )|(\|lc)|(penalty)|(\[timeout)|(PRM\|1\|D)|(kpr)|(kdp))" /e /r /s</v>
      </c>
      <c r="AG131" s="1" t="str">
        <f t="shared" si="34"/>
        <v>EC</v>
      </c>
      <c r="AH131" s="100" t="str">
        <f t="shared" si="35"/>
        <v>"%USERPROFILE%\Documents\GitHub\eaglep3\Utilities\RefineRTDCRunTimes.py" --tripid 219-25 --locoid 4042 --swversion DE.1.0.7.0 --startMP 204:493 --initTime 2016-08-25T18:26:29 --startdatetime 2016-08-25T18:31:06 --delay 1 --endMP 204:233307 --enddatetime 2016-08-25T19:10:00 --enforcementcount 1 &gt;&gt;C:\Users\stu\Documents\GitHub\eaglep3-reporting\EC\2016-08-25-refined-times.txt</v>
      </c>
      <c r="AI131" s="149" t="str">
        <f>"echo {""issue"":{""subject"":"""&amp;R148&amp;""",""project_id"":79,""tracker_id"":40,""status_id"":"&amp;redmine_status&amp;",""priority_id"":"&amp;redmine_priority&amp;",""assigned_to_id"":"&amp;redmine_assignee&amp;",""start_date"":"""&amp;TEXT(I131,"YYYY-mm-dd")&amp;""",""description"":"""&amp;AJ131&amp;""",""custom_fields"":[{""id"":1,""name"":""Subdivision"",""value"":"""&amp;AG131&amp;"""},{""id"":4,""name"":""Milepost"",""value"":"""&amp;AA131&amp;"""},{""id"":17,""name"":""Train ID"",""value"":"""&amp;A131&amp;"""},{""id"":16,""name"":""Locomotive ID"",""value"":"""&amp;B131&amp;"""},{""id"":130,""name"":""Impact"",""value"":"""&amp;AK131&amp;"""},{""id"":150,""name"":""Time of Event (Mountain Time)"",""value"":"""&amp;TEXT(I131,"hh:mm:ss")&amp;"""},{""id"":151,""name"":""Denver Issue ID"",""value"":"""&amp;"""},{""id"":178,""name"":""Operational Impact"",""value"":"""&amp;redmine_op_impact&amp;"""},{""id"":179,""name"":""Denver Segment Assigned"",""value"":"""&amp;AL131&amp;"""}]}}"&amp;"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{"issue":{"subject":"","project_id":79,"tracker_id":40,"status_id":1,"priority_id":2,"assigned_to_id":23,"start_date":"2016-08-25","description":"","custom_fields":[{"id":1,"name":"Subdivision","value":"EC"},{"id":4,"name":"Milepost","value":"23.2814"},{"id":17,"name":"Train ID","value":"219-25"},{"id":16,"name":"Locomotive ID","value":"4042"},{"id":130,"name":"Impact","value":""},{"id":150,"name":"Time of Event (Mountain Time)","value":"19:10:00"},{"id":151,"name":"Denver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x14ac:dyDescent="0.25">
      <c r="A132" s="39" t="s">
        <v>518</v>
      </c>
      <c r="B132" s="7">
        <v>4041</v>
      </c>
      <c r="C132" s="24" t="s">
        <v>113</v>
      </c>
      <c r="D132" s="24" t="s">
        <v>319</v>
      </c>
      <c r="E132" s="15">
        <v>42607.801527777781</v>
      </c>
      <c r="F132" s="15">
        <v>42607.810115740744</v>
      </c>
      <c r="G132" s="7">
        <v>1</v>
      </c>
      <c r="H132" s="15" t="s">
        <v>177</v>
      </c>
      <c r="I132" s="15">
        <v>42607.83792824074</v>
      </c>
      <c r="J132" s="7">
        <v>1</v>
      </c>
      <c r="K132" s="132" t="str">
        <f t="shared" si="20"/>
        <v>4041/4042</v>
      </c>
      <c r="L132" s="24" t="str">
        <f>VLOOKUP(A132,'Trips&amp;Operators'!$C$1:$E$10000,3,FALSE)</f>
        <v>ARVIDSON</v>
      </c>
      <c r="M132" s="6">
        <f t="shared" si="21"/>
        <v>2.7812499996798579E-2</v>
      </c>
      <c r="N132" s="7">
        <f t="shared" si="37"/>
        <v>40.049999995389953</v>
      </c>
      <c r="O132" s="7"/>
      <c r="P132" s="7"/>
      <c r="Q132" s="25"/>
      <c r="R132" s="25"/>
      <c r="S132" s="37">
        <f t="shared" si="23"/>
        <v>1</v>
      </c>
      <c r="T132" s="52" t="str">
        <f t="shared" si="24"/>
        <v>Southbound</v>
      </c>
      <c r="U132" s="12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18:14:12-0600',mode:absolute,to:'2016-08-25 21:06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32" s="54" t="str">
        <f t="shared" si="26"/>
        <v>N</v>
      </c>
      <c r="X132" s="120">
        <f t="shared" si="38"/>
        <v>1</v>
      </c>
      <c r="Y132" s="69">
        <f t="shared" si="28"/>
        <v>23.296099999999999</v>
      </c>
      <c r="Z132" s="69">
        <f t="shared" si="29"/>
        <v>1.52E-2</v>
      </c>
      <c r="AA132" s="69">
        <f t="shared" si="30"/>
        <v>23.280899999999999</v>
      </c>
      <c r="AB132" s="66" t="e">
        <f>VLOOKUP(A132,Enforcements!$C$7:$J$21,8,0)</f>
        <v>#N/A</v>
      </c>
      <c r="AC132" s="62" t="e">
        <f>VLOOKUP(A132,Enforcements!$C$7:$E$21,3,0)</f>
        <v>#N/A</v>
      </c>
      <c r="AD132" s="63" t="str">
        <f t="shared" si="31"/>
        <v>0220-25</v>
      </c>
      <c r="AE132" s="99" t="str">
        <f t="shared" si="3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132" s="96" t="str">
        <f t="shared" si="33"/>
        <v>"C:\Program Files (x86)\AstroGrep\AstroGrep.exe" /spath="%USERPROFILE%\AppData\Local\Temp\OnboardLogs" /stypes="*4041*20160826*" /stext=" 02:.+((SYSTEM_STATE.+slice.+state.+changed )|(ment ac)|(system.+state.+changed )|(\|lc)|(penalty)|(\[timeout)|(PRM\|1\|D)|(kpr)|(kdp))" /e /r /s</v>
      </c>
      <c r="AG132" s="1" t="str">
        <f t="shared" si="34"/>
        <v>EC</v>
      </c>
      <c r="AH132" s="100" t="str">
        <f t="shared" si="35"/>
        <v>"%USERPROFILE%\Documents\GitHub\eaglep3\Utilities\RefineRTDCRunTimes.py" --tripid 220-25 --locoid 4041 --swversion DE.1.0.7.0 --startMP 204:232961 --initTime 2016-08-25T19:14:12 --startdatetime 2016-08-25T19:26:34 --delay 1 --endMP 204:152 --enddatetime 2016-08-25T20:06:37 --enforcementcount 1 &gt;&gt;C:\Users\stu\Documents\GitHub\eaglep3-reporting\EC\2016-08-25-refined-times.txt</v>
      </c>
      <c r="AI132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{"issue":{"subject":"","project_id":79,"tracker_id":40,"status_id":1,"priority_id":2,"assigned_to_id":23,"start_date":"2016-08-25","description":"","custom_fields":[{"id":1,"name":"Subdivision","value":"EC"},{"id":4,"name":"Milepost","value":"23.2809"},{"id":17,"name":"Train ID","value":"220-25"},{"id":16,"name":"Locomotive ID","value":"4041"},{"id":130,"name":"Impact","value":""},{"id":150,"name":"Time of Event (Mountain Time)","value":"20:06:37"},{"id":151,"name":"Denver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x14ac:dyDescent="0.25">
      <c r="A133" s="39" t="s">
        <v>519</v>
      </c>
      <c r="B133" s="7">
        <v>4031</v>
      </c>
      <c r="C133" s="24" t="s">
        <v>113</v>
      </c>
      <c r="D133" s="24" t="s">
        <v>407</v>
      </c>
      <c r="E133" s="15">
        <v>42607.787627314814</v>
      </c>
      <c r="F133" s="15">
        <v>42607.791851851849</v>
      </c>
      <c r="G133" s="7">
        <v>1</v>
      </c>
      <c r="H133" s="15" t="s">
        <v>320</v>
      </c>
      <c r="I133" s="15">
        <v>42607.817326388889</v>
      </c>
      <c r="J133" s="7">
        <v>1</v>
      </c>
      <c r="K133" s="132" t="str">
        <f t="shared" si="20"/>
        <v>4031/4032</v>
      </c>
      <c r="L133" s="24" t="str">
        <f>VLOOKUP(A133,'Trips&amp;Operators'!$C$1:$E$10000,3,FALSE)</f>
        <v>LEVERE</v>
      </c>
      <c r="M133" s="6">
        <f t="shared" si="21"/>
        <v>2.5474537040281575E-2</v>
      </c>
      <c r="N133" s="7">
        <f t="shared" si="37"/>
        <v>36.683333338005468</v>
      </c>
      <c r="O133" s="7"/>
      <c r="P133" s="7"/>
      <c r="Q133" s="25"/>
      <c r="R133" s="25"/>
      <c r="S133" s="37">
        <f t="shared" si="23"/>
        <v>1</v>
      </c>
      <c r="T133" s="52" t="str">
        <f t="shared" si="24"/>
        <v>NorthBound</v>
      </c>
      <c r="U133" s="12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17:54:11-0600',mode:absolute,to:'2016-08-25 20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33" s="54" t="str">
        <f t="shared" si="26"/>
        <v>N</v>
      </c>
      <c r="X133" s="120">
        <f t="shared" si="38"/>
        <v>1</v>
      </c>
      <c r="Y133" s="69">
        <f t="shared" si="28"/>
        <v>4.3700000000000003E-2</v>
      </c>
      <c r="Z133" s="69">
        <f t="shared" si="29"/>
        <v>23.328900000000001</v>
      </c>
      <c r="AA133" s="69">
        <f t="shared" si="30"/>
        <v>23.2852</v>
      </c>
      <c r="AB133" s="66" t="e">
        <f>VLOOKUP(A133,Enforcements!$C$7:$J$21,8,0)</f>
        <v>#N/A</v>
      </c>
      <c r="AC133" s="62" t="e">
        <f>VLOOKUP(A133,Enforcements!$C$7:$E$21,3,0)</f>
        <v>#N/A</v>
      </c>
      <c r="AD133" s="63" t="str">
        <f t="shared" si="31"/>
        <v>0221-25</v>
      </c>
      <c r="AE133" s="99" t="str">
        <f t="shared" si="32"/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133" s="96" t="str">
        <f t="shared" si="33"/>
        <v>"C:\Program Files (x86)\AstroGrep\AstroGrep.exe" /spath="%USERPROFILE%\AppData\Local\Temp\OnboardLogs" /stypes="*4031*20160826*" /stext=" 01:.+((SYSTEM_STATE.+slice.+state.+changed )|(ment ac)|(system.+state.+changed )|(\|lc)|(penalty)|(\[timeout)|(PRM\|1\|D)|(kpr)|(kdp))" /e /r /s</v>
      </c>
      <c r="AG133" s="1" t="str">
        <f t="shared" si="34"/>
        <v>EC</v>
      </c>
      <c r="AH133" s="100" t="str">
        <f t="shared" si="35"/>
        <v>"%USERPROFILE%\Documents\GitHub\eaglep3\Utilities\RefineRTDCRunTimes.py" --tripid 221-25 --locoid 4031 --swversion DE.1.0.7.0 --startMP 204:437 --initTime 2016-08-25T18:54:11 --startdatetime 2016-08-25T19:00:16 --delay 1 --endMP 204:233289 --enddatetime 2016-08-25T19:36:57 --enforcementcount 1 &gt;&gt;C:\Users\stu\Documents\GitHub\eaglep3-reporting\EC\2016-08-25-refined-times.txt</v>
      </c>
      <c r="AI133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{"issue":{"subject":"","project_id":79,"tracker_id":40,"status_id":1,"priority_id":2,"assigned_to_id":23,"start_date":"2016-08-25","description":"","custom_fields":[{"id":1,"name":"Subdivision","value":"EC"},{"id":4,"name":"Milepost","value":"23.2852"},{"id":17,"name":"Train ID","value":"221-25"},{"id":16,"name":"Locomotive ID","value":"4031"},{"id":130,"name":"Impact","value":""},{"id":150,"name":"Time of Event (Mountain Time)","value":"19:36:57"},{"id":151,"name":"Denver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s="23" customFormat="1" x14ac:dyDescent="0.25">
      <c r="A134" s="39" t="s">
        <v>520</v>
      </c>
      <c r="B134" s="7">
        <v>4032</v>
      </c>
      <c r="C134" s="24" t="s">
        <v>113</v>
      </c>
      <c r="D134" s="24" t="s">
        <v>315</v>
      </c>
      <c r="E134" s="15">
        <v>42607.822337962964</v>
      </c>
      <c r="F134" s="15">
        <v>42607.830833333333</v>
      </c>
      <c r="G134" s="7">
        <v>1</v>
      </c>
      <c r="H134" s="15" t="s">
        <v>177</v>
      </c>
      <c r="I134" s="15">
        <v>42607.857708333337</v>
      </c>
      <c r="J134" s="7">
        <v>1</v>
      </c>
      <c r="K134" s="132" t="str">
        <f t="shared" si="20"/>
        <v>4031/4032</v>
      </c>
      <c r="L134" s="24" t="str">
        <f>VLOOKUP(A134,'Trips&amp;Operators'!$C$1:$E$10000,3,FALSE)</f>
        <v>LEVERE</v>
      </c>
      <c r="M134" s="6">
        <f t="shared" si="21"/>
        <v>2.6875000003201421E-2</v>
      </c>
      <c r="N134" s="7">
        <f t="shared" si="37"/>
        <v>38.700000004610047</v>
      </c>
      <c r="O134" s="7"/>
      <c r="P134" s="7"/>
      <c r="Q134" s="25"/>
      <c r="R134" s="25"/>
      <c r="S134" s="37">
        <f t="shared" si="23"/>
        <v>1</v>
      </c>
      <c r="T134" s="52" t="str">
        <f t="shared" si="24"/>
        <v>Southbound</v>
      </c>
      <c r="U134" s="12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18:44:10-0600',mode:absolute,to:'2016-08-25 21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34" s="54" t="str">
        <f t="shared" si="26"/>
        <v>N</v>
      </c>
      <c r="X134" s="120">
        <f t="shared" si="38"/>
        <v>1</v>
      </c>
      <c r="Y134" s="69">
        <f t="shared" si="28"/>
        <v>23.297899999999998</v>
      </c>
      <c r="Z134" s="69">
        <f t="shared" si="29"/>
        <v>1.52E-2</v>
      </c>
      <c r="AA134" s="69">
        <f t="shared" si="30"/>
        <v>23.282699999999998</v>
      </c>
      <c r="AB134" s="66" t="e">
        <f>VLOOKUP(A134,Enforcements!$C$7:$J$21,8,0)</f>
        <v>#N/A</v>
      </c>
      <c r="AC134" s="62" t="e">
        <f>VLOOKUP(A134,Enforcements!$C$7:$E$21,3,0)</f>
        <v>#N/A</v>
      </c>
      <c r="AD134" s="63" t="str">
        <f t="shared" si="31"/>
        <v>0222-25</v>
      </c>
      <c r="AE134" s="99" t="str">
        <f t="shared" si="3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134" s="96" t="str">
        <f t="shared" si="33"/>
        <v>"C:\Program Files (x86)\AstroGrep\AstroGrep.exe" /spath="%USERPROFILE%\AppData\Local\Temp\OnboardLogs" /stypes="*4032*20160826*" /stext=" 02:.+((SYSTEM_STATE.+slice.+state.+changed )|(ment ac)|(system.+state.+changed )|(\|lc)|(penalty)|(\[timeout)|(PRM\|1\|D)|(kpr)|(kdp))" /e /r /s</v>
      </c>
      <c r="AG134" s="1" t="str">
        <f t="shared" si="34"/>
        <v>EC</v>
      </c>
      <c r="AH134" s="100" t="str">
        <f t="shared" si="35"/>
        <v>"%USERPROFILE%\Documents\GitHub\eaglep3\Utilities\RefineRTDCRunTimes.py" --tripid 222-25 --locoid 4032 --swversion DE.1.0.7.0 --startMP 204:232979 --initTime 2016-08-25T19:44:10 --startdatetime 2016-08-25T19:56:24 --delay 1 --endMP 204:152 --enddatetime 2016-08-25T20:35:06 --enforcementcount 1 &gt;&gt;C:\Users\stu\Documents\GitHub\eaglep3-reporting\EC\2016-08-25-refined-times.txt</v>
      </c>
      <c r="AI134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{"issue":{"subject":"","project_id":79,"tracker_id":40,"status_id":1,"priority_id":2,"assigned_to_id":23,"start_date":"2016-08-25","description":"","custom_fields":[{"id":1,"name":"Subdivision","value":"EC"},{"id":4,"name":"Milepost","value":"23.2827"},{"id":17,"name":"Train ID","value":"222-25"},{"id":16,"name":"Locomotive ID","value":"4032"},{"id":130,"name":"Impact","value":""},{"id":150,"name":"Time of Event (Mountain Time)","value":"20:35:06"},{"id":151,"name":"Denver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x14ac:dyDescent="0.25">
      <c r="A135" s="39" t="s">
        <v>521</v>
      </c>
      <c r="B135" s="7">
        <v>4044</v>
      </c>
      <c r="C135" s="24" t="s">
        <v>113</v>
      </c>
      <c r="D135" s="24" t="s">
        <v>138</v>
      </c>
      <c r="E135" s="15">
        <v>42607.810393518521</v>
      </c>
      <c r="F135" s="15">
        <v>42607.812743055554</v>
      </c>
      <c r="G135" s="7">
        <v>1</v>
      </c>
      <c r="H135" s="15" t="s">
        <v>197</v>
      </c>
      <c r="I135" s="15">
        <v>42607.838206018518</v>
      </c>
      <c r="J135" s="7">
        <v>1</v>
      </c>
      <c r="K135" s="132" t="str">
        <f t="shared" si="20"/>
        <v>4043/4044</v>
      </c>
      <c r="L135" s="24" t="str">
        <f>VLOOKUP(A135,'Trips&amp;Operators'!$C$1:$E$10000,3,FALSE)</f>
        <v>OUN</v>
      </c>
      <c r="M135" s="6">
        <f t="shared" si="21"/>
        <v>2.5462962963501923E-2</v>
      </c>
      <c r="N135" s="7">
        <f t="shared" si="37"/>
        <v>36.666666667442769</v>
      </c>
      <c r="O135" s="7"/>
      <c r="P135" s="7"/>
      <c r="Q135" s="25"/>
      <c r="R135" s="25"/>
      <c r="S135" s="37">
        <f t="shared" si="23"/>
        <v>1</v>
      </c>
      <c r="T135" s="52" t="str">
        <f t="shared" si="24"/>
        <v>NorthBound</v>
      </c>
      <c r="U135" s="12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18:26:58-0600',mode:absolute,to:'2016-08-25 21:07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35" s="54" t="str">
        <f t="shared" si="26"/>
        <v>N</v>
      </c>
      <c r="X135" s="120">
        <f t="shared" ref="X135:X147" si="39">VALUE(LEFT(AD135,4))-VALUE(LEFT(AD134,4))</f>
        <v>1</v>
      </c>
      <c r="Y135" s="69">
        <f t="shared" si="28"/>
        <v>4.6899999999999997E-2</v>
      </c>
      <c r="Z135" s="69">
        <f t="shared" si="29"/>
        <v>23.3293</v>
      </c>
      <c r="AA135" s="69">
        <f t="shared" si="30"/>
        <v>23.282399999999999</v>
      </c>
      <c r="AB135" s="66" t="e">
        <f>VLOOKUP(A135,Enforcements!$C$7:$J$21,8,0)</f>
        <v>#N/A</v>
      </c>
      <c r="AC135" s="62" t="e">
        <f>VLOOKUP(A135,Enforcements!$C$7:$E$21,3,0)</f>
        <v>#N/A</v>
      </c>
      <c r="AD135" s="63" t="str">
        <f t="shared" si="31"/>
        <v>0223-25</v>
      </c>
      <c r="AE135" s="99" t="str">
        <f t="shared" si="3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135" s="96" t="str">
        <f t="shared" si="33"/>
        <v>"C:\Program Files (x86)\AstroGrep\AstroGrep.exe" /spath="%USERPROFILE%\AppData\Local\Temp\OnboardLogs" /stypes="*4044*20160826*" /stext=" 02:.+((SYSTEM_STATE.+slice.+state.+changed )|(ment ac)|(system.+state.+changed )|(\|lc)|(penalty)|(\[timeout)|(PRM\|1\|D)|(kpr)|(kdp))" /e /r /s</v>
      </c>
      <c r="AG135" s="1" t="str">
        <f t="shared" si="34"/>
        <v>EC</v>
      </c>
      <c r="AH135" s="100" t="str">
        <f t="shared" si="35"/>
        <v>"%USERPROFILE%\Documents\GitHub\eaglep3\Utilities\RefineRTDCRunTimes.py" --tripid 223-25 --locoid 4044 --swversion DE.1.0.7.0 --startMP 204:469 --initTime 2016-08-25T19:26:58 --startdatetime 2016-08-25T19:30:21 --delay 1 --endMP 204:233293 --enddatetime 2016-08-25T20:07:01 --enforcementcount 1 &gt;&gt;C:\Users\stu\Documents\GitHub\eaglep3-reporting\EC\2016-08-25-refined-times.txt</v>
      </c>
      <c r="AI135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{"issue":{"subject":"","project_id":79,"tracker_id":40,"status_id":1,"priority_id":2,"assigned_to_id":23,"start_date":"2016-08-25","description":"","custom_fields":[{"id":1,"name":"Subdivision","value":"EC"},{"id":4,"name":"Milepost","value":"23.2824"},{"id":17,"name":"Train ID","value":"223-25"},{"id":16,"name":"Locomotive ID","value":"4044"},{"id":130,"name":"Impact","value":""},{"id":150,"name":"Time of Event (Mountain Time)","value":"20:07:01"},{"id":151,"name":"Denver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707</v>
      </c>
      <c r="B136" s="7">
        <v>4043</v>
      </c>
      <c r="C136" s="24"/>
      <c r="D136" s="24"/>
      <c r="E136" s="15"/>
      <c r="F136" s="15"/>
      <c r="G136" s="7"/>
      <c r="H136" s="15"/>
      <c r="I136" s="15"/>
      <c r="J136" s="7"/>
      <c r="K136" s="132" t="str">
        <f t="shared" si="20"/>
        <v>4043/4044</v>
      </c>
      <c r="L136" s="24" t="e">
        <f>VLOOKUP(A136,'Trips&amp;Operators'!$C$1:$E$10000,3,FALSE)</f>
        <v>#N/A</v>
      </c>
      <c r="M136" s="6">
        <f t="shared" si="21"/>
        <v>0</v>
      </c>
      <c r="N136" s="7"/>
      <c r="O136" s="7"/>
      <c r="P136" s="7">
        <v>1</v>
      </c>
      <c r="Q136" s="25"/>
      <c r="R136" s="25" t="s">
        <v>183</v>
      </c>
      <c r="S136" s="37">
        <f t="shared" si="23"/>
        <v>0</v>
      </c>
      <c r="T136" s="52" t="str">
        <f t="shared" si="24"/>
        <v>Southbound</v>
      </c>
      <c r="U136" s="12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0</v>
      </c>
      <c r="V136" s="106" t="e">
        <f t="shared" si="25"/>
        <v>#VALUE!</v>
      </c>
      <c r="W136" s="54" t="e">
        <f t="shared" si="26"/>
        <v>#VALUE!</v>
      </c>
      <c r="X136" s="120">
        <f t="shared" si="39"/>
        <v>1</v>
      </c>
      <c r="Y136" s="69" t="e">
        <f t="shared" si="28"/>
        <v>#VALUE!</v>
      </c>
      <c r="Z136" s="69" t="e">
        <f t="shared" si="29"/>
        <v>#VALUE!</v>
      </c>
      <c r="AA136" s="69" t="e">
        <f t="shared" si="30"/>
        <v>#VALUE!</v>
      </c>
      <c r="AB136" s="66" t="e">
        <f>VLOOKUP(A136,Enforcements!$C$7:$J$21,8,0)</f>
        <v>#N/A</v>
      </c>
      <c r="AC136" s="62" t="e">
        <f>VLOOKUP(A136,Enforcements!$C$7:$E$21,3,0)</f>
        <v>#N/A</v>
      </c>
      <c r="AD136" s="63" t="str">
        <f t="shared" si="31"/>
        <v>0224-25</v>
      </c>
      <c r="AE136" s="99" t="str">
        <f t="shared" si="32"/>
        <v>aws s3 cp s3://rtdc.mdm.uploadarchive/RTDC4043/1900-01-00/ "%USERPROFILE%\AppData\Local\Temp\OnboardLogs"\RTDC4043\1900-01-00 --recursive &amp; "%USERPROFILE%\Documents\GitHub\mrs-test-scripts\Headless Mode &amp; Sideloading\WalkAndUnGZ.bat" "%USERPROFILE%\AppData\Local\Temp\OnboardLogs"\RTDC4043\1900-01-00 &amp; aws s3 cp s3://rtdc.mdm.uploadarchive/RTDC4043/1900-01-01/ "%USERPROFILE%\AppData\Local\Temp\OnboardLogs"\RTDC4043\1900-01-01 --recursive &amp; "%USERPROFILE%\Documents\GitHub\mrs-test-scripts\Headless Mode &amp; Sideloading\WalkAndUnGZ.bat" "%USERPROFILE%\AppData\Local\Temp\OnboardLogs"\RTDC4043\1900-01-01</v>
      </c>
      <c r="AF136" s="96" t="str">
        <f t="shared" si="33"/>
        <v>"C:\Program Files (x86)\AstroGrep\AstroGrep.exe" /spath="%USERPROFILE%\AppData\Local\Temp\OnboardLogs" /stypes="*4043*19000100*" /stext=" 06:.+((SYSTEM_STATE.+slice.+state.+changed )|(ment ac)|(system.+state.+changed )|(\|lc)|(penalty)|(\[timeout)|(PRM\|1\|D)|(kpr)|(kdp))" /e /r /s</v>
      </c>
      <c r="AG136" s="1" t="str">
        <f t="shared" si="34"/>
        <v>EC</v>
      </c>
      <c r="AH136" s="100" t="str">
        <f t="shared" si="35"/>
        <v>"%USERPROFILE%\Documents\GitHub\eaglep3\Utilities\RefineRTDCRunTimes.py" --tripid 224-25 --locoid 4043 --swversion  --startMP  --initTime 1900-01-00T00:00:00 --startdatetime 1900-01-00T00:00:00 --delay  --endMP  --enddatetime 1900-01-00T00:00:00 --enforcementcount  &gt;&gt;C:\Users\stu\Documents\GitHub\eaglep3-reporting\EC\2016-08-25-refined-times.txt</v>
      </c>
      <c r="AI136" s="149" t="e">
        <f t="shared" ref="AI136" si="40">"echo {""issue"":{""subject"":"""&amp;R136&amp;""",""project_id"":79,""tracker_id"":40,""status_id"":"&amp;redmine_status&amp;",""priority_id"":"&amp;redmine_priority&amp;",""assigned_to_id"":"&amp;redmine_assignee&amp;",""start_date"":"""&amp;TEXT(I136,"YYYY-mm-dd")&amp;""",""description"":"""&amp;AJ136&amp;""",""custom_fields"":[{""id"":1,""name"":""Subdivision"",""value"":"""&amp;AG136&amp;"""},{""id"":4,""name"":""Milepost"",""value"":"""&amp;AA136&amp;"""},{""id"":17,""name"":""Train ID"",""value"":"""&amp;A136&amp;"""},{""id"":16,""name"":""Locomotive ID"",""value"":"""&amp;B136&amp;"""},{""id"":130,""name"":""Impact"",""value"":"""&amp;AK136&amp;"""},{""id"":150,""name"":""Time of Event (Mountain Time)"",""value"":"""&amp;TEXT(I136,"hh:mm:ss")&amp;"""},{""id"":151,""name"":""Denver Issue ID"",""value"":"""&amp;"""},{""id"":178,""name"":""Operational Impact"",""value"":"""&amp;redmine_op_impact&amp;"""},{""id"":179,""name"":""Denver Segment Assigned"",""value"":"""&amp;AL136&amp;"""}]}}"&amp;" | curl -X POST -H ""Content-Type: application/json"" -H ""X-Redmine-API-Key: "&amp;redm_api_key&amp;""" "&amp;redm_url&amp;" --data @-"</f>
        <v>#VALUE!</v>
      </c>
      <c r="AJ136" s="55"/>
      <c r="AK136" s="55"/>
      <c r="AL136" s="55"/>
    </row>
    <row r="137" spans="1:38" s="23" customFormat="1" x14ac:dyDescent="0.25">
      <c r="A137" s="39" t="s">
        <v>522</v>
      </c>
      <c r="B137" s="7">
        <v>4007</v>
      </c>
      <c r="C137" s="24" t="s">
        <v>113</v>
      </c>
      <c r="D137" s="24" t="s">
        <v>191</v>
      </c>
      <c r="E137" s="15">
        <v>42607.830694444441</v>
      </c>
      <c r="F137" s="15">
        <v>42607.833587962959</v>
      </c>
      <c r="G137" s="7">
        <v>1</v>
      </c>
      <c r="H137" s="15" t="s">
        <v>242</v>
      </c>
      <c r="I137" s="15">
        <v>42607.859733796293</v>
      </c>
      <c r="J137" s="7">
        <v>1</v>
      </c>
      <c r="K137" s="132" t="str">
        <f t="shared" si="20"/>
        <v>4007/4008</v>
      </c>
      <c r="L137" s="24" t="str">
        <f>VLOOKUP(A137,'Trips&amp;Operators'!$C$1:$E$10000,3,FALSE)</f>
        <v>SWANSON</v>
      </c>
      <c r="M137" s="6">
        <f t="shared" si="21"/>
        <v>2.6145833333430346E-2</v>
      </c>
      <c r="N137" s="7">
        <f t="shared" ref="N137:N143" si="41">24*60*SUM($M137:$M137)</f>
        <v>37.650000000139698</v>
      </c>
      <c r="O137" s="7"/>
      <c r="P137" s="7"/>
      <c r="Q137" s="25"/>
      <c r="R137" s="25"/>
      <c r="S137" s="37">
        <f t="shared" si="23"/>
        <v>1</v>
      </c>
      <c r="T137" s="52" t="str">
        <f t="shared" si="24"/>
        <v>NorthBound</v>
      </c>
      <c r="U137" s="12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18:56:12-0600',mode:absolute,to:'2016-08-25 21:38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37" s="54" t="str">
        <f t="shared" si="26"/>
        <v>N</v>
      </c>
      <c r="X137" s="120">
        <f t="shared" si="39"/>
        <v>1</v>
      </c>
      <c r="Y137" s="69">
        <f t="shared" si="28"/>
        <v>4.4699999999999997E-2</v>
      </c>
      <c r="Z137" s="69">
        <f t="shared" si="29"/>
        <v>23.328499999999998</v>
      </c>
      <c r="AA137" s="69">
        <f t="shared" si="30"/>
        <v>23.283799999999999</v>
      </c>
      <c r="AB137" s="66" t="e">
        <f>VLOOKUP(A137,Enforcements!$C$7:$J$21,8,0)</f>
        <v>#N/A</v>
      </c>
      <c r="AC137" s="62" t="e">
        <f>VLOOKUP(A137,Enforcements!$C$7:$E$21,3,0)</f>
        <v>#N/A</v>
      </c>
      <c r="AD137" s="63" t="str">
        <f t="shared" si="31"/>
        <v>0225-25</v>
      </c>
      <c r="AE137" s="99" t="str">
        <f t="shared" si="3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137" s="96" t="str">
        <f t="shared" si="33"/>
        <v>"C:\Program Files (x86)\AstroGrep\AstroGrep.exe" /spath="%USERPROFILE%\AppData\Local\Temp\OnboardLogs" /stypes="*4007*20160826*" /stext=" 02:.+((SYSTEM_STATE.+slice.+state.+changed )|(ment ac)|(system.+state.+changed )|(\|lc)|(penalty)|(\[timeout)|(PRM\|1\|D)|(kpr)|(kdp))" /e /r /s</v>
      </c>
      <c r="AG137" s="1" t="str">
        <f t="shared" si="34"/>
        <v>EC</v>
      </c>
      <c r="AH137" s="100" t="str">
        <f t="shared" si="35"/>
        <v>"%USERPROFILE%\Documents\GitHub\eaglep3\Utilities\RefineRTDCRunTimes.py" --tripid 225-25 --locoid 4007 --swversion DE.1.0.7.0 --startMP 204:447 --initTime 2016-08-25T19:56:12 --startdatetime 2016-08-25T20:00:22 --delay 1 --endMP 204:233285 --enddatetime 2016-08-25T20:38:01 --enforcementcount 1 &gt;&gt;C:\Users\stu\Documents\GitHub\eaglep3-reporting\EC\2016-08-25-refined-times.txt</v>
      </c>
      <c r="AI137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{"issue":{"subject":"","project_id":79,"tracker_id":40,"status_id":1,"priority_id":2,"assigned_to_id":23,"start_date":"2016-08-25","description":"","custom_fields":[{"id":1,"name":"Subdivision","value":"EC"},{"id":4,"name":"Milepost","value":"23.2838"},{"id":17,"name":"Train ID","value":"225-25"},{"id":16,"name":"Locomotive ID","value":"4007"},{"id":130,"name":"Impact","value":""},{"id":150,"name":"Time of Event (Mountain Time)","value":"20:38:01"},{"id":151,"name":"Denver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523</v>
      </c>
      <c r="B138" s="7">
        <v>4008</v>
      </c>
      <c r="C138" s="24" t="s">
        <v>113</v>
      </c>
      <c r="D138" s="24" t="s">
        <v>235</v>
      </c>
      <c r="E138" s="15">
        <v>42607.87023148148</v>
      </c>
      <c r="F138" s="15">
        <v>42607.872442129628</v>
      </c>
      <c r="G138" s="7">
        <v>1</v>
      </c>
      <c r="H138" s="15" t="s">
        <v>177</v>
      </c>
      <c r="I138" s="15">
        <v>42607.902453703704</v>
      </c>
      <c r="J138" s="7">
        <v>1</v>
      </c>
      <c r="K138" s="132" t="str">
        <f t="shared" si="20"/>
        <v>4007/4008</v>
      </c>
      <c r="L138" s="24" t="str">
        <f>VLOOKUP(A138,'Trips&amp;Operators'!$C$1:$E$10000,3,FALSE)</f>
        <v>SWANSON</v>
      </c>
      <c r="M138" s="6">
        <f t="shared" si="21"/>
        <v>3.0011574075615499E-2</v>
      </c>
      <c r="N138" s="7">
        <f t="shared" si="41"/>
        <v>43.216666668886319</v>
      </c>
      <c r="O138" s="7"/>
      <c r="P138" s="7"/>
      <c r="Q138" s="25"/>
      <c r="R138" s="25"/>
      <c r="S138" s="37">
        <f t="shared" si="23"/>
        <v>1</v>
      </c>
      <c r="T138" s="52" t="str">
        <f t="shared" si="24"/>
        <v>Southbound</v>
      </c>
      <c r="U138" s="12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19:53:08-0600',mode:absolute,to:'2016-08-25 22:39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38" s="54" t="str">
        <f t="shared" si="26"/>
        <v>N</v>
      </c>
      <c r="X138" s="120">
        <f t="shared" si="39"/>
        <v>1</v>
      </c>
      <c r="Y138" s="69">
        <f t="shared" si="28"/>
        <v>23.3002</v>
      </c>
      <c r="Z138" s="69">
        <f t="shared" si="29"/>
        <v>1.52E-2</v>
      </c>
      <c r="AA138" s="69">
        <f t="shared" si="30"/>
        <v>23.285</v>
      </c>
      <c r="AB138" s="66" t="e">
        <f>VLOOKUP(A138,Enforcements!$C$7:$J$21,8,0)</f>
        <v>#N/A</v>
      </c>
      <c r="AC138" s="62" t="e">
        <f>VLOOKUP(A138,Enforcements!$C$7:$E$21,3,0)</f>
        <v>#N/A</v>
      </c>
      <c r="AD138" s="63" t="str">
        <f t="shared" si="31"/>
        <v>0226-25</v>
      </c>
      <c r="AE138" s="99" t="str">
        <f t="shared" si="32"/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AF138" s="96" t="str">
        <f t="shared" si="33"/>
        <v>"C:\Program Files (x86)\AstroGrep\AstroGrep.exe" /spath="%USERPROFILE%\AppData\Local\Temp\OnboardLogs" /stypes="*4008*20160826*" /stext=" 03:.+((SYSTEM_STATE.+slice.+state.+changed )|(ment ac)|(system.+state.+changed )|(\|lc)|(penalty)|(\[timeout)|(PRM\|1\|D)|(kpr)|(kdp))" /e /r /s</v>
      </c>
      <c r="AG138" s="1" t="str">
        <f t="shared" si="34"/>
        <v>EC</v>
      </c>
      <c r="AH138" s="100" t="str">
        <f t="shared" si="35"/>
        <v>"%USERPROFILE%\Documents\GitHub\eaglep3\Utilities\RefineRTDCRunTimes.py" --tripid 226-25 --locoid 4008 --swversion DE.1.0.7.0 --startMP 204:233002 --initTime 2016-08-25T20:53:08 --startdatetime 2016-08-25T20:56:19 --delay 1 --endMP 204:152 --enddatetime 2016-08-25T21:39:32 --enforcementcount 1 &gt;&gt;C:\Users\stu\Documents\GitHub\eaglep3-reporting\EC\2016-08-25-refined-times.txt</v>
      </c>
      <c r="AI138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{"issue":{"subject":"","project_id":79,"tracker_id":40,"status_id":1,"priority_id":2,"assigned_to_id":23,"start_date":"2016-08-25","description":"","custom_fields":[{"id":1,"name":"Subdivision","value":"EC"},{"id":4,"name":"Milepost","value":"23.285"},{"id":17,"name":"Train ID","value":"226-25"},{"id":16,"name":"Locomotive ID","value":"4008"},{"id":130,"name":"Impact","value":""},{"id":150,"name":"Time of Event (Mountain Time)","value":"21:39:32"},{"id":151,"name":"Denver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x14ac:dyDescent="0.25">
      <c r="A139" s="39" t="s">
        <v>524</v>
      </c>
      <c r="B139" s="7">
        <v>4042</v>
      </c>
      <c r="C139" s="24" t="s">
        <v>113</v>
      </c>
      <c r="D139" s="24" t="s">
        <v>141</v>
      </c>
      <c r="E139" s="15">
        <v>42607.848368055558</v>
      </c>
      <c r="F139" s="15">
        <v>42607.854803240742</v>
      </c>
      <c r="G139" s="7">
        <v>1</v>
      </c>
      <c r="H139" s="15" t="s">
        <v>200</v>
      </c>
      <c r="I139" s="15">
        <v>42607.882118055553</v>
      </c>
      <c r="J139" s="7">
        <v>1</v>
      </c>
      <c r="K139" s="132" t="str">
        <f t="shared" si="20"/>
        <v>4041/4042</v>
      </c>
      <c r="L139" s="24" t="str">
        <f>VLOOKUP(A139,'Trips&amp;Operators'!$C$1:$E$10000,3,FALSE)</f>
        <v>ARVIDSON</v>
      </c>
      <c r="M139" s="6">
        <f t="shared" si="21"/>
        <v>2.7314814811688848E-2</v>
      </c>
      <c r="N139" s="7">
        <f t="shared" si="41"/>
        <v>39.333333328831941</v>
      </c>
      <c r="O139" s="7"/>
      <c r="P139" s="7"/>
      <c r="Q139" s="25"/>
      <c r="R139" s="25"/>
      <c r="S139" s="37">
        <f t="shared" si="23"/>
        <v>1</v>
      </c>
      <c r="T139" s="52" t="str">
        <f t="shared" si="24"/>
        <v>NorthBound</v>
      </c>
      <c r="U139" s="12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19:21:39-0600',mode:absolute,to:'2016-08-25 22:10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39" s="54" t="str">
        <f t="shared" si="26"/>
        <v>N</v>
      </c>
      <c r="X139" s="120">
        <f t="shared" si="39"/>
        <v>1</v>
      </c>
      <c r="Y139" s="69">
        <f t="shared" si="28"/>
        <v>4.5699999999999998E-2</v>
      </c>
      <c r="Z139" s="69">
        <f t="shared" si="29"/>
        <v>23.329799999999999</v>
      </c>
      <c r="AA139" s="69">
        <f t="shared" si="30"/>
        <v>23.284099999999999</v>
      </c>
      <c r="AB139" s="66" t="e">
        <f>VLOOKUP(A139,Enforcements!$C$7:$J$21,8,0)</f>
        <v>#N/A</v>
      </c>
      <c r="AC139" s="62" t="e">
        <f>VLOOKUP(A139,Enforcements!$C$7:$E$21,3,0)</f>
        <v>#N/A</v>
      </c>
      <c r="AD139" s="63" t="str">
        <f t="shared" si="31"/>
        <v>0227-25</v>
      </c>
      <c r="AE139" s="99" t="str">
        <f t="shared" si="3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139" s="96" t="str">
        <f t="shared" si="33"/>
        <v>"C:\Program Files (x86)\AstroGrep\AstroGrep.exe" /spath="%USERPROFILE%\AppData\Local\Temp\OnboardLogs" /stypes="*4042*20160826*" /stext=" 03:.+((SYSTEM_STATE.+slice.+state.+changed )|(ment ac)|(system.+state.+changed )|(\|lc)|(penalty)|(\[timeout)|(PRM\|1\|D)|(kpr)|(kdp))" /e /r /s</v>
      </c>
      <c r="AG139" s="1" t="str">
        <f t="shared" si="34"/>
        <v>EC</v>
      </c>
      <c r="AH139" s="100" t="str">
        <f t="shared" si="35"/>
        <v>"%USERPROFILE%\Documents\GitHub\eaglep3\Utilities\RefineRTDCRunTimes.py" --tripid 227-25 --locoid 4042 --swversion DE.1.0.7.0 --startMP 204:457 --initTime 2016-08-25T20:21:39 --startdatetime 2016-08-25T20:30:55 --delay 1 --endMP 204:233298 --enddatetime 2016-08-25T21:10:15 --enforcementcount 1 &gt;&gt;C:\Users\stu\Documents\GitHub\eaglep3-reporting\EC\2016-08-25-refined-times.txt</v>
      </c>
      <c r="AI139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{"issue":{"subject":"","project_id":79,"tracker_id":40,"status_id":1,"priority_id":2,"assigned_to_id":23,"start_date":"2016-08-25","description":"","custom_fields":[{"id":1,"name":"Subdivision","value":"EC"},{"id":4,"name":"Milepost","value":"23.2841"},{"id":17,"name":"Train ID","value":"227-25"},{"id":16,"name":"Locomotive ID","value":"4042"},{"id":130,"name":"Impact","value":""},{"id":150,"name":"Time of Event (Mountain Time)","value":"21:10:15"},{"id":151,"name":"Denver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525</v>
      </c>
      <c r="B140" s="7">
        <v>4041</v>
      </c>
      <c r="C140" s="24" t="s">
        <v>113</v>
      </c>
      <c r="D140" s="24" t="s">
        <v>323</v>
      </c>
      <c r="E140" s="15">
        <v>42607.887754629628</v>
      </c>
      <c r="F140" s="15">
        <v>42607.893333333333</v>
      </c>
      <c r="G140" s="7">
        <v>1</v>
      </c>
      <c r="H140" s="15" t="s">
        <v>153</v>
      </c>
      <c r="I140" s="15">
        <v>42607.922002314815</v>
      </c>
      <c r="J140" s="7">
        <v>1</v>
      </c>
      <c r="K140" s="132" t="str">
        <f t="shared" si="20"/>
        <v>4041/4042</v>
      </c>
      <c r="L140" s="24" t="str">
        <f>VLOOKUP(A140,'Trips&amp;Operators'!$C$1:$E$10000,3,FALSE)</f>
        <v>ARVIDSON</v>
      </c>
      <c r="M140" s="6">
        <f t="shared" si="21"/>
        <v>2.8668981482042E-2</v>
      </c>
      <c r="N140" s="7">
        <f t="shared" si="41"/>
        <v>41.28333333414048</v>
      </c>
      <c r="O140" s="7"/>
      <c r="P140" s="7"/>
      <c r="Q140" s="25"/>
      <c r="R140" s="25"/>
      <c r="S140" s="37">
        <f t="shared" si="23"/>
        <v>1</v>
      </c>
      <c r="T140" s="52" t="str">
        <f t="shared" si="24"/>
        <v>Southbound</v>
      </c>
      <c r="U140" s="12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20:18:22-0600',mode:absolute,to:'2016-08-25 23:07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40" s="54" t="str">
        <f t="shared" si="26"/>
        <v>N</v>
      </c>
      <c r="X140" s="120">
        <f t="shared" si="39"/>
        <v>1</v>
      </c>
      <c r="Y140" s="69">
        <f t="shared" si="28"/>
        <v>23.296600000000002</v>
      </c>
      <c r="Z140" s="69">
        <f t="shared" si="29"/>
        <v>1.5599999999999999E-2</v>
      </c>
      <c r="AA140" s="69">
        <f t="shared" si="30"/>
        <v>23.281000000000002</v>
      </c>
      <c r="AB140" s="66" t="e">
        <f>VLOOKUP(A140,Enforcements!$C$7:$J$21,8,0)</f>
        <v>#N/A</v>
      </c>
      <c r="AC140" s="62" t="e">
        <f>VLOOKUP(A140,Enforcements!$C$7:$E$21,3,0)</f>
        <v>#N/A</v>
      </c>
      <c r="AD140" s="63" t="str">
        <f t="shared" si="31"/>
        <v>0228-25</v>
      </c>
      <c r="AE140" s="99" t="str">
        <f t="shared" si="3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140" s="96" t="str">
        <f t="shared" si="33"/>
        <v>"C:\Program Files (x86)\AstroGrep\AstroGrep.exe" /spath="%USERPROFILE%\AppData\Local\Temp\OnboardLogs" /stypes="*4041*20160826*" /stext=" 04:.+((SYSTEM_STATE.+slice.+state.+changed )|(ment ac)|(system.+state.+changed )|(\|lc)|(penalty)|(\[timeout)|(PRM\|1\|D)|(kpr)|(kdp))" /e /r /s</v>
      </c>
      <c r="AG140" s="1" t="str">
        <f t="shared" si="34"/>
        <v>EC</v>
      </c>
      <c r="AH140" s="100" t="str">
        <f t="shared" si="35"/>
        <v>"%USERPROFILE%\Documents\GitHub\eaglep3\Utilities\RefineRTDCRunTimes.py" --tripid 228-25 --locoid 4041 --swversion DE.1.0.7.0 --startMP 204:232966 --initTime 2016-08-25T21:18:22 --startdatetime 2016-08-25T21:26:24 --delay 1 --endMP 204:156 --enddatetime 2016-08-25T22:07:41 --enforcementcount 1 &gt;&gt;C:\Users\stu\Documents\GitHub\eaglep3-reporting\EC\2016-08-25-refined-times.txt</v>
      </c>
      <c r="AI140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{"issue":{"subject":"","project_id":79,"tracker_id":40,"status_id":1,"priority_id":2,"assigned_to_id":23,"start_date":"2016-08-25","description":"","custom_fields":[{"id":1,"name":"Subdivision","value":"EC"},{"id":4,"name":"Milepost","value":"23.281"},{"id":17,"name":"Train ID","value":"228-25"},{"id":16,"name":"Locomotive ID","value":"4041"},{"id":130,"name":"Impact","value":""},{"id":150,"name":"Time of Event (Mountain Time)","value":"22:07:41"},{"id":151,"name":"Denver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526</v>
      </c>
      <c r="B141" s="7">
        <v>4031</v>
      </c>
      <c r="C141" s="24" t="s">
        <v>113</v>
      </c>
      <c r="D141" s="24" t="s">
        <v>205</v>
      </c>
      <c r="E141" s="15">
        <v>42607.866388888891</v>
      </c>
      <c r="F141" s="15">
        <v>42607.8753125</v>
      </c>
      <c r="G141" s="7">
        <v>1</v>
      </c>
      <c r="H141" s="15" t="s">
        <v>413</v>
      </c>
      <c r="I141" s="15">
        <v>42607.900925925926</v>
      </c>
      <c r="J141" s="7">
        <v>1</v>
      </c>
      <c r="K141" s="132" t="str">
        <f t="shared" ref="K141:K204" si="42">IF(ISEVEN(B141),(B141-1)&amp;"/"&amp;B141,B141&amp;"/"&amp;(B141+1))</f>
        <v>4031/4032</v>
      </c>
      <c r="L141" s="24" t="str">
        <f>VLOOKUP(A141,'Trips&amp;Operators'!$C$1:$E$10000,3,FALSE)</f>
        <v>LEVERE</v>
      </c>
      <c r="M141" s="6">
        <f t="shared" ref="M141:M204" si="43">I141-F141</f>
        <v>2.5613425925257616E-2</v>
      </c>
      <c r="N141" s="7">
        <f t="shared" si="41"/>
        <v>36.883333332370967</v>
      </c>
      <c r="O141" s="7"/>
      <c r="P141" s="7"/>
      <c r="Q141" s="25"/>
      <c r="R141" s="25"/>
      <c r="S141" s="37">
        <f t="shared" ref="S141:S204" si="44">SUM(U141:U141)/IF(AG141="EC",12,1)</f>
        <v>1</v>
      </c>
      <c r="T141" s="52" t="str">
        <f t="shared" ref="T141:T204" si="45">IF(ISEVEN(LEFT(AD141,4)),"Southbound","NorthBound")</f>
        <v>NorthBound</v>
      </c>
      <c r="U141" s="12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ref="V141:V204" si="46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https://search-rtdc-monitor-bjffxe2xuh6vdkpspy63sjmuny.us-east-1.es.amazonaws.com/_plugin/kibana/#/discover/Steve-Slow-Train-Analysis-(2080s-and-2083s)?_g=(refreshInterval:(display:Off,section:0,value:0),time:(from:'2016-08-25 19:47:36-0600',mode:absolute,to:'2016-08-25 22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41" s="54" t="str">
        <f t="shared" ref="W141:W204" si="47">IF(AA141&lt;IF(AG141="EC",23,5.65),"Y","N")</f>
        <v>N</v>
      </c>
      <c r="X141" s="120">
        <f t="shared" si="39"/>
        <v>1</v>
      </c>
      <c r="Y141" s="69">
        <f t="shared" ref="Y141:Y204" si="48">RIGHT(D141,LEN(D141)-4)/10000</f>
        <v>4.5999999999999999E-2</v>
      </c>
      <c r="Z141" s="69">
        <f t="shared" ref="Z141:Z204" si="49">RIGHT(H141,LEN(H141)-4)/10000</f>
        <v>23.330400000000001</v>
      </c>
      <c r="AA141" s="69">
        <f t="shared" ref="AA141:AA204" si="50">ABS(Z141-Y141)</f>
        <v>23.284400000000002</v>
      </c>
      <c r="AB141" s="66" t="e">
        <f>VLOOKUP(A141,Enforcements!$C$7:$J$21,8,0)</f>
        <v>#N/A</v>
      </c>
      <c r="AC141" s="62" t="e">
        <f>VLOOKUP(A141,Enforcements!$C$7:$E$21,3,0)</f>
        <v>#N/A</v>
      </c>
      <c r="AD141" s="63" t="str">
        <f t="shared" ref="AD141:AD204" si="51">IF(LEN(A141)=6,"0"&amp;A141,A141)</f>
        <v>0229-25</v>
      </c>
      <c r="AE141" s="99" t="str">
        <f t="shared" ref="AE141:AE204" si="52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141" s="96" t="str">
        <f t="shared" ref="AF141:AF204" si="53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/stypes="*4031*20160826*" /stext=" 03:.+((SYSTEM_STATE.+slice.+state.+changed )|(ment ac)|(system.+state.+changed )|(\|lc)|(penalty)|(\[timeout)|(PRM\|1\|D)|(kpr)|(kdp))" /e /r /s</v>
      </c>
      <c r="AG141" s="1" t="str">
        <f t="shared" ref="AG141:AG204" si="54">IFERROR(IF(VALUE(LEFT(AD141,2))&lt;=2,"EC",IF(OR(VALUE(LEFT(AD141,2))=8,VALUE(LEFT(AD141,2))=18),"NW","Other")),"Other")</f>
        <v>EC</v>
      </c>
      <c r="AH141" s="100" t="str">
        <f t="shared" ref="AH141:AH204" si="55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229-25 --locoid 4031 --swversion DE.1.0.7.0 --startMP 204:460 --initTime 2016-08-25T20:47:36 --startdatetime 2016-08-25T21:00:27 --delay 1 --endMP 204:233304 --enddatetime 2016-08-25T21:37:20 --enforcementcount 1 &gt;&gt;C:\Users\stu\Documents\GitHub\eaglep3-reporting\EC\2016-08-25-refined-times.txt</v>
      </c>
      <c r="AI141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{"issue":{"subject":"","project_id":79,"tracker_id":40,"status_id":1,"priority_id":2,"assigned_to_id":23,"start_date":"2016-08-25","description":"","custom_fields":[{"id":1,"name":"Subdivision","value":"EC"},{"id":4,"name":"Milepost","value":"23.2844"},{"id":17,"name":"Train ID","value":"229-25"},{"id":16,"name":"Locomotive ID","value":"4031"},{"id":130,"name":"Impact","value":""},{"id":150,"name":"Time of Event (Mountain Time)","value":"21:37:20"},{"id":151,"name":"Denver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s="23" customFormat="1" x14ac:dyDescent="0.25">
      <c r="A142" s="39" t="s">
        <v>527</v>
      </c>
      <c r="B142" s="7">
        <v>4032</v>
      </c>
      <c r="C142" s="24" t="s">
        <v>113</v>
      </c>
      <c r="D142" s="24" t="s">
        <v>223</v>
      </c>
      <c r="E142" s="15">
        <v>42607.908379629633</v>
      </c>
      <c r="F142" s="15">
        <v>42607.914236111108</v>
      </c>
      <c r="G142" s="7">
        <v>1</v>
      </c>
      <c r="H142" s="15" t="s">
        <v>131</v>
      </c>
      <c r="I142" s="15">
        <v>42607.942754629628</v>
      </c>
      <c r="J142" s="7">
        <v>1</v>
      </c>
      <c r="K142" s="132" t="str">
        <f t="shared" si="42"/>
        <v>4031/4032</v>
      </c>
      <c r="L142" s="24" t="str">
        <f>VLOOKUP(A142,'Trips&amp;Operators'!$C$1:$E$10000,3,FALSE)</f>
        <v>LEVERE</v>
      </c>
      <c r="M142" s="6">
        <f t="shared" si="43"/>
        <v>2.8518518520286307E-2</v>
      </c>
      <c r="N142" s="7">
        <f t="shared" si="41"/>
        <v>41.066666669212282</v>
      </c>
      <c r="O142" s="7"/>
      <c r="P142" s="7"/>
      <c r="Q142" s="25"/>
      <c r="R142" s="25"/>
      <c r="S142" s="37">
        <f t="shared" si="44"/>
        <v>1</v>
      </c>
      <c r="T142" s="52" t="str">
        <f t="shared" si="45"/>
        <v>Southbound</v>
      </c>
      <c r="U142" s="12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20:48:04-0600',mode:absolute,to:'2016-08-25 23:37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42" s="54" t="str">
        <f t="shared" si="47"/>
        <v>N</v>
      </c>
      <c r="X142" s="120">
        <f t="shared" si="39"/>
        <v>1</v>
      </c>
      <c r="Y142" s="69">
        <f t="shared" si="48"/>
        <v>23.299800000000001</v>
      </c>
      <c r="Z142" s="69">
        <f t="shared" si="49"/>
        <v>1.5800000000000002E-2</v>
      </c>
      <c r="AA142" s="69">
        <f t="shared" si="50"/>
        <v>23.284000000000002</v>
      </c>
      <c r="AB142" s="66" t="e">
        <f>VLOOKUP(A142,Enforcements!$C$7:$J$21,8,0)</f>
        <v>#N/A</v>
      </c>
      <c r="AC142" s="62" t="e">
        <f>VLOOKUP(A142,Enforcements!$C$7:$E$21,3,0)</f>
        <v>#N/A</v>
      </c>
      <c r="AD142" s="63" t="str">
        <f t="shared" si="51"/>
        <v>0230-25</v>
      </c>
      <c r="AE142" s="99" t="str">
        <f t="shared" si="5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142" s="96" t="str">
        <f t="shared" si="53"/>
        <v>"C:\Program Files (x86)\AstroGrep\AstroGrep.exe" /spath="%USERPROFILE%\AppData\Local\Temp\OnboardLogs" /stypes="*4032*20160826*" /stext=" 04:.+((SYSTEM_STATE.+slice.+state.+changed )|(ment ac)|(system.+state.+changed )|(\|lc)|(penalty)|(\[timeout)|(PRM\|1\|D)|(kpr)|(kdp))" /e /r /s</v>
      </c>
      <c r="AG142" s="1" t="str">
        <f t="shared" si="54"/>
        <v>EC</v>
      </c>
      <c r="AH142" s="100" t="str">
        <f t="shared" si="55"/>
        <v>"%USERPROFILE%\Documents\GitHub\eaglep3\Utilities\RefineRTDCRunTimes.py" --tripid 230-25 --locoid 4032 --swversion DE.1.0.7.0 --startMP 204:232998 --initTime 2016-08-25T21:48:04 --startdatetime 2016-08-25T21:56:30 --delay 1 --endMP 204:158 --enddatetime 2016-08-25T22:37:34 --enforcementcount 1 &gt;&gt;C:\Users\stu\Documents\GitHub\eaglep3-reporting\EC\2016-08-25-refined-times.txt</v>
      </c>
      <c r="AI142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{"issue":{"subject":"","project_id":79,"tracker_id":40,"status_id":1,"priority_id":2,"assigned_to_id":23,"start_date":"2016-08-25","description":"","custom_fields":[{"id":1,"name":"Subdivision","value":"EC"},{"id":4,"name":"Milepost","value":"23.284"},{"id":17,"name":"Train ID","value":"230-25"},{"id":16,"name":"Locomotive ID","value":"4032"},{"id":130,"name":"Impact","value":""},{"id":150,"name":"Time of Event (Mountain Time)","value":"22:37:34"},{"id":151,"name":"Denver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528</v>
      </c>
      <c r="B143" s="7">
        <v>4044</v>
      </c>
      <c r="C143" s="24" t="s">
        <v>113</v>
      </c>
      <c r="D143" s="24" t="s">
        <v>239</v>
      </c>
      <c r="E143" s="15">
        <v>42607.891400462962</v>
      </c>
      <c r="F143" s="15">
        <v>42607.896099537036</v>
      </c>
      <c r="G143" s="7">
        <v>1</v>
      </c>
      <c r="H143" s="15" t="s">
        <v>224</v>
      </c>
      <c r="I143" s="15">
        <v>42607.922349537039</v>
      </c>
      <c r="J143" s="7">
        <v>1</v>
      </c>
      <c r="K143" s="132" t="str">
        <f t="shared" si="42"/>
        <v>4043/4044</v>
      </c>
      <c r="L143" s="24" t="str">
        <f>VLOOKUP(A143,'Trips&amp;Operators'!$C$1:$E$10000,3,FALSE)</f>
        <v>OUN</v>
      </c>
      <c r="M143" s="6">
        <f t="shared" si="43"/>
        <v>2.6250000002619345E-2</v>
      </c>
      <c r="N143" s="7">
        <f t="shared" si="41"/>
        <v>37.800000003771856</v>
      </c>
      <c r="O143" s="7"/>
      <c r="P143" s="7"/>
      <c r="Q143" s="25"/>
      <c r="R143" s="25"/>
      <c r="S143" s="37">
        <f t="shared" si="44"/>
        <v>1</v>
      </c>
      <c r="T143" s="52" t="str">
        <f t="shared" si="45"/>
        <v>NorthBound</v>
      </c>
      <c r="U143" s="12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20:23:37-0600',mode:absolute,to:'2016-08-25 23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43" s="54" t="str">
        <f t="shared" si="47"/>
        <v>N</v>
      </c>
      <c r="X143" s="120">
        <f t="shared" si="39"/>
        <v>1</v>
      </c>
      <c r="Y143" s="69">
        <f t="shared" si="48"/>
        <v>4.6399999999999997E-2</v>
      </c>
      <c r="Z143" s="69">
        <f t="shared" si="49"/>
        <v>23.331700000000001</v>
      </c>
      <c r="AA143" s="69">
        <f t="shared" si="50"/>
        <v>23.285300000000003</v>
      </c>
      <c r="AB143" s="66">
        <f>VLOOKUP(A143,Enforcements!$C$7:$J$21,8,0)</f>
        <v>27333</v>
      </c>
      <c r="AC143" s="62" t="str">
        <f>VLOOKUP(A143,Enforcements!$C$7:$E$21,3,0)</f>
        <v>PERMANENT SPEED RESTRICTION</v>
      </c>
      <c r="AD143" s="63" t="str">
        <f t="shared" si="51"/>
        <v>0231-25</v>
      </c>
      <c r="AE143" s="99" t="str">
        <f t="shared" si="5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143" s="96" t="str">
        <f t="shared" si="53"/>
        <v>"C:\Program Files (x86)\AstroGrep\AstroGrep.exe" /spath="%USERPROFILE%\AppData\Local\Temp\OnboardLogs" /stypes="*4044*20160826*" /stext=" 04:.+((SYSTEM_STATE.+slice.+state.+changed )|(ment ac)|(system.+state.+changed )|(\|lc)|(penalty)|(\[timeout)|(PRM\|1\|D)|(kpr)|(kdp))" /e /r /s</v>
      </c>
      <c r="AG143" s="1" t="str">
        <f t="shared" si="54"/>
        <v>EC</v>
      </c>
      <c r="AH143" s="100" t="str">
        <f t="shared" si="55"/>
        <v>"%USERPROFILE%\Documents\GitHub\eaglep3\Utilities\RefineRTDCRunTimes.py" --tripid 231-25 --locoid 4044 --swversion DE.1.0.7.0 --startMP 204:464 --initTime 2016-08-25T21:23:37 --startdatetime 2016-08-25T21:30:23 --delay 1 --endMP 204:233317 --enddatetime 2016-08-25T22:08:11 --enforcementcount 1 &gt;&gt;C:\Users\stu\Documents\GitHub\eaglep3-reporting\EC\2016-08-25-refined-times.txt</v>
      </c>
      <c r="AI143" s="149" t="str">
        <f t="shared" ref="AI143:AI206" si="56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AA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{"issue":{"subject":"","project_id":79,"tracker_id":40,"status_id":1,"priority_id":2,"assigned_to_id":23,"start_date":"2016-08-25","description":"","custom_fields":[{"id":1,"name":"Subdivision","value":"EC"},{"id":4,"name":"Milepost","value":"23.2853"},{"id":17,"name":"Train ID","value":"231-25"},{"id":16,"name":"Locomotive ID","value":"4044"},{"id":130,"name":"Impact","value":""},{"id":150,"name":"Time of Event (Mountain Time)","value":"22:08:11"},{"id":151,"name":"Denver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706</v>
      </c>
      <c r="B144" s="7">
        <v>4043</v>
      </c>
      <c r="C144" s="24"/>
      <c r="D144" s="24"/>
      <c r="E144" s="15"/>
      <c r="F144" s="15"/>
      <c r="G144" s="7"/>
      <c r="H144" s="15"/>
      <c r="I144" s="15"/>
      <c r="J144" s="7"/>
      <c r="K144" s="132" t="str">
        <f t="shared" si="42"/>
        <v>4043/4044</v>
      </c>
      <c r="L144" s="24" t="e">
        <f>VLOOKUP(A144,'Trips&amp;Operators'!$C$1:$E$10000,3,FALSE)</f>
        <v>#N/A</v>
      </c>
      <c r="M144" s="6">
        <f t="shared" si="43"/>
        <v>0</v>
      </c>
      <c r="N144" s="7"/>
      <c r="O144" s="7"/>
      <c r="P144" s="7">
        <v>1</v>
      </c>
      <c r="Q144" s="25"/>
      <c r="R144" s="25" t="s">
        <v>708</v>
      </c>
      <c r="S144" s="37">
        <f t="shared" si="44"/>
        <v>0</v>
      </c>
      <c r="T144" s="52" t="str">
        <f t="shared" si="45"/>
        <v>Southbound</v>
      </c>
      <c r="U144" s="12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0</v>
      </c>
      <c r="V144" s="106" t="e">
        <f t="shared" si="46"/>
        <v>#VALUE!</v>
      </c>
      <c r="W144" s="54" t="e">
        <f t="shared" si="47"/>
        <v>#VALUE!</v>
      </c>
      <c r="X144" s="120">
        <f t="shared" si="39"/>
        <v>1</v>
      </c>
      <c r="Y144" s="69" t="e">
        <f t="shared" si="48"/>
        <v>#VALUE!</v>
      </c>
      <c r="Z144" s="69" t="e">
        <f t="shared" si="49"/>
        <v>#VALUE!</v>
      </c>
      <c r="AA144" s="69" t="e">
        <f t="shared" si="50"/>
        <v>#VALUE!</v>
      </c>
      <c r="AB144" s="66" t="e">
        <f>VLOOKUP(A144,Enforcements!$C$7:$J$21,8,0)</f>
        <v>#N/A</v>
      </c>
      <c r="AC144" s="62" t="e">
        <f>VLOOKUP(A144,Enforcements!$C$7:$E$21,3,0)</f>
        <v>#N/A</v>
      </c>
      <c r="AD144" s="63" t="str">
        <f t="shared" si="51"/>
        <v>0232-25</v>
      </c>
      <c r="AE144" s="99" t="str">
        <f t="shared" si="52"/>
        <v>aws s3 cp s3://rtdc.mdm.uploadarchive/RTDC4043/1900-01-00/ "%USERPROFILE%\AppData\Local\Temp\OnboardLogs"\RTDC4043\1900-01-00 --recursive &amp; "%USERPROFILE%\Documents\GitHub\mrs-test-scripts\Headless Mode &amp; Sideloading\WalkAndUnGZ.bat" "%USERPROFILE%\AppData\Local\Temp\OnboardLogs"\RTDC4043\1900-01-00 &amp; aws s3 cp s3://rtdc.mdm.uploadarchive/RTDC4043/1900-01-01/ "%USERPROFILE%\AppData\Local\Temp\OnboardLogs"\RTDC4043\1900-01-01 --recursive &amp; "%USERPROFILE%\Documents\GitHub\mrs-test-scripts\Headless Mode &amp; Sideloading\WalkAndUnGZ.bat" "%USERPROFILE%\AppData\Local\Temp\OnboardLogs"\RTDC4043\1900-01-01</v>
      </c>
      <c r="AF144" s="96" t="str">
        <f t="shared" si="53"/>
        <v>"C:\Program Files (x86)\AstroGrep\AstroGrep.exe" /spath="%USERPROFILE%\AppData\Local\Temp\OnboardLogs" /stypes="*4043*19000100*" /stext=" 06:.+((SYSTEM_STATE.+slice.+state.+changed )|(ment ac)|(system.+state.+changed )|(\|lc)|(penalty)|(\[timeout)|(PRM\|1\|D)|(kpr)|(kdp))" /e /r /s</v>
      </c>
      <c r="AG144" s="1" t="str">
        <f t="shared" si="54"/>
        <v>EC</v>
      </c>
      <c r="AH144" s="100" t="str">
        <f t="shared" si="55"/>
        <v>"%USERPROFILE%\Documents\GitHub\eaglep3\Utilities\RefineRTDCRunTimes.py" --tripid 232-25 --locoid 4043 --swversion  --startMP  --initTime 1900-01-00T00:00:00 --startdatetime 1900-01-00T00:00:00 --delay  --endMP  --enddatetime 1900-01-00T00:00:00 --enforcementcount  &gt;&gt;C:\Users\stu\Documents\GitHub\eaglep3-reporting\EC\2016-08-25-refined-times.txt</v>
      </c>
      <c r="AI144" s="149" t="e">
        <f t="shared" ref="AI144" si="57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AA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#VALUE!</v>
      </c>
      <c r="AJ144" s="55"/>
      <c r="AK144" s="55"/>
      <c r="AL144" s="55"/>
    </row>
    <row r="145" spans="1:38" x14ac:dyDescent="0.25">
      <c r="A145" s="39" t="s">
        <v>529</v>
      </c>
      <c r="B145" s="7">
        <v>4007</v>
      </c>
      <c r="C145" s="24" t="s">
        <v>113</v>
      </c>
      <c r="D145" s="24" t="s">
        <v>530</v>
      </c>
      <c r="E145" s="15">
        <v>42607.904374999998</v>
      </c>
      <c r="F145" s="15">
        <v>42607.917037037034</v>
      </c>
      <c r="G145" s="7">
        <v>1</v>
      </c>
      <c r="H145" s="15" t="s">
        <v>142</v>
      </c>
      <c r="I145" s="15">
        <v>42607.94321759259</v>
      </c>
      <c r="J145" s="7">
        <v>1</v>
      </c>
      <c r="K145" s="132" t="str">
        <f t="shared" si="42"/>
        <v>4007/4008</v>
      </c>
      <c r="L145" s="24" t="str">
        <f>VLOOKUP(A145,'Trips&amp;Operators'!$C$1:$E$10000,3,FALSE)</f>
        <v>SWANSON</v>
      </c>
      <c r="M145" s="6">
        <f t="shared" si="43"/>
        <v>2.6180555556493346E-2</v>
      </c>
      <c r="N145" s="7">
        <f>24*60*SUM($M145:$M145)</f>
        <v>37.700000001350418</v>
      </c>
      <c r="O145" s="7"/>
      <c r="P145" s="7"/>
      <c r="Q145" s="25"/>
      <c r="R145" s="25"/>
      <c r="S145" s="37">
        <f t="shared" si="44"/>
        <v>1</v>
      </c>
      <c r="T145" s="52" t="str">
        <f t="shared" si="45"/>
        <v>NorthBound</v>
      </c>
      <c r="U145" s="12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20:42:18-0600',mode:absolute,to:'2016-08-25 23:38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45" s="54" t="str">
        <f t="shared" si="47"/>
        <v>N</v>
      </c>
      <c r="X145" s="120">
        <f t="shared" si="39"/>
        <v>1</v>
      </c>
      <c r="Y145" s="69">
        <f t="shared" si="48"/>
        <v>4.3099999999999999E-2</v>
      </c>
      <c r="Z145" s="69">
        <f t="shared" si="49"/>
        <v>23.331</v>
      </c>
      <c r="AA145" s="69">
        <f t="shared" si="50"/>
        <v>23.2879</v>
      </c>
      <c r="AB145" s="66" t="e">
        <f>VLOOKUP(A145,Enforcements!$C$7:$J$21,8,0)</f>
        <v>#N/A</v>
      </c>
      <c r="AC145" s="62" t="e">
        <f>VLOOKUP(A145,Enforcements!$C$7:$E$21,3,0)</f>
        <v>#N/A</v>
      </c>
      <c r="AD145" s="63" t="str">
        <f t="shared" si="51"/>
        <v>0233-25</v>
      </c>
      <c r="AE145" s="99" t="str">
        <f t="shared" si="5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145" s="96" t="str">
        <f t="shared" si="53"/>
        <v>"C:\Program Files (x86)\AstroGrep\AstroGrep.exe" /spath="%USERPROFILE%\AppData\Local\Temp\OnboardLogs" /stypes="*4007*20160826*" /stext=" 04:.+((SYSTEM_STATE.+slice.+state.+changed )|(ment ac)|(system.+state.+changed )|(\|lc)|(penalty)|(\[timeout)|(PRM\|1\|D)|(kpr)|(kdp))" /e /r /s</v>
      </c>
      <c r="AG145" s="1" t="str">
        <f t="shared" si="54"/>
        <v>EC</v>
      </c>
      <c r="AH145" s="100" t="str">
        <f t="shared" si="55"/>
        <v>"%USERPROFILE%\Documents\GitHub\eaglep3\Utilities\RefineRTDCRunTimes.py" --tripid 233-25 --locoid 4007 --swversion DE.1.0.7.0 --startMP 204:431 --initTime 2016-08-25T21:42:18 --startdatetime 2016-08-25T22:00:32 --delay 1 --endMP 204:233310 --enddatetime 2016-08-25T22:38:14 --enforcementcount 1 &gt;&gt;C:\Users\stu\Documents\GitHub\eaglep3-reporting\EC\2016-08-25-refined-times.txt</v>
      </c>
      <c r="AI145" s="149" t="str">
        <f t="shared" si="56"/>
        <v>echo {"issue":{"subject":"","project_id":79,"tracker_id":40,"status_id":1,"priority_id":2,"assigned_to_id":23,"start_date":"2016-08-25","description":"","custom_fields":[{"id":1,"name":"Subdivision","value":"EC"},{"id":4,"name":"Milepost","value":"23.2879"},{"id":17,"name":"Train ID","value":"233-25"},{"id":16,"name":"Locomotive ID","value":"4007"},{"id":130,"name":"Impact","value":""},{"id":150,"name":"Time of Event (Mountain Time)","value":"22:38:14"},{"id":151,"name":"Denver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531</v>
      </c>
      <c r="B146" s="7">
        <v>4008</v>
      </c>
      <c r="C146" s="24" t="s">
        <v>113</v>
      </c>
      <c r="D146" s="24" t="s">
        <v>244</v>
      </c>
      <c r="E146" s="15">
        <v>42607.951608796298</v>
      </c>
      <c r="F146" s="15">
        <v>42607.955810185187</v>
      </c>
      <c r="G146" s="7">
        <v>1</v>
      </c>
      <c r="H146" s="15" t="s">
        <v>212</v>
      </c>
      <c r="I146" s="15">
        <v>42607.984351851854</v>
      </c>
      <c r="J146" s="7">
        <v>1</v>
      </c>
      <c r="K146" s="132" t="str">
        <f t="shared" si="42"/>
        <v>4007/4008</v>
      </c>
      <c r="L146" s="24" t="str">
        <f>VLOOKUP(A146,'Trips&amp;Operators'!$C$1:$E$10000,3,FALSE)</f>
        <v>SWANSON</v>
      </c>
      <c r="M146" s="6">
        <f t="shared" si="43"/>
        <v>2.8541666666569654E-2</v>
      </c>
      <c r="N146" s="7">
        <f>24*60*SUM($M146:$M146)</f>
        <v>41.099999999860302</v>
      </c>
      <c r="O146" s="7"/>
      <c r="P146" s="7"/>
      <c r="Q146" s="25"/>
      <c r="R146" s="25"/>
      <c r="S146" s="37">
        <f t="shared" si="44"/>
        <v>1</v>
      </c>
      <c r="T146" s="52" t="str">
        <f t="shared" si="45"/>
        <v>Southbound</v>
      </c>
      <c r="U146" s="12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21:50:19-0600',mode:absolute,to:'2016-08-26 00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46" s="54" t="str">
        <f t="shared" si="47"/>
        <v>N</v>
      </c>
      <c r="X146" s="120">
        <f t="shared" si="39"/>
        <v>1</v>
      </c>
      <c r="Y146" s="69">
        <f t="shared" si="48"/>
        <v>23.2987</v>
      </c>
      <c r="Z146" s="69">
        <f t="shared" si="49"/>
        <v>1.3599999999999999E-2</v>
      </c>
      <c r="AA146" s="69">
        <f t="shared" si="50"/>
        <v>23.2851</v>
      </c>
      <c r="AB146" s="66" t="e">
        <f>VLOOKUP(A146,Enforcements!$C$7:$J$21,8,0)</f>
        <v>#N/A</v>
      </c>
      <c r="AC146" s="62" t="e">
        <f>VLOOKUP(A146,Enforcements!$C$7:$E$21,3,0)</f>
        <v>#N/A</v>
      </c>
      <c r="AD146" s="63" t="str">
        <f t="shared" si="51"/>
        <v>0234-25</v>
      </c>
      <c r="AE146" s="99" t="str">
        <f t="shared" si="52"/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AF146" s="96" t="str">
        <f t="shared" si="53"/>
        <v>"C:\Program Files (x86)\AstroGrep\AstroGrep.exe" /spath="%USERPROFILE%\AppData\Local\Temp\OnboardLogs" /stypes="*4008*20160826*" /stext=" 05:.+((SYSTEM_STATE.+slice.+state.+changed )|(ment ac)|(system.+state.+changed )|(\|lc)|(penalty)|(\[timeout)|(PRM\|1\|D)|(kpr)|(kdp))" /e /r /s</v>
      </c>
      <c r="AG146" s="1" t="str">
        <f t="shared" si="54"/>
        <v>EC</v>
      </c>
      <c r="AH146" s="100" t="str">
        <f t="shared" si="55"/>
        <v>"%USERPROFILE%\Documents\GitHub\eaglep3\Utilities\RefineRTDCRunTimes.py" --tripid 234-25 --locoid 4008 --swversion DE.1.0.7.0 --startMP 204:232987 --initTime 2016-08-25T22:50:19 --startdatetime 2016-08-25T22:56:22 --delay 1 --endMP 204:136 --enddatetime 2016-08-25T23:37:28 --enforcementcount 1 &gt;&gt;C:\Users\stu\Documents\GitHub\eaglep3-reporting\EC\2016-08-25-refined-times.txt</v>
      </c>
      <c r="AI146" s="149" t="str">
        <f t="shared" si="56"/>
        <v>echo {"issue":{"subject":"","project_id":79,"tracker_id":40,"status_id":1,"priority_id":2,"assigned_to_id":23,"start_date":"2016-08-25","description":"","custom_fields":[{"id":1,"name":"Subdivision","value":"EC"},{"id":4,"name":"Milepost","value":"23.2851"},{"id":17,"name":"Train ID","value":"234-25"},{"id":16,"name":"Locomotive ID","value":"4008"},{"id":130,"name":"Impact","value":""},{"id":150,"name":"Time of Event (Mountain Time)","value":"23:37:28"},{"id":151,"name":"Denver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x14ac:dyDescent="0.25">
      <c r="A147" s="39" t="s">
        <v>532</v>
      </c>
      <c r="B147" s="7">
        <v>4042</v>
      </c>
      <c r="C147" s="24" t="s">
        <v>113</v>
      </c>
      <c r="D147" s="24" t="s">
        <v>185</v>
      </c>
      <c r="E147" s="15">
        <v>42607.932905092595</v>
      </c>
      <c r="F147" s="15">
        <v>42607.937847222223</v>
      </c>
      <c r="G147" s="7">
        <v>2</v>
      </c>
      <c r="H147" s="15" t="s">
        <v>197</v>
      </c>
      <c r="I147" s="15">
        <v>42607.963530092595</v>
      </c>
      <c r="J147" s="7">
        <v>1</v>
      </c>
      <c r="K147" s="132" t="str">
        <f t="shared" si="42"/>
        <v>4041/4042</v>
      </c>
      <c r="L147" s="24" t="str">
        <f>VLOOKUP(A147,'Trips&amp;Operators'!$C$1:$E$10000,3,FALSE)</f>
        <v>STURGEON</v>
      </c>
      <c r="M147" s="6">
        <f t="shared" si="43"/>
        <v>2.5682870371383615E-2</v>
      </c>
      <c r="N147" s="7">
        <f>24*60*SUM($M147:$M147)</f>
        <v>36.983333334792405</v>
      </c>
      <c r="O147" s="7"/>
      <c r="P147" s="7"/>
      <c r="Q147" s="25"/>
      <c r="R147" s="25"/>
      <c r="S147" s="37">
        <f t="shared" si="44"/>
        <v>1</v>
      </c>
      <c r="T147" s="52" t="str">
        <f t="shared" si="45"/>
        <v>NorthBound</v>
      </c>
      <c r="U147" s="12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21:23:23-0600',mode:absolute,to:'2016-08-26 00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47" s="54" t="str">
        <f t="shared" si="47"/>
        <v>N</v>
      </c>
      <c r="X147" s="120">
        <f t="shared" si="39"/>
        <v>1</v>
      </c>
      <c r="Y147" s="69">
        <f t="shared" si="48"/>
        <v>4.7100000000000003E-2</v>
      </c>
      <c r="Z147" s="69">
        <f t="shared" si="49"/>
        <v>23.3293</v>
      </c>
      <c r="AA147" s="69">
        <f t="shared" si="50"/>
        <v>23.2822</v>
      </c>
      <c r="AB147" s="66" t="e">
        <f>VLOOKUP(A147,Enforcements!$C$7:$J$21,8,0)</f>
        <v>#N/A</v>
      </c>
      <c r="AC147" s="62" t="e">
        <f>VLOOKUP(A147,Enforcements!$C$7:$E$21,3,0)</f>
        <v>#N/A</v>
      </c>
      <c r="AD147" s="63" t="str">
        <f t="shared" si="51"/>
        <v>0235-25</v>
      </c>
      <c r="AE147" s="99" t="str">
        <f t="shared" si="5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147" s="96" t="str">
        <f t="shared" si="53"/>
        <v>"C:\Program Files (x86)\AstroGrep\AstroGrep.exe" /spath="%USERPROFILE%\AppData\Local\Temp\OnboardLogs" /stypes="*4042*20160826*" /stext=" 05:.+((SYSTEM_STATE.+slice.+state.+changed )|(ment ac)|(system.+state.+changed )|(\|lc)|(penalty)|(\[timeout)|(PRM\|1\|D)|(kpr)|(kdp))" /e /r /s</v>
      </c>
      <c r="AG147" s="1" t="str">
        <f t="shared" si="54"/>
        <v>EC</v>
      </c>
      <c r="AH147" s="100" t="str">
        <f t="shared" si="55"/>
        <v>"%USERPROFILE%\Documents\GitHub\eaglep3\Utilities\RefineRTDCRunTimes.py" --tripid 235-25 --locoid 4042 --swversion DE.1.0.7.0 --startMP 204:471 --initTime 2016-08-25T22:23:23 --startdatetime 2016-08-25T22:30:30 --delay 2 --endMP 204:233293 --enddatetime 2016-08-25T23:07:29 --enforcementcount 1 &gt;&gt;C:\Users\stu\Documents\GitHub\eaglep3-reporting\EC\2016-08-25-refined-times.txt</v>
      </c>
      <c r="AI147" s="149" t="str">
        <f t="shared" si="56"/>
        <v>echo {"issue":{"subject":"","project_id":79,"tracker_id":40,"status_id":1,"priority_id":2,"assigned_to_id":23,"start_date":"2016-08-25","description":"","custom_fields":[{"id":1,"name":"Subdivision","value":"EC"},{"id":4,"name":"Milepost","value":"23.2822"},{"id":17,"name":"Train ID","value":"235-25"},{"id":16,"name":"Locomotive ID","value":"4042"},{"id":130,"name":"Impact","value":""},{"id":150,"name":"Time of Event (Mountain Time)","value":"23:07:29"},{"id":151,"name":"Denver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533</v>
      </c>
      <c r="B148" s="7">
        <v>4041</v>
      </c>
      <c r="C148" s="24" t="s">
        <v>113</v>
      </c>
      <c r="D148" s="24" t="s">
        <v>534</v>
      </c>
      <c r="E148" s="15">
        <v>42607.967719907407</v>
      </c>
      <c r="F148" s="15">
        <v>42607.976620370369</v>
      </c>
      <c r="G148" s="7">
        <v>1</v>
      </c>
      <c r="H148" s="15" t="s">
        <v>214</v>
      </c>
      <c r="I148" s="15">
        <v>42608.006574074076</v>
      </c>
      <c r="J148" s="7">
        <v>1</v>
      </c>
      <c r="K148" s="132" t="str">
        <f t="shared" si="42"/>
        <v>4041/4042</v>
      </c>
      <c r="L148" s="24" t="str">
        <f>VLOOKUP(A148,'Trips&amp;Operators'!$C$1:$E$10000,3,FALSE)</f>
        <v>STURGEON</v>
      </c>
      <c r="M148" s="6">
        <f t="shared" si="43"/>
        <v>2.9953703706269152E-2</v>
      </c>
      <c r="N148" s="7">
        <f>24*60*SUM($M148:$M148)</f>
        <v>43.13333333702758</v>
      </c>
      <c r="O148" s="7"/>
      <c r="P148" s="7"/>
      <c r="Q148" s="25"/>
      <c r="R148" s="25"/>
      <c r="S148" s="37">
        <f t="shared" si="44"/>
        <v>1</v>
      </c>
      <c r="T148" s="52" t="str">
        <f t="shared" si="45"/>
        <v>Southbound</v>
      </c>
      <c r="U148" s="12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22:13:31-0600',mode:absolute,to:'2016-08-26 01:09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48" s="54" t="str">
        <f t="shared" si="47"/>
        <v>N</v>
      </c>
      <c r="X148" s="120">
        <f t="shared" ref="X148:X153" si="58">VALUE(LEFT(AD148,4))-VALUE(LEFT(AD147,4))</f>
        <v>1</v>
      </c>
      <c r="Y148" s="69">
        <f t="shared" si="48"/>
        <v>23.296199999999999</v>
      </c>
      <c r="Z148" s="69">
        <f t="shared" si="49"/>
        <v>1.6500000000000001E-2</v>
      </c>
      <c r="AA148" s="69">
        <f t="shared" si="50"/>
        <v>23.279699999999998</v>
      </c>
      <c r="AB148" s="66" t="e">
        <f>VLOOKUP(A148,Enforcements!$C$7:$J$21,8,0)</f>
        <v>#N/A</v>
      </c>
      <c r="AC148" s="62" t="e">
        <f>VLOOKUP(A148,Enforcements!$C$7:$E$21,3,0)</f>
        <v>#N/A</v>
      </c>
      <c r="AD148" s="63" t="str">
        <f t="shared" si="51"/>
        <v>0236-25</v>
      </c>
      <c r="AE148" s="99" t="str">
        <f t="shared" si="5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148" s="96" t="str">
        <f t="shared" si="53"/>
        <v>"C:\Program Files (x86)\AstroGrep\AstroGrep.exe" /spath="%USERPROFILE%\AppData\Local\Temp\OnboardLogs" /stypes="*4041*20160826*" /stext=" 06:.+((SYSTEM_STATE.+slice.+state.+changed )|(ment ac)|(system.+state.+changed )|(\|lc)|(penalty)|(\[timeout)|(PRM\|1\|D)|(kpr)|(kdp))" /e /r /s</v>
      </c>
      <c r="AG148" s="1" t="str">
        <f t="shared" si="54"/>
        <v>EC</v>
      </c>
      <c r="AH148" s="100" t="str">
        <f t="shared" si="55"/>
        <v>"%USERPROFILE%\Documents\GitHub\eaglep3\Utilities\RefineRTDCRunTimes.py" --tripid 236-25 --locoid 4041 --swversion DE.1.0.7.0 --startMP 204:232962 --initTime 2016-08-25T23:13:31 --startdatetime 2016-08-25T23:26:20 --delay 1 --endMP 204:165 --enddatetime 2016-08-26T00:09:28 --enforcementcount 1 &gt;&gt;C:\Users\stu\Documents\GitHub\eaglep3-reporting\EC\2016-08-25-refined-times.txt</v>
      </c>
      <c r="AI148" s="149" t="e">
        <f>"echo {""issue"":{""subject"":"""&amp;#REF!&amp;""",""project_id"":79,""tracker_id"":40,""status_id"":"&amp;redmine_status&amp;",""priority_id"":"&amp;redmine_priority&amp;",""assigned_to_id"":"&amp;redmine_assignee&amp;",""start_date"":"""&amp;TEXT(I148,"YYYY-mm-dd")&amp;""",""description"":"""&amp;AJ148&amp;""",""custom_fields"":[{""id"":1,""name"":""Subdivision"",""value"":"""&amp;AG148&amp;"""},{""id"":4,""name"":""Milepost"",""value"":"""&amp;AA148&amp;"""},{""id"":17,""name"":""Train ID"",""value"":"""&amp;A148&amp;"""},{""id"":16,""name"":""Locomotive ID"",""value"":"""&amp;B148&amp;"""},{""id"":130,""name"":""Impact"",""value"":"""&amp;AK148&amp;"""},{""id"":150,""name"":""Time of Event (Mountain Time)"",""value"":"""&amp;TEXT(I148,"hh:mm:ss")&amp;"""},{""id"":151,""name"":""Denver Issue ID"",""value"":"""&amp;"""},{""id"":178,""name"":""Operational Impact"",""value"":"""&amp;redmine_op_impact&amp;"""},{""id"":179,""name"":""Denver Segment Assigned"",""value"":"""&amp;AL148&amp;"""}]}}"&amp;" | curl -X POST -H ""Content-Type: application/json"" -H ""X-Redmine-API-Key: "&amp;redm_api_key&amp;""" "&amp;redm_url&amp;" --data @-"</f>
        <v>#REF!</v>
      </c>
      <c r="AJ148" s="55"/>
      <c r="AK148" s="55"/>
      <c r="AL148" s="55"/>
    </row>
    <row r="149" spans="1:38" x14ac:dyDescent="0.25">
      <c r="A149" s="39" t="s">
        <v>535</v>
      </c>
      <c r="B149" s="7">
        <v>4031</v>
      </c>
      <c r="C149" s="24" t="s">
        <v>113</v>
      </c>
      <c r="D149" s="24" t="s">
        <v>536</v>
      </c>
      <c r="E149" s="15">
        <v>42607.952372685184</v>
      </c>
      <c r="F149" s="15">
        <v>42607.964085648149</v>
      </c>
      <c r="G149" s="7">
        <v>16</v>
      </c>
      <c r="H149" s="15" t="s">
        <v>413</v>
      </c>
      <c r="I149" s="15">
        <v>42607.98609953704</v>
      </c>
      <c r="J149" s="7">
        <v>1</v>
      </c>
      <c r="K149" s="132" t="str">
        <f t="shared" si="42"/>
        <v>4031/4032</v>
      </c>
      <c r="L149" s="24" t="str">
        <f>VLOOKUP(A149,'Trips&amp;Operators'!$C$1:$E$10000,3,FALSE)</f>
        <v>LEVERE</v>
      </c>
      <c r="M149" s="6">
        <f t="shared" si="43"/>
        <v>2.2013888890796807E-2</v>
      </c>
      <c r="N149" s="7"/>
      <c r="O149" s="7"/>
      <c r="P149" s="7">
        <f>24*60*SUM($M149:$M149)</f>
        <v>31.700000002747402</v>
      </c>
      <c r="Q149" s="25"/>
      <c r="R149" s="25" t="s">
        <v>183</v>
      </c>
      <c r="S149" s="37">
        <f t="shared" si="44"/>
        <v>1</v>
      </c>
      <c r="T149" s="52" t="str">
        <f t="shared" si="45"/>
        <v>NorthBound</v>
      </c>
      <c r="U149" s="12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21:51:25-0600',mode:absolute,to:'2016-08-26 00:39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49" s="54" t="str">
        <f t="shared" si="47"/>
        <v>Y</v>
      </c>
      <c r="X149" s="120">
        <f t="shared" si="58"/>
        <v>1</v>
      </c>
      <c r="Y149" s="69">
        <f t="shared" si="48"/>
        <v>1.9129</v>
      </c>
      <c r="Z149" s="69">
        <f t="shared" si="49"/>
        <v>23.330400000000001</v>
      </c>
      <c r="AA149" s="69">
        <f t="shared" si="50"/>
        <v>21.4175</v>
      </c>
      <c r="AB149" s="66" t="e">
        <f>VLOOKUP(A149,Enforcements!$C$7:$J$21,8,0)</f>
        <v>#N/A</v>
      </c>
      <c r="AC149" s="62" t="e">
        <f>VLOOKUP(A149,Enforcements!$C$7:$E$21,3,0)</f>
        <v>#N/A</v>
      </c>
      <c r="AD149" s="63" t="str">
        <f t="shared" si="51"/>
        <v>0237-25</v>
      </c>
      <c r="AE149" s="99" t="str">
        <f t="shared" si="52"/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149" s="96" t="str">
        <f t="shared" si="53"/>
        <v>"C:\Program Files (x86)\AstroGrep\AstroGrep.exe" /spath="%USERPROFILE%\AppData\Local\Temp\OnboardLogs" /stypes="*4031*20160826*" /stext=" 05:.+((SYSTEM_STATE.+slice.+state.+changed )|(ment ac)|(system.+state.+changed )|(\|lc)|(penalty)|(\[timeout)|(PRM\|1\|D)|(kpr)|(kdp))" /e /r /s</v>
      </c>
      <c r="AG149" s="1" t="str">
        <f t="shared" si="54"/>
        <v>EC</v>
      </c>
      <c r="AH149" s="100" t="str">
        <f t="shared" si="55"/>
        <v>"%USERPROFILE%\Documents\GitHub\eaglep3\Utilities\RefineRTDCRunTimes.py" --tripid 237-25 --locoid 4031 --swversion DE.1.0.7.0 --startMP 204:19129 --initTime 2016-08-25T22:51:25 --startdatetime 2016-08-25T23:08:17 --delay 16 --endMP 204:233304 --enddatetime 2016-08-25T23:39:59 --enforcementcount 1 &gt;&gt;C:\Users\stu\Documents\GitHub\eaglep3-reporting\EC\2016-08-25-refined-times.txt</v>
      </c>
      <c r="AI149" s="149" t="str">
        <f t="shared" si="56"/>
        <v>echo {"issue":{"subject":"Onboard in-route failure","project_id":79,"tracker_id":40,"status_id":1,"priority_id":2,"assigned_to_id":23,"start_date":"2016-08-25","description":"","custom_fields":[{"id":1,"name":"Subdivision","value":"EC"},{"id":4,"name":"Milepost","value":"21.4175"},{"id":17,"name":"Train ID","value":"237-25"},{"id":16,"name":"Locomotive ID","value":"4031"},{"id":130,"name":"Impact","value":""},{"id":150,"name":"Time of Event (Mountain Time)","value":"23:39:59"},{"id":151,"name":"Denver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537</v>
      </c>
      <c r="B150" s="7">
        <v>4032</v>
      </c>
      <c r="C150" s="24" t="s">
        <v>113</v>
      </c>
      <c r="D150" s="24" t="s">
        <v>244</v>
      </c>
      <c r="E150" s="15">
        <v>42607.991736111115</v>
      </c>
      <c r="F150" s="15">
        <v>42607.997442129628</v>
      </c>
      <c r="G150" s="7">
        <v>1</v>
      </c>
      <c r="H150" s="15" t="s">
        <v>177</v>
      </c>
      <c r="I150" s="15">
        <v>42608.02542824074</v>
      </c>
      <c r="J150" s="7">
        <v>1</v>
      </c>
      <c r="K150" s="132" t="str">
        <f t="shared" si="42"/>
        <v>4031/4032</v>
      </c>
      <c r="L150" s="24" t="str">
        <f>VLOOKUP(A150,'Trips&amp;Operators'!$C$1:$E$10000,3,FALSE)</f>
        <v>LEVERE</v>
      </c>
      <c r="M150" s="6">
        <f t="shared" si="43"/>
        <v>2.7986111112113576E-2</v>
      </c>
      <c r="N150" s="7">
        <f t="shared" ref="N150:N181" si="59">24*60*SUM($M150:$M150)</f>
        <v>40.30000000144355</v>
      </c>
      <c r="O150" s="7"/>
      <c r="P150" s="7"/>
      <c r="Q150" s="25"/>
      <c r="R150" s="25"/>
      <c r="S150" s="37">
        <f t="shared" si="44"/>
        <v>1</v>
      </c>
      <c r="T150" s="52" t="str">
        <f t="shared" si="45"/>
        <v>Southbound</v>
      </c>
      <c r="U150" s="12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22:48:06-0600',mode:absolute,to:'2016-08-26 01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50" s="54" t="str">
        <f t="shared" si="47"/>
        <v>N</v>
      </c>
      <c r="X150" s="120">
        <f t="shared" si="58"/>
        <v>1</v>
      </c>
      <c r="Y150" s="69">
        <f t="shared" si="48"/>
        <v>23.2987</v>
      </c>
      <c r="Z150" s="69">
        <f t="shared" si="49"/>
        <v>1.52E-2</v>
      </c>
      <c r="AA150" s="69">
        <f t="shared" si="50"/>
        <v>23.2835</v>
      </c>
      <c r="AB150" s="66" t="e">
        <f>VLOOKUP(A150,Enforcements!$C$7:$J$21,8,0)</f>
        <v>#N/A</v>
      </c>
      <c r="AC150" s="62" t="e">
        <f>VLOOKUP(A150,Enforcements!$C$7:$E$21,3,0)</f>
        <v>#N/A</v>
      </c>
      <c r="AD150" s="63" t="str">
        <f t="shared" si="51"/>
        <v>0238-25</v>
      </c>
      <c r="AE150" s="99" t="str">
        <f t="shared" si="5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150" s="96" t="str">
        <f t="shared" si="53"/>
        <v>"C:\Program Files (x86)\AstroGrep\AstroGrep.exe" /spath="%USERPROFILE%\AppData\Local\Temp\OnboardLogs" /stypes="*4032*20160826*" /stext=" 06:.+((SYSTEM_STATE.+slice.+state.+changed )|(ment ac)|(system.+state.+changed )|(\|lc)|(penalty)|(\[timeout)|(PRM\|1\|D)|(kpr)|(kdp))" /e /r /s</v>
      </c>
      <c r="AG150" s="1" t="str">
        <f t="shared" si="54"/>
        <v>EC</v>
      </c>
      <c r="AH150" s="100" t="str">
        <f t="shared" si="55"/>
        <v>"%USERPROFILE%\Documents\GitHub\eaglep3\Utilities\RefineRTDCRunTimes.py" --tripid 238-25 --locoid 4032 --swversion DE.1.0.7.0 --startMP 204:232987 --initTime 2016-08-25T23:48:06 --startdatetime 2016-08-25T23:56:19 --delay 1 --endMP 204:152 --enddatetime 2016-08-26T00:36:37 --enforcementcount 1 &gt;&gt;C:\Users\stu\Documents\GitHub\eaglep3-reporting\EC\2016-08-25-refined-times.txt</v>
      </c>
      <c r="AI150" s="149" t="str">
        <f t="shared" si="56"/>
        <v>echo {"issue":{"subject":"","project_id":79,"tracker_id":40,"status_id":1,"priority_id":2,"assigned_to_id":23,"start_date":"2016-08-26","description":"","custom_fields":[{"id":1,"name":"Subdivision","value":"EC"},{"id":4,"name":"Milepost","value":"23.2835"},{"id":17,"name":"Train ID","value":"238-25"},{"id":16,"name":"Locomotive ID","value":"4032"},{"id":130,"name":"Impact","value":""},{"id":150,"name":"Time of Event (Mountain Time)","value":"00:36:37"},{"id":151,"name":"Denver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538</v>
      </c>
      <c r="B151" s="7">
        <v>4044</v>
      </c>
      <c r="C151" s="24" t="s">
        <v>113</v>
      </c>
      <c r="D151" s="24" t="s">
        <v>133</v>
      </c>
      <c r="E151" s="15">
        <v>42607.975555555553</v>
      </c>
      <c r="F151" s="15">
        <v>42607.979444444441</v>
      </c>
      <c r="G151" s="7">
        <v>2</v>
      </c>
      <c r="H151" s="15" t="s">
        <v>539</v>
      </c>
      <c r="I151" s="15">
        <v>42608.004907407405</v>
      </c>
      <c r="J151" s="7">
        <v>1</v>
      </c>
      <c r="K151" s="132" t="str">
        <f t="shared" si="42"/>
        <v>4043/4044</v>
      </c>
      <c r="L151" s="24" t="str">
        <f>VLOOKUP(A151,'Trips&amp;Operators'!$C$1:$E$10000,3,FALSE)</f>
        <v>OUN</v>
      </c>
      <c r="M151" s="6">
        <f t="shared" si="43"/>
        <v>2.5462962963501923E-2</v>
      </c>
      <c r="N151" s="7">
        <f t="shared" si="59"/>
        <v>36.666666667442769</v>
      </c>
      <c r="O151" s="7"/>
      <c r="P151" s="7"/>
      <c r="Q151" s="25"/>
      <c r="R151" s="25"/>
      <c r="S151" s="37">
        <f t="shared" si="44"/>
        <v>1</v>
      </c>
      <c r="T151" s="52" t="str">
        <f t="shared" si="45"/>
        <v>NorthBound</v>
      </c>
      <c r="U151" s="12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22:24:48-0600',mode:absolute,to:'2016-08-26 01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51" s="54" t="str">
        <f t="shared" si="47"/>
        <v>N</v>
      </c>
      <c r="X151" s="120">
        <f t="shared" si="58"/>
        <v>1</v>
      </c>
      <c r="Y151" s="69">
        <f t="shared" si="48"/>
        <v>4.53E-2</v>
      </c>
      <c r="Z151" s="69">
        <f t="shared" si="49"/>
        <v>23.328800000000001</v>
      </c>
      <c r="AA151" s="69">
        <f t="shared" si="50"/>
        <v>23.2835</v>
      </c>
      <c r="AB151" s="66" t="e">
        <f>VLOOKUP(A151,Enforcements!$C$7:$J$21,8,0)</f>
        <v>#N/A</v>
      </c>
      <c r="AC151" s="62" t="e">
        <f>VLOOKUP(A151,Enforcements!$C$7:$E$21,3,0)</f>
        <v>#N/A</v>
      </c>
      <c r="AD151" s="63" t="str">
        <f t="shared" si="51"/>
        <v>0239-25</v>
      </c>
      <c r="AE151" s="99" t="str">
        <f t="shared" si="5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151" s="96" t="str">
        <f t="shared" si="53"/>
        <v>"C:\Program Files (x86)\AstroGrep\AstroGrep.exe" /spath="%USERPROFILE%\AppData\Local\Temp\OnboardLogs" /stypes="*4044*20160826*" /stext=" 06:.+((SYSTEM_STATE.+slice.+state.+changed )|(ment ac)|(system.+state.+changed )|(\|lc)|(penalty)|(\[timeout)|(PRM\|1\|D)|(kpr)|(kdp))" /e /r /s</v>
      </c>
      <c r="AG151" s="1" t="str">
        <f t="shared" si="54"/>
        <v>EC</v>
      </c>
      <c r="AH151" s="100" t="str">
        <f t="shared" si="55"/>
        <v>"%USERPROFILE%\Documents\GitHub\eaglep3\Utilities\RefineRTDCRunTimes.py" --tripid 239-25 --locoid 4044 --swversion DE.1.0.7.0 --startMP 204:453 --initTime 2016-08-25T23:24:48 --startdatetime 2016-08-25T23:30:24 --delay 2 --endMP 204:233288 --enddatetime 2016-08-26T00:07:04 --enforcementcount 1 &gt;&gt;C:\Users\stu\Documents\GitHub\eaglep3-reporting\EC\2016-08-25-refined-times.txt</v>
      </c>
      <c r="AI151" s="149" t="str">
        <f t="shared" si="56"/>
        <v>echo {"issue":{"subject":"","project_id":79,"tracker_id":40,"status_id":1,"priority_id":2,"assigned_to_id":23,"start_date":"2016-08-26","description":"","custom_fields":[{"id":1,"name":"Subdivision","value":"EC"},{"id":4,"name":"Milepost","value":"23.2835"},{"id":17,"name":"Train ID","value":"239-25"},{"id":16,"name":"Locomotive ID","value":"4044"},{"id":130,"name":"Impact","value":""},{"id":150,"name":"Time of Event (Mountain Time)","value":"00:07:04"},{"id":151,"name":"Denver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540</v>
      </c>
      <c r="B152" s="7">
        <v>4043</v>
      </c>
      <c r="C152" s="24" t="s">
        <v>113</v>
      </c>
      <c r="D152" s="24" t="s">
        <v>441</v>
      </c>
      <c r="E152" s="15">
        <v>42608.011655092596</v>
      </c>
      <c r="F152" s="15">
        <v>42608.018229166664</v>
      </c>
      <c r="G152" s="7">
        <v>1</v>
      </c>
      <c r="H152" s="15" t="s">
        <v>181</v>
      </c>
      <c r="I152" s="15">
        <v>42608.046261574076</v>
      </c>
      <c r="J152" s="7">
        <v>1</v>
      </c>
      <c r="K152" s="132" t="str">
        <f t="shared" si="42"/>
        <v>4043/4044</v>
      </c>
      <c r="L152" s="24" t="str">
        <f>VLOOKUP(A152,'Trips&amp;Operators'!$C$1:$E$10000,3,FALSE)</f>
        <v>OUN</v>
      </c>
      <c r="M152" s="6">
        <f t="shared" si="43"/>
        <v>2.8032407411956228E-2</v>
      </c>
      <c r="N152" s="7">
        <f t="shared" si="59"/>
        <v>40.366666673216969</v>
      </c>
      <c r="O152" s="7"/>
      <c r="P152" s="7"/>
      <c r="Q152" s="25"/>
      <c r="R152" s="25"/>
      <c r="S152" s="37">
        <f t="shared" si="44"/>
        <v>1</v>
      </c>
      <c r="T152" s="52" t="str">
        <f t="shared" si="45"/>
        <v>Southbound</v>
      </c>
      <c r="U152" s="12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23:16:47-0600',mode:absolute,to:'2016-08-26 02:06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52" s="54" t="str">
        <f t="shared" si="47"/>
        <v>N</v>
      </c>
      <c r="X152" s="120">
        <f t="shared" si="58"/>
        <v>1</v>
      </c>
      <c r="Y152" s="69">
        <f t="shared" si="48"/>
        <v>23.2973</v>
      </c>
      <c r="Z152" s="69">
        <f t="shared" si="49"/>
        <v>1.41E-2</v>
      </c>
      <c r="AA152" s="69">
        <f t="shared" si="50"/>
        <v>23.283200000000001</v>
      </c>
      <c r="AB152" s="66" t="e">
        <f>VLOOKUP(A152,Enforcements!$C$7:$J$21,8,0)</f>
        <v>#N/A</v>
      </c>
      <c r="AC152" s="62" t="e">
        <f>VLOOKUP(A152,Enforcements!$C$7:$E$21,3,0)</f>
        <v>#N/A</v>
      </c>
      <c r="AD152" s="63" t="str">
        <f t="shared" si="51"/>
        <v>0240-25</v>
      </c>
      <c r="AE152" s="99" t="str">
        <f t="shared" si="52"/>
        <v>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 &amp; aws s3 cp s3://rtdc.mdm.uploadarchive/RTDC4043/2016-08-27/ "%USERPROFILE%\AppData\Local\Temp\OnboardLogs"\RTDC4043\2016-08-27 --recursive &amp; "%USERPROFILE%\Documents\GitHub\mrs-test-scripts\Headless Mode &amp; Sideloading\WalkAndUnGZ.bat" "%USERPROFILE%\AppData\Local\Temp\OnboardLogs"\RTDC4043\2016-08-27</v>
      </c>
      <c r="AF152" s="96" t="str">
        <f t="shared" si="53"/>
        <v>"C:\Program Files (x86)\AstroGrep\AstroGrep.exe" /spath="%USERPROFILE%\AppData\Local\Temp\OnboardLogs" /stypes="*4043*20160826*" /stext=" 07:.+((SYSTEM_STATE.+slice.+state.+changed )|(ment ac)|(system.+state.+changed )|(\|lc)|(penalty)|(\[timeout)|(PRM\|1\|D)|(kpr)|(kdp))" /e /r /s</v>
      </c>
      <c r="AG152" s="1" t="str">
        <f t="shared" si="54"/>
        <v>EC</v>
      </c>
      <c r="AH152" s="100" t="str">
        <f t="shared" si="55"/>
        <v>"%USERPROFILE%\Documents\GitHub\eaglep3\Utilities\RefineRTDCRunTimes.py" --tripid 240-25 --locoid 4043 --swversion DE.1.0.7.0 --startMP 204:232973 --initTime 2016-08-26T00:16:47 --startdatetime 2016-08-26T00:26:15 --delay 1 --endMP 204:141 --enddatetime 2016-08-26T01:06:37 --enforcementcount 1 &gt;&gt;C:\Users\stu\Documents\GitHub\eaglep3-reporting\EC\2016-08-25-refined-times.txt</v>
      </c>
      <c r="AI152" s="149" t="str">
        <f t="shared" si="56"/>
        <v>echo {"issue":{"subject":"","project_id":79,"tracker_id":40,"status_id":1,"priority_id":2,"assigned_to_id":23,"start_date":"2016-08-26","description":"","custom_fields":[{"id":1,"name":"Subdivision","value":"EC"},{"id":4,"name":"Milepost","value":"23.2832"},{"id":17,"name":"Train ID","value":"240-25"},{"id":16,"name":"Locomotive ID","value":"4043"},{"id":130,"name":"Impact","value":""},{"id":150,"name":"Time of Event (Mountain Time)","value":"01:06:37"},{"id":151,"name":"Denver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541</v>
      </c>
      <c r="B153" s="7">
        <v>4007</v>
      </c>
      <c r="C153" s="24" t="s">
        <v>113</v>
      </c>
      <c r="D153" s="24" t="s">
        <v>139</v>
      </c>
      <c r="E153" s="15">
        <v>42607.987071759257</v>
      </c>
      <c r="F153" s="15">
        <v>42608.000868055555</v>
      </c>
      <c r="G153" s="7">
        <v>2</v>
      </c>
      <c r="H153" s="15" t="s">
        <v>237</v>
      </c>
      <c r="I153" s="15">
        <v>42608.026469907411</v>
      </c>
      <c r="J153" s="7">
        <v>1</v>
      </c>
      <c r="K153" s="132" t="str">
        <f t="shared" si="42"/>
        <v>4007/4008</v>
      </c>
      <c r="L153" s="24" t="str">
        <f>VLOOKUP(A153,'Trips&amp;Operators'!$C$1:$E$10000,3,FALSE)</f>
        <v>SWANSON</v>
      </c>
      <c r="M153" s="6">
        <f t="shared" si="43"/>
        <v>2.5601851855753921E-2</v>
      </c>
      <c r="N153" s="7">
        <f t="shared" si="59"/>
        <v>36.866666672285646</v>
      </c>
      <c r="O153" s="7"/>
      <c r="P153" s="7"/>
      <c r="Q153" s="25"/>
      <c r="R153" s="25"/>
      <c r="S153" s="37">
        <f t="shared" si="44"/>
        <v>1</v>
      </c>
      <c r="T153" s="52" t="str">
        <f t="shared" si="45"/>
        <v>NorthBound</v>
      </c>
      <c r="U153" s="12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22:41:23-0600',mode:absolute,to:'2016-08-26 01:38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53" s="54" t="str">
        <f t="shared" si="47"/>
        <v>N</v>
      </c>
      <c r="X153" s="120">
        <f t="shared" si="58"/>
        <v>1</v>
      </c>
      <c r="Y153" s="69">
        <f t="shared" si="48"/>
        <v>4.6699999999999998E-2</v>
      </c>
      <c r="Z153" s="69">
        <f t="shared" si="49"/>
        <v>23.332000000000001</v>
      </c>
      <c r="AA153" s="69">
        <f t="shared" si="50"/>
        <v>23.285299999999999</v>
      </c>
      <c r="AB153" s="66" t="e">
        <f>VLOOKUP(A153,Enforcements!$C$7:$J$21,8,0)</f>
        <v>#N/A</v>
      </c>
      <c r="AC153" s="62" t="e">
        <f>VLOOKUP(A153,Enforcements!$C$7:$E$21,3,0)</f>
        <v>#N/A</v>
      </c>
      <c r="AD153" s="63" t="str">
        <f t="shared" si="51"/>
        <v>0241-25</v>
      </c>
      <c r="AE153" s="99" t="str">
        <f t="shared" si="52"/>
        <v>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 &amp; 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</v>
      </c>
      <c r="AF153" s="96" t="str">
        <f t="shared" si="53"/>
        <v>"C:\Program Files (x86)\AstroGrep\AstroGrep.exe" /spath="%USERPROFILE%\AppData\Local\Temp\OnboardLogs" /stypes="*4007*20160826*" /stext=" 06:.+((SYSTEM_STATE.+slice.+state.+changed )|(ment ac)|(system.+state.+changed )|(\|lc)|(penalty)|(\[timeout)|(PRM\|1\|D)|(kpr)|(kdp))" /e /r /s</v>
      </c>
      <c r="AG153" s="1" t="str">
        <f t="shared" si="54"/>
        <v>EC</v>
      </c>
      <c r="AH153" s="100" t="str">
        <f t="shared" si="55"/>
        <v>"%USERPROFILE%\Documents\GitHub\eaglep3\Utilities\RefineRTDCRunTimes.py" --tripid 241-25 --locoid 4007 --swversion DE.1.0.7.0 --startMP 204:467 --initTime 2016-08-25T23:41:23 --startdatetime 2016-08-26T00:01:15 --delay 2 --endMP 204:233320 --enddatetime 2016-08-26T00:38:07 --enforcementcount 1 &gt;&gt;C:\Users\stu\Documents\GitHub\eaglep3-reporting\EC\2016-08-25-refined-times.txt</v>
      </c>
      <c r="AI153" s="149" t="str">
        <f t="shared" si="56"/>
        <v>echo {"issue":{"subject":"","project_id":79,"tracker_id":40,"status_id":1,"priority_id":2,"assigned_to_id":23,"start_date":"2016-08-26","description":"","custom_fields":[{"id":1,"name":"Subdivision","value":"EC"},{"id":4,"name":"Milepost","value":"23.2853"},{"id":17,"name":"Train ID","value":"241-25"},{"id":16,"name":"Locomotive ID","value":"4007"},{"id":130,"name":"Impact","value":""},{"id":150,"name":"Time of Event (Mountain Time)","value":"00:38:07"},{"id":151,"name":"Denver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542</v>
      </c>
      <c r="B154" s="7">
        <v>4008</v>
      </c>
      <c r="C154" s="24" t="s">
        <v>113</v>
      </c>
      <c r="D154" s="24" t="s">
        <v>543</v>
      </c>
      <c r="E154" s="15">
        <v>42608.039224537039</v>
      </c>
      <c r="F154" s="15">
        <v>42608.040590277778</v>
      </c>
      <c r="G154" s="7">
        <v>1</v>
      </c>
      <c r="H154" s="15" t="s">
        <v>89</v>
      </c>
      <c r="I154" s="15">
        <v>42608.069062499999</v>
      </c>
      <c r="J154" s="7">
        <v>1</v>
      </c>
      <c r="K154" s="132" t="str">
        <f t="shared" si="42"/>
        <v>4007/4008</v>
      </c>
      <c r="L154" s="24" t="str">
        <f>VLOOKUP(A154,'Trips&amp;Operators'!$C$1:$E$10000,3,FALSE)</f>
        <v>SWANSON</v>
      </c>
      <c r="M154" s="6">
        <f t="shared" si="43"/>
        <v>2.8472222220443655E-2</v>
      </c>
      <c r="N154" s="7">
        <f t="shared" si="59"/>
        <v>40.999999997438863</v>
      </c>
      <c r="O154" s="7"/>
      <c r="P154" s="7"/>
      <c r="Q154" s="25"/>
      <c r="R154" s="25"/>
      <c r="S154" s="37">
        <f t="shared" si="44"/>
        <v>1</v>
      </c>
      <c r="T154" s="52" t="str">
        <f t="shared" si="45"/>
        <v>Southbound</v>
      </c>
      <c r="U154" s="12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23:56:29-0600',mode:absolute,to:'2016-08-26 02:39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54" s="54" t="str">
        <f t="shared" si="47"/>
        <v>N</v>
      </c>
      <c r="X154" s="120">
        <f t="shared" ref="X154:X185" si="60">VALUE(LEFT(AD154,4))-VALUE(LEFT(AD153,4))</f>
        <v>1</v>
      </c>
      <c r="Y154" s="69">
        <f t="shared" si="48"/>
        <v>23.296900000000001</v>
      </c>
      <c r="Z154" s="69">
        <f t="shared" si="49"/>
        <v>1.43E-2</v>
      </c>
      <c r="AA154" s="69">
        <f t="shared" si="50"/>
        <v>23.282600000000002</v>
      </c>
      <c r="AB154" s="66" t="e">
        <f>VLOOKUP(A154,Enforcements!$C$7:$J$21,8,0)</f>
        <v>#N/A</v>
      </c>
      <c r="AC154" s="62" t="e">
        <f>VLOOKUP(A154,Enforcements!$C$7:$E$21,3,0)</f>
        <v>#N/A</v>
      </c>
      <c r="AD154" s="63" t="str">
        <f t="shared" si="51"/>
        <v>0242-25</v>
      </c>
      <c r="AE154" s="99" t="str">
        <f t="shared" si="52"/>
        <v>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 &amp; 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</v>
      </c>
      <c r="AF154" s="96" t="str">
        <f t="shared" si="53"/>
        <v>"C:\Program Files (x86)\AstroGrep\AstroGrep.exe" /spath="%USERPROFILE%\AppData\Local\Temp\OnboardLogs" /stypes="*4008*20160826*" /stext=" 07:.+((SYSTEM_STATE.+slice.+state.+changed )|(ment ac)|(system.+state.+changed )|(\|lc)|(penalty)|(\[timeout)|(PRM\|1\|D)|(kpr)|(kdp))" /e /r /s</v>
      </c>
      <c r="AG154" s="1" t="str">
        <f t="shared" si="54"/>
        <v>EC</v>
      </c>
      <c r="AH154" s="100" t="str">
        <f t="shared" si="55"/>
        <v>"%USERPROFILE%\Documents\GitHub\eaglep3\Utilities\RefineRTDCRunTimes.py" --tripid 242-25 --locoid 4008 --swversion DE.1.0.7.0 --startMP 204:232969 --initTime 2016-08-26T00:56:29 --startdatetime 2016-08-26T00:58:27 --delay 1 --endMP 204:143 --enddatetime 2016-08-26T01:39:27 --enforcementcount 1 &gt;&gt;C:\Users\stu\Documents\GitHub\eaglep3-reporting\EC\2016-08-25-refined-times.txt</v>
      </c>
      <c r="AI154" s="149" t="str">
        <f t="shared" si="56"/>
        <v>echo {"issue":{"subject":"","project_id":79,"tracker_id":40,"status_id":1,"priority_id":2,"assigned_to_id":23,"start_date":"2016-08-26","description":"","custom_fields":[{"id":1,"name":"Subdivision","value":"EC"},{"id":4,"name":"Milepost","value":"23.2826"},{"id":17,"name":"Train ID","value":"242-25"},{"id":16,"name":"Locomotive ID","value":"4008"},{"id":130,"name":"Impact","value":""},{"id":150,"name":"Time of Event (Mountain Time)","value":"01:39:27"},{"id":151,"name":"Denver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544</v>
      </c>
      <c r="B155" s="7">
        <v>4042</v>
      </c>
      <c r="C155" s="24" t="s">
        <v>113</v>
      </c>
      <c r="D155" s="24" t="s">
        <v>185</v>
      </c>
      <c r="E155" s="15">
        <v>42608.014861111114</v>
      </c>
      <c r="F155" s="15">
        <v>42608.021099537036</v>
      </c>
      <c r="G155" s="7">
        <v>2</v>
      </c>
      <c r="H155" s="15" t="s">
        <v>332</v>
      </c>
      <c r="I155" s="15">
        <v>42608.048101851855</v>
      </c>
      <c r="J155" s="7">
        <v>1</v>
      </c>
      <c r="K155" s="132" t="str">
        <f t="shared" si="42"/>
        <v>4041/4042</v>
      </c>
      <c r="L155" s="24" t="str">
        <f>VLOOKUP(A155,'Trips&amp;Operators'!$C$1:$E$10000,3,FALSE)</f>
        <v>ARVIDSON</v>
      </c>
      <c r="M155" s="6">
        <f t="shared" si="43"/>
        <v>2.7002314818673767E-2</v>
      </c>
      <c r="N155" s="7">
        <f t="shared" si="59"/>
        <v>38.883333338890225</v>
      </c>
      <c r="O155" s="7"/>
      <c r="P155" s="7"/>
      <c r="Q155" s="25"/>
      <c r="R155" s="25"/>
      <c r="S155" s="37">
        <f t="shared" si="44"/>
        <v>1</v>
      </c>
      <c r="T155" s="52" t="str">
        <f t="shared" si="45"/>
        <v>NorthBound</v>
      </c>
      <c r="U155" s="12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23:21:24-0600',mode:absolute,to:'2016-08-26 02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55" s="54" t="str">
        <f t="shared" si="47"/>
        <v>N</v>
      </c>
      <c r="X155" s="120">
        <f t="shared" si="60"/>
        <v>1</v>
      </c>
      <c r="Y155" s="69">
        <f t="shared" si="48"/>
        <v>4.7100000000000003E-2</v>
      </c>
      <c r="Z155" s="69">
        <f t="shared" si="49"/>
        <v>23.328399999999998</v>
      </c>
      <c r="AA155" s="69">
        <f t="shared" si="50"/>
        <v>23.281299999999998</v>
      </c>
      <c r="AB155" s="66" t="e">
        <f>VLOOKUP(A155,Enforcements!$C$7:$J$21,8,0)</f>
        <v>#N/A</v>
      </c>
      <c r="AC155" s="62" t="e">
        <f>VLOOKUP(A155,Enforcements!$C$7:$E$21,3,0)</f>
        <v>#N/A</v>
      </c>
      <c r="AD155" s="63" t="str">
        <f t="shared" si="51"/>
        <v>0243-25</v>
      </c>
      <c r="AE155" s="99" t="str">
        <f t="shared" si="52"/>
        <v>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 &amp; aws s3 cp s3://rtdc.mdm.uploadarchive/RTDC4042/2016-08-27/ "%USERPROFILE%\AppData\Local\Temp\OnboardLogs"\RTDC4042\2016-08-27 --recursive &amp; "%USERPROFILE%\Documents\GitHub\mrs-test-scripts\Headless Mode &amp; Sideloading\WalkAndUnGZ.bat" "%USERPROFILE%\AppData\Local\Temp\OnboardLogs"\RTDC4042\2016-08-27</v>
      </c>
      <c r="AF155" s="96" t="str">
        <f t="shared" si="53"/>
        <v>"C:\Program Files (x86)\AstroGrep\AstroGrep.exe" /spath="%USERPROFILE%\AppData\Local\Temp\OnboardLogs" /stypes="*4042*20160826*" /stext=" 07:.+((SYSTEM_STATE.+slice.+state.+changed )|(ment ac)|(system.+state.+changed )|(\|lc)|(penalty)|(\[timeout)|(PRM\|1\|D)|(kpr)|(kdp))" /e /r /s</v>
      </c>
      <c r="AG155" s="1" t="str">
        <f t="shared" si="54"/>
        <v>EC</v>
      </c>
      <c r="AH155" s="100" t="str">
        <f t="shared" si="55"/>
        <v>"%USERPROFILE%\Documents\GitHub\eaglep3\Utilities\RefineRTDCRunTimes.py" --tripid 243-25 --locoid 4042 --swversion DE.1.0.7.0 --startMP 204:471 --initTime 2016-08-26T00:21:24 --startdatetime 2016-08-26T00:30:23 --delay 2 --endMP 204:233284 --enddatetime 2016-08-26T01:09:16 --enforcementcount 1 &gt;&gt;C:\Users\stu\Documents\GitHub\eaglep3-reporting\EC\2016-08-25-refined-times.txt</v>
      </c>
      <c r="AI155" s="149" t="str">
        <f t="shared" si="56"/>
        <v>echo {"issue":{"subject":"","project_id":79,"tracker_id":40,"status_id":1,"priority_id":2,"assigned_to_id":23,"start_date":"2016-08-26","description":"","custom_fields":[{"id":1,"name":"Subdivision","value":"EC"},{"id":4,"name":"Milepost","value":"23.2813"},{"id":17,"name":"Train ID","value":"243-25"},{"id":16,"name":"Locomotive ID","value":"4042"},{"id":130,"name":"Impact","value":""},{"id":150,"name":"Time of Event (Mountain Time)","value":"01:09:16"},{"id":151,"name":"Denver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545</v>
      </c>
      <c r="B156" s="7">
        <v>4041</v>
      </c>
      <c r="C156" s="24" t="s">
        <v>113</v>
      </c>
      <c r="D156" s="24" t="s">
        <v>546</v>
      </c>
      <c r="E156" s="15">
        <v>42608.053784722222</v>
      </c>
      <c r="F156" s="15">
        <v>42608.060104166667</v>
      </c>
      <c r="G156" s="7">
        <v>1</v>
      </c>
      <c r="H156" s="15" t="s">
        <v>131</v>
      </c>
      <c r="I156" s="15">
        <v>42608.089259259257</v>
      </c>
      <c r="J156" s="7">
        <v>1</v>
      </c>
      <c r="K156" s="132" t="str">
        <f t="shared" si="42"/>
        <v>4041/4042</v>
      </c>
      <c r="L156" s="24" t="str">
        <f>VLOOKUP(A156,'Trips&amp;Operators'!$C$1:$E$10000,3,FALSE)</f>
        <v>ARVIDSON</v>
      </c>
      <c r="M156" s="6">
        <f t="shared" si="43"/>
        <v>2.9155092590372078E-2</v>
      </c>
      <c r="N156" s="7">
        <f t="shared" si="59"/>
        <v>41.983333330135792</v>
      </c>
      <c r="O156" s="7"/>
      <c r="P156" s="7"/>
      <c r="Q156" s="25"/>
      <c r="R156" s="25"/>
      <c r="S156" s="37">
        <f t="shared" si="44"/>
        <v>1</v>
      </c>
      <c r="T156" s="52" t="str">
        <f t="shared" si="45"/>
        <v>Southbound</v>
      </c>
      <c r="U156" s="12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https://search-rtdc-monitor-bjffxe2xuh6vdkpspy63sjmuny.us-east-1.es.amazonaws.com/_plugin/kibana/#/discover/Steve-Slow-Train-Analysis-(2080s-and-2083s)?_g=(refreshInterval:(display:Off,section:0,value:0),time:(from:'2016-08-26 00:17:27-0600',mode:absolute,to:'2016-08-26 03:08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56" s="54" t="str">
        <f t="shared" si="47"/>
        <v>N</v>
      </c>
      <c r="X156" s="120">
        <f t="shared" si="60"/>
        <v>1</v>
      </c>
      <c r="Y156" s="69">
        <f t="shared" si="48"/>
        <v>23.295200000000001</v>
      </c>
      <c r="Z156" s="69">
        <f t="shared" si="49"/>
        <v>1.5800000000000002E-2</v>
      </c>
      <c r="AA156" s="69">
        <f t="shared" si="50"/>
        <v>23.279400000000003</v>
      </c>
      <c r="AB156" s="66" t="e">
        <f>VLOOKUP(A156,Enforcements!$C$7:$J$21,8,0)</f>
        <v>#N/A</v>
      </c>
      <c r="AC156" s="62" t="e">
        <f>VLOOKUP(A156,Enforcements!$C$7:$E$21,3,0)</f>
        <v>#N/A</v>
      </c>
      <c r="AD156" s="63" t="str">
        <f t="shared" si="51"/>
        <v>0244-25</v>
      </c>
      <c r="AE156" s="99" t="str">
        <f t="shared" si="52"/>
        <v>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 &amp; aws s3 cp s3://rtdc.mdm.uploadarchive/RTDC4041/2016-08-27/ "%USERPROFILE%\AppData\Local\Temp\OnboardLogs"\RTDC4041\2016-08-27 --recursive &amp; "%USERPROFILE%\Documents\GitHub\mrs-test-scripts\Headless Mode &amp; Sideloading\WalkAndUnGZ.bat" "%USERPROFILE%\AppData\Local\Temp\OnboardLogs"\RTDC4041\2016-08-27</v>
      </c>
      <c r="AF156" s="96" t="str">
        <f t="shared" si="53"/>
        <v>"C:\Program Files (x86)\AstroGrep\AstroGrep.exe" /spath="%USERPROFILE%\AppData\Local\Temp\OnboardLogs" /stypes="*4041*20160826*" /stext=" 08:.+((SYSTEM_STATE.+slice.+state.+changed )|(ment ac)|(system.+state.+changed )|(\|lc)|(penalty)|(\[timeout)|(PRM\|1\|D)|(kpr)|(kdp))" /e /r /s</v>
      </c>
      <c r="AG156" s="1" t="str">
        <f t="shared" si="54"/>
        <v>EC</v>
      </c>
      <c r="AH156" s="100" t="str">
        <f t="shared" si="55"/>
        <v>"%USERPROFILE%\Documents\GitHub\eaglep3\Utilities\RefineRTDCRunTimes.py" --tripid 244-25 --locoid 4041 --swversion DE.1.0.7.0 --startMP 204:232952 --initTime 2016-08-26T01:17:27 --startdatetime 2016-08-26T01:26:33 --delay 1 --endMP 204:158 --enddatetime 2016-08-26T02:08:32 --enforcementcount 1 &gt;&gt;C:\Users\stu\Documents\GitHub\eaglep3-reporting\EC\2016-08-25-refined-times.txt</v>
      </c>
      <c r="AI156" s="149" t="str">
        <f t="shared" si="56"/>
        <v>echo {"issue":{"subject":"","project_id":79,"tracker_id":40,"status_id":1,"priority_id":2,"assigned_to_id":23,"start_date":"2016-08-26","description":"","custom_fields":[{"id":1,"name":"Subdivision","value":"EC"},{"id":4,"name":"Milepost","value":"23.2794"},{"id":17,"name":"Train ID","value":"244-25"},{"id":16,"name":"Locomotive ID","value":"4041"},{"id":130,"name":"Impact","value":""},{"id":150,"name":"Time of Event (Mountain Time)","value":"02:08:32"},{"id":151,"name":"Denver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577</v>
      </c>
      <c r="B157" s="7">
        <v>4037</v>
      </c>
      <c r="C157" s="24" t="s">
        <v>113</v>
      </c>
      <c r="D157" s="24" t="s">
        <v>578</v>
      </c>
      <c r="E157" s="15">
        <v>42607.214270833334</v>
      </c>
      <c r="F157" s="15">
        <v>42607.216678240744</v>
      </c>
      <c r="G157" s="7">
        <v>1</v>
      </c>
      <c r="H157" s="15" t="s">
        <v>579</v>
      </c>
      <c r="I157" s="15">
        <v>42607.225451388891</v>
      </c>
      <c r="J157" s="7">
        <v>1</v>
      </c>
      <c r="K157" s="132" t="str">
        <f t="shared" si="42"/>
        <v>4037/4038</v>
      </c>
      <c r="L157" s="24" t="str">
        <f>VLOOKUP(A157,'Trips&amp;Operators'!$C$1:$E$10000,3,FALSE)</f>
        <v>MAHAN</v>
      </c>
      <c r="M157" s="6">
        <f t="shared" si="43"/>
        <v>8.7731481471564621E-3</v>
      </c>
      <c r="N157" s="7">
        <f t="shared" si="59"/>
        <v>12.633333331905305</v>
      </c>
      <c r="O157" s="7"/>
      <c r="P157" s="7"/>
      <c r="Q157" s="25"/>
      <c r="R157" s="25"/>
      <c r="S157" s="37">
        <f t="shared" si="44"/>
        <v>1</v>
      </c>
      <c r="T157" s="52" t="str">
        <f t="shared" si="45"/>
        <v>Southbound</v>
      </c>
      <c r="U157" s="12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04:08:33-0600',mode:absolute,to:'2016-08-25 06:24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57" s="54" t="str">
        <f t="shared" si="47"/>
        <v>N</v>
      </c>
      <c r="X157" s="120">
        <f t="shared" si="60"/>
        <v>556</v>
      </c>
      <c r="Y157" s="69">
        <f t="shared" si="48"/>
        <v>5.8628</v>
      </c>
      <c r="Z157" s="69">
        <f t="shared" si="49"/>
        <v>8.0799999999999997E-2</v>
      </c>
      <c r="AA157" s="69">
        <f t="shared" si="50"/>
        <v>5.782</v>
      </c>
      <c r="AB157" s="66" t="e">
        <f>VLOOKUP(A157,Enforcements!$C$7:$J$21,8,0)</f>
        <v>#N/A</v>
      </c>
      <c r="AC157" s="62" t="e">
        <f>VLOOKUP(A157,Enforcements!$C$7:$E$21,3,0)</f>
        <v>#N/A</v>
      </c>
      <c r="AD157" s="63" t="str">
        <f t="shared" si="51"/>
        <v>0800-25</v>
      </c>
      <c r="AE157" s="99" t="str">
        <f t="shared" si="52"/>
        <v>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 &amp; 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</v>
      </c>
      <c r="AF157" s="96" t="str">
        <f t="shared" si="53"/>
        <v>"C:\Program Files (x86)\AstroGrep\AstroGrep.exe" /spath="%USERPROFILE%\AppData\Local\Temp\OnboardLogs" /stypes="*4037*20160825*" /stext=" 11:.+((SYSTEM_STATE.+slice.+state.+changed )|(ment ac)|(system.+state.+changed )|(\|lc)|(penalty)|(\[timeout)|(PRM\|1\|D)|(kpr)|(kdp))" /e /r /s</v>
      </c>
      <c r="AG157" s="1" t="str">
        <f t="shared" si="54"/>
        <v>NW</v>
      </c>
      <c r="AH157" s="100" t="str">
        <f t="shared" si="55"/>
        <v>"%USERPROFILE%\Documents\GitHub\eaglep3\Utilities\RefineRTDCRunTimes.py" --tripid 800-25 --locoid 4037 --swversion DE.1.0.7.0 --startMP 300:58628 --initTime 2016-08-25T05:08:33 --startdatetime 2016-08-25T05:12:01 --delay 1 --endMP 204:808 --enddatetime 2016-08-25T05:24:39 --enforcementcount 1 &gt;&gt;C:\Users\stu\Documents\GitHub\eaglep3-reporting\EC\2016-08-25-refined-times.txt</v>
      </c>
      <c r="AI157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{"issue":{"subject":"","project_id":79,"tracker_id":40,"status_id":1,"priority_id":2,"assigned_to_id":23,"start_date":"2016-08-25","description":"","custom_fields":[{"id":1,"name":"Subdivision","value":"NW"},{"id":4,"name":"Milepost","value":"5.782"},{"id":17,"name":"Train ID","value":"800-25"},{"id":16,"name":"Locomotive ID","value":"4037"},{"id":130,"name":"Impact","value":""},{"id":150,"name":"Time of Event (Mountain Time)","value":"05:24:39"},{"id":151,"name":"Denver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580</v>
      </c>
      <c r="B158" s="7">
        <v>4038</v>
      </c>
      <c r="C158" s="24" t="s">
        <v>113</v>
      </c>
      <c r="D158" s="24" t="s">
        <v>581</v>
      </c>
      <c r="E158" s="15">
        <v>42607.227013888885</v>
      </c>
      <c r="F158" s="15">
        <v>42607.243935185186</v>
      </c>
      <c r="G158" s="7">
        <v>1</v>
      </c>
      <c r="H158" s="15" t="s">
        <v>582</v>
      </c>
      <c r="I158" s="15">
        <v>42607.253298611111</v>
      </c>
      <c r="J158" s="7">
        <v>1</v>
      </c>
      <c r="K158" s="132" t="str">
        <f t="shared" si="42"/>
        <v>4037/4038</v>
      </c>
      <c r="L158" s="24" t="str">
        <f>VLOOKUP(A158,'Trips&amp;Operators'!$C$1:$E$10000,3,FALSE)</f>
        <v>MAHAN</v>
      </c>
      <c r="M158" s="6">
        <f t="shared" si="43"/>
        <v>9.3634259246755391E-3</v>
      </c>
      <c r="N158" s="7">
        <f t="shared" si="59"/>
        <v>13.483333331532776</v>
      </c>
      <c r="O158" s="7"/>
      <c r="P158" s="7"/>
      <c r="Q158" s="25"/>
      <c r="R158" s="25"/>
      <c r="S158" s="37">
        <f t="shared" si="44"/>
        <v>1</v>
      </c>
      <c r="T158" s="52" t="str">
        <f t="shared" si="45"/>
        <v>NorthBound</v>
      </c>
      <c r="U158" s="12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04:26:54-0600',mode:absolute,to:'2016-08-25 07:04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58" s="54" t="str">
        <f t="shared" si="47"/>
        <v>N</v>
      </c>
      <c r="X158" s="120">
        <f t="shared" si="60"/>
        <v>1</v>
      </c>
      <c r="Y158" s="69">
        <f t="shared" si="48"/>
        <v>0.1105</v>
      </c>
      <c r="Z158" s="69">
        <f t="shared" si="49"/>
        <v>5.8943000000000003</v>
      </c>
      <c r="AA158" s="69">
        <f t="shared" si="50"/>
        <v>5.7838000000000003</v>
      </c>
      <c r="AB158" s="66" t="e">
        <f>VLOOKUP(A158,Enforcements!$C$7:$J$21,8,0)</f>
        <v>#N/A</v>
      </c>
      <c r="AC158" s="62" t="e">
        <f>VLOOKUP(A158,Enforcements!$C$7:$E$21,3,0)</f>
        <v>#N/A</v>
      </c>
      <c r="AD158" s="63" t="str">
        <f t="shared" si="51"/>
        <v>0801-25</v>
      </c>
      <c r="AE158" s="99" t="str">
        <f t="shared" si="52"/>
        <v>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 &amp; 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</v>
      </c>
      <c r="AF158" s="96" t="str">
        <f t="shared" si="53"/>
        <v>"C:\Program Files (x86)\AstroGrep\AstroGrep.exe" /spath="%USERPROFILE%\AppData\Local\Temp\OnboardLogs" /stypes="*4038*20160825*" /stext=" 12:.+((SYSTEM_STATE.+slice.+state.+changed )|(ment ac)|(system.+state.+changed )|(\|lc)|(penalty)|(\[timeout)|(PRM\|1\|D)|(kpr)|(kdp))" /e /r /s</v>
      </c>
      <c r="AG158" s="1" t="str">
        <f t="shared" si="54"/>
        <v>NW</v>
      </c>
      <c r="AH158" s="100" t="str">
        <f t="shared" si="55"/>
        <v>"%USERPROFILE%\Documents\GitHub\eaglep3\Utilities\RefineRTDCRunTimes.py" --tripid 801-25 --locoid 4038 --swversion DE.1.0.7.0 --startMP 204:1105 --initTime 2016-08-25T05:26:54 --startdatetime 2016-08-25T05:51:16 --delay 1 --endMP 300:58943 --enddatetime 2016-08-25T06:04:45 --enforcementcount 1 &gt;&gt;C:\Users\stu\Documents\GitHub\eaglep3-reporting\EC\2016-08-25-refined-times.txt</v>
      </c>
      <c r="AI158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{"issue":{"subject":"","project_id":79,"tracker_id":40,"status_id":1,"priority_id":2,"assigned_to_id":23,"start_date":"2016-08-25","description":"","custom_fields":[{"id":1,"name":"Subdivision","value":"NW"},{"id":4,"name":"Milepost","value":"5.7838"},{"id":17,"name":"Train ID","value":"801-25"},{"id":16,"name":"Locomotive ID","value":"4038"},{"id":130,"name":"Impact","value":""},{"id":150,"name":"Time of Event (Mountain Time)","value":"06:04:45"},{"id":151,"name":"Denver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583</v>
      </c>
      <c r="B159" s="7">
        <v>4037</v>
      </c>
      <c r="C159" s="24" t="s">
        <v>113</v>
      </c>
      <c r="D159" s="24" t="s">
        <v>345</v>
      </c>
      <c r="E159" s="15">
        <v>42607.254479166666</v>
      </c>
      <c r="F159" s="15">
        <v>42607.255949074075</v>
      </c>
      <c r="G159" s="7">
        <v>1</v>
      </c>
      <c r="H159" s="15" t="s">
        <v>584</v>
      </c>
      <c r="I159" s="15">
        <v>42607.266921296294</v>
      </c>
      <c r="J159" s="7">
        <v>1</v>
      </c>
      <c r="K159" s="132" t="str">
        <f t="shared" si="42"/>
        <v>4037/4038</v>
      </c>
      <c r="L159" s="24" t="str">
        <f>VLOOKUP(A159,'Trips&amp;Operators'!$C$1:$E$10000,3,FALSE)</f>
        <v>MAHAN</v>
      </c>
      <c r="M159" s="6">
        <f t="shared" si="43"/>
        <v>1.0972222218697425E-2</v>
      </c>
      <c r="N159" s="7">
        <f t="shared" si="59"/>
        <v>15.799999994924292</v>
      </c>
      <c r="O159" s="7"/>
      <c r="P159" s="7"/>
      <c r="Q159" s="25"/>
      <c r="R159" s="25"/>
      <c r="S159" s="37">
        <f t="shared" si="44"/>
        <v>1</v>
      </c>
      <c r="T159" s="52" t="str">
        <f t="shared" si="45"/>
        <v>Southbound</v>
      </c>
      <c r="U159" s="12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05:06:27-0600',mode:absolute,to:'2016-08-25 07:24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59" s="54" t="str">
        <f t="shared" si="47"/>
        <v>N</v>
      </c>
      <c r="X159" s="120">
        <f t="shared" si="60"/>
        <v>1</v>
      </c>
      <c r="Y159" s="69">
        <f t="shared" si="48"/>
        <v>5.8625999999999996</v>
      </c>
      <c r="Z159" s="69">
        <f t="shared" si="49"/>
        <v>8.3599999999999994E-2</v>
      </c>
      <c r="AA159" s="69">
        <f t="shared" si="50"/>
        <v>5.7789999999999999</v>
      </c>
      <c r="AB159" s="66" t="e">
        <f>VLOOKUP(A159,Enforcements!$C$7:$J$21,8,0)</f>
        <v>#N/A</v>
      </c>
      <c r="AC159" s="62" t="e">
        <f>VLOOKUP(A159,Enforcements!$C$7:$E$21,3,0)</f>
        <v>#N/A</v>
      </c>
      <c r="AD159" s="63" t="str">
        <f t="shared" si="51"/>
        <v>0802-25</v>
      </c>
      <c r="AE159" s="99" t="str">
        <f t="shared" si="52"/>
        <v>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 &amp; 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</v>
      </c>
      <c r="AF159" s="96" t="str">
        <f t="shared" si="53"/>
        <v>"C:\Program Files (x86)\AstroGrep\AstroGrep.exe" /spath="%USERPROFILE%\AppData\Local\Temp\OnboardLogs" /stypes="*4037*20160825*" /stext=" 12:.+((SYSTEM_STATE.+slice.+state.+changed )|(ment ac)|(system.+state.+changed )|(\|lc)|(penalty)|(\[timeout)|(PRM\|1\|D)|(kpr)|(kdp))" /e /r /s</v>
      </c>
      <c r="AG159" s="1" t="str">
        <f t="shared" si="54"/>
        <v>NW</v>
      </c>
      <c r="AH159" s="100" t="str">
        <f t="shared" si="55"/>
        <v>"%USERPROFILE%\Documents\GitHub\eaglep3\Utilities\RefineRTDCRunTimes.py" --tripid 802-25 --locoid 4037 --swversion DE.1.0.7.0 --startMP 300:58626 --initTime 2016-08-25T06:06:27 --startdatetime 2016-08-25T06:08:34 --delay 1 --endMP 204:836 --enddatetime 2016-08-25T06:24:22 --enforcementcount 1 &gt;&gt;C:\Users\stu\Documents\GitHub\eaglep3-reporting\EC\2016-08-25-refined-times.txt</v>
      </c>
      <c r="AI159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{"issue":{"subject":"","project_id":79,"tracker_id":40,"status_id":1,"priority_id":2,"assigned_to_id":23,"start_date":"2016-08-25","description":"","custom_fields":[{"id":1,"name":"Subdivision","value":"NW"},{"id":4,"name":"Milepost","value":"5.779"},{"id":17,"name":"Train ID","value":"802-25"},{"id":16,"name":"Locomotive ID","value":"4037"},{"id":130,"name":"Impact","value":""},{"id":150,"name":"Time of Event (Mountain Time)","value":"06:24:22"},{"id":151,"name":"Denver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x14ac:dyDescent="0.25">
      <c r="A160" s="39" t="s">
        <v>585</v>
      </c>
      <c r="B160" s="7">
        <v>4014</v>
      </c>
      <c r="C160" s="24" t="s">
        <v>113</v>
      </c>
      <c r="D160" s="24" t="s">
        <v>337</v>
      </c>
      <c r="E160" s="15">
        <v>42607.255497685182</v>
      </c>
      <c r="F160" s="15">
        <v>42607.264756944445</v>
      </c>
      <c r="G160" s="7">
        <v>1</v>
      </c>
      <c r="H160" s="15" t="s">
        <v>586</v>
      </c>
      <c r="I160" s="15">
        <v>42607.274108796293</v>
      </c>
      <c r="J160" s="7">
        <v>1</v>
      </c>
      <c r="K160" s="132" t="str">
        <f t="shared" si="42"/>
        <v>4013/4014</v>
      </c>
      <c r="L160" s="24" t="str">
        <f>VLOOKUP(A160,'Trips&amp;Operators'!$C$1:$E$10000,3,FALSE)</f>
        <v>GEBRETEKLE</v>
      </c>
      <c r="M160" s="6">
        <f t="shared" si="43"/>
        <v>9.3518518478958867E-3</v>
      </c>
      <c r="N160" s="7">
        <f t="shared" si="59"/>
        <v>13.466666660970077</v>
      </c>
      <c r="O160" s="7"/>
      <c r="P160" s="7"/>
      <c r="Q160" s="25"/>
      <c r="R160" s="25"/>
      <c r="S160" s="37">
        <f t="shared" si="44"/>
        <v>1</v>
      </c>
      <c r="T160" s="52" t="str">
        <f t="shared" si="45"/>
        <v>NorthBound</v>
      </c>
      <c r="U160" s="12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05:07:55-0600',mode:absolute,to:'2016-08-25 07:34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60" s="54" t="str">
        <f t="shared" si="47"/>
        <v>N</v>
      </c>
      <c r="X160" s="120">
        <f t="shared" si="60"/>
        <v>1</v>
      </c>
      <c r="Y160" s="69">
        <f t="shared" si="48"/>
        <v>9.6199999999999994E-2</v>
      </c>
      <c r="Z160" s="69">
        <f t="shared" si="49"/>
        <v>5.8975</v>
      </c>
      <c r="AA160" s="69">
        <f t="shared" si="50"/>
        <v>5.8013000000000003</v>
      </c>
      <c r="AB160" s="66" t="e">
        <f>VLOOKUP(A160,Enforcements!$C$7:$J$21,8,0)</f>
        <v>#N/A</v>
      </c>
      <c r="AC160" s="62" t="e">
        <f>VLOOKUP(A160,Enforcements!$C$7:$E$21,3,0)</f>
        <v>#N/A</v>
      </c>
      <c r="AD160" s="63" t="str">
        <f t="shared" si="51"/>
        <v>0803-25</v>
      </c>
      <c r="AE160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60" s="96" t="str">
        <f t="shared" si="53"/>
        <v>"C:\Program Files (x86)\AstroGrep\AstroGrep.exe" /spath="%USERPROFILE%\AppData\Local\Temp\OnboardLogs" /stypes="*4014*20160825*" /stext=" 12:.+((SYSTEM_STATE.+slice.+state.+changed )|(ment ac)|(system.+state.+changed )|(\|lc)|(penalty)|(\[timeout)|(PRM\|1\|D)|(kpr)|(kdp))" /e /r /s</v>
      </c>
      <c r="AG160" s="1" t="str">
        <f t="shared" si="54"/>
        <v>NW</v>
      </c>
      <c r="AH160" s="100" t="str">
        <f t="shared" si="55"/>
        <v>"%USERPROFILE%\Documents\GitHub\eaglep3\Utilities\RefineRTDCRunTimes.py" --tripid 803-25 --locoid 4014 --swversion DE.1.0.7.0 --startMP 204:962 --initTime 2016-08-25T06:07:55 --startdatetime 2016-08-25T06:21:15 --delay 1 --endMP 300:58975 --enddatetime 2016-08-25T06:34:43 --enforcementcount 1 &gt;&gt;C:\Users\stu\Documents\GitHub\eaglep3-reporting\EC\2016-08-25-refined-times.txt</v>
      </c>
      <c r="AI160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{"issue":{"subject":"","project_id":79,"tracker_id":40,"status_id":1,"priority_id":2,"assigned_to_id":23,"start_date":"2016-08-25","description":"","custom_fields":[{"id":1,"name":"Subdivision","value":"NW"},{"id":4,"name":"Milepost","value":"5.8013"},{"id":17,"name":"Train ID","value":"803-25"},{"id":16,"name":"Locomotive ID","value":"4014"},{"id":130,"name":"Impact","value":""},{"id":150,"name":"Time of Event (Mountain Time)","value":"06:34:43"},{"id":151,"name":"Denver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587</v>
      </c>
      <c r="B161" s="7">
        <v>4013</v>
      </c>
      <c r="C161" s="24" t="s">
        <v>113</v>
      </c>
      <c r="D161" s="24" t="s">
        <v>339</v>
      </c>
      <c r="E161" s="15">
        <v>42607.275370370371</v>
      </c>
      <c r="F161" s="15">
        <v>42607.277037037034</v>
      </c>
      <c r="G161" s="7">
        <v>1</v>
      </c>
      <c r="H161" s="15" t="s">
        <v>328</v>
      </c>
      <c r="I161" s="15">
        <v>42607.288194444445</v>
      </c>
      <c r="J161" s="7">
        <v>1</v>
      </c>
      <c r="K161" s="132" t="str">
        <f t="shared" si="42"/>
        <v>4013/4014</v>
      </c>
      <c r="L161" s="24" t="str">
        <f>VLOOKUP(A161,'Trips&amp;Operators'!$C$1:$E$10000,3,FALSE)</f>
        <v>GEBRETEKLE</v>
      </c>
      <c r="M161" s="6">
        <f t="shared" si="43"/>
        <v>1.1157407410792075E-2</v>
      </c>
      <c r="N161" s="7">
        <f t="shared" si="59"/>
        <v>16.066666671540588</v>
      </c>
      <c r="O161" s="7"/>
      <c r="P161" s="7"/>
      <c r="Q161" s="25"/>
      <c r="R161" s="25"/>
      <c r="S161" s="37">
        <f t="shared" si="44"/>
        <v>1</v>
      </c>
      <c r="T161" s="52" t="str">
        <f t="shared" si="45"/>
        <v>Southbound</v>
      </c>
      <c r="U161" s="12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05:36:32-0600',mode:absolute,to:'2016-08-25 07:55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61" s="54" t="str">
        <f t="shared" si="47"/>
        <v>N</v>
      </c>
      <c r="X161" s="120">
        <f t="shared" si="60"/>
        <v>1</v>
      </c>
      <c r="Y161" s="69">
        <f t="shared" si="48"/>
        <v>5.8655999999999997</v>
      </c>
      <c r="Z161" s="69">
        <f t="shared" si="49"/>
        <v>6.9199999999999998E-2</v>
      </c>
      <c r="AA161" s="69">
        <f t="shared" si="50"/>
        <v>5.7963999999999993</v>
      </c>
      <c r="AB161" s="66" t="e">
        <f>VLOOKUP(A161,Enforcements!$C$7:$J$21,8,0)</f>
        <v>#N/A</v>
      </c>
      <c r="AC161" s="62" t="e">
        <f>VLOOKUP(A161,Enforcements!$C$7:$E$21,3,0)</f>
        <v>#N/A</v>
      </c>
      <c r="AD161" s="63" t="str">
        <f t="shared" si="51"/>
        <v>0804-25</v>
      </c>
      <c r="AE161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61" s="96" t="str">
        <f t="shared" si="53"/>
        <v>"C:\Program Files (x86)\AstroGrep\AstroGrep.exe" /spath="%USERPROFILE%\AppData\Local\Temp\OnboardLogs" /stypes="*4013*20160825*" /stext=" 12:.+((SYSTEM_STATE.+slice.+state.+changed )|(ment ac)|(system.+state.+changed )|(\|lc)|(penalty)|(\[timeout)|(PRM\|1\|D)|(kpr)|(kdp))" /e /r /s</v>
      </c>
      <c r="AG161" s="1" t="str">
        <f t="shared" si="54"/>
        <v>NW</v>
      </c>
      <c r="AH161" s="100" t="str">
        <f t="shared" si="55"/>
        <v>"%USERPROFILE%\Documents\GitHub\eaglep3\Utilities\RefineRTDCRunTimes.py" --tripid 804-25 --locoid 4013 --swversion DE.1.0.7.0 --startMP 300:58656 --initTime 2016-08-25T06:36:32 --startdatetime 2016-08-25T06:38:56 --delay 1 --endMP 204:692 --enddatetime 2016-08-25T06:55:00 --enforcementcount 1 &gt;&gt;C:\Users\stu\Documents\GitHub\eaglep3-reporting\EC\2016-08-25-refined-times.txt</v>
      </c>
      <c r="AI161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{"issue":{"subject":"","project_id":79,"tracker_id":40,"status_id":1,"priority_id":2,"assigned_to_id":23,"start_date":"2016-08-25","description":"","custom_fields":[{"id":1,"name":"Subdivision","value":"NW"},{"id":4,"name":"Milepost","value":"5.7964"},{"id":17,"name":"Train ID","value":"804-25"},{"id":16,"name":"Locomotive ID","value":"4013"},{"id":130,"name":"Impact","value":""},{"id":150,"name":"Time of Event (Mountain Time)","value":"06:55:00"},{"id":151,"name":"Denver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588</v>
      </c>
      <c r="B162" s="7">
        <v>4038</v>
      </c>
      <c r="C162" s="24" t="s">
        <v>113</v>
      </c>
      <c r="D162" s="24" t="s">
        <v>589</v>
      </c>
      <c r="E162" s="15">
        <v>42607.268750000003</v>
      </c>
      <c r="F162" s="15">
        <v>42607.28570601852</v>
      </c>
      <c r="G162" s="7">
        <v>2</v>
      </c>
      <c r="H162" s="15" t="s">
        <v>590</v>
      </c>
      <c r="I162" s="15">
        <v>42607.295567129629</v>
      </c>
      <c r="J162" s="7">
        <v>1</v>
      </c>
      <c r="K162" s="132" t="str">
        <f t="shared" si="42"/>
        <v>4037/4038</v>
      </c>
      <c r="L162" s="24" t="str">
        <f>VLOOKUP(A162,'Trips&amp;Operators'!$C$1:$E$10000,3,FALSE)</f>
        <v>MAHAN</v>
      </c>
      <c r="M162" s="6">
        <f t="shared" si="43"/>
        <v>9.8611111097852699E-3</v>
      </c>
      <c r="N162" s="7">
        <f t="shared" si="59"/>
        <v>14.199999998090789</v>
      </c>
      <c r="O162" s="7"/>
      <c r="P162" s="7"/>
      <c r="Q162" s="25"/>
      <c r="R162" s="25"/>
      <c r="S162" s="37">
        <f t="shared" si="44"/>
        <v>1</v>
      </c>
      <c r="T162" s="52" t="str">
        <f t="shared" si="45"/>
        <v>NorthBound</v>
      </c>
      <c r="U162" s="12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05:27:00-0600',mode:absolute,to:'2016-08-25 08:05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62" s="54" t="str">
        <f t="shared" si="47"/>
        <v>N</v>
      </c>
      <c r="X162" s="120">
        <f t="shared" si="60"/>
        <v>1</v>
      </c>
      <c r="Y162" s="69">
        <f t="shared" si="48"/>
        <v>0.1135</v>
      </c>
      <c r="Z162" s="69">
        <f t="shared" si="49"/>
        <v>5.8924000000000003</v>
      </c>
      <c r="AA162" s="69">
        <f t="shared" si="50"/>
        <v>5.7789000000000001</v>
      </c>
      <c r="AB162" s="66" t="e">
        <f>VLOOKUP(A162,Enforcements!$C$7:$J$21,8,0)</f>
        <v>#N/A</v>
      </c>
      <c r="AC162" s="62" t="e">
        <f>VLOOKUP(A162,Enforcements!$C$7:$E$21,3,0)</f>
        <v>#N/A</v>
      </c>
      <c r="AD162" s="63" t="str">
        <f t="shared" si="51"/>
        <v>0805-25</v>
      </c>
      <c r="AE162" s="99" t="str">
        <f t="shared" si="52"/>
        <v>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 &amp; 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</v>
      </c>
      <c r="AF162" s="96" t="str">
        <f t="shared" si="53"/>
        <v>"C:\Program Files (x86)\AstroGrep\AstroGrep.exe" /spath="%USERPROFILE%\AppData\Local\Temp\OnboardLogs" /stypes="*4038*20160825*" /stext=" 13:.+((SYSTEM_STATE.+slice.+state.+changed )|(ment ac)|(system.+state.+changed )|(\|lc)|(penalty)|(\[timeout)|(PRM\|1\|D)|(kpr)|(kdp))" /e /r /s</v>
      </c>
      <c r="AG162" s="1" t="str">
        <f t="shared" si="54"/>
        <v>NW</v>
      </c>
      <c r="AH162" s="100" t="str">
        <f t="shared" si="55"/>
        <v>"%USERPROFILE%\Documents\GitHub\eaglep3\Utilities\RefineRTDCRunTimes.py" --tripid 805-25 --locoid 4038 --swversion DE.1.0.7.0 --startMP 204:1135 --initTime 2016-08-25T06:27:00 --startdatetime 2016-08-25T06:51:25 --delay 2 --endMP 300:58924 --enddatetime 2016-08-25T07:05:37 --enforcementcount 1 &gt;&gt;C:\Users\stu\Documents\GitHub\eaglep3-reporting\EC\2016-08-25-refined-times.txt</v>
      </c>
      <c r="AI162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{"issue":{"subject":"","project_id":79,"tracker_id":40,"status_id":1,"priority_id":2,"assigned_to_id":23,"start_date":"2016-08-25","description":"","custom_fields":[{"id":1,"name":"Subdivision","value":"NW"},{"id":4,"name":"Milepost","value":"5.7789"},{"id":17,"name":"Train ID","value":"805-25"},{"id":16,"name":"Locomotive ID","value":"4038"},{"id":130,"name":"Impact","value":""},{"id":150,"name":"Time of Event (Mountain Time)","value":"07:05:37"},{"id":151,"name":"Denver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591</v>
      </c>
      <c r="B163" s="7">
        <v>4037</v>
      </c>
      <c r="C163" s="24" t="s">
        <v>113</v>
      </c>
      <c r="D163" s="24" t="s">
        <v>227</v>
      </c>
      <c r="E163" s="15">
        <v>42607.297314814816</v>
      </c>
      <c r="F163" s="15">
        <v>42607.299189814818</v>
      </c>
      <c r="G163" s="7">
        <v>1</v>
      </c>
      <c r="H163" s="15" t="s">
        <v>592</v>
      </c>
      <c r="I163" s="15">
        <v>42607.308981481481</v>
      </c>
      <c r="J163" s="7">
        <v>1</v>
      </c>
      <c r="K163" s="132" t="str">
        <f t="shared" si="42"/>
        <v>4037/4038</v>
      </c>
      <c r="L163" s="24" t="str">
        <f>VLOOKUP(A163,'Trips&amp;Operators'!$C$1:$E$10000,3,FALSE)</f>
        <v>MAHAN</v>
      </c>
      <c r="M163" s="6">
        <f t="shared" si="43"/>
        <v>9.7916666636592709E-3</v>
      </c>
      <c r="N163" s="7">
        <f t="shared" si="59"/>
        <v>14.09999999566935</v>
      </c>
      <c r="O163" s="7"/>
      <c r="P163" s="7"/>
      <c r="Q163" s="25"/>
      <c r="R163" s="25"/>
      <c r="S163" s="37">
        <f t="shared" si="44"/>
        <v>1</v>
      </c>
      <c r="T163" s="52" t="str">
        <f t="shared" si="45"/>
        <v>Southbound</v>
      </c>
      <c r="U163" s="12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06:08:08-0600',mode:absolute,to:'2016-08-25 08:24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63" s="54" t="str">
        <f t="shared" si="47"/>
        <v>N</v>
      </c>
      <c r="X163" s="120">
        <f t="shared" si="60"/>
        <v>1</v>
      </c>
      <c r="Y163" s="69">
        <f t="shared" si="48"/>
        <v>5.8605999999999998</v>
      </c>
      <c r="Z163" s="69">
        <f t="shared" si="49"/>
        <v>8.4099999999999994E-2</v>
      </c>
      <c r="AA163" s="69">
        <f t="shared" si="50"/>
        <v>5.7764999999999995</v>
      </c>
      <c r="AB163" s="66" t="e">
        <f>VLOOKUP(A163,Enforcements!$C$7:$J$21,8,0)</f>
        <v>#N/A</v>
      </c>
      <c r="AC163" s="62" t="e">
        <f>VLOOKUP(A163,Enforcements!$C$7:$E$21,3,0)</f>
        <v>#N/A</v>
      </c>
      <c r="AD163" s="63" t="str">
        <f t="shared" si="51"/>
        <v>0806-25</v>
      </c>
      <c r="AE163" s="99" t="str">
        <f t="shared" si="52"/>
        <v>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 &amp; 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</v>
      </c>
      <c r="AF163" s="96" t="str">
        <f t="shared" si="53"/>
        <v>"C:\Program Files (x86)\AstroGrep\AstroGrep.exe" /spath="%USERPROFILE%\AppData\Local\Temp\OnboardLogs" /stypes="*4037*20160825*" /stext=" 13:.+((SYSTEM_STATE.+slice.+state.+changed )|(ment ac)|(system.+state.+changed )|(\|lc)|(penalty)|(\[timeout)|(PRM\|1\|D)|(kpr)|(kdp))" /e /r /s</v>
      </c>
      <c r="AG163" s="1" t="str">
        <f t="shared" si="54"/>
        <v>NW</v>
      </c>
      <c r="AH163" s="100" t="str">
        <f t="shared" si="55"/>
        <v>"%USERPROFILE%\Documents\GitHub\eaglep3\Utilities\RefineRTDCRunTimes.py" --tripid 806-25 --locoid 4037 --swversion DE.1.0.7.0 --startMP 300:58606 --initTime 2016-08-25T07:08:08 --startdatetime 2016-08-25T07:10:50 --delay 1 --endMP 204:841 --enddatetime 2016-08-25T07:24:56 --enforcementcount 1 &gt;&gt;C:\Users\stu\Documents\GitHub\eaglep3-reporting\EC\2016-08-25-refined-times.txt</v>
      </c>
      <c r="AI163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{"issue":{"subject":"","project_id":79,"tracker_id":40,"status_id":1,"priority_id":2,"assigned_to_id":23,"start_date":"2016-08-25","description":"","custom_fields":[{"id":1,"name":"Subdivision","value":"NW"},{"id":4,"name":"Milepost","value":"5.7765"},{"id":17,"name":"Train ID","value":"806-25"},{"id":16,"name":"Locomotive ID","value":"4037"},{"id":130,"name":"Impact","value":""},{"id":150,"name":"Time of Event (Mountain Time)","value":"07:24:56"},{"id":151,"name":"Denver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593</v>
      </c>
      <c r="B164" s="7">
        <v>4014</v>
      </c>
      <c r="C164" s="24" t="s">
        <v>113</v>
      </c>
      <c r="D164" s="24" t="s">
        <v>594</v>
      </c>
      <c r="E164" s="15">
        <v>42607.30431712963</v>
      </c>
      <c r="F164" s="15">
        <v>42607.306435185186</v>
      </c>
      <c r="G164" s="7">
        <v>1</v>
      </c>
      <c r="H164" s="15" t="s">
        <v>595</v>
      </c>
      <c r="I164" s="15">
        <v>42607.315578703703</v>
      </c>
      <c r="J164" s="7">
        <v>1</v>
      </c>
      <c r="K164" s="132" t="str">
        <f t="shared" si="42"/>
        <v>4013/4014</v>
      </c>
      <c r="L164" s="24" t="str">
        <f>VLOOKUP(A164,'Trips&amp;Operators'!$C$1:$E$10000,3,FALSE)</f>
        <v>GEBRETEKLE</v>
      </c>
      <c r="M164" s="6">
        <f t="shared" si="43"/>
        <v>9.1435185167938471E-3</v>
      </c>
      <c r="N164" s="7">
        <f t="shared" si="59"/>
        <v>13.16666666418314</v>
      </c>
      <c r="O164" s="7"/>
      <c r="P164" s="7"/>
      <c r="Q164" s="25"/>
      <c r="R164" s="25"/>
      <c r="S164" s="37">
        <f t="shared" si="44"/>
        <v>1</v>
      </c>
      <c r="T164" s="52" t="str">
        <f t="shared" si="45"/>
        <v>NorthBound</v>
      </c>
      <c r="U164" s="12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06:18:13-0600',mode:absolute,to:'2016-08-25 08:34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64" s="54" t="str">
        <f t="shared" si="47"/>
        <v>N</v>
      </c>
      <c r="X164" s="120">
        <f t="shared" si="60"/>
        <v>1</v>
      </c>
      <c r="Y164" s="69">
        <f t="shared" si="48"/>
        <v>9.8599999999999993E-2</v>
      </c>
      <c r="Z164" s="69">
        <f t="shared" si="49"/>
        <v>5.8979999999999997</v>
      </c>
      <c r="AA164" s="69">
        <f t="shared" si="50"/>
        <v>5.7993999999999994</v>
      </c>
      <c r="AB164" s="66" t="e">
        <f>VLOOKUP(A164,Enforcements!$C$7:$J$21,8,0)</f>
        <v>#N/A</v>
      </c>
      <c r="AC164" s="62" t="e">
        <f>VLOOKUP(A164,Enforcements!$C$7:$E$21,3,0)</f>
        <v>#N/A</v>
      </c>
      <c r="AD164" s="63" t="str">
        <f t="shared" si="51"/>
        <v>0807-25</v>
      </c>
      <c r="AE164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64" s="96" t="str">
        <f t="shared" si="53"/>
        <v>"C:\Program Files (x86)\AstroGrep\AstroGrep.exe" /spath="%USERPROFILE%\AppData\Local\Temp\OnboardLogs" /stypes="*4014*20160825*" /stext=" 13:.+((SYSTEM_STATE.+slice.+state.+changed )|(ment ac)|(system.+state.+changed )|(\|lc)|(penalty)|(\[timeout)|(PRM\|1\|D)|(kpr)|(kdp))" /e /r /s</v>
      </c>
      <c r="AG164" s="1" t="str">
        <f t="shared" si="54"/>
        <v>NW</v>
      </c>
      <c r="AH164" s="100" t="str">
        <f t="shared" si="55"/>
        <v>"%USERPROFILE%\Documents\GitHub\eaglep3\Utilities\RefineRTDCRunTimes.py" --tripid 807-25 --locoid 4014 --swversion DE.1.0.7.0 --startMP 204:986 --initTime 2016-08-25T07:18:13 --startdatetime 2016-08-25T07:21:16 --delay 1 --endMP 300:58980 --enddatetime 2016-08-25T07:34:26 --enforcementcount 1 &gt;&gt;C:\Users\stu\Documents\GitHub\eaglep3-reporting\EC\2016-08-25-refined-times.txt</v>
      </c>
      <c r="AI164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{"issue":{"subject":"","project_id":79,"tracker_id":40,"status_id":1,"priority_id":2,"assigned_to_id":23,"start_date":"2016-08-25","description":"","custom_fields":[{"id":1,"name":"Subdivision","value":"NW"},{"id":4,"name":"Milepost","value":"5.7994"},{"id":17,"name":"Train ID","value":"807-25"},{"id":16,"name":"Locomotive ID","value":"4014"},{"id":130,"name":"Impact","value":""},{"id":150,"name":"Time of Event (Mountain Time)","value":"07:34:26"},{"id":151,"name":"Denver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596</v>
      </c>
      <c r="B165" s="7">
        <v>4013</v>
      </c>
      <c r="C165" s="24" t="s">
        <v>113</v>
      </c>
      <c r="D165" s="24" t="s">
        <v>252</v>
      </c>
      <c r="E165" s="15">
        <v>42607.316817129627</v>
      </c>
      <c r="F165" s="15">
        <v>42607.318449074075</v>
      </c>
      <c r="G165" s="7">
        <v>1</v>
      </c>
      <c r="H165" s="15" t="s">
        <v>340</v>
      </c>
      <c r="I165" s="15">
        <v>42607.329583333332</v>
      </c>
      <c r="J165" s="7">
        <v>1</v>
      </c>
      <c r="K165" s="132" t="str">
        <f t="shared" si="42"/>
        <v>4013/4014</v>
      </c>
      <c r="L165" s="24" t="str">
        <f>VLOOKUP(A165,'Trips&amp;Operators'!$C$1:$E$10000,3,FALSE)</f>
        <v>GEBRETEKLE</v>
      </c>
      <c r="M165" s="6">
        <f t="shared" si="43"/>
        <v>1.113425925723277E-2</v>
      </c>
      <c r="N165" s="7">
        <f t="shared" si="59"/>
        <v>16.033333330415189</v>
      </c>
      <c r="O165" s="7"/>
      <c r="P165" s="7"/>
      <c r="Q165" s="25"/>
      <c r="R165" s="25"/>
      <c r="S165" s="37">
        <f t="shared" si="44"/>
        <v>1</v>
      </c>
      <c r="T165" s="52" t="str">
        <f t="shared" si="45"/>
        <v>Southbound</v>
      </c>
      <c r="U165" s="12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06:36:13-0600',mode:absolute,to:'2016-08-25 08:54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65" s="54" t="str">
        <f t="shared" si="47"/>
        <v>N</v>
      </c>
      <c r="X165" s="120">
        <f t="shared" si="60"/>
        <v>1</v>
      </c>
      <c r="Y165" s="69">
        <f t="shared" si="48"/>
        <v>5.8653000000000004</v>
      </c>
      <c r="Z165" s="69">
        <f t="shared" si="49"/>
        <v>6.8500000000000005E-2</v>
      </c>
      <c r="AA165" s="69">
        <f t="shared" si="50"/>
        <v>5.7968000000000002</v>
      </c>
      <c r="AB165" s="66" t="e">
        <f>VLOOKUP(A165,Enforcements!$C$7:$J$21,8,0)</f>
        <v>#N/A</v>
      </c>
      <c r="AC165" s="62" t="e">
        <f>VLOOKUP(A165,Enforcements!$C$7:$E$21,3,0)</f>
        <v>#N/A</v>
      </c>
      <c r="AD165" s="63" t="str">
        <f t="shared" si="51"/>
        <v>0808-25</v>
      </c>
      <c r="AE165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65" s="96" t="str">
        <f t="shared" si="53"/>
        <v>"C:\Program Files (x86)\AstroGrep\AstroGrep.exe" /spath="%USERPROFILE%\AppData\Local\Temp\OnboardLogs" /stypes="*4013*20160825*" /stext=" 13:.+((SYSTEM_STATE.+slice.+state.+changed )|(ment ac)|(system.+state.+changed )|(\|lc)|(penalty)|(\[timeout)|(PRM\|1\|D)|(kpr)|(kdp))" /e /r /s</v>
      </c>
      <c r="AG165" s="1" t="str">
        <f t="shared" si="54"/>
        <v>NW</v>
      </c>
      <c r="AH165" s="100" t="str">
        <f t="shared" si="55"/>
        <v>"%USERPROFILE%\Documents\GitHub\eaglep3\Utilities\RefineRTDCRunTimes.py" --tripid 808-25 --locoid 4013 --swversion DE.1.0.7.0 --startMP 300:58653 --initTime 2016-08-25T07:36:13 --startdatetime 2016-08-25T07:38:34 --delay 1 --endMP 204:685 --enddatetime 2016-08-25T07:54:36 --enforcementcount 1 &gt;&gt;C:\Users\stu\Documents\GitHub\eaglep3-reporting\EC\2016-08-25-refined-times.txt</v>
      </c>
      <c r="AI165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{"issue":{"subject":"","project_id":79,"tracker_id":40,"status_id":1,"priority_id":2,"assigned_to_id":23,"start_date":"2016-08-25","description":"","custom_fields":[{"id":1,"name":"Subdivision","value":"NW"},{"id":4,"name":"Milepost","value":"5.7968"},{"id":17,"name":"Train ID","value":"808-25"},{"id":16,"name":"Locomotive ID","value":"4013"},{"id":130,"name":"Impact","value":""},{"id":150,"name":"Time of Event (Mountain Time)","value":"07:54:36"},{"id":151,"name":"Denver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597</v>
      </c>
      <c r="B166" s="7">
        <v>4038</v>
      </c>
      <c r="C166" s="24" t="s">
        <v>113</v>
      </c>
      <c r="D166" s="24" t="s">
        <v>598</v>
      </c>
      <c r="E166" s="15">
        <v>42607.311435185184</v>
      </c>
      <c r="F166" s="15">
        <v>42607.327349537038</v>
      </c>
      <c r="G166" s="7">
        <v>1</v>
      </c>
      <c r="H166" s="15" t="s">
        <v>599</v>
      </c>
      <c r="I166" s="15">
        <v>42607.337060185186</v>
      </c>
      <c r="J166" s="7">
        <v>1</v>
      </c>
      <c r="K166" s="132" t="str">
        <f t="shared" si="42"/>
        <v>4037/4038</v>
      </c>
      <c r="L166" s="24" t="str">
        <f>VLOOKUP(A166,'Trips&amp;Operators'!$C$1:$E$10000,3,FALSE)</f>
        <v>MAHAN</v>
      </c>
      <c r="M166" s="6">
        <f t="shared" si="43"/>
        <v>9.710648148029577E-3</v>
      </c>
      <c r="N166" s="7">
        <f t="shared" si="59"/>
        <v>13.983333333162591</v>
      </c>
      <c r="O166" s="7"/>
      <c r="P166" s="7"/>
      <c r="Q166" s="25"/>
      <c r="R166" s="25"/>
      <c r="S166" s="37">
        <f t="shared" si="44"/>
        <v>1</v>
      </c>
      <c r="T166" s="52" t="str">
        <f t="shared" si="45"/>
        <v>NorthBound</v>
      </c>
      <c r="U166" s="12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06:28:28-0600',mode:absolute,to:'2016-08-25 09:05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66" s="54" t="str">
        <f t="shared" si="47"/>
        <v>N</v>
      </c>
      <c r="X166" s="120">
        <f t="shared" si="60"/>
        <v>1</v>
      </c>
      <c r="Y166" s="69">
        <f t="shared" si="48"/>
        <v>0.1132</v>
      </c>
      <c r="Z166" s="69">
        <f t="shared" si="49"/>
        <v>5.8944000000000001</v>
      </c>
      <c r="AA166" s="69">
        <f t="shared" si="50"/>
        <v>5.7812000000000001</v>
      </c>
      <c r="AB166" s="66" t="e">
        <f>VLOOKUP(A166,Enforcements!$C$7:$J$21,8,0)</f>
        <v>#N/A</v>
      </c>
      <c r="AC166" s="62" t="e">
        <f>VLOOKUP(A166,Enforcements!$C$7:$E$21,3,0)</f>
        <v>#N/A</v>
      </c>
      <c r="AD166" s="63" t="str">
        <f t="shared" si="51"/>
        <v>0809-25</v>
      </c>
      <c r="AE166" s="99" t="str">
        <f t="shared" si="52"/>
        <v>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 &amp; 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</v>
      </c>
      <c r="AF166" s="96" t="str">
        <f t="shared" si="53"/>
        <v>"C:\Program Files (x86)\AstroGrep\AstroGrep.exe" /spath="%USERPROFILE%\AppData\Local\Temp\OnboardLogs" /stypes="*4038*20160825*" /stext=" 14:.+((SYSTEM_STATE.+slice.+state.+changed )|(ment ac)|(system.+state.+changed )|(\|lc)|(penalty)|(\[timeout)|(PRM\|1\|D)|(kpr)|(kdp))" /e /r /s</v>
      </c>
      <c r="AG166" s="1" t="str">
        <f t="shared" si="54"/>
        <v>NW</v>
      </c>
      <c r="AH166" s="100" t="str">
        <f t="shared" si="55"/>
        <v>"%USERPROFILE%\Documents\GitHub\eaglep3\Utilities\RefineRTDCRunTimes.py" --tripid 809-25 --locoid 4038 --swversion DE.1.0.7.0 --startMP 204:1132 --initTime 2016-08-25T07:28:28 --startdatetime 2016-08-25T07:51:23 --delay 1 --endMP 300:58944 --enddatetime 2016-08-25T08:05:22 --enforcementcount 1 &gt;&gt;C:\Users\stu\Documents\GitHub\eaglep3-reporting\EC\2016-08-25-refined-times.txt</v>
      </c>
      <c r="AI166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{"issue":{"subject":"","project_id":79,"tracker_id":40,"status_id":1,"priority_id":2,"assigned_to_id":23,"start_date":"2016-08-25","description":"","custom_fields":[{"id":1,"name":"Subdivision","value":"NW"},{"id":4,"name":"Milepost","value":"5.7812"},{"id":17,"name":"Train ID","value":"809-25"},{"id":16,"name":"Locomotive ID","value":"4038"},{"id":130,"name":"Impact","value":""},{"id":150,"name":"Time of Event (Mountain Time)","value":"08:05:22"},{"id":151,"name":"Denver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600</v>
      </c>
      <c r="B167" s="7">
        <v>4037</v>
      </c>
      <c r="C167" s="24" t="s">
        <v>113</v>
      </c>
      <c r="D167" s="24" t="s">
        <v>345</v>
      </c>
      <c r="E167" s="15">
        <v>42607.338541666664</v>
      </c>
      <c r="F167" s="15">
        <v>42607.340833333335</v>
      </c>
      <c r="G167" s="7">
        <v>1</v>
      </c>
      <c r="H167" s="15" t="s">
        <v>601</v>
      </c>
      <c r="I167" s="15">
        <v>42607.350416666668</v>
      </c>
      <c r="J167" s="7">
        <v>1</v>
      </c>
      <c r="K167" s="132" t="str">
        <f t="shared" si="42"/>
        <v>4037/4038</v>
      </c>
      <c r="L167" s="24" t="str">
        <f>VLOOKUP(A167,'Trips&amp;Operators'!$C$1:$E$10000,3,FALSE)</f>
        <v>MAHAN</v>
      </c>
      <c r="M167" s="6">
        <f t="shared" si="43"/>
        <v>9.5833333325572312E-3</v>
      </c>
      <c r="N167" s="7">
        <f t="shared" si="59"/>
        <v>13.799999998882413</v>
      </c>
      <c r="O167" s="7"/>
      <c r="P167" s="7"/>
      <c r="Q167" s="25"/>
      <c r="R167" s="25"/>
      <c r="S167" s="37">
        <f t="shared" si="44"/>
        <v>1</v>
      </c>
      <c r="T167" s="52" t="str">
        <f t="shared" si="45"/>
        <v>Southbound</v>
      </c>
      <c r="U167" s="12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07:07:30-0600',mode:absolute,to:'2016-08-25 09:24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67" s="54" t="str">
        <f t="shared" si="47"/>
        <v>N</v>
      </c>
      <c r="X167" s="120">
        <f t="shared" si="60"/>
        <v>1</v>
      </c>
      <c r="Y167" s="69">
        <f t="shared" si="48"/>
        <v>5.8625999999999996</v>
      </c>
      <c r="Z167" s="69">
        <f t="shared" si="49"/>
        <v>8.3400000000000002E-2</v>
      </c>
      <c r="AA167" s="69">
        <f t="shared" si="50"/>
        <v>5.7791999999999994</v>
      </c>
      <c r="AB167" s="66" t="e">
        <f>VLOOKUP(A167,Enforcements!$C$7:$J$21,8,0)</f>
        <v>#N/A</v>
      </c>
      <c r="AC167" s="62" t="e">
        <f>VLOOKUP(A167,Enforcements!$C$7:$E$21,3,0)</f>
        <v>#N/A</v>
      </c>
      <c r="AD167" s="63" t="str">
        <f t="shared" si="51"/>
        <v>0810-25</v>
      </c>
      <c r="AE167" s="99" t="str">
        <f t="shared" si="52"/>
        <v>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 &amp; 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</v>
      </c>
      <c r="AF167" s="96" t="str">
        <f t="shared" si="53"/>
        <v>"C:\Program Files (x86)\AstroGrep\AstroGrep.exe" /spath="%USERPROFILE%\AppData\Local\Temp\OnboardLogs" /stypes="*4037*20160825*" /stext=" 14:.+((SYSTEM_STATE.+slice.+state.+changed )|(ment ac)|(system.+state.+changed )|(\|lc)|(penalty)|(\[timeout)|(PRM\|1\|D)|(kpr)|(kdp))" /e /r /s</v>
      </c>
      <c r="AG167" s="1" t="str">
        <f t="shared" si="54"/>
        <v>NW</v>
      </c>
      <c r="AH167" s="100" t="str">
        <f t="shared" si="55"/>
        <v>"%USERPROFILE%\Documents\GitHub\eaglep3\Utilities\RefineRTDCRunTimes.py" --tripid 810-25 --locoid 4037 --swversion DE.1.0.7.0 --startMP 300:58626 --initTime 2016-08-25T08:07:30 --startdatetime 2016-08-25T08:10:48 --delay 1 --endMP 204:834 --enddatetime 2016-08-25T08:24:36 --enforcementcount 1 &gt;&gt;C:\Users\stu\Documents\GitHub\eaglep3-reporting\EC\2016-08-25-refined-times.txt</v>
      </c>
      <c r="AI167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{"issue":{"subject":"","project_id":79,"tracker_id":40,"status_id":1,"priority_id":2,"assigned_to_id":23,"start_date":"2016-08-25","description":"","custom_fields":[{"id":1,"name":"Subdivision","value":"NW"},{"id":4,"name":"Milepost","value":"5.7792"},{"id":17,"name":"Train ID","value":"810-25"},{"id":16,"name":"Locomotive ID","value":"4037"},{"id":130,"name":"Impact","value":""},{"id":150,"name":"Time of Event (Mountain Time)","value":"08:24:36"},{"id":151,"name":"Denver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602</v>
      </c>
      <c r="B168" s="7">
        <v>4014</v>
      </c>
      <c r="C168" s="24" t="s">
        <v>113</v>
      </c>
      <c r="D168" s="24" t="s">
        <v>594</v>
      </c>
      <c r="E168" s="15">
        <v>42607.343923611108</v>
      </c>
      <c r="F168" s="15">
        <v>42607.348090277781</v>
      </c>
      <c r="G168" s="7">
        <v>1</v>
      </c>
      <c r="H168" s="15" t="s">
        <v>603</v>
      </c>
      <c r="I168" s="15">
        <v>42607.357534722221</v>
      </c>
      <c r="J168" s="7">
        <v>1</v>
      </c>
      <c r="K168" s="132" t="str">
        <f t="shared" si="42"/>
        <v>4013/4014</v>
      </c>
      <c r="L168" s="24" t="str">
        <f>VLOOKUP(A168,'Trips&amp;Operators'!$C$1:$E$10000,3,FALSE)</f>
        <v>GEBRETEKLE</v>
      </c>
      <c r="M168" s="6">
        <f t="shared" si="43"/>
        <v>9.444444440305233E-3</v>
      </c>
      <c r="N168" s="7">
        <f t="shared" si="59"/>
        <v>13.599999994039536</v>
      </c>
      <c r="O168" s="7"/>
      <c r="P168" s="7"/>
      <c r="Q168" s="25"/>
      <c r="R168" s="25"/>
      <c r="S168" s="37">
        <f t="shared" si="44"/>
        <v>1</v>
      </c>
      <c r="T168" s="52" t="str">
        <f t="shared" si="45"/>
        <v>NorthBound</v>
      </c>
      <c r="U168" s="12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07:15:15-0600',mode:absolute,to:'2016-08-25 09:34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68" s="54" t="str">
        <f t="shared" si="47"/>
        <v>N</v>
      </c>
      <c r="X168" s="120">
        <f t="shared" si="60"/>
        <v>1</v>
      </c>
      <c r="Y168" s="69">
        <f t="shared" si="48"/>
        <v>9.8599999999999993E-2</v>
      </c>
      <c r="Z168" s="69">
        <f t="shared" si="49"/>
        <v>5.8973000000000004</v>
      </c>
      <c r="AA168" s="69">
        <f t="shared" si="50"/>
        <v>5.7987000000000002</v>
      </c>
      <c r="AB168" s="66" t="e">
        <f>VLOOKUP(A168,Enforcements!$C$7:$J$21,8,0)</f>
        <v>#N/A</v>
      </c>
      <c r="AC168" s="62" t="e">
        <f>VLOOKUP(A168,Enforcements!$C$7:$E$21,3,0)</f>
        <v>#N/A</v>
      </c>
      <c r="AD168" s="63" t="str">
        <f t="shared" si="51"/>
        <v>0811-25</v>
      </c>
      <c r="AE168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68" s="96" t="str">
        <f t="shared" si="53"/>
        <v>"C:\Program Files (x86)\AstroGrep\AstroGrep.exe" /spath="%USERPROFILE%\AppData\Local\Temp\OnboardLogs" /stypes="*4014*20160825*" /stext=" 14:.+((SYSTEM_STATE.+slice.+state.+changed )|(ment ac)|(system.+state.+changed )|(\|lc)|(penalty)|(\[timeout)|(PRM\|1\|D)|(kpr)|(kdp))" /e /r /s</v>
      </c>
      <c r="AG168" s="1" t="str">
        <f t="shared" si="54"/>
        <v>NW</v>
      </c>
      <c r="AH168" s="100" t="str">
        <f t="shared" si="55"/>
        <v>"%USERPROFILE%\Documents\GitHub\eaglep3\Utilities\RefineRTDCRunTimes.py" --tripid 811-25 --locoid 4014 --swversion DE.1.0.7.0 --startMP 204:986 --initTime 2016-08-25T08:15:15 --startdatetime 2016-08-25T08:21:15 --delay 1 --endMP 300:58973 --enddatetime 2016-08-25T08:34:51 --enforcementcount 1 &gt;&gt;C:\Users\stu\Documents\GitHub\eaglep3-reporting\EC\2016-08-25-refined-times.txt</v>
      </c>
      <c r="AI168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{"issue":{"subject":"","project_id":79,"tracker_id":40,"status_id":1,"priority_id":2,"assigned_to_id":23,"start_date":"2016-08-25","description":"","custom_fields":[{"id":1,"name":"Subdivision","value":"NW"},{"id":4,"name":"Milepost","value":"5.7987"},{"id":17,"name":"Train ID","value":"811-25"},{"id":16,"name":"Locomotive ID","value":"4014"},{"id":130,"name":"Impact","value":""},{"id":150,"name":"Time of Event (Mountain Time)","value":"08:34:51"},{"id":151,"name":"Denver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604</v>
      </c>
      <c r="B169" s="7">
        <v>4013</v>
      </c>
      <c r="C169" s="24" t="s">
        <v>113</v>
      </c>
      <c r="D169" s="24" t="s">
        <v>605</v>
      </c>
      <c r="E169" s="15">
        <v>42607.359074074076</v>
      </c>
      <c r="F169" s="15">
        <v>42607.360682870371</v>
      </c>
      <c r="G169" s="7">
        <v>2</v>
      </c>
      <c r="H169" s="15" t="s">
        <v>343</v>
      </c>
      <c r="I169" s="15">
        <v>42607.371249999997</v>
      </c>
      <c r="J169" s="7">
        <v>1</v>
      </c>
      <c r="K169" s="132" t="str">
        <f t="shared" si="42"/>
        <v>4013/4014</v>
      </c>
      <c r="L169" s="24" t="str">
        <f>VLOOKUP(A169,'Trips&amp;Operators'!$C$1:$E$10000,3,FALSE)</f>
        <v>GEBRETEKLE</v>
      </c>
      <c r="M169" s="6">
        <f t="shared" si="43"/>
        <v>1.056712962599704E-2</v>
      </c>
      <c r="N169" s="7">
        <f t="shared" si="59"/>
        <v>15.216666661435738</v>
      </c>
      <c r="O169" s="7"/>
      <c r="P169" s="7"/>
      <c r="Q169" s="25"/>
      <c r="R169" s="25"/>
      <c r="S169" s="37">
        <f t="shared" si="44"/>
        <v>1</v>
      </c>
      <c r="T169" s="52" t="str">
        <f t="shared" si="45"/>
        <v>Southbound</v>
      </c>
      <c r="U169" s="12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07:37:04-0600',mode:absolute,to:'2016-08-25 09:54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69" s="54" t="str">
        <f t="shared" si="47"/>
        <v>N</v>
      </c>
      <c r="X169" s="120">
        <f t="shared" si="60"/>
        <v>1</v>
      </c>
      <c r="Y169" s="69">
        <f t="shared" si="48"/>
        <v>5.8353000000000002</v>
      </c>
      <c r="Z169" s="69">
        <f t="shared" si="49"/>
        <v>6.8000000000000005E-2</v>
      </c>
      <c r="AA169" s="69">
        <f t="shared" si="50"/>
        <v>5.7673000000000005</v>
      </c>
      <c r="AB169" s="66" t="e">
        <f>VLOOKUP(A169,Enforcements!$C$7:$J$21,8,0)</f>
        <v>#N/A</v>
      </c>
      <c r="AC169" s="62" t="e">
        <f>VLOOKUP(A169,Enforcements!$C$7:$E$21,3,0)</f>
        <v>#N/A</v>
      </c>
      <c r="AD169" s="63" t="str">
        <f t="shared" si="51"/>
        <v>0812-25</v>
      </c>
      <c r="AE169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69" s="96" t="str">
        <f t="shared" si="53"/>
        <v>"C:\Program Files (x86)\AstroGrep\AstroGrep.exe" /spath="%USERPROFILE%\AppData\Local\Temp\OnboardLogs" /stypes="*4013*20160825*" /stext=" 14:.+((SYSTEM_STATE.+slice.+state.+changed )|(ment ac)|(system.+state.+changed )|(\|lc)|(penalty)|(\[timeout)|(PRM\|1\|D)|(kpr)|(kdp))" /e /r /s</v>
      </c>
      <c r="AG169" s="1" t="str">
        <f t="shared" si="54"/>
        <v>NW</v>
      </c>
      <c r="AH169" s="100" t="str">
        <f t="shared" si="55"/>
        <v>"%USERPROFILE%\Documents\GitHub\eaglep3\Utilities\RefineRTDCRunTimes.py" --tripid 812-25 --locoid 4013 --swversion DE.1.0.7.0 --startMP 300:58353 --initTime 2016-08-25T08:37:04 --startdatetime 2016-08-25T08:39:23 --delay 2 --endMP 204:680 --enddatetime 2016-08-25T08:54:36 --enforcementcount 1 &gt;&gt;C:\Users\stu\Documents\GitHub\eaglep3-reporting\EC\2016-08-25-refined-times.txt</v>
      </c>
      <c r="AI169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{"issue":{"subject":"","project_id":79,"tracker_id":40,"status_id":1,"priority_id":2,"assigned_to_id":23,"start_date":"2016-08-25","description":"","custom_fields":[{"id":1,"name":"Subdivision","value":"NW"},{"id":4,"name":"Milepost","value":"5.7673"},{"id":17,"name":"Train ID","value":"812-25"},{"id":16,"name":"Locomotive ID","value":"4013"},{"id":130,"name":"Impact","value":""},{"id":150,"name":"Time of Event (Mountain Time)","value":"08:54:36"},{"id":151,"name":"Denver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x14ac:dyDescent="0.25">
      <c r="A170" s="39" t="s">
        <v>606</v>
      </c>
      <c r="B170" s="7">
        <v>4014</v>
      </c>
      <c r="C170" s="24" t="s">
        <v>113</v>
      </c>
      <c r="D170" s="24" t="s">
        <v>607</v>
      </c>
      <c r="E170" s="15">
        <v>42607.385555555556</v>
      </c>
      <c r="F170" s="15">
        <v>42607.389756944445</v>
      </c>
      <c r="G170" s="7">
        <v>1</v>
      </c>
      <c r="H170" s="15" t="s">
        <v>338</v>
      </c>
      <c r="I170" s="15">
        <v>42607.399131944447</v>
      </c>
      <c r="J170" s="7">
        <v>1</v>
      </c>
      <c r="K170" s="132" t="str">
        <f t="shared" si="42"/>
        <v>4013/4014</v>
      </c>
      <c r="L170" s="24" t="str">
        <f>VLOOKUP(A170,'Trips&amp;Operators'!$C$1:$E$10000,3,FALSE)</f>
        <v>GEBRETEKLE</v>
      </c>
      <c r="M170" s="6">
        <f t="shared" si="43"/>
        <v>9.3750000014551915E-3</v>
      </c>
      <c r="N170" s="7">
        <f t="shared" si="59"/>
        <v>13.500000002095476</v>
      </c>
      <c r="O170" s="7"/>
      <c r="P170" s="7"/>
      <c r="Q170" s="25"/>
      <c r="R170" s="25"/>
      <c r="S170" s="37">
        <f t="shared" si="44"/>
        <v>1</v>
      </c>
      <c r="T170" s="52" t="str">
        <f t="shared" si="45"/>
        <v>NorthBound</v>
      </c>
      <c r="U170" s="12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08:15:12-0600',mode:absolute,to:'2016-08-25 10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0" s="54" t="str">
        <f t="shared" si="47"/>
        <v>N</v>
      </c>
      <c r="X170" s="120">
        <f t="shared" si="60"/>
        <v>1</v>
      </c>
      <c r="Y170" s="69">
        <f t="shared" si="48"/>
        <v>9.8799999999999999E-2</v>
      </c>
      <c r="Z170" s="69">
        <f t="shared" si="49"/>
        <v>5.8967000000000001</v>
      </c>
      <c r="AA170" s="69">
        <f t="shared" si="50"/>
        <v>5.7979000000000003</v>
      </c>
      <c r="AB170" s="66" t="e">
        <f>VLOOKUP(A170,Enforcements!$C$7:$J$21,8,0)</f>
        <v>#N/A</v>
      </c>
      <c r="AC170" s="62" t="e">
        <f>VLOOKUP(A170,Enforcements!$C$7:$E$21,3,0)</f>
        <v>#N/A</v>
      </c>
      <c r="AD170" s="63" t="str">
        <f t="shared" si="51"/>
        <v>0813-25</v>
      </c>
      <c r="AE170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70" s="96" t="str">
        <f t="shared" si="53"/>
        <v>"C:\Program Files (x86)\AstroGrep\AstroGrep.exe" /spath="%USERPROFILE%\AppData\Local\Temp\OnboardLogs" /stypes="*4014*20160825*" /stext=" 15:.+((SYSTEM_STATE.+slice.+state.+changed )|(ment ac)|(system.+state.+changed )|(\|lc)|(penalty)|(\[timeout)|(PRM\|1\|D)|(kpr)|(kdp))" /e /r /s</v>
      </c>
      <c r="AG170" s="1" t="str">
        <f t="shared" si="54"/>
        <v>NW</v>
      </c>
      <c r="AH170" s="100" t="str">
        <f t="shared" si="55"/>
        <v>"%USERPROFILE%\Documents\GitHub\eaglep3\Utilities\RefineRTDCRunTimes.py" --tripid 813-25 --locoid 4014 --swversion DE.1.0.7.0 --startMP 204:988 --initTime 2016-08-25T09:15:12 --startdatetime 2016-08-25T09:21:15 --delay 1 --endMP 300:58967 --enddatetime 2016-08-25T09:34:45 --enforcementcount 1 &gt;&gt;C:\Users\stu\Documents\GitHub\eaglep3-reporting\EC\2016-08-25-refined-times.txt</v>
      </c>
      <c r="AI170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{"issue":{"subject":"","project_id":79,"tracker_id":40,"status_id":1,"priority_id":2,"assigned_to_id":23,"start_date":"2016-08-25","description":"","custom_fields":[{"id":1,"name":"Subdivision","value":"NW"},{"id":4,"name":"Milepost","value":"5.7979"},{"id":17,"name":"Train ID","value":"813-25"},{"id":16,"name":"Locomotive ID","value":"4014"},{"id":130,"name":"Impact","value":""},{"id":150,"name":"Time of Event (Mountain Time)","value":"09:34:45"},{"id":151,"name":"Denver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x14ac:dyDescent="0.25">
      <c r="A171" s="39" t="s">
        <v>608</v>
      </c>
      <c r="B171" s="7">
        <v>4013</v>
      </c>
      <c r="C171" s="24" t="s">
        <v>113</v>
      </c>
      <c r="D171" s="24" t="s">
        <v>609</v>
      </c>
      <c r="E171" s="15">
        <v>42607.400405092594</v>
      </c>
      <c r="F171" s="15">
        <v>42607.402372685188</v>
      </c>
      <c r="G171" s="7">
        <v>1</v>
      </c>
      <c r="H171" s="15" t="s">
        <v>343</v>
      </c>
      <c r="I171" s="15">
        <v>42607.413854166669</v>
      </c>
      <c r="J171" s="7">
        <v>1</v>
      </c>
      <c r="K171" s="132" t="str">
        <f t="shared" si="42"/>
        <v>4013/4014</v>
      </c>
      <c r="L171" s="24" t="str">
        <f>VLOOKUP(A171,'Trips&amp;Operators'!$C$1:$E$10000,3,FALSE)</f>
        <v>GEBRETEKLE</v>
      </c>
      <c r="M171" s="6">
        <f t="shared" si="43"/>
        <v>1.1481481480586808E-2</v>
      </c>
      <c r="N171" s="7">
        <f t="shared" si="59"/>
        <v>16.533333332045004</v>
      </c>
      <c r="O171" s="7"/>
      <c r="P171" s="7"/>
      <c r="Q171" s="25"/>
      <c r="R171" s="25"/>
      <c r="S171" s="37">
        <f t="shared" si="44"/>
        <v>1</v>
      </c>
      <c r="T171" s="52" t="str">
        <f t="shared" si="45"/>
        <v>Southbound</v>
      </c>
      <c r="U171" s="12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08:36:35-0600',mode:absolute,to:'2016-08-25 10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71" s="54" t="str">
        <f t="shared" si="47"/>
        <v>N</v>
      </c>
      <c r="X171" s="120">
        <f t="shared" si="60"/>
        <v>1</v>
      </c>
      <c r="Y171" s="69">
        <f t="shared" si="48"/>
        <v>5.8654999999999999</v>
      </c>
      <c r="Z171" s="69">
        <f t="shared" si="49"/>
        <v>6.8000000000000005E-2</v>
      </c>
      <c r="AA171" s="69">
        <f t="shared" si="50"/>
        <v>5.7975000000000003</v>
      </c>
      <c r="AB171" s="66" t="e">
        <f>VLOOKUP(A171,Enforcements!$C$7:$J$21,8,0)</f>
        <v>#N/A</v>
      </c>
      <c r="AC171" s="62" t="e">
        <f>VLOOKUP(A171,Enforcements!$C$7:$E$21,3,0)</f>
        <v>#N/A</v>
      </c>
      <c r="AD171" s="63" t="str">
        <f t="shared" si="51"/>
        <v>0814-25</v>
      </c>
      <c r="AE171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71" s="96" t="str">
        <f t="shared" si="53"/>
        <v>"C:\Program Files (x86)\AstroGrep\AstroGrep.exe" /spath="%USERPROFILE%\AppData\Local\Temp\OnboardLogs" /stypes="*4013*20160825*" /stext=" 15:.+((SYSTEM_STATE.+slice.+state.+changed )|(ment ac)|(system.+state.+changed )|(\|lc)|(penalty)|(\[timeout)|(PRM\|1\|D)|(kpr)|(kdp))" /e /r /s</v>
      </c>
      <c r="AG171" s="1" t="str">
        <f t="shared" si="54"/>
        <v>NW</v>
      </c>
      <c r="AH171" s="100" t="str">
        <f t="shared" si="55"/>
        <v>"%USERPROFILE%\Documents\GitHub\eaglep3\Utilities\RefineRTDCRunTimes.py" --tripid 814-25 --locoid 4013 --swversion DE.1.0.7.0 --startMP 300:58655 --initTime 2016-08-25T09:36:35 --startdatetime 2016-08-25T09:39:25 --delay 1 --endMP 204:680 --enddatetime 2016-08-25T09:55:57 --enforcementcount 1 &gt;&gt;C:\Users\stu\Documents\GitHub\eaglep3-reporting\EC\2016-08-25-refined-times.txt</v>
      </c>
      <c r="AI171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{"issue":{"subject":"","project_id":79,"tracker_id":40,"status_id":1,"priority_id":2,"assigned_to_id":23,"start_date":"2016-08-25","description":"","custom_fields":[{"id":1,"name":"Subdivision","value":"NW"},{"id":4,"name":"Milepost","value":"5.7975"},{"id":17,"name":"Train ID","value":"814-25"},{"id":16,"name":"Locomotive ID","value":"4013"},{"id":130,"name":"Impact","value":""},{"id":150,"name":"Time of Event (Mountain Time)","value":"09:55:57"},{"id":151,"name":"Denver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610</v>
      </c>
      <c r="B172" s="7">
        <v>4014</v>
      </c>
      <c r="C172" s="24" t="s">
        <v>113</v>
      </c>
      <c r="D172" s="24" t="s">
        <v>254</v>
      </c>
      <c r="E172" s="15">
        <v>42607.429108796299</v>
      </c>
      <c r="F172" s="15">
        <v>42607.431423611109</v>
      </c>
      <c r="G172" s="7">
        <v>1</v>
      </c>
      <c r="H172" s="15" t="s">
        <v>338</v>
      </c>
      <c r="I172" s="15">
        <v>42607.441712962966</v>
      </c>
      <c r="J172" s="7">
        <v>1</v>
      </c>
      <c r="K172" s="132" t="str">
        <f t="shared" si="42"/>
        <v>4013/4014</v>
      </c>
      <c r="L172" s="24" t="str">
        <f>VLOOKUP(A172,'Trips&amp;Operators'!$C$1:$E$10000,3,FALSE)</f>
        <v>GEBRETEKLE</v>
      </c>
      <c r="M172" s="6">
        <f t="shared" si="43"/>
        <v>1.0289351856044959E-2</v>
      </c>
      <c r="N172" s="7">
        <f t="shared" si="59"/>
        <v>14.816666672704741</v>
      </c>
      <c r="O172" s="7"/>
      <c r="P172" s="7"/>
      <c r="Q172" s="25"/>
      <c r="R172" s="25"/>
      <c r="S172" s="37">
        <f t="shared" si="44"/>
        <v>1</v>
      </c>
      <c r="T172" s="52" t="str">
        <f t="shared" si="45"/>
        <v>NorthBound</v>
      </c>
      <c r="U172" s="12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09:17:55-0600',mode:absolute,to:'2016-08-25 11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2" s="54" t="str">
        <f t="shared" si="47"/>
        <v>N</v>
      </c>
      <c r="X172" s="120">
        <f t="shared" si="60"/>
        <v>1</v>
      </c>
      <c r="Y172" s="69">
        <f t="shared" si="48"/>
        <v>9.7799999999999998E-2</v>
      </c>
      <c r="Z172" s="69">
        <f t="shared" si="49"/>
        <v>5.8967000000000001</v>
      </c>
      <c r="AA172" s="69">
        <f t="shared" si="50"/>
        <v>5.7988999999999997</v>
      </c>
      <c r="AB172" s="66" t="e">
        <f>VLOOKUP(A172,Enforcements!$C$7:$J$21,8,0)</f>
        <v>#N/A</v>
      </c>
      <c r="AC172" s="62" t="e">
        <f>VLOOKUP(A172,Enforcements!$C$7:$E$21,3,0)</f>
        <v>#N/A</v>
      </c>
      <c r="AD172" s="63" t="str">
        <f t="shared" si="51"/>
        <v>0815-25</v>
      </c>
      <c r="AE172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72" s="96" t="str">
        <f t="shared" si="53"/>
        <v>"C:\Program Files (x86)\AstroGrep\AstroGrep.exe" /spath="%USERPROFILE%\AppData\Local\Temp\OnboardLogs" /stypes="*4014*20160825*" /stext=" 16:.+((SYSTEM_STATE.+slice.+state.+changed )|(ment ac)|(system.+state.+changed )|(\|lc)|(penalty)|(\[timeout)|(PRM\|1\|D)|(kpr)|(kdp))" /e /r /s</v>
      </c>
      <c r="AG172" s="1" t="str">
        <f t="shared" si="54"/>
        <v>NW</v>
      </c>
      <c r="AH172" s="100" t="str">
        <f t="shared" si="55"/>
        <v>"%USERPROFILE%\Documents\GitHub\eaglep3\Utilities\RefineRTDCRunTimes.py" --tripid 815-25 --locoid 4014 --swversion DE.1.0.7.0 --startMP 204:978 --initTime 2016-08-25T10:17:55 --startdatetime 2016-08-25T10:21:15 --delay 1 --endMP 300:58967 --enddatetime 2016-08-25T10:36:04 --enforcementcount 1 &gt;&gt;C:\Users\stu\Documents\GitHub\eaglep3-reporting\EC\2016-08-25-refined-times.txt</v>
      </c>
      <c r="AI172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{"issue":{"subject":"","project_id":79,"tracker_id":40,"status_id":1,"priority_id":2,"assigned_to_id":23,"start_date":"2016-08-25","description":"","custom_fields":[{"id":1,"name":"Subdivision","value":"NW"},{"id":4,"name":"Milepost","value":"5.7989"},{"id":17,"name":"Train ID","value":"815-25"},{"id":16,"name":"Locomotive ID","value":"4014"},{"id":130,"name":"Impact","value":""},{"id":150,"name":"Time of Event (Mountain Time)","value":"10:36:04"},{"id":151,"name":"Denver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x14ac:dyDescent="0.25">
      <c r="A173" s="39" t="s">
        <v>611</v>
      </c>
      <c r="B173" s="7">
        <v>4013</v>
      </c>
      <c r="C173" s="24" t="s">
        <v>113</v>
      </c>
      <c r="D173" s="24" t="s">
        <v>612</v>
      </c>
      <c r="E173" s="15">
        <v>42607.443182870367</v>
      </c>
      <c r="F173" s="15">
        <v>42607.444768518515</v>
      </c>
      <c r="G173" s="7">
        <v>2</v>
      </c>
      <c r="H173" s="15" t="s">
        <v>613</v>
      </c>
      <c r="I173" s="15">
        <v>42607.45453703704</v>
      </c>
      <c r="J173" s="7">
        <v>1</v>
      </c>
      <c r="K173" s="132" t="str">
        <f t="shared" si="42"/>
        <v>4013/4014</v>
      </c>
      <c r="L173" s="24" t="str">
        <f>VLOOKUP(A173,'Trips&amp;Operators'!$C$1:$E$10000,3,FALSE)</f>
        <v>GEBRETEKLE</v>
      </c>
      <c r="M173" s="6">
        <f t="shared" si="43"/>
        <v>9.7685185246518813E-3</v>
      </c>
      <c r="N173" s="7">
        <f t="shared" si="59"/>
        <v>14.066666675498709</v>
      </c>
      <c r="O173" s="7"/>
      <c r="P173" s="7"/>
      <c r="Q173" s="25"/>
      <c r="R173" s="25"/>
      <c r="S173" s="37">
        <f t="shared" si="44"/>
        <v>1</v>
      </c>
      <c r="T173" s="52" t="str">
        <f t="shared" si="45"/>
        <v>Southbound</v>
      </c>
      <c r="U173" s="12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09:38:11-0600',mode:absolute,to:'2016-08-25 11:54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73" s="54" t="str">
        <f t="shared" si="47"/>
        <v>N</v>
      </c>
      <c r="X173" s="120">
        <f t="shared" si="60"/>
        <v>1</v>
      </c>
      <c r="Y173" s="69">
        <f t="shared" si="48"/>
        <v>5.8287000000000004</v>
      </c>
      <c r="Z173" s="69">
        <f t="shared" si="49"/>
        <v>7.0300000000000001E-2</v>
      </c>
      <c r="AA173" s="69">
        <f t="shared" si="50"/>
        <v>5.7584000000000009</v>
      </c>
      <c r="AB173" s="66" t="e">
        <f>VLOOKUP(A173,Enforcements!$C$7:$J$21,8,0)</f>
        <v>#N/A</v>
      </c>
      <c r="AC173" s="62" t="e">
        <f>VLOOKUP(A173,Enforcements!$C$7:$E$21,3,0)</f>
        <v>#N/A</v>
      </c>
      <c r="AD173" s="63" t="str">
        <f t="shared" si="51"/>
        <v>0816-25</v>
      </c>
      <c r="AE173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73" s="96" t="str">
        <f t="shared" si="53"/>
        <v>"C:\Program Files (x86)\AstroGrep\AstroGrep.exe" /spath="%USERPROFILE%\AppData\Local\Temp\OnboardLogs" /stypes="*4013*20160825*" /stext=" 16:.+((SYSTEM_STATE.+slice.+state.+changed )|(ment ac)|(system.+state.+changed )|(\|lc)|(penalty)|(\[timeout)|(PRM\|1\|D)|(kpr)|(kdp))" /e /r /s</v>
      </c>
      <c r="AG173" s="1" t="str">
        <f t="shared" si="54"/>
        <v>NW</v>
      </c>
      <c r="AH173" s="100" t="str">
        <f t="shared" si="55"/>
        <v>"%USERPROFILE%\Documents\GitHub\eaglep3\Utilities\RefineRTDCRunTimes.py" --tripid 816-25 --locoid 4013 --swversion DE.1.0.7.0 --startMP 300:58287 --initTime 2016-08-25T10:38:11 --startdatetime 2016-08-25T10:40:28 --delay 2 --endMP 204:703 --enddatetime 2016-08-25T10:54:32 --enforcementcount 1 &gt;&gt;C:\Users\stu\Documents\GitHub\eaglep3-reporting\EC\2016-08-25-refined-times.txt</v>
      </c>
      <c r="AI173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{"issue":{"subject":"","project_id":79,"tracker_id":40,"status_id":1,"priority_id":2,"assigned_to_id":23,"start_date":"2016-08-25","description":"","custom_fields":[{"id":1,"name":"Subdivision","value":"NW"},{"id":4,"name":"Milepost","value":"5.7584"},{"id":17,"name":"Train ID","value":"816-25"},{"id":16,"name":"Locomotive ID","value":"4013"},{"id":130,"name":"Impact","value":""},{"id":150,"name":"Time of Event (Mountain Time)","value":"10:54:32"},{"id":151,"name":"Denver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s="23" customFormat="1" x14ac:dyDescent="0.25">
      <c r="A174" s="39" t="s">
        <v>614</v>
      </c>
      <c r="B174" s="7">
        <v>4014</v>
      </c>
      <c r="C174" s="24" t="s">
        <v>113</v>
      </c>
      <c r="D174" s="24" t="s">
        <v>607</v>
      </c>
      <c r="E174" s="15">
        <v>42607.466319444444</v>
      </c>
      <c r="F174" s="15">
        <v>42607.473101851851</v>
      </c>
      <c r="G174" s="7">
        <v>1</v>
      </c>
      <c r="H174" s="15" t="s">
        <v>615</v>
      </c>
      <c r="I174" s="15">
        <v>42607.482152777775</v>
      </c>
      <c r="J174" s="7">
        <v>1</v>
      </c>
      <c r="K174" s="132" t="str">
        <f t="shared" si="42"/>
        <v>4013/4014</v>
      </c>
      <c r="L174" s="24" t="str">
        <f>VLOOKUP(A174,'Trips&amp;Operators'!$C$1:$E$10000,3,FALSE)</f>
        <v>GEBRETEKLE</v>
      </c>
      <c r="M174" s="6">
        <f t="shared" si="43"/>
        <v>9.0509259243845008E-3</v>
      </c>
      <c r="N174" s="7">
        <f t="shared" si="59"/>
        <v>13.033333331113681</v>
      </c>
      <c r="O174" s="7"/>
      <c r="P174" s="7"/>
      <c r="Q174" s="25"/>
      <c r="R174" s="25"/>
      <c r="S174" s="37">
        <f t="shared" si="44"/>
        <v>1</v>
      </c>
      <c r="T174" s="52" t="str">
        <f t="shared" si="45"/>
        <v>NorthBound</v>
      </c>
      <c r="U174" s="12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10:11:30-0600',mode:absolute,to:'2016-08-25 12:34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4" s="54" t="str">
        <f t="shared" si="47"/>
        <v>N</v>
      </c>
      <c r="X174" s="120">
        <f t="shared" si="60"/>
        <v>1</v>
      </c>
      <c r="Y174" s="69">
        <f t="shared" si="48"/>
        <v>9.8799999999999999E-2</v>
      </c>
      <c r="Z174" s="69">
        <f t="shared" si="49"/>
        <v>5.8958000000000004</v>
      </c>
      <c r="AA174" s="69">
        <f t="shared" si="50"/>
        <v>5.7970000000000006</v>
      </c>
      <c r="AB174" s="66" t="e">
        <f>VLOOKUP(A174,Enforcements!$C$7:$J$21,8,0)</f>
        <v>#N/A</v>
      </c>
      <c r="AC174" s="62" t="e">
        <f>VLOOKUP(A174,Enforcements!$C$7:$E$21,3,0)</f>
        <v>#N/A</v>
      </c>
      <c r="AD174" s="63" t="str">
        <f t="shared" si="51"/>
        <v>0817-25</v>
      </c>
      <c r="AE174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74" s="96" t="str">
        <f t="shared" si="53"/>
        <v>"C:\Program Files (x86)\AstroGrep\AstroGrep.exe" /spath="%USERPROFILE%\AppData\Local\Temp\OnboardLogs" /stypes="*4014*20160825*" /stext=" 17:.+((SYSTEM_STATE.+slice.+state.+changed )|(ment ac)|(system.+state.+changed )|(\|lc)|(penalty)|(\[timeout)|(PRM\|1\|D)|(kpr)|(kdp))" /e /r /s</v>
      </c>
      <c r="AG174" s="1" t="str">
        <f t="shared" si="54"/>
        <v>NW</v>
      </c>
      <c r="AH174" s="100" t="str">
        <f t="shared" si="55"/>
        <v>"%USERPROFILE%\Documents\GitHub\eaglep3\Utilities\RefineRTDCRunTimes.py" --tripid 817-25 --locoid 4014 --swversion DE.1.0.7.0 --startMP 204:988 --initTime 2016-08-25T11:11:30 --startdatetime 2016-08-25T11:21:16 --delay 1 --endMP 300:58958 --enddatetime 2016-08-25T11:34:18 --enforcementcount 1 &gt;&gt;C:\Users\stu\Documents\GitHub\eaglep3-reporting\EC\2016-08-25-refined-times.txt</v>
      </c>
      <c r="AI174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{"issue":{"subject":"","project_id":79,"tracker_id":40,"status_id":1,"priority_id":2,"assigned_to_id":23,"start_date":"2016-08-25","description":"","custom_fields":[{"id":1,"name":"Subdivision","value":"NW"},{"id":4,"name":"Milepost","value":"5.797"},{"id":17,"name":"Train ID","value":"817-25"},{"id":16,"name":"Locomotive ID","value":"4014"},{"id":130,"name":"Impact","value":""},{"id":150,"name":"Time of Event (Mountain Time)","value":"11:34:18"},{"id":151,"name":"Denver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s="23" customFormat="1" x14ac:dyDescent="0.25">
      <c r="A175" s="39" t="s">
        <v>616</v>
      </c>
      <c r="B175" s="7">
        <v>4013</v>
      </c>
      <c r="C175" s="24" t="s">
        <v>113</v>
      </c>
      <c r="D175" s="24" t="s">
        <v>617</v>
      </c>
      <c r="E175" s="15">
        <v>42607.484155092592</v>
      </c>
      <c r="F175" s="15">
        <v>42607.485810185186</v>
      </c>
      <c r="G175" s="7">
        <v>1</v>
      </c>
      <c r="H175" s="15" t="s">
        <v>618</v>
      </c>
      <c r="I175" s="15">
        <v>42607.498379629629</v>
      </c>
      <c r="J175" s="7">
        <v>1</v>
      </c>
      <c r="K175" s="132" t="str">
        <f t="shared" si="42"/>
        <v>4013/4014</v>
      </c>
      <c r="L175" s="24" t="str">
        <f>VLOOKUP(A175,'Trips&amp;Operators'!$C$1:$E$10000,3,FALSE)</f>
        <v>GEBRETEKLE</v>
      </c>
      <c r="M175" s="6">
        <f t="shared" si="43"/>
        <v>1.2569444443215616E-2</v>
      </c>
      <c r="N175" s="7">
        <f t="shared" si="59"/>
        <v>18.099999998230487</v>
      </c>
      <c r="O175" s="7"/>
      <c r="P175" s="7"/>
      <c r="Q175" s="25"/>
      <c r="R175" s="25"/>
      <c r="S175" s="37">
        <f t="shared" si="44"/>
        <v>1</v>
      </c>
      <c r="T175" s="52" t="str">
        <f t="shared" si="45"/>
        <v>Southbound</v>
      </c>
      <c r="U175" s="12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10:37:11-0600',mode:absolute,to:'2016-08-25 12:57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75" s="54" t="str">
        <f t="shared" si="47"/>
        <v>N</v>
      </c>
      <c r="X175" s="120">
        <f t="shared" si="60"/>
        <v>1</v>
      </c>
      <c r="Y175" s="69">
        <f t="shared" si="48"/>
        <v>5.8630000000000004</v>
      </c>
      <c r="Z175" s="69">
        <f t="shared" si="49"/>
        <v>3.4099999999999998E-2</v>
      </c>
      <c r="AA175" s="69">
        <f t="shared" si="50"/>
        <v>5.8289000000000009</v>
      </c>
      <c r="AB175" s="66" t="e">
        <f>VLOOKUP(A175,Enforcements!$C$7:$J$21,8,0)</f>
        <v>#N/A</v>
      </c>
      <c r="AC175" s="62" t="e">
        <f>VLOOKUP(A175,Enforcements!$C$7:$E$21,3,0)</f>
        <v>#N/A</v>
      </c>
      <c r="AD175" s="63" t="str">
        <f t="shared" si="51"/>
        <v>0818-25</v>
      </c>
      <c r="AE175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75" s="96" t="str">
        <f t="shared" si="53"/>
        <v>"C:\Program Files (x86)\AstroGrep\AstroGrep.exe" /spath="%USERPROFILE%\AppData\Local\Temp\OnboardLogs" /stypes="*4013*20160825*" /stext=" 17:.+((SYSTEM_STATE.+slice.+state.+changed )|(ment ac)|(system.+state.+changed )|(\|lc)|(penalty)|(\[timeout)|(PRM\|1\|D)|(kpr)|(kdp))" /e /r /s</v>
      </c>
      <c r="AG175" s="1" t="str">
        <f t="shared" si="54"/>
        <v>NW</v>
      </c>
      <c r="AH175" s="100" t="str">
        <f t="shared" si="55"/>
        <v>"%USERPROFILE%\Documents\GitHub\eaglep3\Utilities\RefineRTDCRunTimes.py" --tripid 818-25 --locoid 4013 --swversion DE.1.0.7.0 --startMP 300:58630 --initTime 2016-08-25T11:37:11 --startdatetime 2016-08-25T11:39:34 --delay 1 --endMP 204:341 --enddatetime 2016-08-25T11:57:40 --enforcementcount 1 &gt;&gt;C:\Users\stu\Documents\GitHub\eaglep3-reporting\EC\2016-08-25-refined-times.txt</v>
      </c>
      <c r="AI175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{"issue":{"subject":"","project_id":79,"tracker_id":40,"status_id":1,"priority_id":2,"assigned_to_id":23,"start_date":"2016-08-25","description":"","custom_fields":[{"id":1,"name":"Subdivision","value":"NW"},{"id":4,"name":"Milepost","value":"5.8289"},{"id":17,"name":"Train ID","value":"818-25"},{"id":16,"name":"Locomotive ID","value":"4013"},{"id":130,"name":"Impact","value":""},{"id":150,"name":"Time of Event (Mountain Time)","value":"11:57:40"},{"id":151,"name":"Denver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619</v>
      </c>
      <c r="B176" s="7">
        <v>4014</v>
      </c>
      <c r="C176" s="24" t="s">
        <v>113</v>
      </c>
      <c r="D176" s="24" t="s">
        <v>620</v>
      </c>
      <c r="E176" s="15">
        <v>42607.512199074074</v>
      </c>
      <c r="F176" s="15">
        <v>42607.514791666668</v>
      </c>
      <c r="G176" s="7">
        <v>1</v>
      </c>
      <c r="H176" s="15" t="s">
        <v>621</v>
      </c>
      <c r="I176" s="15">
        <v>42607.524768518517</v>
      </c>
      <c r="J176" s="7">
        <v>1</v>
      </c>
      <c r="K176" s="132" t="str">
        <f t="shared" si="42"/>
        <v>4013/4014</v>
      </c>
      <c r="L176" s="24" t="str">
        <f>VLOOKUP(A176,'Trips&amp;Operators'!$C$1:$E$10000,3,FALSE)</f>
        <v>GEBRETEKLE</v>
      </c>
      <c r="M176" s="6">
        <f t="shared" si="43"/>
        <v>9.9768518484779634E-3</v>
      </c>
      <c r="N176" s="7">
        <f t="shared" si="59"/>
        <v>14.366666661808267</v>
      </c>
      <c r="O176" s="7"/>
      <c r="P176" s="7"/>
      <c r="Q176" s="25"/>
      <c r="R176" s="25"/>
      <c r="S176" s="37">
        <f t="shared" si="44"/>
        <v>1</v>
      </c>
      <c r="T176" s="52" t="str">
        <f t="shared" si="45"/>
        <v>NorthBound</v>
      </c>
      <c r="U176" s="12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11:17:34-0600',mode:absolute,to:'2016-08-25 13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6" s="54" t="str">
        <f t="shared" si="47"/>
        <v>N</v>
      </c>
      <c r="X176" s="120">
        <f t="shared" si="60"/>
        <v>1</v>
      </c>
      <c r="Y176" s="69">
        <f t="shared" si="48"/>
        <v>6.3600000000000004E-2</v>
      </c>
      <c r="Z176" s="69">
        <f t="shared" si="49"/>
        <v>5.8959999999999999</v>
      </c>
      <c r="AA176" s="69">
        <f t="shared" si="50"/>
        <v>5.8323999999999998</v>
      </c>
      <c r="AB176" s="66" t="e">
        <f>VLOOKUP(A176,Enforcements!$C$7:$J$21,8,0)</f>
        <v>#N/A</v>
      </c>
      <c r="AC176" s="62" t="e">
        <f>VLOOKUP(A176,Enforcements!$C$7:$E$21,3,0)</f>
        <v>#N/A</v>
      </c>
      <c r="AD176" s="63" t="str">
        <f t="shared" si="51"/>
        <v>0819-25</v>
      </c>
      <c r="AE176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76" s="96" t="str">
        <f t="shared" si="53"/>
        <v>"C:\Program Files (x86)\AstroGrep\AstroGrep.exe" /spath="%USERPROFILE%\AppData\Local\Temp\OnboardLogs" /stypes="*4014*20160825*" /stext=" 18:.+((SYSTEM_STATE.+slice.+state.+changed )|(ment ac)|(system.+state.+changed )|(\|lc)|(penalty)|(\[timeout)|(PRM\|1\|D)|(kpr)|(kdp))" /e /r /s</v>
      </c>
      <c r="AG176" s="1" t="str">
        <f t="shared" si="54"/>
        <v>NW</v>
      </c>
      <c r="AH176" s="100" t="str">
        <f t="shared" si="55"/>
        <v>"%USERPROFILE%\Documents\GitHub\eaglep3\Utilities\RefineRTDCRunTimes.py" --tripid 819-25 --locoid 4014 --swversion DE.1.0.7.0 --startMP 204:636 --initTime 2016-08-25T12:17:34 --startdatetime 2016-08-25T12:21:18 --delay 1 --endMP 300:58960 --enddatetime 2016-08-25T12:35:40 --enforcementcount 1 &gt;&gt;C:\Users\stu\Documents\GitHub\eaglep3-reporting\EC\2016-08-25-refined-times.txt</v>
      </c>
      <c r="AI176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{"issue":{"subject":"","project_id":79,"tracker_id":40,"status_id":1,"priority_id":2,"assigned_to_id":23,"start_date":"2016-08-25","description":"","custom_fields":[{"id":1,"name":"Subdivision","value":"NW"},{"id":4,"name":"Milepost","value":"5.8324"},{"id":17,"name":"Train ID","value":"819-25"},{"id":16,"name":"Locomotive ID","value":"4014"},{"id":130,"name":"Impact","value":""},{"id":150,"name":"Time of Event (Mountain Time)","value":"12:35:40"},{"id":151,"name":"Denver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s="23" customFormat="1" x14ac:dyDescent="0.25">
      <c r="A177" s="39" t="s">
        <v>622</v>
      </c>
      <c r="B177" s="7">
        <v>4013</v>
      </c>
      <c r="C177" s="24" t="s">
        <v>113</v>
      </c>
      <c r="D177" s="24" t="s">
        <v>623</v>
      </c>
      <c r="E177" s="15">
        <v>42607.526192129626</v>
      </c>
      <c r="F177" s="15">
        <v>42607.527800925927</v>
      </c>
      <c r="G177" s="7">
        <v>1</v>
      </c>
      <c r="H177" s="15" t="s">
        <v>624</v>
      </c>
      <c r="I177" s="15">
        <v>42607.540092592593</v>
      </c>
      <c r="J177" s="7">
        <v>1</v>
      </c>
      <c r="K177" s="132" t="str">
        <f t="shared" si="42"/>
        <v>4013/4014</v>
      </c>
      <c r="L177" s="24" t="str">
        <f>VLOOKUP(A177,'Trips&amp;Operators'!$C$1:$E$10000,3,FALSE)</f>
        <v>GEBRETEKLE</v>
      </c>
      <c r="M177" s="6">
        <f t="shared" si="43"/>
        <v>1.2291666665987577E-2</v>
      </c>
      <c r="N177" s="7">
        <f t="shared" si="59"/>
        <v>17.699999999022111</v>
      </c>
      <c r="O177" s="7"/>
      <c r="P177" s="7"/>
      <c r="Q177" s="25"/>
      <c r="R177" s="25"/>
      <c r="S177" s="37">
        <f t="shared" si="44"/>
        <v>1</v>
      </c>
      <c r="T177" s="52" t="str">
        <f t="shared" si="45"/>
        <v>Southbound</v>
      </c>
      <c r="U177" s="12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11:37:43-0600',mode:absolute,to:'2016-08-25 13:57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77" s="54" t="str">
        <f t="shared" si="47"/>
        <v>N</v>
      </c>
      <c r="X177" s="120">
        <f t="shared" si="60"/>
        <v>1</v>
      </c>
      <c r="Y177" s="69">
        <f t="shared" si="48"/>
        <v>5.8648999999999996</v>
      </c>
      <c r="Z177" s="69">
        <f t="shared" si="49"/>
        <v>1.44E-2</v>
      </c>
      <c r="AA177" s="69">
        <f t="shared" si="50"/>
        <v>5.8504999999999994</v>
      </c>
      <c r="AB177" s="66" t="e">
        <f>VLOOKUP(A177,Enforcements!$C$7:$J$21,8,0)</f>
        <v>#N/A</v>
      </c>
      <c r="AC177" s="62" t="e">
        <f>VLOOKUP(A177,Enforcements!$C$7:$E$21,3,0)</f>
        <v>#N/A</v>
      </c>
      <c r="AD177" s="63" t="str">
        <f t="shared" si="51"/>
        <v>0820-25</v>
      </c>
      <c r="AE177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77" s="96" t="str">
        <f t="shared" si="53"/>
        <v>"C:\Program Files (x86)\AstroGrep\AstroGrep.exe" /spath="%USERPROFILE%\AppData\Local\Temp\OnboardLogs" /stypes="*4013*20160825*" /stext=" 18:.+((SYSTEM_STATE.+slice.+state.+changed )|(ment ac)|(system.+state.+changed )|(\|lc)|(penalty)|(\[timeout)|(PRM\|1\|D)|(kpr)|(kdp))" /e /r /s</v>
      </c>
      <c r="AG177" s="1" t="str">
        <f t="shared" si="54"/>
        <v>NW</v>
      </c>
      <c r="AH177" s="100" t="str">
        <f t="shared" si="55"/>
        <v>"%USERPROFILE%\Documents\GitHub\eaglep3\Utilities\RefineRTDCRunTimes.py" --tripid 820-25 --locoid 4013 --swversion DE.1.0.7.0 --startMP 300:58649 --initTime 2016-08-25T12:37:43 --startdatetime 2016-08-25T12:40:02 --delay 1 --endMP 204:144 --enddatetime 2016-08-25T12:57:44 --enforcementcount 1 &gt;&gt;C:\Users\stu\Documents\GitHub\eaglep3-reporting\EC\2016-08-25-refined-times.txt</v>
      </c>
      <c r="AI177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{"issue":{"subject":"","project_id":79,"tracker_id":40,"status_id":1,"priority_id":2,"assigned_to_id":23,"start_date":"2016-08-25","description":"","custom_fields":[{"id":1,"name":"Subdivision","value":"NW"},{"id":4,"name":"Milepost","value":"5.8505"},{"id":17,"name":"Train ID","value":"820-25"},{"id":16,"name":"Locomotive ID","value":"4013"},{"id":130,"name":"Impact","value":""},{"id":150,"name":"Time of Event (Mountain Time)","value":"12:57:44"},{"id":151,"name":"Denver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625</v>
      </c>
      <c r="B178" s="7">
        <v>4014</v>
      </c>
      <c r="C178" s="24" t="s">
        <v>113</v>
      </c>
      <c r="D178" s="24" t="s">
        <v>240</v>
      </c>
      <c r="E178" s="15">
        <v>42607.545069444444</v>
      </c>
      <c r="F178" s="15">
        <v>42607.556909722225</v>
      </c>
      <c r="G178" s="7">
        <v>2</v>
      </c>
      <c r="H178" s="15" t="s">
        <v>626</v>
      </c>
      <c r="I178" s="15">
        <v>42607.568240740744</v>
      </c>
      <c r="J178" s="7">
        <v>1</v>
      </c>
      <c r="K178" s="132" t="str">
        <f t="shared" si="42"/>
        <v>4013/4014</v>
      </c>
      <c r="L178" s="24" t="str">
        <f>VLOOKUP(A178,'Trips&amp;Operators'!$C$1:$E$10000,3,FALSE)</f>
        <v>BROWN</v>
      </c>
      <c r="M178" s="6">
        <f t="shared" si="43"/>
        <v>1.1331018518831115E-2</v>
      </c>
      <c r="N178" s="7">
        <f t="shared" si="59"/>
        <v>16.316666667116806</v>
      </c>
      <c r="O178" s="7"/>
      <c r="P178" s="7"/>
      <c r="Q178" s="25"/>
      <c r="R178" s="25"/>
      <c r="S178" s="37">
        <f t="shared" si="44"/>
        <v>1</v>
      </c>
      <c r="T178" s="52" t="str">
        <f t="shared" si="45"/>
        <v>NorthBound</v>
      </c>
      <c r="U178" s="12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12:04:54-0600',mode:absolute,to:'2016-08-25 14:38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8" s="54" t="str">
        <f t="shared" si="47"/>
        <v>N</v>
      </c>
      <c r="X178" s="120">
        <f t="shared" si="60"/>
        <v>1</v>
      </c>
      <c r="Y178" s="69">
        <f t="shared" si="48"/>
        <v>4.3299999999999998E-2</v>
      </c>
      <c r="Z178" s="69">
        <f t="shared" si="49"/>
        <v>5.8949999999999996</v>
      </c>
      <c r="AA178" s="69">
        <f t="shared" si="50"/>
        <v>5.8516999999999992</v>
      </c>
      <c r="AB178" s="66" t="e">
        <f>VLOOKUP(A178,Enforcements!$C$7:$J$21,8,0)</f>
        <v>#N/A</v>
      </c>
      <c r="AC178" s="62" t="e">
        <f>VLOOKUP(A178,Enforcements!$C$7:$E$21,3,0)</f>
        <v>#N/A</v>
      </c>
      <c r="AD178" s="63" t="str">
        <f t="shared" si="51"/>
        <v>0821-25</v>
      </c>
      <c r="AE178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78" s="96" t="str">
        <f t="shared" si="53"/>
        <v>"C:\Program Files (x86)\AstroGrep\AstroGrep.exe" /spath="%USERPROFILE%\AppData\Local\Temp\OnboardLogs" /stypes="*4014*20160825*" /stext=" 19:.+((SYSTEM_STATE.+slice.+state.+changed )|(ment ac)|(system.+state.+changed )|(\|lc)|(penalty)|(\[timeout)|(PRM\|1\|D)|(kpr)|(kdp))" /e /r /s</v>
      </c>
      <c r="AG178" s="1" t="str">
        <f t="shared" si="54"/>
        <v>NW</v>
      </c>
      <c r="AH178" s="100" t="str">
        <f t="shared" si="55"/>
        <v>"%USERPROFILE%\Documents\GitHub\eaglep3\Utilities\RefineRTDCRunTimes.py" --tripid 821-25 --locoid 4014 --swversion DE.1.0.7.0 --startMP 204:433 --initTime 2016-08-25T13:04:54 --startdatetime 2016-08-25T13:21:57 --delay 2 --endMP 300:58950 --enddatetime 2016-08-25T13:38:16 --enforcementcount 1 &gt;&gt;C:\Users\stu\Documents\GitHub\eaglep3-reporting\EC\2016-08-25-refined-times.txt</v>
      </c>
      <c r="AI178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{"issue":{"subject":"","project_id":79,"tracker_id":40,"status_id":1,"priority_id":2,"assigned_to_id":23,"start_date":"2016-08-25","description":"","custom_fields":[{"id":1,"name":"Subdivision","value":"NW"},{"id":4,"name":"Milepost","value":"5.8517"},{"id":17,"name":"Train ID","value":"821-25"},{"id":16,"name":"Locomotive ID","value":"4014"},{"id":130,"name":"Impact","value":""},{"id":150,"name":"Time of Event (Mountain Time)","value":"13:38:16"},{"id":151,"name":"Denver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x14ac:dyDescent="0.25">
      <c r="A179" s="39" t="s">
        <v>627</v>
      </c>
      <c r="B179" s="7">
        <v>4013</v>
      </c>
      <c r="C179" s="24" t="s">
        <v>113</v>
      </c>
      <c r="D179" s="24" t="s">
        <v>628</v>
      </c>
      <c r="E179" s="15">
        <v>42607.569791666669</v>
      </c>
      <c r="F179" s="15">
        <v>42607.571643518517</v>
      </c>
      <c r="G179" s="7">
        <v>2</v>
      </c>
      <c r="H179" s="15" t="s">
        <v>629</v>
      </c>
      <c r="I179" s="15">
        <v>42607.582141203704</v>
      </c>
      <c r="J179" s="7">
        <v>1</v>
      </c>
      <c r="K179" s="132" t="str">
        <f t="shared" si="42"/>
        <v>4013/4014</v>
      </c>
      <c r="L179" s="24" t="str">
        <f>VLOOKUP(A179,'Trips&amp;Operators'!$C$1:$E$10000,3,FALSE)</f>
        <v>BROWN</v>
      </c>
      <c r="M179" s="6">
        <f t="shared" si="43"/>
        <v>1.0497685187146999E-2</v>
      </c>
      <c r="N179" s="7">
        <f t="shared" si="59"/>
        <v>15.116666669491678</v>
      </c>
      <c r="O179" s="7"/>
      <c r="P179" s="7"/>
      <c r="Q179" s="25"/>
      <c r="R179" s="25"/>
      <c r="S179" s="37">
        <f t="shared" si="44"/>
        <v>1</v>
      </c>
      <c r="T179" s="52" t="str">
        <f t="shared" si="45"/>
        <v>Southbound</v>
      </c>
      <c r="U179" s="12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12:40:30-0600',mode:absolute,to:'2016-08-25 14:58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79" s="54" t="str">
        <f t="shared" si="47"/>
        <v>N</v>
      </c>
      <c r="X179" s="120">
        <f t="shared" si="60"/>
        <v>1</v>
      </c>
      <c r="Y179" s="69">
        <f t="shared" si="48"/>
        <v>5.8632</v>
      </c>
      <c r="Z179" s="69">
        <f t="shared" si="49"/>
        <v>1.4800000000000001E-2</v>
      </c>
      <c r="AA179" s="69">
        <f t="shared" si="50"/>
        <v>5.8483999999999998</v>
      </c>
      <c r="AB179" s="66" t="e">
        <f>VLOOKUP(A179,Enforcements!$C$7:$J$21,8,0)</f>
        <v>#N/A</v>
      </c>
      <c r="AC179" s="62" t="e">
        <f>VLOOKUP(A179,Enforcements!$C$7:$E$21,3,0)</f>
        <v>#N/A</v>
      </c>
      <c r="AD179" s="63" t="str">
        <f t="shared" si="51"/>
        <v>0822-25</v>
      </c>
      <c r="AE179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79" s="96" t="str">
        <f t="shared" si="53"/>
        <v>"C:\Program Files (x86)\AstroGrep\AstroGrep.exe" /spath="%USERPROFILE%\AppData\Local\Temp\OnboardLogs" /stypes="*4013*20160825*" /stext=" 19:.+((SYSTEM_STATE.+slice.+state.+changed )|(ment ac)|(system.+state.+changed )|(\|lc)|(penalty)|(\[timeout)|(PRM\|1\|D)|(kpr)|(kdp))" /e /r /s</v>
      </c>
      <c r="AG179" s="1" t="str">
        <f t="shared" si="54"/>
        <v>NW</v>
      </c>
      <c r="AH179" s="100" t="str">
        <f t="shared" si="55"/>
        <v>"%USERPROFILE%\Documents\GitHub\eaglep3\Utilities\RefineRTDCRunTimes.py" --tripid 822-25 --locoid 4013 --swversion DE.1.0.7.0 --startMP 300:58632 --initTime 2016-08-25T13:40:30 --startdatetime 2016-08-25T13:43:10 --delay 2 --endMP 204:148 --enddatetime 2016-08-25T13:58:17 --enforcementcount 1 &gt;&gt;C:\Users\stu\Documents\GitHub\eaglep3-reporting\EC\2016-08-25-refined-times.txt</v>
      </c>
      <c r="AI179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{"issue":{"subject":"","project_id":79,"tracker_id":40,"status_id":1,"priority_id":2,"assigned_to_id":23,"start_date":"2016-08-25","description":"","custom_fields":[{"id":1,"name":"Subdivision","value":"NW"},{"id":4,"name":"Milepost","value":"5.8484"},{"id":17,"name":"Train ID","value":"822-25"},{"id":16,"name":"Locomotive ID","value":"4013"},{"id":130,"name":"Impact","value":""},{"id":150,"name":"Time of Event (Mountain Time)","value":"13:58:17"},{"id":151,"name":"Denver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s="23" customFormat="1" x14ac:dyDescent="0.25">
      <c r="A180" s="39" t="s">
        <v>630</v>
      </c>
      <c r="B180" s="7">
        <v>4014</v>
      </c>
      <c r="C180" s="24" t="s">
        <v>113</v>
      </c>
      <c r="D180" s="24" t="s">
        <v>631</v>
      </c>
      <c r="E180" s="15">
        <v>42607.594571759262</v>
      </c>
      <c r="F180" s="15">
        <v>42607.59815972222</v>
      </c>
      <c r="G180" s="7">
        <v>1</v>
      </c>
      <c r="H180" s="15" t="s">
        <v>632</v>
      </c>
      <c r="I180" s="15">
        <v>42607.607905092591</v>
      </c>
      <c r="J180" s="7">
        <v>1</v>
      </c>
      <c r="K180" s="132" t="str">
        <f t="shared" si="42"/>
        <v>4013/4014</v>
      </c>
      <c r="L180" s="24" t="str">
        <f>VLOOKUP(A180,'Trips&amp;Operators'!$C$1:$E$10000,3,FALSE)</f>
        <v>BROWN</v>
      </c>
      <c r="M180" s="6">
        <f t="shared" si="43"/>
        <v>9.7453703710925765E-3</v>
      </c>
      <c r="N180" s="7">
        <f t="shared" si="59"/>
        <v>14.03333333437331</v>
      </c>
      <c r="O180" s="7"/>
      <c r="P180" s="7"/>
      <c r="Q180" s="25"/>
      <c r="R180" s="25"/>
      <c r="S180" s="37">
        <f t="shared" si="44"/>
        <v>1</v>
      </c>
      <c r="T180" s="52" t="str">
        <f t="shared" si="45"/>
        <v>NorthBound</v>
      </c>
      <c r="U180" s="12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13:16:11-0600',mode:absolute,to:'2016-08-25 15:35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80" s="54" t="str">
        <f t="shared" si="47"/>
        <v>N</v>
      </c>
      <c r="X180" s="120">
        <f t="shared" si="60"/>
        <v>1</v>
      </c>
      <c r="Y180" s="69">
        <f t="shared" si="48"/>
        <v>4.5900000000000003E-2</v>
      </c>
      <c r="Z180" s="69">
        <f t="shared" si="49"/>
        <v>5.8933</v>
      </c>
      <c r="AA180" s="69">
        <f t="shared" si="50"/>
        <v>5.8474000000000004</v>
      </c>
      <c r="AB180" s="66" t="e">
        <f>VLOOKUP(A180,Enforcements!$C$7:$J$21,8,0)</f>
        <v>#N/A</v>
      </c>
      <c r="AC180" s="62" t="e">
        <f>VLOOKUP(A180,Enforcements!$C$7:$E$21,3,0)</f>
        <v>#N/A</v>
      </c>
      <c r="AD180" s="63" t="str">
        <f t="shared" si="51"/>
        <v>0823-25</v>
      </c>
      <c r="AE180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80" s="96" t="str">
        <f t="shared" si="53"/>
        <v>"C:\Program Files (x86)\AstroGrep\AstroGrep.exe" /spath="%USERPROFILE%\AppData\Local\Temp\OnboardLogs" /stypes="*4014*20160825*" /stext=" 20:.+((SYSTEM_STATE.+slice.+state.+changed )|(ment ac)|(system.+state.+changed )|(\|lc)|(penalty)|(\[timeout)|(PRM\|1\|D)|(kpr)|(kdp))" /e /r /s</v>
      </c>
      <c r="AG180" s="1" t="str">
        <f t="shared" si="54"/>
        <v>NW</v>
      </c>
      <c r="AH180" s="100" t="str">
        <f t="shared" si="55"/>
        <v>"%USERPROFILE%\Documents\GitHub\eaglep3\Utilities\RefineRTDCRunTimes.py" --tripid 823-25 --locoid 4014 --swversion DE.1.0.7.0 --startMP 204:459 --initTime 2016-08-25T14:16:11 --startdatetime 2016-08-25T14:21:21 --delay 1 --endMP 300:58933 --enddatetime 2016-08-25T14:35:23 --enforcementcount 1 &gt;&gt;C:\Users\stu\Documents\GitHub\eaglep3-reporting\EC\2016-08-25-refined-times.txt</v>
      </c>
      <c r="AI180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{"issue":{"subject":"","project_id":79,"tracker_id":40,"status_id":1,"priority_id":2,"assigned_to_id":23,"start_date":"2016-08-25","description":"","custom_fields":[{"id":1,"name":"Subdivision","value":"NW"},{"id":4,"name":"Milepost","value":"5.8474"},{"id":17,"name":"Train ID","value":"823-25"},{"id":16,"name":"Locomotive ID","value":"4014"},{"id":130,"name":"Impact","value":""},{"id":150,"name":"Time of Event (Mountain Time)","value":"14:35:23"},{"id":151,"name":"Denver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s="23" customFormat="1" x14ac:dyDescent="0.25">
      <c r="A181" s="39" t="s">
        <v>633</v>
      </c>
      <c r="B181" s="7">
        <v>4013</v>
      </c>
      <c r="C181" s="24" t="s">
        <v>113</v>
      </c>
      <c r="D181" s="24" t="s">
        <v>202</v>
      </c>
      <c r="E181" s="15">
        <v>42607.6091087963</v>
      </c>
      <c r="F181" s="15">
        <v>42607.610532407409</v>
      </c>
      <c r="G181" s="7">
        <v>1</v>
      </c>
      <c r="H181" s="15" t="s">
        <v>634</v>
      </c>
      <c r="I181" s="15">
        <v>42607.62195601852</v>
      </c>
      <c r="J181" s="7">
        <v>1</v>
      </c>
      <c r="K181" s="132" t="str">
        <f t="shared" si="42"/>
        <v>4013/4014</v>
      </c>
      <c r="L181" s="24" t="str">
        <f>VLOOKUP(A181,'Trips&amp;Operators'!$C$1:$E$10000,3,FALSE)</f>
        <v>BROWN</v>
      </c>
      <c r="M181" s="6">
        <f t="shared" si="43"/>
        <v>1.1423611111240461E-2</v>
      </c>
      <c r="N181" s="7">
        <f t="shared" si="59"/>
        <v>16.450000000186265</v>
      </c>
      <c r="O181" s="7"/>
      <c r="P181" s="7"/>
      <c r="Q181" s="25"/>
      <c r="R181" s="25"/>
      <c r="S181" s="37">
        <f t="shared" si="44"/>
        <v>1</v>
      </c>
      <c r="T181" s="52" t="str">
        <f t="shared" si="45"/>
        <v>Southbound</v>
      </c>
      <c r="U181" s="12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13:37:07-0600',mode:absolute,to:'2016-08-25 15:55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81" s="54" t="str">
        <f t="shared" si="47"/>
        <v>N</v>
      </c>
      <c r="X181" s="120">
        <f t="shared" si="60"/>
        <v>1</v>
      </c>
      <c r="Y181" s="69">
        <f t="shared" si="48"/>
        <v>5.8619000000000003</v>
      </c>
      <c r="Z181" s="69">
        <f t="shared" si="49"/>
        <v>1.55E-2</v>
      </c>
      <c r="AA181" s="69">
        <f t="shared" si="50"/>
        <v>5.8464</v>
      </c>
      <c r="AB181" s="66" t="e">
        <f>VLOOKUP(A181,Enforcements!$C$7:$J$21,8,0)</f>
        <v>#N/A</v>
      </c>
      <c r="AC181" s="62" t="e">
        <f>VLOOKUP(A181,Enforcements!$C$7:$E$21,3,0)</f>
        <v>#N/A</v>
      </c>
      <c r="AD181" s="63" t="str">
        <f t="shared" si="51"/>
        <v>0824-25</v>
      </c>
      <c r="AE181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81" s="96" t="str">
        <f t="shared" si="53"/>
        <v>"C:\Program Files (x86)\AstroGrep\AstroGrep.exe" /spath="%USERPROFILE%\AppData\Local\Temp\OnboardLogs" /stypes="*4013*20160825*" /stext=" 20:.+((SYSTEM_STATE.+slice.+state.+changed )|(ment ac)|(system.+state.+changed )|(\|lc)|(penalty)|(\[timeout)|(PRM\|1\|D)|(kpr)|(kdp))" /e /r /s</v>
      </c>
      <c r="AG181" s="1" t="str">
        <f t="shared" si="54"/>
        <v>NW</v>
      </c>
      <c r="AH181" s="100" t="str">
        <f t="shared" si="55"/>
        <v>"%USERPROFILE%\Documents\GitHub\eaglep3\Utilities\RefineRTDCRunTimes.py" --tripid 824-25 --locoid 4013 --swversion DE.1.0.7.0 --startMP 300:58619 --initTime 2016-08-25T14:37:07 --startdatetime 2016-08-25T14:39:10 --delay 1 --endMP 204:155 --enddatetime 2016-08-25T14:55:37 --enforcementcount 1 &gt;&gt;C:\Users\stu\Documents\GitHub\eaglep3-reporting\EC\2016-08-25-refined-times.txt</v>
      </c>
      <c r="AI181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{"issue":{"subject":"","project_id":79,"tracker_id":40,"status_id":1,"priority_id":2,"assigned_to_id":23,"start_date":"2016-08-25","description":"","custom_fields":[{"id":1,"name":"Subdivision","value":"NW"},{"id":4,"name":"Milepost","value":"5.8464"},{"id":17,"name":"Train ID","value":"824-25"},{"id":16,"name":"Locomotive ID","value":"4013"},{"id":130,"name":"Impact","value":""},{"id":150,"name":"Time of Event (Mountain Time)","value":"14:55:37"},{"id":151,"name":"Denver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635</v>
      </c>
      <c r="B182" s="7">
        <v>4014</v>
      </c>
      <c r="C182" s="24" t="s">
        <v>113</v>
      </c>
      <c r="D182" s="24" t="s">
        <v>206</v>
      </c>
      <c r="E182" s="15">
        <v>42607.624201388891</v>
      </c>
      <c r="F182" s="15">
        <v>42607.639837962961</v>
      </c>
      <c r="G182" s="7">
        <v>1</v>
      </c>
      <c r="H182" s="15" t="s">
        <v>636</v>
      </c>
      <c r="I182" s="15">
        <v>42607.649722222224</v>
      </c>
      <c r="J182" s="7">
        <v>1</v>
      </c>
      <c r="K182" s="132" t="str">
        <f t="shared" si="42"/>
        <v>4013/4014</v>
      </c>
      <c r="L182" s="24" t="str">
        <f>VLOOKUP(A182,'Trips&amp;Operators'!$C$1:$E$10000,3,FALSE)</f>
        <v>BROWN</v>
      </c>
      <c r="M182" s="6">
        <f t="shared" si="43"/>
        <v>9.8842592633445747E-3</v>
      </c>
      <c r="N182" s="7">
        <f t="shared" ref="N182:N213" si="61">24*60*SUM($M182:$M182)</f>
        <v>14.233333339216188</v>
      </c>
      <c r="O182" s="7"/>
      <c r="P182" s="7"/>
      <c r="Q182" s="25"/>
      <c r="R182" s="25"/>
      <c r="S182" s="37">
        <f t="shared" si="44"/>
        <v>1</v>
      </c>
      <c r="T182" s="52" t="str">
        <f t="shared" si="45"/>
        <v>NorthBound</v>
      </c>
      <c r="U182" s="12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13:58:51-0600',mode:absolute,to:'2016-08-25 16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82" s="54" t="str">
        <f t="shared" si="47"/>
        <v>N</v>
      </c>
      <c r="X182" s="120">
        <f t="shared" si="60"/>
        <v>1</v>
      </c>
      <c r="Y182" s="69">
        <f t="shared" si="48"/>
        <v>4.6600000000000003E-2</v>
      </c>
      <c r="Z182" s="69">
        <f t="shared" si="49"/>
        <v>5.8939000000000004</v>
      </c>
      <c r="AA182" s="69">
        <f t="shared" si="50"/>
        <v>5.8473000000000006</v>
      </c>
      <c r="AB182" s="66" t="e">
        <f>VLOOKUP(A182,Enforcements!$C$7:$J$21,8,0)</f>
        <v>#N/A</v>
      </c>
      <c r="AC182" s="62" t="e">
        <f>VLOOKUP(A182,Enforcements!$C$7:$E$21,3,0)</f>
        <v>#N/A</v>
      </c>
      <c r="AD182" s="63" t="str">
        <f t="shared" si="51"/>
        <v>0825-25</v>
      </c>
      <c r="AE182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82" s="96" t="str">
        <f t="shared" si="53"/>
        <v>"C:\Program Files (x86)\AstroGrep\AstroGrep.exe" /spath="%USERPROFILE%\AppData\Local\Temp\OnboardLogs" /stypes="*4014*20160825*" /stext=" 21:.+((SYSTEM_STATE.+slice.+state.+changed )|(ment ac)|(system.+state.+changed )|(\|lc)|(penalty)|(\[timeout)|(PRM\|1\|D)|(kpr)|(kdp))" /e /r /s</v>
      </c>
      <c r="AG182" s="1" t="str">
        <f t="shared" si="54"/>
        <v>NW</v>
      </c>
      <c r="AH182" s="100" t="str">
        <f t="shared" si="55"/>
        <v>"%USERPROFILE%\Documents\GitHub\eaglep3\Utilities\RefineRTDCRunTimes.py" --tripid 825-25 --locoid 4014 --swversion DE.1.0.7.0 --startMP 204:466 --initTime 2016-08-25T14:58:51 --startdatetime 2016-08-25T15:21:22 --delay 1 --endMP 300:58939 --enddatetime 2016-08-25T15:35:36 --enforcementcount 1 &gt;&gt;C:\Users\stu\Documents\GitHub\eaglep3-reporting\EC\2016-08-25-refined-times.txt</v>
      </c>
      <c r="AI182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{"issue":{"subject":"","project_id":79,"tracker_id":40,"status_id":1,"priority_id":2,"assigned_to_id":23,"start_date":"2016-08-25","description":"","custom_fields":[{"id":1,"name":"Subdivision","value":"NW"},{"id":4,"name":"Milepost","value":"5.8473"},{"id":17,"name":"Train ID","value":"825-25"},{"id":16,"name":"Locomotive ID","value":"4014"},{"id":130,"name":"Impact","value":""},{"id":150,"name":"Time of Event (Mountain Time)","value":"15:35:36"},{"id":151,"name":"Denver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637</v>
      </c>
      <c r="B183" s="7">
        <v>4013</v>
      </c>
      <c r="C183" s="24" t="s">
        <v>113</v>
      </c>
      <c r="D183" s="24" t="s">
        <v>345</v>
      </c>
      <c r="E183" s="15">
        <v>42607.650763888887</v>
      </c>
      <c r="F183" s="15">
        <v>42607.652974537035</v>
      </c>
      <c r="G183" s="7">
        <v>1</v>
      </c>
      <c r="H183" s="15" t="s">
        <v>638</v>
      </c>
      <c r="I183" s="15">
        <v>42607.6640625</v>
      </c>
      <c r="J183" s="7">
        <v>1</v>
      </c>
      <c r="K183" s="132" t="str">
        <f t="shared" si="42"/>
        <v>4013/4014</v>
      </c>
      <c r="L183" s="24" t="str">
        <f>VLOOKUP(A183,'Trips&amp;Operators'!$C$1:$E$10000,3,FALSE)</f>
        <v>BROWN</v>
      </c>
      <c r="M183" s="6">
        <f t="shared" si="43"/>
        <v>1.1087962964666076E-2</v>
      </c>
      <c r="N183" s="7">
        <f t="shared" si="61"/>
        <v>15.966666669119149</v>
      </c>
      <c r="O183" s="7"/>
      <c r="P183" s="7"/>
      <c r="Q183" s="25"/>
      <c r="R183" s="25"/>
      <c r="S183" s="37">
        <f t="shared" si="44"/>
        <v>1</v>
      </c>
      <c r="T183" s="52" t="str">
        <f t="shared" si="45"/>
        <v>Southbound</v>
      </c>
      <c r="U183" s="12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14:37:06-0600',mode:absolute,to:'2016-08-25 16:56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83" s="54" t="str">
        <f t="shared" si="47"/>
        <v>N</v>
      </c>
      <c r="X183" s="120">
        <f t="shared" si="60"/>
        <v>1</v>
      </c>
      <c r="Y183" s="69">
        <f t="shared" si="48"/>
        <v>5.8625999999999996</v>
      </c>
      <c r="Z183" s="69">
        <f t="shared" si="49"/>
        <v>7.6899999999999996E-2</v>
      </c>
      <c r="AA183" s="69">
        <f t="shared" si="50"/>
        <v>5.7856999999999994</v>
      </c>
      <c r="AB183" s="66" t="e">
        <f>VLOOKUP(A183,Enforcements!$C$7:$J$21,8,0)</f>
        <v>#N/A</v>
      </c>
      <c r="AC183" s="62" t="e">
        <f>VLOOKUP(A183,Enforcements!$C$7:$E$21,3,0)</f>
        <v>#N/A</v>
      </c>
      <c r="AD183" s="63" t="str">
        <f t="shared" si="51"/>
        <v>0826-25</v>
      </c>
      <c r="AE183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83" s="96" t="str">
        <f t="shared" si="53"/>
        <v>"C:\Program Files (x86)\AstroGrep\AstroGrep.exe" /spath="%USERPROFILE%\AppData\Local\Temp\OnboardLogs" /stypes="*4013*20160825*" /stext=" 21:.+((SYSTEM_STATE.+slice.+state.+changed )|(ment ac)|(system.+state.+changed )|(\|lc)|(penalty)|(\[timeout)|(PRM\|1\|D)|(kpr)|(kdp))" /e /r /s</v>
      </c>
      <c r="AG183" s="1" t="str">
        <f t="shared" si="54"/>
        <v>NW</v>
      </c>
      <c r="AH183" s="100" t="str">
        <f t="shared" si="55"/>
        <v>"%USERPROFILE%\Documents\GitHub\eaglep3\Utilities\RefineRTDCRunTimes.py" --tripid 826-25 --locoid 4013 --swversion DE.1.0.7.0 --startMP 300:58626 --initTime 2016-08-25T15:37:06 --startdatetime 2016-08-25T15:40:17 --delay 1 --endMP 204:769 --enddatetime 2016-08-25T15:56:15 --enforcementcount 1 &gt;&gt;C:\Users\stu\Documents\GitHub\eaglep3-reporting\EC\2016-08-25-refined-times.txt</v>
      </c>
      <c r="AI183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{"issue":{"subject":"","project_id":79,"tracker_id":40,"status_id":1,"priority_id":2,"assigned_to_id":23,"start_date":"2016-08-25","description":"","custom_fields":[{"id":1,"name":"Subdivision","value":"NW"},{"id":4,"name":"Milepost","value":"5.7857"},{"id":17,"name":"Train ID","value":"826-25"},{"id":16,"name":"Locomotive ID","value":"4013"},{"id":130,"name":"Impact","value":""},{"id":150,"name":"Time of Event (Mountain Time)","value":"15:56:15"},{"id":151,"name":"Denver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x14ac:dyDescent="0.25">
      <c r="A184" s="39" t="s">
        <v>639</v>
      </c>
      <c r="B184" s="7">
        <v>4038</v>
      </c>
      <c r="C184" s="24" t="s">
        <v>113</v>
      </c>
      <c r="D184" s="24" t="s">
        <v>640</v>
      </c>
      <c r="E184" s="15">
        <v>42607.658171296294</v>
      </c>
      <c r="F184" s="15">
        <v>42607.672974537039</v>
      </c>
      <c r="G184" s="7">
        <v>1</v>
      </c>
      <c r="H184" s="15" t="s">
        <v>641</v>
      </c>
      <c r="I184" s="15">
        <v>42607.684374999997</v>
      </c>
      <c r="J184" s="7">
        <v>1</v>
      </c>
      <c r="K184" s="132" t="str">
        <f t="shared" si="42"/>
        <v>4037/4038</v>
      </c>
      <c r="L184" s="24" t="str">
        <f>VLOOKUP(A184,'Trips&amp;Operators'!$C$1:$E$10000,3,FALSE)</f>
        <v>YANAI</v>
      </c>
      <c r="M184" s="6">
        <f t="shared" si="43"/>
        <v>1.1400462957681157E-2</v>
      </c>
      <c r="N184" s="7">
        <f t="shared" si="61"/>
        <v>16.416666659060866</v>
      </c>
      <c r="O184" s="7"/>
      <c r="P184" s="7"/>
      <c r="Q184" s="25"/>
      <c r="R184" s="25"/>
      <c r="S184" s="37">
        <f t="shared" si="44"/>
        <v>1</v>
      </c>
      <c r="T184" s="52" t="str">
        <f t="shared" si="45"/>
        <v>NorthBound</v>
      </c>
      <c r="U184" s="12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14:47:46-0600',mode:absolute,to:'2016-08-25 17:25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84" s="54" t="str">
        <f t="shared" si="47"/>
        <v>N</v>
      </c>
      <c r="X184" s="120">
        <f t="shared" si="60"/>
        <v>1</v>
      </c>
      <c r="Y184" s="69">
        <f t="shared" si="48"/>
        <v>3.5200000000000002E-2</v>
      </c>
      <c r="Z184" s="69">
        <f t="shared" si="49"/>
        <v>5.8925999999999998</v>
      </c>
      <c r="AA184" s="69">
        <f t="shared" si="50"/>
        <v>5.8574000000000002</v>
      </c>
      <c r="AB184" s="66" t="e">
        <f>VLOOKUP(A184,Enforcements!$C$7:$J$21,8,0)</f>
        <v>#N/A</v>
      </c>
      <c r="AC184" s="62" t="e">
        <f>VLOOKUP(A184,Enforcements!$C$7:$E$21,3,0)</f>
        <v>#N/A</v>
      </c>
      <c r="AD184" s="63" t="str">
        <f t="shared" si="51"/>
        <v>0827-25</v>
      </c>
      <c r="AE184" s="99" t="str">
        <f t="shared" si="52"/>
        <v>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 &amp; 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</v>
      </c>
      <c r="AF184" s="96" t="str">
        <f t="shared" si="53"/>
        <v>"C:\Program Files (x86)\AstroGrep\AstroGrep.exe" /spath="%USERPROFILE%\AppData\Local\Temp\OnboardLogs" /stypes="*4038*20160825*" /stext=" 22:.+((SYSTEM_STATE.+slice.+state.+changed )|(ment ac)|(system.+state.+changed )|(\|lc)|(penalty)|(\[timeout)|(PRM\|1\|D)|(kpr)|(kdp))" /e /r /s</v>
      </c>
      <c r="AG184" s="1" t="str">
        <f t="shared" si="54"/>
        <v>NW</v>
      </c>
      <c r="AH184" s="100" t="str">
        <f t="shared" si="55"/>
        <v>"%USERPROFILE%\Documents\GitHub\eaglep3\Utilities\RefineRTDCRunTimes.py" --tripid 827-25 --locoid 4038 --swversion DE.1.0.7.0 --startMP 204:352 --initTime 2016-08-25T15:47:46 --startdatetime 2016-08-25T16:09:05 --delay 1 --endMP 300:58926 --enddatetime 2016-08-25T16:25:30 --enforcementcount 1 &gt;&gt;C:\Users\stu\Documents\GitHub\eaglep3-reporting\EC\2016-08-25-refined-times.txt</v>
      </c>
      <c r="AI184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{"issue":{"subject":"","project_id":79,"tracker_id":40,"status_id":1,"priority_id":2,"assigned_to_id":23,"start_date":"2016-08-25","description":"","custom_fields":[{"id":1,"name":"Subdivision","value":"NW"},{"id":4,"name":"Milepost","value":"5.8574"},{"id":17,"name":"Train ID","value":"827-25"},{"id":16,"name":"Locomotive ID","value":"4038"},{"id":130,"name":"Impact","value":""},{"id":150,"name":"Time of Event (Mountain Time)","value":"16:25:30"},{"id":151,"name":"Denver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642</v>
      </c>
      <c r="B185" s="7">
        <v>4037</v>
      </c>
      <c r="C185" s="24" t="s">
        <v>113</v>
      </c>
      <c r="D185" s="24" t="s">
        <v>643</v>
      </c>
      <c r="E185" s="15">
        <v>42607.67150462963</v>
      </c>
      <c r="F185" s="15">
        <v>42607.672974537039</v>
      </c>
      <c r="G185" s="7">
        <v>2</v>
      </c>
      <c r="H185" s="15" t="s">
        <v>644</v>
      </c>
      <c r="I185" s="15">
        <v>42607.684374999997</v>
      </c>
      <c r="J185" s="7">
        <v>1</v>
      </c>
      <c r="K185" s="132" t="str">
        <f t="shared" si="42"/>
        <v>4037/4038</v>
      </c>
      <c r="L185" s="24" t="str">
        <f>VLOOKUP(A185,'Trips&amp;Operators'!$C$1:$E$10000,3,FALSE)</f>
        <v>YANAI</v>
      </c>
      <c r="M185" s="6">
        <f t="shared" si="43"/>
        <v>1.1400462957681157E-2</v>
      </c>
      <c r="N185" s="7">
        <f t="shared" si="61"/>
        <v>16.416666659060866</v>
      </c>
      <c r="O185" s="7"/>
      <c r="P185" s="7"/>
      <c r="Q185" s="25"/>
      <c r="R185" s="25"/>
      <c r="S185" s="37">
        <f t="shared" si="44"/>
        <v>1</v>
      </c>
      <c r="T185" s="52" t="str">
        <f t="shared" si="45"/>
        <v>Southbound</v>
      </c>
      <c r="U185" s="12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15:06:58-0600',mode:absolute,to:'2016-08-25 17:25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85" s="54" t="str">
        <f t="shared" si="47"/>
        <v>N</v>
      </c>
      <c r="X185" s="120">
        <f t="shared" si="60"/>
        <v>1</v>
      </c>
      <c r="Y185" s="69">
        <f t="shared" si="48"/>
        <v>5.8053999999999997</v>
      </c>
      <c r="Z185" s="69">
        <f t="shared" si="49"/>
        <v>6.4299999999999996E-2</v>
      </c>
      <c r="AA185" s="69">
        <f t="shared" si="50"/>
        <v>5.7410999999999994</v>
      </c>
      <c r="AB185" s="66" t="e">
        <f>VLOOKUP(A185,Enforcements!$C$7:$J$21,8,0)</f>
        <v>#N/A</v>
      </c>
      <c r="AC185" s="62" t="e">
        <f>VLOOKUP(A185,Enforcements!$C$7:$E$21,3,0)</f>
        <v>#N/A</v>
      </c>
      <c r="AD185" s="63" t="str">
        <f t="shared" si="51"/>
        <v>0828-25</v>
      </c>
      <c r="AE185" s="99" t="str">
        <f t="shared" si="52"/>
        <v>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 &amp; 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</v>
      </c>
      <c r="AF185" s="96" t="str">
        <f t="shared" si="53"/>
        <v>"C:\Program Files (x86)\AstroGrep\AstroGrep.exe" /spath="%USERPROFILE%\AppData\Local\Temp\OnboardLogs" /stypes="*4037*20160825*" /stext=" 22:.+((SYSTEM_STATE.+slice.+state.+changed )|(ment ac)|(system.+state.+changed )|(\|lc)|(penalty)|(\[timeout)|(PRM\|1\|D)|(kpr)|(kdp))" /e /r /s</v>
      </c>
      <c r="AG185" s="1" t="str">
        <f t="shared" si="54"/>
        <v>NW</v>
      </c>
      <c r="AH185" s="100" t="str">
        <f t="shared" si="55"/>
        <v>"%USERPROFILE%\Documents\GitHub\eaglep3\Utilities\RefineRTDCRunTimes.py" --tripid 828-25 --locoid 4037 --swversion DE.1.0.7.0 --startMP 300:58054 --initTime 2016-08-25T16:06:58 --startdatetime 2016-08-25T16:09:05 --delay 2 --endMP 204:643 --enddatetime 2016-08-25T16:25:30 --enforcementcount 1 &gt;&gt;C:\Users\stu\Documents\GitHub\eaglep3-reporting\EC\2016-08-25-refined-times.txt</v>
      </c>
      <c r="AI185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{"issue":{"subject":"","project_id":79,"tracker_id":40,"status_id":1,"priority_id":2,"assigned_to_id":23,"start_date":"2016-08-25","description":"","custom_fields":[{"id":1,"name":"Subdivision","value":"NW"},{"id":4,"name":"Milepost","value":"5.7411"},{"id":17,"name":"Train ID","value":"828-25"},{"id":16,"name":"Locomotive ID","value":"4037"},{"id":130,"name":"Impact","value":""},{"id":150,"name":"Time of Event (Mountain Time)","value":"16:25:30"},{"id":151,"name":"Denver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645</v>
      </c>
      <c r="B186" s="7">
        <v>4014</v>
      </c>
      <c r="C186" s="24" t="s">
        <v>113</v>
      </c>
      <c r="D186" s="24" t="s">
        <v>646</v>
      </c>
      <c r="E186" s="15">
        <v>42607.670659722222</v>
      </c>
      <c r="F186" s="15">
        <v>42607.681527777779</v>
      </c>
      <c r="G186" s="7">
        <v>1</v>
      </c>
      <c r="H186" s="15" t="s">
        <v>647</v>
      </c>
      <c r="I186" s="15">
        <v>42607.691990740743</v>
      </c>
      <c r="J186" s="7">
        <v>1</v>
      </c>
      <c r="K186" s="132" t="str">
        <f t="shared" si="42"/>
        <v>4013/4014</v>
      </c>
      <c r="L186" s="24" t="str">
        <f>VLOOKUP(A186,'Trips&amp;Operators'!$C$1:$E$10000,3,FALSE)</f>
        <v>BROWN</v>
      </c>
      <c r="M186" s="6">
        <f t="shared" si="43"/>
        <v>1.0462962964083999E-2</v>
      </c>
      <c r="N186" s="7">
        <f t="shared" si="61"/>
        <v>15.066666668280959</v>
      </c>
      <c r="O186" s="7"/>
      <c r="P186" s="7"/>
      <c r="Q186" s="25"/>
      <c r="R186" s="25"/>
      <c r="S186" s="37">
        <f t="shared" si="44"/>
        <v>1</v>
      </c>
      <c r="T186" s="52" t="str">
        <f t="shared" si="45"/>
        <v>NorthBound</v>
      </c>
      <c r="U186" s="12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15:05:45-0600',mode:absolute,to:'2016-08-25 17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86" s="54" t="str">
        <f t="shared" si="47"/>
        <v>N</v>
      </c>
      <c r="X186" s="120">
        <f t="shared" ref="X186:X219" si="62">VALUE(LEFT(AD186,4))-VALUE(LEFT(AD185,4))</f>
        <v>1</v>
      </c>
      <c r="Y186" s="69">
        <f t="shared" si="48"/>
        <v>0.1081</v>
      </c>
      <c r="Z186" s="69">
        <f t="shared" si="49"/>
        <v>5.8986000000000001</v>
      </c>
      <c r="AA186" s="69">
        <f t="shared" si="50"/>
        <v>5.7904999999999998</v>
      </c>
      <c r="AB186" s="66" t="e">
        <f>VLOOKUP(A186,Enforcements!$C$7:$J$21,8,0)</f>
        <v>#N/A</v>
      </c>
      <c r="AC186" s="62" t="e">
        <f>VLOOKUP(A186,Enforcements!$C$7:$E$21,3,0)</f>
        <v>#N/A</v>
      </c>
      <c r="AD186" s="63" t="str">
        <f t="shared" si="51"/>
        <v>0829-25</v>
      </c>
      <c r="AE186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86" s="96" t="str">
        <f t="shared" si="53"/>
        <v>"C:\Program Files (x86)\AstroGrep\AstroGrep.exe" /spath="%USERPROFILE%\AppData\Local\Temp\OnboardLogs" /stypes="*4014*20160825*" /stext=" 22:.+((SYSTEM_STATE.+slice.+state.+changed )|(ment ac)|(system.+state.+changed )|(\|lc)|(penalty)|(\[timeout)|(PRM\|1\|D)|(kpr)|(kdp))" /e /r /s</v>
      </c>
      <c r="AG186" s="1" t="str">
        <f t="shared" si="54"/>
        <v>NW</v>
      </c>
      <c r="AH186" s="100" t="str">
        <f t="shared" si="55"/>
        <v>"%USERPROFILE%\Documents\GitHub\eaglep3\Utilities\RefineRTDCRunTimes.py" --tripid 829-25 --locoid 4014 --swversion DE.1.0.7.0 --startMP 204:1081 --initTime 2016-08-25T16:05:45 --startdatetime 2016-08-25T16:21:24 --delay 1 --endMP 300:58986 --enddatetime 2016-08-25T16:36:28 --enforcementcount 1 &gt;&gt;C:\Users\stu\Documents\GitHub\eaglep3-reporting\EC\2016-08-25-refined-times.txt</v>
      </c>
      <c r="AI186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{"issue":{"subject":"","project_id":79,"tracker_id":40,"status_id":1,"priority_id":2,"assigned_to_id":23,"start_date":"2016-08-25","description":"","custom_fields":[{"id":1,"name":"Subdivision","value":"NW"},{"id":4,"name":"Milepost","value":"5.7905"},{"id":17,"name":"Train ID","value":"829-25"},{"id":16,"name":"Locomotive ID","value":"4014"},{"id":130,"name":"Impact","value":""},{"id":150,"name":"Time of Event (Mountain Time)","value":"16:36:28"},{"id":151,"name":"Denver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648</v>
      </c>
      <c r="B187" s="7">
        <v>4013</v>
      </c>
      <c r="C187" s="24" t="s">
        <v>113</v>
      </c>
      <c r="D187" s="24" t="s">
        <v>253</v>
      </c>
      <c r="E187" s="15">
        <v>42607.693124999998</v>
      </c>
      <c r="F187" s="15">
        <v>42607.73641203704</v>
      </c>
      <c r="G187" s="7">
        <v>1</v>
      </c>
      <c r="H187" s="15" t="s">
        <v>649</v>
      </c>
      <c r="I187" s="15">
        <v>42607.7502662037</v>
      </c>
      <c r="J187" s="7">
        <v>1</v>
      </c>
      <c r="K187" s="132" t="str">
        <f t="shared" si="42"/>
        <v>4013/4014</v>
      </c>
      <c r="L187" s="24" t="str">
        <f>VLOOKUP(A187,'Trips&amp;Operators'!$C$1:$E$10000,3,FALSE)</f>
        <v>BROWN</v>
      </c>
      <c r="M187" s="6">
        <f t="shared" si="43"/>
        <v>1.3854166660166811E-2</v>
      </c>
      <c r="N187" s="7">
        <f t="shared" si="61"/>
        <v>19.949999990640208</v>
      </c>
      <c r="O187" s="7"/>
      <c r="P187" s="7"/>
      <c r="Q187" s="25"/>
      <c r="R187" s="25"/>
      <c r="S187" s="37">
        <f t="shared" si="44"/>
        <v>1</v>
      </c>
      <c r="T187" s="52" t="str">
        <f t="shared" si="45"/>
        <v>Southbound</v>
      </c>
      <c r="U187" s="12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15:38:06-0600',mode:absolute,to:'2016-08-25 19:00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87" s="54" t="str">
        <f t="shared" si="47"/>
        <v>N</v>
      </c>
      <c r="X187" s="120">
        <f t="shared" si="62"/>
        <v>1</v>
      </c>
      <c r="Y187" s="69">
        <f t="shared" si="48"/>
        <v>5.8678999999999997</v>
      </c>
      <c r="Z187" s="69">
        <f t="shared" si="49"/>
        <v>6.3500000000000001E-2</v>
      </c>
      <c r="AA187" s="69">
        <f t="shared" si="50"/>
        <v>5.8043999999999993</v>
      </c>
      <c r="AB187" s="66" t="e">
        <f>VLOOKUP(A187,Enforcements!$C$7:$J$21,8,0)</f>
        <v>#N/A</v>
      </c>
      <c r="AC187" s="62" t="e">
        <f>VLOOKUP(A187,Enforcements!$C$7:$E$21,3,0)</f>
        <v>#N/A</v>
      </c>
      <c r="AD187" s="63" t="str">
        <f t="shared" si="51"/>
        <v>0830-25</v>
      </c>
      <c r="AE187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87" s="96" t="str">
        <f t="shared" si="53"/>
        <v>"C:\Program Files (x86)\AstroGrep\AstroGrep.exe" /spath="%USERPROFILE%\AppData\Local\Temp\OnboardLogs" /stypes="*4013*20160826*" /stext=" 00:.+((SYSTEM_STATE.+slice.+state.+changed )|(ment ac)|(system.+state.+changed )|(\|lc)|(penalty)|(\[timeout)|(PRM\|1\|D)|(kpr)|(kdp))" /e /r /s</v>
      </c>
      <c r="AG187" s="1" t="str">
        <f t="shared" si="54"/>
        <v>NW</v>
      </c>
      <c r="AH187" s="100" t="str">
        <f t="shared" si="55"/>
        <v>"%USERPROFILE%\Documents\GitHub\eaglep3\Utilities\RefineRTDCRunTimes.py" --tripid 830-25 --locoid 4013 --swversion DE.1.0.7.0 --startMP 300:58679 --initTime 2016-08-25T16:38:06 --startdatetime 2016-08-25T17:40:26 --delay 1 --endMP 204:635 --enddatetime 2016-08-25T18:00:23 --enforcementcount 1 &gt;&gt;C:\Users\stu\Documents\GitHub\eaglep3-reporting\EC\2016-08-25-refined-times.txt</v>
      </c>
      <c r="AI187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{"issue":{"subject":"","project_id":79,"tracker_id":40,"status_id":1,"priority_id":2,"assigned_to_id":23,"start_date":"2016-08-25","description":"","custom_fields":[{"id":1,"name":"Subdivision","value":"NW"},{"id":4,"name":"Milepost","value":"5.8044"},{"id":17,"name":"Train ID","value":"830-25"},{"id":16,"name":"Locomotive ID","value":"4013"},{"id":130,"name":"Impact","value":""},{"id":150,"name":"Time of Event (Mountain Time)","value":"18:00:23"},{"id":151,"name":"Denver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650</v>
      </c>
      <c r="B188" s="7">
        <v>4038</v>
      </c>
      <c r="C188" s="24" t="s">
        <v>113</v>
      </c>
      <c r="D188" s="24" t="s">
        <v>651</v>
      </c>
      <c r="E188" s="15">
        <v>42607.686469907407</v>
      </c>
      <c r="F188" s="15">
        <v>42607.70239583333</v>
      </c>
      <c r="G188" s="7">
        <v>1</v>
      </c>
      <c r="H188" s="15" t="s">
        <v>203</v>
      </c>
      <c r="I188" s="15">
        <v>42607.711944444447</v>
      </c>
      <c r="J188" s="7">
        <v>1</v>
      </c>
      <c r="K188" s="132" t="str">
        <f t="shared" si="42"/>
        <v>4037/4038</v>
      </c>
      <c r="L188" s="24" t="str">
        <f>VLOOKUP(A188,'Trips&amp;Operators'!$C$1:$E$10000,3,FALSE)</f>
        <v>ISHMAEL</v>
      </c>
      <c r="M188" s="6">
        <f t="shared" si="43"/>
        <v>9.5486111167701893E-3</v>
      </c>
      <c r="N188" s="7">
        <f t="shared" si="61"/>
        <v>13.750000008149073</v>
      </c>
      <c r="O188" s="7"/>
      <c r="P188" s="7"/>
      <c r="Q188" s="25"/>
      <c r="R188" s="25"/>
      <c r="S188" s="37">
        <f t="shared" si="44"/>
        <v>1</v>
      </c>
      <c r="T188" s="52" t="str">
        <f t="shared" si="45"/>
        <v>NorthBound</v>
      </c>
      <c r="U188" s="12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15:28:31-0600',mode:absolute,to:'2016-08-25 18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88" s="54" t="str">
        <f t="shared" si="47"/>
        <v>N</v>
      </c>
      <c r="X188" s="120">
        <f t="shared" si="62"/>
        <v>1</v>
      </c>
      <c r="Y188" s="69">
        <f t="shared" si="48"/>
        <v>9.3399999999999997E-2</v>
      </c>
      <c r="Z188" s="69">
        <f t="shared" si="49"/>
        <v>5.8928000000000003</v>
      </c>
      <c r="AA188" s="69">
        <f t="shared" si="50"/>
        <v>5.7994000000000003</v>
      </c>
      <c r="AB188" s="66" t="e">
        <f>VLOOKUP(A188,Enforcements!$C$7:$J$21,8,0)</f>
        <v>#N/A</v>
      </c>
      <c r="AC188" s="62" t="e">
        <f>VLOOKUP(A188,Enforcements!$C$7:$E$21,3,0)</f>
        <v>#N/A</v>
      </c>
      <c r="AD188" s="63" t="str">
        <f t="shared" si="51"/>
        <v>0831-25</v>
      </c>
      <c r="AE188" s="99" t="str">
        <f t="shared" si="52"/>
        <v>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 &amp; 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</v>
      </c>
      <c r="AF188" s="96" t="str">
        <f t="shared" si="53"/>
        <v>"C:\Program Files (x86)\AstroGrep\AstroGrep.exe" /spath="%USERPROFILE%\AppData\Local\Temp\OnboardLogs" /stypes="*4038*20160825*" /stext=" 23:.+((SYSTEM_STATE.+slice.+state.+changed )|(ment ac)|(system.+state.+changed )|(\|lc)|(penalty)|(\[timeout)|(PRM\|1\|D)|(kpr)|(kdp))" /e /r /s</v>
      </c>
      <c r="AG188" s="1" t="str">
        <f t="shared" si="54"/>
        <v>NW</v>
      </c>
      <c r="AH188" s="100" t="str">
        <f t="shared" si="55"/>
        <v>"%USERPROFILE%\Documents\GitHub\eaglep3\Utilities\RefineRTDCRunTimes.py" --tripid 831-25 --locoid 4038 --swversion DE.1.0.7.0 --startMP 204:934 --initTime 2016-08-25T16:28:31 --startdatetime 2016-08-25T16:51:27 --delay 1 --endMP 300:58928 --enddatetime 2016-08-25T17:05:12 --enforcementcount 1 &gt;&gt;C:\Users\stu\Documents\GitHub\eaglep3-reporting\EC\2016-08-25-refined-times.txt</v>
      </c>
      <c r="AI188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{"issue":{"subject":"","project_id":79,"tracker_id":40,"status_id":1,"priority_id":2,"assigned_to_id":23,"start_date":"2016-08-25","description":"","custom_fields":[{"id":1,"name":"Subdivision","value":"NW"},{"id":4,"name":"Milepost","value":"5.7994"},{"id":17,"name":"Train ID","value":"831-25"},{"id":16,"name":"Locomotive ID","value":"4038"},{"id":130,"name":"Impact","value":""},{"id":150,"name":"Time of Event (Mountain Time)","value":"17:05:12"},{"id":151,"name":"Denver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652</v>
      </c>
      <c r="B189" s="7">
        <v>4037</v>
      </c>
      <c r="C189" s="24" t="s">
        <v>113</v>
      </c>
      <c r="D189" s="24" t="s">
        <v>653</v>
      </c>
      <c r="E189" s="15">
        <v>42607.712916666664</v>
      </c>
      <c r="F189" s="15">
        <v>42607.715416666666</v>
      </c>
      <c r="G189" s="7">
        <v>1</v>
      </c>
      <c r="H189" s="15" t="s">
        <v>228</v>
      </c>
      <c r="I189" s="15">
        <v>42607.727002314816</v>
      </c>
      <c r="J189" s="7">
        <v>1</v>
      </c>
      <c r="K189" s="132" t="str">
        <f t="shared" si="42"/>
        <v>4037/4038</v>
      </c>
      <c r="L189" s="24" t="str">
        <f>VLOOKUP(A189,'Trips&amp;Operators'!$C$1:$E$10000,3,FALSE)</f>
        <v>ISHMAEL</v>
      </c>
      <c r="M189" s="6">
        <f t="shared" si="43"/>
        <v>1.1585648149775807E-2</v>
      </c>
      <c r="N189" s="7">
        <f t="shared" si="61"/>
        <v>16.683333335677162</v>
      </c>
      <c r="O189" s="7"/>
      <c r="P189" s="7"/>
      <c r="Q189" s="25"/>
      <c r="R189" s="25"/>
      <c r="S189" s="37">
        <f t="shared" si="44"/>
        <v>1</v>
      </c>
      <c r="T189" s="52" t="str">
        <f t="shared" si="45"/>
        <v>Southbound</v>
      </c>
      <c r="U189" s="12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16:06:36-0600',mode:absolute,to:'2016-08-25 18:26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89" s="54" t="str">
        <f t="shared" si="47"/>
        <v>N</v>
      </c>
      <c r="X189" s="120">
        <f t="shared" si="62"/>
        <v>1</v>
      </c>
      <c r="Y189" s="69">
        <f t="shared" si="48"/>
        <v>5.8609</v>
      </c>
      <c r="Z189" s="69">
        <f t="shared" si="49"/>
        <v>6.7799999999999999E-2</v>
      </c>
      <c r="AA189" s="69">
        <f t="shared" si="50"/>
        <v>5.7930999999999999</v>
      </c>
      <c r="AB189" s="66" t="e">
        <f>VLOOKUP(A189,Enforcements!$C$7:$J$21,8,0)</f>
        <v>#N/A</v>
      </c>
      <c r="AC189" s="62" t="e">
        <f>VLOOKUP(A189,Enforcements!$C$7:$E$21,3,0)</f>
        <v>#N/A</v>
      </c>
      <c r="AD189" s="63" t="str">
        <f t="shared" si="51"/>
        <v>0832-25</v>
      </c>
      <c r="AE189" s="99" t="str">
        <f t="shared" si="52"/>
        <v>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 &amp; 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</v>
      </c>
      <c r="AF189" s="96" t="str">
        <f t="shared" si="53"/>
        <v>"C:\Program Files (x86)\AstroGrep\AstroGrep.exe" /spath="%USERPROFILE%\AppData\Local\Temp\OnboardLogs" /stypes="*4037*20160825*" /stext=" 23:.+((SYSTEM_STATE.+slice.+state.+changed )|(ment ac)|(system.+state.+changed )|(\|lc)|(penalty)|(\[timeout)|(PRM\|1\|D)|(kpr)|(kdp))" /e /r /s</v>
      </c>
      <c r="AG189" s="1" t="str">
        <f t="shared" si="54"/>
        <v>NW</v>
      </c>
      <c r="AH189" s="100" t="str">
        <f t="shared" si="55"/>
        <v>"%USERPROFILE%\Documents\GitHub\eaglep3\Utilities\RefineRTDCRunTimes.py" --tripid 832-25 --locoid 4037 --swversion DE.1.0.7.0 --startMP 300:58609 --initTime 2016-08-25T17:06:36 --startdatetime 2016-08-25T17:10:12 --delay 1 --endMP 204:678 --enddatetime 2016-08-25T17:26:53 --enforcementcount 1 &gt;&gt;C:\Users\stu\Documents\GitHub\eaglep3-reporting\EC\2016-08-25-refined-times.txt</v>
      </c>
      <c r="AI189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{"issue":{"subject":"","project_id":79,"tracker_id":40,"status_id":1,"priority_id":2,"assigned_to_id":23,"start_date":"2016-08-25","description":"","custom_fields":[{"id":1,"name":"Subdivision","value":"NW"},{"id":4,"name":"Milepost","value":"5.7931"},{"id":17,"name":"Train ID","value":"832-25"},{"id":16,"name":"Locomotive ID","value":"4037"},{"id":130,"name":"Impact","value":""},{"id":150,"name":"Time of Event (Mountain Time)","value":"17:26:53"},{"id":151,"name":"Denver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654</v>
      </c>
      <c r="B190" s="7">
        <v>4014</v>
      </c>
      <c r="C190" s="24" t="s">
        <v>113</v>
      </c>
      <c r="D190" s="24" t="s">
        <v>655</v>
      </c>
      <c r="E190" s="15">
        <v>42607.719351851854</v>
      </c>
      <c r="F190" s="15">
        <v>42607.723495370374</v>
      </c>
      <c r="G190" s="7">
        <v>1</v>
      </c>
      <c r="H190" s="15" t="s">
        <v>656</v>
      </c>
      <c r="I190" s="15">
        <v>42607.733993055554</v>
      </c>
      <c r="J190" s="7">
        <v>1</v>
      </c>
      <c r="K190" s="132" t="str">
        <f t="shared" si="42"/>
        <v>4013/4014</v>
      </c>
      <c r="L190" s="24" t="str">
        <f>VLOOKUP(A190,'Trips&amp;Operators'!$C$1:$E$10000,3,FALSE)</f>
        <v>BROWN</v>
      </c>
      <c r="M190" s="6">
        <f t="shared" si="43"/>
        <v>1.0497685179871041E-2</v>
      </c>
      <c r="N190" s="7">
        <f t="shared" si="61"/>
        <v>15.1166666590143</v>
      </c>
      <c r="O190" s="7"/>
      <c r="P190" s="7"/>
      <c r="Q190" s="25"/>
      <c r="R190" s="25"/>
      <c r="S190" s="37">
        <f t="shared" si="44"/>
        <v>1</v>
      </c>
      <c r="T190" s="52" t="str">
        <f t="shared" si="45"/>
        <v>NorthBound</v>
      </c>
      <c r="U190" s="12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16:15:52-0600',mode:absolute,to:'2016-08-25 18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0" s="54" t="str">
        <f t="shared" si="47"/>
        <v>N</v>
      </c>
      <c r="X190" s="120">
        <f t="shared" si="62"/>
        <v>1</v>
      </c>
      <c r="Y190" s="69">
        <f t="shared" si="48"/>
        <v>9.1999999999999998E-2</v>
      </c>
      <c r="Z190" s="69">
        <f t="shared" si="49"/>
        <v>5.8930999999999996</v>
      </c>
      <c r="AA190" s="69">
        <f t="shared" si="50"/>
        <v>5.8010999999999999</v>
      </c>
      <c r="AB190" s="66" t="e">
        <f>VLOOKUP(A190,Enforcements!$C$7:$J$21,8,0)</f>
        <v>#N/A</v>
      </c>
      <c r="AC190" s="62" t="e">
        <f>VLOOKUP(A190,Enforcements!$C$7:$E$21,3,0)</f>
        <v>#N/A</v>
      </c>
      <c r="AD190" s="63" t="str">
        <f t="shared" si="51"/>
        <v>0833-25</v>
      </c>
      <c r="AE190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90" s="96" t="str">
        <f t="shared" si="53"/>
        <v>"C:\Program Files (x86)\AstroGrep\AstroGrep.exe" /spath="%USERPROFILE%\AppData\Local\Temp\OnboardLogs" /stypes="*4014*20160825*" /stext=" 23:.+((SYSTEM_STATE.+slice.+state.+changed )|(ment ac)|(system.+state.+changed )|(\|lc)|(penalty)|(\[timeout)|(PRM\|1\|D)|(kpr)|(kdp))" /e /r /s</v>
      </c>
      <c r="AG190" s="1" t="str">
        <f t="shared" si="54"/>
        <v>NW</v>
      </c>
      <c r="AH190" s="100" t="str">
        <f t="shared" si="55"/>
        <v>"%USERPROFILE%\Documents\GitHub\eaglep3\Utilities\RefineRTDCRunTimes.py" --tripid 833-25 --locoid 4014 --swversion DE.1.0.7.0 --startMP 204:920 --initTime 2016-08-25T17:15:52 --startdatetime 2016-08-25T17:21:50 --delay 1 --endMP 300:58931 --enddatetime 2016-08-25T17:36:57 --enforcementcount 1 &gt;&gt;C:\Users\stu\Documents\GitHub\eaglep3-reporting\EC\2016-08-25-refined-times.txt</v>
      </c>
      <c r="AI190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{"issue":{"subject":"","project_id":79,"tracker_id":40,"status_id":1,"priority_id":2,"assigned_to_id":23,"start_date":"2016-08-25","description":"","custom_fields":[{"id":1,"name":"Subdivision","value":"NW"},{"id":4,"name":"Milepost","value":"5.8011"},{"id":17,"name":"Train ID","value":"833-25"},{"id":16,"name":"Locomotive ID","value":"4014"},{"id":130,"name":"Impact","value":""},{"id":150,"name":"Time of Event (Mountain Time)","value":"17:36:57"},{"id":151,"name":"Denver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657</v>
      </c>
      <c r="B191" s="7">
        <v>4013</v>
      </c>
      <c r="C191" s="24" t="s">
        <v>113</v>
      </c>
      <c r="D191" s="24" t="s">
        <v>202</v>
      </c>
      <c r="E191" s="15">
        <v>42607.734976851854</v>
      </c>
      <c r="F191" s="15">
        <v>42607.73641203704</v>
      </c>
      <c r="G191" s="7">
        <v>1</v>
      </c>
      <c r="H191" s="15" t="s">
        <v>658</v>
      </c>
      <c r="I191" s="15">
        <v>42607.7502662037</v>
      </c>
      <c r="J191" s="7">
        <v>1</v>
      </c>
      <c r="K191" s="132" t="str">
        <f t="shared" si="42"/>
        <v>4013/4014</v>
      </c>
      <c r="L191" s="24" t="str">
        <f>VLOOKUP(A191,'Trips&amp;Operators'!$C$1:$E$10000,3,FALSE)</f>
        <v>BROWN</v>
      </c>
      <c r="M191" s="6">
        <f t="shared" si="43"/>
        <v>1.3854166660166811E-2</v>
      </c>
      <c r="N191" s="7">
        <f t="shared" si="61"/>
        <v>19.949999990640208</v>
      </c>
      <c r="O191" s="7"/>
      <c r="P191" s="7"/>
      <c r="Q191" s="25"/>
      <c r="R191" s="25"/>
      <c r="S191" s="37">
        <f t="shared" si="44"/>
        <v>1</v>
      </c>
      <c r="T191" s="52" t="str">
        <f t="shared" si="45"/>
        <v>Southbound</v>
      </c>
      <c r="U191" s="12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16:38:22-0600',mode:absolute,to:'2016-08-25 19:00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91" s="54" t="str">
        <f t="shared" si="47"/>
        <v>N</v>
      </c>
      <c r="X191" s="120">
        <f t="shared" si="62"/>
        <v>1</v>
      </c>
      <c r="Y191" s="69">
        <f t="shared" si="48"/>
        <v>5.8619000000000003</v>
      </c>
      <c r="Z191" s="69">
        <f t="shared" si="49"/>
        <v>7.6100000000000001E-2</v>
      </c>
      <c r="AA191" s="69">
        <f t="shared" si="50"/>
        <v>5.7858000000000001</v>
      </c>
      <c r="AB191" s="66" t="e">
        <f>VLOOKUP(A191,Enforcements!$C$7:$J$21,8,0)</f>
        <v>#N/A</v>
      </c>
      <c r="AC191" s="62" t="e">
        <f>VLOOKUP(A191,Enforcements!$C$7:$E$21,3,0)</f>
        <v>#N/A</v>
      </c>
      <c r="AD191" s="63" t="str">
        <f t="shared" si="51"/>
        <v>0834-25</v>
      </c>
      <c r="AE191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91" s="96" t="str">
        <f t="shared" si="53"/>
        <v>"C:\Program Files (x86)\AstroGrep\AstroGrep.exe" /spath="%USERPROFILE%\AppData\Local\Temp\OnboardLogs" /stypes="*4013*20160826*" /stext=" 00:.+((SYSTEM_STATE.+slice.+state.+changed )|(ment ac)|(system.+state.+changed )|(\|lc)|(penalty)|(\[timeout)|(PRM\|1\|D)|(kpr)|(kdp))" /e /r /s</v>
      </c>
      <c r="AG191" s="1" t="str">
        <f t="shared" si="54"/>
        <v>NW</v>
      </c>
      <c r="AH191" s="100" t="str">
        <f t="shared" si="55"/>
        <v>"%USERPROFILE%\Documents\GitHub\eaglep3\Utilities\RefineRTDCRunTimes.py" --tripid 834-25 --locoid 4013 --swversion DE.1.0.7.0 --startMP 300:58619 --initTime 2016-08-25T17:38:22 --startdatetime 2016-08-25T17:40:26 --delay 1 --endMP 204:761 --enddatetime 2016-08-25T18:00:23 --enforcementcount 1 &gt;&gt;C:\Users\stu\Documents\GitHub\eaglep3-reporting\EC\2016-08-25-refined-times.txt</v>
      </c>
      <c r="AI191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{"issue":{"subject":"","project_id":79,"tracker_id":40,"status_id":1,"priority_id":2,"assigned_to_id":23,"start_date":"2016-08-25","description":"","custom_fields":[{"id":1,"name":"Subdivision","value":"NW"},{"id":4,"name":"Milepost","value":"5.7858"},{"id":17,"name":"Train ID","value":"834-25"},{"id":16,"name":"Locomotive ID","value":"4013"},{"id":130,"name":"Impact","value":""},{"id":150,"name":"Time of Event (Mountain Time)","value":"18:00:23"},{"id":151,"name":"Denver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659</v>
      </c>
      <c r="B192" s="7">
        <v>4038</v>
      </c>
      <c r="C192" s="24" t="s">
        <v>113</v>
      </c>
      <c r="D192" s="24" t="s">
        <v>660</v>
      </c>
      <c r="E192" s="15">
        <v>42607.741249999999</v>
      </c>
      <c r="F192" s="15">
        <v>42607.744120370371</v>
      </c>
      <c r="G192" s="7">
        <v>1</v>
      </c>
      <c r="H192" s="15" t="s">
        <v>636</v>
      </c>
      <c r="I192" s="15">
        <v>42607.753171296295</v>
      </c>
      <c r="J192" s="7">
        <v>1</v>
      </c>
      <c r="K192" s="132" t="str">
        <f t="shared" si="42"/>
        <v>4037/4038</v>
      </c>
      <c r="L192" s="24" t="str">
        <f>VLOOKUP(A192,'Trips&amp;Operators'!$C$1:$E$10000,3,FALSE)</f>
        <v>YANAI</v>
      </c>
      <c r="M192" s="6">
        <f t="shared" si="43"/>
        <v>9.0509259243845008E-3</v>
      </c>
      <c r="N192" s="7">
        <f t="shared" si="61"/>
        <v>13.033333331113681</v>
      </c>
      <c r="O192" s="7"/>
      <c r="P192" s="7"/>
      <c r="Q192" s="25"/>
      <c r="R192" s="25"/>
      <c r="S192" s="37">
        <f t="shared" si="44"/>
        <v>1</v>
      </c>
      <c r="T192" s="52" t="str">
        <f t="shared" si="45"/>
        <v>NorthBound</v>
      </c>
      <c r="U192" s="12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16:47:24-0600',mode:absolute,to:'2016-08-25 19:04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92" s="54" t="str">
        <f t="shared" si="47"/>
        <v>N</v>
      </c>
      <c r="X192" s="120">
        <f t="shared" si="62"/>
        <v>1</v>
      </c>
      <c r="Y192" s="69">
        <f t="shared" si="48"/>
        <v>9.5799999999999996E-2</v>
      </c>
      <c r="Z192" s="69">
        <f t="shared" si="49"/>
        <v>5.8939000000000004</v>
      </c>
      <c r="AA192" s="69">
        <f t="shared" si="50"/>
        <v>5.7981000000000007</v>
      </c>
      <c r="AB192" s="66" t="e">
        <f>VLOOKUP(A192,Enforcements!$C$7:$J$21,8,0)</f>
        <v>#N/A</v>
      </c>
      <c r="AC192" s="62" t="e">
        <f>VLOOKUP(A192,Enforcements!$C$7:$E$21,3,0)</f>
        <v>#N/A</v>
      </c>
      <c r="AD192" s="63" t="str">
        <f t="shared" si="51"/>
        <v>0835-25</v>
      </c>
      <c r="AE192" s="99" t="str">
        <f t="shared" si="52"/>
        <v>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 &amp; 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</v>
      </c>
      <c r="AF192" s="96" t="str">
        <f t="shared" si="53"/>
        <v>"C:\Program Files (x86)\AstroGrep\AstroGrep.exe" /spath="%USERPROFILE%\AppData\Local\Temp\OnboardLogs" /stypes="*4038*20160826*" /stext=" 00:.+((SYSTEM_STATE.+slice.+state.+changed )|(ment ac)|(system.+state.+changed )|(\|lc)|(penalty)|(\[timeout)|(PRM\|1\|D)|(kpr)|(kdp))" /e /r /s</v>
      </c>
      <c r="AG192" s="1" t="str">
        <f t="shared" si="54"/>
        <v>NW</v>
      </c>
      <c r="AH192" s="100" t="str">
        <f t="shared" si="55"/>
        <v>"%USERPROFILE%\Documents\GitHub\eaglep3\Utilities\RefineRTDCRunTimes.py" --tripid 835-25 --locoid 4038 --swversion DE.1.0.7.0 --startMP 204:958 --initTime 2016-08-25T17:47:24 --startdatetime 2016-08-25T17:51:32 --delay 1 --endMP 300:58939 --enddatetime 2016-08-25T18:04:34 --enforcementcount 1 &gt;&gt;C:\Users\stu\Documents\GitHub\eaglep3-reporting\EC\2016-08-25-refined-times.txt</v>
      </c>
      <c r="AI192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{"issue":{"subject":"","project_id":79,"tracker_id":40,"status_id":1,"priority_id":2,"assigned_to_id":23,"start_date":"2016-08-25","description":"","custom_fields":[{"id":1,"name":"Subdivision","value":"NW"},{"id":4,"name":"Milepost","value":"5.7981"},{"id":17,"name":"Train ID","value":"835-25"},{"id":16,"name":"Locomotive ID","value":"4038"},{"id":130,"name":"Impact","value":""},{"id":150,"name":"Time of Event (Mountain Time)","value":"18:04:34"},{"id":151,"name":"Denver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661</v>
      </c>
      <c r="B193" s="7">
        <v>4037</v>
      </c>
      <c r="C193" s="24" t="s">
        <v>113</v>
      </c>
      <c r="D193" s="24" t="s">
        <v>617</v>
      </c>
      <c r="E193" s="15">
        <v>42607.754236111112</v>
      </c>
      <c r="F193" s="15">
        <v>42607.75577546296</v>
      </c>
      <c r="G193" s="7">
        <v>1</v>
      </c>
      <c r="H193" s="15" t="s">
        <v>662</v>
      </c>
      <c r="I193" s="15">
        <v>42607.768321759257</v>
      </c>
      <c r="J193" s="7">
        <v>1</v>
      </c>
      <c r="K193" s="132" t="str">
        <f t="shared" si="42"/>
        <v>4037/4038</v>
      </c>
      <c r="L193" s="24" t="str">
        <f>VLOOKUP(A193,'Trips&amp;Operators'!$C$1:$E$10000,3,FALSE)</f>
        <v>YANAI</v>
      </c>
      <c r="M193" s="6">
        <f t="shared" si="43"/>
        <v>1.2546296296932269E-2</v>
      </c>
      <c r="N193" s="7">
        <f t="shared" si="61"/>
        <v>18.066666667582467</v>
      </c>
      <c r="O193" s="7"/>
      <c r="P193" s="7"/>
      <c r="Q193" s="25"/>
      <c r="R193" s="25"/>
      <c r="S193" s="37">
        <f t="shared" si="44"/>
        <v>1</v>
      </c>
      <c r="T193" s="52" t="str">
        <f t="shared" si="45"/>
        <v>Southbound</v>
      </c>
      <c r="U193" s="12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17:06:06-0600',mode:absolute,to:'2016-08-25 19:26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93" s="54" t="str">
        <f t="shared" si="47"/>
        <v>N</v>
      </c>
      <c r="X193" s="120">
        <f t="shared" si="62"/>
        <v>1</v>
      </c>
      <c r="Y193" s="69">
        <f t="shared" si="48"/>
        <v>5.8630000000000004</v>
      </c>
      <c r="Z193" s="69">
        <f t="shared" si="49"/>
        <v>6.5199999999999994E-2</v>
      </c>
      <c r="AA193" s="69">
        <f t="shared" si="50"/>
        <v>5.7978000000000005</v>
      </c>
      <c r="AB193" s="66" t="e">
        <f>VLOOKUP(A193,Enforcements!$C$7:$J$21,8,0)</f>
        <v>#N/A</v>
      </c>
      <c r="AC193" s="62" t="e">
        <f>VLOOKUP(A193,Enforcements!$C$7:$E$21,3,0)</f>
        <v>#N/A</v>
      </c>
      <c r="AD193" s="63" t="str">
        <f t="shared" si="51"/>
        <v>0836-25</v>
      </c>
      <c r="AE193" s="99" t="str">
        <f t="shared" si="52"/>
        <v>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 &amp; 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</v>
      </c>
      <c r="AF193" s="96" t="str">
        <f t="shared" si="53"/>
        <v>"C:\Program Files (x86)\AstroGrep\AstroGrep.exe" /spath="%USERPROFILE%\AppData\Local\Temp\OnboardLogs" /stypes="*4037*20160826*" /stext=" 00:.+((SYSTEM_STATE.+slice.+state.+changed )|(ment ac)|(system.+state.+changed )|(\|lc)|(penalty)|(\[timeout)|(PRM\|1\|D)|(kpr)|(kdp))" /e /r /s</v>
      </c>
      <c r="AG193" s="1" t="str">
        <f t="shared" si="54"/>
        <v>NW</v>
      </c>
      <c r="AH193" s="100" t="str">
        <f t="shared" si="55"/>
        <v>"%USERPROFILE%\Documents\GitHub\eaglep3\Utilities\RefineRTDCRunTimes.py" --tripid 836-25 --locoid 4037 --swversion DE.1.0.7.0 --startMP 300:58630 --initTime 2016-08-25T18:06:06 --startdatetime 2016-08-25T18:08:19 --delay 1 --endMP 204:652 --enddatetime 2016-08-25T18:26:23 --enforcementcount 1 &gt;&gt;C:\Users\stu\Documents\GitHub\eaglep3-reporting\EC\2016-08-25-refined-times.txt</v>
      </c>
      <c r="AI193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{"issue":{"subject":"","project_id":79,"tracker_id":40,"status_id":1,"priority_id":2,"assigned_to_id":23,"start_date":"2016-08-25","description":"","custom_fields":[{"id":1,"name":"Subdivision","value":"NW"},{"id":4,"name":"Milepost","value":"5.7978"},{"id":17,"name":"Train ID","value":"836-25"},{"id":16,"name":"Locomotive ID","value":"4037"},{"id":130,"name":"Impact","value":""},{"id":150,"name":"Time of Event (Mountain Time)","value":"18:26:23"},{"id":151,"name":"Denver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663</v>
      </c>
      <c r="B194" s="7">
        <v>4014</v>
      </c>
      <c r="C194" s="24" t="s">
        <v>113</v>
      </c>
      <c r="D194" s="24" t="s">
        <v>664</v>
      </c>
      <c r="E194" s="15">
        <v>42607.759571759256</v>
      </c>
      <c r="F194" s="15">
        <v>42607.764826388891</v>
      </c>
      <c r="G194" s="7">
        <v>1</v>
      </c>
      <c r="H194" s="15" t="s">
        <v>582</v>
      </c>
      <c r="I194" s="15">
        <v>42607.774780092594</v>
      </c>
      <c r="J194" s="7">
        <v>1</v>
      </c>
      <c r="K194" s="132" t="str">
        <f t="shared" si="42"/>
        <v>4013/4014</v>
      </c>
      <c r="L194" s="24" t="str">
        <f>VLOOKUP(A194,'Trips&amp;Operators'!$C$1:$E$10000,3,FALSE)</f>
        <v>BROWN</v>
      </c>
      <c r="M194" s="6">
        <f t="shared" si="43"/>
        <v>9.9537037021946162E-3</v>
      </c>
      <c r="N194" s="7">
        <f t="shared" si="61"/>
        <v>14.333333331160247</v>
      </c>
      <c r="O194" s="7"/>
      <c r="P194" s="7"/>
      <c r="Q194" s="25"/>
      <c r="R194" s="25"/>
      <c r="S194" s="37">
        <f t="shared" si="44"/>
        <v>1</v>
      </c>
      <c r="T194" s="52" t="str">
        <f t="shared" si="45"/>
        <v>NorthBound</v>
      </c>
      <c r="U194" s="12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17:13:47-0600',mode:absolute,to:'2016-08-25 19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4" s="54" t="str">
        <f t="shared" si="47"/>
        <v>N</v>
      </c>
      <c r="X194" s="120">
        <f t="shared" si="62"/>
        <v>1</v>
      </c>
      <c r="Y194" s="69">
        <f t="shared" si="48"/>
        <v>0.1055</v>
      </c>
      <c r="Z194" s="69">
        <f t="shared" si="49"/>
        <v>5.8943000000000003</v>
      </c>
      <c r="AA194" s="69">
        <f t="shared" si="50"/>
        <v>5.7888000000000002</v>
      </c>
      <c r="AB194" s="66" t="e">
        <f>VLOOKUP(A194,Enforcements!$C$7:$J$21,8,0)</f>
        <v>#N/A</v>
      </c>
      <c r="AC194" s="62" t="e">
        <f>VLOOKUP(A194,Enforcements!$C$7:$E$21,3,0)</f>
        <v>#N/A</v>
      </c>
      <c r="AD194" s="63" t="str">
        <f t="shared" si="51"/>
        <v>0837-25</v>
      </c>
      <c r="AE194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94" s="96" t="str">
        <f t="shared" si="53"/>
        <v>"C:\Program Files (x86)\AstroGrep\AstroGrep.exe" /spath="%USERPROFILE%\AppData\Local\Temp\OnboardLogs" /stypes="*4014*20160826*" /stext=" 00:.+((SYSTEM_STATE.+slice.+state.+changed )|(ment ac)|(system.+state.+changed )|(\|lc)|(penalty)|(\[timeout)|(PRM\|1\|D)|(kpr)|(kdp))" /e /r /s</v>
      </c>
      <c r="AG194" s="1" t="str">
        <f t="shared" si="54"/>
        <v>NW</v>
      </c>
      <c r="AH194" s="100" t="str">
        <f t="shared" si="55"/>
        <v>"%USERPROFILE%\Documents\GitHub\eaglep3\Utilities\RefineRTDCRunTimes.py" --tripid 837-25 --locoid 4014 --swversion DE.1.0.7.0 --startMP 204:1055 --initTime 2016-08-25T18:13:47 --startdatetime 2016-08-25T18:21:21 --delay 1 --endMP 300:58943 --enddatetime 2016-08-25T18:35:41 --enforcementcount 1 &gt;&gt;C:\Users\stu\Documents\GitHub\eaglep3-reporting\EC\2016-08-25-refined-times.txt</v>
      </c>
      <c r="AI194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{"issue":{"subject":"","project_id":79,"tracker_id":40,"status_id":1,"priority_id":2,"assigned_to_id":23,"start_date":"2016-08-25","description":"","custom_fields":[{"id":1,"name":"Subdivision","value":"NW"},{"id":4,"name":"Milepost","value":"5.7888"},{"id":17,"name":"Train ID","value":"837-25"},{"id":16,"name":"Locomotive ID","value":"4014"},{"id":130,"name":"Impact","value":""},{"id":150,"name":"Time of Event (Mountain Time)","value":"18:35:41"},{"id":151,"name":"Denver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665</v>
      </c>
      <c r="B195" s="7">
        <v>4013</v>
      </c>
      <c r="C195" s="24" t="s">
        <v>113</v>
      </c>
      <c r="D195" s="24" t="s">
        <v>628</v>
      </c>
      <c r="E195" s="15">
        <v>42607.775775462964</v>
      </c>
      <c r="F195" s="15">
        <v>42607.777326388888</v>
      </c>
      <c r="G195" s="7">
        <v>1</v>
      </c>
      <c r="H195" s="15" t="s">
        <v>666</v>
      </c>
      <c r="I195" s="15">
        <v>42607.791006944448</v>
      </c>
      <c r="J195" s="7">
        <v>1</v>
      </c>
      <c r="K195" s="132" t="str">
        <f t="shared" si="42"/>
        <v>4013/4014</v>
      </c>
      <c r="L195" s="24" t="str">
        <f>VLOOKUP(A195,'Trips&amp;Operators'!$C$1:$E$10000,3,FALSE)</f>
        <v>BROWN</v>
      </c>
      <c r="M195" s="6">
        <f t="shared" si="43"/>
        <v>1.3680555559403729E-2</v>
      </c>
      <c r="N195" s="7">
        <f t="shared" si="61"/>
        <v>19.700000005541369</v>
      </c>
      <c r="O195" s="7"/>
      <c r="P195" s="7"/>
      <c r="Q195" s="25"/>
      <c r="R195" s="25"/>
      <c r="S195" s="37">
        <f t="shared" si="44"/>
        <v>1</v>
      </c>
      <c r="T195" s="52" t="str">
        <f t="shared" si="45"/>
        <v>Southbound</v>
      </c>
      <c r="U195" s="12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17:37:07-0600',mode:absolute,to:'2016-08-25 19:59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95" s="54" t="str">
        <f t="shared" si="47"/>
        <v>N</v>
      </c>
      <c r="X195" s="120">
        <f t="shared" si="62"/>
        <v>1</v>
      </c>
      <c r="Y195" s="69">
        <f t="shared" si="48"/>
        <v>5.8632</v>
      </c>
      <c r="Z195" s="69">
        <f t="shared" si="49"/>
        <v>7.4499999999999997E-2</v>
      </c>
      <c r="AA195" s="69">
        <f t="shared" si="50"/>
        <v>5.7887000000000004</v>
      </c>
      <c r="AB195" s="66" t="e">
        <f>VLOOKUP(A195,Enforcements!$C$7:$J$21,8,0)</f>
        <v>#N/A</v>
      </c>
      <c r="AC195" s="62" t="e">
        <f>VLOOKUP(A195,Enforcements!$C$7:$E$21,3,0)</f>
        <v>#N/A</v>
      </c>
      <c r="AD195" s="63" t="str">
        <f t="shared" si="51"/>
        <v>0838-25</v>
      </c>
      <c r="AE195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95" s="96" t="str">
        <f t="shared" si="53"/>
        <v>"C:\Program Files (x86)\AstroGrep\AstroGrep.exe" /spath="%USERPROFILE%\AppData\Local\Temp\OnboardLogs" /stypes="*4013*20160826*" /stext=" 00:.+((SYSTEM_STATE.+slice.+state.+changed )|(ment ac)|(system.+state.+changed )|(\|lc)|(penalty)|(\[timeout)|(PRM\|1\|D)|(kpr)|(kdp))" /e /r /s</v>
      </c>
      <c r="AG195" s="1" t="str">
        <f t="shared" si="54"/>
        <v>NW</v>
      </c>
      <c r="AH195" s="100" t="str">
        <f t="shared" si="55"/>
        <v>"%USERPROFILE%\Documents\GitHub\eaglep3\Utilities\RefineRTDCRunTimes.py" --tripid 838-25 --locoid 4013 --swversion DE.1.0.7.0 --startMP 300:58632 --initTime 2016-08-25T18:37:07 --startdatetime 2016-08-25T18:39:21 --delay 1 --endMP 204:745 --enddatetime 2016-08-25T18:59:03 --enforcementcount 1 &gt;&gt;C:\Users\stu\Documents\GitHub\eaglep3-reporting\EC\2016-08-25-refined-times.txt</v>
      </c>
      <c r="AI195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{"issue":{"subject":"","project_id":79,"tracker_id":40,"status_id":1,"priority_id":2,"assigned_to_id":23,"start_date":"2016-08-25","description":"","custom_fields":[{"id":1,"name":"Subdivision","value":"NW"},{"id":4,"name":"Milepost","value":"5.7887"},{"id":17,"name":"Train ID","value":"838-25"},{"id":16,"name":"Locomotive ID","value":"4013"},{"id":130,"name":"Impact","value":""},{"id":150,"name":"Time of Event (Mountain Time)","value":"18:59:03"},{"id":151,"name":"Denver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667</v>
      </c>
      <c r="B196" s="7">
        <v>4038</v>
      </c>
      <c r="C196" s="24" t="s">
        <v>113</v>
      </c>
      <c r="D196" s="24" t="s">
        <v>341</v>
      </c>
      <c r="E196" s="15">
        <v>42607.782962962963</v>
      </c>
      <c r="F196" s="15">
        <v>42607.785613425927</v>
      </c>
      <c r="G196" s="7">
        <v>1</v>
      </c>
      <c r="H196" s="15" t="s">
        <v>668</v>
      </c>
      <c r="I196" s="15">
        <v>42607.794895833336</v>
      </c>
      <c r="J196" s="7">
        <v>1</v>
      </c>
      <c r="K196" s="132" t="str">
        <f t="shared" si="42"/>
        <v>4037/4038</v>
      </c>
      <c r="L196" s="24" t="str">
        <f>VLOOKUP(A196,'Trips&amp;Operators'!$C$1:$E$10000,3,FALSE)</f>
        <v>YANAI</v>
      </c>
      <c r="M196" s="6">
        <f t="shared" si="43"/>
        <v>9.2824074090458453E-3</v>
      </c>
      <c r="N196" s="7">
        <f t="shared" si="61"/>
        <v>13.366666669026017</v>
      </c>
      <c r="O196" s="7"/>
      <c r="P196" s="7"/>
      <c r="Q196" s="25"/>
      <c r="R196" s="25"/>
      <c r="S196" s="37">
        <f t="shared" si="44"/>
        <v>1</v>
      </c>
      <c r="T196" s="52" t="str">
        <f t="shared" si="45"/>
        <v>NorthBound</v>
      </c>
      <c r="U196" s="12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17:47:28-0600',mode:absolute,to:'2016-08-25 20:04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96" s="54" t="str">
        <f t="shared" si="47"/>
        <v>N</v>
      </c>
      <c r="X196" s="120">
        <f t="shared" si="62"/>
        <v>1</v>
      </c>
      <c r="Y196" s="69">
        <f t="shared" si="48"/>
        <v>9.3600000000000003E-2</v>
      </c>
      <c r="Z196" s="69">
        <f t="shared" si="49"/>
        <v>5.8945999999999996</v>
      </c>
      <c r="AA196" s="69">
        <f t="shared" si="50"/>
        <v>5.8009999999999993</v>
      </c>
      <c r="AB196" s="66" t="e">
        <f>VLOOKUP(A196,Enforcements!$C$7:$J$21,8,0)</f>
        <v>#N/A</v>
      </c>
      <c r="AC196" s="62" t="e">
        <f>VLOOKUP(A196,Enforcements!$C$7:$E$21,3,0)</f>
        <v>#N/A</v>
      </c>
      <c r="AD196" s="63" t="str">
        <f t="shared" si="51"/>
        <v>0839-25</v>
      </c>
      <c r="AE196" s="99" t="str">
        <f t="shared" si="52"/>
        <v>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 &amp; 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</v>
      </c>
      <c r="AF196" s="96" t="str">
        <f t="shared" si="53"/>
        <v>"C:\Program Files (x86)\AstroGrep\AstroGrep.exe" /spath="%USERPROFILE%\AppData\Local\Temp\OnboardLogs" /stypes="*4038*20160826*" /stext=" 01:.+((SYSTEM_STATE.+slice.+state.+changed )|(ment ac)|(system.+state.+changed )|(\|lc)|(penalty)|(\[timeout)|(PRM\|1\|D)|(kpr)|(kdp))" /e /r /s</v>
      </c>
      <c r="AG196" s="1" t="str">
        <f t="shared" si="54"/>
        <v>NW</v>
      </c>
      <c r="AH196" s="100" t="str">
        <f t="shared" si="55"/>
        <v>"%USERPROFILE%\Documents\GitHub\eaglep3\Utilities\RefineRTDCRunTimes.py" --tripid 839-25 --locoid 4038 --swversion DE.1.0.7.0 --startMP 204:936 --initTime 2016-08-25T18:47:28 --startdatetime 2016-08-25T18:51:17 --delay 1 --endMP 300:58946 --enddatetime 2016-08-25T19:04:39 --enforcementcount 1 &gt;&gt;C:\Users\stu\Documents\GitHub\eaglep3-reporting\EC\2016-08-25-refined-times.txt</v>
      </c>
      <c r="AI196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{"issue":{"subject":"","project_id":79,"tracker_id":40,"status_id":1,"priority_id":2,"assigned_to_id":23,"start_date":"2016-08-25","description":"","custom_fields":[{"id":1,"name":"Subdivision","value":"NW"},{"id":4,"name":"Milepost","value":"5.801"},{"id":17,"name":"Train ID","value":"839-25"},{"id":16,"name":"Locomotive ID","value":"4038"},{"id":130,"name":"Impact","value":""},{"id":150,"name":"Time of Event (Mountain Time)","value":"19:04:39"},{"id":151,"name":"Denver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669</v>
      </c>
      <c r="B197" s="7">
        <v>4013</v>
      </c>
      <c r="C197" s="24" t="s">
        <v>113</v>
      </c>
      <c r="D197" s="24" t="s">
        <v>670</v>
      </c>
      <c r="E197" s="15">
        <v>42607.823541666665</v>
      </c>
      <c r="F197" s="15">
        <v>42607.82472222222</v>
      </c>
      <c r="G197" s="7">
        <v>1</v>
      </c>
      <c r="H197" s="15" t="s">
        <v>671</v>
      </c>
      <c r="I197" s="15">
        <v>42607.834537037037</v>
      </c>
      <c r="J197" s="7">
        <v>1</v>
      </c>
      <c r="K197" s="132" t="str">
        <f t="shared" si="42"/>
        <v>4013/4014</v>
      </c>
      <c r="L197" s="24" t="str">
        <f>VLOOKUP(A197,'Trips&amp;Operators'!$C$1:$E$10000,3,FALSE)</f>
        <v>BROWN</v>
      </c>
      <c r="M197" s="6">
        <f t="shared" si="43"/>
        <v>9.8148148172185756E-3</v>
      </c>
      <c r="N197" s="7">
        <f t="shared" si="61"/>
        <v>14.133333336794749</v>
      </c>
      <c r="O197" s="7"/>
      <c r="P197" s="7"/>
      <c r="Q197" s="25"/>
      <c r="R197" s="25"/>
      <c r="S197" s="37">
        <f t="shared" si="44"/>
        <v>1</v>
      </c>
      <c r="T197" s="52" t="str">
        <f t="shared" si="45"/>
        <v>Southbound</v>
      </c>
      <c r="U197" s="12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18:45:54-0600',mode:absolute,to:'2016-08-25 21:01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97" s="54" t="str">
        <f t="shared" si="47"/>
        <v>N</v>
      </c>
      <c r="X197" s="120">
        <f t="shared" si="62"/>
        <v>1</v>
      </c>
      <c r="Y197" s="69">
        <f t="shared" si="48"/>
        <v>5.7355999999999998</v>
      </c>
      <c r="Z197" s="69">
        <f t="shared" si="49"/>
        <v>7.7600000000000002E-2</v>
      </c>
      <c r="AA197" s="69">
        <f t="shared" si="50"/>
        <v>5.6579999999999995</v>
      </c>
      <c r="AB197" s="66" t="e">
        <f>VLOOKUP(A197,Enforcements!$C$7:$J$21,8,0)</f>
        <v>#N/A</v>
      </c>
      <c r="AC197" s="62" t="e">
        <f>VLOOKUP(A197,Enforcements!$C$7:$E$21,3,0)</f>
        <v>#N/A</v>
      </c>
      <c r="AD197" s="63" t="str">
        <f t="shared" si="51"/>
        <v>0840-25</v>
      </c>
      <c r="AE197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97" s="96" t="str">
        <f t="shared" si="53"/>
        <v>"C:\Program Files (x86)\AstroGrep\AstroGrep.exe" /spath="%USERPROFILE%\AppData\Local\Temp\OnboardLogs" /stypes="*4013*20160826*" /stext=" 02:.+((SYSTEM_STATE.+slice.+state.+changed )|(ment ac)|(system.+state.+changed )|(\|lc)|(penalty)|(\[timeout)|(PRM\|1\|D)|(kpr)|(kdp))" /e /r /s</v>
      </c>
      <c r="AG197" s="1" t="str">
        <f t="shared" si="54"/>
        <v>NW</v>
      </c>
      <c r="AH197" s="100" t="str">
        <f t="shared" si="55"/>
        <v>"%USERPROFILE%\Documents\GitHub\eaglep3\Utilities\RefineRTDCRunTimes.py" --tripid 840-25 --locoid 4013 --swversion DE.1.0.7.0 --startMP 300:57356 --initTime 2016-08-25T19:45:54 --startdatetime 2016-08-25T19:47:36 --delay 1 --endMP 204:776 --enddatetime 2016-08-25T20:01:44 --enforcementcount 1 &gt;&gt;C:\Users\stu\Documents\GitHub\eaglep3-reporting\EC\2016-08-25-refined-times.txt</v>
      </c>
      <c r="AI197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{"issue":{"subject":"","project_id":79,"tracker_id":40,"status_id":1,"priority_id":2,"assigned_to_id":23,"start_date":"2016-08-25","description":"","custom_fields":[{"id":1,"name":"Subdivision","value":"NW"},{"id":4,"name":"Milepost","value":"5.658"},{"id":17,"name":"Train ID","value":"840-25"},{"id":16,"name":"Locomotive ID","value":"4013"},{"id":130,"name":"Impact","value":""},{"id":150,"name":"Time of Event (Mountain Time)","value":"20:01:44"},{"id":151,"name":"Denver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672</v>
      </c>
      <c r="B198" s="7">
        <v>4014</v>
      </c>
      <c r="C198" s="24" t="s">
        <v>113</v>
      </c>
      <c r="D198" s="24" t="s">
        <v>673</v>
      </c>
      <c r="E198" s="15">
        <v>42607.798645833333</v>
      </c>
      <c r="F198" s="15">
        <v>42607.82472222222</v>
      </c>
      <c r="G198" s="7">
        <v>2</v>
      </c>
      <c r="H198" s="15" t="s">
        <v>626</v>
      </c>
      <c r="I198" s="15">
        <v>42607.834537037037</v>
      </c>
      <c r="J198" s="7">
        <v>1</v>
      </c>
      <c r="K198" s="132" t="str">
        <f t="shared" si="42"/>
        <v>4013/4014</v>
      </c>
      <c r="L198" s="24" t="str">
        <f>VLOOKUP(A198,'Trips&amp;Operators'!$C$1:$E$10000,3,FALSE)</f>
        <v>BROWN</v>
      </c>
      <c r="M198" s="6">
        <f t="shared" si="43"/>
        <v>9.8148148172185756E-3</v>
      </c>
      <c r="N198" s="7">
        <f t="shared" si="61"/>
        <v>14.133333336794749</v>
      </c>
      <c r="O198" s="7"/>
      <c r="P198" s="7"/>
      <c r="Q198" s="25"/>
      <c r="R198" s="25"/>
      <c r="S198" s="37">
        <f t="shared" si="44"/>
        <v>1</v>
      </c>
      <c r="T198" s="52" t="str">
        <f t="shared" si="45"/>
        <v>NorthBound</v>
      </c>
      <c r="U198" s="12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18:10:03-0600',mode:absolute,to:'2016-08-25 21:01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8" s="54" t="str">
        <f t="shared" si="47"/>
        <v>N</v>
      </c>
      <c r="X198" s="120">
        <f t="shared" si="62"/>
        <v>1</v>
      </c>
      <c r="Y198" s="69">
        <f t="shared" si="48"/>
        <v>0.1042</v>
      </c>
      <c r="Z198" s="69">
        <f t="shared" si="49"/>
        <v>5.8949999999999996</v>
      </c>
      <c r="AA198" s="69">
        <f t="shared" si="50"/>
        <v>5.7907999999999999</v>
      </c>
      <c r="AB198" s="66" t="e">
        <f>VLOOKUP(A198,Enforcements!$C$7:$J$21,8,0)</f>
        <v>#N/A</v>
      </c>
      <c r="AC198" s="62" t="e">
        <f>VLOOKUP(A198,Enforcements!$C$7:$E$21,3,0)</f>
        <v>#N/A</v>
      </c>
      <c r="AD198" s="63" t="str">
        <f t="shared" si="51"/>
        <v>0841-25</v>
      </c>
      <c r="AE198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98" s="96" t="str">
        <f t="shared" si="53"/>
        <v>"C:\Program Files (x86)\AstroGrep\AstroGrep.exe" /spath="%USERPROFILE%\AppData\Local\Temp\OnboardLogs" /stypes="*4014*20160826*" /stext=" 02:.+((SYSTEM_STATE.+slice.+state.+changed )|(ment ac)|(system.+state.+changed )|(\|lc)|(penalty)|(\[timeout)|(PRM\|1\|D)|(kpr)|(kdp))" /e /r /s</v>
      </c>
      <c r="AG198" s="1" t="str">
        <f t="shared" si="54"/>
        <v>NW</v>
      </c>
      <c r="AH198" s="100" t="str">
        <f t="shared" si="55"/>
        <v>"%USERPROFILE%\Documents\GitHub\eaglep3\Utilities\RefineRTDCRunTimes.py" --tripid 841-25 --locoid 4014 --swversion DE.1.0.7.0 --startMP 204:1042 --initTime 2016-08-25T19:10:03 --startdatetime 2016-08-25T19:47:36 --delay 2 --endMP 300:58950 --enddatetime 2016-08-25T20:01:44 --enforcementcount 1 &gt;&gt;C:\Users\stu\Documents\GitHub\eaglep3-reporting\EC\2016-08-25-refined-times.txt</v>
      </c>
      <c r="AI198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{"issue":{"subject":"","project_id":79,"tracker_id":40,"status_id":1,"priority_id":2,"assigned_to_id":23,"start_date":"2016-08-25","description":"","custom_fields":[{"id":1,"name":"Subdivision","value":"NW"},{"id":4,"name":"Milepost","value":"5.7908"},{"id":17,"name":"Train ID","value":"841-25"},{"id":16,"name":"Locomotive ID","value":"4014"},{"id":130,"name":"Impact","value":""},{"id":150,"name":"Time of Event (Mountain Time)","value":"20:01:44"},{"id":151,"name":"Denver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674</v>
      </c>
      <c r="B199" s="7">
        <v>4013</v>
      </c>
      <c r="C199" s="24" t="s">
        <v>113</v>
      </c>
      <c r="D199" s="24" t="s">
        <v>675</v>
      </c>
      <c r="E199" s="15">
        <v>42607.860162037039</v>
      </c>
      <c r="F199" s="15">
        <v>42607.861701388887</v>
      </c>
      <c r="G199" s="7">
        <v>1</v>
      </c>
      <c r="H199" s="15" t="s">
        <v>676</v>
      </c>
      <c r="I199" s="15">
        <v>42607.872060185182</v>
      </c>
      <c r="J199" s="7">
        <v>1</v>
      </c>
      <c r="K199" s="132" t="str">
        <f t="shared" si="42"/>
        <v>4013/4014</v>
      </c>
      <c r="L199" s="24" t="str">
        <f>VLOOKUP(A199,'Trips&amp;Operators'!$C$1:$E$10000,3,FALSE)</f>
        <v>BROWN</v>
      </c>
      <c r="M199" s="6">
        <f t="shared" si="43"/>
        <v>1.0358796294895001E-2</v>
      </c>
      <c r="N199" s="7">
        <f t="shared" si="61"/>
        <v>14.916666664648801</v>
      </c>
      <c r="O199" s="7"/>
      <c r="P199" s="7"/>
      <c r="Q199" s="25"/>
      <c r="R199" s="25"/>
      <c r="S199" s="37">
        <f t="shared" si="44"/>
        <v>1</v>
      </c>
      <c r="T199" s="52" t="str">
        <f t="shared" si="45"/>
        <v>Southbound</v>
      </c>
      <c r="U199" s="12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19:38:38-0600',mode:absolute,to:'2016-08-25 21:55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99" s="54" t="str">
        <f t="shared" si="47"/>
        <v>N</v>
      </c>
      <c r="X199" s="120">
        <f t="shared" si="62"/>
        <v>1</v>
      </c>
      <c r="Y199" s="69">
        <f t="shared" si="48"/>
        <v>5.8601999999999999</v>
      </c>
      <c r="Z199" s="69">
        <f t="shared" si="49"/>
        <v>7.5499999999999998E-2</v>
      </c>
      <c r="AA199" s="69">
        <f t="shared" si="50"/>
        <v>5.7847</v>
      </c>
      <c r="AB199" s="66" t="e">
        <f>VLOOKUP(A199,Enforcements!$C$7:$J$21,8,0)</f>
        <v>#N/A</v>
      </c>
      <c r="AC199" s="62" t="e">
        <f>VLOOKUP(A199,Enforcements!$C$7:$E$21,3,0)</f>
        <v>#N/A</v>
      </c>
      <c r="AD199" s="63" t="str">
        <f t="shared" si="51"/>
        <v>0842-25</v>
      </c>
      <c r="AE199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99" s="96" t="str">
        <f t="shared" si="53"/>
        <v>"C:\Program Files (x86)\AstroGrep\AstroGrep.exe" /spath="%USERPROFILE%\AppData\Local\Temp\OnboardLogs" /stypes="*4013*20160826*" /stext=" 02:.+((SYSTEM_STATE.+slice.+state.+changed )|(ment ac)|(system.+state.+changed )|(\|lc)|(penalty)|(\[timeout)|(PRM\|1\|D)|(kpr)|(kdp))" /e /r /s</v>
      </c>
      <c r="AG199" s="1" t="str">
        <f t="shared" si="54"/>
        <v>NW</v>
      </c>
      <c r="AH199" s="100" t="str">
        <f t="shared" si="55"/>
        <v>"%USERPROFILE%\Documents\GitHub\eaglep3\Utilities\RefineRTDCRunTimes.py" --tripid 842-25 --locoid 4013 --swversion DE.1.0.7.0 --startMP 300:58602 --initTime 2016-08-25T20:38:38 --startdatetime 2016-08-25T20:40:51 --delay 1 --endMP 204:755 --enddatetime 2016-08-25T20:55:46 --enforcementcount 1 &gt;&gt;C:\Users\stu\Documents\GitHub\eaglep3-reporting\EC\2016-08-25-refined-times.txt</v>
      </c>
      <c r="AI199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{"issue":{"subject":"","project_id":79,"tracker_id":40,"status_id":1,"priority_id":2,"assigned_to_id":23,"start_date":"2016-08-25","description":"","custom_fields":[{"id":1,"name":"Subdivision","value":"NW"},{"id":4,"name":"Milepost","value":"5.7847"},{"id":17,"name":"Train ID","value":"842-25"},{"id":16,"name":"Locomotive ID","value":"4013"},{"id":130,"name":"Impact","value":""},{"id":150,"name":"Time of Event (Mountain Time)","value":"20:55:46"},{"id":151,"name":"Denver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677</v>
      </c>
      <c r="B200" s="7">
        <v>4014</v>
      </c>
      <c r="C200" s="24" t="s">
        <v>113</v>
      </c>
      <c r="D200" s="24" t="s">
        <v>678</v>
      </c>
      <c r="E200" s="15">
        <v>42607.839432870373</v>
      </c>
      <c r="F200" s="15">
        <v>42607.848043981481</v>
      </c>
      <c r="G200" s="7">
        <v>1</v>
      </c>
      <c r="H200" s="15" t="s">
        <v>641</v>
      </c>
      <c r="I200" s="15">
        <v>42607.859027777777</v>
      </c>
      <c r="J200" s="7">
        <v>1</v>
      </c>
      <c r="K200" s="132" t="str">
        <f t="shared" si="42"/>
        <v>4013/4014</v>
      </c>
      <c r="L200" s="24" t="str">
        <f>VLOOKUP(A200,'Trips&amp;Operators'!$C$1:$E$10000,3,FALSE)</f>
        <v>BROWN</v>
      </c>
      <c r="M200" s="6">
        <f t="shared" si="43"/>
        <v>1.0983796295477077E-2</v>
      </c>
      <c r="N200" s="7">
        <f t="shared" si="61"/>
        <v>15.816666665486991</v>
      </c>
      <c r="O200" s="7"/>
      <c r="P200" s="7"/>
      <c r="Q200" s="25"/>
      <c r="R200" s="25"/>
      <c r="S200" s="37">
        <f t="shared" si="44"/>
        <v>1</v>
      </c>
      <c r="T200" s="52" t="str">
        <f t="shared" si="45"/>
        <v>NorthBound</v>
      </c>
      <c r="U200" s="12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19:08:47-0600',mode:absolute,to:'2016-08-25 21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00" s="54" t="str">
        <f t="shared" si="47"/>
        <v>N</v>
      </c>
      <c r="X200" s="120">
        <f t="shared" si="62"/>
        <v>1</v>
      </c>
      <c r="Y200" s="69">
        <f t="shared" si="48"/>
        <v>0.1065</v>
      </c>
      <c r="Z200" s="69">
        <f t="shared" si="49"/>
        <v>5.8925999999999998</v>
      </c>
      <c r="AA200" s="69">
        <f t="shared" si="50"/>
        <v>5.7861000000000002</v>
      </c>
      <c r="AB200" s="66" t="e">
        <f>VLOOKUP(A200,Enforcements!$C$7:$J$21,8,0)</f>
        <v>#N/A</v>
      </c>
      <c r="AC200" s="62" t="e">
        <f>VLOOKUP(A200,Enforcements!$C$7:$E$21,3,0)</f>
        <v>#N/A</v>
      </c>
      <c r="AD200" s="63" t="str">
        <f t="shared" si="51"/>
        <v>0843-25</v>
      </c>
      <c r="AE200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200" s="96" t="str">
        <f t="shared" si="53"/>
        <v>"C:\Program Files (x86)\AstroGrep\AstroGrep.exe" /spath="%USERPROFILE%\AppData\Local\Temp\OnboardLogs" /stypes="*4014*20160826*" /stext=" 02:.+((SYSTEM_STATE.+slice.+state.+changed )|(ment ac)|(system.+state.+changed )|(\|lc)|(penalty)|(\[timeout)|(PRM\|1\|D)|(kpr)|(kdp))" /e /r /s</v>
      </c>
      <c r="AG200" s="1" t="str">
        <f t="shared" si="54"/>
        <v>NW</v>
      </c>
      <c r="AH200" s="100" t="str">
        <f t="shared" si="55"/>
        <v>"%USERPROFILE%\Documents\GitHub\eaglep3\Utilities\RefineRTDCRunTimes.py" --tripid 843-25 --locoid 4014 --swversion DE.1.0.7.0 --startMP 204:1065 --initTime 2016-08-25T20:08:47 --startdatetime 2016-08-25T20:21:11 --delay 1 --endMP 300:58926 --enddatetime 2016-08-25T20:37:00 --enforcementcount 1 &gt;&gt;C:\Users\stu\Documents\GitHub\eaglep3-reporting\EC\2016-08-25-refined-times.txt</v>
      </c>
      <c r="AI200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{"issue":{"subject":"","project_id":79,"tracker_id":40,"status_id":1,"priority_id":2,"assigned_to_id":23,"start_date":"2016-08-25","description":"","custom_fields":[{"id":1,"name":"Subdivision","value":"NW"},{"id":4,"name":"Milepost","value":"5.7861"},{"id":17,"name":"Train ID","value":"843-25"},{"id":16,"name":"Locomotive ID","value":"4014"},{"id":130,"name":"Impact","value":""},{"id":150,"name":"Time of Event (Mountain Time)","value":"20:37:00"},{"id":151,"name":"Denver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679</v>
      </c>
      <c r="B201" s="7">
        <v>4013</v>
      </c>
      <c r="C201" s="24" t="s">
        <v>113</v>
      </c>
      <c r="D201" s="24" t="s">
        <v>628</v>
      </c>
      <c r="E201" s="15">
        <v>42607.900381944448</v>
      </c>
      <c r="F201" s="15">
        <v>42607.90216435185</v>
      </c>
      <c r="G201" s="7">
        <v>1</v>
      </c>
      <c r="H201" s="15" t="s">
        <v>680</v>
      </c>
      <c r="I201" s="15">
        <v>42607.912881944445</v>
      </c>
      <c r="J201" s="7">
        <v>1</v>
      </c>
      <c r="K201" s="132" t="str">
        <f t="shared" si="42"/>
        <v>4013/4014</v>
      </c>
      <c r="L201" s="24" t="str">
        <f>VLOOKUP(A201,'Trips&amp;Operators'!$C$1:$E$10000,3,FALSE)</f>
        <v>YANAI</v>
      </c>
      <c r="M201" s="6">
        <f t="shared" si="43"/>
        <v>1.0717592595028691E-2</v>
      </c>
      <c r="N201" s="7">
        <f t="shared" si="61"/>
        <v>15.433333336841315</v>
      </c>
      <c r="O201" s="7"/>
      <c r="P201" s="7"/>
      <c r="Q201" s="25"/>
      <c r="R201" s="25"/>
      <c r="S201" s="37">
        <f t="shared" si="44"/>
        <v>1</v>
      </c>
      <c r="T201" s="52" t="str">
        <f t="shared" si="45"/>
        <v>Southbound</v>
      </c>
      <c r="U201" s="12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20:36:33-0600',mode:absolute,to:'2016-08-25 22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01" s="54" t="str">
        <f t="shared" si="47"/>
        <v>N</v>
      </c>
      <c r="X201" s="120">
        <f t="shared" si="62"/>
        <v>1</v>
      </c>
      <c r="Y201" s="69">
        <f t="shared" si="48"/>
        <v>5.8632</v>
      </c>
      <c r="Z201" s="69">
        <f t="shared" si="49"/>
        <v>6.4699999999999994E-2</v>
      </c>
      <c r="AA201" s="69">
        <f t="shared" si="50"/>
        <v>5.7984999999999998</v>
      </c>
      <c r="AB201" s="66" t="e">
        <f>VLOOKUP(A201,Enforcements!$C$7:$J$21,8,0)</f>
        <v>#N/A</v>
      </c>
      <c r="AC201" s="62" t="e">
        <f>VLOOKUP(A201,Enforcements!$C$7:$E$21,3,0)</f>
        <v>#N/A</v>
      </c>
      <c r="AD201" s="63" t="str">
        <f t="shared" si="51"/>
        <v>0844-25</v>
      </c>
      <c r="AE201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201" s="96" t="str">
        <f t="shared" si="53"/>
        <v>"C:\Program Files (x86)\AstroGrep\AstroGrep.exe" /spath="%USERPROFILE%\AppData\Local\Temp\OnboardLogs" /stypes="*4013*20160826*" /stext=" 03:.+((SYSTEM_STATE.+slice.+state.+changed )|(ment ac)|(system.+state.+changed )|(\|lc)|(penalty)|(\[timeout)|(PRM\|1\|D)|(kpr)|(kdp))" /e /r /s</v>
      </c>
      <c r="AG201" s="1" t="str">
        <f t="shared" si="54"/>
        <v>NW</v>
      </c>
      <c r="AH201" s="100" t="str">
        <f t="shared" si="55"/>
        <v>"%USERPROFILE%\Documents\GitHub\eaglep3\Utilities\RefineRTDCRunTimes.py" --tripid 844-25 --locoid 4013 --swversion DE.1.0.7.0 --startMP 300:58632 --initTime 2016-08-25T21:36:33 --startdatetime 2016-08-25T21:39:07 --delay 1 --endMP 204:647 --enddatetime 2016-08-25T21:54:33 --enforcementcount 1 &gt;&gt;C:\Users\stu\Documents\GitHub\eaglep3-reporting\EC\2016-08-25-refined-times.txt</v>
      </c>
      <c r="AI201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{"issue":{"subject":"","project_id":79,"tracker_id":40,"status_id":1,"priority_id":2,"assigned_to_id":23,"start_date":"2016-08-25","description":"","custom_fields":[{"id":1,"name":"Subdivision","value":"NW"},{"id":4,"name":"Milepost","value":"5.7985"},{"id":17,"name":"Train ID","value":"844-25"},{"id":16,"name":"Locomotive ID","value":"4013"},{"id":130,"name":"Impact","value":""},{"id":150,"name":"Time of Event (Mountain Time)","value":"21:54:33"},{"id":151,"name":"Denver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681</v>
      </c>
      <c r="B202" s="7">
        <v>4014</v>
      </c>
      <c r="C202" s="24" t="s">
        <v>113</v>
      </c>
      <c r="D202" s="24" t="s">
        <v>682</v>
      </c>
      <c r="E202" s="15">
        <v>42607.882685185185</v>
      </c>
      <c r="F202" s="15">
        <v>42607.890347222223</v>
      </c>
      <c r="G202" s="7">
        <v>1</v>
      </c>
      <c r="H202" s="15" t="s">
        <v>344</v>
      </c>
      <c r="I202" s="15">
        <v>42607.899398148147</v>
      </c>
      <c r="J202" s="7">
        <v>1</v>
      </c>
      <c r="K202" s="132" t="str">
        <f t="shared" si="42"/>
        <v>4013/4014</v>
      </c>
      <c r="L202" s="24" t="str">
        <f>VLOOKUP(A202,'Trips&amp;Operators'!$C$1:$E$10000,3,FALSE)</f>
        <v>YANAI</v>
      </c>
      <c r="M202" s="6">
        <f t="shared" si="43"/>
        <v>9.0509259243845008E-3</v>
      </c>
      <c r="N202" s="7">
        <f t="shared" si="61"/>
        <v>13.033333331113681</v>
      </c>
      <c r="O202" s="7"/>
      <c r="P202" s="7"/>
      <c r="Q202" s="25"/>
      <c r="R202" s="25"/>
      <c r="S202" s="37">
        <f t="shared" si="44"/>
        <v>1</v>
      </c>
      <c r="T202" s="52" t="str">
        <f t="shared" si="45"/>
        <v>NorthBound</v>
      </c>
      <c r="U202" s="12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20:11:04-0600',mode:absolute,to:'2016-08-25 22:35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02" s="54" t="str">
        <f t="shared" si="47"/>
        <v>N</v>
      </c>
      <c r="X202" s="120">
        <f t="shared" si="62"/>
        <v>1</v>
      </c>
      <c r="Y202" s="69">
        <f t="shared" si="48"/>
        <v>0.10390000000000001</v>
      </c>
      <c r="Z202" s="69">
        <f t="shared" si="49"/>
        <v>5.8948</v>
      </c>
      <c r="AA202" s="69">
        <f t="shared" si="50"/>
        <v>5.7908999999999997</v>
      </c>
      <c r="AB202" s="66" t="e">
        <f>VLOOKUP(A202,Enforcements!$C$7:$J$21,8,0)</f>
        <v>#N/A</v>
      </c>
      <c r="AC202" s="62" t="e">
        <f>VLOOKUP(A202,Enforcements!$C$7:$E$21,3,0)</f>
        <v>#N/A</v>
      </c>
      <c r="AD202" s="63" t="str">
        <f t="shared" si="51"/>
        <v>0845-25</v>
      </c>
      <c r="AE202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202" s="96" t="str">
        <f t="shared" si="53"/>
        <v>"C:\Program Files (x86)\AstroGrep\AstroGrep.exe" /spath="%USERPROFILE%\AppData\Local\Temp\OnboardLogs" /stypes="*4014*20160826*" /stext=" 03:.+((SYSTEM_STATE.+slice.+state.+changed )|(ment ac)|(system.+state.+changed )|(\|lc)|(penalty)|(\[timeout)|(PRM\|1\|D)|(kpr)|(kdp))" /e /r /s</v>
      </c>
      <c r="AG202" s="1" t="str">
        <f t="shared" si="54"/>
        <v>NW</v>
      </c>
      <c r="AH202" s="100" t="str">
        <f t="shared" si="55"/>
        <v>"%USERPROFILE%\Documents\GitHub\eaglep3\Utilities\RefineRTDCRunTimes.py" --tripid 845-25 --locoid 4014 --swversion DE.1.0.7.0 --startMP 204:1039 --initTime 2016-08-25T21:11:04 --startdatetime 2016-08-25T21:22:06 --delay 1 --endMP 300:58948 --enddatetime 2016-08-25T21:35:08 --enforcementcount 1 &gt;&gt;C:\Users\stu\Documents\GitHub\eaglep3-reporting\EC\2016-08-25-refined-times.txt</v>
      </c>
      <c r="AI202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{"issue":{"subject":"","project_id":79,"tracker_id":40,"status_id":1,"priority_id":2,"assigned_to_id":23,"start_date":"2016-08-25","description":"","custom_fields":[{"id":1,"name":"Subdivision","value":"NW"},{"id":4,"name":"Milepost","value":"5.7909"},{"id":17,"name":"Train ID","value":"845-25"},{"id":16,"name":"Locomotive ID","value":"4014"},{"id":130,"name":"Impact","value":""},{"id":150,"name":"Time of Event (Mountain Time)","value":"21:35:08"},{"id":151,"name":"Denver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683</v>
      </c>
      <c r="B203" s="7">
        <v>4014</v>
      </c>
      <c r="C203" s="24" t="s">
        <v>113</v>
      </c>
      <c r="D203" s="24" t="s">
        <v>684</v>
      </c>
      <c r="E203" s="15">
        <v>42607.927951388891</v>
      </c>
      <c r="F203" s="15">
        <v>42607.931481481479</v>
      </c>
      <c r="G203" s="7">
        <v>1</v>
      </c>
      <c r="H203" s="15" t="s">
        <v>599</v>
      </c>
      <c r="I203" s="15">
        <v>42607.940393518518</v>
      </c>
      <c r="J203" s="7">
        <v>1</v>
      </c>
      <c r="K203" s="132" t="str">
        <f t="shared" si="42"/>
        <v>4013/4014</v>
      </c>
      <c r="L203" s="24" t="str">
        <f>VLOOKUP(A203,'Trips&amp;Operators'!$C$1:$E$10000,3,FALSE)</f>
        <v>YANAI</v>
      </c>
      <c r="M203" s="6">
        <f t="shared" si="43"/>
        <v>8.9120370394084603E-3</v>
      </c>
      <c r="N203" s="7">
        <f t="shared" si="61"/>
        <v>12.833333336748183</v>
      </c>
      <c r="O203" s="7"/>
      <c r="P203" s="7"/>
      <c r="Q203" s="25"/>
      <c r="R203" s="25"/>
      <c r="S203" s="37">
        <f t="shared" si="44"/>
        <v>1</v>
      </c>
      <c r="T203" s="52" t="str">
        <f t="shared" si="45"/>
        <v>NorthBound</v>
      </c>
      <c r="U203" s="12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21:16:15-0600',mode:absolute,to:'2016-08-25 23:34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03" s="54" t="str">
        <f t="shared" si="47"/>
        <v>N</v>
      </c>
      <c r="X203" s="120">
        <f t="shared" si="62"/>
        <v>2</v>
      </c>
      <c r="Y203" s="69">
        <f t="shared" si="48"/>
        <v>9.3700000000000006E-2</v>
      </c>
      <c r="Z203" s="69">
        <f t="shared" si="49"/>
        <v>5.8944000000000001</v>
      </c>
      <c r="AA203" s="69">
        <f t="shared" si="50"/>
        <v>5.8007</v>
      </c>
      <c r="AB203" s="66" t="e">
        <f>VLOOKUP(A203,Enforcements!$C$7:$J$21,8,0)</f>
        <v>#N/A</v>
      </c>
      <c r="AC203" s="62" t="e">
        <f>VLOOKUP(A203,Enforcements!$C$7:$E$21,3,0)</f>
        <v>#N/A</v>
      </c>
      <c r="AD203" s="63" t="str">
        <f t="shared" si="51"/>
        <v>0847-25</v>
      </c>
      <c r="AE203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203" s="96" t="str">
        <f t="shared" si="53"/>
        <v>"C:\Program Files (x86)\AstroGrep\AstroGrep.exe" /spath="%USERPROFILE%\AppData\Local\Temp\OnboardLogs" /stypes="*4014*20160826*" /stext=" 04:.+((SYSTEM_STATE.+slice.+state.+changed )|(ment ac)|(system.+state.+changed )|(\|lc)|(penalty)|(\[timeout)|(PRM\|1\|D)|(kpr)|(kdp))" /e /r /s</v>
      </c>
      <c r="AG203" s="1" t="str">
        <f t="shared" si="54"/>
        <v>NW</v>
      </c>
      <c r="AH203" s="100" t="str">
        <f t="shared" si="55"/>
        <v>"%USERPROFILE%\Documents\GitHub\eaglep3\Utilities\RefineRTDCRunTimes.py" --tripid 847-25 --locoid 4014 --swversion DE.1.0.7.0 --startMP 204:937 --initTime 2016-08-25T22:16:15 --startdatetime 2016-08-25T22:21:20 --delay 1 --endMP 300:58944 --enddatetime 2016-08-25T22:34:10 --enforcementcount 1 &gt;&gt;C:\Users\stu\Documents\GitHub\eaglep3-reporting\EC\2016-08-25-refined-times.txt</v>
      </c>
      <c r="AI203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{"issue":{"subject":"","project_id":79,"tracker_id":40,"status_id":1,"priority_id":2,"assigned_to_id":23,"start_date":"2016-08-25","description":"","custom_fields":[{"id":1,"name":"Subdivision","value":"NW"},{"id":4,"name":"Milepost","value":"5.8007"},{"id":17,"name":"Train ID","value":"847-25"},{"id":16,"name":"Locomotive ID","value":"4014"},{"id":130,"name":"Impact","value":""},{"id":150,"name":"Time of Event (Mountain Time)","value":"22:34:10"},{"id":151,"name":"Denver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547</v>
      </c>
      <c r="B204" s="7">
        <v>4009</v>
      </c>
      <c r="C204" s="24" t="s">
        <v>113</v>
      </c>
      <c r="D204" s="24" t="s">
        <v>246</v>
      </c>
      <c r="E204" s="15">
        <v>42607.779722222222</v>
      </c>
      <c r="F204" s="15">
        <v>42607.780578703707</v>
      </c>
      <c r="G204" s="7">
        <v>1</v>
      </c>
      <c r="H204" s="15" t="s">
        <v>548</v>
      </c>
      <c r="I204" s="15">
        <v>42607.795949074076</v>
      </c>
      <c r="J204" s="7">
        <v>1</v>
      </c>
      <c r="K204" s="132" t="str">
        <f t="shared" si="42"/>
        <v>4009/4010</v>
      </c>
      <c r="L204" s="24" t="str">
        <f>VLOOKUP(A204,'Trips&amp;Operators'!$C$1:$E$10000,3,FALSE)</f>
        <v>CRAYTON</v>
      </c>
      <c r="M204" s="6">
        <f t="shared" si="43"/>
        <v>1.5370370369055308E-2</v>
      </c>
      <c r="N204" s="7">
        <f t="shared" si="61"/>
        <v>22.133333331439644</v>
      </c>
      <c r="O204" s="7"/>
      <c r="P204" s="7"/>
      <c r="Q204" s="25"/>
      <c r="R204" s="25"/>
      <c r="S204" s="37">
        <f t="shared" si="44"/>
        <v>1</v>
      </c>
      <c r="T204" s="52" t="str">
        <f t="shared" si="45"/>
        <v>NorthBound</v>
      </c>
      <c r="U204" s="12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17:42:48-0600',mode:absolute,to:'2016-08-25 20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204" s="54" t="str">
        <f t="shared" si="47"/>
        <v>Y</v>
      </c>
      <c r="X204" s="120">
        <f t="shared" si="62"/>
        <v>-544</v>
      </c>
      <c r="Y204" s="69">
        <f t="shared" si="48"/>
        <v>4.7800000000000002E-2</v>
      </c>
      <c r="Z204" s="69">
        <f t="shared" si="49"/>
        <v>2.2999999999999998</v>
      </c>
      <c r="AA204" s="69">
        <f t="shared" si="50"/>
        <v>2.2521999999999998</v>
      </c>
      <c r="AB204" s="66" t="e">
        <f>VLOOKUP(A204,Enforcements!$C$7:$J$21,8,0)</f>
        <v>#N/A</v>
      </c>
      <c r="AC204" s="62" t="e">
        <f>VLOOKUP(A204,Enforcements!$C$7:$E$21,3,0)</f>
        <v>#N/A</v>
      </c>
      <c r="AD204" s="63" t="str">
        <f t="shared" si="51"/>
        <v>0303-25</v>
      </c>
      <c r="AE204" s="99" t="str">
        <f t="shared" si="52"/>
        <v>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 &amp; 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</v>
      </c>
      <c r="AF204" s="96" t="str">
        <f t="shared" si="53"/>
        <v>"C:\Program Files (x86)\AstroGrep\AstroGrep.exe" /spath="%USERPROFILE%\AppData\Local\Temp\OnboardLogs" /stypes="*4009*20160826*" /stext=" 01:.+((SYSTEM_STATE.+slice.+state.+changed )|(ment ac)|(system.+state.+changed )|(\|lc)|(penalty)|(\[timeout)|(PRM\|1\|D)|(kpr)|(kdp))" /e /r /s</v>
      </c>
      <c r="AG204" s="1" t="str">
        <f t="shared" si="54"/>
        <v>Other</v>
      </c>
      <c r="AH204" s="100" t="str">
        <f t="shared" si="55"/>
        <v>"%USERPROFILE%\Documents\GitHub\eaglep3\Utilities\RefineRTDCRunTimes.py" --tripid 303-25 --locoid 4009 --swversion DE.1.0.7.0 --startMP 204:478 --initTime 2016-08-25T18:42:48 --startdatetime 2016-08-25T18:44:02 --delay 1 --endMP 300:23000 --enddatetime 2016-08-25T19:06:10 --enforcementcount 1 &gt;&gt;C:\Users\stu\Documents\GitHub\eaglep3-reporting\EC\2016-08-25-refined-times.txt</v>
      </c>
      <c r="AI204" s="149" t="str">
        <f t="shared" si="56"/>
        <v>echo {"issue":{"subject":"","project_id":79,"tracker_id":40,"status_id":1,"priority_id":2,"assigned_to_id":23,"start_date":"2016-08-25","description":"","custom_fields":[{"id":1,"name":"Subdivision","value":"Other"},{"id":4,"name":"Milepost","value":"2.2522"},{"id":17,"name":"Train ID","value":"303-25"},{"id":16,"name":"Locomotive ID","value":"4009"},{"id":130,"name":"Impact","value":""},{"id":150,"name":"Time of Event (Mountain Time)","value":"19:06:10"},{"id":151,"name":"Denver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549</v>
      </c>
      <c r="B205" s="7">
        <v>4031</v>
      </c>
      <c r="C205" s="24" t="s">
        <v>113</v>
      </c>
      <c r="D205" s="24" t="s">
        <v>205</v>
      </c>
      <c r="E205" s="15">
        <v>42608.028541666667</v>
      </c>
      <c r="F205" s="15">
        <v>42608.029409722221</v>
      </c>
      <c r="G205" s="7">
        <v>1</v>
      </c>
      <c r="H205" s="15" t="s">
        <v>335</v>
      </c>
      <c r="I205" s="15">
        <v>42608.037592592591</v>
      </c>
      <c r="J205" s="7">
        <v>1</v>
      </c>
      <c r="K205" s="132" t="str">
        <f t="shared" ref="K205:K219" si="63">IF(ISEVEN(B205),(B205-1)&amp;"/"&amp;B205,B205&amp;"/"&amp;(B205+1))</f>
        <v>4031/4032</v>
      </c>
      <c r="L205" s="24" t="str">
        <f>VLOOKUP(A205,'Trips&amp;Operators'!$C$1:$E$10000,3,FALSE)</f>
        <v>LEVERE</v>
      </c>
      <c r="M205" s="6">
        <f t="shared" ref="M205:M219" si="64">I205-F205</f>
        <v>8.182870369637385E-3</v>
      </c>
      <c r="N205" s="7">
        <f t="shared" si="61"/>
        <v>11.783333332277834</v>
      </c>
      <c r="O205" s="7"/>
      <c r="P205" s="7"/>
      <c r="Q205" s="25"/>
      <c r="R205" s="25"/>
      <c r="S205" s="37">
        <f t="shared" ref="S205:S219" si="65">SUM(U205:U205)/IF(AG205="EC",12,1)</f>
        <v>1</v>
      </c>
      <c r="T205" s="52" t="str">
        <f t="shared" ref="T205:T219" si="66">IF(ISEVEN(LEFT(AD205,4)),"Southbound","NorthBound")</f>
        <v>NorthBound</v>
      </c>
      <c r="U205" s="12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ref="V205:V219" si="67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https://search-rtdc-monitor-bjffxe2xuh6vdkpspy63sjmuny.us-east-1.es.amazonaws.com/_plugin/kibana/#/discover/Steve-Slow-Train-Analysis-(2080s-and-2083s)?_g=(refreshInterval:(display:Off,section:0,value:0),time:(from:'2016-08-25 23:41:06-0600',mode:absolute,to:'2016-08-26 01:54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05" s="54" t="str">
        <f t="shared" ref="W205:W219" si="68">IF(AA205&lt;IF(AG205="EC",23,5.65),"Y","N")</f>
        <v>Y</v>
      </c>
      <c r="X205" s="120">
        <f t="shared" si="62"/>
        <v>6</v>
      </c>
      <c r="Y205" s="69">
        <f t="shared" ref="Y205:Y219" si="69">RIGHT(D205,LEN(D205)-4)/10000</f>
        <v>4.5999999999999999E-2</v>
      </c>
      <c r="Z205" s="69">
        <f t="shared" ref="Z205:Z219" si="70">RIGHT(H205,LEN(H205)-4)/10000</f>
        <v>2.3308</v>
      </c>
      <c r="AA205" s="69">
        <f t="shared" ref="AA205:AA219" si="71">ABS(Z205-Y205)</f>
        <v>2.2848000000000002</v>
      </c>
      <c r="AB205" s="66" t="e">
        <f>VLOOKUP(A205,Enforcements!$C$7:$J$21,8,0)</f>
        <v>#N/A</v>
      </c>
      <c r="AC205" s="62" t="e">
        <f>VLOOKUP(A205,Enforcements!$C$7:$E$21,3,0)</f>
        <v>#N/A</v>
      </c>
      <c r="AD205" s="63" t="str">
        <f t="shared" ref="AD205:AD219" si="72">IF(LEN(A205)=6,"0"&amp;A205,A205)</f>
        <v>0309-25</v>
      </c>
      <c r="AE205" s="99" t="str">
        <f t="shared" ref="AE205:AE219" si="73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 &amp; 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</v>
      </c>
      <c r="AF205" s="96" t="str">
        <f t="shared" ref="AF205:AF219" si="74">astrogrep_path&amp;" /spath="&amp;search_path&amp;" /stypes=""*"&amp;B205&amp;"*"&amp;TEXT(I205-utc_offset/24,"YYYYMMDD")&amp;"*"" /stext="" "&amp;TEXT(I205-utc_offset/24,"HH")&amp;search_regexp&amp;""" /e /r /s"</f>
        <v>"C:\Program Files (x86)\AstroGrep\AstroGrep.exe" /spath="%USERPROFILE%\AppData\Local\Temp\OnboardLogs" /stypes="*4031*20160826*" /stext=" 06:.+((SYSTEM_STATE.+slice.+state.+changed )|(ment ac)|(system.+state.+changed )|(\|lc)|(penalty)|(\[timeout)|(PRM\|1\|D)|(kpr)|(kdp))" /e /r /s</v>
      </c>
      <c r="AG205" s="1" t="str">
        <f t="shared" ref="AG205:AG219" si="75">IFERROR(IF(VALUE(LEFT(AD205,2))&lt;=2,"EC",IF(OR(VALUE(LEFT(AD205,2))=8,VALUE(LEFT(AD205,2))=18),"NW","Other")),"Other")</f>
        <v>Other</v>
      </c>
      <c r="AH205" s="100" t="str">
        <f t="shared" ref="AH205:AH219" si="76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309-25 --locoid 4031 --swversion DE.1.0.7.0 --startMP 204:460 --initTime 2016-08-26T00:41:06 --startdatetime 2016-08-26T00:42:21 --delay 1 --endMP 300:23308 --enddatetime 2016-08-26T00:54:08 --enforcementcount 1 &gt;&gt;C:\Users\stu\Documents\GitHub\eaglep3-reporting\EC\2016-08-25-refined-times.txt</v>
      </c>
      <c r="AI205" s="149" t="str">
        <f t="shared" si="56"/>
        <v>echo {"issue":{"subject":"","project_id":79,"tracker_id":40,"status_id":1,"priority_id":2,"assigned_to_id":23,"start_date":"2016-08-26","description":"","custom_fields":[{"id":1,"name":"Subdivision","value":"Other"},{"id":4,"name":"Milepost","value":"2.2848"},{"id":17,"name":"Train ID","value":"309-25"},{"id":16,"name":"Locomotive ID","value":"4031"},{"id":130,"name":"Impact","value":""},{"id":150,"name":"Time of Event (Mountain Time)","value":"00:54:08"},{"id":151,"name":"Denver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550</v>
      </c>
      <c r="B206" s="7">
        <v>4044</v>
      </c>
      <c r="C206" s="24" t="s">
        <v>113</v>
      </c>
      <c r="D206" s="24" t="s">
        <v>551</v>
      </c>
      <c r="E206" s="15">
        <v>42608.048622685186</v>
      </c>
      <c r="F206" s="15">
        <v>42608.04960648148</v>
      </c>
      <c r="G206" s="7">
        <v>1</v>
      </c>
      <c r="H206" s="15" t="s">
        <v>552</v>
      </c>
      <c r="I206" s="15">
        <v>42608.059606481482</v>
      </c>
      <c r="J206" s="7">
        <v>1</v>
      </c>
      <c r="K206" s="132" t="str">
        <f t="shared" si="63"/>
        <v>4043/4044</v>
      </c>
      <c r="L206" s="24" t="str">
        <f>VLOOKUP(A206,'Trips&amp;Operators'!$C$1:$E$10000,3,FALSE)</f>
        <v>OUN</v>
      </c>
      <c r="M206" s="6">
        <f t="shared" si="64"/>
        <v>1.0000000002037268E-2</v>
      </c>
      <c r="N206" s="7">
        <f t="shared" si="61"/>
        <v>14.400000002933666</v>
      </c>
      <c r="O206" s="7"/>
      <c r="P206" s="7"/>
      <c r="Q206" s="25"/>
      <c r="R206" s="25"/>
      <c r="S206" s="37">
        <f t="shared" si="65"/>
        <v>1</v>
      </c>
      <c r="T206" s="52" t="str">
        <f t="shared" si="66"/>
        <v>NorthBound</v>
      </c>
      <c r="U206" s="12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https://search-rtdc-monitor-bjffxe2xuh6vdkpspy63sjmuny.us-east-1.es.amazonaws.com/_plugin/kibana/#/discover/Steve-Slow-Train-Analysis-(2080s-and-2083s)?_g=(refreshInterval:(display:Off,section:0,value:0),time:(from:'2016-08-26 00:10:01-0600',mode:absolute,to:'2016-08-26 02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06" s="54" t="str">
        <f t="shared" si="68"/>
        <v>Y</v>
      </c>
      <c r="X206" s="120">
        <f t="shared" si="62"/>
        <v>2</v>
      </c>
      <c r="Y206" s="69">
        <f t="shared" si="69"/>
        <v>5.0599999999999999E-2</v>
      </c>
      <c r="Z206" s="69">
        <f t="shared" si="70"/>
        <v>2.3292999999999999</v>
      </c>
      <c r="AA206" s="69">
        <f t="shared" si="71"/>
        <v>2.2786999999999997</v>
      </c>
      <c r="AB206" s="66" t="e">
        <f>VLOOKUP(A206,Enforcements!$C$7:$J$21,8,0)</f>
        <v>#N/A</v>
      </c>
      <c r="AC206" s="62" t="e">
        <f>VLOOKUP(A206,Enforcements!$C$7:$E$21,3,0)</f>
        <v>#N/A</v>
      </c>
      <c r="AD206" s="63" t="str">
        <f t="shared" si="72"/>
        <v>0311-25</v>
      </c>
      <c r="AE206" s="99" t="str">
        <f t="shared" si="73"/>
        <v>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 &amp; aws s3 cp s3://rtdc.mdm.uploadarchive/RTDC4044/2016-08-27/ "%USERPROFILE%\AppData\Local\Temp\OnboardLogs"\RTDC4044\2016-08-27 --recursive &amp; "%USERPROFILE%\Documents\GitHub\mrs-test-scripts\Headless Mode &amp; Sideloading\WalkAndUnGZ.bat" "%USERPROFILE%\AppData\Local\Temp\OnboardLogs"\RTDC4044\2016-08-27</v>
      </c>
      <c r="AF206" s="96" t="str">
        <f t="shared" si="74"/>
        <v>"C:\Program Files (x86)\AstroGrep\AstroGrep.exe" /spath="%USERPROFILE%\AppData\Local\Temp\OnboardLogs" /stypes="*4044*20160826*" /stext=" 07:.+((SYSTEM_STATE.+slice.+state.+changed )|(ment ac)|(system.+state.+changed )|(\|lc)|(penalty)|(\[timeout)|(PRM\|1\|D)|(kpr)|(kdp))" /e /r /s</v>
      </c>
      <c r="AG206" s="1" t="str">
        <f t="shared" si="75"/>
        <v>Other</v>
      </c>
      <c r="AH206" s="100" t="str">
        <f t="shared" si="76"/>
        <v>"%USERPROFILE%\Documents\GitHub\eaglep3\Utilities\RefineRTDCRunTimes.py" --tripid 311-25 --locoid 4044 --swversion DE.1.0.7.0 --startMP 204:506 --initTime 2016-08-26T01:10:01 --startdatetime 2016-08-26T01:11:26 --delay 1 --endMP 300:23293 --enddatetime 2016-08-26T01:25:50 --enforcementcount 1 &gt;&gt;C:\Users\stu\Documents\GitHub\eaglep3-reporting\EC\2016-08-25-refined-times.txt</v>
      </c>
      <c r="AI206" s="149" t="str">
        <f t="shared" si="56"/>
        <v>echo {"issue":{"subject":"","project_id":79,"tracker_id":40,"status_id":1,"priority_id":2,"assigned_to_id":23,"start_date":"2016-08-26","description":"","custom_fields":[{"id":1,"name":"Subdivision","value":"Other"},{"id":4,"name":"Milepost","value":"2.2787"},{"id":17,"name":"Train ID","value":"311-25"},{"id":16,"name":"Locomotive ID","value":"4044"},{"id":130,"name":"Impact","value":""},{"id":150,"name":"Time of Event (Mountain Time)","value":"01:25:50"},{"id":151,"name":"Denver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553</v>
      </c>
      <c r="B207" s="7">
        <v>4007</v>
      </c>
      <c r="C207" s="24" t="s">
        <v>113</v>
      </c>
      <c r="D207" s="24" t="s">
        <v>138</v>
      </c>
      <c r="E207" s="15">
        <v>42608.071805555555</v>
      </c>
      <c r="F207" s="15">
        <v>42608.072824074072</v>
      </c>
      <c r="G207" s="7">
        <v>1</v>
      </c>
      <c r="H207" s="15" t="s">
        <v>554</v>
      </c>
      <c r="I207" s="15">
        <v>42608.078993055555</v>
      </c>
      <c r="J207" s="7">
        <v>1</v>
      </c>
      <c r="K207" s="132" t="str">
        <f t="shared" si="63"/>
        <v>4007/4008</v>
      </c>
      <c r="L207" s="24" t="str">
        <f>VLOOKUP(A207,'Trips&amp;Operators'!$C$1:$E$10000,3,FALSE)</f>
        <v>SWANSON</v>
      </c>
      <c r="M207" s="6">
        <f t="shared" si="64"/>
        <v>6.1689814829151146E-3</v>
      </c>
      <c r="N207" s="7">
        <f t="shared" si="61"/>
        <v>8.883333335397765</v>
      </c>
      <c r="O207" s="7"/>
      <c r="P207" s="7"/>
      <c r="Q207" s="25"/>
      <c r="R207" s="25"/>
      <c r="S207" s="37">
        <f t="shared" si="65"/>
        <v>1</v>
      </c>
      <c r="T207" s="52" t="str">
        <f t="shared" si="66"/>
        <v>NorthBound</v>
      </c>
      <c r="U207" s="12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https://search-rtdc-monitor-bjffxe2xuh6vdkpspy63sjmuny.us-east-1.es.amazonaws.com/_plugin/kibana/#/discover/Steve-Slow-Train-Analysis-(2080s-and-2083s)?_g=(refreshInterval:(display:Off,section:0,value:0),time:(from:'2016-08-26 00:43:24-0600',mode:absolute,to:'2016-08-26 02:53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207" s="54" t="str">
        <f t="shared" si="68"/>
        <v>Y</v>
      </c>
      <c r="X207" s="120">
        <f t="shared" si="62"/>
        <v>2</v>
      </c>
      <c r="Y207" s="69">
        <f t="shared" si="69"/>
        <v>4.6899999999999997E-2</v>
      </c>
      <c r="Z207" s="69">
        <f t="shared" si="70"/>
        <v>2.3304</v>
      </c>
      <c r="AA207" s="69">
        <f t="shared" si="71"/>
        <v>2.2835000000000001</v>
      </c>
      <c r="AB207" s="66" t="e">
        <f>VLOOKUP(A207,Enforcements!$C$7:$J$21,8,0)</f>
        <v>#N/A</v>
      </c>
      <c r="AC207" s="62" t="e">
        <f>VLOOKUP(A207,Enforcements!$C$7:$E$21,3,0)</f>
        <v>#N/A</v>
      </c>
      <c r="AD207" s="63" t="str">
        <f t="shared" si="72"/>
        <v>0313-25</v>
      </c>
      <c r="AE207" s="99" t="str">
        <f t="shared" si="73"/>
        <v>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 &amp; 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</v>
      </c>
      <c r="AF207" s="96" t="str">
        <f t="shared" si="74"/>
        <v>"C:\Program Files (x86)\AstroGrep\AstroGrep.exe" /spath="%USERPROFILE%\AppData\Local\Temp\OnboardLogs" /stypes="*4007*20160826*" /stext=" 07:.+((SYSTEM_STATE.+slice.+state.+changed )|(ment ac)|(system.+state.+changed )|(\|lc)|(penalty)|(\[timeout)|(PRM\|1\|D)|(kpr)|(kdp))" /e /r /s</v>
      </c>
      <c r="AG207" s="1" t="str">
        <f t="shared" si="75"/>
        <v>Other</v>
      </c>
      <c r="AH207" s="100" t="str">
        <f t="shared" si="76"/>
        <v>"%USERPROFILE%\Documents\GitHub\eaglep3\Utilities\RefineRTDCRunTimes.py" --tripid 313-25 --locoid 4007 --swversion DE.1.0.7.0 --startMP 204:469 --initTime 2016-08-26T01:43:24 --startdatetime 2016-08-26T01:44:52 --delay 1 --endMP 300:23304 --enddatetime 2016-08-26T01:53:45 --enforcementcount 1 &gt;&gt;C:\Users\stu\Documents\GitHub\eaglep3-reporting\EC\2016-08-25-refined-times.txt</v>
      </c>
      <c r="AI207" s="149" t="str">
        <f t="shared" ref="AI207:AI219" si="77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AA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{"issue":{"subject":"","project_id":79,"tracker_id":40,"status_id":1,"priority_id":2,"assigned_to_id":23,"start_date":"2016-08-26","description":"","custom_fields":[{"id":1,"name":"Subdivision","value":"Other"},{"id":4,"name":"Milepost","value":"2.2835"},{"id":17,"name":"Train ID","value":"313-25"},{"id":16,"name":"Locomotive ID","value":"4007"},{"id":130,"name":"Impact","value":""},{"id":150,"name":"Time of Event (Mountain Time)","value":"01:53:45"},{"id":151,"name":"Denver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311</v>
      </c>
      <c r="B208" s="7">
        <v>4014</v>
      </c>
      <c r="C208" s="24" t="s">
        <v>113</v>
      </c>
      <c r="D208" s="24" t="s">
        <v>133</v>
      </c>
      <c r="E208" s="15">
        <v>42607.091122685182</v>
      </c>
      <c r="F208" s="15">
        <v>42607.09207175926</v>
      </c>
      <c r="G208" s="7">
        <v>1</v>
      </c>
      <c r="H208" s="15" t="s">
        <v>226</v>
      </c>
      <c r="I208" s="15">
        <v>42607.098425925928</v>
      </c>
      <c r="J208" s="7">
        <v>1</v>
      </c>
      <c r="K208" s="132" t="str">
        <f t="shared" si="63"/>
        <v>4013/4014</v>
      </c>
      <c r="L208" s="24" t="str">
        <f>VLOOKUP(A208,'Trips&amp;Operators'!$C$1:$E$10000,3,FALSE)</f>
        <v>HAITHCOX</v>
      </c>
      <c r="M208" s="6">
        <f t="shared" si="64"/>
        <v>6.3541666677338071E-3</v>
      </c>
      <c r="N208" s="7">
        <f t="shared" si="61"/>
        <v>9.1500000015366822</v>
      </c>
      <c r="O208" s="7"/>
      <c r="P208" s="7"/>
      <c r="Q208" s="25"/>
      <c r="R208" s="25"/>
      <c r="S208" s="37">
        <f t="shared" si="65"/>
        <v>1</v>
      </c>
      <c r="T208" s="52" t="str">
        <f t="shared" si="66"/>
        <v>NorthBound</v>
      </c>
      <c r="U208" s="12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01:11:13-0600',mode:absolute,to:'2016-08-25 03:21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08" s="54" t="str">
        <f t="shared" si="68"/>
        <v>Y</v>
      </c>
      <c r="X208" s="120">
        <f t="shared" si="62"/>
        <v>2</v>
      </c>
      <c r="Y208" s="69">
        <f t="shared" si="69"/>
        <v>4.53E-2</v>
      </c>
      <c r="Z208" s="69">
        <f t="shared" si="70"/>
        <v>2.3306</v>
      </c>
      <c r="AA208" s="69">
        <f t="shared" si="71"/>
        <v>2.2852999999999999</v>
      </c>
      <c r="AB208" s="66" t="e">
        <f>VLOOKUP(A208,Enforcements!$C$7:$J$21,8,0)</f>
        <v>#N/A</v>
      </c>
      <c r="AC208" s="62" t="e">
        <f>VLOOKUP(A208,Enforcements!$C$7:$E$21,3,0)</f>
        <v>#N/A</v>
      </c>
      <c r="AD208" s="63" t="str">
        <f t="shared" si="72"/>
        <v>0315-24</v>
      </c>
      <c r="AE208" s="99" t="str">
        <f t="shared" si="73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208" s="96" t="str">
        <f t="shared" si="74"/>
        <v>"C:\Program Files (x86)\AstroGrep\AstroGrep.exe" /spath="%USERPROFILE%\AppData\Local\Temp\OnboardLogs" /stypes="*4014*20160825*" /stext=" 08:.+((SYSTEM_STATE.+slice.+state.+changed )|(ment ac)|(system.+state.+changed )|(\|lc)|(penalty)|(\[timeout)|(PRM\|1\|D)|(kpr)|(kdp))" /e /r /s</v>
      </c>
      <c r="AG208" s="1" t="str">
        <f t="shared" si="75"/>
        <v>Other</v>
      </c>
      <c r="AH208" s="100" t="str">
        <f t="shared" si="76"/>
        <v>"%USERPROFILE%\Documents\GitHub\eaglep3\Utilities\RefineRTDCRunTimes.py" --tripid 315-24 --locoid 4014 --swversion DE.1.0.7.0 --startMP 204:453 --initTime 2016-08-25T02:11:13 --startdatetime 2016-08-25T02:12:35 --delay 1 --endMP 300:23306 --enddatetime 2016-08-25T02:21:44 --enforcementcount 1 &gt;&gt;C:\Users\stu\Documents\GitHub\eaglep3-reporting\EC\2016-08-25-refined-times.txt</v>
      </c>
      <c r="AI208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{"issue":{"subject":"","project_id":79,"tracker_id":40,"status_id":1,"priority_id":2,"assigned_to_id":23,"start_date":"2016-08-25","description":"","custom_fields":[{"id":1,"name":"Subdivision","value":"Other"},{"id":4,"name":"Milepost","value":"2.2853"},{"id":17,"name":"Train ID","value":"315-24"},{"id":16,"name":"Locomotive ID","value":"4014"},{"id":130,"name":"Impact","value":""},{"id":150,"name":"Time of Event (Mountain Time)","value":"02:21:44"},{"id":151,"name":"Denver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555</v>
      </c>
      <c r="B209" s="7">
        <v>4042</v>
      </c>
      <c r="C209" s="24" t="s">
        <v>113</v>
      </c>
      <c r="D209" s="24" t="s">
        <v>185</v>
      </c>
      <c r="E209" s="15">
        <v>42608.093298611115</v>
      </c>
      <c r="F209" s="15">
        <v>42608.094050925924</v>
      </c>
      <c r="G209" s="7">
        <v>1</v>
      </c>
      <c r="H209" s="15" t="s">
        <v>554</v>
      </c>
      <c r="I209" s="15">
        <v>42608.103032407409</v>
      </c>
      <c r="J209" s="7">
        <v>1</v>
      </c>
      <c r="K209" s="132" t="str">
        <f t="shared" si="63"/>
        <v>4041/4042</v>
      </c>
      <c r="L209" s="24" t="str">
        <f>VLOOKUP(A209,'Trips&amp;Operators'!$C$1:$E$10000,3,FALSE)</f>
        <v>ARVIDSON</v>
      </c>
      <c r="M209" s="6">
        <f t="shared" si="64"/>
        <v>8.9814814855344594E-3</v>
      </c>
      <c r="N209" s="7">
        <f t="shared" si="61"/>
        <v>12.933333339169621</v>
      </c>
      <c r="O209" s="7"/>
      <c r="P209" s="7"/>
      <c r="Q209" s="25"/>
      <c r="R209" s="25"/>
      <c r="S209" s="37">
        <f t="shared" si="65"/>
        <v>1</v>
      </c>
      <c r="T209" s="52" t="str">
        <f t="shared" si="66"/>
        <v>NorthBound</v>
      </c>
      <c r="U209" s="12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https://search-rtdc-monitor-bjffxe2xuh6vdkpspy63sjmuny.us-east-1.es.amazonaws.com/_plugin/kibana/#/discover/Steve-Slow-Train-Analysis-(2080s-and-2083s)?_g=(refreshInterval:(display:Off,section:0,value:0),time:(from:'2016-08-26 01:14:21-0600',mode:absolute,to:'2016-08-26 03:28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09" s="54" t="str">
        <f t="shared" si="68"/>
        <v>Y</v>
      </c>
      <c r="X209" s="120">
        <f t="shared" si="62"/>
        <v>0</v>
      </c>
      <c r="Y209" s="69">
        <f t="shared" si="69"/>
        <v>4.7100000000000003E-2</v>
      </c>
      <c r="Z209" s="69">
        <f t="shared" si="70"/>
        <v>2.3304</v>
      </c>
      <c r="AA209" s="69">
        <f t="shared" si="71"/>
        <v>2.2833000000000001</v>
      </c>
      <c r="AB209" s="66" t="e">
        <f>VLOOKUP(A209,Enforcements!$C$7:$J$21,8,0)</f>
        <v>#N/A</v>
      </c>
      <c r="AC209" s="62" t="e">
        <f>VLOOKUP(A209,Enforcements!$C$7:$E$21,3,0)</f>
        <v>#N/A</v>
      </c>
      <c r="AD209" s="63" t="str">
        <f t="shared" si="72"/>
        <v>0315-25</v>
      </c>
      <c r="AE209" s="99" t="str">
        <f t="shared" si="73"/>
        <v>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 &amp; aws s3 cp s3://rtdc.mdm.uploadarchive/RTDC4042/2016-08-27/ "%USERPROFILE%\AppData\Local\Temp\OnboardLogs"\RTDC4042\2016-08-27 --recursive &amp; "%USERPROFILE%\Documents\GitHub\mrs-test-scripts\Headless Mode &amp; Sideloading\WalkAndUnGZ.bat" "%USERPROFILE%\AppData\Local\Temp\OnboardLogs"\RTDC4042\2016-08-27</v>
      </c>
      <c r="AF209" s="96" t="str">
        <f t="shared" si="74"/>
        <v>"C:\Program Files (x86)\AstroGrep\AstroGrep.exe" /spath="%USERPROFILE%\AppData\Local\Temp\OnboardLogs" /stypes="*4042*20160826*" /stext=" 08:.+((SYSTEM_STATE.+slice.+state.+changed )|(ment ac)|(system.+state.+changed )|(\|lc)|(penalty)|(\[timeout)|(PRM\|1\|D)|(kpr)|(kdp))" /e /r /s</v>
      </c>
      <c r="AG209" s="1" t="str">
        <f t="shared" si="75"/>
        <v>Other</v>
      </c>
      <c r="AH209" s="100" t="str">
        <f t="shared" si="76"/>
        <v>"%USERPROFILE%\Documents\GitHub\eaglep3\Utilities\RefineRTDCRunTimes.py" --tripid 315-25 --locoid 4042 --swversion DE.1.0.7.0 --startMP 204:471 --initTime 2016-08-26T02:14:21 --startdatetime 2016-08-26T02:15:26 --delay 1 --endMP 300:23304 --enddatetime 2016-08-26T02:28:22 --enforcementcount 1 &gt;&gt;C:\Users\stu\Documents\GitHub\eaglep3-reporting\EC\2016-08-25-refined-times.txt</v>
      </c>
      <c r="AI209" s="149" t="str">
        <f t="shared" si="77"/>
        <v>echo {"issue":{"subject":"","project_id":79,"tracker_id":40,"status_id":1,"priority_id":2,"assigned_to_id":23,"start_date":"2016-08-26","description":"","custom_fields":[{"id":1,"name":"Subdivision","value":"Other"},{"id":4,"name":"Milepost","value":"2.2833"},{"id":17,"name":"Train ID","value":"315-25"},{"id":16,"name":"Locomotive ID","value":"4042"},{"id":130,"name":"Impact","value":""},{"id":150,"name":"Time of Event (Mountain Time)","value":"02:28:22"},{"id":151,"name":"Denver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685</v>
      </c>
      <c r="B210" s="7">
        <v>4037</v>
      </c>
      <c r="C210" s="24" t="s">
        <v>113</v>
      </c>
      <c r="D210" s="24" t="s">
        <v>686</v>
      </c>
      <c r="E210" s="15">
        <v>42607.637789351851</v>
      </c>
      <c r="F210" s="15">
        <v>42607.645474537036</v>
      </c>
      <c r="G210" s="7">
        <v>11</v>
      </c>
      <c r="H210" s="15">
        <v>8.5395833333333329</v>
      </c>
      <c r="I210" s="15">
        <v>42607.651064814818</v>
      </c>
      <c r="J210" s="7">
        <v>1</v>
      </c>
      <c r="K210" s="132" t="str">
        <f t="shared" si="63"/>
        <v>4037/4038</v>
      </c>
      <c r="L210" s="24" t="str">
        <f>VLOOKUP(A210,'Trips&amp;Operators'!$C$1:$E$10000,3,FALSE)</f>
        <v>YANAI</v>
      </c>
      <c r="M210" s="6">
        <f t="shared" si="64"/>
        <v>5.5902777821756899E-3</v>
      </c>
      <c r="N210" s="7">
        <f t="shared" si="61"/>
        <v>8.0500000063329935</v>
      </c>
      <c r="O210" s="7"/>
      <c r="P210" s="7"/>
      <c r="Q210" s="25"/>
      <c r="R210" s="25"/>
      <c r="S210" s="37">
        <f t="shared" si="65"/>
        <v>0</v>
      </c>
      <c r="T210" s="52" t="str">
        <f t="shared" si="66"/>
        <v>Southbound</v>
      </c>
      <c r="U210" s="12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14:18:25-0600',mode:absolute,to:'2016-08-25 16:37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210" s="54" t="str">
        <f t="shared" si="68"/>
        <v>N</v>
      </c>
      <c r="X210" s="120">
        <f t="shared" si="62"/>
        <v>589</v>
      </c>
      <c r="Y210" s="69">
        <f t="shared" si="69"/>
        <v>2.3690000000000002</v>
      </c>
      <c r="Z210" s="69">
        <f t="shared" si="70"/>
        <v>95833333.333299994</v>
      </c>
      <c r="AA210" s="69">
        <f t="shared" si="71"/>
        <v>95833330.964299992</v>
      </c>
      <c r="AB210" s="66" t="e">
        <f>VLOOKUP(A210,Enforcements!$C$7:$J$21,8,0)</f>
        <v>#N/A</v>
      </c>
      <c r="AC210" s="62" t="e">
        <f>VLOOKUP(A210,Enforcements!$C$7:$E$21,3,0)</f>
        <v>#N/A</v>
      </c>
      <c r="AD210" s="63" t="str">
        <f t="shared" si="72"/>
        <v>0904-25</v>
      </c>
      <c r="AE210" s="99" t="str">
        <f t="shared" si="73"/>
        <v>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 &amp; 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</v>
      </c>
      <c r="AF210" s="96" t="str">
        <f t="shared" si="74"/>
        <v>"C:\Program Files (x86)\AstroGrep\AstroGrep.exe" /spath="%USERPROFILE%\AppData\Local\Temp\OnboardLogs" /stypes="*4037*20160825*" /stext=" 21:.+((SYSTEM_STATE.+slice.+state.+changed )|(ment ac)|(system.+state.+changed )|(\|lc)|(penalty)|(\[timeout)|(PRM\|1\|D)|(kpr)|(kdp))" /e /r /s</v>
      </c>
      <c r="AG210" s="1" t="str">
        <f t="shared" si="75"/>
        <v>Other</v>
      </c>
      <c r="AH210" s="100" t="str">
        <f t="shared" si="76"/>
        <v>"%USERPROFILE%\Documents\GitHub\eaglep3\Utilities\RefineRTDCRunTimes.py" --tripid 904-25 --locoid 4037 --swversion DE.1.0.7.0 --startMP 300:23690 --initTime 2016-08-25T15:18:25 --startdatetime 2016-08-25T15:29:29 --delay 11 --endMP 8.53958333333333 --enddatetime 2016-08-25T15:37:32 --enforcementcount 1 &gt;&gt;C:\Users\stu\Documents\GitHub\eaglep3-reporting\EC\2016-08-25-refined-times.txt</v>
      </c>
      <c r="AI210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95833330.9643"},{"id":17,"name":"Train ID","value":"904-25"},{"id":16,"name":"Locomotive ID","value":"4037"},{"id":130,"name":"Impact","value":""},{"id":150,"name":"Time of Event (Mountain Time)","value":"15:37:32"},{"id":151,"name":"Denver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687</v>
      </c>
      <c r="B211" s="7">
        <v>4013</v>
      </c>
      <c r="C211" s="24" t="s">
        <v>113</v>
      </c>
      <c r="D211" s="24" t="s">
        <v>578</v>
      </c>
      <c r="E211" s="15">
        <v>42607.941076388888</v>
      </c>
      <c r="F211" s="15">
        <v>42607.941712962966</v>
      </c>
      <c r="G211" s="7">
        <v>0</v>
      </c>
      <c r="H211" s="15" t="s">
        <v>688</v>
      </c>
      <c r="I211" s="15">
        <v>42607.946516203701</v>
      </c>
      <c r="J211" s="7">
        <v>1</v>
      </c>
      <c r="K211" s="132" t="str">
        <f t="shared" si="63"/>
        <v>4013/4014</v>
      </c>
      <c r="L211" s="24" t="str">
        <f>VLOOKUP(A211,'Trips&amp;Operators'!$C$1:$E$10000,3,FALSE)</f>
        <v>YANAI</v>
      </c>
      <c r="M211" s="6">
        <f t="shared" si="64"/>
        <v>4.8032407357823104E-3</v>
      </c>
      <c r="N211" s="7">
        <f t="shared" si="61"/>
        <v>6.9166666595265269</v>
      </c>
      <c r="O211" s="7"/>
      <c r="P211" s="7"/>
      <c r="Q211" s="25"/>
      <c r="R211" s="25"/>
      <c r="S211" s="37">
        <f t="shared" si="65"/>
        <v>0</v>
      </c>
      <c r="T211" s="52" t="str">
        <f t="shared" si="66"/>
        <v>Southbound</v>
      </c>
      <c r="U211" s="12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21:35:09-0600',mode:absolute,to:'2016-08-25 23:42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11" s="54" t="str">
        <f t="shared" si="68"/>
        <v>Y</v>
      </c>
      <c r="X211" s="120">
        <f t="shared" si="62"/>
        <v>4</v>
      </c>
      <c r="Y211" s="69">
        <f t="shared" si="69"/>
        <v>5.8628</v>
      </c>
      <c r="Z211" s="69">
        <f t="shared" si="70"/>
        <v>2.8782000000000001</v>
      </c>
      <c r="AA211" s="69">
        <f t="shared" si="71"/>
        <v>2.9845999999999999</v>
      </c>
      <c r="AB211" s="66" t="e">
        <f>VLOOKUP(A211,Enforcements!$C$7:$J$21,8,0)</f>
        <v>#N/A</v>
      </c>
      <c r="AC211" s="62" t="e">
        <f>VLOOKUP(A211,Enforcements!$C$7:$E$21,3,0)</f>
        <v>#N/A</v>
      </c>
      <c r="AD211" s="63" t="str">
        <f t="shared" si="72"/>
        <v>0908-25</v>
      </c>
      <c r="AE211" s="99" t="str">
        <f t="shared" si="73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211" s="96" t="str">
        <f t="shared" si="74"/>
        <v>"C:\Program Files (x86)\AstroGrep\AstroGrep.exe" /spath="%USERPROFILE%\AppData\Local\Temp\OnboardLogs" /stypes="*4013*20160826*" /stext=" 04:.+((SYSTEM_STATE.+slice.+state.+changed )|(ment ac)|(system.+state.+changed )|(\|lc)|(penalty)|(\[timeout)|(PRM\|1\|D)|(kpr)|(kdp))" /e /r /s</v>
      </c>
      <c r="AG211" s="1" t="str">
        <f t="shared" si="75"/>
        <v>Other</v>
      </c>
      <c r="AH211" s="100" t="str">
        <f t="shared" si="76"/>
        <v>"%USERPROFILE%\Documents\GitHub\eaglep3\Utilities\RefineRTDCRunTimes.py" --tripid 908-25 --locoid 4013 --swversion DE.1.0.7.0 --startMP 300:58628 --initTime 2016-08-25T22:35:09 --startdatetime 2016-08-25T22:36:04 --delay 0 --endMP 300:28782 --enddatetime 2016-08-25T22:42:59 --enforcementcount 1 &gt;&gt;C:\Users\stu\Documents\GitHub\eaglep3-reporting\EC\2016-08-25-refined-times.txt</v>
      </c>
      <c r="AI211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{"issue":{"subject":"","project_id":79,"tracker_id":40,"status_id":1,"priority_id":2,"assigned_to_id":23,"start_date":"2016-08-25","description":"","custom_fields":[{"id":1,"name":"Subdivision","value":"Other"},{"id":4,"name":"Milepost","value":"2.9846"},{"id":17,"name":"Train ID","value":"908-25"},{"id":16,"name":"Locomotive ID","value":"4013"},{"id":130,"name":"Impact","value":""},{"id":150,"name":"Time of Event (Mountain Time)","value":"22:42:59"},{"id":151,"name":"Denver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556</v>
      </c>
      <c r="B212" s="7">
        <v>4021</v>
      </c>
      <c r="C212" s="24" t="s">
        <v>113</v>
      </c>
      <c r="D212" s="24" t="s">
        <v>251</v>
      </c>
      <c r="E212" s="15">
        <v>42607.437777777777</v>
      </c>
      <c r="F212" s="15">
        <v>42607.438842592594</v>
      </c>
      <c r="G212" s="7">
        <v>1</v>
      </c>
      <c r="H212" s="15" t="s">
        <v>557</v>
      </c>
      <c r="I212" s="15">
        <v>42607.446215277778</v>
      </c>
      <c r="J212" s="7">
        <v>1</v>
      </c>
      <c r="K212" s="132" t="str">
        <f t="shared" si="63"/>
        <v>4021/4022</v>
      </c>
      <c r="L212" s="24" t="str">
        <f>VLOOKUP(A212,'Trips&amp;Operators'!$C$1:$E$10000,3,FALSE)</f>
        <v>ROBINSON</v>
      </c>
      <c r="M212" s="6">
        <f t="shared" si="64"/>
        <v>7.3726851842366159E-3</v>
      </c>
      <c r="N212" s="7">
        <f t="shared" si="61"/>
        <v>10.616666665300727</v>
      </c>
      <c r="O212" s="7"/>
      <c r="P212" s="7"/>
      <c r="Q212" s="25"/>
      <c r="R212" s="25"/>
      <c r="S212" s="37">
        <f t="shared" si="65"/>
        <v>0</v>
      </c>
      <c r="T212" s="52" t="e">
        <f t="shared" si="66"/>
        <v>#VALUE!</v>
      </c>
      <c r="U212" s="12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09:30:24-0600',mode:absolute,to:'2016-08-25 11:42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4021%22')),sort:!(Time,asc))</v>
      </c>
      <c r="W212" s="54" t="str">
        <f t="shared" si="68"/>
        <v>Y</v>
      </c>
      <c r="X212" s="120" t="e">
        <f t="shared" si="62"/>
        <v>#VALUE!</v>
      </c>
      <c r="Y212" s="69">
        <f t="shared" si="69"/>
        <v>2.4289999999999998</v>
      </c>
      <c r="Z212" s="69">
        <f t="shared" si="70"/>
        <v>8.6900000000000005E-2</v>
      </c>
      <c r="AA212" s="69">
        <f t="shared" si="71"/>
        <v>2.3420999999999998</v>
      </c>
      <c r="AB212" s="66" t="e">
        <f>VLOOKUP(A212,Enforcements!$C$7:$J$21,8,0)</f>
        <v>#N/A</v>
      </c>
      <c r="AC212" s="62" t="e">
        <f>VLOOKUP(A212,Enforcements!$C$7:$E$21,3,0)</f>
        <v>#N/A</v>
      </c>
      <c r="AD212" s="63" t="str">
        <f t="shared" si="72"/>
        <v>50-25</v>
      </c>
      <c r="AE212" s="99" t="str">
        <f t="shared" si="73"/>
        <v>aws s3 cp s3://rtdc.mdm.uploadarchive/RTDC4021/2016-08-25/ "%USERPROFILE%\AppData\Local\Temp\OnboardLogs"\RTDC4021\2016-08-25 --recursive &amp; "%USERPROFILE%\Documents\GitHub\mrs-test-scripts\Headless Mode &amp; Sideloading\WalkAndUnGZ.bat" "%USERPROFILE%\AppData\Local\Temp\OnboardLogs"\RTDC4021\2016-08-25 &amp; aws s3 cp s3://rtdc.mdm.uploadarchive/RTDC4021/2016-08-26/ "%USERPROFILE%\AppData\Local\Temp\OnboardLogs"\RTDC4021\2016-08-26 --recursive &amp; "%USERPROFILE%\Documents\GitHub\mrs-test-scripts\Headless Mode &amp; Sideloading\WalkAndUnGZ.bat" "%USERPROFILE%\AppData\Local\Temp\OnboardLogs"\RTDC4021\2016-08-26</v>
      </c>
      <c r="AF212" s="96" t="str">
        <f t="shared" si="74"/>
        <v>"C:\Program Files (x86)\AstroGrep\AstroGrep.exe" /spath="%USERPROFILE%\AppData\Local\Temp\OnboardLogs" /stypes="*4021*20160825*" /stext=" 16:.+((SYSTEM_STATE.+slice.+state.+changed )|(ment ac)|(system.+state.+changed )|(\|lc)|(penalty)|(\[timeout)|(PRM\|1\|D)|(kpr)|(kdp))" /e /r /s</v>
      </c>
      <c r="AG212" s="1" t="str">
        <f t="shared" si="75"/>
        <v>Other</v>
      </c>
      <c r="AH212" s="100" t="str">
        <f t="shared" si="76"/>
        <v>"%USERPROFILE%\Documents\GitHub\eaglep3\Utilities\RefineRTDCRunTimes.py" --tripid 50-25 --locoid 4021 --swversion DE.1.0.7.0 --startMP 300:24290 --initTime 2016-08-25T10:30:24 --startdatetime 2016-08-25T10:31:56 --delay 1 --endMP 204:869 --enddatetime 2016-08-25T10:42:33 --enforcementcount 1 &gt;&gt;C:\Users\stu\Documents\GitHub\eaglep3-reporting\EC\2016-08-25-refined-times.txt</v>
      </c>
      <c r="AI212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{"issue":{"subject":"","project_id":79,"tracker_id":40,"status_id":1,"priority_id":2,"assigned_to_id":23,"start_date":"2016-08-25","description":"","custom_fields":[{"id":1,"name":"Subdivision","value":"Other"},{"id":4,"name":"Milepost","value":"2.3421"},{"id":17,"name":"Train ID","value":"50-25"},{"id":16,"name":"Locomotive ID","value":"4021"},{"id":130,"name":"Impact","value":""},{"id":150,"name":"Time of Event (Mountain Time)","value":"10:42:33"},{"id":151,"name":"Denver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558</v>
      </c>
      <c r="B213" s="7">
        <v>4053</v>
      </c>
      <c r="C213" s="24" t="s">
        <v>113</v>
      </c>
      <c r="D213" s="24" t="s">
        <v>559</v>
      </c>
      <c r="E213" s="15">
        <v>42607.472002314818</v>
      </c>
      <c r="F213" s="15">
        <v>42607.474062499998</v>
      </c>
      <c r="G213" s="7">
        <v>2</v>
      </c>
      <c r="H213" s="15" t="s">
        <v>560</v>
      </c>
      <c r="I213" s="15">
        <v>42607.481944444444</v>
      </c>
      <c r="J213" s="7">
        <v>1</v>
      </c>
      <c r="K213" s="132" t="str">
        <f t="shared" si="63"/>
        <v>4053/4054</v>
      </c>
      <c r="L213" s="24" t="str">
        <f>VLOOKUP(A213,'Trips&amp;Operators'!$C$1:$E$10000,3,FALSE)</f>
        <v>SPECTOR</v>
      </c>
      <c r="M213" s="6">
        <f t="shared" si="64"/>
        <v>7.8819444461259991E-3</v>
      </c>
      <c r="N213" s="7">
        <f t="shared" si="61"/>
        <v>11.350000002421439</v>
      </c>
      <c r="O213" s="7"/>
      <c r="P213" s="7"/>
      <c r="Q213" s="25"/>
      <c r="R213" s="25"/>
      <c r="S213" s="37">
        <f t="shared" si="65"/>
        <v>0</v>
      </c>
      <c r="T213" s="52" t="e">
        <f t="shared" si="66"/>
        <v>#VALUE!</v>
      </c>
      <c r="U213" s="12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10:19:41-0600',mode:absolute,to:'2016-08-25 12:34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</c>
      <c r="W213" s="54" t="str">
        <f t="shared" si="68"/>
        <v>Y</v>
      </c>
      <c r="X213" s="120" t="e">
        <f t="shared" si="62"/>
        <v>#VALUE!</v>
      </c>
      <c r="Y213" s="69">
        <f t="shared" si="69"/>
        <v>0.15429999999999999</v>
      </c>
      <c r="Z213" s="69">
        <f t="shared" si="70"/>
        <v>2.4201000000000001</v>
      </c>
      <c r="AA213" s="69">
        <f t="shared" si="71"/>
        <v>2.2658</v>
      </c>
      <c r="AB213" s="66" t="e">
        <f>VLOOKUP(A213,Enforcements!$C$7:$J$21,8,0)</f>
        <v>#N/A</v>
      </c>
      <c r="AC213" s="62" t="e">
        <f>VLOOKUP(A213,Enforcements!$C$7:$E$21,3,0)</f>
        <v>#N/A</v>
      </c>
      <c r="AD213" s="63" t="str">
        <f t="shared" si="72"/>
        <v>51-25</v>
      </c>
      <c r="AE213" s="99" t="str">
        <f t="shared" si="73"/>
        <v>aws s3 cp s3://rtdc.mdm.uploadarchive/RTDC4053/2016-08-25/ "%USERPROFILE%\AppData\Local\Temp\OnboardLogs"\RTDC4053\2016-08-25 --recursive &amp; "%USERPROFILE%\Documents\GitHub\mrs-test-scripts\Headless Mode &amp; Sideloading\WalkAndUnGZ.bat" "%USERPROFILE%\AppData\Local\Temp\OnboardLogs"\RTDC4053\2016-08-25 &amp; aws s3 cp s3://rtdc.mdm.uploadarchive/RTDC4053/2016-08-26/ "%USERPROFILE%\AppData\Local\Temp\OnboardLogs"\RTDC4053\2016-08-26 --recursive &amp; "%USERPROFILE%\Documents\GitHub\mrs-test-scripts\Headless Mode &amp; Sideloading\WalkAndUnGZ.bat" "%USERPROFILE%\AppData\Local\Temp\OnboardLogs"\RTDC4053\2016-08-26</v>
      </c>
      <c r="AF213" s="96" t="str">
        <f t="shared" si="74"/>
        <v>"C:\Program Files (x86)\AstroGrep\AstroGrep.exe" /spath="%USERPROFILE%\AppData\Local\Temp\OnboardLogs" /stypes="*4053*20160825*" /stext=" 17:.+((SYSTEM_STATE.+slice.+state.+changed )|(ment ac)|(system.+state.+changed )|(\|lc)|(penalty)|(\[timeout)|(PRM\|1\|D)|(kpr)|(kdp))" /e /r /s</v>
      </c>
      <c r="AG213" s="1" t="str">
        <f t="shared" si="75"/>
        <v>Other</v>
      </c>
      <c r="AH213" s="100" t="str">
        <f t="shared" si="76"/>
        <v>"%USERPROFILE%\Documents\GitHub\eaglep3\Utilities\RefineRTDCRunTimes.py" --tripid 51-25 --locoid 4053 --swversion DE.1.0.7.0 --startMP 204:1543 --initTime 2016-08-25T11:19:41 --startdatetime 2016-08-25T11:22:39 --delay 2 --endMP 300:24201 --enddatetime 2016-08-25T11:34:00 --enforcementcount 1 &gt;&gt;C:\Users\stu\Documents\GitHub\eaglep3-reporting\EC\2016-08-25-refined-times.txt</v>
      </c>
      <c r="AI213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{"issue":{"subject":"","project_id":79,"tracker_id":40,"status_id":1,"priority_id":2,"assigned_to_id":23,"start_date":"2016-08-25","description":"","custom_fields":[{"id":1,"name":"Subdivision","value":"Other"},{"id":4,"name":"Milepost","value":"2.2658"},{"id":17,"name":"Train ID","value":"51-25"},{"id":16,"name":"Locomotive ID","value":"4053"},{"id":130,"name":"Impact","value":""},{"id":150,"name":"Time of Event (Mountain Time)","value":"11:34:00"},{"id":151,"name":"Denver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561</v>
      </c>
      <c r="B214" s="7">
        <v>4054</v>
      </c>
      <c r="C214" s="24" t="s">
        <v>113</v>
      </c>
      <c r="D214" s="24" t="s">
        <v>562</v>
      </c>
      <c r="E214" s="15">
        <v>42607.456805555557</v>
      </c>
      <c r="F214" s="15">
        <v>42607.460451388892</v>
      </c>
      <c r="G214" s="7">
        <v>5</v>
      </c>
      <c r="H214" s="15" t="s">
        <v>563</v>
      </c>
      <c r="I214" s="15">
        <v>42607.466620370367</v>
      </c>
      <c r="J214" s="7">
        <v>1</v>
      </c>
      <c r="K214" s="132" t="str">
        <f t="shared" si="63"/>
        <v>4053/4054</v>
      </c>
      <c r="L214" s="24" t="str">
        <f>VLOOKUP(A214,'Trips&amp;Operators'!$C$1:$E$10000,3,FALSE)</f>
        <v>MOSES</v>
      </c>
      <c r="M214" s="6">
        <f t="shared" si="64"/>
        <v>6.168981475639157E-3</v>
      </c>
      <c r="N214" s="7">
        <f t="shared" ref="N214:N219" si="78">24*60*SUM($M214:$M214)</f>
        <v>8.8833333249203861</v>
      </c>
      <c r="O214" s="7"/>
      <c r="P214" s="7"/>
      <c r="Q214" s="25"/>
      <c r="R214" s="25"/>
      <c r="S214" s="37">
        <f t="shared" si="65"/>
        <v>0</v>
      </c>
      <c r="T214" s="52" t="e">
        <f t="shared" si="66"/>
        <v>#VALUE!</v>
      </c>
      <c r="U214" s="12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09:57:48-0600',mode:absolute,to:'2016-08-25 12:11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</c>
      <c r="W214" s="54" t="str">
        <f t="shared" si="68"/>
        <v>Y</v>
      </c>
      <c r="X214" s="120" t="e">
        <f t="shared" si="62"/>
        <v>#VALUE!</v>
      </c>
      <c r="Y214" s="69">
        <f t="shared" si="69"/>
        <v>2.3639000000000001</v>
      </c>
      <c r="Z214" s="69">
        <f t="shared" si="70"/>
        <v>0.1216</v>
      </c>
      <c r="AA214" s="69">
        <f t="shared" si="71"/>
        <v>2.2423000000000002</v>
      </c>
      <c r="AB214" s="66" t="e">
        <f>VLOOKUP(A214,Enforcements!$C$7:$J$21,8,0)</f>
        <v>#N/A</v>
      </c>
      <c r="AC214" s="62" t="e">
        <f>VLOOKUP(A214,Enforcements!$C$7:$E$21,3,0)</f>
        <v>#N/A</v>
      </c>
      <c r="AD214" s="63" t="str">
        <f t="shared" si="72"/>
        <v>52-25</v>
      </c>
      <c r="AE214" s="99" t="str">
        <f t="shared" si="73"/>
        <v>aws s3 cp s3://rtdc.mdm.uploadarchive/RTDC4054/2016-08-25/ "%USERPROFILE%\AppData\Local\Temp\OnboardLogs"\RTDC4054\2016-08-25 --recursive &amp; "%USERPROFILE%\Documents\GitHub\mrs-test-scripts\Headless Mode &amp; Sideloading\WalkAndUnGZ.bat" "%USERPROFILE%\AppData\Local\Temp\OnboardLogs"\RTDC4054\2016-08-25 &amp; aws s3 cp s3://rtdc.mdm.uploadarchive/RTDC4054/2016-08-26/ "%USERPROFILE%\AppData\Local\Temp\OnboardLogs"\RTDC4054\2016-08-26 --recursive &amp; "%USERPROFILE%\Documents\GitHub\mrs-test-scripts\Headless Mode &amp; Sideloading\WalkAndUnGZ.bat" "%USERPROFILE%\AppData\Local\Temp\OnboardLogs"\RTDC4054\2016-08-26</v>
      </c>
      <c r="AF214" s="96" t="str">
        <f t="shared" si="74"/>
        <v>"C:\Program Files (x86)\AstroGrep\AstroGrep.exe" /spath="%USERPROFILE%\AppData\Local\Temp\OnboardLogs" /stypes="*4054*20160825*" /stext=" 17:.+((SYSTEM_STATE.+slice.+state.+changed )|(ment ac)|(system.+state.+changed )|(\|lc)|(penalty)|(\[timeout)|(PRM\|1\|D)|(kpr)|(kdp))" /e /r /s</v>
      </c>
      <c r="AG214" s="1" t="str">
        <f t="shared" si="75"/>
        <v>Other</v>
      </c>
      <c r="AH214" s="100" t="str">
        <f t="shared" si="76"/>
        <v>"%USERPROFILE%\Documents\GitHub\eaglep3\Utilities\RefineRTDCRunTimes.py" --tripid 52-25 --locoid 4054 --swversion DE.1.0.7.0 --startMP 300:23639 --initTime 2016-08-25T10:57:48 --startdatetime 2016-08-25T11:03:03 --delay 5 --endMP 204:1216 --enddatetime 2016-08-25T11:11:56 --enforcementcount 1 &gt;&gt;C:\Users\stu\Documents\GitHub\eaglep3-reporting\EC\2016-08-25-refined-times.txt</v>
      </c>
      <c r="AI214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{"issue":{"subject":"","project_id":79,"tracker_id":40,"status_id":1,"priority_id":2,"assigned_to_id":23,"start_date":"2016-08-25","description":"","custom_fields":[{"id":1,"name":"Subdivision","value":"Other"},{"id":4,"name":"Milepost","value":"2.2423"},{"id":17,"name":"Train ID","value":"52-25"},{"id":16,"name":"Locomotive ID","value":"4054"},{"id":130,"name":"Impact","value":""},{"id":150,"name":"Time of Event (Mountain Time)","value":"11:11:56"},{"id":151,"name":"Denver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564</v>
      </c>
      <c r="B215" s="7">
        <v>4022</v>
      </c>
      <c r="C215" s="24" t="s">
        <v>113</v>
      </c>
      <c r="D215" s="24" t="s">
        <v>565</v>
      </c>
      <c r="E215" s="15">
        <v>42607.490879629629</v>
      </c>
      <c r="F215" s="15">
        <v>42607.491759259261</v>
      </c>
      <c r="G215" s="7">
        <v>1</v>
      </c>
      <c r="H215" s="15" t="s">
        <v>566</v>
      </c>
      <c r="I215" s="15">
        <v>42607.509780092594</v>
      </c>
      <c r="J215" s="7">
        <v>1</v>
      </c>
      <c r="K215" s="132" t="str">
        <f t="shared" si="63"/>
        <v>4021/4022</v>
      </c>
      <c r="L215" s="24" t="str">
        <f>VLOOKUP(A215,'Trips&amp;Operators'!$C$1:$E$10000,3,FALSE)</f>
        <v>SMITH</v>
      </c>
      <c r="M215" s="6">
        <f t="shared" si="64"/>
        <v>1.8020833333139308E-2</v>
      </c>
      <c r="N215" s="7">
        <f t="shared" si="78"/>
        <v>25.949999999720603</v>
      </c>
      <c r="O215" s="7"/>
      <c r="P215" s="7"/>
      <c r="Q215" s="25"/>
      <c r="R215" s="25"/>
      <c r="S215" s="37">
        <f t="shared" si="65"/>
        <v>0</v>
      </c>
      <c r="T215" s="52" t="e">
        <f t="shared" si="66"/>
        <v>#VALUE!</v>
      </c>
      <c r="U215" s="12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10:46:52-0600',mode:absolute,to:'2016-08-25 13:14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</c>
      <c r="W215" s="54" t="str">
        <f t="shared" si="68"/>
        <v>Y</v>
      </c>
      <c r="X215" s="120" t="e">
        <f t="shared" si="62"/>
        <v>#VALUE!</v>
      </c>
      <c r="Y215" s="69">
        <f t="shared" si="69"/>
        <v>0.1196</v>
      </c>
      <c r="Z215" s="69">
        <f t="shared" si="70"/>
        <v>2.4214000000000002</v>
      </c>
      <c r="AA215" s="69">
        <f t="shared" si="71"/>
        <v>2.3018000000000001</v>
      </c>
      <c r="AB215" s="66" t="e">
        <f>VLOOKUP(A215,Enforcements!$C$7:$J$21,8,0)</f>
        <v>#N/A</v>
      </c>
      <c r="AC215" s="62" t="e">
        <f>VLOOKUP(A215,Enforcements!$C$7:$E$21,3,0)</f>
        <v>#N/A</v>
      </c>
      <c r="AD215" s="63" t="str">
        <f t="shared" si="72"/>
        <v>53-25</v>
      </c>
      <c r="AE215" s="99" t="str">
        <f t="shared" si="73"/>
        <v>aws s3 cp s3://rtdc.mdm.uploadarchive/RTDC4022/2016-08-25/ "%USERPROFILE%\AppData\Local\Temp\OnboardLogs"\RTDC4022\2016-08-25 --recursive &amp; "%USERPROFILE%\Documents\GitHub\mrs-test-scripts\Headless Mode &amp; Sideloading\WalkAndUnGZ.bat" "%USERPROFILE%\AppData\Local\Temp\OnboardLogs"\RTDC4022\2016-08-25 &amp; aws s3 cp s3://rtdc.mdm.uploadarchive/RTDC4022/2016-08-26/ "%USERPROFILE%\AppData\Local\Temp\OnboardLogs"\RTDC4022\2016-08-26 --recursive &amp; "%USERPROFILE%\Documents\GitHub\mrs-test-scripts\Headless Mode &amp; Sideloading\WalkAndUnGZ.bat" "%USERPROFILE%\AppData\Local\Temp\OnboardLogs"\RTDC4022\2016-08-26</v>
      </c>
      <c r="AF215" s="96" t="str">
        <f t="shared" si="74"/>
        <v>"C:\Program Files (x86)\AstroGrep\AstroGrep.exe" /spath="%USERPROFILE%\AppData\Local\Temp\OnboardLogs" /stypes="*4022*20160825*" /stext=" 18:.+((SYSTEM_STATE.+slice.+state.+changed )|(ment ac)|(system.+state.+changed )|(\|lc)|(penalty)|(\[timeout)|(PRM\|1\|D)|(kpr)|(kdp))" /e /r /s</v>
      </c>
      <c r="AG215" s="1" t="str">
        <f t="shared" si="75"/>
        <v>Other</v>
      </c>
      <c r="AH215" s="100" t="str">
        <f t="shared" si="76"/>
        <v>"%USERPROFILE%\Documents\GitHub\eaglep3\Utilities\RefineRTDCRunTimes.py" --tripid 53-25 --locoid 4022 --swversion DE.1.0.7.0 --startMP 204:1196 --initTime 2016-08-25T11:46:52 --startdatetime 2016-08-25T11:48:08 --delay 1 --endMP 300:24214 --enddatetime 2016-08-25T12:14:05 --enforcementcount 1 &gt;&gt;C:\Users\stu\Documents\GitHub\eaglep3-reporting\EC\2016-08-25-refined-times.txt</v>
      </c>
      <c r="AI215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{"issue":{"subject":"","project_id":79,"tracker_id":40,"status_id":1,"priority_id":2,"assigned_to_id":23,"start_date":"2016-08-25","description":"","custom_fields":[{"id":1,"name":"Subdivision","value":"Other"},{"id":4,"name":"Milepost","value":"2.3018"},{"id":17,"name":"Train ID","value":"53-25"},{"id":16,"name":"Locomotive ID","value":"4022"},{"id":130,"name":"Impact","value":""},{"id":150,"name":"Time of Event (Mountain Time)","value":"12:14:05"},{"id":151,"name":"Denver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567</v>
      </c>
      <c r="B216" s="7">
        <v>4026</v>
      </c>
      <c r="C216" s="24" t="s">
        <v>113</v>
      </c>
      <c r="D216" s="24" t="s">
        <v>568</v>
      </c>
      <c r="E216" s="15">
        <v>42607.736574074072</v>
      </c>
      <c r="F216" s="15">
        <v>42607.741435185184</v>
      </c>
      <c r="G216" s="7">
        <v>6</v>
      </c>
      <c r="H216" s="15" t="s">
        <v>569</v>
      </c>
      <c r="I216" s="15">
        <v>42607.742442129631</v>
      </c>
      <c r="J216" s="7">
        <v>1</v>
      </c>
      <c r="K216" s="132" t="str">
        <f t="shared" si="63"/>
        <v>4025/4026</v>
      </c>
      <c r="L216" s="24" t="str">
        <f>VLOOKUP(A216,'Trips&amp;Operators'!$C$1:$E$10000,3,FALSE)</f>
        <v>SWANSON</v>
      </c>
      <c r="M216" s="6">
        <f t="shared" si="64"/>
        <v>1.006944446999114E-3</v>
      </c>
      <c r="N216" s="7">
        <f t="shared" si="78"/>
        <v>1.4500000036787242</v>
      </c>
      <c r="O216" s="7"/>
      <c r="P216" s="7"/>
      <c r="Q216" s="25"/>
      <c r="R216" s="25"/>
      <c r="S216" s="37">
        <f t="shared" si="65"/>
        <v>0</v>
      </c>
      <c r="T216" s="52" t="e">
        <f t="shared" si="66"/>
        <v>#VALUE!</v>
      </c>
      <c r="U216" s="12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16:40:40-0600',mode:absolute,to:'2016-08-25 18:49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216" s="54" t="str">
        <f t="shared" si="68"/>
        <v>Y</v>
      </c>
      <c r="X216" s="120" t="e">
        <f t="shared" si="62"/>
        <v>#VALUE!</v>
      </c>
      <c r="Y216" s="69">
        <f t="shared" si="69"/>
        <v>2.2917000000000001</v>
      </c>
      <c r="Z216" s="69">
        <f t="shared" si="70"/>
        <v>2.2698</v>
      </c>
      <c r="AA216" s="69">
        <f t="shared" si="71"/>
        <v>2.1900000000000031E-2</v>
      </c>
      <c r="AB216" s="66" t="e">
        <f>VLOOKUP(A216,Enforcements!$C$7:$J$21,8,0)</f>
        <v>#N/A</v>
      </c>
      <c r="AC216" s="62" t="e">
        <f>VLOOKUP(A216,Enforcements!$C$7:$E$21,3,0)</f>
        <v>#N/A</v>
      </c>
      <c r="AD216" s="63" t="str">
        <f t="shared" si="72"/>
        <v>54-25</v>
      </c>
      <c r="AE216" s="99" t="str">
        <f t="shared" si="73"/>
        <v>aws s3 cp s3://rtdc.mdm.uploadarchive/RTDC4026/2016-08-25/ "%USERPROFILE%\AppData\Local\Temp\OnboardLogs"\RTDC4026\2016-08-25 --recursive &amp; "%USERPROFILE%\Documents\GitHub\mrs-test-scripts\Headless Mode &amp; Sideloading\WalkAndUnGZ.bat" "%USERPROFILE%\AppData\Local\Temp\OnboardLogs"\RTDC4026\2016-08-25 &amp; 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</v>
      </c>
      <c r="AF216" s="96" t="str">
        <f t="shared" si="74"/>
        <v>"C:\Program Files (x86)\AstroGrep\AstroGrep.exe" /spath="%USERPROFILE%\AppData\Local\Temp\OnboardLogs" /stypes="*4026*20160825*" /stext=" 23:.+((SYSTEM_STATE.+slice.+state.+changed )|(ment ac)|(system.+state.+changed )|(\|lc)|(penalty)|(\[timeout)|(PRM\|1\|D)|(kpr)|(kdp))" /e /r /s</v>
      </c>
      <c r="AG216" s="1" t="str">
        <f t="shared" si="75"/>
        <v>Other</v>
      </c>
      <c r="AH216" s="100" t="str">
        <f t="shared" si="76"/>
        <v>"%USERPROFILE%\Documents\GitHub\eaglep3\Utilities\RefineRTDCRunTimes.py" --tripid 54-25 --locoid 4026 --swversion DE.1.0.7.0 --startMP 300:22917 --initTime 2016-08-25T17:40:40 --startdatetime 2016-08-25T17:47:40 --delay 6 --endMP 300:22698 --enddatetime 2016-08-25T17:49:07 --enforcementcount 1 &gt;&gt;C:\Users\stu\Documents\GitHub\eaglep3-reporting\EC\2016-08-25-refined-times.txt</v>
      </c>
      <c r="AI216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{"issue":{"subject":"","project_id":79,"tracker_id":40,"status_id":1,"priority_id":2,"assigned_to_id":23,"start_date":"2016-08-25","description":"","custom_fields":[{"id":1,"name":"Subdivision","value":"Other"},{"id":4,"name":"Milepost","value":"0.0219"},{"id":17,"name":"Train ID","value":"54-25"},{"id":16,"name":"Locomotive ID","value":"4026"},{"id":130,"name":"Impact","value":""},{"id":150,"name":"Time of Event (Mountain Time)","value":"17:49:07"},{"id":151,"name":"Denver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570</v>
      </c>
      <c r="B217" s="7">
        <v>4002</v>
      </c>
      <c r="C217" s="24" t="s">
        <v>113</v>
      </c>
      <c r="D217" s="24" t="s">
        <v>571</v>
      </c>
      <c r="E217" s="15">
        <v>42607.761863425927</v>
      </c>
      <c r="F217" s="15">
        <v>42607.762766203705</v>
      </c>
      <c r="G217" s="7">
        <v>1</v>
      </c>
      <c r="H217" s="15" t="s">
        <v>336</v>
      </c>
      <c r="I217" s="15">
        <v>42607.794479166667</v>
      </c>
      <c r="J217" s="7">
        <v>1</v>
      </c>
      <c r="K217" s="132" t="str">
        <f t="shared" si="63"/>
        <v>4001/4002</v>
      </c>
      <c r="L217" s="24" t="str">
        <f>VLOOKUP(A217,'Trips&amp;Operators'!$C$1:$E$10000,3,FALSE)</f>
        <v>SHOOK</v>
      </c>
      <c r="M217" s="6">
        <f t="shared" si="64"/>
        <v>3.1712962962046731E-2</v>
      </c>
      <c r="N217" s="7">
        <f t="shared" si="78"/>
        <v>45.666666665347293</v>
      </c>
      <c r="O217" s="7"/>
      <c r="P217" s="7"/>
      <c r="Q217" s="25"/>
      <c r="R217" s="25"/>
      <c r="S217" s="37">
        <f t="shared" si="65"/>
        <v>0</v>
      </c>
      <c r="T217" s="52" t="e">
        <f t="shared" si="66"/>
        <v>#VALUE!</v>
      </c>
      <c r="U217" s="12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17:17:05-0600',mode:absolute,to:'2016-08-25 20:04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17" s="54" t="str">
        <f t="shared" si="68"/>
        <v>Y</v>
      </c>
      <c r="X217" s="120" t="e">
        <f t="shared" si="62"/>
        <v>#VALUE!</v>
      </c>
      <c r="Y217" s="69">
        <f t="shared" si="69"/>
        <v>0.14879999999999999</v>
      </c>
      <c r="Z217" s="69">
        <f t="shared" si="70"/>
        <v>2.3302</v>
      </c>
      <c r="AA217" s="69">
        <f t="shared" si="71"/>
        <v>2.1814</v>
      </c>
      <c r="AB217" s="66" t="e">
        <f>VLOOKUP(A217,Enforcements!$C$7:$J$21,8,0)</f>
        <v>#N/A</v>
      </c>
      <c r="AC217" s="62" t="e">
        <f>VLOOKUP(A217,Enforcements!$C$7:$E$21,3,0)</f>
        <v>#N/A</v>
      </c>
      <c r="AD217" s="63" t="str">
        <f t="shared" si="72"/>
        <v>55-25</v>
      </c>
      <c r="AE217" s="99" t="str">
        <f t="shared" si="73"/>
        <v>aws s3 cp s3://rtdc.mdm.uploadarchive/RTDC4002/2016-08-25/ "%USERPROFILE%\AppData\Local\Temp\OnboardLogs"\RTDC4002\2016-08-25 --recursive &amp; "%USERPROFILE%\Documents\GitHub\mrs-test-scripts\Headless Mode &amp; Sideloading\WalkAndUnGZ.bat" "%USERPROFILE%\AppData\Local\Temp\OnboardLogs"\RTDC4002\2016-08-25 &amp; aws s3 cp s3://rtdc.mdm.uploadarchive/RTDC4002/2016-08-26/ "%USERPROFILE%\AppData\Local\Temp\OnboardLogs"\RTDC4002\2016-08-26 --recursive &amp; "%USERPROFILE%\Documents\GitHub\mrs-test-scripts\Headless Mode &amp; Sideloading\WalkAndUnGZ.bat" "%USERPROFILE%\AppData\Local\Temp\OnboardLogs"\RTDC4002\2016-08-26</v>
      </c>
      <c r="AF217" s="96" t="str">
        <f t="shared" si="74"/>
        <v>"C:\Program Files (x86)\AstroGrep\AstroGrep.exe" /spath="%USERPROFILE%\AppData\Local\Temp\OnboardLogs" /stypes="*4002*20160826*" /stext=" 01:.+((SYSTEM_STATE.+slice.+state.+changed )|(ment ac)|(system.+state.+changed )|(\|lc)|(penalty)|(\[timeout)|(PRM\|1\|D)|(kpr)|(kdp))" /e /r /s</v>
      </c>
      <c r="AG217" s="1" t="str">
        <f t="shared" si="75"/>
        <v>Other</v>
      </c>
      <c r="AH217" s="100" t="str">
        <f t="shared" si="76"/>
        <v>"%USERPROFILE%\Documents\GitHub\eaglep3\Utilities\RefineRTDCRunTimes.py" --tripid 55-25 --locoid 4002 --swversion DE.1.0.7.0 --startMP 204:1488 --initTime 2016-08-25T18:17:05 --startdatetime 2016-08-25T18:18:23 --delay 1 --endMP 300:23302 --enddatetime 2016-08-25T19:04:03 --enforcementcount 1 &gt;&gt;C:\Users\stu\Documents\GitHub\eaglep3-reporting\EC\2016-08-25-refined-times.txt</v>
      </c>
      <c r="AI217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{"issue":{"subject":"","project_id":79,"tracker_id":40,"status_id":1,"priority_id":2,"assigned_to_id":23,"start_date":"2016-08-25","description":"","custom_fields":[{"id":1,"name":"Subdivision","value":"Other"},{"id":4,"name":"Milepost","value":"2.1814"},{"id":17,"name":"Train ID","value":"55-25"},{"id":16,"name":"Locomotive ID","value":"4002"},{"id":130,"name":"Impact","value":""},{"id":150,"name":"Time of Event (Mountain Time)","value":"19:04:03"},{"id":151,"name":"Denver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572</v>
      </c>
      <c r="B218" s="7">
        <v>4021</v>
      </c>
      <c r="C218" s="24" t="s">
        <v>113</v>
      </c>
      <c r="D218" s="24" t="s">
        <v>573</v>
      </c>
      <c r="E218" s="15">
        <v>42607.754803240743</v>
      </c>
      <c r="F218" s="15">
        <v>42607.758784722224</v>
      </c>
      <c r="G218" s="7">
        <v>5</v>
      </c>
      <c r="H218" s="15" t="s">
        <v>327</v>
      </c>
      <c r="I218" s="15">
        <v>42607.765555555554</v>
      </c>
      <c r="J218" s="7">
        <v>1</v>
      </c>
      <c r="K218" s="132" t="str">
        <f t="shared" si="63"/>
        <v>4021/4022</v>
      </c>
      <c r="L218" s="24" t="str">
        <f>VLOOKUP(A218,'Trips&amp;Operators'!$C$1:$E$10000,3,FALSE)</f>
        <v>STURGEON</v>
      </c>
      <c r="M218" s="6">
        <f t="shared" si="64"/>
        <v>6.7708333299378864E-3</v>
      </c>
      <c r="N218" s="7">
        <f t="shared" si="78"/>
        <v>9.7499999951105565</v>
      </c>
      <c r="O218" s="7"/>
      <c r="P218" s="7"/>
      <c r="Q218" s="25"/>
      <c r="R218" s="25"/>
      <c r="S218" s="37">
        <f t="shared" si="65"/>
        <v>0</v>
      </c>
      <c r="T218" s="52" t="e">
        <f t="shared" si="66"/>
        <v>#VALUE!</v>
      </c>
      <c r="U218" s="12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17:06:55-0600',mode:absolute,to:'2016-08-25 19:22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4021%22')),sort:!(Time,asc))</v>
      </c>
      <c r="W218" s="54" t="str">
        <f t="shared" si="68"/>
        <v>Y</v>
      </c>
      <c r="X218" s="120" t="e">
        <f t="shared" si="62"/>
        <v>#VALUE!</v>
      </c>
      <c r="Y218" s="69">
        <f t="shared" si="69"/>
        <v>2.347</v>
      </c>
      <c r="Z218" s="69">
        <f t="shared" si="70"/>
        <v>1.6899999999999998E-2</v>
      </c>
      <c r="AA218" s="69">
        <f t="shared" si="71"/>
        <v>2.3300999999999998</v>
      </c>
      <c r="AB218" s="66" t="e">
        <f>VLOOKUP(A218,Enforcements!$C$7:$J$21,8,0)</f>
        <v>#N/A</v>
      </c>
      <c r="AC218" s="62" t="e">
        <f>VLOOKUP(A218,Enforcements!$C$7:$E$21,3,0)</f>
        <v>#N/A</v>
      </c>
      <c r="AD218" s="63" t="str">
        <f t="shared" si="72"/>
        <v>56-25</v>
      </c>
      <c r="AE218" s="99" t="str">
        <f t="shared" si="73"/>
        <v>aws s3 cp s3://rtdc.mdm.uploadarchive/RTDC4021/2016-08-25/ "%USERPROFILE%\AppData\Local\Temp\OnboardLogs"\RTDC4021\2016-08-25 --recursive &amp; "%USERPROFILE%\Documents\GitHub\mrs-test-scripts\Headless Mode &amp; Sideloading\WalkAndUnGZ.bat" "%USERPROFILE%\AppData\Local\Temp\OnboardLogs"\RTDC4021\2016-08-25 &amp; aws s3 cp s3://rtdc.mdm.uploadarchive/RTDC4021/2016-08-26/ "%USERPROFILE%\AppData\Local\Temp\OnboardLogs"\RTDC4021\2016-08-26 --recursive &amp; "%USERPROFILE%\Documents\GitHub\mrs-test-scripts\Headless Mode &amp; Sideloading\WalkAndUnGZ.bat" "%USERPROFILE%\AppData\Local\Temp\OnboardLogs"\RTDC4021\2016-08-26</v>
      </c>
      <c r="AF218" s="96" t="str">
        <f t="shared" si="74"/>
        <v>"C:\Program Files (x86)\AstroGrep\AstroGrep.exe" /spath="%USERPROFILE%\AppData\Local\Temp\OnboardLogs" /stypes="*4021*20160826*" /stext=" 00:.+((SYSTEM_STATE.+slice.+state.+changed )|(ment ac)|(system.+state.+changed )|(\|lc)|(penalty)|(\[timeout)|(PRM\|1\|D)|(kpr)|(kdp))" /e /r /s</v>
      </c>
      <c r="AG218" s="1" t="str">
        <f t="shared" si="75"/>
        <v>Other</v>
      </c>
      <c r="AH218" s="100" t="str">
        <f t="shared" si="76"/>
        <v>"%USERPROFILE%\Documents\GitHub\eaglep3\Utilities\RefineRTDCRunTimes.py" --tripid 56-25 --locoid 4021 --swversion DE.1.0.7.0 --startMP 300:23470 --initTime 2016-08-25T18:06:55 --startdatetime 2016-08-25T18:12:39 --delay 5 --endMP 204:169 --enddatetime 2016-08-25T18:22:24 --enforcementcount 1 &gt;&gt;C:\Users\stu\Documents\GitHub\eaglep3-reporting\EC\2016-08-25-refined-times.txt</v>
      </c>
      <c r="AI218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{"issue":{"subject":"","project_id":79,"tracker_id":40,"status_id":1,"priority_id":2,"assigned_to_id":23,"start_date":"2016-08-25","description":"","custom_fields":[{"id":1,"name":"Subdivision","value":"Other"},{"id":4,"name":"Milepost","value":"2.3301"},{"id":17,"name":"Train ID","value":"56-25"},{"id":16,"name":"Locomotive ID","value":"4021"},{"id":130,"name":"Impact","value":""},{"id":150,"name":"Time of Event (Mountain Time)","value":"18:22:24"},{"id":151,"name":"Denver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574</v>
      </c>
      <c r="B219" s="7">
        <v>4022</v>
      </c>
      <c r="C219" s="24" t="s">
        <v>113</v>
      </c>
      <c r="D219" s="24" t="s">
        <v>575</v>
      </c>
      <c r="E219" s="15">
        <v>42607.777048611111</v>
      </c>
      <c r="F219" s="15">
        <v>42607.778113425928</v>
      </c>
      <c r="G219" s="7">
        <v>1</v>
      </c>
      <c r="H219" s="15" t="s">
        <v>576</v>
      </c>
      <c r="I219" s="15">
        <v>42607.80395833333</v>
      </c>
      <c r="J219" s="7">
        <v>1</v>
      </c>
      <c r="K219" s="132" t="str">
        <f t="shared" si="63"/>
        <v>4021/4022</v>
      </c>
      <c r="L219" s="24" t="str">
        <f>VLOOKUP(A219,'Trips&amp;Operators'!$C$1:$E$10000,3,FALSE)</f>
        <v>MOSES</v>
      </c>
      <c r="M219" s="6">
        <f t="shared" si="64"/>
        <v>2.5844907402643003E-2</v>
      </c>
      <c r="N219" s="7">
        <f t="shared" si="78"/>
        <v>37.216666659805924</v>
      </c>
      <c r="O219" s="7"/>
      <c r="P219" s="7"/>
      <c r="Q219" s="25"/>
      <c r="R219" s="25"/>
      <c r="S219" s="37">
        <f t="shared" si="65"/>
        <v>0</v>
      </c>
      <c r="T219" s="52" t="e">
        <f t="shared" si="66"/>
        <v>#VALUE!</v>
      </c>
      <c r="U219" s="12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17:38:57-0600',mode:absolute,to:'2016-08-25 20:17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</c>
      <c r="W219" s="54" t="str">
        <f t="shared" si="68"/>
        <v>Y</v>
      </c>
      <c r="X219" s="120" t="e">
        <f t="shared" si="62"/>
        <v>#VALUE!</v>
      </c>
      <c r="Y219" s="69">
        <f t="shared" si="69"/>
        <v>4.9799999999999997E-2</v>
      </c>
      <c r="Z219" s="69">
        <f t="shared" si="70"/>
        <v>2.4205000000000001</v>
      </c>
      <c r="AA219" s="69">
        <f t="shared" si="71"/>
        <v>2.3707000000000003</v>
      </c>
      <c r="AB219" s="66" t="e">
        <f>VLOOKUP(A219,Enforcements!$C$7:$J$21,8,0)</f>
        <v>#N/A</v>
      </c>
      <c r="AC219" s="62" t="e">
        <f>VLOOKUP(A219,Enforcements!$C$7:$E$21,3,0)</f>
        <v>#N/A</v>
      </c>
      <c r="AD219" s="63" t="str">
        <f t="shared" si="72"/>
        <v>58-25</v>
      </c>
      <c r="AE219" s="99" t="str">
        <f t="shared" si="73"/>
        <v>aws s3 cp s3://rtdc.mdm.uploadarchive/RTDC4022/2016-08-25/ "%USERPROFILE%\AppData\Local\Temp\OnboardLogs"\RTDC4022\2016-08-25 --recursive &amp; "%USERPROFILE%\Documents\GitHub\mrs-test-scripts\Headless Mode &amp; Sideloading\WalkAndUnGZ.bat" "%USERPROFILE%\AppData\Local\Temp\OnboardLogs"\RTDC4022\2016-08-25 &amp; aws s3 cp s3://rtdc.mdm.uploadarchive/RTDC4022/2016-08-26/ "%USERPROFILE%\AppData\Local\Temp\OnboardLogs"\RTDC4022\2016-08-26 --recursive &amp; "%USERPROFILE%\Documents\GitHub\mrs-test-scripts\Headless Mode &amp; Sideloading\WalkAndUnGZ.bat" "%USERPROFILE%\AppData\Local\Temp\OnboardLogs"\RTDC4022\2016-08-26</v>
      </c>
      <c r="AF219" s="96" t="str">
        <f t="shared" si="74"/>
        <v>"C:\Program Files (x86)\AstroGrep\AstroGrep.exe" /spath="%USERPROFILE%\AppData\Local\Temp\OnboardLogs" /stypes="*4022*20160826*" /stext=" 01:.+((SYSTEM_STATE.+slice.+state.+changed )|(ment ac)|(system.+state.+changed )|(\|lc)|(penalty)|(\[timeout)|(PRM\|1\|D)|(kpr)|(kdp))" /e /r /s</v>
      </c>
      <c r="AG219" s="1" t="str">
        <f t="shared" si="75"/>
        <v>Other</v>
      </c>
      <c r="AH219" s="100" t="str">
        <f t="shared" si="76"/>
        <v>"%USERPROFILE%\Documents\GitHub\eaglep3\Utilities\RefineRTDCRunTimes.py" --tripid 58-25 --locoid 4022 --swversion DE.1.0.7.0 --startMP 204:498 --initTime 2016-08-25T18:38:57 --startdatetime 2016-08-25T18:40:29 --delay 1 --endMP 300:24205 --enddatetime 2016-08-25T19:17:42 --enforcementcount 1 &gt;&gt;C:\Users\stu\Documents\GitHub\eaglep3-reporting\EC\2016-08-25-refined-times.txt</v>
      </c>
      <c r="AI219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{"issue":{"subject":"","project_id":79,"tracker_id":40,"status_id":1,"priority_id":2,"assigned_to_id":23,"start_date":"2016-08-25","description":"","custom_fields":[{"id":1,"name":"Subdivision","value":"Other"},{"id":4,"name":"Milepost","value":"2.3707"},{"id":17,"name":"Train ID","value":"58-25"},{"id":16,"name":"Locomotive ID","value":"4022"},{"id":130,"name":"Impact","value":""},{"id":150,"name":"Time of Event (Mountain Time)","value":"19:17:42"},{"id":151,"name":"Denver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/>
      <c r="B220" s="7"/>
      <c r="C220" s="24"/>
      <c r="D220" s="24"/>
      <c r="E220" s="15"/>
      <c r="F220" s="15"/>
      <c r="G220" s="7"/>
      <c r="H220" s="15"/>
      <c r="I220" s="15"/>
      <c r="J220" s="7"/>
      <c r="K220" s="132"/>
      <c r="L220" s="24"/>
      <c r="M220" s="6"/>
      <c r="N220" s="7"/>
      <c r="O220" s="7"/>
      <c r="P220" s="7"/>
      <c r="Q220" s="25"/>
      <c r="R220" s="25"/>
      <c r="S220" s="37"/>
      <c r="T220" s="52"/>
      <c r="U220" s="126"/>
      <c r="V220" s="106"/>
      <c r="W220" s="54"/>
      <c r="X220" s="120"/>
      <c r="Y220" s="69"/>
      <c r="Z220" s="69"/>
      <c r="AA220" s="69"/>
      <c r="AB220" s="66"/>
      <c r="AC220" s="62"/>
      <c r="AD220" s="63"/>
      <c r="AE220" s="99"/>
      <c r="AF220" s="96"/>
      <c r="AG220" s="1"/>
      <c r="AI220" s="149"/>
      <c r="AJ220" s="55"/>
      <c r="AK220" s="55"/>
      <c r="AL220" s="55"/>
    </row>
    <row r="221" spans="1:38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32"/>
      <c r="L221" s="24"/>
      <c r="M221" s="6"/>
      <c r="N221" s="7"/>
      <c r="O221" s="7"/>
      <c r="P221" s="7"/>
      <c r="Q221" s="25"/>
      <c r="R221" s="25"/>
      <c r="S221" s="37"/>
      <c r="T221" s="52"/>
      <c r="U221" s="126"/>
      <c r="V221" s="106"/>
      <c r="W221" s="54"/>
      <c r="X221" s="120"/>
      <c r="Y221" s="69"/>
      <c r="Z221" s="69"/>
      <c r="AA221" s="69"/>
      <c r="AB221" s="66"/>
      <c r="AC221" s="62"/>
      <c r="AD221" s="63"/>
      <c r="AE221" s="99"/>
      <c r="AF221" s="96"/>
      <c r="AG221" s="1"/>
      <c r="AI221" s="149"/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32"/>
      <c r="L222" s="24"/>
      <c r="M222" s="6"/>
      <c r="N222" s="7"/>
      <c r="O222" s="7"/>
      <c r="P222" s="7"/>
      <c r="Q222" s="25"/>
      <c r="R222" s="25"/>
      <c r="S222" s="37"/>
      <c r="T222" s="52"/>
      <c r="U222" s="126"/>
      <c r="V222" s="106"/>
      <c r="W222" s="54"/>
      <c r="X222" s="120"/>
      <c r="Y222" s="69"/>
      <c r="Z222" s="69"/>
      <c r="AA222" s="69"/>
      <c r="AB222" s="66"/>
      <c r="AC222" s="62"/>
      <c r="AD222" s="63"/>
      <c r="AE222" s="99"/>
      <c r="AF222" s="96"/>
      <c r="AG222" s="1"/>
      <c r="AI222" s="149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32"/>
      <c r="L223" s="24"/>
      <c r="M223" s="6"/>
      <c r="N223" s="7"/>
      <c r="O223" s="7"/>
      <c r="P223" s="7"/>
      <c r="Q223" s="25"/>
      <c r="R223" s="25"/>
      <c r="S223" s="37"/>
      <c r="T223" s="52"/>
      <c r="U223" s="126"/>
      <c r="V223" s="106"/>
      <c r="W223" s="54"/>
      <c r="X223" s="120"/>
      <c r="Y223" s="69"/>
      <c r="Z223" s="69"/>
      <c r="AA223" s="69"/>
      <c r="AB223" s="66"/>
      <c r="AC223" s="62"/>
      <c r="AD223" s="63"/>
      <c r="AE223" s="99"/>
      <c r="AF223" s="96"/>
      <c r="AG223" s="1"/>
      <c r="AI223" s="149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32"/>
      <c r="L224" s="24"/>
      <c r="M224" s="6"/>
      <c r="N224" s="7"/>
      <c r="O224" s="7"/>
      <c r="P224" s="7"/>
      <c r="Q224" s="25"/>
      <c r="R224" s="25"/>
      <c r="S224" s="37"/>
      <c r="T224" s="52"/>
      <c r="U224" s="126"/>
      <c r="V224" s="106"/>
      <c r="W224" s="54"/>
      <c r="X224" s="120"/>
      <c r="Y224" s="69"/>
      <c r="Z224" s="69"/>
      <c r="AA224" s="69"/>
      <c r="AB224" s="66"/>
      <c r="AC224" s="62"/>
      <c r="AD224" s="63"/>
      <c r="AE224" s="99"/>
      <c r="AF224" s="96"/>
      <c r="AG224" s="1"/>
      <c r="AI224" s="149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32"/>
      <c r="L225" s="24"/>
      <c r="M225" s="6"/>
      <c r="N225" s="7"/>
      <c r="O225" s="7"/>
      <c r="P225" s="7"/>
      <c r="Q225" s="25"/>
      <c r="R225" s="25"/>
      <c r="S225" s="37"/>
      <c r="T225" s="52"/>
      <c r="U225" s="126"/>
      <c r="V225" s="106"/>
      <c r="W225" s="54"/>
      <c r="X225" s="120"/>
      <c r="Y225" s="69"/>
      <c r="Z225" s="69"/>
      <c r="AA225" s="69"/>
      <c r="AB225" s="66"/>
      <c r="AC225" s="62"/>
      <c r="AD225" s="63"/>
      <c r="AE225" s="99"/>
      <c r="AF225" s="96"/>
      <c r="AG225" s="1"/>
      <c r="AI225" s="149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32"/>
      <c r="L226" s="24"/>
      <c r="M226" s="6"/>
      <c r="N226" s="7"/>
      <c r="O226" s="7"/>
      <c r="P226" s="7"/>
      <c r="Q226" s="25"/>
      <c r="R226" s="25"/>
      <c r="S226" s="37"/>
      <c r="T226" s="52"/>
      <c r="U226" s="126"/>
      <c r="V226" s="106"/>
      <c r="W226" s="54"/>
      <c r="X226" s="120"/>
      <c r="Y226" s="69"/>
      <c r="Z226" s="69"/>
      <c r="AA226" s="69"/>
      <c r="AB226" s="66"/>
      <c r="AC226" s="62"/>
      <c r="AD226" s="63"/>
      <c r="AE226" s="99"/>
      <c r="AF226" s="96"/>
      <c r="AG226" s="1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32"/>
      <c r="L227" s="24"/>
      <c r="M227" s="6"/>
      <c r="N227" s="7"/>
      <c r="O227" s="7"/>
      <c r="P227" s="7"/>
      <c r="Q227" s="25"/>
      <c r="R227" s="25"/>
      <c r="S227" s="37"/>
      <c r="T227" s="52"/>
      <c r="U227" s="126"/>
      <c r="V227" s="106"/>
      <c r="W227" s="54"/>
      <c r="X227" s="120"/>
      <c r="Y227" s="69"/>
      <c r="Z227" s="69"/>
      <c r="AA227" s="69"/>
      <c r="AB227" s="66"/>
      <c r="AC227" s="62"/>
      <c r="AD227" s="63"/>
      <c r="AE227" s="99"/>
      <c r="AF227" s="96"/>
      <c r="AG227" s="1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32"/>
      <c r="L228" s="24"/>
      <c r="M228" s="6"/>
      <c r="N228" s="7"/>
      <c r="O228" s="7"/>
      <c r="P228" s="7"/>
      <c r="Q228" s="25"/>
      <c r="R228" s="25"/>
      <c r="S228" s="37"/>
      <c r="T228" s="52"/>
      <c r="U228" s="126"/>
      <c r="V228" s="106"/>
      <c r="W228" s="54"/>
      <c r="X228" s="120"/>
      <c r="Y228" s="69"/>
      <c r="Z228" s="69"/>
      <c r="AA228" s="69"/>
      <c r="AB228" s="66"/>
      <c r="AC228" s="62"/>
      <c r="AD228" s="63"/>
      <c r="AE228" s="99"/>
      <c r="AF228" s="96"/>
      <c r="AG228" s="1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32"/>
      <c r="L229" s="24"/>
      <c r="M229" s="6"/>
      <c r="N229" s="7"/>
      <c r="O229" s="7"/>
      <c r="P229" s="7"/>
      <c r="Q229" s="25"/>
      <c r="R229" s="25"/>
      <c r="S229" s="37"/>
      <c r="T229" s="52"/>
      <c r="U229" s="126"/>
      <c r="V229" s="106"/>
      <c r="W229" s="54"/>
      <c r="X229" s="120"/>
      <c r="Y229" s="69"/>
      <c r="Z229" s="69"/>
      <c r="AA229" s="69"/>
      <c r="AB229" s="66"/>
      <c r="AC229" s="62"/>
      <c r="AD229" s="63"/>
      <c r="AE229" s="99"/>
      <c r="AF229" s="96"/>
      <c r="AG229" s="1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32"/>
      <c r="L230" s="24"/>
      <c r="M230" s="6"/>
      <c r="N230" s="7"/>
      <c r="O230" s="7"/>
      <c r="P230" s="7"/>
      <c r="Q230" s="25"/>
      <c r="R230" s="25"/>
      <c r="S230" s="37"/>
      <c r="T230" s="52"/>
      <c r="U230" s="126"/>
      <c r="V230" s="106"/>
      <c r="W230" s="54"/>
      <c r="X230" s="120"/>
      <c r="Y230" s="69"/>
      <c r="Z230" s="69"/>
      <c r="AA230" s="69"/>
      <c r="AB230" s="66"/>
      <c r="AC230" s="62"/>
      <c r="AD230" s="63"/>
      <c r="AE230" s="99"/>
      <c r="AF230" s="96"/>
      <c r="AG230" s="1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32"/>
      <c r="L231" s="24"/>
      <c r="M231" s="6"/>
      <c r="N231" s="7"/>
      <c r="O231" s="7"/>
      <c r="P231" s="7"/>
      <c r="Q231" s="25"/>
      <c r="R231" s="25"/>
      <c r="S231" s="37"/>
      <c r="T231" s="52"/>
      <c r="U231" s="126"/>
      <c r="V231" s="106"/>
      <c r="W231" s="54"/>
      <c r="X231" s="120"/>
      <c r="Y231" s="69"/>
      <c r="Z231" s="69"/>
      <c r="AA231" s="69"/>
      <c r="AB231" s="66"/>
      <c r="AC231" s="62"/>
      <c r="AD231" s="63"/>
      <c r="AE231" s="99"/>
      <c r="AF231" s="96"/>
      <c r="AG231" s="1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32"/>
      <c r="L232" s="24"/>
      <c r="M232" s="6"/>
      <c r="N232" s="7"/>
      <c r="O232" s="7"/>
      <c r="P232" s="7"/>
      <c r="Q232" s="25"/>
      <c r="R232" s="25"/>
      <c r="S232" s="37"/>
      <c r="T232" s="52"/>
      <c r="U232" s="126"/>
      <c r="V232" s="106"/>
      <c r="W232" s="54"/>
      <c r="X232" s="120"/>
      <c r="Y232" s="69"/>
      <c r="Z232" s="69"/>
      <c r="AA232" s="69"/>
      <c r="AB232" s="66"/>
      <c r="AC232" s="62"/>
      <c r="AD232" s="63"/>
      <c r="AE232" s="99"/>
      <c r="AF232" s="96"/>
      <c r="AG232" s="1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32"/>
      <c r="L233" s="24"/>
      <c r="M233" s="6"/>
      <c r="N233" s="7"/>
      <c r="O233" s="7"/>
      <c r="P233" s="7"/>
      <c r="Q233" s="25"/>
      <c r="R233" s="25"/>
      <c r="S233" s="37"/>
      <c r="T233" s="52"/>
      <c r="U233" s="126"/>
      <c r="V233" s="106"/>
      <c r="W233" s="54"/>
      <c r="X233" s="120"/>
      <c r="Y233" s="69"/>
      <c r="Z233" s="69"/>
      <c r="AA233" s="69"/>
      <c r="AB233" s="66"/>
      <c r="AC233" s="62"/>
      <c r="AD233" s="63"/>
      <c r="AE233" s="99"/>
      <c r="AF233" s="96"/>
      <c r="AG233" s="1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32"/>
      <c r="L234" s="24"/>
      <c r="M234" s="6"/>
      <c r="N234" s="7"/>
      <c r="O234" s="7"/>
      <c r="P234" s="7"/>
      <c r="Q234" s="25"/>
      <c r="R234" s="25"/>
      <c r="S234" s="37"/>
      <c r="T234" s="52"/>
      <c r="U234" s="126"/>
      <c r="V234" s="106"/>
      <c r="W234" s="54"/>
      <c r="X234" s="120"/>
      <c r="Y234" s="69"/>
      <c r="Z234" s="69"/>
      <c r="AA234" s="69"/>
      <c r="AB234" s="66"/>
      <c r="AC234" s="62"/>
      <c r="AD234" s="63"/>
      <c r="AE234" s="99"/>
      <c r="AF234" s="96"/>
      <c r="AG234" s="1"/>
    </row>
  </sheetData>
  <autoFilter ref="A12:AG234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4" priority="259" operator="equal">
      <formula>"Y"</formula>
    </cfRule>
  </conditionalFormatting>
  <conditionalFormatting sqref="X13:X1048576">
    <cfRule type="cellIs" dxfId="13" priority="242" operator="greaterThan">
      <formula>1</formula>
    </cfRule>
  </conditionalFormatting>
  <conditionalFormatting sqref="X12:X1048576">
    <cfRule type="cellIs" dxfId="12" priority="239" operator="equal">
      <formula>0</formula>
    </cfRule>
  </conditionalFormatting>
  <conditionalFormatting sqref="A149:S234 A148:Q148 S148 A13:S130 A131:Q131 S131 A132:S147">
    <cfRule type="expression" dxfId="11" priority="235">
      <formula>$O13&gt;0</formula>
    </cfRule>
  </conditionalFormatting>
  <conditionalFormatting sqref="A149:S234 A148:Q148 S148 A13:S130 A131:Q131 S131 A132:S147">
    <cfRule type="expression" dxfId="10" priority="234">
      <formula>$P13&gt;0</formula>
    </cfRule>
  </conditionalFormatting>
  <conditionalFormatting sqref="R148">
    <cfRule type="expression" dxfId="9" priority="261">
      <formula>$O131&gt;0</formula>
    </cfRule>
  </conditionalFormatting>
  <conditionalFormatting sqref="R148">
    <cfRule type="expression" dxfId="8" priority="263">
      <formula>$P131&gt;0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A149:S234 A13:S130 A131:Q131 S131 A148:Q148 S148 A132:S147</xm:sqref>
        </x14:conditionalFormatting>
        <x14:conditionalFormatting xmlns:xm="http://schemas.microsoft.com/office/excel/2006/main">
          <x14:cfRule type="expression" priority="265" id="{07B64F47-9FD1-48B1-84DC-90BBCF0B8697}">
            <xm:f>IF($AG131="EC",$N131&gt;Variables!$C$2,$N131&gt;Variables!$D$2)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R148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AK13:AK225</xm:sqref>
        </x14:dataValidation>
        <x14:dataValidation type="list" allowBlank="1" showInputMessage="1" showErrorMessage="1">
          <x14:formula1>
            <xm:f>'Redmine List Values'!$C$2:$C$13</xm:f>
          </x14:formula1>
          <xm:sqref>AL13:AL225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67"/>
  <sheetViews>
    <sheetView workbookViewId="0">
      <pane ySplit="6" topLeftCell="A7" activePane="bottomLeft" state="frozen"/>
      <selection pane="bottomLeft" activeCell="E21" sqref="E21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.85546875" customWidth="1"/>
    <col min="12" max="12" width="11.85546875" style="30" customWidth="1"/>
    <col min="13" max="13" width="5.140625" style="114" customWidth="1"/>
    <col min="14" max="14" width="30.7109375" customWidth="1"/>
    <col min="15" max="15" width="5" hidden="1" customWidth="1"/>
    <col min="16" max="16" width="5.7109375" style="97" customWidth="1"/>
    <col min="17" max="17" width="5.7109375" style="109" customWidth="1"/>
    <col min="18" max="18" width="6" style="94" customWidth="1"/>
    <col min="19" max="19" width="5.28515625" customWidth="1"/>
    <col min="20" max="20" width="20" style="50" bestFit="1" customWidth="1"/>
    <col min="21" max="21" width="5.28515625" customWidth="1"/>
    <col min="22" max="22" width="6.7109375" customWidth="1"/>
  </cols>
  <sheetData>
    <row r="1" spans="1:26" s="23" customFormat="1" ht="15.75" hidden="1" thickBot="1" x14ac:dyDescent="0.3">
      <c r="A1" s="8"/>
      <c r="F1" s="2"/>
      <c r="G1" s="2"/>
      <c r="H1" s="2"/>
      <c r="J1" s="2"/>
      <c r="L1" s="30"/>
      <c r="M1" s="114"/>
      <c r="P1" s="97"/>
      <c r="Q1" s="109"/>
      <c r="R1" s="94"/>
      <c r="T1" s="50"/>
    </row>
    <row r="2" spans="1:26" s="23" customFormat="1" x14ac:dyDescent="0.25">
      <c r="A2" s="8"/>
      <c r="F2" s="2"/>
      <c r="G2" s="2"/>
      <c r="H2" s="2"/>
      <c r="J2" s="2"/>
      <c r="K2" s="133" t="s">
        <v>87</v>
      </c>
      <c r="L2" s="134"/>
      <c r="M2" s="135">
        <f>COUNTIF($M$7:$M$403,"=Y")</f>
        <v>0</v>
      </c>
      <c r="N2" s="136"/>
      <c r="P2" s="97"/>
      <c r="Q2" s="109"/>
      <c r="R2" s="94"/>
      <c r="T2" s="50"/>
    </row>
    <row r="3" spans="1:26" s="23" customFormat="1" ht="15.75" thickBot="1" x14ac:dyDescent="0.3">
      <c r="A3" s="8"/>
      <c r="F3" s="2"/>
      <c r="G3" s="2"/>
      <c r="H3" s="2"/>
      <c r="J3" s="2"/>
      <c r="K3" s="137" t="s">
        <v>88</v>
      </c>
      <c r="L3" s="138"/>
      <c r="M3" s="139">
        <f>COUNTA($M$7:$M$403)-M2</f>
        <v>29</v>
      </c>
      <c r="N3" s="136"/>
      <c r="P3" s="97"/>
      <c r="Q3" s="109"/>
      <c r="R3" s="94"/>
      <c r="T3" s="50"/>
    </row>
    <row r="4" spans="1:26" s="23" customFormat="1" x14ac:dyDescent="0.25">
      <c r="A4" s="8"/>
      <c r="F4" s="2"/>
      <c r="G4" s="2"/>
      <c r="H4" s="2"/>
      <c r="J4" s="2"/>
      <c r="L4" s="30"/>
      <c r="M4" s="114"/>
      <c r="P4" s="97"/>
      <c r="Q4" s="109"/>
      <c r="R4" s="94"/>
      <c r="T4" s="50"/>
    </row>
    <row r="5" spans="1:26" s="11" customFormat="1" ht="15" customHeight="1" x14ac:dyDescent="0.25">
      <c r="A5" s="163" t="str">
        <f>"Eagle P3 Braking Events - "&amp;TEXT(Variables!$A$2,"YYYY-mm-dd")</f>
        <v>Eagle P3 Braking Events - 2016-08-25</v>
      </c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2"/>
      <c r="P5" s="107"/>
      <c r="Q5" s="110"/>
      <c r="R5" s="112"/>
      <c r="T5" s="51"/>
    </row>
    <row r="6" spans="1:26" s="162" customFormat="1" ht="69.75" customHeight="1" x14ac:dyDescent="0.2">
      <c r="A6" s="150" t="s">
        <v>38</v>
      </c>
      <c r="B6" s="151" t="s">
        <v>37</v>
      </c>
      <c r="C6" s="151" t="s">
        <v>36</v>
      </c>
      <c r="D6" s="151" t="s">
        <v>35</v>
      </c>
      <c r="E6" s="151" t="s">
        <v>34</v>
      </c>
      <c r="F6" s="152" t="s">
        <v>33</v>
      </c>
      <c r="G6" s="152" t="s">
        <v>32</v>
      </c>
      <c r="H6" s="152" t="s">
        <v>31</v>
      </c>
      <c r="I6" s="151" t="s">
        <v>30</v>
      </c>
      <c r="J6" s="152" t="s">
        <v>29</v>
      </c>
      <c r="K6" s="151" t="s">
        <v>28</v>
      </c>
      <c r="L6" s="153" t="s">
        <v>47</v>
      </c>
      <c r="M6" s="154" t="s">
        <v>27</v>
      </c>
      <c r="N6" s="151" t="s">
        <v>24</v>
      </c>
      <c r="O6" s="155"/>
      <c r="P6" s="156" t="s">
        <v>101</v>
      </c>
      <c r="Q6" s="157" t="s">
        <v>61</v>
      </c>
      <c r="R6" s="158" t="s">
        <v>100</v>
      </c>
      <c r="S6" s="151" t="s">
        <v>95</v>
      </c>
      <c r="T6" s="159" t="s">
        <v>96</v>
      </c>
      <c r="U6" s="155" t="s">
        <v>108</v>
      </c>
      <c r="V6" s="155" t="s">
        <v>110</v>
      </c>
      <c r="W6" s="160" t="s">
        <v>293</v>
      </c>
      <c r="X6" s="161" t="s">
        <v>294</v>
      </c>
      <c r="Y6" s="161" t="s">
        <v>266</v>
      </c>
      <c r="Z6" s="161" t="s">
        <v>295</v>
      </c>
    </row>
    <row r="7" spans="1:26" s="1" customFormat="1" x14ac:dyDescent="0.25">
      <c r="A7" s="38">
        <v>42607.221053240741</v>
      </c>
      <c r="B7" s="33" t="s">
        <v>689</v>
      </c>
      <c r="C7" s="33" t="s">
        <v>355</v>
      </c>
      <c r="D7" s="33" t="s">
        <v>49</v>
      </c>
      <c r="E7" s="33" t="s">
        <v>56</v>
      </c>
      <c r="F7" s="49">
        <v>200</v>
      </c>
      <c r="G7" s="49">
        <v>344</v>
      </c>
      <c r="H7" s="49">
        <v>6866</v>
      </c>
      <c r="I7" s="33" t="s">
        <v>57</v>
      </c>
      <c r="J7" s="49">
        <v>5457</v>
      </c>
      <c r="K7" s="33" t="s">
        <v>53</v>
      </c>
      <c r="L7" s="92" t="str">
        <f>VLOOKUP(C7,'Trips&amp;Operators'!$C$1:$E$9999,3,0)</f>
        <v>SPECTOR</v>
      </c>
      <c r="M7" s="131" t="s">
        <v>86</v>
      </c>
      <c r="N7" s="10"/>
      <c r="O7" s="33"/>
      <c r="P7" s="108" t="str">
        <f>VLOOKUP(C7,'Train Runs'!$A$13:$AE$10009,31,0)</f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Q7" s="111" t="str">
        <f>VLOOKUP(C7,'Train Runs'!$A$13:$AE$10009,22,0)</f>
        <v>https://search-rtdc-monitor-bjffxe2xuh6vdkpspy63sjmuny.us-east-1.es.amazonaws.com/_plugin/kibana/#/discover/Steve-Slow-Train-Analysis-(2080s-and-2083s)?_g=(refreshInterval:(display:Off,section:0,value:0),time:(from:'2016-08-25 03:34:59-0600',mode:absolute,to:'2016-08-25 06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7" s="113" t="str">
        <f t="shared" ref="R7:R35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/stypes="*4019*201608251*" /stext=" 11:.+((SYSTEM_STATE.+slice.+state.+changed )|(ment ac)|(system.+state.+changed )|(\|lc)|(penalty)|(\[timeout)|(PRM\|1\|D)|(kpr)|(kdp))" /e /r /s</v>
      </c>
      <c r="S7" s="9" t="str">
        <f t="shared" ref="S7:S35" si="1">MID(B7,13,4)</f>
        <v>4019</v>
      </c>
      <c r="T7" s="38">
        <f t="shared" ref="T7:T35" si="2">A7+6/24</f>
        <v>42607.471053240741</v>
      </c>
      <c r="U7" s="52" t="str">
        <f t="shared" ref="U7:U35" si="3">IF(VALUE(LEFT(IF(LEN(C7)=6,"0"&amp;C7,C7),2))&lt;=2,"EC",IF(OR(VALUE(LEFT(IF(LEN(C7)=6,"0"&amp;C7,C7),2))=8,VALUE(LEFT(IF(LEN(C7)=6,"0"&amp;C7,C7),2))=18),"NW","Other"))</f>
        <v>EC</v>
      </c>
      <c r="V7" s="52" t="str">
        <f t="shared" ref="V7:V35" si="4">IF(AND(E7="TRACK WARRANT AUTHORITY",G7&lt;10),"OMIT","KEEP")</f>
        <v>KEEP</v>
      </c>
      <c r="W7" s="149" t="str">
        <f t="shared" ref="W7:W35" si="5">"echo {""issue"":{""subject"":"""&amp;N7&amp;""",""project_id"":79,""tracker_id"":40,""status_id"":"&amp;redmine_status&amp;",""priority_id"":"&amp;redmine_priority&amp;",""assigned_to_id"":"&amp;redmine_assignee&amp;",""start_date"":"""&amp;TEXT(A7,"YYYY-mm-dd")&amp;""",""description"":"""&amp;X7&amp;""",""custom_fields"":[{""id"":1,""name"":""Subdivision"",""value"":"""&amp;U7&amp;"""},{""id"":4,""name"":""Milepost"",""value"":"""&amp;J7/10000&amp;"""},{""id"":17,""name"":""Train ID"",""value"":"""&amp;C7&amp;"""},{""id"":16,""name"":""Locomotive ID"",""value"":"""&amp;S7&amp;"""},{""id"":130,""name"":""Impact"",""value"":"""&amp;Y7&amp;"""},{""id"":150,""name"":""Time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Assigned"",""value"":"""&amp;Z7&amp;"""}]}}"&amp;"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{"issue":{"subject":"","project_id":79,"tracker_id":40,"status_id":1,"priority_id":2,"assigned_to_id":23,"start_date":"2016-08-25","description":"","custom_fields":[{"id":1,"name":"Subdivision","value":"EC"},{"id":4,"name":"Milepost","value":"0.5457"},{"id":17,"name":"Train ID","value":"104-25"},{"id":16,"name":"Locomotive ID","value":"4019"},{"id":130,"name":"Impact","value":""},{"id":150,"name":"Time of Event (Mountain Time)","value":"05:18:19"},{"id":151,"name":"Denver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7" s="55"/>
      <c r="Y7" s="55"/>
      <c r="Z7" s="55"/>
    </row>
    <row r="8" spans="1:26" s="1" customFormat="1" x14ac:dyDescent="0.25">
      <c r="A8" s="38">
        <v>42607.542500000003</v>
      </c>
      <c r="B8" s="33" t="s">
        <v>192</v>
      </c>
      <c r="C8" s="33" t="s">
        <v>440</v>
      </c>
      <c r="D8" s="33" t="s">
        <v>49</v>
      </c>
      <c r="E8" s="33" t="s">
        <v>56</v>
      </c>
      <c r="F8" s="49">
        <v>300</v>
      </c>
      <c r="G8" s="49">
        <v>404</v>
      </c>
      <c r="H8" s="49">
        <v>23231</v>
      </c>
      <c r="I8" s="33" t="s">
        <v>57</v>
      </c>
      <c r="J8" s="49">
        <v>21848</v>
      </c>
      <c r="K8" s="33" t="s">
        <v>53</v>
      </c>
      <c r="L8" s="92" t="str">
        <f>VLOOKUP(C8,'Trips&amp;Operators'!$C$1:$E$9999,3,0)</f>
        <v>MOSES</v>
      </c>
      <c r="M8" s="131" t="s">
        <v>86</v>
      </c>
      <c r="N8" s="10"/>
      <c r="O8" s="33"/>
      <c r="P8" s="108" t="str">
        <f>VLOOKUP(C8,'Train Runs'!$A$13:$AE$10009,31,0)</f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Q8" s="111" t="str">
        <f>VLOOKUP(C8,'Train Runs'!$A$13:$AE$10009,22,0)</f>
        <v>https://search-rtdc-monitor-bjffxe2xuh6vdkpspy63sjmuny.us-east-1.es.amazonaws.com/_plugin/kibana/#/discover/Steve-Slow-Train-Analysis-(2080s-and-2083s)?_g=(refreshInterval:(display:Off,section:0,value:0),time:(from:'2016-08-25 11:20:19-0600',mode:absolute,to:'2016-08-25 14:08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8" s="113" t="str">
        <f t="shared" si="0"/>
        <v>"C:\Program Files (x86)\AstroGrep\AstroGrep.exe" /spath="%USERPROFILE%\AppData\Local\Temp\OnboardLogs" /stypes="*4041*201608251*" /stext=" 19:.+((SYSTEM_STATE.+slice.+state.+changed )|(ment ac)|(system.+state.+changed )|(\|lc)|(penalty)|(\[timeout)|(PRM\|1\|D)|(kpr)|(kdp))" /e /r /s</v>
      </c>
      <c r="S8" s="9" t="str">
        <f t="shared" si="1"/>
        <v>4041</v>
      </c>
      <c r="T8" s="38">
        <f t="shared" si="2"/>
        <v>42607.792500000003</v>
      </c>
      <c r="U8" s="52" t="str">
        <f t="shared" si="3"/>
        <v>EC</v>
      </c>
      <c r="V8" s="52" t="str">
        <f t="shared" si="4"/>
        <v>KEEP</v>
      </c>
      <c r="W8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{"issue":{"subject":"","project_id":79,"tracker_id":40,"status_id":1,"priority_id":2,"assigned_to_id":23,"start_date":"2016-08-25","description":"","custom_fields":[{"id":1,"name":"Subdivision","value":"EC"},{"id":4,"name":"Milepost","value":"2.1848"},{"id":17,"name":"Train ID","value":"164-25"},{"id":16,"name":"Locomotive ID","value":"4041"},{"id":130,"name":"Impact","value":""},{"id":150,"name":"Time of Event (Mountain Time)","value":"13:01:12"},{"id":151,"name":"Denver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8" s="55"/>
      <c r="Y8" s="55"/>
      <c r="Z8" s="55"/>
    </row>
    <row r="9" spans="1:26" s="1" customFormat="1" x14ac:dyDescent="0.25">
      <c r="A9" s="38">
        <v>42607.900694444441</v>
      </c>
      <c r="B9" s="33" t="s">
        <v>194</v>
      </c>
      <c r="C9" s="33" t="s">
        <v>528</v>
      </c>
      <c r="D9" s="33" t="s">
        <v>49</v>
      </c>
      <c r="E9" s="33" t="s">
        <v>56</v>
      </c>
      <c r="F9" s="49">
        <v>200</v>
      </c>
      <c r="G9" s="49">
        <v>252</v>
      </c>
      <c r="H9" s="49">
        <v>27098</v>
      </c>
      <c r="I9" s="33" t="s">
        <v>57</v>
      </c>
      <c r="J9" s="49">
        <v>27333</v>
      </c>
      <c r="K9" s="33" t="s">
        <v>52</v>
      </c>
      <c r="L9" s="92" t="str">
        <f>VLOOKUP(C9,'Trips&amp;Operators'!$C$1:$E$9999,3,0)</f>
        <v>OUN</v>
      </c>
      <c r="M9" s="131" t="s">
        <v>86</v>
      </c>
      <c r="N9" s="10"/>
      <c r="O9" s="33"/>
      <c r="P9" s="108" t="str">
        <f>VLOOKUP(C9,'Train Runs'!$A$13:$AE$10009,31,0)</f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Q9" s="111" t="str">
        <f>VLOOKUP(C9,'Train Runs'!$A$13:$AE$10009,22,0)</f>
        <v>https://search-rtdc-monitor-bjffxe2xuh6vdkpspy63sjmuny.us-east-1.es.amazonaws.com/_plugin/kibana/#/discover/Steve-Slow-Train-Analysis-(2080s-and-2083s)?_g=(refreshInterval:(display:Off,section:0,value:0),time:(from:'2016-08-25 20:23:37-0600',mode:absolute,to:'2016-08-25 23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9" s="113" t="str">
        <f t="shared" si="0"/>
        <v>"C:\Program Files (x86)\AstroGrep\AstroGrep.exe" /spath="%USERPROFILE%\AppData\Local\Temp\OnboardLogs" /stypes="*4044*201608260*" /stext=" 03:.+((SYSTEM_STATE.+slice.+state.+changed )|(ment ac)|(system.+state.+changed )|(\|lc)|(penalty)|(\[timeout)|(PRM\|1\|D)|(kpr)|(kdp))" /e /r /s</v>
      </c>
      <c r="S9" s="9" t="str">
        <f t="shared" si="1"/>
        <v>4044</v>
      </c>
      <c r="T9" s="38">
        <f t="shared" si="2"/>
        <v>42608.150694444441</v>
      </c>
      <c r="U9" s="52" t="str">
        <f t="shared" si="3"/>
        <v>EC</v>
      </c>
      <c r="V9" s="52" t="str">
        <f t="shared" si="4"/>
        <v>KEEP</v>
      </c>
      <c r="W9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{"issue":{"subject":"","project_id":79,"tracker_id":40,"status_id":1,"priority_id":2,"assigned_to_id":23,"start_date":"2016-08-25","description":"","custom_fields":[{"id":1,"name":"Subdivision","value":"EC"},{"id":4,"name":"Milepost","value":"2.7333"},{"id":17,"name":"Train ID","value":"231-25"},{"id":16,"name":"Locomotive ID","value":"4044"},{"id":130,"name":"Impact","value":""},{"id":150,"name":"Time of Event (Mountain Time)","value":"21:37:00"},{"id":151,"name":"Denver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9" s="55"/>
      <c r="Y9" s="55"/>
      <c r="Z9" s="55"/>
    </row>
    <row r="10" spans="1:26" s="1" customFormat="1" x14ac:dyDescent="0.25">
      <c r="A10" s="38">
        <v>42607.35361111111</v>
      </c>
      <c r="B10" s="33" t="s">
        <v>689</v>
      </c>
      <c r="C10" s="33" t="s">
        <v>399</v>
      </c>
      <c r="D10" s="33" t="s">
        <v>111</v>
      </c>
      <c r="E10" s="33" t="s">
        <v>56</v>
      </c>
      <c r="F10" s="49">
        <v>350</v>
      </c>
      <c r="G10" s="49">
        <v>403</v>
      </c>
      <c r="H10" s="49">
        <v>225657</v>
      </c>
      <c r="I10" s="33" t="s">
        <v>57</v>
      </c>
      <c r="J10" s="49">
        <v>228668</v>
      </c>
      <c r="K10" s="33" t="s">
        <v>53</v>
      </c>
      <c r="L10" s="92" t="str">
        <f>VLOOKUP(C10,'Trips&amp;Operators'!$C$1:$E$9999,3,0)</f>
        <v>SPECTOR</v>
      </c>
      <c r="M10" s="131" t="s">
        <v>86</v>
      </c>
      <c r="N10" s="10"/>
      <c r="O10" s="33"/>
      <c r="P10" s="108" t="str">
        <f>VLOOKUP(C10,'Train Runs'!$A$13:$AE$10009,31,0)</f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Q10" s="111" t="str">
        <f>VLOOKUP(C10,'Train Runs'!$A$13:$AE$10009,22,0)</f>
        <v>https://search-rtdc-monitor-bjffxe2xuh6vdkpspy63sjmuny.us-east-1.es.amazonaws.com/_plugin/kibana/#/discover/Steve-Slow-Train-Analysis-(2080s-and-2083s)?_g=(refreshInterval:(display:Off,section:0,value:0),time:(from:'2016-08-25 07:18:36-0600',mode:absolute,to:'2016-08-25 10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10" s="113" t="str">
        <f t="shared" si="0"/>
        <v>"C:\Program Files (x86)\AstroGrep\AstroGrep.exe" /spath="%USERPROFILE%\AppData\Local\Temp\OnboardLogs" /stypes="*4019*201608251*" /stext=" 14:.+((SYSTEM_STATE.+slice.+state.+changed )|(ment ac)|(system.+state.+changed )|(\|lc)|(penalty)|(\[timeout)|(PRM\|1\|D)|(kpr)|(kdp))" /e /r /s</v>
      </c>
      <c r="S10" s="9" t="str">
        <f t="shared" si="1"/>
        <v>4019</v>
      </c>
      <c r="T10" s="38">
        <f t="shared" si="2"/>
        <v>42607.60361111111</v>
      </c>
      <c r="U10" s="52" t="str">
        <f t="shared" si="3"/>
        <v>EC</v>
      </c>
      <c r="V10" s="52" t="str">
        <f t="shared" si="4"/>
        <v>KEEP</v>
      </c>
      <c r="W10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{"issue":{"subject":"","project_id":79,"tracker_id":40,"status_id":1,"priority_id":2,"assigned_to_id":23,"start_date":"2016-08-25","description":"","custom_fields":[{"id":1,"name":"Subdivision","value":"EC"},{"id":4,"name":"Milepost","value":"22.8668"},{"id":17,"name":"Train ID","value":"132-25"},{"id":16,"name":"Locomotive ID","value":"4019"},{"id":130,"name":"Impact","value":""},{"id":150,"name":"Time of Event (Mountain Time)","value":"08:29:12"},{"id":151,"name":"Denver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0" s="55"/>
      <c r="Y10" s="55"/>
      <c r="Z10" s="55"/>
    </row>
    <row r="11" spans="1:26" s="1" customFormat="1" x14ac:dyDescent="0.25">
      <c r="A11" s="38">
        <v>42607.305509259262</v>
      </c>
      <c r="B11" s="33" t="s">
        <v>114</v>
      </c>
      <c r="C11" s="33" t="s">
        <v>391</v>
      </c>
      <c r="D11" s="33" t="s">
        <v>49</v>
      </c>
      <c r="E11" s="33" t="s">
        <v>56</v>
      </c>
      <c r="F11" s="49">
        <v>150</v>
      </c>
      <c r="G11" s="49">
        <v>271</v>
      </c>
      <c r="H11" s="49">
        <v>229672</v>
      </c>
      <c r="I11" s="33" t="s">
        <v>57</v>
      </c>
      <c r="J11" s="49">
        <v>230436</v>
      </c>
      <c r="K11" s="33" t="s">
        <v>52</v>
      </c>
      <c r="L11" s="92" t="str">
        <f>VLOOKUP(C11,'Trips&amp;Operators'!$C$1:$E$9999,3,0)</f>
        <v>STARKS</v>
      </c>
      <c r="M11" s="131" t="s">
        <v>86</v>
      </c>
      <c r="N11" s="10"/>
      <c r="O11" s="33"/>
      <c r="P11" s="108" t="str">
        <f>VLOOKUP(C11,'Train Runs'!$A$13:$AE$10009,31,0)</f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Q11" s="111" t="str">
        <f>VLOOKUP(C11,'Train Runs'!$A$13:$AE$10009,22,0)</f>
        <v>https://search-rtdc-monitor-bjffxe2xuh6vdkpspy63sjmuny.us-east-1.es.amazonaws.com/_plugin/kibana/#/discover/Steve-Slow-Train-Analysis-(2080s-and-2083s)?_g=(refreshInterval:(display:Off,section:0,value:0),time:(from:'2016-08-25 05:38:55-0600',mode:absolute,to:'2016-08-25 08:21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11" s="113" t="str">
        <f t="shared" si="0"/>
        <v>"C:\Program Files (x86)\AstroGrep\AstroGrep.exe" /spath="%USERPROFILE%\AppData\Local\Temp\OnboardLogs" /stypes="*4031*201608251*" /stext=" 13:.+((SYSTEM_STATE.+slice.+state.+changed )|(ment ac)|(system.+state.+changed )|(\|lc)|(penalty)|(\[timeout)|(PRM\|1\|D)|(kpr)|(kdp))" /e /r /s</v>
      </c>
      <c r="S11" s="9" t="str">
        <f t="shared" si="1"/>
        <v>4031</v>
      </c>
      <c r="T11" s="38">
        <f t="shared" si="2"/>
        <v>42607.555509259262</v>
      </c>
      <c r="U11" s="52" t="str">
        <f t="shared" si="3"/>
        <v>EC</v>
      </c>
      <c r="V11" s="52" t="str">
        <f t="shared" si="4"/>
        <v>KEEP</v>
      </c>
      <c r="W11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{"issue":{"subject":"","project_id":79,"tracker_id":40,"status_id":1,"priority_id":2,"assigned_to_id":23,"start_date":"2016-08-25","description":"","custom_fields":[{"id":1,"name":"Subdivision","value":"EC"},{"id":4,"name":"Milepost","value":"23.0436"},{"id":17,"name":"Train ID","value":"125-25"},{"id":16,"name":"Locomotive ID","value":"4031"},{"id":130,"name":"Impact","value":""},{"id":150,"name":"Time of Event (Mountain Time)","value":"07:19:56"},{"id":151,"name":"Denver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1" s="55"/>
      <c r="Y11" s="55"/>
      <c r="Z11" s="55"/>
    </row>
    <row r="12" spans="1:26" s="1" customFormat="1" x14ac:dyDescent="0.25">
      <c r="A12" s="38">
        <v>42607.259930555556</v>
      </c>
      <c r="B12" s="33" t="s">
        <v>690</v>
      </c>
      <c r="C12" s="33" t="s">
        <v>373</v>
      </c>
      <c r="D12" s="33" t="s">
        <v>111</v>
      </c>
      <c r="E12" s="33" t="s">
        <v>56</v>
      </c>
      <c r="F12" s="49">
        <v>350</v>
      </c>
      <c r="G12" s="49">
        <v>410</v>
      </c>
      <c r="H12" s="49">
        <v>224581</v>
      </c>
      <c r="I12" s="33" t="s">
        <v>57</v>
      </c>
      <c r="J12" s="49">
        <v>232107</v>
      </c>
      <c r="K12" s="33" t="s">
        <v>53</v>
      </c>
      <c r="L12" s="92" t="str">
        <f>VLOOKUP(C12,'Trips&amp;Operators'!$C$1:$E$9999,3,0)</f>
        <v>MAELZER</v>
      </c>
      <c r="M12" s="131" t="s">
        <v>86</v>
      </c>
      <c r="N12" s="10"/>
      <c r="O12" s="33"/>
      <c r="P12" s="108" t="str">
        <f>VLOOKUP(C12,'Train Runs'!$A$13:$AE$10009,31,0)</f>
        <v>aws s3 cp s3://rtdc.mdm.uploadarchive/RTDC4012/2016-08-25/ "%USERPROFILE%\AppData\Local\Temp\OnboardLogs"\RTDC4012\2016-08-25 --recursive &amp; "%USERPROFILE%\Documents\GitHub\mrs-test-scripts\Headless Mode &amp; Sideloading\WalkAndUnGZ.bat" "%USERPROFILE%\AppData\Local\Temp\OnboardLogs"\RTDC4012\2016-08-25 &amp; 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</v>
      </c>
      <c r="Q12" s="111" t="str">
        <f>VLOOKUP(C12,'Train Runs'!$A$13:$AE$10009,22,0)</f>
        <v>https://search-rtdc-monitor-bjffxe2xuh6vdkpspy63sjmuny.us-east-1.es.amazonaws.com/_plugin/kibana/#/discover/Steve-Slow-Train-Analysis-(2080s-and-2083s)?_g=(refreshInterval:(display:Off,section:0,value:0),time:(from:'2016-08-25 05:04:14-0600',mode:absolute,to:'2016-08-25 07:50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12" s="113" t="str">
        <f t="shared" si="0"/>
        <v>"C:\Program Files (x86)\AstroGrep\AstroGrep.exe" /spath="%USERPROFILE%\AppData\Local\Temp\OnboardLogs" /stypes="*4012*201608251*" /stext=" 12:.+((SYSTEM_STATE.+slice.+state.+changed )|(ment ac)|(system.+state.+changed )|(\|lc)|(penalty)|(\[timeout)|(PRM\|1\|D)|(kpr)|(kdp))" /e /r /s</v>
      </c>
      <c r="S12" s="9" t="str">
        <f t="shared" si="1"/>
        <v>4012</v>
      </c>
      <c r="T12" s="38">
        <f t="shared" si="2"/>
        <v>42607.509930555556</v>
      </c>
      <c r="U12" s="52" t="str">
        <f t="shared" si="3"/>
        <v>EC</v>
      </c>
      <c r="V12" s="52" t="str">
        <f t="shared" si="4"/>
        <v>KEEP</v>
      </c>
      <c r="W12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{"issue":{"subject":"","project_id":79,"tracker_id":40,"status_id":1,"priority_id":2,"assigned_to_id":23,"start_date":"2016-08-25","description":"","custom_fields":[{"id":1,"name":"Subdivision","value":"EC"},{"id":4,"name":"Milepost","value":"23.2107"},{"id":17,"name":"Train ID","value":"114-25"},{"id":16,"name":"Locomotive ID","value":"4012"},{"id":130,"name":"Impact","value":""},{"id":150,"name":"Time of Event (Mountain Time)","value":"06:14:18"},{"id":151,"name":"Denver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2" s="55"/>
      <c r="Y12" s="55"/>
      <c r="Z12" s="55"/>
    </row>
    <row r="13" spans="1:26" s="1" customFormat="1" x14ac:dyDescent="0.25">
      <c r="A13" s="38">
        <v>42607.308379629627</v>
      </c>
      <c r="B13" s="33" t="s">
        <v>192</v>
      </c>
      <c r="C13" s="33" t="s">
        <v>387</v>
      </c>
      <c r="D13" s="33" t="s">
        <v>49</v>
      </c>
      <c r="E13" s="33" t="s">
        <v>54</v>
      </c>
      <c r="F13" s="49">
        <v>0</v>
      </c>
      <c r="G13" s="49">
        <v>369</v>
      </c>
      <c r="H13" s="49">
        <v>129083</v>
      </c>
      <c r="I13" s="33" t="s">
        <v>55</v>
      </c>
      <c r="J13" s="49">
        <v>127587</v>
      </c>
      <c r="K13" s="33" t="s">
        <v>53</v>
      </c>
      <c r="L13" s="92" t="str">
        <f>VLOOKUP(C13,'Trips&amp;Operators'!$C$1:$E$9999,3,0)</f>
        <v>SANTIZO</v>
      </c>
      <c r="M13" s="131" t="s">
        <v>86</v>
      </c>
      <c r="N13" s="10" t="s">
        <v>705</v>
      </c>
      <c r="O13" s="33"/>
      <c r="P13" s="108" t="str">
        <f>VLOOKUP(C13,'Train Runs'!$A$13:$AE$10009,31,0)</f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Q13" s="111" t="str">
        <f>VLOOKUP(C13,'Train Runs'!$A$13:$AE$10009,22,0)</f>
        <v>https://search-rtdc-monitor-bjffxe2xuh6vdkpspy63sjmuny.us-east-1.es.amazonaws.com/_plugin/kibana/#/discover/Steve-Slow-Train-Analysis-(2080s-and-2083s)?_g=(refreshInterval:(display:Off,section:0,value:0),time:(from:'2016-08-25 05:52:53-0600',mode:absolute,to:'2016-08-25 08:48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13" s="113" t="str">
        <f t="shared" si="0"/>
        <v>"C:\Program Files (x86)\AstroGrep\AstroGrep.exe" /spath="%USERPROFILE%\AppData\Local\Temp\OnboardLogs" /stypes="*4041*201608251*" /stext=" 13:.+((SYSTEM_STATE.+slice.+state.+changed )|(ment ac)|(system.+state.+changed )|(\|lc)|(penalty)|(\[timeout)|(PRM\|1\|D)|(kpr)|(kdp))" /e /r /s</v>
      </c>
      <c r="S13" s="9" t="str">
        <f t="shared" si="1"/>
        <v>4041</v>
      </c>
      <c r="T13" s="38">
        <f t="shared" si="2"/>
        <v>42607.558379629627</v>
      </c>
      <c r="U13" s="52" t="str">
        <f t="shared" si="3"/>
        <v>EC</v>
      </c>
      <c r="V13" s="52" t="str">
        <f t="shared" si="4"/>
        <v>KEEP</v>
      </c>
      <c r="W13" s="149" t="str">
        <f t="shared" si="5"/>
        <v>echo {"issue":{"subject":"40th 4S was STOP, cleared a minute later","project_id":79,"tracker_id":40,"status_id":1,"priority_id":2,"assigned_to_id":23,"start_date":"2016-08-25","description":"","custom_fields":[{"id":1,"name":"Subdivision","value":"EC"},{"id":4,"name":"Milepost","value":"12.7587"},{"id":17,"name":"Train ID","value":"122-25"},{"id":16,"name":"Locomotive ID","value":"4041"},{"id":130,"name":"Impact","value":""},{"id":150,"name":"Time of Event (Mountain Time)","value":"07:24:04"},{"id":151,"name":"Denver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3" s="55"/>
      <c r="Y13" s="55"/>
      <c r="Z13" s="55"/>
    </row>
    <row r="14" spans="1:26" s="1" customFormat="1" x14ac:dyDescent="0.25">
      <c r="A14" s="38">
        <v>42607.443796296298</v>
      </c>
      <c r="B14" s="33" t="s">
        <v>173</v>
      </c>
      <c r="C14" s="33" t="s">
        <v>422</v>
      </c>
      <c r="D14" s="33" t="s">
        <v>49</v>
      </c>
      <c r="E14" s="33" t="s">
        <v>54</v>
      </c>
      <c r="F14" s="49">
        <v>0</v>
      </c>
      <c r="G14" s="49">
        <v>375</v>
      </c>
      <c r="H14" s="49">
        <v>129037</v>
      </c>
      <c r="I14" s="33" t="s">
        <v>55</v>
      </c>
      <c r="J14" s="49">
        <v>127587</v>
      </c>
      <c r="K14" s="33" t="s">
        <v>53</v>
      </c>
      <c r="L14" s="92" t="str">
        <f>VLOOKUP(C14,'Trips&amp;Operators'!$C$1:$E$9999,3,0)</f>
        <v>BEAM</v>
      </c>
      <c r="M14" s="131" t="s">
        <v>86</v>
      </c>
      <c r="N14" s="10" t="s">
        <v>705</v>
      </c>
      <c r="O14" s="33"/>
      <c r="P14" s="108" t="str">
        <f>VLOOKUP(C14,'Train Runs'!$A$13:$AE$10009,31,0)</f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Q14" s="111" t="str">
        <f>VLOOKUP(C14,'Train Runs'!$A$13:$AE$10009,22,0)</f>
        <v>https://search-rtdc-monitor-bjffxe2xuh6vdkpspy63sjmuny.us-east-1.es.amazonaws.com/_plugin/kibana/#/discover/Steve-Slow-Train-Analysis-(2080s-and-2083s)?_g=(refreshInterval:(display:Off,section:0,value:0),time:(from:'2016-08-25 09:19:36-0600',mode:absolute,to:'2016-08-25 12:04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14" s="113" t="str">
        <f t="shared" si="0"/>
        <v>"C:\Program Files (x86)\AstroGrep\AstroGrep.exe" /spath="%USERPROFILE%\AppData\Local\Temp\OnboardLogs" /stypes="*4008*201608251*" /stext=" 16:.+((SYSTEM_STATE.+slice.+state.+changed )|(ment ac)|(system.+state.+changed )|(\|lc)|(penalty)|(\[timeout)|(PRM\|1\|D)|(kpr)|(kdp))" /e /r /s</v>
      </c>
      <c r="S14" s="9" t="str">
        <f t="shared" si="1"/>
        <v>4008</v>
      </c>
      <c r="T14" s="38">
        <f t="shared" si="2"/>
        <v>42607.693796296298</v>
      </c>
      <c r="U14" s="52" t="str">
        <f t="shared" si="3"/>
        <v>EC</v>
      </c>
      <c r="V14" s="52" t="str">
        <f t="shared" si="4"/>
        <v>KEEP</v>
      </c>
      <c r="W14" s="149" t="str">
        <f t="shared" si="5"/>
        <v>echo {"issue":{"subject":"40th 4S was STOP, cleared a minute later","project_id":79,"tracker_id":40,"status_id":1,"priority_id":2,"assigned_to_id":23,"start_date":"2016-08-25","description":"","custom_fields":[{"id":1,"name":"Subdivision","value":"EC"},{"id":4,"name":"Milepost","value":"12.7587"},{"id":17,"name":"Train ID","value":"148-25"},{"id":16,"name":"Locomotive ID","value":"4008"},{"id":130,"name":"Impact","value":""},{"id":150,"name":"Time of Event (Mountain Time)","value":"10:39:04"},{"id":151,"name":"Denver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4" s="55"/>
      <c r="Y14" s="55"/>
      <c r="Z14" s="55"/>
    </row>
    <row r="15" spans="1:26" s="1" customFormat="1" x14ac:dyDescent="0.25">
      <c r="A15" s="38">
        <v>42607.323587962965</v>
      </c>
      <c r="B15" s="33" t="s">
        <v>115</v>
      </c>
      <c r="C15" s="33" t="s">
        <v>392</v>
      </c>
      <c r="D15" s="33" t="s">
        <v>49</v>
      </c>
      <c r="E15" s="33" t="s">
        <v>54</v>
      </c>
      <c r="F15" s="49">
        <v>0</v>
      </c>
      <c r="G15" s="49">
        <v>678</v>
      </c>
      <c r="H15" s="49">
        <v>196897</v>
      </c>
      <c r="I15" s="33" t="s">
        <v>55</v>
      </c>
      <c r="J15" s="49">
        <v>191723</v>
      </c>
      <c r="K15" s="33" t="s">
        <v>53</v>
      </c>
      <c r="L15" s="92" t="str">
        <f>VLOOKUP(C15,'Trips&amp;Operators'!$C$1:$E$9999,3,0)</f>
        <v>STARKS</v>
      </c>
      <c r="M15" s="131" t="s">
        <v>86</v>
      </c>
      <c r="N15" s="10" t="s">
        <v>346</v>
      </c>
      <c r="O15" s="33"/>
      <c r="P15" s="108" t="str">
        <f>VLOOKUP(C15,'Train Runs'!$A$13:$AE$10009,31,0)</f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Q15" s="111" t="str">
        <f>VLOOKUP(C15,'Train Runs'!$A$13:$AE$10009,22,0)</f>
        <v>https://search-rtdc-monitor-bjffxe2xuh6vdkpspy63sjmuny.us-east-1.es.amazonaws.com/_plugin/kibana/#/discover/Steve-Slow-Train-Analysis-(2080s-and-2083s)?_g=(refreshInterval:(display:Off,section:0,value:0),time:(from:'2016-08-25 06:39:13-0600',mode:absolute,to:'2016-08-25 09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15" s="113" t="str">
        <f t="shared" si="0"/>
        <v>"C:\Program Files (x86)\AstroGrep\AstroGrep.exe" /spath="%USERPROFILE%\AppData\Local\Temp\OnboardLogs" /stypes="*4032*201608251*" /stext=" 13:.+((SYSTEM_STATE.+slice.+state.+changed )|(ment ac)|(system.+state.+changed )|(\|lc)|(penalty)|(\[timeout)|(PRM\|1\|D)|(kpr)|(kdp))" /e /r /s</v>
      </c>
      <c r="S15" s="9" t="str">
        <f t="shared" si="1"/>
        <v>4032</v>
      </c>
      <c r="T15" s="38">
        <f t="shared" si="2"/>
        <v>42607.573587962965</v>
      </c>
      <c r="U15" s="52" t="str">
        <f t="shared" si="3"/>
        <v>EC</v>
      </c>
      <c r="V15" s="52" t="str">
        <f t="shared" si="4"/>
        <v>KEEP</v>
      </c>
      <c r="W15" s="149" t="str">
        <f t="shared" si="5"/>
        <v>echo {"issue":{"subject":"Pena 4S was STOP, cleared a minute later","project_id":79,"tracker_id":40,"status_id":1,"priority_id":2,"assigned_to_id":23,"start_date":"2016-08-25","description":"","custom_fields":[{"id":1,"name":"Subdivision","value":"EC"},{"id":4,"name":"Milepost","value":"19.1723"},{"id":17,"name":"Train ID","value":"126-25"},{"id":16,"name":"Locomotive ID","value":"4032"},{"id":130,"name":"Impact","value":""},{"id":150,"name":"Time of Event (Mountain Time)","value":"07:45:58"},{"id":151,"name":"Denver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5" s="55"/>
      <c r="Y15" s="55"/>
      <c r="Z15" s="55"/>
    </row>
    <row r="16" spans="1:26" s="1" customFormat="1" x14ac:dyDescent="0.25">
      <c r="A16" s="38">
        <v>42607.752141203702</v>
      </c>
      <c r="B16" s="33" t="s">
        <v>180</v>
      </c>
      <c r="C16" s="33" t="s">
        <v>504</v>
      </c>
      <c r="D16" s="33" t="s">
        <v>49</v>
      </c>
      <c r="E16" s="33" t="s">
        <v>54</v>
      </c>
      <c r="F16" s="49">
        <v>0</v>
      </c>
      <c r="G16" s="49">
        <v>519</v>
      </c>
      <c r="H16" s="49">
        <v>195249</v>
      </c>
      <c r="I16" s="33" t="s">
        <v>55</v>
      </c>
      <c r="J16" s="49">
        <v>191723</v>
      </c>
      <c r="K16" s="33" t="s">
        <v>53</v>
      </c>
      <c r="L16" s="92" t="str">
        <f>VLOOKUP(C16,'Trips&amp;Operators'!$C$1:$E$9999,3,0)</f>
        <v>CRAYTON</v>
      </c>
      <c r="M16" s="131" t="s">
        <v>86</v>
      </c>
      <c r="N16" s="10" t="s">
        <v>346</v>
      </c>
      <c r="O16" s="33"/>
      <c r="P16" s="108" t="str">
        <f>VLOOKUP(C16,'Train Runs'!$A$13:$AE$10009,31,0)</f>
        <v>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 &amp; 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</v>
      </c>
      <c r="Q16" s="111" t="str">
        <f>VLOOKUP(C16,'Train Runs'!$A$13:$AE$10009,22,0)</f>
        <v>https://search-rtdc-monitor-bjffxe2xuh6vdkpspy63sjmuny.us-east-1.es.amazonaws.com/_plugin/kibana/#/discover/Steve-Slow-Train-Analysis-(2080s-and-2083s)?_g=(refreshInterval:(display:Off,section:0,value:0),time:(from:'2016-08-25 16:38:27-0600',mode:absolute,to:'2016-08-25 19:39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16" s="113" t="str">
        <f t="shared" si="0"/>
        <v>"C:\Program Files (x86)\AstroGrep\AstroGrep.exe" /spath="%USERPROFILE%\AppData\Local\Temp\OnboardLogs" /stypes="*4010*201608260*" /stext=" 00:.+((SYSTEM_STATE.+slice.+state.+changed )|(ment ac)|(system.+state.+changed )|(\|lc)|(penalty)|(\[timeout)|(PRM\|1\|D)|(kpr)|(kdp))" /e /r /s</v>
      </c>
      <c r="S16" s="9" t="str">
        <f t="shared" si="1"/>
        <v>4010</v>
      </c>
      <c r="T16" s="38">
        <f t="shared" si="2"/>
        <v>42608.002141203702</v>
      </c>
      <c r="U16" s="52" t="str">
        <f t="shared" si="3"/>
        <v>EC</v>
      </c>
      <c r="V16" s="52" t="str">
        <f t="shared" si="4"/>
        <v>KEEP</v>
      </c>
      <c r="W16" s="149" t="str">
        <f t="shared" si="5"/>
        <v>echo {"issue":{"subject":"Pena 4S was STOP, cleared a minute later","project_id":79,"tracker_id":40,"status_id":1,"priority_id":2,"assigned_to_id":23,"start_date":"2016-08-25","description":"","custom_fields":[{"id":1,"name":"Subdivision","value":"EC"},{"id":4,"name":"Milepost","value":"19.1723"},{"id":17,"name":"Train ID","value":"208-25"},{"id":16,"name":"Locomotive ID","value":"4010"},{"id":130,"name":"Impact","value":""},{"id":150,"name":"Time of Event (Mountain Time)","value":"18:03:05"},{"id":151,"name":"Denver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6" s="55"/>
      <c r="Y16" s="55"/>
      <c r="Z16" s="55"/>
    </row>
    <row r="17" spans="1:26" s="1" customFormat="1" x14ac:dyDescent="0.25">
      <c r="A17" s="38">
        <v>42607.254027777781</v>
      </c>
      <c r="B17" s="33" t="s">
        <v>192</v>
      </c>
      <c r="C17" s="33" t="s">
        <v>363</v>
      </c>
      <c r="D17" s="33" t="s">
        <v>49</v>
      </c>
      <c r="E17" s="33" t="s">
        <v>50</v>
      </c>
      <c r="F17" s="49">
        <v>0</v>
      </c>
      <c r="G17" s="49">
        <v>44</v>
      </c>
      <c r="H17" s="49">
        <v>136</v>
      </c>
      <c r="I17" s="33" t="s">
        <v>51</v>
      </c>
      <c r="J17" s="49">
        <v>1</v>
      </c>
      <c r="K17" s="33" t="s">
        <v>53</v>
      </c>
      <c r="L17" s="92" t="str">
        <f>VLOOKUP(C17,'Trips&amp;Operators'!$C$1:$E$9999,3,0)</f>
        <v>SANTIZO</v>
      </c>
      <c r="M17" s="131" t="s">
        <v>86</v>
      </c>
      <c r="N17" s="10"/>
      <c r="O17" s="33"/>
      <c r="P17" s="108" t="str">
        <f>VLOOKUP(C17,'Train Runs'!$A$13:$AE$10009,31,0)</f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Q17" s="111" t="str">
        <f>VLOOKUP(C17,'Train Runs'!$A$13:$AE$10009,22,0)</f>
        <v>https://search-rtdc-monitor-bjffxe2xuh6vdkpspy63sjmuny.us-east-1.es.amazonaws.com/_plugin/kibana/#/discover/Steve-Slow-Train-Analysis-(2080s-and-2083s)?_g=(refreshInterval:(display:Off,section:0,value:0),time:(from:'2016-08-25 04:09:00-0600',mode:absolute,to:'2016-08-25 07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17" s="113" t="str">
        <f t="shared" si="0"/>
        <v>"C:\Program Files (x86)\AstroGrep\AstroGrep.exe" /spath="%USERPROFILE%\AppData\Local\Temp\OnboardLogs" /stypes="*4041*201608251*" /stext=" 12:.+((SYSTEM_STATE.+slice.+state.+changed )|(ment ac)|(system.+state.+changed )|(\|lc)|(penalty)|(\[timeout)|(PRM\|1\|D)|(kpr)|(kdp))" /e /r /s</v>
      </c>
      <c r="S17" s="9" t="str">
        <f t="shared" si="1"/>
        <v>4041</v>
      </c>
      <c r="T17" s="38">
        <f t="shared" si="2"/>
        <v>42607.504027777781</v>
      </c>
      <c r="U17" s="52" t="str">
        <f t="shared" si="3"/>
        <v>EC</v>
      </c>
      <c r="V17" s="52" t="str">
        <f t="shared" si="4"/>
        <v>KEEP</v>
      </c>
      <c r="W17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{"issue":{"subject":"","project_id":79,"tracker_id":40,"status_id":1,"priority_id":2,"assigned_to_id":23,"start_date":"2016-08-25","description":"","custom_fields":[{"id":1,"name":"Subdivision","value":"EC"},{"id":4,"name":"Milepost","value":"0.0001"},{"id":17,"name":"Train ID","value":"108-25"},{"id":16,"name":"Locomotive ID","value":"4041"},{"id":130,"name":"Impact","value":""},{"id":150,"name":"Time of Event (Mountain Time)","value":"06:05:48"},{"id":151,"name":"Denver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7" s="55"/>
      <c r="Y17" s="55"/>
      <c r="Z17" s="55"/>
    </row>
    <row r="18" spans="1:26" s="1" customFormat="1" x14ac:dyDescent="0.25">
      <c r="A18" s="38">
        <v>42607.265370370369</v>
      </c>
      <c r="B18" s="33" t="s">
        <v>180</v>
      </c>
      <c r="C18" s="33" t="s">
        <v>366</v>
      </c>
      <c r="D18" s="33" t="s">
        <v>49</v>
      </c>
      <c r="E18" s="33" t="s">
        <v>50</v>
      </c>
      <c r="F18" s="49">
        <v>0</v>
      </c>
      <c r="G18" s="49">
        <v>81</v>
      </c>
      <c r="H18" s="49">
        <v>214</v>
      </c>
      <c r="I18" s="33" t="s">
        <v>51</v>
      </c>
      <c r="J18" s="49">
        <v>1</v>
      </c>
      <c r="K18" s="33" t="s">
        <v>53</v>
      </c>
      <c r="L18" s="92" t="str">
        <f>VLOOKUP(C18,'Trips&amp;Operators'!$C$1:$E$9999,3,0)</f>
        <v>SMITH</v>
      </c>
      <c r="M18" s="131" t="s">
        <v>86</v>
      </c>
      <c r="N18" s="10"/>
      <c r="O18" s="33"/>
      <c r="P18" s="108" t="str">
        <f>VLOOKUP(C18,'Train Runs'!$A$13:$AE$10009,31,0)</f>
        <v>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 &amp; 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</v>
      </c>
      <c r="Q18" s="111" t="str">
        <f>VLOOKUP(C18,'Train Runs'!$A$13:$AE$10009,22,0)</f>
        <v>https://search-rtdc-monitor-bjffxe2xuh6vdkpspy63sjmuny.us-east-1.es.amazonaws.com/_plugin/kibana/#/discover/Steve-Slow-Train-Analysis-(2080s-and-2083s)?_g=(refreshInterval:(display:Off,section:0,value:0),time:(from:'2016-08-25 04:30:04-0600',mode:absolute,to:'2016-08-25 07:22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18" s="113" t="str">
        <f t="shared" si="0"/>
        <v>"C:\Program Files (x86)\AstroGrep\AstroGrep.exe" /spath="%USERPROFILE%\AppData\Local\Temp\OnboardLogs" /stypes="*4010*201608251*" /stext=" 12:.+((SYSTEM_STATE.+slice.+state.+changed )|(ment ac)|(system.+state.+changed )|(\|lc)|(penalty)|(\[timeout)|(PRM\|1\|D)|(kpr)|(kdp))" /e /r /s</v>
      </c>
      <c r="S18" s="9" t="str">
        <f t="shared" si="1"/>
        <v>4010</v>
      </c>
      <c r="T18" s="38">
        <f t="shared" si="2"/>
        <v>42607.515370370369</v>
      </c>
      <c r="U18" s="52" t="str">
        <f t="shared" si="3"/>
        <v>EC</v>
      </c>
      <c r="V18" s="52" t="str">
        <f t="shared" si="4"/>
        <v>KEEP</v>
      </c>
      <c r="W18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{"issue":{"subject":"","project_id":79,"tracker_id":40,"status_id":1,"priority_id":2,"assigned_to_id":23,"start_date":"2016-08-25","description":"","custom_fields":[{"id":1,"name":"Subdivision","value":"EC"},{"id":4,"name":"Milepost","value":"0.0001"},{"id":17,"name":"Train ID","value":"110-25"},{"id":16,"name":"Locomotive ID","value":"4010"},{"id":130,"name":"Impact","value":""},{"id":150,"name":"Time of Event (Mountain Time)","value":"06:22:08"},{"id":151,"name":"Denver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8" s="55"/>
      <c r="Y18" s="55"/>
      <c r="Z18" s="55"/>
    </row>
    <row r="19" spans="1:26" s="1" customFormat="1" x14ac:dyDescent="0.25">
      <c r="A19" s="38">
        <v>42607.348182870373</v>
      </c>
      <c r="B19" s="33" t="s">
        <v>115</v>
      </c>
      <c r="C19" s="33" t="s">
        <v>392</v>
      </c>
      <c r="D19" s="33" t="s">
        <v>49</v>
      </c>
      <c r="E19" s="33" t="s">
        <v>50</v>
      </c>
      <c r="F19" s="49">
        <v>0</v>
      </c>
      <c r="G19" s="49">
        <v>36</v>
      </c>
      <c r="H19" s="49">
        <v>132</v>
      </c>
      <c r="I19" s="33" t="s">
        <v>51</v>
      </c>
      <c r="J19" s="49">
        <v>1</v>
      </c>
      <c r="K19" s="33" t="s">
        <v>53</v>
      </c>
      <c r="L19" s="92" t="str">
        <f>VLOOKUP(C19,'Trips&amp;Operators'!$C$1:$E$9999,3,0)</f>
        <v>STARKS</v>
      </c>
      <c r="M19" s="131" t="s">
        <v>86</v>
      </c>
      <c r="N19" s="10"/>
      <c r="O19" s="33"/>
      <c r="P19" s="108" t="str">
        <f>VLOOKUP(C19,'Train Runs'!$A$13:$AE$10009,31,0)</f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Q19" s="111" t="str">
        <f>VLOOKUP(C19,'Train Runs'!$A$13:$AE$10009,22,0)</f>
        <v>https://search-rtdc-monitor-bjffxe2xuh6vdkpspy63sjmuny.us-east-1.es.amazonaws.com/_plugin/kibana/#/discover/Steve-Slow-Train-Analysis-(2080s-and-2083s)?_g=(refreshInterval:(display:Off,section:0,value:0),time:(from:'2016-08-25 06:39:13-0600',mode:absolute,to:'2016-08-25 09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19" s="113" t="str">
        <f t="shared" si="0"/>
        <v>"C:\Program Files (x86)\AstroGrep\AstroGrep.exe" /spath="%USERPROFILE%\AppData\Local\Temp\OnboardLogs" /stypes="*4032*201608251*" /stext=" 14:.+((SYSTEM_STATE.+slice.+state.+changed )|(ment ac)|(system.+state.+changed )|(\|lc)|(penalty)|(\[timeout)|(PRM\|1\|D)|(kpr)|(kdp))" /e /r /s</v>
      </c>
      <c r="S19" s="9" t="str">
        <f t="shared" si="1"/>
        <v>4032</v>
      </c>
      <c r="T19" s="38">
        <f t="shared" si="2"/>
        <v>42607.598182870373</v>
      </c>
      <c r="U19" s="52" t="str">
        <f t="shared" si="3"/>
        <v>EC</v>
      </c>
      <c r="V19" s="52" t="str">
        <f t="shared" si="4"/>
        <v>KEEP</v>
      </c>
      <c r="W19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{"issue":{"subject":"","project_id":79,"tracker_id":40,"status_id":1,"priority_id":2,"assigned_to_id":23,"start_date":"2016-08-25","description":"","custom_fields":[{"id":1,"name":"Subdivision","value":"EC"},{"id":4,"name":"Milepost","value":"0.0001"},{"id":17,"name":"Train ID","value":"126-25"},{"id":16,"name":"Locomotive ID","value":"4032"},{"id":130,"name":"Impact","value":""},{"id":150,"name":"Time of Event (Mountain Time)","value":"08:21:23"},{"id":151,"name":"Denver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9" s="55"/>
      <c r="Y19" s="55"/>
      <c r="Z19" s="55"/>
    </row>
    <row r="20" spans="1:26" s="1" customFormat="1" x14ac:dyDescent="0.25">
      <c r="A20" s="38">
        <v>42607.161493055559</v>
      </c>
      <c r="B20" s="33" t="s">
        <v>114</v>
      </c>
      <c r="C20" s="33" t="s">
        <v>348</v>
      </c>
      <c r="D20" s="33" t="s">
        <v>49</v>
      </c>
      <c r="E20" s="33" t="s">
        <v>50</v>
      </c>
      <c r="F20" s="49">
        <v>0</v>
      </c>
      <c r="G20" s="49">
        <v>135</v>
      </c>
      <c r="H20" s="49">
        <v>232908</v>
      </c>
      <c r="I20" s="33" t="s">
        <v>51</v>
      </c>
      <c r="J20" s="49">
        <v>233491</v>
      </c>
      <c r="K20" s="33" t="s">
        <v>52</v>
      </c>
      <c r="L20" s="92" t="str">
        <f>VLOOKUP(C20,'Trips&amp;Operators'!$C$1:$E$9999,3,0)</f>
        <v>MAELZER</v>
      </c>
      <c r="M20" s="131" t="s">
        <v>86</v>
      </c>
      <c r="N20" s="10"/>
      <c r="O20" s="33"/>
      <c r="P20" s="108" t="str">
        <f>VLOOKUP(C20,'Train Runs'!$A$13:$AE$10009,31,0)</f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Q20" s="111" t="str">
        <f>VLOOKUP(C20,'Train Runs'!$A$13:$AE$10009,22,0)</f>
        <v>https://search-rtdc-monitor-bjffxe2xuh6vdkpspy63sjmuny.us-east-1.es.amazonaws.com/_plugin/kibana/#/discover/Steve-Slow-Train-Analysis-(2080s-and-2083s)?_g=(refreshInterval:(display:Off,section:0,value:0),time:(from:'2016-08-25 02:03:44-0600',mode:absolute,to:'2016-08-25 04:52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20" s="113" t="str">
        <f t="shared" si="0"/>
        <v>"C:\Program Files (x86)\AstroGrep\AstroGrep.exe" /spath="%USERPROFILE%\AppData\Local\Temp\OnboardLogs" /stypes="*4031*201608250*" /stext=" 09:.+((SYSTEM_STATE.+slice.+state.+changed )|(ment ac)|(system.+state.+changed )|(\|lc)|(penalty)|(\[timeout)|(PRM\|1\|D)|(kpr)|(kdp))" /e /r /s</v>
      </c>
      <c r="S20" s="9" t="str">
        <f t="shared" si="1"/>
        <v>4031</v>
      </c>
      <c r="T20" s="38">
        <f t="shared" si="2"/>
        <v>42607.411493055559</v>
      </c>
      <c r="U20" s="52" t="str">
        <f t="shared" si="3"/>
        <v>EC</v>
      </c>
      <c r="V20" s="52" t="str">
        <f t="shared" si="4"/>
        <v>KEEP</v>
      </c>
      <c r="W20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{"issue":{"subject":"","project_id":79,"tracker_id":40,"status_id":1,"priority_id":2,"assigned_to_id":23,"start_date":"2016-08-25","description":"","custom_fields":[{"id":1,"name":"Subdivision","value":"EC"},{"id":4,"name":"Milepost","value":"23.3491"},{"id":17,"name":"Train ID","value":"101-25"},{"id":16,"name":"Locomotive ID","value":"4031"},{"id":130,"name":"Impact","value":""},{"id":150,"name":"Time of Event (Mountain Time)","value":"03:52:33"},{"id":151,"name":"Denver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0" s="55"/>
      <c r="Y20" s="55"/>
      <c r="Z20" s="55"/>
    </row>
    <row r="21" spans="1:26" s="1" customFormat="1" x14ac:dyDescent="0.25">
      <c r="A21" s="38">
        <v>42607.21329861111</v>
      </c>
      <c r="B21" s="33" t="s">
        <v>150</v>
      </c>
      <c r="C21" s="33" t="s">
        <v>361</v>
      </c>
      <c r="D21" s="33" t="s">
        <v>49</v>
      </c>
      <c r="E21" s="33" t="s">
        <v>50</v>
      </c>
      <c r="F21" s="49">
        <v>0</v>
      </c>
      <c r="G21" s="49">
        <v>46</v>
      </c>
      <c r="H21" s="49">
        <v>233314</v>
      </c>
      <c r="I21" s="33" t="s">
        <v>51</v>
      </c>
      <c r="J21" s="49">
        <v>233491</v>
      </c>
      <c r="K21" s="33" t="s">
        <v>52</v>
      </c>
      <c r="L21" s="92" t="str">
        <f>VLOOKUP(C21,'Trips&amp;Operators'!$C$1:$E$9999,3,0)</f>
        <v>SANTIZO</v>
      </c>
      <c r="M21" s="131" t="s">
        <v>86</v>
      </c>
      <c r="N21" s="10"/>
      <c r="O21" s="33"/>
      <c r="P21" s="108" t="str">
        <f>VLOOKUP(C21,'Train Runs'!$A$13:$AE$10009,31,0)</f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Q21" s="111" t="str">
        <f>VLOOKUP(C21,'Train Runs'!$A$13:$AE$10009,22,0)</f>
        <v>https://search-rtdc-monitor-bjffxe2xuh6vdkpspy63sjmuny.us-east-1.es.amazonaws.com/_plugin/kibana/#/discover/Steve-Slow-Train-Analysis-(2080s-and-2083s)?_g=(refreshInterval:(display:Off,section:0,value:0),time:(from:'2016-08-25 03:13:56-0600',mode:absolute,to:'2016-08-25 06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21" s="113" t="str">
        <f t="shared" si="0"/>
        <v>"C:\Program Files (x86)\AstroGrep\AstroGrep.exe" /spath="%USERPROFILE%\AppData\Local\Temp\OnboardLogs" /stypes="*4042*201608251*" /stext=" 11:.+((SYSTEM_STATE.+slice.+state.+changed )|(ment ac)|(system.+state.+changed )|(\|lc)|(penalty)|(\[timeout)|(PRM\|1\|D)|(kpr)|(kdp))" /e /r /s</v>
      </c>
      <c r="S21" s="9" t="str">
        <f t="shared" si="1"/>
        <v>4042</v>
      </c>
      <c r="T21" s="38">
        <f t="shared" si="2"/>
        <v>42607.46329861111</v>
      </c>
      <c r="U21" s="52" t="str">
        <f t="shared" si="3"/>
        <v>EC</v>
      </c>
      <c r="V21" s="52" t="str">
        <f t="shared" si="4"/>
        <v>KEEP</v>
      </c>
      <c r="W21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{"issue":{"subject":"","project_id":79,"tracker_id":40,"status_id":1,"priority_id":2,"assigned_to_id":23,"start_date":"2016-08-25","description":"","custom_fields":[{"id":1,"name":"Subdivision","value":"EC"},{"id":4,"name":"Milepost","value":"23.3491"},{"id":17,"name":"Train ID","value":"107-25"},{"id":16,"name":"Locomotive ID","value":"4042"},{"id":130,"name":"Impact","value":""},{"id":150,"name":"Time of Event (Mountain Time)","value":"05:07:09"},{"id":151,"name":"Denver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1" s="55"/>
      <c r="Y21" s="55"/>
      <c r="Z21" s="55"/>
    </row>
    <row r="22" spans="1:26" x14ac:dyDescent="0.25">
      <c r="A22" s="38">
        <v>42607.285509259258</v>
      </c>
      <c r="B22" s="33" t="s">
        <v>150</v>
      </c>
      <c r="C22" s="33" t="s">
        <v>386</v>
      </c>
      <c r="D22" s="33" t="s">
        <v>49</v>
      </c>
      <c r="E22" s="33" t="s">
        <v>50</v>
      </c>
      <c r="F22" s="49">
        <v>0</v>
      </c>
      <c r="G22" s="49">
        <v>52</v>
      </c>
      <c r="H22" s="49">
        <v>233302</v>
      </c>
      <c r="I22" s="33" t="s">
        <v>51</v>
      </c>
      <c r="J22" s="49">
        <v>233491</v>
      </c>
      <c r="K22" s="33" t="s">
        <v>52</v>
      </c>
      <c r="L22" s="92" t="str">
        <f>VLOOKUP(C22,'Trips&amp;Operators'!$C$1:$E$9999,3,0)</f>
        <v>SANTIZO</v>
      </c>
      <c r="M22" s="131" t="s">
        <v>86</v>
      </c>
      <c r="N22" s="10"/>
      <c r="O22" s="33"/>
      <c r="P22" s="108" t="str">
        <f>VLOOKUP(C22,'Train Runs'!$A$13:$AE$10009,31,0)</f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Q22" s="111" t="str">
        <f>VLOOKUP(C22,'Train Runs'!$A$13:$AE$10009,22,0)</f>
        <v>https://search-rtdc-monitor-bjffxe2xuh6vdkpspy63sjmuny.us-east-1.es.amazonaws.com/_plugin/kibana/#/discover/Steve-Slow-Train-Analysis-(2080s-and-2083s)?_g=(refreshInterval:(display:Off,section:0,value:0),time:(from:'2016-08-25 05:08:53-0600',mode:absolute,to:'2016-08-25 07:51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22" s="113" t="str">
        <f t="shared" si="0"/>
        <v>"C:\Program Files (x86)\AstroGrep\AstroGrep.exe" /spath="%USERPROFILE%\AppData\Local\Temp\OnboardLogs" /stypes="*4042*201608251*" /stext=" 12:.+((SYSTEM_STATE.+slice.+state.+changed )|(ment ac)|(system.+state.+changed )|(\|lc)|(penalty)|(\[timeout)|(PRM\|1\|D)|(kpr)|(kdp))" /e /r /s</v>
      </c>
      <c r="S22" s="9" t="str">
        <f t="shared" si="1"/>
        <v>4042</v>
      </c>
      <c r="T22" s="38">
        <f t="shared" si="2"/>
        <v>42607.535509259258</v>
      </c>
      <c r="U22" s="52" t="str">
        <f t="shared" si="3"/>
        <v>EC</v>
      </c>
      <c r="V22" s="52" t="str">
        <f t="shared" si="4"/>
        <v>KEEP</v>
      </c>
      <c r="W22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{"issue":{"subject":"","project_id":79,"tracker_id":40,"status_id":1,"priority_id":2,"assigned_to_id":23,"start_date":"2016-08-25","description":"","custom_fields":[{"id":1,"name":"Subdivision","value":"EC"},{"id":4,"name":"Milepost","value":"23.3491"},{"id":17,"name":"Train ID","value":"121-25"},{"id":16,"name":"Locomotive ID","value":"4042"},{"id":130,"name":"Impact","value":""},{"id":150,"name":"Time of Event (Mountain Time)","value":"06:51:08"},{"id":151,"name":"Denver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2" s="55"/>
      <c r="Y22" s="55"/>
      <c r="Z22" s="55"/>
    </row>
    <row r="23" spans="1:26" x14ac:dyDescent="0.25">
      <c r="A23" s="38">
        <v>42607.578113425923</v>
      </c>
      <c r="B23" s="33" t="s">
        <v>150</v>
      </c>
      <c r="C23" s="33" t="s">
        <v>460</v>
      </c>
      <c r="D23" s="33" t="s">
        <v>49</v>
      </c>
      <c r="E23" s="33" t="s">
        <v>50</v>
      </c>
      <c r="F23" s="49">
        <v>0</v>
      </c>
      <c r="G23" s="49">
        <v>46</v>
      </c>
      <c r="H23" s="49">
        <v>233331</v>
      </c>
      <c r="I23" s="33" t="s">
        <v>51</v>
      </c>
      <c r="J23" s="49">
        <v>233491</v>
      </c>
      <c r="K23" s="33" t="s">
        <v>52</v>
      </c>
      <c r="L23" s="92" t="str">
        <f>VLOOKUP(C23,'Trips&amp;Operators'!$C$1:$E$9999,3,0)</f>
        <v>MOSES</v>
      </c>
      <c r="M23" s="131" t="s">
        <v>86</v>
      </c>
      <c r="N23" s="10"/>
      <c r="O23" s="33"/>
      <c r="P23" s="108" t="str">
        <f>VLOOKUP(C23,'Train Runs'!$A$13:$AE$10009,31,0)</f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Q23" s="111" t="str">
        <f>VLOOKUP(C23,'Train Runs'!$A$13:$AE$10009,22,0)</f>
        <v>https://search-rtdc-monitor-bjffxe2xuh6vdkpspy63sjmuny.us-east-1.es.amazonaws.com/_plugin/kibana/#/discover/Steve-Slow-Train-Analysis-(2080s-and-2083s)?_g=(refreshInterval:(display:Off,section:0,value:0),time:(from:'2016-08-25 12:11:17-0600',mode:absolute,to:'2016-08-25 14:52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23" s="113" t="str">
        <f t="shared" si="0"/>
        <v>"C:\Program Files (x86)\AstroGrep\AstroGrep.exe" /spath="%USERPROFILE%\AppData\Local\Temp\OnboardLogs" /stypes="*4042*201608251*" /stext=" 19:.+((SYSTEM_STATE.+slice.+state.+changed )|(ment ac)|(system.+state.+changed )|(\|lc)|(penalty)|(\[timeout)|(PRM\|1\|D)|(kpr)|(kdp))" /e /r /s</v>
      </c>
      <c r="S23" s="9" t="str">
        <f t="shared" si="1"/>
        <v>4042</v>
      </c>
      <c r="T23" s="38">
        <f t="shared" si="2"/>
        <v>42607.828113425923</v>
      </c>
      <c r="U23" s="52" t="str">
        <f t="shared" si="3"/>
        <v>EC</v>
      </c>
      <c r="V23" s="52" t="str">
        <f t="shared" si="4"/>
        <v>KEEP</v>
      </c>
      <c r="W23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{"issue":{"subject":"","project_id":79,"tracker_id":40,"status_id":1,"priority_id":2,"assigned_to_id":23,"start_date":"2016-08-25","description":"","custom_fields":[{"id":1,"name":"Subdivision","value":"EC"},{"id":4,"name":"Milepost","value":"23.3491"},{"id":17,"name":"Train ID","value":"177-25"},{"id":16,"name":"Locomotive ID","value":"4042"},{"id":130,"name":"Impact","value":""},{"id":150,"name":"Time of Event (Mountain Time)","value":"13:52:29"},{"id":151,"name":"Denver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3" s="55"/>
      <c r="Y23" s="55"/>
      <c r="Z23" s="55"/>
    </row>
    <row r="24" spans="1:26" x14ac:dyDescent="0.25">
      <c r="A24" s="38">
        <v>42607.725254629629</v>
      </c>
      <c r="B24" s="33" t="s">
        <v>150</v>
      </c>
      <c r="C24" s="33" t="s">
        <v>499</v>
      </c>
      <c r="D24" s="33" t="s">
        <v>49</v>
      </c>
      <c r="E24" s="33" t="s">
        <v>50</v>
      </c>
      <c r="F24" s="49">
        <v>0</v>
      </c>
      <c r="G24" s="49">
        <v>57</v>
      </c>
      <c r="H24" s="49">
        <v>233244</v>
      </c>
      <c r="I24" s="33" t="s">
        <v>51</v>
      </c>
      <c r="J24" s="49">
        <v>233491</v>
      </c>
      <c r="K24" s="33" t="s">
        <v>52</v>
      </c>
      <c r="L24" s="92" t="str">
        <f>VLOOKUP(C24,'Trips&amp;Operators'!$C$1:$E$9999,3,0)</f>
        <v>MOSES</v>
      </c>
      <c r="M24" s="131" t="s">
        <v>86</v>
      </c>
      <c r="N24" s="10"/>
      <c r="O24" s="33"/>
      <c r="P24" s="108" t="str">
        <f>VLOOKUP(C24,'Train Runs'!$A$13:$AE$10009,31,0)</f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Q24" s="111" t="str">
        <f>VLOOKUP(C24,'Train Runs'!$A$13:$AE$10009,22,0)</f>
        <v>https://search-rtdc-monitor-bjffxe2xuh6vdkpspy63sjmuny.us-east-1.es.amazonaws.com/_plugin/kibana/#/discover/Steve-Slow-Train-Analysis-(2080s-and-2083s)?_g=(refreshInterval:(display:Off,section:0,value:0),time:(from:'2016-08-25 15:42:04-0600',mode:absolute,to:'2016-08-25 18:24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24" s="113" t="str">
        <f t="shared" si="0"/>
        <v>"C:\Program Files (x86)\AstroGrep\AstroGrep.exe" /spath="%USERPROFILE%\AppData\Local\Temp\OnboardLogs" /stypes="*4042*201608252*" /stext=" 23:.+((SYSTEM_STATE.+slice.+state.+changed )|(ment ac)|(system.+state.+changed )|(\|lc)|(penalty)|(\[timeout)|(PRM\|1\|D)|(kpr)|(kdp))" /e /r /s</v>
      </c>
      <c r="S24" s="9" t="str">
        <f t="shared" si="1"/>
        <v>4042</v>
      </c>
      <c r="T24" s="38">
        <f t="shared" si="2"/>
        <v>42607.975254629629</v>
      </c>
      <c r="U24" s="52" t="str">
        <f t="shared" si="3"/>
        <v>EC</v>
      </c>
      <c r="V24" s="52" t="str">
        <f t="shared" si="4"/>
        <v>KEEP</v>
      </c>
      <c r="W24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{"issue":{"subject":"","project_id":79,"tracker_id":40,"status_id":1,"priority_id":2,"assigned_to_id":23,"start_date":"2016-08-25","description":"","custom_fields":[{"id":1,"name":"Subdivision","value":"EC"},{"id":4,"name":"Milepost","value":"23.3491"},{"id":17,"name":"Train ID","value":"205-25"},{"id":16,"name":"Locomotive ID","value":"4042"},{"id":130,"name":"Impact","value":""},{"id":150,"name":"Time of Event (Mountain Time)","value":"17:24:22"},{"id":151,"name":"Denver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4" s="55"/>
      <c r="Y24" s="55"/>
      <c r="Z24" s="55"/>
    </row>
    <row r="25" spans="1:26" ht="15" customHeight="1" x14ac:dyDescent="0.25">
      <c r="A25" s="38">
        <v>42607.701631944445</v>
      </c>
      <c r="B25" s="33" t="s">
        <v>90</v>
      </c>
      <c r="C25" s="33" t="s">
        <v>648</v>
      </c>
      <c r="D25" s="33" t="s">
        <v>111</v>
      </c>
      <c r="E25" s="33" t="s">
        <v>56</v>
      </c>
      <c r="F25" s="49">
        <v>300</v>
      </c>
      <c r="G25" s="49">
        <v>352</v>
      </c>
      <c r="H25" s="49">
        <v>21248</v>
      </c>
      <c r="I25" s="33" t="s">
        <v>57</v>
      </c>
      <c r="J25" s="49">
        <v>23561</v>
      </c>
      <c r="K25" s="33" t="s">
        <v>53</v>
      </c>
      <c r="L25" s="92" t="str">
        <f>VLOOKUP(C25,'Trips&amp;Operators'!$C$1:$E$9999,3,0)</f>
        <v>BROWN</v>
      </c>
      <c r="M25" s="131" t="s">
        <v>86</v>
      </c>
      <c r="N25" s="10"/>
      <c r="O25" s="33"/>
      <c r="P25" s="108" t="str">
        <f>VLOOKUP(C25,'Train Runs'!$A$13:$AE$10009,31,0)</f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Q25" s="111" t="str">
        <f>VLOOKUP(C25,'Train Runs'!$A$13:$AE$10009,22,0)</f>
        <v>https://search-rtdc-monitor-bjffxe2xuh6vdkpspy63sjmuny.us-east-1.es.amazonaws.com/_plugin/kibana/#/discover/Steve-Slow-Train-Analysis-(2080s-and-2083s)?_g=(refreshInterval:(display:Off,section:0,value:0),time:(from:'2016-08-25 15:38:06-0600',mode:absolute,to:'2016-08-25 19:00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5" s="113" t="str">
        <f t="shared" si="0"/>
        <v>"C:\Program Files (x86)\AstroGrep\AstroGrep.exe" /spath="%USERPROFILE%\AppData\Local\Temp\OnboardLogs" /stypes="*4013*201608252*" /stext=" 22:.+((SYSTEM_STATE.+slice.+state.+changed )|(ment ac)|(system.+state.+changed )|(\|lc)|(penalty)|(\[timeout)|(PRM\|1\|D)|(kpr)|(kdp))" /e /r /s</v>
      </c>
      <c r="S25" s="9" t="str">
        <f t="shared" si="1"/>
        <v>4013</v>
      </c>
      <c r="T25" s="38">
        <f t="shared" si="2"/>
        <v>42607.951631944445</v>
      </c>
      <c r="U25" s="52" t="str">
        <f t="shared" si="3"/>
        <v>NW</v>
      </c>
      <c r="V25" s="52" t="str">
        <f t="shared" si="4"/>
        <v>KEEP</v>
      </c>
      <c r="W25" s="149" t="str">
        <f t="shared" si="5"/>
        <v>echo {"issue":{"subject":"","project_id":79,"tracker_id":40,"status_id":1,"priority_id":2,"assigned_to_id":23,"start_date":"2016-08-25","description":"","custom_fields":[{"id":1,"name":"Subdivision","value":"NW"},{"id":4,"name":"Milepost","value":"2.3561"},{"id":17,"name":"Train ID","value":"830-25"},{"id":16,"name":"Locomotive ID","value":"4013"},{"id":130,"name":"Impact","value":""},{"id":150,"name":"Time of Event (Mountain Time)","value":"16:50:21"},{"id":151,"name":"Denver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5" s="55"/>
      <c r="Y25" s="55"/>
      <c r="Z25" s="55"/>
    </row>
    <row r="26" spans="1:26" x14ac:dyDescent="0.25">
      <c r="A26" s="38">
        <v>42607.408217592594</v>
      </c>
      <c r="B26" s="33" t="s">
        <v>90</v>
      </c>
      <c r="C26" s="33" t="s">
        <v>608</v>
      </c>
      <c r="D26" s="33" t="s">
        <v>49</v>
      </c>
      <c r="E26" s="33" t="s">
        <v>56</v>
      </c>
      <c r="F26" s="49">
        <v>300</v>
      </c>
      <c r="G26" s="49">
        <v>524</v>
      </c>
      <c r="H26" s="49">
        <v>29430</v>
      </c>
      <c r="I26" s="33" t="s">
        <v>57</v>
      </c>
      <c r="J26" s="49">
        <v>26319</v>
      </c>
      <c r="K26" s="33" t="s">
        <v>53</v>
      </c>
      <c r="L26" s="92" t="str">
        <f>VLOOKUP(C26,'Trips&amp;Operators'!$C$1:$E$9999,3,0)</f>
        <v>GEBRETEKLE</v>
      </c>
      <c r="M26" s="131" t="s">
        <v>86</v>
      </c>
      <c r="N26" s="10"/>
      <c r="O26" s="33"/>
      <c r="P26" s="108" t="str">
        <f>VLOOKUP(C26,'Train Runs'!$A$13:$AE$10009,31,0)</f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Q26" s="111" t="str">
        <f>VLOOKUP(C26,'Train Runs'!$A$13:$AE$10009,22,0)</f>
        <v>https://search-rtdc-monitor-bjffxe2xuh6vdkpspy63sjmuny.us-east-1.es.amazonaws.com/_plugin/kibana/#/discover/Steve-Slow-Train-Analysis-(2080s-and-2083s)?_g=(refreshInterval:(display:Off,section:0,value:0),time:(from:'2016-08-25 08:36:35-0600',mode:absolute,to:'2016-08-25 10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6" s="113" t="str">
        <f t="shared" si="0"/>
        <v>"C:\Program Files (x86)\AstroGrep\AstroGrep.exe" /spath="%USERPROFILE%\AppData\Local\Temp\OnboardLogs" /stypes="*4013*201608251*" /stext=" 15:.+((SYSTEM_STATE.+slice.+state.+changed )|(ment ac)|(system.+state.+changed )|(\|lc)|(penalty)|(\[timeout)|(PRM\|1\|D)|(kpr)|(kdp))" /e /r /s</v>
      </c>
      <c r="S26" s="9" t="str">
        <f t="shared" si="1"/>
        <v>4013</v>
      </c>
      <c r="T26" s="38">
        <f t="shared" si="2"/>
        <v>42607.658217592594</v>
      </c>
      <c r="U26" s="52" t="str">
        <f t="shared" si="3"/>
        <v>NW</v>
      </c>
      <c r="V26" s="52" t="str">
        <f t="shared" si="4"/>
        <v>KEEP</v>
      </c>
      <c r="W26" s="149" t="str">
        <f t="shared" si="5"/>
        <v>echo {"issue":{"subject":"","project_id":79,"tracker_id":40,"status_id":1,"priority_id":2,"assigned_to_id":23,"start_date":"2016-08-25","description":"","custom_fields":[{"id":1,"name":"Subdivision","value":"NW"},{"id":4,"name":"Milepost","value":"2.6319"},{"id":17,"name":"Train ID","value":"814-25"},{"id":16,"name":"Locomotive ID","value":"4013"},{"id":130,"name":"Impact","value":""},{"id":150,"name":"Time of Event (Mountain Time)","value":"09:47:50"},{"id":151,"name":"Denver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6" s="55"/>
      <c r="Y26" s="55"/>
      <c r="Z26" s="55"/>
    </row>
    <row r="27" spans="1:26" x14ac:dyDescent="0.25">
      <c r="A27" s="38">
        <v>42607.397106481483</v>
      </c>
      <c r="B27" s="33" t="s">
        <v>112</v>
      </c>
      <c r="C27" s="33" t="s">
        <v>606</v>
      </c>
      <c r="D27" s="33" t="s">
        <v>49</v>
      </c>
      <c r="E27" s="33" t="s">
        <v>56</v>
      </c>
      <c r="F27" s="49">
        <v>150</v>
      </c>
      <c r="G27" s="49">
        <v>321</v>
      </c>
      <c r="H27" s="49">
        <v>56205</v>
      </c>
      <c r="I27" s="33" t="s">
        <v>57</v>
      </c>
      <c r="J27" s="49">
        <v>57008</v>
      </c>
      <c r="K27" s="33" t="s">
        <v>52</v>
      </c>
      <c r="L27" s="92" t="str">
        <f>VLOOKUP(C27,'Trips&amp;Operators'!$C$1:$E$9999,3,0)</f>
        <v>GEBRETEKLE</v>
      </c>
      <c r="M27" s="131" t="s">
        <v>86</v>
      </c>
      <c r="N27" s="10"/>
      <c r="O27" s="33"/>
      <c r="P27" s="108" t="str">
        <f>VLOOKUP(C27,'Train Runs'!$A$13:$AE$10009,31,0)</f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Q27" s="111" t="str">
        <f>VLOOKUP(C27,'Train Runs'!$A$13:$AE$10009,22,0)</f>
        <v>https://search-rtdc-monitor-bjffxe2xuh6vdkpspy63sjmuny.us-east-1.es.amazonaws.com/_plugin/kibana/#/discover/Steve-Slow-Train-Analysis-(2080s-and-2083s)?_g=(refreshInterval:(display:Off,section:0,value:0),time:(from:'2016-08-25 08:15:12-0600',mode:absolute,to:'2016-08-25 10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27" s="113" t="str">
        <f t="shared" si="0"/>
        <v>"C:\Program Files (x86)\AstroGrep\AstroGrep.exe" /spath="%USERPROFILE%\AppData\Local\Temp\OnboardLogs" /stypes="*4014*201608251*" /stext=" 15:.+((SYSTEM_STATE.+slice.+state.+changed )|(ment ac)|(system.+state.+changed )|(\|lc)|(penalty)|(\[timeout)|(PRM\|1\|D)|(kpr)|(kdp))" /e /r /s</v>
      </c>
      <c r="S27" s="9" t="str">
        <f t="shared" si="1"/>
        <v>4014</v>
      </c>
      <c r="T27" s="38">
        <f t="shared" si="2"/>
        <v>42607.647106481483</v>
      </c>
      <c r="U27" s="52" t="str">
        <f t="shared" si="3"/>
        <v>NW</v>
      </c>
      <c r="V27" s="52" t="str">
        <f t="shared" si="4"/>
        <v>KEEP</v>
      </c>
      <c r="W27" s="149" t="str">
        <f t="shared" si="5"/>
        <v>echo {"issue":{"subject":"","project_id":79,"tracker_id":40,"status_id":1,"priority_id":2,"assigned_to_id":23,"start_date":"2016-08-25","description":"","custom_fields":[{"id":1,"name":"Subdivision","value":"NW"},{"id":4,"name":"Milepost","value":"5.7008"},{"id":17,"name":"Train ID","value":"813-25"},{"id":16,"name":"Locomotive ID","value":"4014"},{"id":130,"name":"Impact","value":""},{"id":150,"name":"Time of Event (Mountain Time)","value":"09:31:50"},{"id":151,"name":"Denver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7" s="55"/>
      <c r="Y27" s="55"/>
      <c r="Z27" s="55"/>
    </row>
    <row r="28" spans="1:26" x14ac:dyDescent="0.25">
      <c r="A28" s="38">
        <v>42607.371249999997</v>
      </c>
      <c r="B28" s="33" t="s">
        <v>90</v>
      </c>
      <c r="C28" s="33" t="s">
        <v>604</v>
      </c>
      <c r="D28" s="33" t="s">
        <v>49</v>
      </c>
      <c r="E28" s="33" t="s">
        <v>50</v>
      </c>
      <c r="F28" s="49">
        <v>0</v>
      </c>
      <c r="G28" s="49">
        <v>33</v>
      </c>
      <c r="H28" s="49">
        <v>675</v>
      </c>
      <c r="I28" s="33" t="s">
        <v>51</v>
      </c>
      <c r="J28" s="49">
        <v>575</v>
      </c>
      <c r="K28" s="33" t="s">
        <v>53</v>
      </c>
      <c r="L28" s="92" t="str">
        <f>VLOOKUP(C28,'Trips&amp;Operators'!$C$1:$E$9999,3,0)</f>
        <v>GEBRETEKLE</v>
      </c>
      <c r="M28" s="131" t="s">
        <v>86</v>
      </c>
      <c r="N28" s="10"/>
      <c r="O28" s="33"/>
      <c r="P28" s="108" t="str">
        <f>VLOOKUP(C28,'Train Runs'!$A$13:$AE$10009,31,0)</f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Q28" s="111" t="str">
        <f>VLOOKUP(C28,'Train Runs'!$A$13:$AE$10009,22,0)</f>
        <v>https://search-rtdc-monitor-bjffxe2xuh6vdkpspy63sjmuny.us-east-1.es.amazonaws.com/_plugin/kibana/#/discover/Steve-Slow-Train-Analysis-(2080s-and-2083s)?_g=(refreshInterval:(display:Off,section:0,value:0),time:(from:'2016-08-25 07:37:04-0600',mode:absolute,to:'2016-08-25 09:54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8" s="113" t="str">
        <f t="shared" si="0"/>
        <v>"C:\Program Files (x86)\AstroGrep\AstroGrep.exe" /spath="%USERPROFILE%\AppData\Local\Temp\OnboardLogs" /stypes="*4013*201608251*" /stext=" 14:.+((SYSTEM_STATE.+slice.+state.+changed )|(ment ac)|(system.+state.+changed )|(\|lc)|(penalty)|(\[timeout)|(PRM\|1\|D)|(kpr)|(kdp))" /e /r /s</v>
      </c>
      <c r="S28" s="9" t="str">
        <f t="shared" si="1"/>
        <v>4013</v>
      </c>
      <c r="T28" s="38">
        <f t="shared" si="2"/>
        <v>42607.621249999997</v>
      </c>
      <c r="U28" s="52" t="str">
        <f t="shared" si="3"/>
        <v>NW</v>
      </c>
      <c r="V28" s="52" t="str">
        <f t="shared" si="4"/>
        <v>KEEP</v>
      </c>
      <c r="W28" s="149" t="str">
        <f t="shared" si="5"/>
        <v>echo {"issue":{"subject":"","project_id":79,"tracker_id":40,"status_id":1,"priority_id":2,"assigned_to_id":23,"start_date":"2016-08-25","description":"","custom_fields":[{"id":1,"name":"Subdivision","value":"NW"},{"id":4,"name":"Milepost","value":"0.0575"},{"id":17,"name":"Train ID","value":"812-25"},{"id":16,"name":"Locomotive ID","value":"4013"},{"id":130,"name":"Impact","value":""},{"id":150,"name":"Time of Event (Mountain Time)","value":"08:54:36"},{"id":151,"name":"Denver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8" s="55"/>
      <c r="Y28" s="55"/>
      <c r="Z28" s="55"/>
    </row>
    <row r="29" spans="1:26" x14ac:dyDescent="0.25">
      <c r="A29" s="38">
        <v>42607.706458333334</v>
      </c>
      <c r="B29" s="33" t="s">
        <v>90</v>
      </c>
      <c r="C29" s="33" t="s">
        <v>648</v>
      </c>
      <c r="D29" s="33" t="s">
        <v>49</v>
      </c>
      <c r="E29" s="33" t="s">
        <v>50</v>
      </c>
      <c r="F29" s="49">
        <v>0</v>
      </c>
      <c r="G29" s="49">
        <v>22</v>
      </c>
      <c r="H29" s="49">
        <v>629</v>
      </c>
      <c r="I29" s="33" t="s">
        <v>51</v>
      </c>
      <c r="J29" s="49">
        <v>575</v>
      </c>
      <c r="K29" s="33" t="s">
        <v>53</v>
      </c>
      <c r="L29" s="92" t="str">
        <f>VLOOKUP(C29,'Trips&amp;Operators'!$C$1:$E$9999,3,0)</f>
        <v>BROWN</v>
      </c>
      <c r="M29" s="131" t="s">
        <v>86</v>
      </c>
      <c r="N29" s="10"/>
      <c r="O29" s="33"/>
      <c r="P29" s="108" t="str">
        <f>VLOOKUP(C29,'Train Runs'!$A$13:$AE$10009,31,0)</f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Q29" s="111" t="str">
        <f>VLOOKUP(C29,'Train Runs'!$A$13:$AE$10009,22,0)</f>
        <v>https://search-rtdc-monitor-bjffxe2xuh6vdkpspy63sjmuny.us-east-1.es.amazonaws.com/_plugin/kibana/#/discover/Steve-Slow-Train-Analysis-(2080s-and-2083s)?_g=(refreshInterval:(display:Off,section:0,value:0),time:(from:'2016-08-25 15:38:06-0600',mode:absolute,to:'2016-08-25 19:00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9" s="113" t="str">
        <f t="shared" si="0"/>
        <v>"C:\Program Files (x86)\AstroGrep\AstroGrep.exe" /spath="%USERPROFILE%\AppData\Local\Temp\OnboardLogs" /stypes="*4013*201608252*" /stext=" 22:.+((SYSTEM_STATE.+slice.+state.+changed )|(ment ac)|(system.+state.+changed )|(\|lc)|(penalty)|(\[timeout)|(PRM\|1\|D)|(kpr)|(kdp))" /e /r /s</v>
      </c>
      <c r="S29" s="9" t="str">
        <f t="shared" si="1"/>
        <v>4013</v>
      </c>
      <c r="T29" s="38">
        <f t="shared" si="2"/>
        <v>42607.956458333334</v>
      </c>
      <c r="U29" s="52" t="str">
        <f t="shared" si="3"/>
        <v>NW</v>
      </c>
      <c r="V29" s="52" t="str">
        <f t="shared" si="4"/>
        <v>KEEP</v>
      </c>
      <c r="W29" s="149" t="str">
        <f t="shared" si="5"/>
        <v>echo {"issue":{"subject":"","project_id":79,"tracker_id":40,"status_id":1,"priority_id":2,"assigned_to_id":23,"start_date":"2016-08-25","description":"","custom_fields":[{"id":1,"name":"Subdivision","value":"NW"},{"id":4,"name":"Milepost","value":"0.0575"},{"id":17,"name":"Train ID","value":"830-25"},{"id":16,"name":"Locomotive ID","value":"4013"},{"id":130,"name":"Impact","value":""},{"id":150,"name":"Time of Event (Mountain Time)","value":"16:57:18"},{"id":151,"name":"Denver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9" s="55"/>
      <c r="Y29" s="55"/>
      <c r="Z29" s="55"/>
    </row>
    <row r="30" spans="1:26" x14ac:dyDescent="0.25">
      <c r="A30" s="38">
        <v>42607.834537037037</v>
      </c>
      <c r="B30" s="33" t="s">
        <v>90</v>
      </c>
      <c r="C30" s="33" t="s">
        <v>669</v>
      </c>
      <c r="D30" s="33" t="s">
        <v>49</v>
      </c>
      <c r="E30" s="33" t="s">
        <v>50</v>
      </c>
      <c r="F30" s="49">
        <v>0</v>
      </c>
      <c r="G30" s="49">
        <v>75</v>
      </c>
      <c r="H30" s="49">
        <v>820</v>
      </c>
      <c r="I30" s="33" t="s">
        <v>51</v>
      </c>
      <c r="J30" s="49">
        <v>575</v>
      </c>
      <c r="K30" s="33" t="s">
        <v>53</v>
      </c>
      <c r="L30" s="92" t="str">
        <f>VLOOKUP(C30,'Trips&amp;Operators'!$C$1:$E$9999,3,0)</f>
        <v>BROWN</v>
      </c>
      <c r="M30" s="131" t="s">
        <v>86</v>
      </c>
      <c r="N30" s="10"/>
      <c r="O30" s="33"/>
      <c r="P30" s="108" t="str">
        <f>VLOOKUP(C30,'Train Runs'!$A$13:$AE$10009,31,0)</f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Q30" s="111" t="str">
        <f>VLOOKUP(C30,'Train Runs'!$A$13:$AE$10009,22,0)</f>
        <v>https://search-rtdc-monitor-bjffxe2xuh6vdkpspy63sjmuny.us-east-1.es.amazonaws.com/_plugin/kibana/#/discover/Steve-Slow-Train-Analysis-(2080s-and-2083s)?_g=(refreshInterval:(display:Off,section:0,value:0),time:(from:'2016-08-25 18:45:54-0600',mode:absolute,to:'2016-08-25 21:01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30" s="113" t="str">
        <f t="shared" si="0"/>
        <v>"C:\Program Files (x86)\AstroGrep\AstroGrep.exe" /spath="%USERPROFILE%\AppData\Local\Temp\OnboardLogs" /stypes="*4013*201608260*" /stext=" 02:.+((SYSTEM_STATE.+slice.+state.+changed )|(ment ac)|(system.+state.+changed )|(\|lc)|(penalty)|(\[timeout)|(PRM\|1\|D)|(kpr)|(kdp))" /e /r /s</v>
      </c>
      <c r="S30" s="9" t="str">
        <f t="shared" si="1"/>
        <v>4013</v>
      </c>
      <c r="T30" s="38">
        <f t="shared" si="2"/>
        <v>42608.084537037037</v>
      </c>
      <c r="U30" s="52" t="str">
        <f t="shared" si="3"/>
        <v>NW</v>
      </c>
      <c r="V30" s="52" t="str">
        <f t="shared" si="4"/>
        <v>KEEP</v>
      </c>
      <c r="W30" s="149" t="str">
        <f t="shared" si="5"/>
        <v>echo {"issue":{"subject":"","project_id":79,"tracker_id":40,"status_id":1,"priority_id":2,"assigned_to_id":23,"start_date":"2016-08-25","description":"","custom_fields":[{"id":1,"name":"Subdivision","value":"NW"},{"id":4,"name":"Milepost","value":"0.0575"},{"id":17,"name":"Train ID","value":"840-25"},{"id":16,"name":"Locomotive ID","value":"4013"},{"id":130,"name":"Impact","value":""},{"id":150,"name":"Time of Event (Mountain Time)","value":"20:01:44"},{"id":151,"name":"Denver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0" s="55"/>
      <c r="Y30" s="55"/>
      <c r="Z30" s="55"/>
    </row>
    <row r="31" spans="1:26" x14ac:dyDescent="0.25">
      <c r="A31" s="38">
        <v>42607.295578703706</v>
      </c>
      <c r="B31" s="33" t="s">
        <v>151</v>
      </c>
      <c r="C31" s="33" t="s">
        <v>588</v>
      </c>
      <c r="D31" s="33" t="s">
        <v>49</v>
      </c>
      <c r="E31" s="33" t="s">
        <v>50</v>
      </c>
      <c r="F31" s="49">
        <v>0</v>
      </c>
      <c r="G31" s="49">
        <v>64</v>
      </c>
      <c r="H31" s="49">
        <v>58794</v>
      </c>
      <c r="I31" s="33" t="s">
        <v>51</v>
      </c>
      <c r="J31" s="49">
        <v>59048</v>
      </c>
      <c r="K31" s="33" t="s">
        <v>52</v>
      </c>
      <c r="L31" s="92" t="str">
        <f>VLOOKUP(C31,'Trips&amp;Operators'!$C$1:$E$9999,3,0)</f>
        <v>MAHAN</v>
      </c>
      <c r="M31" s="131" t="s">
        <v>86</v>
      </c>
      <c r="N31" s="10"/>
      <c r="O31" s="33"/>
      <c r="P31" s="108" t="str">
        <f>VLOOKUP(C31,'Train Runs'!$A$13:$AE$10009,31,0)</f>
        <v>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 &amp; 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</v>
      </c>
      <c r="Q31" s="111" t="str">
        <f>VLOOKUP(C31,'Train Runs'!$A$13:$AE$10009,22,0)</f>
        <v>https://search-rtdc-monitor-bjffxe2xuh6vdkpspy63sjmuny.us-east-1.es.amazonaws.com/_plugin/kibana/#/discover/Steve-Slow-Train-Analysis-(2080s-and-2083s)?_g=(refreshInterval:(display:Off,section:0,value:0),time:(from:'2016-08-25 05:27:00-0600',mode:absolute,to:'2016-08-25 08:05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31" s="113" t="str">
        <f t="shared" si="0"/>
        <v>"C:\Program Files (x86)\AstroGrep\AstroGrep.exe" /spath="%USERPROFILE%\AppData\Local\Temp\OnboardLogs" /stypes="*4038*201608251*" /stext=" 13:.+((SYSTEM_STATE.+slice.+state.+changed )|(ment ac)|(system.+state.+changed )|(\|lc)|(penalty)|(\[timeout)|(PRM\|1\|D)|(kpr)|(kdp))" /e /r /s</v>
      </c>
      <c r="S31" s="9" t="str">
        <f t="shared" si="1"/>
        <v>4038</v>
      </c>
      <c r="T31" s="38">
        <f t="shared" si="2"/>
        <v>42607.545578703706</v>
      </c>
      <c r="U31" s="52" t="str">
        <f t="shared" si="3"/>
        <v>NW</v>
      </c>
      <c r="V31" s="52" t="str">
        <f t="shared" si="4"/>
        <v>KEEP</v>
      </c>
      <c r="W31" s="149" t="str">
        <f t="shared" si="5"/>
        <v>echo {"issue":{"subject":"","project_id":79,"tracker_id":40,"status_id":1,"priority_id":2,"assigned_to_id":23,"start_date":"2016-08-25","description":"","custom_fields":[{"id":1,"name":"Subdivision","value":"NW"},{"id":4,"name":"Milepost","value":"5.9048"},{"id":17,"name":"Train ID","value":"805-25"},{"id":16,"name":"Locomotive ID","value":"4038"},{"id":130,"name":"Impact","value":""},{"id":150,"name":"Time of Event (Mountain Time)","value":"07:05:38"},{"id":151,"name":"Denver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1" s="55"/>
      <c r="Y31" s="55"/>
      <c r="Z31" s="55"/>
    </row>
    <row r="32" spans="1:26" x14ac:dyDescent="0.25">
      <c r="A32" s="38">
        <v>42607.315567129626</v>
      </c>
      <c r="B32" s="33" t="s">
        <v>112</v>
      </c>
      <c r="C32" s="33" t="s">
        <v>593</v>
      </c>
      <c r="D32" s="33" t="s">
        <v>49</v>
      </c>
      <c r="E32" s="33" t="s">
        <v>50</v>
      </c>
      <c r="F32" s="49">
        <v>0</v>
      </c>
      <c r="G32" s="49">
        <v>16</v>
      </c>
      <c r="H32" s="49">
        <v>59008</v>
      </c>
      <c r="I32" s="33" t="s">
        <v>51</v>
      </c>
      <c r="J32" s="49">
        <v>59048</v>
      </c>
      <c r="K32" s="33" t="s">
        <v>52</v>
      </c>
      <c r="L32" s="92" t="str">
        <f>VLOOKUP(C32,'Trips&amp;Operators'!$C$1:$E$9999,3,0)</f>
        <v>GEBRETEKLE</v>
      </c>
      <c r="M32" s="131" t="s">
        <v>86</v>
      </c>
      <c r="N32" s="10"/>
      <c r="O32" s="33"/>
      <c r="P32" s="108" t="str">
        <f>VLOOKUP(C32,'Train Runs'!$A$13:$AE$10009,31,0)</f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Q32" s="111" t="str">
        <f>VLOOKUP(C32,'Train Runs'!$A$13:$AE$10009,22,0)</f>
        <v>https://search-rtdc-monitor-bjffxe2xuh6vdkpspy63sjmuny.us-east-1.es.amazonaws.com/_plugin/kibana/#/discover/Steve-Slow-Train-Analysis-(2080s-and-2083s)?_g=(refreshInterval:(display:Off,section:0,value:0),time:(from:'2016-08-25 06:18:13-0600',mode:absolute,to:'2016-08-25 08:34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32" s="113" t="str">
        <f t="shared" si="0"/>
        <v>"C:\Program Files (x86)\AstroGrep\AstroGrep.exe" /spath="%USERPROFILE%\AppData\Local\Temp\OnboardLogs" /stypes="*4014*201608251*" /stext=" 13:.+((SYSTEM_STATE.+slice.+state.+changed )|(ment ac)|(system.+state.+changed )|(\|lc)|(penalty)|(\[timeout)|(PRM\|1\|D)|(kpr)|(kdp))" /e /r /s</v>
      </c>
      <c r="S32" s="9" t="str">
        <f t="shared" si="1"/>
        <v>4014</v>
      </c>
      <c r="T32" s="38">
        <f t="shared" si="2"/>
        <v>42607.565567129626</v>
      </c>
      <c r="U32" s="52" t="str">
        <f t="shared" si="3"/>
        <v>NW</v>
      </c>
      <c r="V32" s="52" t="str">
        <f t="shared" si="4"/>
        <v>KEEP</v>
      </c>
      <c r="W32" s="149" t="str">
        <f t="shared" si="5"/>
        <v>echo {"issue":{"subject":"","project_id":79,"tracker_id":40,"status_id":1,"priority_id":2,"assigned_to_id":23,"start_date":"2016-08-25","description":"","custom_fields":[{"id":1,"name":"Subdivision","value":"NW"},{"id":4,"name":"Milepost","value":"5.9048"},{"id":17,"name":"Train ID","value":"807-25"},{"id":16,"name":"Locomotive ID","value":"4014"},{"id":130,"name":"Impact","value":""},{"id":150,"name":"Time of Event (Mountain Time)","value":"07:34:25"},{"id":151,"name":"Denver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2" s="55"/>
      <c r="Y32" s="55"/>
      <c r="Z32" s="55"/>
    </row>
    <row r="33" spans="1:26" ht="15" customHeight="1" x14ac:dyDescent="0.25">
      <c r="A33" s="38">
        <v>42607.741608796299</v>
      </c>
      <c r="B33" s="33" t="s">
        <v>301</v>
      </c>
      <c r="C33" s="33" t="s">
        <v>567</v>
      </c>
      <c r="D33" s="33" t="s">
        <v>111</v>
      </c>
      <c r="E33" s="33" t="s">
        <v>691</v>
      </c>
      <c r="F33" s="49">
        <v>0</v>
      </c>
      <c r="G33" s="49">
        <v>33</v>
      </c>
      <c r="H33" s="49">
        <v>22690</v>
      </c>
      <c r="I33" s="33" t="s">
        <v>692</v>
      </c>
      <c r="J33" s="49">
        <v>24235</v>
      </c>
      <c r="K33" s="33" t="s">
        <v>53</v>
      </c>
      <c r="L33" s="92" t="str">
        <f>VLOOKUP(C33,'Trips&amp;Operators'!$C$1:$E$9999,3,0)</f>
        <v>SWANSON</v>
      </c>
      <c r="M33" s="131" t="s">
        <v>86</v>
      </c>
      <c r="N33" s="10"/>
      <c r="O33" s="33"/>
      <c r="P33" s="108" t="str">
        <f>VLOOKUP(C33,'Train Runs'!$A$13:$AE$10009,31,0)</f>
        <v>aws s3 cp s3://rtdc.mdm.uploadarchive/RTDC4026/2016-08-25/ "%USERPROFILE%\AppData\Local\Temp\OnboardLogs"\RTDC4026\2016-08-25 --recursive &amp; "%USERPROFILE%\Documents\GitHub\mrs-test-scripts\Headless Mode &amp; Sideloading\WalkAndUnGZ.bat" "%USERPROFILE%\AppData\Local\Temp\OnboardLogs"\RTDC4026\2016-08-25 &amp; 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</v>
      </c>
      <c r="Q33" s="111" t="str">
        <f>VLOOKUP(C33,'Train Runs'!$A$13:$AE$10009,22,0)</f>
        <v>https://search-rtdc-monitor-bjffxe2xuh6vdkpspy63sjmuny.us-east-1.es.amazonaws.com/_plugin/kibana/#/discover/Steve-Slow-Train-Analysis-(2080s-and-2083s)?_g=(refreshInterval:(display:Off,section:0,value:0),time:(from:'2016-08-25 16:40:40-0600',mode:absolute,to:'2016-08-25 18:49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33" s="113" t="str">
        <f t="shared" si="0"/>
        <v>"C:\Program Files (x86)\AstroGrep\AstroGrep.exe" /spath="%USERPROFILE%\AppData\Local\Temp\OnboardLogs" /stypes="*4026*201608252*" /stext=" 23:.+((SYSTEM_STATE.+slice.+state.+changed )|(ment ac)|(system.+state.+changed )|(\|lc)|(penalty)|(\[timeout)|(PRM\|1\|D)|(kpr)|(kdp))" /e /r /s</v>
      </c>
      <c r="S33" s="9" t="str">
        <f t="shared" si="1"/>
        <v>4026</v>
      </c>
      <c r="T33" s="38">
        <f t="shared" si="2"/>
        <v>42607.991608796299</v>
      </c>
      <c r="U33" s="52" t="str">
        <f t="shared" si="3"/>
        <v>Other</v>
      </c>
      <c r="V33" s="52" t="str">
        <f t="shared" si="4"/>
        <v>KEEP</v>
      </c>
      <c r="W33" s="149" t="str">
        <f t="shared" si="5"/>
        <v>echo {"issue":{"subject":"","project_id":79,"tracker_id":40,"status_id":1,"priority_id":2,"assigned_to_id":23,"start_date":"2016-08-25","description":"From 08-24-2016 13:14:05.327 until 13:28:22.128, 61st 2S should have been clear (controls sent to it the entire time was CLEAR). However, it cycled back and forth between PROCEED CAB and STOP. Any ideas why?","custom_fields":[{"id":1,"name":"Subdivision","value":"Other"},{"id":4,"name":"Milepost","value":"2.4235"},{"id":17,"name":"Train ID","value":"54-25"},{"id":16,"name":"Locomotive ID","value":"4026"},{"id":130,"name":"Impact","value":"Enforcement"},{"id":150,"name":"Time of Event (Mountain Time)","value":"17:47:55"},{"id":151,"name":"Denver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X33" s="55" t="s">
        <v>347</v>
      </c>
      <c r="Y33" s="55" t="s">
        <v>269</v>
      </c>
      <c r="Z33" s="55" t="s">
        <v>274</v>
      </c>
    </row>
    <row r="34" spans="1:26" x14ac:dyDescent="0.25">
      <c r="A34" s="38">
        <v>42608.05097222222</v>
      </c>
      <c r="B34" s="33" t="s">
        <v>194</v>
      </c>
      <c r="C34" s="33" t="s">
        <v>550</v>
      </c>
      <c r="D34" s="33" t="s">
        <v>111</v>
      </c>
      <c r="E34" s="33" t="s">
        <v>693</v>
      </c>
      <c r="F34" s="49">
        <v>0</v>
      </c>
      <c r="G34" s="49">
        <v>132</v>
      </c>
      <c r="H34" s="49">
        <v>1955</v>
      </c>
      <c r="I34" s="33" t="s">
        <v>692</v>
      </c>
      <c r="J34" s="49">
        <v>1692</v>
      </c>
      <c r="K34" s="33" t="s">
        <v>52</v>
      </c>
      <c r="L34" s="92" t="str">
        <f>VLOOKUP(C34,'Trips&amp;Operators'!$C$1:$E$9999,3,0)</f>
        <v>OUN</v>
      </c>
      <c r="M34" s="131" t="s">
        <v>86</v>
      </c>
      <c r="N34" s="10"/>
      <c r="O34" s="33"/>
      <c r="P34" s="108" t="str">
        <f>VLOOKUP(C34,'Train Runs'!$A$13:$AE$10009,31,0)</f>
        <v>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 &amp; aws s3 cp s3://rtdc.mdm.uploadarchive/RTDC4044/2016-08-27/ "%USERPROFILE%\AppData\Local\Temp\OnboardLogs"\RTDC4044\2016-08-27 --recursive &amp; "%USERPROFILE%\Documents\GitHub\mrs-test-scripts\Headless Mode &amp; Sideloading\WalkAndUnGZ.bat" "%USERPROFILE%\AppData\Local\Temp\OnboardLogs"\RTDC4044\2016-08-27</v>
      </c>
      <c r="Q34" s="111" t="str">
        <f>VLOOKUP(C34,'Train Runs'!$A$13:$AE$10009,22,0)</f>
        <v>https://search-rtdc-monitor-bjffxe2xuh6vdkpspy63sjmuny.us-east-1.es.amazonaws.com/_plugin/kibana/#/discover/Steve-Slow-Train-Analysis-(2080s-and-2083s)?_g=(refreshInterval:(display:Off,section:0,value:0),time:(from:'2016-08-26 00:10:01-0600',mode:absolute,to:'2016-08-26 02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34" s="113" t="str">
        <f t="shared" si="0"/>
        <v>"C:\Program Files (x86)\AstroGrep\AstroGrep.exe" /spath="%USERPROFILE%\AppData\Local\Temp\OnboardLogs" /stypes="*4044*201608260*" /stext=" 07:.+((SYSTEM_STATE.+slice.+state.+changed )|(ment ac)|(system.+state.+changed )|(\|lc)|(penalty)|(\[timeout)|(PRM\|1\|D)|(kpr)|(kdp))" /e /r /s</v>
      </c>
      <c r="S34" s="9" t="str">
        <f t="shared" si="1"/>
        <v>4044</v>
      </c>
      <c r="T34" s="38">
        <f t="shared" si="2"/>
        <v>42608.30097222222</v>
      </c>
      <c r="U34" s="52" t="str">
        <f t="shared" si="3"/>
        <v>Other</v>
      </c>
      <c r="V34" s="52" t="str">
        <f t="shared" si="4"/>
        <v>KEEP</v>
      </c>
      <c r="W34" s="149" t="str">
        <f t="shared" si="5"/>
        <v>echo {"issue":{"subject":"","project_id":79,"tracker_id":40,"status_id":1,"priority_id":2,"assigned_to_id":23,"start_date":"2016-08-26","description":"","custom_fields":[{"id":1,"name":"Subdivision","value":"Other"},{"id":4,"name":"Milepost","value":"0.1692"},{"id":17,"name":"Train ID","value":"311-25"},{"id":16,"name":"Locomotive ID","value":"4044"},{"id":130,"name":"Impact","value":""},{"id":150,"name":"Time of Event (Mountain Time)","value":"01:13:24"},{"id":151,"name":"Denver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4" s="55"/>
      <c r="Y34" s="55"/>
      <c r="Z34" s="55"/>
    </row>
    <row r="35" spans="1:26" ht="15" customHeight="1" x14ac:dyDescent="0.25">
      <c r="A35" s="38">
        <v>42607.444641203707</v>
      </c>
      <c r="B35" s="33" t="s">
        <v>256</v>
      </c>
      <c r="C35" s="33" t="s">
        <v>556</v>
      </c>
      <c r="D35" s="33" t="s">
        <v>49</v>
      </c>
      <c r="E35" s="33" t="s">
        <v>50</v>
      </c>
      <c r="F35" s="49">
        <v>0</v>
      </c>
      <c r="G35" s="49">
        <v>106</v>
      </c>
      <c r="H35" s="49">
        <v>1498</v>
      </c>
      <c r="I35" s="33" t="s">
        <v>51</v>
      </c>
      <c r="J35" s="49">
        <v>826</v>
      </c>
      <c r="K35" s="33" t="s">
        <v>53</v>
      </c>
      <c r="L35" s="92" t="str">
        <f>VLOOKUP(C35,'Trips&amp;Operators'!$C$1:$E$9999,3,0)</f>
        <v>ROBINSON</v>
      </c>
      <c r="M35" s="131" t="s">
        <v>86</v>
      </c>
      <c r="N35" s="10"/>
      <c r="O35" s="33"/>
      <c r="P35" s="108" t="str">
        <f>VLOOKUP(C35,'Train Runs'!$A$13:$AE$10009,31,0)</f>
        <v>aws s3 cp s3://rtdc.mdm.uploadarchive/RTDC4021/2016-08-25/ "%USERPROFILE%\AppData\Local\Temp\OnboardLogs"\RTDC4021\2016-08-25 --recursive &amp; "%USERPROFILE%\Documents\GitHub\mrs-test-scripts\Headless Mode &amp; Sideloading\WalkAndUnGZ.bat" "%USERPROFILE%\AppData\Local\Temp\OnboardLogs"\RTDC4021\2016-08-25 &amp; aws s3 cp s3://rtdc.mdm.uploadarchive/RTDC4021/2016-08-26/ "%USERPROFILE%\AppData\Local\Temp\OnboardLogs"\RTDC4021\2016-08-26 --recursive &amp; "%USERPROFILE%\Documents\GitHub\mrs-test-scripts\Headless Mode &amp; Sideloading\WalkAndUnGZ.bat" "%USERPROFILE%\AppData\Local\Temp\OnboardLogs"\RTDC4021\2016-08-26</v>
      </c>
      <c r="Q35" s="111" t="str">
        <f>VLOOKUP(C35,'Train Runs'!$A$13:$AE$10009,22,0)</f>
        <v>https://search-rtdc-monitor-bjffxe2xuh6vdkpspy63sjmuny.us-east-1.es.amazonaws.com/_plugin/kibana/#/discover/Steve-Slow-Train-Analysis-(2080s-and-2083s)?_g=(refreshInterval:(display:Off,section:0,value:0),time:(from:'2016-08-25 09:30:24-0600',mode:absolute,to:'2016-08-25 11:42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4021%22')),sort:!(Time,asc))</v>
      </c>
      <c r="R35" s="113" t="str">
        <f t="shared" si="0"/>
        <v>"C:\Program Files (x86)\AstroGrep\AstroGrep.exe" /spath="%USERPROFILE%\AppData\Local\Temp\OnboardLogs" /stypes="*4021*201608251*" /stext=" 16:.+((SYSTEM_STATE.+slice.+state.+changed )|(ment ac)|(system.+state.+changed )|(\|lc)|(penalty)|(\[timeout)|(PRM\|1\|D)|(kpr)|(kdp))" /e /r /s</v>
      </c>
      <c r="S35" s="9" t="str">
        <f t="shared" si="1"/>
        <v>4021</v>
      </c>
      <c r="T35" s="38">
        <f t="shared" si="2"/>
        <v>42607.694641203707</v>
      </c>
      <c r="U35" s="52" t="str">
        <f t="shared" si="3"/>
        <v>Other</v>
      </c>
      <c r="V35" s="52" t="str">
        <f t="shared" si="4"/>
        <v>KEEP</v>
      </c>
      <c r="W35" s="149" t="str">
        <f t="shared" si="5"/>
        <v>echo {"issue":{"subject":"","project_id":79,"tracker_id":40,"status_id":1,"priority_id":2,"assigned_to_id":23,"start_date":"2016-08-25","description":"","custom_fields":[{"id":1,"name":"Subdivision","value":"Other"},{"id":4,"name":"Milepost","value":"0.0826"},{"id":17,"name":"Train ID","value":"50-25"},{"id":16,"name":"Locomotive ID","value":"4021"},{"id":130,"name":"Impact","value":""},{"id":150,"name":"Time of Event (Mountain Time)","value":"10:40:17"},{"id":151,"name":"Denver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5" s="55"/>
      <c r="Y35" s="55"/>
      <c r="Z35" s="55"/>
    </row>
    <row r="36" spans="1:26" x14ac:dyDescent="0.25">
      <c r="A36" s="38"/>
      <c r="B36" s="33"/>
      <c r="C36" s="33"/>
      <c r="D36" s="33"/>
      <c r="E36" s="33"/>
      <c r="F36" s="49"/>
      <c r="G36" s="49"/>
      <c r="H36" s="49"/>
      <c r="I36" s="33"/>
      <c r="J36" s="49"/>
      <c r="K36" s="33"/>
      <c r="L36" s="92"/>
      <c r="M36" s="131"/>
      <c r="N36" s="10"/>
      <c r="O36" s="33"/>
      <c r="P36" s="108"/>
      <c r="Q36" s="111"/>
      <c r="R36" s="113"/>
      <c r="S36" s="9"/>
      <c r="T36" s="38"/>
      <c r="U36" s="52"/>
      <c r="V36" s="52"/>
      <c r="W36" s="149"/>
      <c r="X36" s="55"/>
      <c r="Y36" s="55"/>
      <c r="Z36" s="55"/>
    </row>
    <row r="37" spans="1:26" x14ac:dyDescent="0.25">
      <c r="A37" s="38"/>
      <c r="B37" s="33"/>
      <c r="C37" s="33"/>
      <c r="D37" s="33"/>
      <c r="E37" s="33"/>
      <c r="F37" s="49"/>
      <c r="G37" s="49"/>
      <c r="H37" s="49"/>
      <c r="I37" s="33"/>
      <c r="J37" s="49"/>
      <c r="K37" s="33"/>
      <c r="L37" s="92"/>
      <c r="M37" s="131"/>
      <c r="N37" s="10"/>
      <c r="O37" s="33"/>
      <c r="P37" s="108"/>
      <c r="Q37" s="111"/>
      <c r="R37" s="113"/>
      <c r="S37" s="9"/>
      <c r="T37" s="38"/>
      <c r="U37" s="52"/>
      <c r="V37" s="52"/>
      <c r="W37" s="149"/>
      <c r="X37" s="55"/>
      <c r="Y37" s="55"/>
      <c r="Z37" s="55"/>
    </row>
    <row r="38" spans="1:26" x14ac:dyDescent="0.25">
      <c r="A38" s="38"/>
      <c r="B38" s="33"/>
      <c r="C38" s="33"/>
      <c r="D38" s="33"/>
      <c r="E38" s="33"/>
      <c r="F38" s="49"/>
      <c r="G38" s="49"/>
      <c r="H38" s="49"/>
      <c r="I38" s="33"/>
      <c r="J38" s="49"/>
      <c r="K38" s="33"/>
      <c r="L38" s="92"/>
      <c r="M38" s="131"/>
      <c r="N38" s="10"/>
      <c r="O38" s="33"/>
      <c r="P38" s="108"/>
      <c r="Q38" s="111"/>
      <c r="R38" s="113"/>
      <c r="S38" s="9"/>
      <c r="T38" s="38"/>
      <c r="U38" s="52"/>
      <c r="V38" s="52"/>
      <c r="W38" s="149"/>
      <c r="X38" s="55"/>
      <c r="Y38" s="55"/>
      <c r="Z38" s="55"/>
    </row>
    <row r="39" spans="1:26" ht="15" customHeight="1" x14ac:dyDescent="0.25">
      <c r="A39" s="38"/>
      <c r="B39" s="33"/>
      <c r="C39" s="33"/>
      <c r="D39" s="33"/>
      <c r="E39" s="33"/>
      <c r="F39" s="49"/>
      <c r="G39" s="49"/>
      <c r="H39" s="49"/>
      <c r="I39" s="33"/>
      <c r="J39" s="49"/>
      <c r="K39" s="33"/>
      <c r="L39" s="92"/>
      <c r="M39" s="131"/>
      <c r="N39" s="10"/>
      <c r="O39" s="33"/>
      <c r="P39" s="108"/>
      <c r="Q39" s="111"/>
      <c r="R39" s="113"/>
      <c r="S39" s="9"/>
      <c r="T39" s="38"/>
      <c r="U39" s="52"/>
      <c r="V39" s="52"/>
      <c r="W39" s="149"/>
      <c r="X39" s="55"/>
      <c r="Y39" s="55"/>
      <c r="Z39" s="55"/>
    </row>
    <row r="40" spans="1:26" x14ac:dyDescent="0.25">
      <c r="A40" s="38"/>
      <c r="B40" s="33"/>
      <c r="C40" s="33"/>
      <c r="D40" s="33"/>
      <c r="E40" s="33"/>
      <c r="F40" s="49"/>
      <c r="G40" s="49"/>
      <c r="H40" s="49"/>
      <c r="I40" s="33"/>
      <c r="J40" s="49"/>
      <c r="K40" s="33"/>
      <c r="L40" s="92"/>
      <c r="M40" s="131"/>
      <c r="N40" s="10"/>
      <c r="O40" s="33"/>
      <c r="P40" s="108"/>
      <c r="Q40" s="111"/>
      <c r="R40" s="113"/>
      <c r="S40" s="9"/>
      <c r="T40" s="38"/>
      <c r="U40" s="52"/>
      <c r="V40" s="52"/>
      <c r="W40" s="149"/>
      <c r="X40" s="55"/>
      <c r="Y40" s="55"/>
      <c r="Z40" s="55"/>
    </row>
    <row r="41" spans="1:26" x14ac:dyDescent="0.25">
      <c r="A41" s="38"/>
      <c r="B41" s="33"/>
      <c r="C41" s="33"/>
      <c r="D41" s="33"/>
      <c r="E41" s="33"/>
      <c r="F41" s="49"/>
      <c r="G41" s="49"/>
      <c r="H41" s="49"/>
      <c r="I41" s="33"/>
      <c r="J41" s="49"/>
      <c r="K41" s="33"/>
      <c r="L41" s="92"/>
      <c r="M41" s="131"/>
      <c r="N41" s="10"/>
      <c r="O41" s="33"/>
      <c r="P41" s="108"/>
      <c r="Q41" s="111"/>
      <c r="R41" s="113"/>
      <c r="S41" s="9"/>
      <c r="T41" s="38"/>
      <c r="U41" s="52"/>
      <c r="V41" s="52"/>
      <c r="W41" s="149"/>
      <c r="X41" s="55"/>
      <c r="Y41" s="55"/>
      <c r="Z41" s="55"/>
    </row>
    <row r="42" spans="1:26" x14ac:dyDescent="0.25">
      <c r="A42" s="38"/>
      <c r="B42" s="33"/>
      <c r="C42" s="33"/>
      <c r="D42" s="33"/>
      <c r="E42" s="33"/>
      <c r="F42" s="49"/>
      <c r="G42" s="49"/>
      <c r="H42" s="49"/>
      <c r="I42" s="33"/>
      <c r="J42" s="49"/>
      <c r="K42" s="33"/>
      <c r="L42" s="92"/>
      <c r="M42" s="131"/>
      <c r="N42" s="10"/>
      <c r="O42" s="33"/>
      <c r="P42" s="108"/>
      <c r="Q42" s="111"/>
      <c r="R42" s="113"/>
      <c r="S42" s="9"/>
      <c r="T42" s="38"/>
      <c r="U42" s="52"/>
      <c r="V42" s="52"/>
      <c r="W42" s="149"/>
      <c r="X42" s="55"/>
      <c r="Y42" s="55"/>
      <c r="Z42" s="55"/>
    </row>
    <row r="43" spans="1:26" x14ac:dyDescent="0.25">
      <c r="A43" s="38"/>
      <c r="B43" s="33"/>
      <c r="C43" s="33"/>
      <c r="D43" s="33"/>
      <c r="E43" s="33"/>
      <c r="F43" s="49"/>
      <c r="G43" s="49"/>
      <c r="H43" s="49"/>
      <c r="I43" s="33"/>
      <c r="J43" s="49"/>
      <c r="K43" s="33"/>
      <c r="L43" s="92"/>
      <c r="M43" s="131"/>
      <c r="N43" s="10"/>
      <c r="O43" s="33"/>
      <c r="P43" s="108"/>
      <c r="Q43" s="111"/>
      <c r="R43" s="113"/>
      <c r="S43" s="9"/>
      <c r="T43" s="38"/>
      <c r="U43" s="52"/>
      <c r="V43" s="52"/>
      <c r="W43" s="149"/>
      <c r="X43" s="55"/>
      <c r="Y43" s="55"/>
      <c r="Z43" s="55"/>
    </row>
    <row r="44" spans="1:26" x14ac:dyDescent="0.25">
      <c r="A44" s="38"/>
      <c r="B44" s="33"/>
      <c r="C44" s="33"/>
      <c r="D44" s="33"/>
      <c r="E44" s="33"/>
      <c r="F44" s="49"/>
      <c r="G44" s="49"/>
      <c r="H44" s="49"/>
      <c r="I44" s="33"/>
      <c r="J44" s="49"/>
      <c r="K44" s="33"/>
      <c r="L44" s="92"/>
      <c r="M44" s="131"/>
      <c r="N44" s="10"/>
      <c r="O44" s="33"/>
      <c r="P44" s="108"/>
      <c r="Q44" s="111"/>
      <c r="R44" s="113"/>
      <c r="S44" s="9"/>
      <c r="T44" s="38"/>
      <c r="U44" s="52"/>
      <c r="V44" s="52"/>
      <c r="W44" s="149"/>
      <c r="X44" s="55"/>
      <c r="Y44" s="55"/>
      <c r="Z44" s="55"/>
    </row>
    <row r="45" spans="1:26" x14ac:dyDescent="0.25">
      <c r="A45" s="38"/>
      <c r="B45" s="33"/>
      <c r="C45" s="33"/>
      <c r="D45" s="33"/>
      <c r="E45" s="33"/>
      <c r="F45" s="49"/>
      <c r="G45" s="49"/>
      <c r="H45" s="49"/>
      <c r="I45" s="33"/>
      <c r="J45" s="49"/>
      <c r="K45" s="33"/>
      <c r="L45" s="92"/>
      <c r="M45" s="131"/>
      <c r="N45" s="10"/>
      <c r="O45" s="33"/>
      <c r="P45" s="108"/>
      <c r="Q45" s="111"/>
      <c r="R45" s="113"/>
      <c r="S45" s="9"/>
      <c r="T45" s="38"/>
      <c r="U45" s="52"/>
      <c r="V45" s="52"/>
      <c r="W45" s="149"/>
      <c r="X45" s="55"/>
      <c r="Y45" s="55"/>
      <c r="Z45" s="55"/>
    </row>
    <row r="46" spans="1:26" x14ac:dyDescent="0.25">
      <c r="A46" s="38"/>
      <c r="B46" s="33"/>
      <c r="C46" s="33"/>
      <c r="D46" s="33"/>
      <c r="E46" s="33"/>
      <c r="F46" s="49"/>
      <c r="G46" s="49"/>
      <c r="H46" s="49"/>
      <c r="I46" s="33"/>
      <c r="J46" s="49"/>
      <c r="K46" s="33"/>
      <c r="L46" s="92"/>
      <c r="M46" s="131"/>
      <c r="N46" s="10"/>
      <c r="O46" s="33"/>
      <c r="P46" s="108"/>
      <c r="Q46" s="111"/>
      <c r="R46" s="113"/>
      <c r="S46" s="9"/>
      <c r="T46" s="38"/>
      <c r="U46" s="52"/>
      <c r="V46" s="52"/>
      <c r="W46" s="149"/>
      <c r="X46" s="55"/>
      <c r="Y46" s="55"/>
      <c r="Z46" s="55"/>
    </row>
    <row r="47" spans="1:26" x14ac:dyDescent="0.25">
      <c r="A47" s="38"/>
      <c r="B47" s="33"/>
      <c r="C47" s="33"/>
      <c r="D47" s="33"/>
      <c r="E47" s="33"/>
      <c r="F47" s="49"/>
      <c r="G47" s="49"/>
      <c r="H47" s="49"/>
      <c r="I47" s="33"/>
      <c r="J47" s="49"/>
      <c r="K47" s="33"/>
      <c r="L47" s="92"/>
      <c r="M47" s="131"/>
      <c r="N47" s="10"/>
      <c r="O47" s="33"/>
      <c r="P47" s="108"/>
      <c r="Q47" s="111"/>
      <c r="R47" s="113"/>
      <c r="S47" s="9"/>
      <c r="T47" s="38"/>
      <c r="U47" s="52"/>
      <c r="V47" s="52"/>
      <c r="W47" s="149"/>
      <c r="X47" s="55"/>
      <c r="Y47" s="55"/>
      <c r="Z47" s="55"/>
    </row>
    <row r="48" spans="1:26" x14ac:dyDescent="0.25">
      <c r="A48" s="38"/>
      <c r="B48" s="33"/>
      <c r="C48" s="33"/>
      <c r="D48" s="33"/>
      <c r="E48" s="33"/>
      <c r="F48" s="49"/>
      <c r="G48" s="49"/>
      <c r="H48" s="49"/>
      <c r="I48" s="33"/>
      <c r="J48" s="49"/>
      <c r="K48" s="33"/>
      <c r="L48" s="92"/>
      <c r="M48" s="131"/>
      <c r="N48" s="10"/>
      <c r="O48" s="33"/>
      <c r="P48" s="108"/>
      <c r="Q48" s="111"/>
      <c r="R48" s="113"/>
      <c r="S48" s="9"/>
      <c r="T48" s="38"/>
      <c r="U48" s="52"/>
      <c r="V48" s="52"/>
      <c r="W48" s="149"/>
      <c r="X48" s="55"/>
      <c r="Y48" s="55"/>
      <c r="Z48" s="55"/>
    </row>
    <row r="49" spans="1:26" x14ac:dyDescent="0.25">
      <c r="A49" s="38"/>
      <c r="B49" s="33"/>
      <c r="C49" s="33"/>
      <c r="D49" s="33"/>
      <c r="E49" s="33"/>
      <c r="F49" s="49"/>
      <c r="G49" s="49"/>
      <c r="H49" s="49"/>
      <c r="I49" s="33"/>
      <c r="J49" s="49"/>
      <c r="K49" s="33"/>
      <c r="L49" s="92"/>
      <c r="M49" s="131"/>
      <c r="N49" s="10"/>
      <c r="O49" s="33"/>
      <c r="P49" s="108"/>
      <c r="Q49" s="111"/>
      <c r="R49" s="113"/>
      <c r="S49" s="9"/>
      <c r="T49" s="38"/>
      <c r="U49" s="52"/>
      <c r="V49" s="52"/>
      <c r="W49" s="149"/>
      <c r="X49" s="55"/>
      <c r="Y49" s="55"/>
      <c r="Z49" s="55"/>
    </row>
    <row r="50" spans="1:26" x14ac:dyDescent="0.25">
      <c r="A50" s="38"/>
      <c r="B50" s="33"/>
      <c r="C50" s="33"/>
      <c r="D50" s="33"/>
      <c r="E50" s="33"/>
      <c r="F50" s="49"/>
      <c r="G50" s="49"/>
      <c r="H50" s="49"/>
      <c r="I50" s="33"/>
      <c r="J50" s="49"/>
      <c r="K50" s="33"/>
      <c r="L50" s="92"/>
      <c r="M50" s="131"/>
      <c r="N50" s="10"/>
      <c r="O50" s="33"/>
      <c r="P50" s="108"/>
      <c r="Q50" s="111"/>
      <c r="R50" s="113"/>
      <c r="S50" s="9"/>
      <c r="T50" s="38"/>
      <c r="U50" s="52"/>
      <c r="V50" s="52"/>
      <c r="W50" s="149"/>
      <c r="X50" s="55"/>
      <c r="Y50" s="55"/>
      <c r="Z50" s="55"/>
    </row>
    <row r="51" spans="1:26" x14ac:dyDescent="0.25">
      <c r="A51" s="38"/>
      <c r="B51" s="33"/>
      <c r="C51" s="33"/>
      <c r="D51" s="33"/>
      <c r="E51" s="33"/>
      <c r="F51" s="49"/>
      <c r="G51" s="49"/>
      <c r="H51" s="49"/>
      <c r="I51" s="33"/>
      <c r="J51" s="49"/>
      <c r="K51" s="33"/>
      <c r="L51" s="92"/>
      <c r="M51" s="131"/>
      <c r="N51" s="10"/>
      <c r="O51" s="33"/>
      <c r="P51" s="108"/>
      <c r="Q51" s="111"/>
      <c r="R51" s="113"/>
      <c r="S51" s="9"/>
      <c r="T51" s="38"/>
      <c r="U51" s="52"/>
      <c r="V51" s="52"/>
      <c r="W51" s="149"/>
      <c r="X51" s="55"/>
      <c r="Y51" s="55"/>
      <c r="Z51" s="55"/>
    </row>
    <row r="52" spans="1:26" x14ac:dyDescent="0.25">
      <c r="A52" s="38"/>
      <c r="B52" s="33"/>
      <c r="C52" s="33"/>
      <c r="D52" s="33"/>
      <c r="E52" s="33"/>
      <c r="F52" s="49"/>
      <c r="G52" s="49"/>
      <c r="H52" s="49"/>
      <c r="I52" s="33"/>
      <c r="J52" s="49"/>
      <c r="K52" s="33"/>
      <c r="L52" s="92"/>
      <c r="M52" s="131"/>
      <c r="N52" s="10"/>
      <c r="O52" s="33"/>
      <c r="P52" s="108"/>
      <c r="Q52" s="111"/>
      <c r="R52" s="113"/>
      <c r="S52" s="9"/>
      <c r="T52" s="38"/>
      <c r="U52" s="52"/>
      <c r="V52" s="52"/>
      <c r="W52" s="149"/>
      <c r="X52" s="55"/>
      <c r="Y52" s="55"/>
      <c r="Z52" s="55"/>
    </row>
    <row r="53" spans="1:26" x14ac:dyDescent="0.25">
      <c r="A53" s="38"/>
      <c r="B53" s="33"/>
      <c r="C53" s="33"/>
      <c r="D53" s="33"/>
      <c r="E53" s="33"/>
      <c r="F53" s="49"/>
      <c r="G53" s="49"/>
      <c r="H53" s="49"/>
      <c r="I53" s="33"/>
      <c r="J53" s="49"/>
      <c r="K53" s="33"/>
      <c r="L53" s="92"/>
      <c r="M53" s="131"/>
      <c r="N53" s="10"/>
      <c r="O53" s="33"/>
      <c r="P53" s="108"/>
      <c r="Q53" s="111"/>
      <c r="R53" s="113"/>
      <c r="S53" s="9"/>
      <c r="T53" s="38"/>
      <c r="U53" s="52"/>
      <c r="V53" s="52"/>
      <c r="W53" s="149"/>
      <c r="X53" s="55"/>
      <c r="Y53" s="55"/>
      <c r="Z53" s="55"/>
    </row>
    <row r="54" spans="1:26" x14ac:dyDescent="0.25">
      <c r="A54" s="38"/>
      <c r="B54" s="33"/>
      <c r="C54" s="33"/>
      <c r="D54" s="33"/>
      <c r="E54" s="33"/>
      <c r="F54" s="49"/>
      <c r="G54" s="49"/>
      <c r="H54" s="49"/>
      <c r="I54" s="33"/>
      <c r="J54" s="49"/>
      <c r="K54" s="33"/>
      <c r="L54" s="92"/>
      <c r="M54" s="131"/>
      <c r="N54" s="10"/>
      <c r="O54" s="33"/>
      <c r="P54" s="108"/>
      <c r="Q54" s="111"/>
      <c r="R54" s="113"/>
      <c r="S54" s="9"/>
      <c r="T54" s="38"/>
      <c r="U54" s="52"/>
      <c r="V54" s="52"/>
      <c r="W54" s="149"/>
      <c r="X54" s="55"/>
      <c r="Y54" s="55"/>
      <c r="Z54" s="55"/>
    </row>
    <row r="55" spans="1:26" x14ac:dyDescent="0.25">
      <c r="A55" s="38"/>
      <c r="B55" s="33"/>
      <c r="C55" s="33"/>
      <c r="D55" s="33"/>
      <c r="E55" s="33"/>
      <c r="F55" s="49"/>
      <c r="G55" s="49"/>
      <c r="H55" s="49"/>
      <c r="I55" s="33"/>
      <c r="J55" s="49"/>
      <c r="K55" s="33"/>
      <c r="L55" s="92"/>
      <c r="M55" s="131"/>
      <c r="N55" s="10"/>
      <c r="O55" s="33"/>
      <c r="P55" s="108"/>
      <c r="Q55" s="111"/>
      <c r="R55" s="113"/>
      <c r="S55" s="9"/>
      <c r="T55" s="38"/>
      <c r="U55" s="52"/>
      <c r="V55" s="52"/>
      <c r="W55" s="149"/>
      <c r="X55" s="55"/>
      <c r="Y55" s="55"/>
      <c r="Z55" s="55"/>
    </row>
    <row r="56" spans="1:26" x14ac:dyDescent="0.25">
      <c r="A56" s="38"/>
      <c r="B56" s="33"/>
      <c r="C56" s="33"/>
      <c r="D56" s="33"/>
      <c r="E56" s="33"/>
      <c r="F56" s="49"/>
      <c r="G56" s="49"/>
      <c r="H56" s="49"/>
      <c r="I56" s="33"/>
      <c r="J56" s="49"/>
      <c r="K56" s="33"/>
      <c r="L56" s="92"/>
      <c r="M56" s="131"/>
      <c r="N56" s="10"/>
      <c r="O56" s="33"/>
      <c r="P56" s="108"/>
      <c r="Q56" s="111"/>
      <c r="R56" s="113"/>
      <c r="S56" s="9"/>
      <c r="T56" s="38"/>
      <c r="U56" s="52"/>
      <c r="V56" s="52"/>
      <c r="W56" s="149"/>
      <c r="X56" s="55"/>
      <c r="Y56" s="55"/>
      <c r="Z56" s="55"/>
    </row>
    <row r="57" spans="1:26" x14ac:dyDescent="0.25">
      <c r="A57" s="38"/>
      <c r="B57" s="33"/>
      <c r="C57" s="33"/>
      <c r="D57" s="33"/>
      <c r="E57" s="33"/>
      <c r="F57" s="49"/>
      <c r="G57" s="49"/>
      <c r="H57" s="49"/>
      <c r="I57" s="33"/>
      <c r="J57" s="49"/>
      <c r="K57" s="33"/>
      <c r="L57" s="92"/>
      <c r="M57" s="131"/>
      <c r="N57" s="10"/>
      <c r="O57" s="33"/>
      <c r="P57" s="108"/>
      <c r="Q57" s="111"/>
      <c r="R57" s="113"/>
      <c r="S57" s="9"/>
      <c r="T57" s="38"/>
      <c r="U57" s="52"/>
      <c r="V57" s="52"/>
      <c r="W57" s="149"/>
      <c r="X57" s="55"/>
      <c r="Y57" s="55"/>
      <c r="Z57" s="55"/>
    </row>
    <row r="58" spans="1:26" x14ac:dyDescent="0.25">
      <c r="A58" s="38"/>
      <c r="B58" s="33"/>
      <c r="C58" s="33"/>
      <c r="D58" s="33"/>
      <c r="E58" s="33"/>
      <c r="F58" s="49"/>
      <c r="G58" s="49"/>
      <c r="H58" s="49"/>
      <c r="I58" s="33"/>
      <c r="J58" s="49"/>
      <c r="K58" s="33"/>
      <c r="L58" s="92"/>
      <c r="M58" s="131"/>
      <c r="N58" s="10"/>
      <c r="O58" s="33"/>
      <c r="P58" s="108"/>
      <c r="Q58" s="111"/>
      <c r="R58" s="113"/>
      <c r="S58" s="9"/>
      <c r="T58" s="38"/>
      <c r="U58" s="52"/>
      <c r="V58" s="52"/>
      <c r="W58" s="149"/>
      <c r="X58" s="55"/>
      <c r="Y58" s="55"/>
      <c r="Z58" s="55"/>
    </row>
    <row r="59" spans="1:26" x14ac:dyDescent="0.25">
      <c r="A59" s="38"/>
      <c r="B59" s="33"/>
      <c r="C59" s="33"/>
      <c r="D59" s="33"/>
      <c r="E59" s="33"/>
      <c r="F59" s="49"/>
      <c r="G59" s="49"/>
      <c r="H59" s="49"/>
      <c r="I59" s="33"/>
      <c r="J59" s="49"/>
      <c r="K59" s="33"/>
      <c r="L59" s="92"/>
      <c r="M59" s="131"/>
      <c r="N59" s="10"/>
      <c r="O59" s="33"/>
      <c r="P59" s="108"/>
      <c r="Q59" s="111"/>
      <c r="R59" s="113"/>
      <c r="S59" s="9"/>
      <c r="T59" s="38"/>
      <c r="U59" s="52"/>
      <c r="V59" s="52"/>
      <c r="W59" s="149"/>
      <c r="X59" s="55"/>
      <c r="Y59" s="55"/>
      <c r="Z59" s="55"/>
    </row>
    <row r="60" spans="1:26" x14ac:dyDescent="0.25">
      <c r="A60" s="38"/>
      <c r="B60" s="33"/>
      <c r="C60" s="33"/>
      <c r="D60" s="33"/>
      <c r="E60" s="33"/>
      <c r="F60" s="49"/>
      <c r="G60" s="49"/>
      <c r="H60" s="49"/>
      <c r="I60" s="33"/>
      <c r="J60" s="49"/>
      <c r="K60" s="33"/>
      <c r="L60" s="92"/>
      <c r="M60" s="131"/>
      <c r="N60" s="10"/>
      <c r="O60" s="33"/>
      <c r="P60" s="108"/>
      <c r="Q60" s="111"/>
      <c r="R60" s="113"/>
      <c r="S60" s="9"/>
      <c r="T60" s="38"/>
      <c r="U60" s="52"/>
      <c r="V60" s="52"/>
      <c r="W60" s="149"/>
      <c r="X60" s="55"/>
      <c r="Y60" s="55"/>
      <c r="Z60" s="55"/>
    </row>
    <row r="61" spans="1:26" x14ac:dyDescent="0.25">
      <c r="A61" s="38"/>
      <c r="B61" s="33"/>
      <c r="C61" s="33"/>
      <c r="D61" s="33"/>
      <c r="E61" s="33"/>
      <c r="F61" s="49"/>
      <c r="G61" s="49"/>
      <c r="H61" s="49"/>
      <c r="I61" s="33"/>
      <c r="J61" s="49"/>
      <c r="K61" s="33"/>
      <c r="L61" s="92"/>
      <c r="M61" s="131"/>
      <c r="N61" s="10"/>
      <c r="O61" s="33"/>
      <c r="P61" s="108"/>
      <c r="Q61" s="111"/>
      <c r="R61" s="113"/>
      <c r="S61" s="9"/>
      <c r="T61" s="38"/>
      <c r="U61" s="52"/>
      <c r="V61" s="52"/>
      <c r="W61" s="149"/>
      <c r="X61" s="55"/>
      <c r="Y61" s="55"/>
      <c r="Z61" s="55"/>
    </row>
    <row r="62" spans="1:26" x14ac:dyDescent="0.25">
      <c r="A62" s="38"/>
      <c r="B62" s="33"/>
      <c r="C62" s="33"/>
      <c r="D62" s="33"/>
      <c r="E62" s="33"/>
      <c r="F62" s="49"/>
      <c r="G62" s="49"/>
      <c r="H62" s="49"/>
      <c r="I62" s="33"/>
      <c r="J62" s="49"/>
      <c r="K62" s="33"/>
      <c r="L62" s="92"/>
      <c r="M62" s="131"/>
      <c r="N62" s="10"/>
      <c r="O62" s="33"/>
      <c r="P62" s="108"/>
      <c r="Q62" s="111"/>
      <c r="R62" s="113"/>
      <c r="S62" s="9"/>
      <c r="T62" s="38"/>
      <c r="U62" s="52"/>
      <c r="V62" s="52"/>
    </row>
    <row r="63" spans="1:26" x14ac:dyDescent="0.25">
      <c r="A63" s="38"/>
      <c r="B63" s="33"/>
      <c r="C63" s="33"/>
      <c r="D63" s="33"/>
      <c r="E63" s="33"/>
      <c r="F63" s="49"/>
      <c r="G63" s="49"/>
      <c r="H63" s="49"/>
      <c r="I63" s="33"/>
      <c r="J63" s="49"/>
      <c r="K63" s="33"/>
      <c r="L63" s="92"/>
      <c r="M63" s="131"/>
      <c r="N63" s="10"/>
      <c r="O63" s="33"/>
      <c r="P63" s="108"/>
      <c r="Q63" s="111"/>
      <c r="R63" s="113"/>
      <c r="S63" s="9"/>
      <c r="T63" s="38"/>
      <c r="U63" s="52"/>
      <c r="V63" s="52"/>
    </row>
    <row r="64" spans="1:26" x14ac:dyDescent="0.25">
      <c r="A64" s="38"/>
      <c r="B64" s="33"/>
      <c r="C64" s="33"/>
      <c r="D64" s="33"/>
      <c r="E64" s="33"/>
      <c r="F64" s="49"/>
      <c r="G64" s="49"/>
      <c r="H64" s="49"/>
      <c r="I64" s="33"/>
      <c r="J64" s="49"/>
      <c r="K64" s="33"/>
      <c r="L64" s="92"/>
      <c r="M64" s="131"/>
      <c r="N64" s="10"/>
      <c r="O64" s="33"/>
      <c r="P64" s="108"/>
      <c r="Q64" s="111"/>
      <c r="R64" s="113"/>
      <c r="S64" s="9"/>
      <c r="T64" s="38"/>
      <c r="U64" s="52"/>
      <c r="V64" s="52"/>
    </row>
    <row r="65" spans="1:22" x14ac:dyDescent="0.25">
      <c r="A65" s="38"/>
      <c r="B65" s="33"/>
      <c r="C65" s="33"/>
      <c r="D65" s="33"/>
      <c r="E65" s="33"/>
      <c r="F65" s="49"/>
      <c r="G65" s="49"/>
      <c r="H65" s="49"/>
      <c r="I65" s="33"/>
      <c r="J65" s="49"/>
      <c r="K65" s="33"/>
      <c r="L65" s="92"/>
      <c r="M65" s="131"/>
      <c r="N65" s="10"/>
      <c r="O65" s="33"/>
      <c r="P65" s="108"/>
      <c r="Q65" s="111"/>
      <c r="R65" s="113"/>
      <c r="S65" s="9"/>
      <c r="T65" s="38"/>
      <c r="U65" s="52"/>
      <c r="V65" s="52"/>
    </row>
    <row r="66" spans="1:22" x14ac:dyDescent="0.25">
      <c r="A66" s="38"/>
      <c r="B66" s="33"/>
      <c r="C66" s="33"/>
      <c r="D66" s="33"/>
      <c r="E66" s="33"/>
      <c r="F66" s="49"/>
      <c r="G66" s="49"/>
      <c r="H66" s="49"/>
      <c r="I66" s="33"/>
      <c r="J66" s="49"/>
      <c r="K66" s="33"/>
      <c r="L66" s="92"/>
      <c r="M66" s="131"/>
      <c r="N66" s="10"/>
      <c r="O66" s="33"/>
      <c r="P66" s="108"/>
      <c r="Q66" s="111"/>
      <c r="R66" s="113"/>
      <c r="S66" s="9"/>
      <c r="T66" s="38"/>
      <c r="U66" s="52"/>
      <c r="V66" s="52"/>
    </row>
    <row r="67" spans="1:22" x14ac:dyDescent="0.25">
      <c r="B67" s="23"/>
      <c r="C67" s="23"/>
      <c r="D67" s="23"/>
      <c r="E67" s="23"/>
      <c r="I67" s="23"/>
      <c r="K67" s="23"/>
    </row>
  </sheetData>
  <autoFilter ref="A6:Z61">
    <sortState ref="A7:Z61">
      <sortCondition ref="U7:U35"/>
      <sortCondition ref="E7:E35"/>
      <sortCondition ref="J7:J35"/>
      <sortCondition ref="F7:F35"/>
    </sortState>
  </autoFilter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5" priority="14" operator="equal">
      <formula>"Y"</formula>
    </cfRule>
  </conditionalFormatting>
  <conditionalFormatting sqref="A7:N66">
    <cfRule type="expression" dxfId="4" priority="7">
      <formula>$M7="Y"</formula>
    </cfRule>
  </conditionalFormatting>
  <conditionalFormatting sqref="M2:M3">
    <cfRule type="cellIs" dxfId="3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13</xdr:col>
                    <xdr:colOff>352425</xdr:colOff>
                    <xdr:row>1</xdr:row>
                    <xdr:rowOff>28575</xdr:rowOff>
                  </from>
                  <to>
                    <xdr:col>13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Z7:Z53</xm:sqref>
        </x14:dataValidation>
        <x14:dataValidation type="list" allowBlank="1" showInputMessage="1" showErrorMessage="1">
          <x14:formula1>
            <xm:f>'Redmine List Values'!$A$2:$A$7</xm:f>
          </x14:formula1>
          <xm:sqref>Y7:Y53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0"/>
  <sheetViews>
    <sheetView workbookViewId="0">
      <selection activeCell="H4" sqref="H4"/>
    </sheetView>
  </sheetViews>
  <sheetFormatPr defaultRowHeight="15" x14ac:dyDescent="0.25"/>
  <cols>
    <col min="1" max="1" width="9.140625" style="2" customWidth="1"/>
    <col min="2" max="2" width="8" style="130" bestFit="1" customWidth="1"/>
    <col min="3" max="3" width="9.85546875" style="121" bestFit="1" customWidth="1"/>
    <col min="4" max="4" width="45.140625" bestFit="1" customWidth="1"/>
    <col min="5" max="5" width="18.140625" customWidth="1"/>
    <col min="6" max="6" width="17" customWidth="1"/>
    <col min="7" max="7" width="14.140625" customWidth="1"/>
    <col min="8" max="9" width="9.140625" customWidth="1"/>
  </cols>
  <sheetData>
    <row r="1" spans="1:10" s="23" customFormat="1" x14ac:dyDescent="0.25">
      <c r="A1" s="164" t="str">
        <f>"Trips that did not appear in PTC Data "&amp;TEXT(Variables!$A$2,"YYYY-mm-dd")</f>
        <v>Trips that did not appear in PTC Data 2016-08-25</v>
      </c>
      <c r="B1" s="164"/>
      <c r="C1" s="164"/>
      <c r="D1" s="164"/>
      <c r="E1" s="164"/>
    </row>
    <row r="2" spans="1:10" s="26" customFormat="1" ht="45" x14ac:dyDescent="0.25">
      <c r="A2" s="140" t="s">
        <v>64</v>
      </c>
      <c r="B2" s="127" t="s">
        <v>65</v>
      </c>
      <c r="C2" s="128" t="s">
        <v>66</v>
      </c>
      <c r="D2" s="26" t="s">
        <v>62</v>
      </c>
      <c r="E2" s="26" t="s">
        <v>63</v>
      </c>
      <c r="F2" s="26" t="s">
        <v>67</v>
      </c>
      <c r="G2" s="31" t="s">
        <v>68</v>
      </c>
      <c r="H2" s="31" t="s">
        <v>121</v>
      </c>
    </row>
    <row r="3" spans="1:10" x14ac:dyDescent="0.25">
      <c r="A3" s="49" t="s">
        <v>706</v>
      </c>
      <c r="B3" s="129"/>
      <c r="C3" s="129"/>
      <c r="D3" s="33"/>
      <c r="E3" s="24" t="e">
        <f>VLOOKUP(A3,'Trips&amp;Operators'!$C$2:$E$10000,3,FALSE)</f>
        <v>#N/A</v>
      </c>
      <c r="F3" s="24" t="e">
        <f>VLOOKUP(A3,'Trips&amp;Operators'!$C$1:$F$10000,4,FALSE)</f>
        <v>#N/A</v>
      </c>
      <c r="G3" s="32" t="e">
        <f>VLOOKUP(A3,'Trips&amp;Operators'!$C$1:$H$10000,5,FALSE)</f>
        <v>#N/A</v>
      </c>
      <c r="H3" s="31" t="str">
        <f t="shared" ref="H3:H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),filters:!(),index:'emp_*',interval:auto,query:(query_string:(analyze_wildcard:!t,query:%22"&amp;A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22232-25%22)),sort:!(Time,asc))</v>
      </c>
      <c r="I3" s="23"/>
      <c r="J3" s="23"/>
    </row>
    <row r="4" spans="1:10" x14ac:dyDescent="0.25">
      <c r="A4" s="49" t="s">
        <v>707</v>
      </c>
      <c r="B4" s="129"/>
      <c r="C4" s="129"/>
      <c r="D4" s="33"/>
      <c r="E4" s="24" t="e">
        <f>VLOOKUP(A4,'Trips&amp;Operators'!$C$2:$E$10000,3,FALSE)</f>
        <v>#N/A</v>
      </c>
      <c r="F4" s="24" t="e">
        <f>VLOOKUP(A4,'Trips&amp;Operators'!$C$1:$F$10000,4,FALSE)</f>
        <v>#N/A</v>
      </c>
      <c r="G4" s="32" t="e">
        <f>VLOOKUP(A4,'Trips&amp;Operators'!$C$1:$H$10000,5,FALSE)</f>
        <v>#N/A</v>
      </c>
      <c r="H4" s="31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22224-25%22)),sort:!(Time,asc))</v>
      </c>
      <c r="I4" s="23"/>
      <c r="J4" s="23"/>
    </row>
    <row r="5" spans="1:10" x14ac:dyDescent="0.25">
      <c r="A5" s="49"/>
      <c r="B5" s="129"/>
      <c r="C5" s="129"/>
      <c r="D5" s="33"/>
      <c r="E5" s="24" t="e">
        <f>VLOOKUP(A5,'Trips&amp;Operators'!$C$2:$E$10000,3,FALSE)</f>
        <v>#N/A</v>
      </c>
      <c r="F5" s="24" t="e">
        <f>VLOOKUP(A5,'Trips&amp;Operators'!$C$1:$F$10000,4,FALSE)</f>
        <v>#N/A</v>
      </c>
      <c r="G5" s="32" t="e">
        <f>VLOOKUP(A5,'Trips&amp;Operators'!$C$1:$H$10000,5,FALSE)</f>
        <v>#N/A</v>
      </c>
      <c r="H5" s="31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22%22)),sort:!(Time,asc))</v>
      </c>
      <c r="I5" s="23"/>
      <c r="J5" s="23"/>
    </row>
    <row r="6" spans="1:10" x14ac:dyDescent="0.25">
      <c r="A6" s="49"/>
      <c r="B6" s="129"/>
      <c r="C6" s="129"/>
      <c r="D6" s="33"/>
      <c r="E6" s="24" t="e">
        <f>VLOOKUP(A6,'Trips&amp;Operators'!$C$2:$E$10000,3,FALSE)</f>
        <v>#N/A</v>
      </c>
      <c r="F6" s="24" t="e">
        <f>VLOOKUP(A6,'Trips&amp;Operators'!$C$1:$F$10000,4,FALSE)</f>
        <v>#N/A</v>
      </c>
      <c r="G6" s="32" t="e">
        <f>VLOOKUP(A6,'Trips&amp;Operators'!$C$1:$H$10000,5,FALSE)</f>
        <v>#N/A</v>
      </c>
      <c r="H6" s="31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22%22)),sort:!(Time,asc))</v>
      </c>
      <c r="I6" s="23"/>
      <c r="J6" s="23"/>
    </row>
    <row r="7" spans="1:10" x14ac:dyDescent="0.25">
      <c r="B7" s="129"/>
      <c r="C7" s="129"/>
      <c r="D7" s="33"/>
      <c r="E7" s="24" t="e">
        <f>VLOOKUP(A7,'Trips&amp;Operators'!$C$2:$E$10000,3,FALSE)</f>
        <v>#N/A</v>
      </c>
      <c r="F7" s="24" t="e">
        <f>VLOOKUP(A7,'Trips&amp;Operators'!$C$1:$F$10000,4,FALSE)</f>
        <v>#N/A</v>
      </c>
      <c r="G7" s="32" t="e">
        <f>VLOOKUP(A7,'Trips&amp;Operators'!$C$1:$H$10000,5,FALSE)</f>
        <v>#N/A</v>
      </c>
      <c r="H7" s="31" t="str">
        <f t="shared" ref="H7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),filters:!(),index:'emp_*',interval:auto,query:(query_string:(analyze_wildcard:!t,query:%22"&amp;A7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22%22)),sort:!(Time,asc))</v>
      </c>
      <c r="I7" s="23"/>
      <c r="J7" s="23"/>
    </row>
    <row r="8" spans="1:10" x14ac:dyDescent="0.25">
      <c r="B8" s="129"/>
      <c r="C8" s="129"/>
      <c r="D8" s="33"/>
      <c r="E8" s="24"/>
      <c r="F8" s="24"/>
      <c r="G8" s="32"/>
      <c r="H8" s="31"/>
      <c r="I8" s="23"/>
      <c r="J8" s="23"/>
    </row>
    <row r="9" spans="1:10" x14ac:dyDescent="0.25">
      <c r="B9" s="129"/>
      <c r="C9" s="129"/>
      <c r="D9" s="33"/>
      <c r="E9" s="24"/>
      <c r="F9" s="24"/>
      <c r="G9" s="32"/>
      <c r="H9" s="31"/>
      <c r="I9" s="23"/>
      <c r="J9" s="23"/>
    </row>
    <row r="10" spans="1:10" x14ac:dyDescent="0.25">
      <c r="B10" s="129"/>
      <c r="C10" s="129"/>
      <c r="D10" s="33"/>
      <c r="E10" s="24"/>
      <c r="F10" s="24"/>
      <c r="G10" s="32"/>
      <c r="H10" s="31"/>
      <c r="I10" s="23"/>
      <c r="J10" s="23"/>
    </row>
    <row r="11" spans="1:10" x14ac:dyDescent="0.25">
      <c r="B11" s="129"/>
      <c r="C11" s="129"/>
      <c r="D11" s="33"/>
      <c r="E11" s="24"/>
      <c r="F11" s="24"/>
      <c r="G11" s="32"/>
      <c r="H11" s="31"/>
      <c r="I11" s="23"/>
      <c r="J11" s="23"/>
    </row>
    <row r="12" spans="1:10" x14ac:dyDescent="0.25">
      <c r="B12" s="114"/>
      <c r="C12" s="114"/>
      <c r="H12" s="23"/>
      <c r="I12" s="23"/>
      <c r="J12" s="23"/>
    </row>
    <row r="13" spans="1:10" x14ac:dyDescent="0.25">
      <c r="B13" s="114"/>
      <c r="C13" s="114"/>
      <c r="H13" s="23"/>
      <c r="I13" s="23"/>
      <c r="J13" s="23"/>
    </row>
    <row r="14" spans="1:10" x14ac:dyDescent="0.25">
      <c r="B14" s="114"/>
      <c r="C14" s="114"/>
      <c r="H14" s="23"/>
      <c r="I14" s="23"/>
      <c r="J14" s="23"/>
    </row>
    <row r="15" spans="1:10" x14ac:dyDescent="0.25">
      <c r="B15" s="114"/>
      <c r="C15" s="114"/>
      <c r="H15" s="23"/>
      <c r="I15" s="23"/>
      <c r="J15" s="23"/>
    </row>
    <row r="16" spans="1:10" x14ac:dyDescent="0.25">
      <c r="B16" s="114"/>
      <c r="C16" s="114"/>
      <c r="H16" s="23"/>
      <c r="I16" s="23"/>
      <c r="J16" s="23"/>
    </row>
    <row r="17" spans="2:10" x14ac:dyDescent="0.25">
      <c r="B17" s="114"/>
      <c r="C17" s="114"/>
      <c r="H17" s="23"/>
      <c r="I17" s="23"/>
      <c r="J17" s="23"/>
    </row>
    <row r="18" spans="2:10" x14ac:dyDescent="0.25">
      <c r="B18" s="114"/>
      <c r="C18" s="114"/>
      <c r="H18" s="23"/>
      <c r="I18" s="23"/>
      <c r="J18" s="23"/>
    </row>
    <row r="19" spans="2:10" x14ac:dyDescent="0.25">
      <c r="B19" s="114"/>
      <c r="C19" s="114"/>
      <c r="H19" s="23"/>
      <c r="I19" s="23"/>
      <c r="J19" s="23"/>
    </row>
    <row r="20" spans="2:10" x14ac:dyDescent="0.25">
      <c r="B20" s="114"/>
      <c r="C20" s="114"/>
      <c r="H20" s="23"/>
      <c r="I20" s="23"/>
      <c r="J20" s="23"/>
    </row>
    <row r="21" spans="2:10" x14ac:dyDescent="0.25">
      <c r="B21" s="114"/>
      <c r="C21" s="114"/>
      <c r="H21" s="23"/>
      <c r="I21" s="23"/>
      <c r="J21" s="23"/>
    </row>
    <row r="22" spans="2:10" x14ac:dyDescent="0.25">
      <c r="B22" s="114"/>
      <c r="C22" s="114"/>
      <c r="H22" s="23"/>
      <c r="I22" s="23"/>
      <c r="J22" s="23"/>
    </row>
    <row r="23" spans="2:10" x14ac:dyDescent="0.25">
      <c r="B23" s="114"/>
      <c r="C23" s="114"/>
      <c r="H23" s="23"/>
      <c r="I23" s="23"/>
      <c r="J23" s="23"/>
    </row>
    <row r="24" spans="2:10" x14ac:dyDescent="0.25">
      <c r="B24" s="114"/>
      <c r="C24" s="114"/>
      <c r="H24" s="23"/>
      <c r="I24" s="23"/>
      <c r="J24" s="23"/>
    </row>
    <row r="25" spans="2:10" x14ac:dyDescent="0.25">
      <c r="B25" s="114"/>
      <c r="C25" s="114"/>
      <c r="H25" s="23"/>
      <c r="I25" s="23"/>
      <c r="J25" s="23"/>
    </row>
    <row r="26" spans="2:10" x14ac:dyDescent="0.25">
      <c r="B26" s="114"/>
      <c r="C26" s="114"/>
      <c r="H26" s="23"/>
      <c r="I26" s="23"/>
      <c r="J26" s="23"/>
    </row>
    <row r="27" spans="2:10" x14ac:dyDescent="0.25">
      <c r="B27" s="114"/>
      <c r="C27" s="114"/>
      <c r="H27" s="23"/>
      <c r="I27" s="23"/>
      <c r="J27" s="23"/>
    </row>
    <row r="28" spans="2:10" x14ac:dyDescent="0.25">
      <c r="B28" s="114"/>
      <c r="C28" s="114"/>
      <c r="H28" s="23"/>
      <c r="I28" s="23"/>
      <c r="J28" s="23"/>
    </row>
    <row r="29" spans="2:10" x14ac:dyDescent="0.25">
      <c r="B29" s="114"/>
      <c r="C29" s="114"/>
      <c r="H29" s="23"/>
      <c r="I29" s="23"/>
      <c r="J29" s="23"/>
    </row>
    <row r="30" spans="2:10" x14ac:dyDescent="0.25">
      <c r="B30" s="114"/>
      <c r="C30" s="114"/>
      <c r="H30" s="23"/>
      <c r="I30" s="23"/>
      <c r="J30" s="23"/>
    </row>
    <row r="31" spans="2:10" x14ac:dyDescent="0.25">
      <c r="B31" s="114"/>
      <c r="C31" s="114"/>
      <c r="H31" s="23"/>
      <c r="I31" s="23"/>
      <c r="J31" s="23"/>
    </row>
    <row r="32" spans="2:10" x14ac:dyDescent="0.25">
      <c r="B32" s="114"/>
      <c r="C32" s="114"/>
      <c r="H32" s="23"/>
      <c r="I32" s="23"/>
      <c r="J32" s="23"/>
    </row>
    <row r="33" spans="2:10" x14ac:dyDescent="0.25">
      <c r="B33" s="114"/>
      <c r="C33" s="114"/>
      <c r="H33" s="23"/>
      <c r="I33" s="23"/>
      <c r="J33" s="23"/>
    </row>
    <row r="34" spans="2:10" x14ac:dyDescent="0.25">
      <c r="B34" s="114"/>
      <c r="C34" s="114"/>
      <c r="H34" s="23"/>
      <c r="I34" s="23"/>
      <c r="J34" s="23"/>
    </row>
    <row r="35" spans="2:10" x14ac:dyDescent="0.25">
      <c r="B35" s="114"/>
      <c r="C35" s="114"/>
      <c r="H35" s="23"/>
      <c r="I35" s="23"/>
      <c r="J35" s="23"/>
    </row>
    <row r="36" spans="2:10" x14ac:dyDescent="0.25">
      <c r="B36" s="114"/>
      <c r="C36" s="114"/>
      <c r="H36" s="23"/>
      <c r="I36" s="23"/>
      <c r="J36" s="23"/>
    </row>
    <row r="37" spans="2:10" x14ac:dyDescent="0.25">
      <c r="B37" s="114"/>
      <c r="C37" s="114"/>
      <c r="H37" s="23"/>
      <c r="I37" s="23"/>
      <c r="J37" s="23"/>
    </row>
    <row r="38" spans="2:10" x14ac:dyDescent="0.25">
      <c r="B38" s="114"/>
      <c r="C38" s="114"/>
      <c r="H38" s="23"/>
      <c r="I38" s="23"/>
      <c r="J38" s="23"/>
    </row>
    <row r="39" spans="2:10" x14ac:dyDescent="0.25">
      <c r="B39" s="114"/>
      <c r="C39" s="114"/>
      <c r="H39" s="23"/>
      <c r="I39" s="23"/>
      <c r="J39" s="23"/>
    </row>
    <row r="40" spans="2:10" x14ac:dyDescent="0.25">
      <c r="B40" s="114"/>
      <c r="C40" s="114"/>
      <c r="H40" s="23"/>
      <c r="I40" s="23"/>
      <c r="J40" s="23"/>
    </row>
    <row r="41" spans="2:10" x14ac:dyDescent="0.25">
      <c r="B41" s="114"/>
      <c r="C41" s="114"/>
      <c r="H41" s="23"/>
      <c r="I41" s="23"/>
      <c r="J41" s="23"/>
    </row>
    <row r="42" spans="2:10" x14ac:dyDescent="0.25">
      <c r="B42" s="114"/>
      <c r="C42" s="114"/>
      <c r="H42" s="23"/>
      <c r="I42" s="23"/>
      <c r="J42" s="23"/>
    </row>
    <row r="43" spans="2:10" x14ac:dyDescent="0.25">
      <c r="B43" s="114"/>
      <c r="C43" s="114"/>
      <c r="H43" s="23"/>
      <c r="I43" s="23"/>
      <c r="J43" s="23"/>
    </row>
    <row r="44" spans="2:10" x14ac:dyDescent="0.25">
      <c r="B44" s="114"/>
      <c r="C44" s="114"/>
      <c r="H44" s="23"/>
      <c r="I44" s="23"/>
      <c r="J44" s="23"/>
    </row>
    <row r="45" spans="2:10" x14ac:dyDescent="0.25">
      <c r="B45" s="114"/>
      <c r="C45" s="114"/>
      <c r="H45" s="23"/>
      <c r="I45" s="23"/>
      <c r="J45" s="23"/>
    </row>
    <row r="46" spans="2:10" x14ac:dyDescent="0.25">
      <c r="B46" s="114"/>
      <c r="C46" s="114"/>
      <c r="H46" s="23"/>
      <c r="I46" s="23"/>
      <c r="J46" s="23"/>
    </row>
    <row r="47" spans="2:10" x14ac:dyDescent="0.25">
      <c r="B47" s="114"/>
      <c r="C47" s="114"/>
      <c r="H47" s="23"/>
      <c r="I47" s="23"/>
      <c r="J47" s="23"/>
    </row>
    <row r="48" spans="2:10" x14ac:dyDescent="0.25">
      <c r="B48" s="114"/>
      <c r="C48" s="114"/>
      <c r="H48" s="23"/>
      <c r="I48" s="23"/>
      <c r="J48" s="23"/>
    </row>
    <row r="49" spans="2:10" x14ac:dyDescent="0.25">
      <c r="B49" s="114"/>
      <c r="C49" s="114"/>
      <c r="H49" s="23"/>
      <c r="I49" s="23"/>
      <c r="J49" s="23"/>
    </row>
    <row r="50" spans="2:10" x14ac:dyDescent="0.25">
      <c r="B50" s="114"/>
      <c r="C50" s="114"/>
      <c r="H50" s="23"/>
      <c r="I50" s="23"/>
      <c r="J50" s="23"/>
    </row>
    <row r="51" spans="2:10" x14ac:dyDescent="0.25">
      <c r="B51" s="114"/>
      <c r="C51" s="114"/>
      <c r="H51" s="23"/>
      <c r="I51" s="23"/>
      <c r="J51" s="23"/>
    </row>
    <row r="52" spans="2:10" x14ac:dyDescent="0.25">
      <c r="B52" s="114"/>
      <c r="C52" s="114"/>
      <c r="H52" s="23"/>
      <c r="I52" s="23"/>
      <c r="J52" s="23"/>
    </row>
    <row r="53" spans="2:10" x14ac:dyDescent="0.25">
      <c r="B53" s="114"/>
      <c r="C53" s="114"/>
      <c r="H53" s="23"/>
      <c r="I53" s="23"/>
      <c r="J53" s="23"/>
    </row>
    <row r="54" spans="2:10" x14ac:dyDescent="0.25">
      <c r="B54" s="114"/>
      <c r="C54" s="114"/>
      <c r="H54" s="23"/>
      <c r="I54" s="23"/>
      <c r="J54" s="23"/>
    </row>
    <row r="55" spans="2:10" x14ac:dyDescent="0.25">
      <c r="B55" s="114"/>
      <c r="C55" s="114"/>
      <c r="H55" s="23"/>
      <c r="I55" s="23"/>
      <c r="J55" s="23"/>
    </row>
    <row r="56" spans="2:10" x14ac:dyDescent="0.25">
      <c r="B56" s="114"/>
      <c r="C56" s="114"/>
      <c r="H56" s="23"/>
      <c r="I56" s="23"/>
      <c r="J56" s="23"/>
    </row>
    <row r="57" spans="2:10" x14ac:dyDescent="0.25">
      <c r="B57" s="114"/>
      <c r="C57" s="114"/>
      <c r="H57" s="23"/>
      <c r="I57" s="23"/>
      <c r="J57" s="23"/>
    </row>
    <row r="58" spans="2:10" x14ac:dyDescent="0.25">
      <c r="B58" s="114"/>
      <c r="C58" s="114"/>
      <c r="H58" s="23"/>
      <c r="I58" s="23"/>
      <c r="J58" s="23"/>
    </row>
    <row r="59" spans="2:10" x14ac:dyDescent="0.25">
      <c r="B59" s="114"/>
      <c r="C59" s="114"/>
      <c r="H59" s="23"/>
      <c r="I59" s="23"/>
      <c r="J59" s="23"/>
    </row>
    <row r="60" spans="2:10" x14ac:dyDescent="0.25">
      <c r="B60" s="114"/>
      <c r="C60" s="114"/>
      <c r="H60" s="23"/>
      <c r="I60" s="23"/>
      <c r="J60" s="23"/>
    </row>
    <row r="61" spans="2:10" x14ac:dyDescent="0.25">
      <c r="B61" s="114"/>
      <c r="C61" s="114"/>
      <c r="H61" s="23"/>
      <c r="I61" s="23"/>
      <c r="J61" s="23"/>
    </row>
    <row r="62" spans="2:10" x14ac:dyDescent="0.25">
      <c r="B62" s="114"/>
      <c r="C62" s="114"/>
      <c r="H62" s="23"/>
      <c r="I62" s="23"/>
      <c r="J62" s="23"/>
    </row>
    <row r="63" spans="2:10" x14ac:dyDescent="0.25">
      <c r="B63" s="114"/>
      <c r="C63" s="114"/>
      <c r="H63" s="23"/>
      <c r="I63" s="23"/>
      <c r="J63" s="23"/>
    </row>
    <row r="64" spans="2:10" x14ac:dyDescent="0.25">
      <c r="B64" s="114"/>
      <c r="C64" s="114"/>
      <c r="H64" s="23"/>
      <c r="I64" s="23"/>
      <c r="J64" s="23"/>
    </row>
    <row r="65" spans="2:10" x14ac:dyDescent="0.25">
      <c r="B65" s="114"/>
      <c r="C65" s="114"/>
      <c r="H65" s="23"/>
      <c r="I65" s="23"/>
      <c r="J65" s="23"/>
    </row>
    <row r="66" spans="2:10" x14ac:dyDescent="0.25">
      <c r="B66" s="114"/>
      <c r="C66" s="114"/>
      <c r="H66" s="23"/>
      <c r="I66" s="23"/>
      <c r="J66" s="23"/>
    </row>
    <row r="67" spans="2:10" x14ac:dyDescent="0.25">
      <c r="B67" s="114"/>
      <c r="C67" s="114"/>
      <c r="H67" s="23"/>
      <c r="I67" s="23"/>
      <c r="J67" s="23"/>
    </row>
    <row r="68" spans="2:10" x14ac:dyDescent="0.25">
      <c r="B68" s="114"/>
      <c r="C68" s="114"/>
      <c r="H68" s="23"/>
      <c r="I68" s="23"/>
      <c r="J68" s="23"/>
    </row>
    <row r="69" spans="2:10" x14ac:dyDescent="0.25">
      <c r="B69" s="114"/>
      <c r="C69" s="114"/>
      <c r="H69" s="23"/>
      <c r="I69" s="23"/>
      <c r="J69" s="23"/>
    </row>
    <row r="70" spans="2:10" x14ac:dyDescent="0.25">
      <c r="B70" s="114"/>
      <c r="C70" s="114"/>
      <c r="H70" s="23"/>
      <c r="I70" s="23"/>
      <c r="J70" s="23"/>
    </row>
    <row r="71" spans="2:10" x14ac:dyDescent="0.25">
      <c r="B71" s="114"/>
      <c r="C71" s="114"/>
      <c r="H71" s="23"/>
      <c r="I71" s="23"/>
      <c r="J71" s="23"/>
    </row>
    <row r="72" spans="2:10" x14ac:dyDescent="0.25">
      <c r="B72" s="114"/>
      <c r="C72" s="114"/>
      <c r="H72" s="23"/>
      <c r="I72" s="23"/>
      <c r="J72" s="23"/>
    </row>
    <row r="73" spans="2:10" x14ac:dyDescent="0.25">
      <c r="B73" s="114"/>
      <c r="C73" s="114"/>
      <c r="H73" s="23"/>
      <c r="I73" s="23"/>
      <c r="J73" s="23"/>
    </row>
    <row r="74" spans="2:10" x14ac:dyDescent="0.25">
      <c r="B74" s="114"/>
      <c r="C74" s="114"/>
      <c r="H74" s="23"/>
      <c r="I74" s="23"/>
      <c r="J74" s="23"/>
    </row>
    <row r="75" spans="2:10" x14ac:dyDescent="0.25">
      <c r="B75" s="114"/>
      <c r="C75" s="114"/>
      <c r="H75" s="23"/>
      <c r="I75" s="23"/>
      <c r="J75" s="23"/>
    </row>
    <row r="76" spans="2:10" x14ac:dyDescent="0.25">
      <c r="B76" s="114"/>
      <c r="C76" s="114"/>
      <c r="H76" s="23"/>
      <c r="I76" s="23"/>
      <c r="J76" s="23"/>
    </row>
    <row r="77" spans="2:10" x14ac:dyDescent="0.25">
      <c r="B77" s="114"/>
      <c r="C77" s="114"/>
      <c r="H77" s="23"/>
      <c r="I77" s="23"/>
      <c r="J77" s="23"/>
    </row>
    <row r="78" spans="2:10" x14ac:dyDescent="0.25">
      <c r="B78" s="114"/>
      <c r="C78" s="114"/>
      <c r="H78" s="23"/>
      <c r="I78" s="23"/>
      <c r="J78" s="23"/>
    </row>
    <row r="79" spans="2:10" x14ac:dyDescent="0.25">
      <c r="B79" s="114"/>
      <c r="C79" s="114"/>
      <c r="H79" s="23"/>
      <c r="I79" s="23"/>
      <c r="J79" s="23"/>
    </row>
    <row r="80" spans="2:10" x14ac:dyDescent="0.25">
      <c r="B80" s="114"/>
      <c r="C80" s="114"/>
      <c r="H80" s="23"/>
      <c r="I80" s="23"/>
      <c r="J80" s="23"/>
    </row>
    <row r="81" spans="2:10" x14ac:dyDescent="0.25">
      <c r="B81" s="114"/>
      <c r="C81" s="114"/>
      <c r="H81" s="23"/>
      <c r="I81" s="23"/>
      <c r="J81" s="23"/>
    </row>
    <row r="82" spans="2:10" x14ac:dyDescent="0.25">
      <c r="B82" s="114"/>
      <c r="C82" s="114"/>
      <c r="H82" s="23"/>
      <c r="I82" s="23"/>
      <c r="J82" s="23"/>
    </row>
    <row r="83" spans="2:10" x14ac:dyDescent="0.25">
      <c r="B83" s="114"/>
      <c r="C83" s="114"/>
      <c r="H83" s="23"/>
      <c r="I83" s="23"/>
      <c r="J83" s="23"/>
    </row>
    <row r="84" spans="2:10" x14ac:dyDescent="0.25">
      <c r="B84" s="114"/>
      <c r="C84" s="114"/>
      <c r="H84" s="23"/>
      <c r="I84" s="23"/>
      <c r="J84" s="23"/>
    </row>
    <row r="85" spans="2:10" x14ac:dyDescent="0.25">
      <c r="B85" s="114"/>
      <c r="C85" s="114"/>
      <c r="H85" s="23"/>
      <c r="I85" s="23"/>
      <c r="J85" s="23"/>
    </row>
    <row r="86" spans="2:10" x14ac:dyDescent="0.25">
      <c r="B86" s="114"/>
      <c r="C86" s="114"/>
      <c r="H86" s="23"/>
      <c r="I86" s="23"/>
      <c r="J86" s="23"/>
    </row>
    <row r="87" spans="2:10" x14ac:dyDescent="0.25">
      <c r="B87" s="114"/>
      <c r="C87" s="114"/>
      <c r="H87" s="23"/>
      <c r="I87" s="23"/>
      <c r="J87" s="23"/>
    </row>
    <row r="88" spans="2:10" x14ac:dyDescent="0.25">
      <c r="B88" s="114"/>
      <c r="C88" s="114"/>
      <c r="H88" s="23"/>
      <c r="I88" s="23"/>
      <c r="J88" s="23"/>
    </row>
    <row r="89" spans="2:10" x14ac:dyDescent="0.25">
      <c r="B89" s="114"/>
      <c r="C89" s="114"/>
      <c r="H89" s="23"/>
      <c r="I89" s="23"/>
      <c r="J89" s="23"/>
    </row>
    <row r="90" spans="2:10" x14ac:dyDescent="0.25">
      <c r="H90" s="23"/>
      <c r="I90" s="23"/>
      <c r="J90" s="23"/>
    </row>
  </sheetData>
  <autoFilter ref="A2:H2"/>
  <mergeCells count="1">
    <mergeCell ref="A1:E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2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>
        <v>42607.032060185185</v>
      </c>
      <c r="B1" s="23" t="s">
        <v>301</v>
      </c>
      <c r="C1" s="23" t="s">
        <v>307</v>
      </c>
      <c r="D1" s="23">
        <v>2150000</v>
      </c>
      <c r="E1" s="23" t="s">
        <v>260</v>
      </c>
      <c r="F1" s="23" t="str">
        <f>B1</f>
        <v>rtdc.l.rtdc.4026:itc</v>
      </c>
      <c r="G1" s="8">
        <f>A1</f>
        <v>42607.032060185185</v>
      </c>
    </row>
    <row r="2" spans="1:7" x14ac:dyDescent="0.25">
      <c r="A2" s="8">
        <v>42607.032175925924</v>
      </c>
      <c r="B2" s="23" t="s">
        <v>93</v>
      </c>
      <c r="C2" s="23" t="s">
        <v>306</v>
      </c>
      <c r="D2" s="23">
        <v>2260000</v>
      </c>
      <c r="E2" s="23" t="s">
        <v>261</v>
      </c>
      <c r="F2" s="23" t="str">
        <f t="shared" ref="F2:F65" si="0">B2</f>
        <v>rtdc.l.rtdc.4027:itc</v>
      </c>
      <c r="G2" s="8">
        <f t="shared" ref="G2:G65" si="1">A2</f>
        <v>42607.032175925924</v>
      </c>
    </row>
    <row r="3" spans="1:7" x14ac:dyDescent="0.25">
      <c r="A3" s="8">
        <v>42607.047430555554</v>
      </c>
      <c r="B3" s="23" t="s">
        <v>179</v>
      </c>
      <c r="C3" s="23" t="s">
        <v>308</v>
      </c>
      <c r="D3" s="23">
        <v>1230000</v>
      </c>
      <c r="E3" s="23" t="s">
        <v>175</v>
      </c>
      <c r="F3" s="23" t="str">
        <f t="shared" si="0"/>
        <v>rtdc.l.rtdc.4009:itc</v>
      </c>
      <c r="G3" s="8">
        <f t="shared" si="1"/>
        <v>42607.047430555554</v>
      </c>
    </row>
    <row r="4" spans="1:7" x14ac:dyDescent="0.25">
      <c r="A4" s="8">
        <v>42607.048148148147</v>
      </c>
      <c r="B4" s="23" t="s">
        <v>179</v>
      </c>
      <c r="C4" s="23" t="s">
        <v>308</v>
      </c>
      <c r="D4" s="23">
        <v>1230000</v>
      </c>
      <c r="E4" s="23" t="s">
        <v>175</v>
      </c>
      <c r="F4" s="23" t="str">
        <f t="shared" si="0"/>
        <v>rtdc.l.rtdc.4009:itc</v>
      </c>
      <c r="G4" s="8">
        <f t="shared" si="1"/>
        <v>42607.048148148147</v>
      </c>
    </row>
    <row r="5" spans="1:7" x14ac:dyDescent="0.25">
      <c r="A5" s="8">
        <v>42607.054699074077</v>
      </c>
      <c r="B5" s="23" t="s">
        <v>90</v>
      </c>
      <c r="C5" s="23" t="s">
        <v>309</v>
      </c>
      <c r="D5" s="23">
        <v>2090000</v>
      </c>
      <c r="E5" s="23" t="s">
        <v>232</v>
      </c>
      <c r="F5" s="23" t="str">
        <f t="shared" si="0"/>
        <v>rtdc.l.rtdc.4013:itc</v>
      </c>
      <c r="G5" s="8">
        <f t="shared" si="1"/>
        <v>42607.054699074077</v>
      </c>
    </row>
    <row r="6" spans="1:7" x14ac:dyDescent="0.25">
      <c r="A6" s="8">
        <v>42607.070428240739</v>
      </c>
      <c r="B6" s="23" t="s">
        <v>298</v>
      </c>
      <c r="C6" s="23" t="s">
        <v>310</v>
      </c>
      <c r="D6" s="23">
        <v>2150000</v>
      </c>
      <c r="E6" s="23" t="s">
        <v>260</v>
      </c>
      <c r="F6" s="23" t="str">
        <f t="shared" si="0"/>
        <v>rtdc.l.rtdc.4025:itc</v>
      </c>
      <c r="G6" s="8">
        <f t="shared" si="1"/>
        <v>42607.070428240739</v>
      </c>
    </row>
    <row r="7" spans="1:7" x14ac:dyDescent="0.25">
      <c r="A7" s="8">
        <v>42607.071504629632</v>
      </c>
      <c r="B7" s="23" t="s">
        <v>298</v>
      </c>
      <c r="C7" s="23" t="s">
        <v>310</v>
      </c>
      <c r="D7" s="23">
        <v>2150000</v>
      </c>
      <c r="E7" s="23" t="s">
        <v>260</v>
      </c>
      <c r="F7" s="23" t="str">
        <f t="shared" si="0"/>
        <v>rtdc.l.rtdc.4025:itc</v>
      </c>
      <c r="G7" s="8">
        <f t="shared" si="1"/>
        <v>42607.071504629632</v>
      </c>
    </row>
    <row r="8" spans="1:7" x14ac:dyDescent="0.25">
      <c r="A8" s="8">
        <v>42607.091481481482</v>
      </c>
      <c r="B8" s="23" t="s">
        <v>112</v>
      </c>
      <c r="C8" s="23" t="s">
        <v>311</v>
      </c>
      <c r="D8" s="23">
        <v>2090000</v>
      </c>
      <c r="E8" s="23" t="s">
        <v>232</v>
      </c>
      <c r="F8" s="23" t="str">
        <f t="shared" si="0"/>
        <v>rtdc.l.rtdc.4014:itc</v>
      </c>
      <c r="G8" s="8">
        <f t="shared" si="1"/>
        <v>42607.091481481482</v>
      </c>
    </row>
    <row r="9" spans="1:7" ht="15.75" thickBot="1" x14ac:dyDescent="0.3">
      <c r="A9" s="27">
        <v>42607.127986111111</v>
      </c>
      <c r="B9" s="23" t="s">
        <v>114</v>
      </c>
      <c r="C9" s="23" t="s">
        <v>348</v>
      </c>
      <c r="D9" s="23">
        <v>2010000</v>
      </c>
      <c r="E9" s="23" t="s">
        <v>296</v>
      </c>
      <c r="F9" s="23" t="str">
        <f t="shared" si="0"/>
        <v>rtdc.l.rtdc.4031:itc</v>
      </c>
      <c r="G9" s="8">
        <f t="shared" si="1"/>
        <v>42607.127986111111</v>
      </c>
    </row>
    <row r="10" spans="1:7" x14ac:dyDescent="0.25">
      <c r="A10" s="8">
        <v>42607.155057870368</v>
      </c>
      <c r="B10" s="23" t="s">
        <v>194</v>
      </c>
      <c r="C10" s="23" t="s">
        <v>353</v>
      </c>
      <c r="D10" s="23">
        <v>1090000</v>
      </c>
      <c r="E10" s="23" t="s">
        <v>229</v>
      </c>
      <c r="F10" s="23" t="str">
        <f t="shared" si="0"/>
        <v>rtdc.l.rtdc.4044:itc</v>
      </c>
      <c r="G10" s="8">
        <f t="shared" si="1"/>
        <v>42607.155057870368</v>
      </c>
    </row>
    <row r="11" spans="1:7" x14ac:dyDescent="0.25">
      <c r="A11" s="8">
        <v>42607.156041666669</v>
      </c>
      <c r="B11" s="23" t="s">
        <v>194</v>
      </c>
      <c r="C11" s="23" t="s">
        <v>353</v>
      </c>
      <c r="D11" s="23">
        <v>1090000</v>
      </c>
      <c r="E11" s="23" t="s">
        <v>229</v>
      </c>
      <c r="F11" s="23" t="str">
        <f t="shared" si="0"/>
        <v>rtdc.l.rtdc.4044:itc</v>
      </c>
      <c r="G11" s="8">
        <f t="shared" si="1"/>
        <v>42607.156041666669</v>
      </c>
    </row>
    <row r="12" spans="1:7" x14ac:dyDescent="0.25">
      <c r="A12" s="8">
        <v>42607.171620370369</v>
      </c>
      <c r="B12" s="23" t="s">
        <v>690</v>
      </c>
      <c r="C12" s="23" t="s">
        <v>351</v>
      </c>
      <c r="D12" s="23">
        <v>2010000</v>
      </c>
      <c r="E12" s="23" t="s">
        <v>296</v>
      </c>
      <c r="F12" s="23" t="str">
        <f t="shared" si="0"/>
        <v>rtdc.l.rtdc.4012:itc</v>
      </c>
      <c r="G12" s="8">
        <f t="shared" si="1"/>
        <v>42607.171620370369</v>
      </c>
    </row>
    <row r="13" spans="1:7" x14ac:dyDescent="0.25">
      <c r="A13" s="8">
        <v>42607.173946759256</v>
      </c>
      <c r="B13" s="23" t="s">
        <v>193</v>
      </c>
      <c r="C13" s="23" t="s">
        <v>357</v>
      </c>
      <c r="D13" s="23">
        <v>1340000</v>
      </c>
      <c r="E13" s="23" t="s">
        <v>694</v>
      </c>
      <c r="F13" s="23" t="str">
        <f t="shared" si="0"/>
        <v>rtdc.l.rtdc.4007:itc</v>
      </c>
      <c r="G13" s="8">
        <f t="shared" si="1"/>
        <v>42607.173946759256</v>
      </c>
    </row>
    <row r="14" spans="1:7" x14ac:dyDescent="0.25">
      <c r="A14" s="8">
        <v>42607.176898148151</v>
      </c>
      <c r="B14" s="23" t="s">
        <v>150</v>
      </c>
      <c r="C14" s="23" t="s">
        <v>361</v>
      </c>
      <c r="D14" s="23">
        <v>1360000</v>
      </c>
      <c r="E14" s="23" t="s">
        <v>259</v>
      </c>
      <c r="F14" s="23" t="str">
        <f t="shared" si="0"/>
        <v>rtdc.l.rtdc.4042:itc</v>
      </c>
      <c r="G14" s="8">
        <f t="shared" si="1"/>
        <v>42607.176898148151</v>
      </c>
    </row>
    <row r="15" spans="1:7" x14ac:dyDescent="0.25">
      <c r="A15" s="8">
        <v>42607.191527777781</v>
      </c>
      <c r="B15" s="23" t="s">
        <v>689</v>
      </c>
      <c r="C15" s="23" t="s">
        <v>355</v>
      </c>
      <c r="D15" s="23">
        <v>1090000</v>
      </c>
      <c r="E15" s="23" t="s">
        <v>229</v>
      </c>
      <c r="F15" s="23" t="str">
        <f t="shared" si="0"/>
        <v>rtdc.l.rtdc.4019:itc</v>
      </c>
      <c r="G15" s="8">
        <f t="shared" si="1"/>
        <v>42607.191527777781</v>
      </c>
    </row>
    <row r="16" spans="1:7" x14ac:dyDescent="0.25">
      <c r="A16" s="8">
        <v>42607.195405092592</v>
      </c>
      <c r="B16" s="23" t="s">
        <v>179</v>
      </c>
      <c r="C16" s="23" t="s">
        <v>364</v>
      </c>
      <c r="D16" s="23">
        <v>2230000</v>
      </c>
      <c r="E16" s="23" t="s">
        <v>299</v>
      </c>
      <c r="F16" s="23" t="str">
        <f t="shared" si="0"/>
        <v>rtdc.l.rtdc.4009:itc</v>
      </c>
      <c r="G16" s="8">
        <f t="shared" si="1"/>
        <v>42607.195405092592</v>
      </c>
    </row>
    <row r="17" spans="1:7" x14ac:dyDescent="0.25">
      <c r="A17" s="8">
        <v>42607.20521990741</v>
      </c>
      <c r="B17" s="23" t="s">
        <v>114</v>
      </c>
      <c r="C17" s="23" t="s">
        <v>367</v>
      </c>
      <c r="D17" s="23">
        <v>1110000</v>
      </c>
      <c r="E17" s="23" t="s">
        <v>217</v>
      </c>
      <c r="F17" s="23" t="str">
        <f t="shared" si="0"/>
        <v>rtdc.l.rtdc.4031:itc</v>
      </c>
      <c r="G17" s="8">
        <f t="shared" si="1"/>
        <v>42607.20521990741</v>
      </c>
    </row>
    <row r="18" spans="1:7" x14ac:dyDescent="0.25">
      <c r="A18" s="8">
        <v>42607.210173611114</v>
      </c>
      <c r="B18" s="23" t="s">
        <v>187</v>
      </c>
      <c r="C18" s="23" t="s">
        <v>359</v>
      </c>
      <c r="D18" s="23">
        <v>1340000</v>
      </c>
      <c r="E18" s="23" t="s">
        <v>694</v>
      </c>
      <c r="F18" s="23" t="str">
        <f t="shared" si="0"/>
        <v>rtdc.l.rtdc.4001:itc</v>
      </c>
      <c r="G18" s="8">
        <f t="shared" si="1"/>
        <v>42607.210173611114</v>
      </c>
    </row>
    <row r="19" spans="1:7" x14ac:dyDescent="0.25">
      <c r="A19" s="8">
        <v>42607.211053240739</v>
      </c>
      <c r="B19" s="23" t="s">
        <v>695</v>
      </c>
      <c r="C19" s="23" t="s">
        <v>370</v>
      </c>
      <c r="D19" s="23">
        <v>2010000</v>
      </c>
      <c r="E19" s="23" t="s">
        <v>296</v>
      </c>
      <c r="F19" s="23" t="str">
        <f t="shared" si="0"/>
        <v>rtdc.l.rtdc.4011:itc</v>
      </c>
      <c r="G19" s="8">
        <f t="shared" si="1"/>
        <v>42607.211053240739</v>
      </c>
    </row>
    <row r="20" spans="1:7" x14ac:dyDescent="0.25">
      <c r="A20" s="8">
        <v>42607.214872685188</v>
      </c>
      <c r="B20" s="23" t="s">
        <v>144</v>
      </c>
      <c r="C20" s="23" t="s">
        <v>577</v>
      </c>
      <c r="D20" s="23">
        <v>2280000</v>
      </c>
      <c r="E20" s="23" t="s">
        <v>297</v>
      </c>
      <c r="F20" s="23" t="str">
        <f t="shared" si="0"/>
        <v>rtdc.l.rtdc.4037:itc</v>
      </c>
      <c r="G20" s="8">
        <f t="shared" si="1"/>
        <v>42607.214872685188</v>
      </c>
    </row>
    <row r="21" spans="1:7" x14ac:dyDescent="0.25">
      <c r="A21" s="8">
        <v>42607.215104166666</v>
      </c>
      <c r="B21" s="23" t="s">
        <v>192</v>
      </c>
      <c r="C21" s="23" t="s">
        <v>363</v>
      </c>
      <c r="D21" s="23">
        <v>1360000</v>
      </c>
      <c r="E21" s="23" t="s">
        <v>259</v>
      </c>
      <c r="F21" s="23" t="str">
        <f t="shared" si="0"/>
        <v>rtdc.l.rtdc.4041:itc</v>
      </c>
      <c r="G21" s="8">
        <f t="shared" si="1"/>
        <v>42607.215104166666</v>
      </c>
    </row>
    <row r="22" spans="1:7" x14ac:dyDescent="0.25">
      <c r="A22" s="29">
        <v>42607.225578703707</v>
      </c>
      <c r="B22" s="23" t="s">
        <v>194</v>
      </c>
      <c r="C22" s="23" t="s">
        <v>375</v>
      </c>
      <c r="D22" s="23">
        <v>1190000</v>
      </c>
      <c r="E22" s="23" t="s">
        <v>300</v>
      </c>
      <c r="F22" s="23" t="str">
        <f t="shared" si="0"/>
        <v>rtdc.l.rtdc.4044:itc</v>
      </c>
      <c r="G22" s="8">
        <f t="shared" si="1"/>
        <v>42607.225578703707</v>
      </c>
    </row>
    <row r="23" spans="1:7" x14ac:dyDescent="0.25">
      <c r="A23" s="8">
        <v>42607.227627314816</v>
      </c>
      <c r="B23" s="23" t="s">
        <v>151</v>
      </c>
      <c r="C23" s="23" t="s">
        <v>580</v>
      </c>
      <c r="D23" s="23">
        <v>2280000</v>
      </c>
      <c r="E23" s="23" t="s">
        <v>297</v>
      </c>
      <c r="F23" s="23" t="str">
        <f t="shared" si="0"/>
        <v>rtdc.l.rtdc.4038:itc</v>
      </c>
      <c r="G23" s="8">
        <f t="shared" si="1"/>
        <v>42607.227627314816</v>
      </c>
    </row>
    <row r="24" spans="1:7" x14ac:dyDescent="0.25">
      <c r="A24" s="8">
        <v>42607.230150462965</v>
      </c>
      <c r="B24" s="23" t="s">
        <v>180</v>
      </c>
      <c r="C24" s="23" t="s">
        <v>366</v>
      </c>
      <c r="D24" s="23">
        <v>2230000</v>
      </c>
      <c r="E24" s="23" t="s">
        <v>299</v>
      </c>
      <c r="F24" s="23" t="str">
        <f t="shared" si="0"/>
        <v>rtdc.l.rtdc.4010:itc</v>
      </c>
      <c r="G24" s="8">
        <f t="shared" si="1"/>
        <v>42607.230150462965</v>
      </c>
    </row>
    <row r="25" spans="1:7" x14ac:dyDescent="0.25">
      <c r="A25" s="8">
        <v>42607.234247685185</v>
      </c>
      <c r="B25" s="23" t="s">
        <v>696</v>
      </c>
      <c r="C25" s="23" t="s">
        <v>378</v>
      </c>
      <c r="D25" s="23">
        <v>1090000</v>
      </c>
      <c r="E25" s="23" t="s">
        <v>229</v>
      </c>
      <c r="F25" s="23" t="str">
        <f t="shared" si="0"/>
        <v>rtdc.l.rtdc.4020:itc</v>
      </c>
      <c r="G25" s="8">
        <f t="shared" si="1"/>
        <v>42607.234247685185</v>
      </c>
    </row>
    <row r="26" spans="1:7" x14ac:dyDescent="0.25">
      <c r="A26" s="8">
        <v>42607.242685185185</v>
      </c>
      <c r="B26" s="23" t="s">
        <v>115</v>
      </c>
      <c r="C26" s="23" t="s">
        <v>369</v>
      </c>
      <c r="D26" s="23">
        <v>1110000</v>
      </c>
      <c r="E26" s="23" t="s">
        <v>217</v>
      </c>
      <c r="F26" s="23" t="str">
        <f t="shared" si="0"/>
        <v>rtdc.l.rtdc.4032:itc</v>
      </c>
      <c r="G26" s="8">
        <f t="shared" si="1"/>
        <v>42607.242685185185</v>
      </c>
    </row>
    <row r="27" spans="1:7" x14ac:dyDescent="0.25">
      <c r="A27" s="8">
        <v>42607.248564814814</v>
      </c>
      <c r="B27" s="23" t="s">
        <v>193</v>
      </c>
      <c r="C27" s="23" t="s">
        <v>382</v>
      </c>
      <c r="D27" s="23">
        <v>1340000</v>
      </c>
      <c r="E27" s="23" t="s">
        <v>694</v>
      </c>
      <c r="F27" s="23" t="str">
        <f t="shared" si="0"/>
        <v>rtdc.l.rtdc.4007:itc</v>
      </c>
      <c r="G27" s="8">
        <f t="shared" si="1"/>
        <v>42607.248564814814</v>
      </c>
    </row>
    <row r="28" spans="1:7" x14ac:dyDescent="0.25">
      <c r="A28" s="8">
        <v>42607.253252314818</v>
      </c>
      <c r="B28" s="23" t="s">
        <v>690</v>
      </c>
      <c r="C28" s="23" t="s">
        <v>373</v>
      </c>
      <c r="D28" s="23">
        <v>2010000</v>
      </c>
      <c r="E28" s="23" t="s">
        <v>296</v>
      </c>
      <c r="F28" s="23" t="str">
        <f t="shared" si="0"/>
        <v>rtdc.l.rtdc.4012:itc</v>
      </c>
      <c r="G28" s="8">
        <f t="shared" si="1"/>
        <v>42607.253252314818</v>
      </c>
    </row>
    <row r="29" spans="1:7" x14ac:dyDescent="0.25">
      <c r="A29" s="8">
        <v>42607.254548611112</v>
      </c>
      <c r="B29" s="23" t="s">
        <v>112</v>
      </c>
      <c r="C29" s="23" t="s">
        <v>585</v>
      </c>
      <c r="D29" s="23">
        <v>1100000</v>
      </c>
      <c r="E29" s="23" t="s">
        <v>258</v>
      </c>
      <c r="F29" s="23" t="str">
        <f t="shared" si="0"/>
        <v>rtdc.l.rtdc.4014:itc</v>
      </c>
      <c r="G29" s="8">
        <f t="shared" si="1"/>
        <v>42607.254548611112</v>
      </c>
    </row>
    <row r="30" spans="1:7" x14ac:dyDescent="0.25">
      <c r="A30" s="8">
        <v>42607.254918981482</v>
      </c>
      <c r="B30" s="23" t="s">
        <v>144</v>
      </c>
      <c r="C30" s="23" t="s">
        <v>583</v>
      </c>
      <c r="D30" s="23">
        <v>2280000</v>
      </c>
      <c r="E30" s="23" t="s">
        <v>297</v>
      </c>
      <c r="F30" s="23" t="str">
        <f t="shared" si="0"/>
        <v>rtdc.l.rtdc.4037:itc</v>
      </c>
      <c r="G30" s="8">
        <f t="shared" si="1"/>
        <v>42607.254918981482</v>
      </c>
    </row>
    <row r="31" spans="1:7" x14ac:dyDescent="0.25">
      <c r="A31" s="8">
        <v>42607.255833333336</v>
      </c>
      <c r="B31" s="23" t="s">
        <v>112</v>
      </c>
      <c r="C31" s="23" t="s">
        <v>585</v>
      </c>
      <c r="D31" s="23">
        <v>1100000</v>
      </c>
      <c r="E31" s="23" t="s">
        <v>258</v>
      </c>
      <c r="F31" s="23" t="str">
        <f t="shared" si="0"/>
        <v>rtdc.l.rtdc.4014:itc</v>
      </c>
      <c r="G31" s="8">
        <f t="shared" si="1"/>
        <v>42607.255833333336</v>
      </c>
    </row>
    <row r="32" spans="1:7" x14ac:dyDescent="0.25">
      <c r="A32" s="8">
        <v>42607.256932870368</v>
      </c>
      <c r="B32" s="23" t="s">
        <v>150</v>
      </c>
      <c r="C32" s="23" t="s">
        <v>386</v>
      </c>
      <c r="D32" s="23">
        <v>1360000</v>
      </c>
      <c r="E32" s="23" t="s">
        <v>259</v>
      </c>
      <c r="F32" s="23" t="str">
        <f t="shared" si="0"/>
        <v>rtdc.l.rtdc.4042:itc</v>
      </c>
      <c r="G32" s="8">
        <f t="shared" si="1"/>
        <v>42607.256932870368</v>
      </c>
    </row>
    <row r="33" spans="1:7" x14ac:dyDescent="0.25">
      <c r="A33" s="8">
        <v>42607.261412037034</v>
      </c>
      <c r="B33" s="23" t="s">
        <v>178</v>
      </c>
      <c r="C33" s="23" t="s">
        <v>377</v>
      </c>
      <c r="D33" s="23">
        <v>1190000</v>
      </c>
      <c r="E33" s="23" t="s">
        <v>300</v>
      </c>
      <c r="F33" s="23" t="str">
        <f t="shared" si="0"/>
        <v>rtdc.l.rtdc.4043:itc</v>
      </c>
      <c r="G33" s="8">
        <f t="shared" si="1"/>
        <v>42607.261412037034</v>
      </c>
    </row>
    <row r="34" spans="1:7" x14ac:dyDescent="0.25">
      <c r="A34" s="8">
        <v>42607.267939814818</v>
      </c>
      <c r="B34" s="23" t="s">
        <v>179</v>
      </c>
      <c r="C34" s="23" t="s">
        <v>389</v>
      </c>
      <c r="D34" s="23">
        <v>2230000</v>
      </c>
      <c r="E34" s="23" t="s">
        <v>299</v>
      </c>
      <c r="F34" s="23" t="str">
        <f t="shared" si="0"/>
        <v>rtdc.l.rtdc.4009:itc</v>
      </c>
      <c r="G34" s="8">
        <f t="shared" si="1"/>
        <v>42607.267939814818</v>
      </c>
    </row>
    <row r="35" spans="1:7" x14ac:dyDescent="0.25">
      <c r="A35" s="8">
        <v>42607.269641203704</v>
      </c>
      <c r="B35" s="23" t="s">
        <v>151</v>
      </c>
      <c r="C35" s="23" t="s">
        <v>588</v>
      </c>
      <c r="D35" s="23">
        <v>2280000</v>
      </c>
      <c r="E35" s="23" t="s">
        <v>297</v>
      </c>
      <c r="F35" s="23" t="str">
        <f t="shared" si="0"/>
        <v>rtdc.l.rtdc.4038:itc</v>
      </c>
      <c r="G35" s="8">
        <f t="shared" si="1"/>
        <v>42607.269641203704</v>
      </c>
    </row>
    <row r="36" spans="1:7" x14ac:dyDescent="0.25">
      <c r="A36" s="8">
        <v>42607.27202546296</v>
      </c>
      <c r="B36" s="23" t="s">
        <v>689</v>
      </c>
      <c r="C36" s="23" t="s">
        <v>380</v>
      </c>
      <c r="D36" s="23">
        <v>1090000</v>
      </c>
      <c r="E36" s="23" t="s">
        <v>229</v>
      </c>
      <c r="F36" s="23" t="str">
        <f t="shared" si="0"/>
        <v>rtdc.l.rtdc.4019:itc</v>
      </c>
      <c r="G36" s="8">
        <f t="shared" si="1"/>
        <v>42607.27202546296</v>
      </c>
    </row>
    <row r="37" spans="1:7" x14ac:dyDescent="0.25">
      <c r="A37" s="8">
        <v>42607.276006944441</v>
      </c>
      <c r="B37" s="23" t="s">
        <v>90</v>
      </c>
      <c r="C37" s="23" t="s">
        <v>587</v>
      </c>
      <c r="D37" s="23">
        <v>1100000</v>
      </c>
      <c r="E37" s="23" t="s">
        <v>258</v>
      </c>
      <c r="F37" s="23" t="str">
        <f t="shared" si="0"/>
        <v>rtdc.l.rtdc.4013:itc</v>
      </c>
      <c r="G37" s="8">
        <f t="shared" si="1"/>
        <v>42607.276006944441</v>
      </c>
    </row>
    <row r="38" spans="1:7" x14ac:dyDescent="0.25">
      <c r="A38" s="8">
        <v>42607.277430555558</v>
      </c>
      <c r="B38" s="23" t="s">
        <v>114</v>
      </c>
      <c r="C38" s="23" t="s">
        <v>391</v>
      </c>
      <c r="D38" s="23">
        <v>1110000</v>
      </c>
      <c r="E38" s="23" t="s">
        <v>217</v>
      </c>
      <c r="F38" s="23" t="str">
        <f t="shared" si="0"/>
        <v>rtdc.l.rtdc.4031:itc</v>
      </c>
      <c r="G38" s="8">
        <f t="shared" si="1"/>
        <v>42607.277430555558</v>
      </c>
    </row>
    <row r="39" spans="1:7" x14ac:dyDescent="0.25">
      <c r="A39" s="8">
        <v>42607.286261574074</v>
      </c>
      <c r="B39" s="23" t="s">
        <v>173</v>
      </c>
      <c r="C39" s="23" t="s">
        <v>385</v>
      </c>
      <c r="D39" s="23">
        <v>1340000</v>
      </c>
      <c r="E39" s="23" t="s">
        <v>694</v>
      </c>
      <c r="F39" s="23" t="str">
        <f t="shared" si="0"/>
        <v>rtdc.l.rtdc.4008:itc</v>
      </c>
      <c r="G39" s="8">
        <f t="shared" si="1"/>
        <v>42607.286261574074</v>
      </c>
    </row>
    <row r="40" spans="1:7" x14ac:dyDescent="0.25">
      <c r="A40" s="8">
        <v>42607.28707175926</v>
      </c>
      <c r="B40" s="28" t="s">
        <v>192</v>
      </c>
      <c r="C40" s="23" t="s">
        <v>387</v>
      </c>
      <c r="D40" s="23">
        <v>1360000</v>
      </c>
      <c r="E40" s="23" t="s">
        <v>259</v>
      </c>
      <c r="F40" s="23" t="str">
        <f t="shared" si="0"/>
        <v>rtdc.l.rtdc.4041:itc</v>
      </c>
      <c r="G40" s="8">
        <f t="shared" si="1"/>
        <v>42607.28707175926</v>
      </c>
    </row>
    <row r="41" spans="1:7" x14ac:dyDescent="0.25">
      <c r="A41" s="8">
        <v>42607.288113425922</v>
      </c>
      <c r="B41" s="23" t="s">
        <v>695</v>
      </c>
      <c r="C41" s="23" t="s">
        <v>393</v>
      </c>
      <c r="D41" s="23">
        <v>2010000</v>
      </c>
      <c r="E41" s="23" t="s">
        <v>296</v>
      </c>
      <c r="F41" s="23" t="str">
        <f t="shared" si="0"/>
        <v>rtdc.l.rtdc.4011:itc</v>
      </c>
      <c r="G41" s="8">
        <f t="shared" si="1"/>
        <v>42607.288113425922</v>
      </c>
    </row>
    <row r="42" spans="1:7" x14ac:dyDescent="0.25">
      <c r="A42" s="8">
        <v>42607.297002314815</v>
      </c>
      <c r="B42" s="23" t="s">
        <v>194</v>
      </c>
      <c r="C42" s="23" t="s">
        <v>395</v>
      </c>
      <c r="D42" s="23">
        <v>1190000</v>
      </c>
      <c r="E42" s="23" t="s">
        <v>300</v>
      </c>
      <c r="F42" s="23" t="str">
        <f t="shared" si="0"/>
        <v>rtdc.l.rtdc.4044:itc</v>
      </c>
      <c r="G42" s="8">
        <f t="shared" si="1"/>
        <v>42607.297002314815</v>
      </c>
    </row>
    <row r="43" spans="1:7" x14ac:dyDescent="0.25">
      <c r="A43" s="8">
        <v>42607.297719907408</v>
      </c>
      <c r="B43" s="23" t="s">
        <v>144</v>
      </c>
      <c r="C43" s="23" t="s">
        <v>591</v>
      </c>
      <c r="D43" s="23">
        <v>2280000</v>
      </c>
      <c r="E43" s="23" t="s">
        <v>297</v>
      </c>
      <c r="F43" s="23" t="str">
        <f t="shared" si="0"/>
        <v>rtdc.l.rtdc.4037:itc</v>
      </c>
      <c r="G43" s="8">
        <f t="shared" si="1"/>
        <v>42607.297719907408</v>
      </c>
    </row>
    <row r="44" spans="1:7" x14ac:dyDescent="0.25">
      <c r="A44" s="8">
        <v>42607.303124999999</v>
      </c>
      <c r="B44" s="23" t="s">
        <v>180</v>
      </c>
      <c r="C44" s="23" t="s">
        <v>390</v>
      </c>
      <c r="D44" s="23">
        <v>2230000</v>
      </c>
      <c r="E44" s="23" t="s">
        <v>299</v>
      </c>
      <c r="F44" s="23" t="str">
        <f t="shared" si="0"/>
        <v>rtdc.l.rtdc.4010:itc</v>
      </c>
      <c r="G44" s="8">
        <f t="shared" si="1"/>
        <v>42607.303124999999</v>
      </c>
    </row>
    <row r="45" spans="1:7" x14ac:dyDescent="0.25">
      <c r="A45" s="8">
        <v>42607.304699074077</v>
      </c>
      <c r="B45" s="23" t="s">
        <v>112</v>
      </c>
      <c r="C45" s="23" t="s">
        <v>593</v>
      </c>
      <c r="D45" s="23">
        <v>1100000</v>
      </c>
      <c r="E45" s="23" t="s">
        <v>258</v>
      </c>
      <c r="F45" s="23" t="str">
        <f t="shared" si="0"/>
        <v>rtdc.l.rtdc.4014:itc</v>
      </c>
      <c r="G45" s="8">
        <f t="shared" si="1"/>
        <v>42607.304699074077</v>
      </c>
    </row>
    <row r="46" spans="1:7" x14ac:dyDescent="0.25">
      <c r="A46" s="8">
        <v>42607.309895833336</v>
      </c>
      <c r="B46" s="23" t="s">
        <v>696</v>
      </c>
      <c r="C46" s="23" t="s">
        <v>398</v>
      </c>
      <c r="D46" s="23">
        <v>1090000</v>
      </c>
      <c r="E46" s="23" t="s">
        <v>229</v>
      </c>
      <c r="F46" s="23" t="str">
        <f t="shared" si="0"/>
        <v>rtdc.l.rtdc.4020:itc</v>
      </c>
      <c r="G46" s="8">
        <f t="shared" si="1"/>
        <v>42607.309895833336</v>
      </c>
    </row>
    <row r="47" spans="1:7" x14ac:dyDescent="0.25">
      <c r="A47" s="8">
        <v>42607.312013888892</v>
      </c>
      <c r="B47" s="23" t="s">
        <v>151</v>
      </c>
      <c r="C47" s="23" t="s">
        <v>597</v>
      </c>
      <c r="D47" s="23">
        <v>2280000</v>
      </c>
      <c r="E47" s="23" t="s">
        <v>297</v>
      </c>
      <c r="F47" s="23" t="str">
        <f t="shared" si="0"/>
        <v>rtdc.l.rtdc.4038:itc</v>
      </c>
      <c r="G47" s="8">
        <f t="shared" si="1"/>
        <v>42607.312013888892</v>
      </c>
    </row>
    <row r="48" spans="1:7" x14ac:dyDescent="0.25">
      <c r="A48" s="8">
        <v>42607.317303240743</v>
      </c>
      <c r="B48" s="23" t="s">
        <v>90</v>
      </c>
      <c r="C48" s="23" t="s">
        <v>596</v>
      </c>
      <c r="D48" s="23">
        <v>1100000</v>
      </c>
      <c r="E48" s="23" t="s">
        <v>258</v>
      </c>
      <c r="F48" s="23" t="str">
        <f t="shared" si="0"/>
        <v>rtdc.l.rtdc.4013:itc</v>
      </c>
      <c r="G48" s="8">
        <f t="shared" si="1"/>
        <v>42607.317303240743</v>
      </c>
    </row>
    <row r="49" spans="1:7" x14ac:dyDescent="0.25">
      <c r="A49" s="8">
        <v>42607.319201388891</v>
      </c>
      <c r="B49" s="23" t="s">
        <v>115</v>
      </c>
      <c r="C49" s="23" t="s">
        <v>392</v>
      </c>
      <c r="D49" s="23">
        <v>1110000</v>
      </c>
      <c r="E49" s="23" t="s">
        <v>217</v>
      </c>
      <c r="F49" s="23" t="str">
        <f t="shared" si="0"/>
        <v>rtdc.l.rtdc.4032:itc</v>
      </c>
      <c r="G49" s="8">
        <f t="shared" si="1"/>
        <v>42607.319201388891</v>
      </c>
    </row>
    <row r="50" spans="1:7" x14ac:dyDescent="0.25">
      <c r="A50" s="8">
        <v>42607.320775462962</v>
      </c>
      <c r="B50" s="23" t="s">
        <v>193</v>
      </c>
      <c r="C50" s="23" t="s">
        <v>400</v>
      </c>
      <c r="D50" s="23">
        <v>1340000</v>
      </c>
      <c r="E50" s="23" t="s">
        <v>694</v>
      </c>
      <c r="F50" s="23" t="str">
        <f t="shared" si="0"/>
        <v>rtdc.l.rtdc.4007:itc</v>
      </c>
      <c r="G50" s="8">
        <f t="shared" si="1"/>
        <v>42607.320775462962</v>
      </c>
    </row>
    <row r="51" spans="1:7" x14ac:dyDescent="0.25">
      <c r="A51" s="8">
        <v>42607.324108796296</v>
      </c>
      <c r="B51" s="23" t="s">
        <v>690</v>
      </c>
      <c r="C51" s="23" t="s">
        <v>394</v>
      </c>
      <c r="D51" s="23">
        <v>2010000</v>
      </c>
      <c r="E51" s="23" t="s">
        <v>296</v>
      </c>
      <c r="F51" s="23" t="str">
        <f t="shared" si="0"/>
        <v>rtdc.l.rtdc.4012:itc</v>
      </c>
      <c r="G51" s="8">
        <f t="shared" si="1"/>
        <v>42607.324108796296</v>
      </c>
    </row>
    <row r="52" spans="1:7" x14ac:dyDescent="0.25">
      <c r="A52" s="8">
        <v>42607.331273148149</v>
      </c>
      <c r="B52" s="23" t="s">
        <v>150</v>
      </c>
      <c r="C52" s="23" t="s">
        <v>404</v>
      </c>
      <c r="D52" s="23">
        <v>1360000</v>
      </c>
      <c r="E52" s="23" t="s">
        <v>259</v>
      </c>
      <c r="F52" s="23" t="str">
        <f t="shared" si="0"/>
        <v>rtdc.l.rtdc.4042:itc</v>
      </c>
      <c r="G52" s="8">
        <f t="shared" si="1"/>
        <v>42607.331273148149</v>
      </c>
    </row>
    <row r="53" spans="1:7" x14ac:dyDescent="0.25">
      <c r="A53" s="8">
        <v>42607.334120370368</v>
      </c>
      <c r="B53" s="23" t="s">
        <v>178</v>
      </c>
      <c r="C53" s="23" t="s">
        <v>396</v>
      </c>
      <c r="D53" s="23">
        <v>1190000</v>
      </c>
      <c r="E53" s="23" t="s">
        <v>300</v>
      </c>
      <c r="F53" s="23" t="str">
        <f t="shared" si="0"/>
        <v>rtdc.l.rtdc.4043:itc</v>
      </c>
      <c r="G53" s="8">
        <f t="shared" si="1"/>
        <v>42607.334120370368</v>
      </c>
    </row>
    <row r="54" spans="1:7" x14ac:dyDescent="0.25">
      <c r="A54" s="8">
        <v>42607.339131944442</v>
      </c>
      <c r="B54" s="23" t="s">
        <v>144</v>
      </c>
      <c r="C54" s="23" t="s">
        <v>600</v>
      </c>
      <c r="D54" s="23">
        <v>2280000</v>
      </c>
      <c r="E54" s="23" t="s">
        <v>297</v>
      </c>
      <c r="F54" s="23" t="str">
        <f t="shared" si="0"/>
        <v>rtdc.l.rtdc.4037:itc</v>
      </c>
      <c r="G54" s="8">
        <f t="shared" si="1"/>
        <v>42607.339131944442</v>
      </c>
    </row>
    <row r="55" spans="1:7" x14ac:dyDescent="0.25">
      <c r="A55" s="8">
        <v>42607.340150462966</v>
      </c>
      <c r="B55" s="23" t="s">
        <v>179</v>
      </c>
      <c r="C55" s="23" t="s">
        <v>406</v>
      </c>
      <c r="D55" s="23">
        <v>2230000</v>
      </c>
      <c r="E55" s="23" t="s">
        <v>299</v>
      </c>
      <c r="F55" s="23" t="str">
        <f t="shared" si="0"/>
        <v>rtdc.l.rtdc.4009:itc</v>
      </c>
      <c r="G55" s="8">
        <f t="shared" si="1"/>
        <v>42607.340150462966</v>
      </c>
    </row>
    <row r="56" spans="1:7" x14ac:dyDescent="0.25">
      <c r="A56" s="8">
        <v>42607.344456018516</v>
      </c>
      <c r="B56" s="23" t="s">
        <v>112</v>
      </c>
      <c r="C56" s="23" t="s">
        <v>602</v>
      </c>
      <c r="D56" s="23">
        <v>1100000</v>
      </c>
      <c r="E56" s="23" t="s">
        <v>258</v>
      </c>
      <c r="F56" s="23" t="str">
        <f t="shared" si="0"/>
        <v>rtdc.l.rtdc.4014:itc</v>
      </c>
      <c r="G56" s="8">
        <f t="shared" si="1"/>
        <v>42607.344456018516</v>
      </c>
    </row>
    <row r="57" spans="1:7" x14ac:dyDescent="0.25">
      <c r="A57" s="8">
        <v>42607.346620370372</v>
      </c>
      <c r="B57" s="23" t="s">
        <v>689</v>
      </c>
      <c r="C57" s="23" t="s">
        <v>399</v>
      </c>
      <c r="D57" s="23">
        <v>1090000</v>
      </c>
      <c r="E57" s="23" t="s">
        <v>229</v>
      </c>
      <c r="F57" s="23" t="str">
        <f t="shared" si="0"/>
        <v>rtdc.l.rtdc.4019:itc</v>
      </c>
      <c r="G57" s="8">
        <f t="shared" si="1"/>
        <v>42607.346620370372</v>
      </c>
    </row>
    <row r="58" spans="1:7" x14ac:dyDescent="0.25">
      <c r="A58" s="8">
        <v>42607.350925925923</v>
      </c>
      <c r="B58" s="23" t="s">
        <v>114</v>
      </c>
      <c r="C58" s="23" t="s">
        <v>410</v>
      </c>
      <c r="D58" s="23">
        <v>1110000</v>
      </c>
      <c r="E58" s="23" t="s">
        <v>217</v>
      </c>
      <c r="F58" s="23" t="str">
        <f t="shared" si="0"/>
        <v>rtdc.l.rtdc.4031:itc</v>
      </c>
      <c r="G58" s="8">
        <f t="shared" si="1"/>
        <v>42607.350925925923</v>
      </c>
    </row>
    <row r="59" spans="1:7" x14ac:dyDescent="0.25">
      <c r="A59" s="8">
        <v>42607.358819444446</v>
      </c>
      <c r="B59" s="23" t="s">
        <v>173</v>
      </c>
      <c r="C59" s="23" t="s">
        <v>402</v>
      </c>
      <c r="D59" s="23">
        <v>1340000</v>
      </c>
      <c r="E59" s="23" t="s">
        <v>694</v>
      </c>
      <c r="F59" s="23" t="str">
        <f t="shared" si="0"/>
        <v>rtdc.l.rtdc.4008:itc</v>
      </c>
      <c r="G59" s="8">
        <f t="shared" si="1"/>
        <v>42607.358819444446</v>
      </c>
    </row>
    <row r="60" spans="1:7" x14ac:dyDescent="0.25">
      <c r="A60" s="8">
        <v>42607.359513888892</v>
      </c>
      <c r="B60" s="23" t="s">
        <v>90</v>
      </c>
      <c r="C60" s="23" t="s">
        <v>604</v>
      </c>
      <c r="D60" s="23">
        <v>1100000</v>
      </c>
      <c r="E60" s="23" t="s">
        <v>258</v>
      </c>
      <c r="F60" s="23" t="str">
        <f t="shared" si="0"/>
        <v>rtdc.l.rtdc.4013:itc</v>
      </c>
      <c r="G60" s="8">
        <f t="shared" si="1"/>
        <v>42607.359513888892</v>
      </c>
    </row>
    <row r="61" spans="1:7" x14ac:dyDescent="0.25">
      <c r="A61" s="8">
        <v>42607.360578703701</v>
      </c>
      <c r="B61" s="23" t="s">
        <v>192</v>
      </c>
      <c r="C61" s="23" t="s">
        <v>405</v>
      </c>
      <c r="D61" s="23">
        <v>1360000</v>
      </c>
      <c r="E61" s="23" t="s">
        <v>259</v>
      </c>
      <c r="F61" s="23" t="str">
        <f t="shared" si="0"/>
        <v>rtdc.l.rtdc.4041:itc</v>
      </c>
      <c r="G61" s="8">
        <f t="shared" si="1"/>
        <v>42607.360578703701</v>
      </c>
    </row>
    <row r="62" spans="1:7" x14ac:dyDescent="0.25">
      <c r="A62" s="8">
        <v>42607.360706018517</v>
      </c>
      <c r="B62" s="23" t="s">
        <v>695</v>
      </c>
      <c r="C62" s="23" t="s">
        <v>412</v>
      </c>
      <c r="D62" s="23">
        <v>2010000</v>
      </c>
      <c r="E62" s="23" t="s">
        <v>296</v>
      </c>
      <c r="F62" s="23" t="str">
        <f t="shared" si="0"/>
        <v>rtdc.l.rtdc.4011:itc</v>
      </c>
      <c r="G62" s="8">
        <f t="shared" si="1"/>
        <v>42607.360706018517</v>
      </c>
    </row>
    <row r="63" spans="1:7" x14ac:dyDescent="0.25">
      <c r="A63" s="8">
        <v>42607.368784722225</v>
      </c>
      <c r="B63" s="23" t="s">
        <v>194</v>
      </c>
      <c r="C63" s="23" t="s">
        <v>415</v>
      </c>
      <c r="D63" s="23">
        <v>1190000</v>
      </c>
      <c r="E63" s="23" t="s">
        <v>300</v>
      </c>
      <c r="F63" s="23" t="str">
        <f t="shared" si="0"/>
        <v>rtdc.l.rtdc.4044:itc</v>
      </c>
      <c r="G63" s="8">
        <f t="shared" si="1"/>
        <v>42607.368784722225</v>
      </c>
    </row>
    <row r="64" spans="1:7" x14ac:dyDescent="0.25">
      <c r="A64" s="29">
        <v>42607.372372685182</v>
      </c>
      <c r="B64" s="23" t="s">
        <v>180</v>
      </c>
      <c r="C64" s="23" t="s">
        <v>409</v>
      </c>
      <c r="D64" s="23">
        <v>2230000</v>
      </c>
      <c r="E64" s="23" t="s">
        <v>299</v>
      </c>
      <c r="F64" s="23" t="str">
        <f t="shared" si="0"/>
        <v>rtdc.l.rtdc.4010:itc</v>
      </c>
      <c r="G64" s="8">
        <f t="shared" si="1"/>
        <v>42607.372372685182</v>
      </c>
    </row>
    <row r="65" spans="1:7" x14ac:dyDescent="0.25">
      <c r="A65" s="8">
        <v>42607.382384259261</v>
      </c>
      <c r="B65" s="23" t="s">
        <v>696</v>
      </c>
      <c r="C65" s="23" t="s">
        <v>417</v>
      </c>
      <c r="D65" s="23">
        <v>1090000</v>
      </c>
      <c r="E65" s="23" t="s">
        <v>229</v>
      </c>
      <c r="F65" s="23" t="str">
        <f t="shared" si="0"/>
        <v>rtdc.l.rtdc.4020:itc</v>
      </c>
      <c r="G65" s="8">
        <f t="shared" si="1"/>
        <v>42607.382384259261</v>
      </c>
    </row>
    <row r="66" spans="1:7" x14ac:dyDescent="0.25">
      <c r="A66" s="8">
        <v>42607.385983796295</v>
      </c>
      <c r="B66" s="23" t="s">
        <v>112</v>
      </c>
      <c r="C66" s="23" t="s">
        <v>606</v>
      </c>
      <c r="D66" s="23">
        <v>1100000</v>
      </c>
      <c r="E66" s="23" t="s">
        <v>258</v>
      </c>
      <c r="F66" s="23" t="str">
        <f t="shared" ref="F66:F129" si="2">B66</f>
        <v>rtdc.l.rtdc.4014:itc</v>
      </c>
      <c r="G66" s="8">
        <f t="shared" ref="G66:G129" si="3">A66</f>
        <v>42607.385983796295</v>
      </c>
    </row>
    <row r="67" spans="1:7" x14ac:dyDescent="0.25">
      <c r="A67" s="8">
        <v>42607.391018518516</v>
      </c>
      <c r="B67" s="23" t="s">
        <v>115</v>
      </c>
      <c r="C67" s="23" t="s">
        <v>411</v>
      </c>
      <c r="D67" s="23">
        <v>1110000</v>
      </c>
      <c r="E67" s="23" t="s">
        <v>217</v>
      </c>
      <c r="F67" s="23" t="str">
        <f t="shared" si="2"/>
        <v>rtdc.l.rtdc.4032:itc</v>
      </c>
      <c r="G67" s="8">
        <f t="shared" si="3"/>
        <v>42607.391018518516</v>
      </c>
    </row>
    <row r="68" spans="1:7" x14ac:dyDescent="0.25">
      <c r="A68" s="8">
        <v>42607.392268518517</v>
      </c>
      <c r="B68" s="23" t="s">
        <v>193</v>
      </c>
      <c r="C68" s="23" t="s">
        <v>420</v>
      </c>
      <c r="D68" s="23">
        <v>1340000</v>
      </c>
      <c r="E68" s="23" t="s">
        <v>694</v>
      </c>
      <c r="F68" s="23" t="str">
        <f t="shared" si="2"/>
        <v>rtdc.l.rtdc.4007:itc</v>
      </c>
      <c r="G68" s="8">
        <f t="shared" si="3"/>
        <v>42607.392268518517</v>
      </c>
    </row>
    <row r="69" spans="1:7" x14ac:dyDescent="0.25">
      <c r="A69" s="8">
        <v>42607.397847222222</v>
      </c>
      <c r="B69" s="23" t="s">
        <v>690</v>
      </c>
      <c r="C69" s="23" t="s">
        <v>414</v>
      </c>
      <c r="D69" s="23">
        <v>2010000</v>
      </c>
      <c r="E69" s="23" t="s">
        <v>296</v>
      </c>
      <c r="F69" s="23" t="str">
        <f t="shared" si="2"/>
        <v>rtdc.l.rtdc.4012:itc</v>
      </c>
      <c r="G69" s="8">
        <f t="shared" si="3"/>
        <v>42607.397847222222</v>
      </c>
    </row>
    <row r="70" spans="1:7" x14ac:dyDescent="0.25">
      <c r="A70" s="8">
        <v>42607.401261574072</v>
      </c>
      <c r="B70" s="23" t="s">
        <v>90</v>
      </c>
      <c r="C70" s="23" t="s">
        <v>608</v>
      </c>
      <c r="D70" s="23">
        <v>1100000</v>
      </c>
      <c r="E70" s="23" t="s">
        <v>258</v>
      </c>
      <c r="F70" s="23" t="str">
        <f t="shared" si="2"/>
        <v>rtdc.l.rtdc.4013:itc</v>
      </c>
      <c r="G70" s="8">
        <f t="shared" si="3"/>
        <v>42607.401261574072</v>
      </c>
    </row>
    <row r="71" spans="1:7" x14ac:dyDescent="0.25">
      <c r="A71" s="8">
        <v>42607.403171296297</v>
      </c>
      <c r="B71" s="23" t="s">
        <v>150</v>
      </c>
      <c r="C71" s="23" t="s">
        <v>423</v>
      </c>
      <c r="D71" s="23">
        <v>1360000</v>
      </c>
      <c r="E71" s="23" t="s">
        <v>259</v>
      </c>
      <c r="F71" s="23" t="str">
        <f t="shared" si="2"/>
        <v>rtdc.l.rtdc.4042:itc</v>
      </c>
      <c r="G71" s="8">
        <f t="shared" si="3"/>
        <v>42607.403171296297</v>
      </c>
    </row>
    <row r="72" spans="1:7" x14ac:dyDescent="0.25">
      <c r="A72" s="8">
        <v>42607.411168981482</v>
      </c>
      <c r="B72" s="23" t="s">
        <v>178</v>
      </c>
      <c r="C72" s="23" t="s">
        <v>416</v>
      </c>
      <c r="D72" s="23">
        <v>930000</v>
      </c>
      <c r="E72" s="23" t="s">
        <v>697</v>
      </c>
      <c r="F72" s="23" t="str">
        <f t="shared" si="2"/>
        <v>rtdc.l.rtdc.4043:itc</v>
      </c>
      <c r="G72" s="8">
        <f t="shared" si="3"/>
        <v>42607.411168981482</v>
      </c>
    </row>
    <row r="73" spans="1:7" x14ac:dyDescent="0.25">
      <c r="A73" s="8">
        <v>42607.4137962963</v>
      </c>
      <c r="B73" s="23" t="s">
        <v>179</v>
      </c>
      <c r="C73" s="23" t="s">
        <v>425</v>
      </c>
      <c r="D73" s="23">
        <v>2230000</v>
      </c>
      <c r="E73" s="23" t="s">
        <v>299</v>
      </c>
      <c r="F73" s="23" t="str">
        <f t="shared" si="2"/>
        <v>rtdc.l.rtdc.4009:itc</v>
      </c>
      <c r="G73" s="8">
        <f t="shared" si="3"/>
        <v>42607.4137962963</v>
      </c>
    </row>
    <row r="74" spans="1:7" x14ac:dyDescent="0.25">
      <c r="A74" s="8">
        <v>42607.421319444446</v>
      </c>
      <c r="B74" s="23" t="s">
        <v>689</v>
      </c>
      <c r="C74" s="23" t="s">
        <v>419</v>
      </c>
      <c r="D74" s="23">
        <v>1090000</v>
      </c>
      <c r="E74" s="23" t="s">
        <v>229</v>
      </c>
      <c r="F74" s="23" t="str">
        <f t="shared" si="2"/>
        <v>rtdc.l.rtdc.4019:itc</v>
      </c>
      <c r="G74" s="8">
        <f t="shared" si="3"/>
        <v>42607.421319444446</v>
      </c>
    </row>
    <row r="75" spans="1:7" x14ac:dyDescent="0.25">
      <c r="A75" s="8">
        <v>42607.422488425924</v>
      </c>
      <c r="B75" s="23" t="s">
        <v>114</v>
      </c>
      <c r="C75" s="23" t="s">
        <v>427</v>
      </c>
      <c r="D75" s="23">
        <v>1110000</v>
      </c>
      <c r="E75" s="23" t="s">
        <v>217</v>
      </c>
      <c r="F75" s="23" t="str">
        <f t="shared" si="2"/>
        <v>rtdc.l.rtdc.4031:itc</v>
      </c>
      <c r="G75" s="8">
        <f t="shared" si="3"/>
        <v>42607.422488425924</v>
      </c>
    </row>
    <row r="76" spans="1:7" x14ac:dyDescent="0.25">
      <c r="A76" s="8">
        <v>42607.429560185185</v>
      </c>
      <c r="B76" s="23" t="s">
        <v>112</v>
      </c>
      <c r="C76" s="23" t="s">
        <v>610</v>
      </c>
      <c r="D76" s="23">
        <v>1100000</v>
      </c>
      <c r="E76" s="23" t="s">
        <v>258</v>
      </c>
      <c r="F76" s="23" t="str">
        <f t="shared" si="2"/>
        <v>rtdc.l.rtdc.4014:itc</v>
      </c>
      <c r="G76" s="8">
        <f t="shared" si="3"/>
        <v>42607.429560185185</v>
      </c>
    </row>
    <row r="77" spans="1:7" x14ac:dyDescent="0.25">
      <c r="A77" s="8">
        <v>42607.430613425924</v>
      </c>
      <c r="B77" s="23" t="s">
        <v>173</v>
      </c>
      <c r="C77" s="23" t="s">
        <v>422</v>
      </c>
      <c r="D77" s="23">
        <v>1340000</v>
      </c>
      <c r="E77" s="23" t="s">
        <v>694</v>
      </c>
      <c r="F77" s="23" t="str">
        <f t="shared" si="2"/>
        <v>rtdc.l.rtdc.4008:itc</v>
      </c>
      <c r="G77" s="8">
        <f t="shared" si="3"/>
        <v>42607.430613425924</v>
      </c>
    </row>
    <row r="78" spans="1:7" x14ac:dyDescent="0.25">
      <c r="A78" s="8">
        <v>42607.432662037034</v>
      </c>
      <c r="B78" s="23" t="s">
        <v>192</v>
      </c>
      <c r="C78" s="23" t="s">
        <v>424</v>
      </c>
      <c r="D78" s="23">
        <v>1360000</v>
      </c>
      <c r="E78" s="23" t="s">
        <v>259</v>
      </c>
      <c r="F78" s="23" t="str">
        <f t="shared" si="2"/>
        <v>rtdc.l.rtdc.4041:itc</v>
      </c>
      <c r="G78" s="8">
        <f t="shared" si="3"/>
        <v>42607.432662037034</v>
      </c>
    </row>
    <row r="79" spans="1:7" x14ac:dyDescent="0.25">
      <c r="A79" s="8">
        <v>42607.433611111112</v>
      </c>
      <c r="B79" s="23" t="s">
        <v>695</v>
      </c>
      <c r="C79" s="23" t="s">
        <v>430</v>
      </c>
      <c r="D79" s="23">
        <v>2280000</v>
      </c>
      <c r="E79" s="23" t="s">
        <v>297</v>
      </c>
      <c r="F79" s="23" t="str">
        <f t="shared" si="2"/>
        <v>rtdc.l.rtdc.4011:itc</v>
      </c>
      <c r="G79" s="8">
        <f t="shared" si="3"/>
        <v>42607.433611111112</v>
      </c>
    </row>
    <row r="80" spans="1:7" x14ac:dyDescent="0.25">
      <c r="A80" s="8">
        <v>42607.438287037039</v>
      </c>
      <c r="B80" s="23" t="s">
        <v>256</v>
      </c>
      <c r="C80" s="23" t="s">
        <v>556</v>
      </c>
      <c r="D80" s="23">
        <v>2140000</v>
      </c>
      <c r="E80" s="23" t="s">
        <v>231</v>
      </c>
      <c r="F80" s="23" t="str">
        <f t="shared" si="2"/>
        <v>rtdc.l.rtdc.4021:itc</v>
      </c>
      <c r="G80" s="8">
        <f t="shared" si="3"/>
        <v>42607.438287037039</v>
      </c>
    </row>
    <row r="81" spans="1:7" x14ac:dyDescent="0.25">
      <c r="A81" s="8">
        <v>42607.443668981483</v>
      </c>
      <c r="B81" s="23" t="s">
        <v>90</v>
      </c>
      <c r="C81" s="23" t="s">
        <v>611</v>
      </c>
      <c r="D81" s="23">
        <v>1100000</v>
      </c>
      <c r="E81" s="23" t="s">
        <v>258</v>
      </c>
      <c r="F81" s="23" t="str">
        <f t="shared" si="2"/>
        <v>rtdc.l.rtdc.4013:itc</v>
      </c>
      <c r="G81" s="8">
        <f t="shared" si="3"/>
        <v>42607.443668981483</v>
      </c>
    </row>
    <row r="82" spans="1:7" x14ac:dyDescent="0.25">
      <c r="A82" s="8">
        <v>42607.447175925925</v>
      </c>
      <c r="B82" s="23" t="s">
        <v>194</v>
      </c>
      <c r="C82" s="23" t="s">
        <v>432</v>
      </c>
      <c r="D82" s="23">
        <v>930000</v>
      </c>
      <c r="E82" s="23" t="s">
        <v>697</v>
      </c>
      <c r="F82" s="23" t="str">
        <f t="shared" si="2"/>
        <v>rtdc.l.rtdc.4044:itc</v>
      </c>
      <c r="G82" s="8">
        <f t="shared" si="3"/>
        <v>42607.447175925925</v>
      </c>
    </row>
    <row r="83" spans="1:7" x14ac:dyDescent="0.25">
      <c r="A83" s="8">
        <v>42607.453761574077</v>
      </c>
      <c r="B83" s="23" t="s">
        <v>696</v>
      </c>
      <c r="C83" s="23" t="s">
        <v>434</v>
      </c>
      <c r="D83" s="23">
        <v>2140000</v>
      </c>
      <c r="E83" s="23" t="s">
        <v>231</v>
      </c>
      <c r="F83" s="23" t="str">
        <f t="shared" si="2"/>
        <v>rtdc.l.rtdc.4020:itc</v>
      </c>
      <c r="G83" s="8">
        <f t="shared" si="3"/>
        <v>42607.453761574077</v>
      </c>
    </row>
    <row r="84" spans="1:7" x14ac:dyDescent="0.25">
      <c r="A84" s="8">
        <v>42607.455370370371</v>
      </c>
      <c r="B84" s="23" t="s">
        <v>180</v>
      </c>
      <c r="C84" s="23" t="s">
        <v>426</v>
      </c>
      <c r="D84" s="23">
        <v>2230000</v>
      </c>
      <c r="E84" s="23" t="s">
        <v>299</v>
      </c>
      <c r="F84" s="23" t="str">
        <f t="shared" si="2"/>
        <v>rtdc.l.rtdc.4010:itc</v>
      </c>
      <c r="G84" s="8">
        <f t="shared" si="3"/>
        <v>42607.455370370371</v>
      </c>
    </row>
    <row r="85" spans="1:7" x14ac:dyDescent="0.25">
      <c r="A85" s="8">
        <v>42607.457337962966</v>
      </c>
      <c r="B85" s="23" t="s">
        <v>230</v>
      </c>
      <c r="C85" s="23" t="s">
        <v>561</v>
      </c>
      <c r="D85" s="23">
        <v>2040000</v>
      </c>
      <c r="E85" s="23" t="s">
        <v>304</v>
      </c>
      <c r="F85" s="23" t="str">
        <f t="shared" si="2"/>
        <v>rtdc.l.rtdc.4054:itc</v>
      </c>
      <c r="G85" s="8">
        <f t="shared" si="3"/>
        <v>42607.457337962966</v>
      </c>
    </row>
    <row r="86" spans="1:7" x14ac:dyDescent="0.25">
      <c r="A86" s="8">
        <v>42607.464039351849</v>
      </c>
      <c r="B86" s="23" t="s">
        <v>115</v>
      </c>
      <c r="C86" s="23" t="s">
        <v>429</v>
      </c>
      <c r="D86" s="23">
        <v>1110000</v>
      </c>
      <c r="E86" s="23" t="s">
        <v>217</v>
      </c>
      <c r="F86" s="23" t="str">
        <f t="shared" si="2"/>
        <v>rtdc.l.rtdc.4032:itc</v>
      </c>
      <c r="G86" s="8">
        <f t="shared" si="3"/>
        <v>42607.464039351849</v>
      </c>
    </row>
    <row r="87" spans="1:7" x14ac:dyDescent="0.25">
      <c r="A87" s="8">
        <v>42607.464837962965</v>
      </c>
      <c r="B87" s="23" t="s">
        <v>690</v>
      </c>
      <c r="C87" s="23" t="s">
        <v>431</v>
      </c>
      <c r="D87" s="23">
        <v>2280000</v>
      </c>
      <c r="E87" s="23" t="s">
        <v>297</v>
      </c>
      <c r="F87" s="23" t="str">
        <f t="shared" si="2"/>
        <v>rtdc.l.rtdc.4012:itc</v>
      </c>
      <c r="G87" s="8">
        <f t="shared" si="3"/>
        <v>42607.464837962965</v>
      </c>
    </row>
    <row r="88" spans="1:7" x14ac:dyDescent="0.25">
      <c r="A88" s="8">
        <v>42607.465011574073</v>
      </c>
      <c r="B88" s="23" t="s">
        <v>193</v>
      </c>
      <c r="C88" s="23" t="s">
        <v>437</v>
      </c>
      <c r="D88" s="23">
        <v>2020000</v>
      </c>
      <c r="E88" s="23" t="s">
        <v>698</v>
      </c>
      <c r="F88" s="23" t="str">
        <f t="shared" si="2"/>
        <v>rtdc.l.rtdc.4007:itc</v>
      </c>
      <c r="G88" s="8">
        <f t="shared" si="3"/>
        <v>42607.465011574073</v>
      </c>
    </row>
    <row r="89" spans="1:7" x14ac:dyDescent="0.25">
      <c r="A89" s="8">
        <v>42607.466944444444</v>
      </c>
      <c r="B89" s="23" t="s">
        <v>112</v>
      </c>
      <c r="C89" s="23" t="s">
        <v>614</v>
      </c>
      <c r="D89" s="23">
        <v>1100000</v>
      </c>
      <c r="E89" s="23" t="s">
        <v>258</v>
      </c>
      <c r="F89" s="23" t="str">
        <f t="shared" si="2"/>
        <v>rtdc.l.rtdc.4014:itc</v>
      </c>
      <c r="G89" s="8">
        <f t="shared" si="3"/>
        <v>42607.466944444444</v>
      </c>
    </row>
    <row r="90" spans="1:7" x14ac:dyDescent="0.25">
      <c r="A90" s="8">
        <v>42607.472662037035</v>
      </c>
      <c r="B90" s="23" t="s">
        <v>699</v>
      </c>
      <c r="C90" s="23" t="s">
        <v>558</v>
      </c>
      <c r="D90" s="23">
        <v>1090000</v>
      </c>
      <c r="E90" s="23" t="s">
        <v>229</v>
      </c>
      <c r="F90" s="23" t="str">
        <f t="shared" si="2"/>
        <v>rtdc.l.rtdc.4053:itc</v>
      </c>
      <c r="G90" s="8">
        <f t="shared" si="3"/>
        <v>42607.472662037035</v>
      </c>
    </row>
    <row r="91" spans="1:7" x14ac:dyDescent="0.25">
      <c r="A91" s="8">
        <v>42607.476226851853</v>
      </c>
      <c r="B91" s="23" t="s">
        <v>150</v>
      </c>
      <c r="C91" s="23" t="s">
        <v>439</v>
      </c>
      <c r="D91" s="23">
        <v>2040000</v>
      </c>
      <c r="E91" s="23" t="s">
        <v>304</v>
      </c>
      <c r="F91" s="23" t="str">
        <f t="shared" si="2"/>
        <v>rtdc.l.rtdc.4042:itc</v>
      </c>
      <c r="G91" s="8">
        <f t="shared" si="3"/>
        <v>42607.476226851853</v>
      </c>
    </row>
    <row r="92" spans="1:7" x14ac:dyDescent="0.25">
      <c r="A92" s="8">
        <v>42607.482847222222</v>
      </c>
      <c r="B92" s="23" t="s">
        <v>178</v>
      </c>
      <c r="C92" s="23" t="s">
        <v>433</v>
      </c>
      <c r="D92" s="23">
        <v>1190000</v>
      </c>
      <c r="E92" s="23" t="s">
        <v>300</v>
      </c>
      <c r="F92" s="23" t="str">
        <f t="shared" si="2"/>
        <v>rtdc.l.rtdc.4043:itc</v>
      </c>
      <c r="G92" s="8">
        <f t="shared" si="3"/>
        <v>42607.482847222222</v>
      </c>
    </row>
    <row r="93" spans="1:7" x14ac:dyDescent="0.25">
      <c r="A93" s="8">
        <v>42607.4846412037</v>
      </c>
      <c r="B93" s="23" t="s">
        <v>90</v>
      </c>
      <c r="C93" s="23" t="s">
        <v>616</v>
      </c>
      <c r="D93" s="23">
        <v>1100000</v>
      </c>
      <c r="E93" s="23" t="s">
        <v>258</v>
      </c>
      <c r="F93" s="23" t="str">
        <f t="shared" si="2"/>
        <v>rtdc.l.rtdc.4013:itc</v>
      </c>
      <c r="G93" s="8">
        <f t="shared" si="3"/>
        <v>42607.4846412037</v>
      </c>
    </row>
    <row r="94" spans="1:7" x14ac:dyDescent="0.25">
      <c r="A94" s="8">
        <v>42607.487083333333</v>
      </c>
      <c r="B94" s="23" t="s">
        <v>179</v>
      </c>
      <c r="C94" s="23" t="s">
        <v>442</v>
      </c>
      <c r="D94" s="23">
        <v>2250000</v>
      </c>
      <c r="E94" s="23" t="s">
        <v>303</v>
      </c>
      <c r="F94" s="23" t="str">
        <f t="shared" si="2"/>
        <v>rtdc.l.rtdc.4009:itc</v>
      </c>
      <c r="G94" s="8">
        <f t="shared" si="3"/>
        <v>42607.487083333333</v>
      </c>
    </row>
    <row r="95" spans="1:7" x14ac:dyDescent="0.25">
      <c r="A95" s="8">
        <v>42607.491307870368</v>
      </c>
      <c r="B95" s="23" t="s">
        <v>689</v>
      </c>
      <c r="C95" s="23" t="s">
        <v>435</v>
      </c>
      <c r="D95" s="23">
        <v>2140000</v>
      </c>
      <c r="E95" s="23" t="s">
        <v>231</v>
      </c>
      <c r="F95" s="23" t="str">
        <f t="shared" si="2"/>
        <v>rtdc.l.rtdc.4019:itc</v>
      </c>
      <c r="G95" s="8">
        <f t="shared" si="3"/>
        <v>42607.491307870368</v>
      </c>
    </row>
    <row r="96" spans="1:7" x14ac:dyDescent="0.25">
      <c r="A96" s="8">
        <v>42607.491331018522</v>
      </c>
      <c r="B96" s="23" t="s">
        <v>257</v>
      </c>
      <c r="C96" s="23" t="s">
        <v>564</v>
      </c>
      <c r="D96" s="23">
        <v>2230000</v>
      </c>
      <c r="E96" s="23" t="s">
        <v>299</v>
      </c>
      <c r="F96" s="23" t="str">
        <f t="shared" si="2"/>
        <v>rtdc.l.rtdc.4022:itc</v>
      </c>
      <c r="G96" s="8">
        <f t="shared" si="3"/>
        <v>42607.491331018522</v>
      </c>
    </row>
    <row r="97" spans="1:7" x14ac:dyDescent="0.25">
      <c r="A97" s="8">
        <v>42607.499571759261</v>
      </c>
      <c r="B97" s="23" t="s">
        <v>114</v>
      </c>
      <c r="C97" s="23" t="s">
        <v>444</v>
      </c>
      <c r="D97" s="23">
        <v>1140000</v>
      </c>
      <c r="E97" s="23" t="s">
        <v>302</v>
      </c>
      <c r="F97" s="23" t="str">
        <f t="shared" si="2"/>
        <v>rtdc.l.rtdc.4031:itc</v>
      </c>
      <c r="G97" s="8">
        <f t="shared" si="3"/>
        <v>42607.499571759261</v>
      </c>
    </row>
    <row r="98" spans="1:7" x14ac:dyDescent="0.25">
      <c r="A98" s="8">
        <v>42607.50408564815</v>
      </c>
      <c r="B98" s="23" t="s">
        <v>173</v>
      </c>
      <c r="C98" s="23" t="s">
        <v>438</v>
      </c>
      <c r="D98" s="23">
        <v>2020000</v>
      </c>
      <c r="E98" s="23" t="s">
        <v>698</v>
      </c>
      <c r="F98" s="23" t="str">
        <f t="shared" si="2"/>
        <v>rtdc.l.rtdc.4008:itc</v>
      </c>
      <c r="G98" s="8">
        <f t="shared" si="3"/>
        <v>42607.50408564815</v>
      </c>
    </row>
    <row r="99" spans="1:7" x14ac:dyDescent="0.25">
      <c r="A99" s="8">
        <v>42607.506435185183</v>
      </c>
      <c r="B99" s="23" t="s">
        <v>695</v>
      </c>
      <c r="C99" s="23" t="s">
        <v>447</v>
      </c>
      <c r="D99" s="23">
        <v>2000000</v>
      </c>
      <c r="E99" s="23" t="s">
        <v>143</v>
      </c>
      <c r="F99" s="23" t="str">
        <f t="shared" si="2"/>
        <v>rtdc.l.rtdc.4011:itc</v>
      </c>
      <c r="G99" s="8">
        <f t="shared" si="3"/>
        <v>42607.506435185183</v>
      </c>
    </row>
    <row r="100" spans="1:7" x14ac:dyDescent="0.25">
      <c r="A100" s="8">
        <v>42607.51253472222</v>
      </c>
      <c r="B100" s="23" t="s">
        <v>112</v>
      </c>
      <c r="C100" s="23" t="s">
        <v>619</v>
      </c>
      <c r="D100" s="23">
        <v>1100000</v>
      </c>
      <c r="E100" s="23" t="s">
        <v>258</v>
      </c>
      <c r="F100" s="23" t="str">
        <f t="shared" si="2"/>
        <v>rtdc.l.rtdc.4014:itc</v>
      </c>
      <c r="G100" s="8">
        <f t="shared" si="3"/>
        <v>42607.51253472222</v>
      </c>
    </row>
    <row r="101" spans="1:7" x14ac:dyDescent="0.25">
      <c r="A101" s="8">
        <v>42607.514768518522</v>
      </c>
      <c r="B101" s="23" t="s">
        <v>192</v>
      </c>
      <c r="C101" s="23" t="s">
        <v>440</v>
      </c>
      <c r="D101" s="23">
        <v>2040000</v>
      </c>
      <c r="E101" s="23" t="s">
        <v>304</v>
      </c>
      <c r="F101" s="23" t="str">
        <f t="shared" si="2"/>
        <v>rtdc.l.rtdc.4041:itc</v>
      </c>
      <c r="G101" s="8">
        <f t="shared" si="3"/>
        <v>42607.514768518522</v>
      </c>
    </row>
    <row r="102" spans="1:7" x14ac:dyDescent="0.25">
      <c r="A102" s="8">
        <v>42607.516759259262</v>
      </c>
      <c r="B102" s="23" t="s">
        <v>194</v>
      </c>
      <c r="C102" s="23" t="s">
        <v>449</v>
      </c>
      <c r="D102" s="23">
        <v>2100000</v>
      </c>
      <c r="E102" s="23" t="s">
        <v>137</v>
      </c>
      <c r="F102" s="23" t="str">
        <f t="shared" si="2"/>
        <v>rtdc.l.rtdc.4044:itc</v>
      </c>
      <c r="G102" s="8">
        <f t="shared" si="3"/>
        <v>42607.516759259262</v>
      </c>
    </row>
    <row r="103" spans="1:7" x14ac:dyDescent="0.25">
      <c r="A103" s="8">
        <v>42607.517141203702</v>
      </c>
      <c r="B103" s="23" t="s">
        <v>180</v>
      </c>
      <c r="C103" s="23" t="s">
        <v>443</v>
      </c>
      <c r="D103" s="23">
        <v>2250000</v>
      </c>
      <c r="E103" s="23" t="s">
        <v>303</v>
      </c>
      <c r="F103" s="23" t="str">
        <f t="shared" si="2"/>
        <v>rtdc.l.rtdc.4010:itc</v>
      </c>
      <c r="G103" s="8">
        <f t="shared" si="3"/>
        <v>42607.517141203702</v>
      </c>
    </row>
    <row r="104" spans="1:7" x14ac:dyDescent="0.25">
      <c r="A104" s="8">
        <v>42607.52652777778</v>
      </c>
      <c r="B104" s="23" t="s">
        <v>90</v>
      </c>
      <c r="C104" s="23" t="s">
        <v>622</v>
      </c>
      <c r="D104" s="23">
        <v>1100000</v>
      </c>
      <c r="E104" s="23" t="s">
        <v>258</v>
      </c>
      <c r="F104" s="23" t="str">
        <f t="shared" si="2"/>
        <v>rtdc.l.rtdc.4013:itc</v>
      </c>
      <c r="G104" s="8">
        <f t="shared" si="3"/>
        <v>42607.52652777778</v>
      </c>
    </row>
    <row r="105" spans="1:7" x14ac:dyDescent="0.25">
      <c r="A105" s="8">
        <v>42607.527650462966</v>
      </c>
      <c r="B105" s="23" t="s">
        <v>696</v>
      </c>
      <c r="C105" s="23" t="s">
        <v>452</v>
      </c>
      <c r="D105" s="23">
        <v>2140000</v>
      </c>
      <c r="E105" s="23" t="s">
        <v>231</v>
      </c>
      <c r="F105" s="23" t="str">
        <f t="shared" si="2"/>
        <v>rtdc.l.rtdc.4020:itc</v>
      </c>
      <c r="G105" s="8">
        <f t="shared" si="3"/>
        <v>42607.527650462966</v>
      </c>
    </row>
    <row r="106" spans="1:7" x14ac:dyDescent="0.25">
      <c r="A106" s="8">
        <v>42607.530277777776</v>
      </c>
      <c r="B106" s="23" t="s">
        <v>115</v>
      </c>
      <c r="C106" s="23" t="s">
        <v>445</v>
      </c>
      <c r="D106" s="23">
        <v>1140000</v>
      </c>
      <c r="E106" s="23" t="s">
        <v>302</v>
      </c>
      <c r="F106" s="23" t="str">
        <f t="shared" si="2"/>
        <v>rtdc.l.rtdc.4032:itc</v>
      </c>
      <c r="G106" s="8">
        <f t="shared" si="3"/>
        <v>42607.530277777776</v>
      </c>
    </row>
    <row r="107" spans="1:7" x14ac:dyDescent="0.25">
      <c r="A107" s="8">
        <v>42607.537511574075</v>
      </c>
      <c r="B107" s="23" t="s">
        <v>193</v>
      </c>
      <c r="C107" s="23" t="s">
        <v>456</v>
      </c>
      <c r="D107" s="23">
        <v>2020000</v>
      </c>
      <c r="E107" s="23" t="s">
        <v>698</v>
      </c>
      <c r="F107" s="23" t="str">
        <f t="shared" si="2"/>
        <v>rtdc.l.rtdc.4007:itc</v>
      </c>
      <c r="G107" s="8">
        <f t="shared" si="3"/>
        <v>42607.537511574075</v>
      </c>
    </row>
    <row r="108" spans="1:7" x14ac:dyDescent="0.25">
      <c r="A108" s="8">
        <v>42607.546157407407</v>
      </c>
      <c r="B108" s="23" t="s">
        <v>112</v>
      </c>
      <c r="C108" s="23" t="s">
        <v>625</v>
      </c>
      <c r="D108" s="23">
        <v>2270000</v>
      </c>
      <c r="E108" s="23" t="s">
        <v>700</v>
      </c>
      <c r="F108" s="23" t="str">
        <f t="shared" si="2"/>
        <v>rtdc.l.rtdc.4014:itc</v>
      </c>
      <c r="G108" s="8">
        <f t="shared" si="3"/>
        <v>42607.546157407407</v>
      </c>
    </row>
    <row r="109" spans="1:7" x14ac:dyDescent="0.25">
      <c r="A109" s="8">
        <v>42607.546446759261</v>
      </c>
      <c r="B109" s="23" t="s">
        <v>690</v>
      </c>
      <c r="C109" s="23" t="s">
        <v>448</v>
      </c>
      <c r="D109" s="23">
        <v>2000000</v>
      </c>
      <c r="E109" s="23" t="s">
        <v>143</v>
      </c>
      <c r="F109" s="23" t="str">
        <f t="shared" si="2"/>
        <v>rtdc.l.rtdc.4012:itc</v>
      </c>
      <c r="G109" s="8">
        <f t="shared" si="3"/>
        <v>42607.546446759261</v>
      </c>
    </row>
    <row r="110" spans="1:7" x14ac:dyDescent="0.25">
      <c r="A110" s="8">
        <v>42607.550057870372</v>
      </c>
      <c r="B110" s="23" t="s">
        <v>150</v>
      </c>
      <c r="C110" s="23" t="s">
        <v>460</v>
      </c>
      <c r="D110" s="23">
        <v>2040000</v>
      </c>
      <c r="E110" s="23" t="s">
        <v>304</v>
      </c>
      <c r="F110" s="23" t="str">
        <f t="shared" si="2"/>
        <v>rtdc.l.rtdc.4042:itc</v>
      </c>
      <c r="G110" s="8">
        <f t="shared" si="3"/>
        <v>42607.550057870372</v>
      </c>
    </row>
    <row r="111" spans="1:7" x14ac:dyDescent="0.25">
      <c r="A111" s="8">
        <v>42607.550312500003</v>
      </c>
      <c r="B111" s="23" t="s">
        <v>178</v>
      </c>
      <c r="C111" s="23" t="s">
        <v>451</v>
      </c>
      <c r="D111" s="23">
        <v>2100000</v>
      </c>
      <c r="E111" s="23" t="s">
        <v>137</v>
      </c>
      <c r="F111" s="23" t="str">
        <f t="shared" si="2"/>
        <v>rtdc.l.rtdc.4043:itc</v>
      </c>
      <c r="G111" s="8">
        <f t="shared" si="3"/>
        <v>42607.550312500003</v>
      </c>
    </row>
    <row r="112" spans="1:7" x14ac:dyDescent="0.25">
      <c r="A112" s="8">
        <v>42607.558692129627</v>
      </c>
      <c r="B112" s="23" t="s">
        <v>179</v>
      </c>
      <c r="C112" s="23" t="s">
        <v>463</v>
      </c>
      <c r="D112" s="23">
        <v>2250000</v>
      </c>
      <c r="E112" s="23" t="s">
        <v>303</v>
      </c>
      <c r="F112" s="23" t="str">
        <f t="shared" si="2"/>
        <v>rtdc.l.rtdc.4009:itc</v>
      </c>
      <c r="G112" s="8">
        <f t="shared" si="3"/>
        <v>42607.558692129627</v>
      </c>
    </row>
    <row r="113" spans="1:7" x14ac:dyDescent="0.25">
      <c r="A113" s="8">
        <v>42607.563368055555</v>
      </c>
      <c r="B113" s="23" t="s">
        <v>689</v>
      </c>
      <c r="C113" s="23" t="s">
        <v>454</v>
      </c>
      <c r="D113" s="23">
        <v>2140000</v>
      </c>
      <c r="E113" s="23" t="s">
        <v>231</v>
      </c>
      <c r="F113" s="23" t="str">
        <f t="shared" si="2"/>
        <v>rtdc.l.rtdc.4019:itc</v>
      </c>
      <c r="G113" s="8">
        <f t="shared" si="3"/>
        <v>42607.563368055555</v>
      </c>
    </row>
    <row r="114" spans="1:7" x14ac:dyDescent="0.25">
      <c r="A114" s="8">
        <v>42607.570717592593</v>
      </c>
      <c r="B114" s="23" t="s">
        <v>90</v>
      </c>
      <c r="C114" s="23" t="s">
        <v>627</v>
      </c>
      <c r="D114" s="23">
        <v>2270000</v>
      </c>
      <c r="E114" s="23" t="s">
        <v>700</v>
      </c>
      <c r="F114" s="23" t="str">
        <f t="shared" si="2"/>
        <v>rtdc.l.rtdc.4013:itc</v>
      </c>
      <c r="G114" s="8">
        <f t="shared" si="3"/>
        <v>42607.570717592593</v>
      </c>
    </row>
    <row r="115" spans="1:7" x14ac:dyDescent="0.25">
      <c r="A115" s="8">
        <v>42607.572685185187</v>
      </c>
      <c r="B115" s="23" t="s">
        <v>114</v>
      </c>
      <c r="C115" s="23" t="s">
        <v>466</v>
      </c>
      <c r="D115" s="23">
        <v>1140000</v>
      </c>
      <c r="E115" s="23" t="s">
        <v>302</v>
      </c>
      <c r="F115" s="23" t="str">
        <f t="shared" si="2"/>
        <v>rtdc.l.rtdc.4031:itc</v>
      </c>
      <c r="G115" s="8">
        <f t="shared" si="3"/>
        <v>42607.572685185187</v>
      </c>
    </row>
    <row r="116" spans="1:7" x14ac:dyDescent="0.25">
      <c r="A116" s="8">
        <v>42607.57439814815</v>
      </c>
      <c r="B116" s="23" t="s">
        <v>173</v>
      </c>
      <c r="C116" s="23" t="s">
        <v>458</v>
      </c>
      <c r="D116" s="23">
        <v>2020000</v>
      </c>
      <c r="E116" s="23" t="s">
        <v>698</v>
      </c>
      <c r="F116" s="23" t="str">
        <f t="shared" si="2"/>
        <v>rtdc.l.rtdc.4008:itc</v>
      </c>
      <c r="G116" s="8">
        <f t="shared" si="3"/>
        <v>42607.57439814815</v>
      </c>
    </row>
    <row r="117" spans="1:7" x14ac:dyDescent="0.25">
      <c r="A117" s="8">
        <v>42607.578506944446</v>
      </c>
      <c r="B117" s="23" t="s">
        <v>695</v>
      </c>
      <c r="C117" s="23" t="s">
        <v>469</v>
      </c>
      <c r="D117" s="23">
        <v>2000000</v>
      </c>
      <c r="E117" s="23" t="s">
        <v>143</v>
      </c>
      <c r="F117" s="23" t="str">
        <f t="shared" si="2"/>
        <v>rtdc.l.rtdc.4011:itc</v>
      </c>
      <c r="G117" s="8">
        <f t="shared" si="3"/>
        <v>42607.578506944446</v>
      </c>
    </row>
    <row r="118" spans="1:7" x14ac:dyDescent="0.25">
      <c r="A118" s="8">
        <v>42607.588159722225</v>
      </c>
      <c r="B118" s="23" t="s">
        <v>192</v>
      </c>
      <c r="C118" s="23" t="s">
        <v>461</v>
      </c>
      <c r="D118" s="23">
        <v>2040000</v>
      </c>
      <c r="E118" s="23" t="s">
        <v>304</v>
      </c>
      <c r="F118" s="23" t="str">
        <f t="shared" si="2"/>
        <v>rtdc.l.rtdc.4041:itc</v>
      </c>
      <c r="G118" s="8">
        <f t="shared" si="3"/>
        <v>42607.588159722225</v>
      </c>
    </row>
    <row r="119" spans="1:7" x14ac:dyDescent="0.25">
      <c r="A119" s="8">
        <v>42607.591967592591</v>
      </c>
      <c r="B119" s="23" t="s">
        <v>194</v>
      </c>
      <c r="C119" s="23" t="s">
        <v>472</v>
      </c>
      <c r="D119" s="23">
        <v>950000</v>
      </c>
      <c r="E119" s="23" t="s">
        <v>701</v>
      </c>
      <c r="F119" s="23" t="str">
        <f t="shared" si="2"/>
        <v>rtdc.l.rtdc.4044:itc</v>
      </c>
      <c r="G119" s="8">
        <f t="shared" si="3"/>
        <v>42607.591967592591</v>
      </c>
    </row>
    <row r="120" spans="1:7" x14ac:dyDescent="0.25">
      <c r="A120" s="8">
        <v>42607.594456018516</v>
      </c>
      <c r="B120" s="23" t="s">
        <v>180</v>
      </c>
      <c r="C120" s="23" t="s">
        <v>465</v>
      </c>
      <c r="D120" s="23">
        <v>2250000</v>
      </c>
      <c r="E120" s="23" t="s">
        <v>303</v>
      </c>
      <c r="F120" s="23" t="str">
        <f t="shared" si="2"/>
        <v>rtdc.l.rtdc.4010:itc</v>
      </c>
      <c r="G120" s="8">
        <f t="shared" si="3"/>
        <v>42607.594456018516</v>
      </c>
    </row>
    <row r="121" spans="1:7" x14ac:dyDescent="0.25">
      <c r="A121" s="8">
        <v>42607.595000000001</v>
      </c>
      <c r="B121" s="23" t="s">
        <v>112</v>
      </c>
      <c r="C121" s="23" t="s">
        <v>630</v>
      </c>
      <c r="D121" s="23">
        <v>2270000</v>
      </c>
      <c r="E121" s="23" t="s">
        <v>700</v>
      </c>
      <c r="F121" s="23" t="str">
        <f t="shared" si="2"/>
        <v>rtdc.l.rtdc.4014:itc</v>
      </c>
      <c r="G121" s="8">
        <f t="shared" si="3"/>
        <v>42607.595000000001</v>
      </c>
    </row>
    <row r="122" spans="1:7" x14ac:dyDescent="0.25">
      <c r="A122" s="8">
        <v>42607.600844907407</v>
      </c>
      <c r="B122" s="28" t="s">
        <v>696</v>
      </c>
      <c r="C122" s="23" t="s">
        <v>474</v>
      </c>
      <c r="D122" s="23">
        <v>2140000</v>
      </c>
      <c r="E122" s="23" t="s">
        <v>231</v>
      </c>
      <c r="F122" s="23" t="str">
        <f t="shared" si="2"/>
        <v>rtdc.l.rtdc.4020:itc</v>
      </c>
      <c r="G122" s="8">
        <f t="shared" si="3"/>
        <v>42607.600844907407</v>
      </c>
    </row>
    <row r="123" spans="1:7" x14ac:dyDescent="0.25">
      <c r="A123" s="8">
        <v>42607.603321759256</v>
      </c>
      <c r="B123" s="23" t="s">
        <v>115</v>
      </c>
      <c r="C123" s="23" t="s">
        <v>467</v>
      </c>
      <c r="D123" s="23">
        <v>1140000</v>
      </c>
      <c r="E123" s="23" t="s">
        <v>302</v>
      </c>
      <c r="F123" s="23" t="str">
        <f t="shared" si="2"/>
        <v>rtdc.l.rtdc.4032:itc</v>
      </c>
      <c r="G123" s="8">
        <f t="shared" si="3"/>
        <v>42607.603321759256</v>
      </c>
    </row>
    <row r="124" spans="1:7" x14ac:dyDescent="0.25">
      <c r="A124" s="8">
        <v>42607.609467592592</v>
      </c>
      <c r="B124" s="23" t="s">
        <v>90</v>
      </c>
      <c r="C124" s="23" t="s">
        <v>633</v>
      </c>
      <c r="D124" s="23">
        <v>2270000</v>
      </c>
      <c r="E124" s="23" t="s">
        <v>700</v>
      </c>
      <c r="F124" s="23" t="str">
        <f t="shared" si="2"/>
        <v>rtdc.l.rtdc.4013:itc</v>
      </c>
      <c r="G124" s="8">
        <f t="shared" si="3"/>
        <v>42607.609467592592</v>
      </c>
    </row>
    <row r="125" spans="1:7" x14ac:dyDescent="0.25">
      <c r="A125" s="8">
        <v>42607.61146990741</v>
      </c>
      <c r="B125" s="23" t="s">
        <v>193</v>
      </c>
      <c r="C125" s="23" t="s">
        <v>476</v>
      </c>
      <c r="D125" s="23">
        <v>2020000</v>
      </c>
      <c r="E125" s="23" t="s">
        <v>698</v>
      </c>
      <c r="F125" s="23" t="str">
        <f t="shared" si="2"/>
        <v>rtdc.l.rtdc.4007:itc</v>
      </c>
      <c r="G125" s="8">
        <f t="shared" si="3"/>
        <v>42607.61146990741</v>
      </c>
    </row>
    <row r="126" spans="1:7" x14ac:dyDescent="0.25">
      <c r="A126" s="8">
        <v>42607.620787037034</v>
      </c>
      <c r="B126" s="23" t="s">
        <v>690</v>
      </c>
      <c r="C126" s="23" t="s">
        <v>471</v>
      </c>
      <c r="D126" s="23">
        <v>2000000</v>
      </c>
      <c r="E126" s="23" t="s">
        <v>143</v>
      </c>
      <c r="F126" s="23" t="str">
        <f t="shared" si="2"/>
        <v>rtdc.l.rtdc.4012:itc</v>
      </c>
      <c r="G126" s="8">
        <f t="shared" si="3"/>
        <v>42607.620787037034</v>
      </c>
    </row>
    <row r="127" spans="1:7" x14ac:dyDescent="0.25">
      <c r="A127" s="8">
        <v>42607.623668981483</v>
      </c>
      <c r="B127" s="23" t="s">
        <v>150</v>
      </c>
      <c r="C127" s="23" t="s">
        <v>480</v>
      </c>
      <c r="D127" s="23">
        <v>2040000</v>
      </c>
      <c r="E127" s="23" t="s">
        <v>304</v>
      </c>
      <c r="F127" s="23" t="str">
        <f t="shared" si="2"/>
        <v>rtdc.l.rtdc.4042:itc</v>
      </c>
      <c r="G127" s="8">
        <f t="shared" si="3"/>
        <v>42607.623668981483</v>
      </c>
    </row>
    <row r="128" spans="1:7" x14ac:dyDescent="0.25">
      <c r="A128" s="8">
        <v>42607.624965277777</v>
      </c>
      <c r="B128" s="23" t="s">
        <v>112</v>
      </c>
      <c r="C128" s="23" t="s">
        <v>635</v>
      </c>
      <c r="D128" s="23">
        <v>2270000</v>
      </c>
      <c r="E128" s="23" t="s">
        <v>700</v>
      </c>
      <c r="F128" s="23" t="str">
        <f t="shared" si="2"/>
        <v>rtdc.l.rtdc.4014:itc</v>
      </c>
      <c r="G128" s="8">
        <f t="shared" si="3"/>
        <v>42607.624965277777</v>
      </c>
    </row>
    <row r="129" spans="1:7" x14ac:dyDescent="0.25">
      <c r="A129" s="8">
        <v>42607.629120370373</v>
      </c>
      <c r="B129" s="23" t="s">
        <v>178</v>
      </c>
      <c r="C129" s="23" t="s">
        <v>473</v>
      </c>
      <c r="D129" s="23">
        <v>950000</v>
      </c>
      <c r="E129" s="23" t="s">
        <v>701</v>
      </c>
      <c r="F129" s="23" t="str">
        <f t="shared" si="2"/>
        <v>rtdc.l.rtdc.4043:itc</v>
      </c>
      <c r="G129" s="8">
        <f t="shared" si="3"/>
        <v>42607.629120370373</v>
      </c>
    </row>
    <row r="130" spans="1:7" x14ac:dyDescent="0.25">
      <c r="A130" s="8">
        <v>42607.631412037037</v>
      </c>
      <c r="B130" s="23" t="s">
        <v>179</v>
      </c>
      <c r="C130" s="23" t="s">
        <v>482</v>
      </c>
      <c r="D130" s="23">
        <v>2250000</v>
      </c>
      <c r="E130" s="23" t="s">
        <v>303</v>
      </c>
      <c r="F130" s="23" t="str">
        <f t="shared" ref="F130:F193" si="4">B130</f>
        <v>rtdc.l.rtdc.4009:itc</v>
      </c>
      <c r="G130" s="8">
        <f t="shared" ref="G130:G193" si="5">A130</f>
        <v>42607.631412037037</v>
      </c>
    </row>
    <row r="131" spans="1:7" x14ac:dyDescent="0.25">
      <c r="A131" s="8">
        <v>42607.637071759258</v>
      </c>
      <c r="B131" s="23" t="s">
        <v>144</v>
      </c>
      <c r="C131" s="23" t="s">
        <v>685</v>
      </c>
      <c r="D131" s="23">
        <v>1230000</v>
      </c>
      <c r="E131" s="23" t="s">
        <v>175</v>
      </c>
      <c r="F131" s="23" t="str">
        <f t="shared" si="4"/>
        <v>rtdc.l.rtdc.4037:itc</v>
      </c>
      <c r="G131" s="8">
        <f t="shared" si="5"/>
        <v>42607.637071759258</v>
      </c>
    </row>
    <row r="132" spans="1:7" x14ac:dyDescent="0.25">
      <c r="A132" s="8">
        <v>42607.637824074074</v>
      </c>
      <c r="B132" s="23" t="s">
        <v>689</v>
      </c>
      <c r="C132" s="23" t="s">
        <v>475</v>
      </c>
      <c r="D132" s="23">
        <v>2140000</v>
      </c>
      <c r="E132" s="23" t="s">
        <v>231</v>
      </c>
      <c r="F132" s="23" t="str">
        <f t="shared" si="4"/>
        <v>rtdc.l.rtdc.4019:itc</v>
      </c>
      <c r="G132" s="8">
        <f t="shared" si="5"/>
        <v>42607.637824074074</v>
      </c>
    </row>
    <row r="133" spans="1:7" x14ac:dyDescent="0.25">
      <c r="A133" s="8">
        <v>42607.638402777775</v>
      </c>
      <c r="B133" s="23" t="s">
        <v>144</v>
      </c>
      <c r="C133" s="23" t="s">
        <v>685</v>
      </c>
      <c r="D133" s="23">
        <v>1230000</v>
      </c>
      <c r="E133" s="23" t="s">
        <v>175</v>
      </c>
      <c r="F133" s="23" t="str">
        <f t="shared" si="4"/>
        <v>rtdc.l.rtdc.4037:itc</v>
      </c>
      <c r="G133" s="8">
        <f t="shared" si="5"/>
        <v>42607.638402777775</v>
      </c>
    </row>
    <row r="134" spans="1:7" x14ac:dyDescent="0.25">
      <c r="A134" s="8">
        <v>42607.644606481481</v>
      </c>
      <c r="B134" s="23" t="s">
        <v>114</v>
      </c>
      <c r="C134" s="23" t="s">
        <v>484</v>
      </c>
      <c r="D134" s="23">
        <v>1140000</v>
      </c>
      <c r="E134" s="23" t="s">
        <v>302</v>
      </c>
      <c r="F134" s="23" t="str">
        <f t="shared" si="4"/>
        <v>rtdc.l.rtdc.4031:itc</v>
      </c>
      <c r="G134" s="8">
        <f t="shared" si="5"/>
        <v>42607.644606481481</v>
      </c>
    </row>
    <row r="135" spans="1:7" x14ac:dyDescent="0.25">
      <c r="A135" s="8">
        <v>42607.646666666667</v>
      </c>
      <c r="B135" s="23" t="s">
        <v>173</v>
      </c>
      <c r="C135" s="23" t="s">
        <v>478</v>
      </c>
      <c r="D135" s="23">
        <v>2020000</v>
      </c>
      <c r="E135" s="23" t="s">
        <v>698</v>
      </c>
      <c r="F135" s="23" t="str">
        <f t="shared" si="4"/>
        <v>rtdc.l.rtdc.4008:itc</v>
      </c>
      <c r="G135" s="8">
        <f t="shared" si="5"/>
        <v>42607.646666666667</v>
      </c>
    </row>
    <row r="136" spans="1:7" x14ac:dyDescent="0.25">
      <c r="A136" s="8">
        <v>42607.650509259256</v>
      </c>
      <c r="B136" s="23" t="s">
        <v>695</v>
      </c>
      <c r="C136" s="23" t="s">
        <v>488</v>
      </c>
      <c r="D136" s="23">
        <v>2000000</v>
      </c>
      <c r="E136" s="23" t="s">
        <v>143</v>
      </c>
      <c r="F136" s="23" t="str">
        <f t="shared" si="4"/>
        <v>rtdc.l.rtdc.4011:itc</v>
      </c>
      <c r="G136" s="8">
        <f t="shared" si="5"/>
        <v>42607.650509259256</v>
      </c>
    </row>
    <row r="137" spans="1:7" x14ac:dyDescent="0.25">
      <c r="A137" s="8">
        <v>42607.651388888888</v>
      </c>
      <c r="B137" s="23" t="s">
        <v>90</v>
      </c>
      <c r="C137" s="23" t="s">
        <v>637</v>
      </c>
      <c r="D137" s="23">
        <v>2270000</v>
      </c>
      <c r="E137" s="23" t="s">
        <v>700</v>
      </c>
      <c r="F137" s="23" t="str">
        <f t="shared" si="4"/>
        <v>rtdc.l.rtdc.4013:itc</v>
      </c>
      <c r="G137" s="8">
        <f t="shared" si="5"/>
        <v>42607.651388888888</v>
      </c>
    </row>
    <row r="138" spans="1:7" x14ac:dyDescent="0.25">
      <c r="A138" s="8">
        <v>42607.658668981479</v>
      </c>
      <c r="B138" s="23" t="s">
        <v>151</v>
      </c>
      <c r="C138" s="23" t="s">
        <v>639</v>
      </c>
      <c r="D138" s="23">
        <v>1230000</v>
      </c>
      <c r="E138" s="23" t="s">
        <v>175</v>
      </c>
      <c r="F138" s="23" t="str">
        <f t="shared" si="4"/>
        <v>rtdc.l.rtdc.4038:itc</v>
      </c>
      <c r="G138" s="8">
        <f t="shared" si="5"/>
        <v>42607.658668981479</v>
      </c>
    </row>
    <row r="139" spans="1:7" x14ac:dyDescent="0.25">
      <c r="A139" s="8">
        <v>42607.661215277774</v>
      </c>
      <c r="B139" s="23" t="s">
        <v>192</v>
      </c>
      <c r="C139" s="23" t="s">
        <v>481</v>
      </c>
      <c r="D139" s="23">
        <v>2040000</v>
      </c>
      <c r="E139" s="23" t="s">
        <v>304</v>
      </c>
      <c r="F139" s="23" t="str">
        <f t="shared" si="4"/>
        <v>rtdc.l.rtdc.4041:itc</v>
      </c>
      <c r="G139" s="8">
        <f t="shared" si="5"/>
        <v>42607.661215277774</v>
      </c>
    </row>
    <row r="140" spans="1:7" x14ac:dyDescent="0.25">
      <c r="A140" s="8">
        <v>42607.662881944445</v>
      </c>
      <c r="B140" s="23" t="s">
        <v>194</v>
      </c>
      <c r="C140" s="23" t="s">
        <v>492</v>
      </c>
      <c r="D140" s="23">
        <v>950000</v>
      </c>
      <c r="E140" s="23" t="s">
        <v>701</v>
      </c>
      <c r="F140" s="23" t="str">
        <f t="shared" si="4"/>
        <v>rtdc.l.rtdc.4044:itc</v>
      </c>
      <c r="G140" s="8">
        <f t="shared" si="5"/>
        <v>42607.662881944445</v>
      </c>
    </row>
    <row r="141" spans="1:7" x14ac:dyDescent="0.25">
      <c r="A141" s="8">
        <v>42607.663391203707</v>
      </c>
      <c r="B141" s="23" t="s">
        <v>180</v>
      </c>
      <c r="C141" s="23" t="s">
        <v>483</v>
      </c>
      <c r="D141" s="23">
        <v>2250000</v>
      </c>
      <c r="E141" s="23" t="s">
        <v>303</v>
      </c>
      <c r="F141" s="23" t="str">
        <f t="shared" si="4"/>
        <v>rtdc.l.rtdc.4010:itc</v>
      </c>
      <c r="G141" s="8">
        <f t="shared" si="5"/>
        <v>42607.663391203707</v>
      </c>
    </row>
    <row r="142" spans="1:7" x14ac:dyDescent="0.25">
      <c r="A142" s="8">
        <v>42607.671249999999</v>
      </c>
      <c r="B142" s="23" t="s">
        <v>112</v>
      </c>
      <c r="C142" s="23" t="s">
        <v>645</v>
      </c>
      <c r="D142" s="23">
        <v>2270000</v>
      </c>
      <c r="E142" s="23" t="s">
        <v>700</v>
      </c>
      <c r="F142" s="23" t="str">
        <f t="shared" si="4"/>
        <v>rtdc.l.rtdc.4014:itc</v>
      </c>
      <c r="G142" s="8">
        <f t="shared" si="5"/>
        <v>42607.671249999999</v>
      </c>
    </row>
    <row r="143" spans="1:7" x14ac:dyDescent="0.25">
      <c r="A143" s="8">
        <v>42607.671354166669</v>
      </c>
      <c r="B143" s="23" t="s">
        <v>144</v>
      </c>
      <c r="C143" s="23" t="s">
        <v>639</v>
      </c>
      <c r="D143" s="23">
        <v>1230000</v>
      </c>
      <c r="E143" s="23" t="s">
        <v>175</v>
      </c>
      <c r="F143" s="23" t="str">
        <f t="shared" si="4"/>
        <v>rtdc.l.rtdc.4037:itc</v>
      </c>
      <c r="G143" s="8">
        <f t="shared" si="5"/>
        <v>42607.671354166669</v>
      </c>
    </row>
    <row r="144" spans="1:7" x14ac:dyDescent="0.25">
      <c r="A144" s="8">
        <v>42607.671932870369</v>
      </c>
      <c r="B144" s="23" t="s">
        <v>144</v>
      </c>
      <c r="C144" s="23" t="s">
        <v>642</v>
      </c>
      <c r="D144" s="23">
        <v>1230000</v>
      </c>
      <c r="E144" s="23" t="s">
        <v>175</v>
      </c>
      <c r="F144" s="23" t="str">
        <f t="shared" si="4"/>
        <v>rtdc.l.rtdc.4037:itc</v>
      </c>
      <c r="G144" s="8">
        <f t="shared" si="5"/>
        <v>42607.671932870369</v>
      </c>
    </row>
    <row r="145" spans="1:7" x14ac:dyDescent="0.25">
      <c r="A145" s="8">
        <v>42607.676423611112</v>
      </c>
      <c r="B145" s="23" t="s">
        <v>696</v>
      </c>
      <c r="C145" s="23" t="s">
        <v>494</v>
      </c>
      <c r="D145" s="23">
        <v>2140000</v>
      </c>
      <c r="E145" s="23" t="s">
        <v>231</v>
      </c>
      <c r="F145" s="23" t="str">
        <f t="shared" si="4"/>
        <v>rtdc.l.rtdc.4020:itc</v>
      </c>
      <c r="G145" s="8">
        <f t="shared" si="5"/>
        <v>42607.676423611112</v>
      </c>
    </row>
    <row r="146" spans="1:7" x14ac:dyDescent="0.25">
      <c r="A146" s="8">
        <v>42607.680381944447</v>
      </c>
      <c r="B146" s="23" t="s">
        <v>115</v>
      </c>
      <c r="C146" s="23" t="s">
        <v>486</v>
      </c>
      <c r="D146" s="23">
        <v>1140000</v>
      </c>
      <c r="E146" s="23" t="s">
        <v>302</v>
      </c>
      <c r="F146" s="23" t="str">
        <f t="shared" si="4"/>
        <v>rtdc.l.rtdc.4032:itc</v>
      </c>
      <c r="G146" s="8">
        <f t="shared" si="5"/>
        <v>42607.680381944447</v>
      </c>
    </row>
    <row r="147" spans="1:7" x14ac:dyDescent="0.25">
      <c r="A147" s="8">
        <v>42607.683425925927</v>
      </c>
      <c r="B147" s="23" t="s">
        <v>193</v>
      </c>
      <c r="C147" s="23" t="s">
        <v>478</v>
      </c>
      <c r="D147" s="23">
        <v>2020000</v>
      </c>
      <c r="E147" s="23" t="s">
        <v>698</v>
      </c>
      <c r="F147" s="23" t="str">
        <f t="shared" si="4"/>
        <v>rtdc.l.rtdc.4007:itc</v>
      </c>
      <c r="G147" s="8">
        <f t="shared" si="5"/>
        <v>42607.683425925927</v>
      </c>
    </row>
    <row r="148" spans="1:7" x14ac:dyDescent="0.25">
      <c r="A148" s="8">
        <v>42607.684421296297</v>
      </c>
      <c r="B148" s="23" t="s">
        <v>193</v>
      </c>
      <c r="C148" s="23" t="s">
        <v>496</v>
      </c>
      <c r="D148" s="23">
        <v>2020000</v>
      </c>
      <c r="E148" s="23" t="s">
        <v>698</v>
      </c>
      <c r="F148" s="23" t="str">
        <f t="shared" si="4"/>
        <v>rtdc.l.rtdc.4007:itc</v>
      </c>
      <c r="G148" s="8">
        <f t="shared" si="5"/>
        <v>42607.684421296297</v>
      </c>
    </row>
    <row r="149" spans="1:7" x14ac:dyDescent="0.25">
      <c r="A149" s="8">
        <v>42607.687256944446</v>
      </c>
      <c r="B149" s="23" t="s">
        <v>151</v>
      </c>
      <c r="C149" s="23" t="s">
        <v>650</v>
      </c>
      <c r="D149" s="23">
        <v>2100000</v>
      </c>
      <c r="E149" s="23" t="s">
        <v>137</v>
      </c>
      <c r="F149" s="23" t="str">
        <f t="shared" si="4"/>
        <v>rtdc.l.rtdc.4038:itc</v>
      </c>
      <c r="G149" s="8">
        <f t="shared" si="5"/>
        <v>42607.687256944446</v>
      </c>
    </row>
    <row r="150" spans="1:7" x14ac:dyDescent="0.25">
      <c r="A150" s="8">
        <v>42607.692453703705</v>
      </c>
      <c r="B150" s="23" t="s">
        <v>690</v>
      </c>
      <c r="C150" s="23" t="s">
        <v>490</v>
      </c>
      <c r="D150" s="23">
        <v>2000000</v>
      </c>
      <c r="E150" s="23" t="s">
        <v>143</v>
      </c>
      <c r="F150" s="23" t="str">
        <f t="shared" si="4"/>
        <v>rtdc.l.rtdc.4012:itc</v>
      </c>
      <c r="G150" s="8">
        <f t="shared" si="5"/>
        <v>42607.692453703705</v>
      </c>
    </row>
    <row r="151" spans="1:7" x14ac:dyDescent="0.25">
      <c r="A151" s="8">
        <v>42607.693749999999</v>
      </c>
      <c r="B151" s="23" t="s">
        <v>90</v>
      </c>
      <c r="C151" s="23" t="s">
        <v>648</v>
      </c>
      <c r="D151" s="23">
        <v>2270000</v>
      </c>
      <c r="E151" s="23" t="s">
        <v>700</v>
      </c>
      <c r="F151" s="23" t="str">
        <f t="shared" si="4"/>
        <v>rtdc.l.rtdc.4013:itc</v>
      </c>
      <c r="G151" s="8">
        <f t="shared" si="5"/>
        <v>42607.693749999999</v>
      </c>
    </row>
    <row r="152" spans="1:7" x14ac:dyDescent="0.25">
      <c r="A152" s="8">
        <v>42607.696458333332</v>
      </c>
      <c r="B152" s="23" t="s">
        <v>150</v>
      </c>
      <c r="C152" s="23" t="s">
        <v>499</v>
      </c>
      <c r="D152" s="23">
        <v>2040000</v>
      </c>
      <c r="E152" s="23" t="s">
        <v>304</v>
      </c>
      <c r="F152" s="23" t="str">
        <f t="shared" si="4"/>
        <v>rtdc.l.rtdc.4042:itc</v>
      </c>
      <c r="G152" s="8">
        <f t="shared" si="5"/>
        <v>42607.696458333332</v>
      </c>
    </row>
    <row r="153" spans="1:7" x14ac:dyDescent="0.25">
      <c r="A153" s="8">
        <v>42607.702928240738</v>
      </c>
      <c r="B153" s="23" t="s">
        <v>178</v>
      </c>
      <c r="C153" s="23" t="s">
        <v>493</v>
      </c>
      <c r="D153" s="23">
        <v>950000</v>
      </c>
      <c r="E153" s="23" t="s">
        <v>701</v>
      </c>
      <c r="F153" s="23" t="str">
        <f t="shared" si="4"/>
        <v>rtdc.l.rtdc.4043:itc</v>
      </c>
      <c r="G153" s="8">
        <f t="shared" si="5"/>
        <v>42607.702928240738</v>
      </c>
    </row>
    <row r="154" spans="1:7" x14ac:dyDescent="0.25">
      <c r="A154" s="8">
        <v>42607.704305555555</v>
      </c>
      <c r="B154" s="23" t="s">
        <v>179</v>
      </c>
      <c r="C154" s="23" t="s">
        <v>502</v>
      </c>
      <c r="D154" s="23">
        <v>2250000</v>
      </c>
      <c r="E154" s="23" t="s">
        <v>303</v>
      </c>
      <c r="F154" s="23" t="str">
        <f t="shared" si="4"/>
        <v>rtdc.l.rtdc.4009:itc</v>
      </c>
      <c r="G154" s="8">
        <f t="shared" si="5"/>
        <v>42607.704305555555</v>
      </c>
    </row>
    <row r="155" spans="1:7" x14ac:dyDescent="0.25">
      <c r="A155" s="8">
        <v>42607.70689814815</v>
      </c>
      <c r="B155" s="23" t="s">
        <v>90</v>
      </c>
      <c r="C155" s="23" t="s">
        <v>648</v>
      </c>
      <c r="D155" s="23">
        <v>2270000</v>
      </c>
      <c r="E155" s="23" t="s">
        <v>700</v>
      </c>
      <c r="F155" s="23" t="str">
        <f t="shared" si="4"/>
        <v>rtdc.l.rtdc.4013:itc</v>
      </c>
      <c r="G155" s="8">
        <f t="shared" si="5"/>
        <v>42607.70689814815</v>
      </c>
    </row>
    <row r="156" spans="1:7" x14ac:dyDescent="0.25">
      <c r="A156" s="8">
        <v>42607.707592592589</v>
      </c>
      <c r="B156" s="23" t="s">
        <v>689</v>
      </c>
      <c r="C156" s="23" t="s">
        <v>495</v>
      </c>
      <c r="D156" s="23">
        <v>2140000</v>
      </c>
      <c r="E156" s="23" t="s">
        <v>231</v>
      </c>
      <c r="F156" s="23" t="str">
        <f t="shared" si="4"/>
        <v>rtdc.l.rtdc.4019:itc</v>
      </c>
      <c r="G156" s="8">
        <f t="shared" si="5"/>
        <v>42607.707592592589</v>
      </c>
    </row>
    <row r="157" spans="1:7" x14ac:dyDescent="0.25">
      <c r="A157" s="8">
        <v>42607.713564814818</v>
      </c>
      <c r="B157" s="23" t="s">
        <v>144</v>
      </c>
      <c r="C157" s="23" t="s">
        <v>652</v>
      </c>
      <c r="D157" s="23">
        <v>2100000</v>
      </c>
      <c r="E157" s="23" t="s">
        <v>137</v>
      </c>
      <c r="F157" s="23" t="str">
        <f t="shared" si="4"/>
        <v>rtdc.l.rtdc.4037:itc</v>
      </c>
      <c r="G157" s="8">
        <f t="shared" si="5"/>
        <v>42607.713564814818</v>
      </c>
    </row>
    <row r="158" spans="1:7" x14ac:dyDescent="0.25">
      <c r="A158" s="8">
        <v>42607.719942129632</v>
      </c>
      <c r="B158" s="23" t="s">
        <v>112</v>
      </c>
      <c r="C158" s="23" t="s">
        <v>654</v>
      </c>
      <c r="D158" s="23">
        <v>2270000</v>
      </c>
      <c r="E158" s="23" t="s">
        <v>700</v>
      </c>
      <c r="F158" s="23" t="str">
        <f t="shared" si="4"/>
        <v>rtdc.l.rtdc.4014:itc</v>
      </c>
      <c r="G158" s="8">
        <f t="shared" si="5"/>
        <v>42607.719942129632</v>
      </c>
    </row>
    <row r="159" spans="1:7" x14ac:dyDescent="0.25">
      <c r="A159" s="8">
        <v>42607.724085648151</v>
      </c>
      <c r="B159" s="23" t="s">
        <v>114</v>
      </c>
      <c r="C159" s="23" t="s">
        <v>505</v>
      </c>
      <c r="D159" s="23">
        <v>1180000</v>
      </c>
      <c r="E159" s="23" t="s">
        <v>218</v>
      </c>
      <c r="F159" s="23" t="str">
        <f t="shared" si="4"/>
        <v>rtdc.l.rtdc.4031:itc</v>
      </c>
      <c r="G159" s="8">
        <f t="shared" si="5"/>
        <v>42607.724085648151</v>
      </c>
    </row>
    <row r="160" spans="1:7" x14ac:dyDescent="0.25">
      <c r="A160" s="8">
        <v>42607.724259259259</v>
      </c>
      <c r="B160" s="23" t="s">
        <v>173</v>
      </c>
      <c r="C160" s="23" t="s">
        <v>497</v>
      </c>
      <c r="D160" s="23">
        <v>2020000</v>
      </c>
      <c r="E160" s="23" t="s">
        <v>698</v>
      </c>
      <c r="F160" s="23" t="str">
        <f t="shared" si="4"/>
        <v>rtdc.l.rtdc.4008:itc</v>
      </c>
      <c r="G160" s="8">
        <f t="shared" si="5"/>
        <v>42607.724259259259</v>
      </c>
    </row>
    <row r="161" spans="1:7" x14ac:dyDescent="0.25">
      <c r="A161" s="8">
        <v>42607.726921296293</v>
      </c>
      <c r="B161" s="23" t="s">
        <v>695</v>
      </c>
      <c r="C161" s="23" t="s">
        <v>507</v>
      </c>
      <c r="D161" s="23">
        <v>1140000</v>
      </c>
      <c r="E161" s="23" t="s">
        <v>302</v>
      </c>
      <c r="F161" s="23" t="str">
        <f t="shared" si="4"/>
        <v>rtdc.l.rtdc.4011:itc</v>
      </c>
      <c r="G161" s="8">
        <f t="shared" si="5"/>
        <v>42607.726921296293</v>
      </c>
    </row>
    <row r="162" spans="1:7" x14ac:dyDescent="0.25">
      <c r="A162" s="8">
        <v>42607.732708333337</v>
      </c>
      <c r="B162" s="23" t="s">
        <v>192</v>
      </c>
      <c r="C162" s="23" t="s">
        <v>500</v>
      </c>
      <c r="D162" s="23">
        <v>2040000</v>
      </c>
      <c r="E162" s="23" t="s">
        <v>304</v>
      </c>
      <c r="F162" s="23" t="str">
        <f t="shared" si="4"/>
        <v>rtdc.l.rtdc.4041:itc</v>
      </c>
      <c r="G162" s="8">
        <f t="shared" si="5"/>
        <v>42607.732708333337</v>
      </c>
    </row>
    <row r="163" spans="1:7" x14ac:dyDescent="0.25">
      <c r="A163" s="8">
        <v>42607.73541666667</v>
      </c>
      <c r="B163" s="23" t="s">
        <v>90</v>
      </c>
      <c r="C163" s="23" t="s">
        <v>657</v>
      </c>
      <c r="D163" s="23">
        <v>2270000</v>
      </c>
      <c r="E163" s="23" t="s">
        <v>700</v>
      </c>
      <c r="F163" s="23" t="str">
        <f t="shared" si="4"/>
        <v>rtdc.l.rtdc.4013:itc</v>
      </c>
      <c r="G163" s="8">
        <f t="shared" si="5"/>
        <v>42607.73541666667</v>
      </c>
    </row>
    <row r="164" spans="1:7" x14ac:dyDescent="0.25">
      <c r="A164" s="8">
        <v>42607.735486111109</v>
      </c>
      <c r="B164" s="23" t="s">
        <v>180</v>
      </c>
      <c r="C164" s="23" t="s">
        <v>504</v>
      </c>
      <c r="D164" s="23">
        <v>2250000</v>
      </c>
      <c r="E164" s="23" t="s">
        <v>303</v>
      </c>
      <c r="F164" s="23" t="str">
        <f t="shared" si="4"/>
        <v>rtdc.l.rtdc.4010:itc</v>
      </c>
      <c r="G164" s="8">
        <f t="shared" si="5"/>
        <v>42607.735486111109</v>
      </c>
    </row>
    <row r="165" spans="1:7" x14ac:dyDescent="0.25">
      <c r="A165" s="8">
        <v>42607.73710648148</v>
      </c>
      <c r="B165" s="23" t="s">
        <v>301</v>
      </c>
      <c r="C165" s="23" t="s">
        <v>567</v>
      </c>
      <c r="D165" s="23">
        <v>2150000</v>
      </c>
      <c r="E165" s="23" t="s">
        <v>260</v>
      </c>
      <c r="F165" s="23" t="str">
        <f t="shared" si="4"/>
        <v>rtdc.l.rtdc.4026:itc</v>
      </c>
      <c r="G165" s="8">
        <f t="shared" si="5"/>
        <v>42607.73710648148</v>
      </c>
    </row>
    <row r="166" spans="1:7" x14ac:dyDescent="0.25">
      <c r="A166" s="8">
        <v>42607.738055555557</v>
      </c>
      <c r="B166" s="23" t="s">
        <v>194</v>
      </c>
      <c r="C166" s="23" t="s">
        <v>509</v>
      </c>
      <c r="D166" s="23">
        <v>2110000</v>
      </c>
      <c r="E166" s="23" t="s">
        <v>702</v>
      </c>
      <c r="F166" s="23" t="str">
        <f t="shared" si="4"/>
        <v>rtdc.l.rtdc.4044:itc</v>
      </c>
      <c r="G166" s="8">
        <f t="shared" si="5"/>
        <v>42607.738055555557</v>
      </c>
    </row>
    <row r="167" spans="1:7" x14ac:dyDescent="0.25">
      <c r="A167" s="8">
        <v>42607.74181712963</v>
      </c>
      <c r="B167" s="23" t="s">
        <v>151</v>
      </c>
      <c r="C167" s="23" t="s">
        <v>659</v>
      </c>
      <c r="D167" s="23">
        <v>1230000</v>
      </c>
      <c r="E167" s="23" t="s">
        <v>175</v>
      </c>
      <c r="F167" s="23" t="str">
        <f t="shared" si="4"/>
        <v>rtdc.l.rtdc.4038:itc</v>
      </c>
      <c r="G167" s="8">
        <f t="shared" si="5"/>
        <v>42607.74181712963</v>
      </c>
    </row>
    <row r="168" spans="1:7" x14ac:dyDescent="0.25">
      <c r="A168" s="8">
        <v>42607.74894675926</v>
      </c>
      <c r="B168" s="23" t="s">
        <v>696</v>
      </c>
      <c r="C168" s="23" t="s">
        <v>512</v>
      </c>
      <c r="D168" s="23">
        <v>950000</v>
      </c>
      <c r="E168" s="23" t="s">
        <v>701</v>
      </c>
      <c r="F168" s="23" t="str">
        <f t="shared" si="4"/>
        <v>rtdc.l.rtdc.4020:itc</v>
      </c>
      <c r="G168" s="8">
        <f t="shared" si="5"/>
        <v>42607.74894675926</v>
      </c>
    </row>
    <row r="169" spans="1:7" x14ac:dyDescent="0.25">
      <c r="A169" s="8">
        <v>42607.754652777781</v>
      </c>
      <c r="B169" s="23" t="s">
        <v>144</v>
      </c>
      <c r="C169" s="23" t="s">
        <v>661</v>
      </c>
      <c r="D169" s="23">
        <v>1230000</v>
      </c>
      <c r="E169" s="23" t="s">
        <v>175</v>
      </c>
      <c r="F169" s="23" t="str">
        <f t="shared" si="4"/>
        <v>rtdc.l.rtdc.4037:itc</v>
      </c>
      <c r="G169" s="8">
        <f t="shared" si="5"/>
        <v>42607.754652777781</v>
      </c>
    </row>
    <row r="170" spans="1:7" x14ac:dyDescent="0.25">
      <c r="A170" s="8">
        <v>42607.755370370367</v>
      </c>
      <c r="B170" s="23" t="s">
        <v>256</v>
      </c>
      <c r="C170" s="23" t="s">
        <v>572</v>
      </c>
      <c r="D170" s="23">
        <v>1480000</v>
      </c>
      <c r="E170" s="23" t="s">
        <v>305</v>
      </c>
      <c r="F170" s="23" t="str">
        <f t="shared" si="4"/>
        <v>rtdc.l.rtdc.4021:itc</v>
      </c>
      <c r="G170" s="8">
        <f t="shared" si="5"/>
        <v>42607.755370370367</v>
      </c>
    </row>
    <row r="171" spans="1:7" x14ac:dyDescent="0.25">
      <c r="A171" s="8">
        <v>42607.755671296298</v>
      </c>
      <c r="B171" s="23" t="s">
        <v>115</v>
      </c>
      <c r="C171" s="23" t="s">
        <v>506</v>
      </c>
      <c r="D171" s="23">
        <v>1180000</v>
      </c>
      <c r="E171" s="23" t="s">
        <v>218</v>
      </c>
      <c r="F171" s="23" t="str">
        <f t="shared" si="4"/>
        <v>rtdc.l.rtdc.4032:itc</v>
      </c>
      <c r="G171" s="8">
        <f t="shared" si="5"/>
        <v>42607.755671296298</v>
      </c>
    </row>
    <row r="172" spans="1:7" x14ac:dyDescent="0.25">
      <c r="A172" s="8">
        <v>42607.756377314814</v>
      </c>
      <c r="B172" s="23" t="s">
        <v>193</v>
      </c>
      <c r="C172" s="23" t="s">
        <v>514</v>
      </c>
      <c r="D172" s="23">
        <v>2150000</v>
      </c>
      <c r="E172" s="23" t="s">
        <v>260</v>
      </c>
      <c r="F172" s="23" t="str">
        <f t="shared" si="4"/>
        <v>rtdc.l.rtdc.4007:itc</v>
      </c>
      <c r="G172" s="8">
        <f t="shared" si="5"/>
        <v>42607.756377314814</v>
      </c>
    </row>
    <row r="173" spans="1:7" x14ac:dyDescent="0.25">
      <c r="A173" s="8">
        <v>42607.760034722225</v>
      </c>
      <c r="B173" s="23" t="s">
        <v>112</v>
      </c>
      <c r="C173" s="23" t="s">
        <v>663</v>
      </c>
      <c r="D173" s="23">
        <v>2270000</v>
      </c>
      <c r="E173" s="23" t="s">
        <v>700</v>
      </c>
      <c r="F173" s="23" t="str">
        <f t="shared" si="4"/>
        <v>rtdc.l.rtdc.4014:itc</v>
      </c>
      <c r="G173" s="8">
        <f t="shared" si="5"/>
        <v>42607.760034722225</v>
      </c>
    </row>
    <row r="174" spans="1:7" x14ac:dyDescent="0.25">
      <c r="A174" s="8">
        <v>42607.760659722226</v>
      </c>
      <c r="B174" s="23" t="s">
        <v>186</v>
      </c>
      <c r="C174" s="23" t="s">
        <v>570</v>
      </c>
      <c r="D174" s="23">
        <v>2020000</v>
      </c>
      <c r="E174" s="23" t="s">
        <v>698</v>
      </c>
      <c r="F174" s="23" t="str">
        <f t="shared" si="4"/>
        <v>rtdc.l.rtdc.4002:itc</v>
      </c>
      <c r="G174" s="8">
        <f t="shared" si="5"/>
        <v>42607.760659722226</v>
      </c>
    </row>
    <row r="175" spans="1:7" x14ac:dyDescent="0.25">
      <c r="A175" s="8">
        <v>42607.762164351851</v>
      </c>
      <c r="B175" s="23" t="s">
        <v>186</v>
      </c>
      <c r="C175" s="23" t="s">
        <v>570</v>
      </c>
      <c r="D175" s="23">
        <v>2020000</v>
      </c>
      <c r="E175" s="23" t="s">
        <v>698</v>
      </c>
      <c r="F175" s="23" t="str">
        <f t="shared" si="4"/>
        <v>rtdc.l.rtdc.4002:itc</v>
      </c>
      <c r="G175" s="8">
        <f t="shared" si="5"/>
        <v>42607.762164351851</v>
      </c>
    </row>
    <row r="176" spans="1:7" x14ac:dyDescent="0.25">
      <c r="A176" s="8">
        <v>42607.765219907407</v>
      </c>
      <c r="B176" s="23" t="s">
        <v>690</v>
      </c>
      <c r="C176" s="23" t="s">
        <v>508</v>
      </c>
      <c r="D176" s="23">
        <v>1140000</v>
      </c>
      <c r="E176" s="23" t="s">
        <v>302</v>
      </c>
      <c r="F176" s="23" t="str">
        <f t="shared" si="4"/>
        <v>rtdc.l.rtdc.4012:itc</v>
      </c>
      <c r="G176" s="8">
        <f t="shared" si="5"/>
        <v>42607.765219907407</v>
      </c>
    </row>
    <row r="177" spans="1:7" x14ac:dyDescent="0.25">
      <c r="A177" s="8">
        <v>42607.76903935185</v>
      </c>
      <c r="B177" s="23" t="s">
        <v>150</v>
      </c>
      <c r="C177" s="23" t="s">
        <v>516</v>
      </c>
      <c r="D177" s="23">
        <v>2260000</v>
      </c>
      <c r="E177" s="23" t="s">
        <v>261</v>
      </c>
      <c r="F177" s="23" t="str">
        <f t="shared" si="4"/>
        <v>rtdc.l.rtdc.4042:itc</v>
      </c>
      <c r="G177" s="8">
        <f t="shared" si="5"/>
        <v>42607.76903935185</v>
      </c>
    </row>
    <row r="178" spans="1:7" x14ac:dyDescent="0.25">
      <c r="A178" s="8">
        <v>42607.774027777778</v>
      </c>
      <c r="B178" s="23" t="s">
        <v>178</v>
      </c>
      <c r="C178" s="23" t="s">
        <v>511</v>
      </c>
      <c r="D178" s="23">
        <v>2110000</v>
      </c>
      <c r="E178" s="23" t="s">
        <v>702</v>
      </c>
      <c r="F178" s="23" t="str">
        <f t="shared" si="4"/>
        <v>rtdc.l.rtdc.4043:itc</v>
      </c>
      <c r="G178" s="8">
        <f t="shared" si="5"/>
        <v>42607.774027777778</v>
      </c>
    </row>
    <row r="179" spans="1:7" x14ac:dyDescent="0.25">
      <c r="A179" s="8">
        <v>42607.776423611111</v>
      </c>
      <c r="B179" s="23" t="s">
        <v>90</v>
      </c>
      <c r="C179" s="23" t="s">
        <v>665</v>
      </c>
      <c r="D179" s="23">
        <v>2270000</v>
      </c>
      <c r="E179" s="23" t="s">
        <v>700</v>
      </c>
      <c r="F179" s="23" t="str">
        <f t="shared" si="4"/>
        <v>rtdc.l.rtdc.4013:itc</v>
      </c>
      <c r="G179" s="8">
        <f t="shared" si="5"/>
        <v>42607.776423611111</v>
      </c>
    </row>
    <row r="180" spans="1:7" x14ac:dyDescent="0.25">
      <c r="A180" s="8">
        <v>42607.777638888889</v>
      </c>
      <c r="B180" s="23" t="s">
        <v>257</v>
      </c>
      <c r="C180" s="23" t="s">
        <v>574</v>
      </c>
      <c r="D180" s="23">
        <v>2040000</v>
      </c>
      <c r="E180" s="23" t="s">
        <v>304</v>
      </c>
      <c r="F180" s="23" t="str">
        <f t="shared" si="4"/>
        <v>rtdc.l.rtdc.4022:itc</v>
      </c>
      <c r="G180" s="8">
        <f t="shared" si="5"/>
        <v>42607.777638888889</v>
      </c>
    </row>
    <row r="181" spans="1:7" x14ac:dyDescent="0.25">
      <c r="A181" s="8">
        <v>42607.780138888891</v>
      </c>
      <c r="B181" s="23" t="s">
        <v>179</v>
      </c>
      <c r="C181" s="23" t="s">
        <v>547</v>
      </c>
      <c r="D181" s="23">
        <v>2250000</v>
      </c>
      <c r="E181" s="23" t="s">
        <v>303</v>
      </c>
      <c r="F181" s="23" t="str">
        <f t="shared" si="4"/>
        <v>rtdc.l.rtdc.4009:itc</v>
      </c>
      <c r="G181" s="8">
        <f t="shared" si="5"/>
        <v>42607.780138888891</v>
      </c>
    </row>
    <row r="182" spans="1:7" x14ac:dyDescent="0.25">
      <c r="A182" s="8">
        <v>42607.78329861111</v>
      </c>
      <c r="B182" s="23" t="s">
        <v>151</v>
      </c>
      <c r="C182" s="23" t="s">
        <v>667</v>
      </c>
      <c r="D182" s="23">
        <v>1230000</v>
      </c>
      <c r="E182" s="23" t="s">
        <v>175</v>
      </c>
      <c r="F182" s="23" t="str">
        <f t="shared" si="4"/>
        <v>rtdc.l.rtdc.4038:itc</v>
      </c>
      <c r="G182" s="8">
        <f t="shared" si="5"/>
        <v>42607.78329861111</v>
      </c>
    </row>
    <row r="183" spans="1:7" x14ac:dyDescent="0.25">
      <c r="A183" s="8">
        <v>42607.785821759258</v>
      </c>
      <c r="B183" s="23" t="s">
        <v>689</v>
      </c>
      <c r="C183" s="23" t="s">
        <v>513</v>
      </c>
      <c r="D183" s="23">
        <v>950000</v>
      </c>
      <c r="E183" s="23" t="s">
        <v>701</v>
      </c>
      <c r="F183" s="23" t="str">
        <f t="shared" si="4"/>
        <v>rtdc.l.rtdc.4019:itc</v>
      </c>
      <c r="G183" s="8">
        <f t="shared" si="5"/>
        <v>42607.785821759258</v>
      </c>
    </row>
    <row r="184" spans="1:7" x14ac:dyDescent="0.25">
      <c r="A184" s="8">
        <v>42607.788171296299</v>
      </c>
      <c r="B184" s="23" t="s">
        <v>114</v>
      </c>
      <c r="C184" s="23" t="s">
        <v>519</v>
      </c>
      <c r="D184" s="23">
        <v>1180000</v>
      </c>
      <c r="E184" s="23" t="s">
        <v>218</v>
      </c>
      <c r="F184" s="23" t="str">
        <f t="shared" si="4"/>
        <v>rtdc.l.rtdc.4031:itc</v>
      </c>
      <c r="G184" s="8">
        <f t="shared" si="5"/>
        <v>42607.788171296299</v>
      </c>
    </row>
    <row r="185" spans="1:7" x14ac:dyDescent="0.25">
      <c r="A185" s="8">
        <v>42607.79587962963</v>
      </c>
      <c r="B185" s="23" t="s">
        <v>173</v>
      </c>
      <c r="C185" s="23" t="s">
        <v>515</v>
      </c>
      <c r="D185" s="23">
        <v>2150000</v>
      </c>
      <c r="E185" s="23" t="s">
        <v>260</v>
      </c>
      <c r="F185" s="23" t="str">
        <f t="shared" si="4"/>
        <v>rtdc.l.rtdc.4008:itc</v>
      </c>
      <c r="G185" s="8">
        <f t="shared" si="5"/>
        <v>42607.79587962963</v>
      </c>
    </row>
    <row r="186" spans="1:7" x14ac:dyDescent="0.25">
      <c r="A186" s="8">
        <v>42607.79619212963</v>
      </c>
      <c r="B186" s="23" t="s">
        <v>144</v>
      </c>
      <c r="C186" s="23" t="s">
        <v>703</v>
      </c>
      <c r="D186" s="23">
        <v>1230000</v>
      </c>
      <c r="E186" s="23" t="s">
        <v>175</v>
      </c>
      <c r="F186" s="23" t="str">
        <f t="shared" si="4"/>
        <v>rtdc.l.rtdc.4037:itc</v>
      </c>
      <c r="G186" s="8">
        <f t="shared" si="5"/>
        <v>42607.79619212963</v>
      </c>
    </row>
    <row r="187" spans="1:7" x14ac:dyDescent="0.25">
      <c r="A187" s="8">
        <v>42607.799317129633</v>
      </c>
      <c r="B187" s="23" t="s">
        <v>112</v>
      </c>
      <c r="C187" s="23" t="s">
        <v>672</v>
      </c>
      <c r="D187" s="23">
        <v>2270000</v>
      </c>
      <c r="E187" s="23" t="s">
        <v>700</v>
      </c>
      <c r="F187" s="23" t="str">
        <f t="shared" si="4"/>
        <v>rtdc.l.rtdc.4014:itc</v>
      </c>
      <c r="G187" s="8">
        <f t="shared" si="5"/>
        <v>42607.799317129633</v>
      </c>
    </row>
    <row r="188" spans="1:7" x14ac:dyDescent="0.25">
      <c r="A188" s="8">
        <v>42607.802129629628</v>
      </c>
      <c r="B188" s="23" t="s">
        <v>192</v>
      </c>
      <c r="C188" s="23" t="s">
        <v>518</v>
      </c>
      <c r="D188" s="23">
        <v>2260000</v>
      </c>
      <c r="E188" s="23" t="s">
        <v>261</v>
      </c>
      <c r="F188" s="23" t="str">
        <f t="shared" si="4"/>
        <v>rtdc.l.rtdc.4041:itc</v>
      </c>
      <c r="G188" s="8">
        <f t="shared" si="5"/>
        <v>42607.802129629628</v>
      </c>
    </row>
    <row r="189" spans="1:7" x14ac:dyDescent="0.25">
      <c r="A189" s="8">
        <v>42607.810763888891</v>
      </c>
      <c r="B189" s="23" t="s">
        <v>194</v>
      </c>
      <c r="C189" s="23" t="s">
        <v>521</v>
      </c>
      <c r="D189" s="23">
        <v>2110000</v>
      </c>
      <c r="E189" s="23" t="s">
        <v>702</v>
      </c>
      <c r="F189" s="23" t="str">
        <f t="shared" si="4"/>
        <v>rtdc.l.rtdc.4044:itc</v>
      </c>
      <c r="G189" s="8">
        <f t="shared" si="5"/>
        <v>42607.810763888891</v>
      </c>
    </row>
    <row r="190" spans="1:7" x14ac:dyDescent="0.25">
      <c r="A190" s="8">
        <v>42607.819965277777</v>
      </c>
      <c r="B190" s="23" t="s">
        <v>696</v>
      </c>
      <c r="C190" s="23" t="s">
        <v>704</v>
      </c>
      <c r="D190" s="23">
        <v>950000</v>
      </c>
      <c r="E190" s="23" t="s">
        <v>701</v>
      </c>
      <c r="F190" s="23" t="str">
        <f t="shared" si="4"/>
        <v>rtdc.l.rtdc.4020:itc</v>
      </c>
      <c r="G190" s="8">
        <f t="shared" si="5"/>
        <v>42607.819965277777</v>
      </c>
    </row>
    <row r="191" spans="1:7" x14ac:dyDescent="0.25">
      <c r="A191" s="8">
        <v>42607.820810185185</v>
      </c>
      <c r="B191" s="23" t="s">
        <v>90</v>
      </c>
      <c r="C191" s="23" t="s">
        <v>672</v>
      </c>
      <c r="D191" s="23">
        <v>2270000</v>
      </c>
      <c r="E191" s="23" t="s">
        <v>700</v>
      </c>
      <c r="F191" s="23" t="str">
        <f t="shared" si="4"/>
        <v>rtdc.l.rtdc.4013:itc</v>
      </c>
      <c r="G191" s="8">
        <f t="shared" si="5"/>
        <v>42607.820810185185</v>
      </c>
    </row>
    <row r="192" spans="1:7" x14ac:dyDescent="0.25">
      <c r="A192" s="8">
        <v>42607.822685185187</v>
      </c>
      <c r="B192" s="23" t="s">
        <v>115</v>
      </c>
      <c r="C192" s="23" t="s">
        <v>520</v>
      </c>
      <c r="D192" s="23">
        <v>1180000</v>
      </c>
      <c r="E192" s="23" t="s">
        <v>218</v>
      </c>
      <c r="F192" s="23" t="str">
        <f t="shared" si="4"/>
        <v>rtdc.l.rtdc.4032:itc</v>
      </c>
      <c r="G192" s="8">
        <f t="shared" si="5"/>
        <v>42607.822685185187</v>
      </c>
    </row>
    <row r="193" spans="1:7" x14ac:dyDescent="0.25">
      <c r="A193" s="8">
        <v>42607.823923611111</v>
      </c>
      <c r="B193" s="23" t="s">
        <v>90</v>
      </c>
      <c r="C193" s="23" t="s">
        <v>669</v>
      </c>
      <c r="D193" s="23">
        <v>2270000</v>
      </c>
      <c r="E193" s="23" t="s">
        <v>700</v>
      </c>
      <c r="F193" s="23" t="str">
        <f t="shared" si="4"/>
        <v>rtdc.l.rtdc.4013:itc</v>
      </c>
      <c r="G193" s="8">
        <f t="shared" si="5"/>
        <v>42607.823923611111</v>
      </c>
    </row>
    <row r="194" spans="1:7" x14ac:dyDescent="0.25">
      <c r="A194" s="8">
        <v>42607.831064814818</v>
      </c>
      <c r="B194" s="23" t="s">
        <v>193</v>
      </c>
      <c r="C194" s="23" t="s">
        <v>522</v>
      </c>
      <c r="D194" s="23">
        <v>2150000</v>
      </c>
      <c r="E194" s="23" t="s">
        <v>260</v>
      </c>
      <c r="F194" s="23" t="str">
        <f t="shared" ref="F194:F235" si="6">B194</f>
        <v>rtdc.l.rtdc.4007:itc</v>
      </c>
      <c r="G194" s="8">
        <f t="shared" ref="G194:G235" si="7">A194</f>
        <v>42607.831064814818</v>
      </c>
    </row>
    <row r="195" spans="1:7" x14ac:dyDescent="0.25">
      <c r="A195" s="8">
        <v>42607.839918981481</v>
      </c>
      <c r="B195" s="23" t="s">
        <v>112</v>
      </c>
      <c r="C195" s="23" t="s">
        <v>677</v>
      </c>
      <c r="D195" s="23">
        <v>2270000</v>
      </c>
      <c r="E195" s="23" t="s">
        <v>700</v>
      </c>
      <c r="F195" s="23" t="str">
        <f t="shared" si="6"/>
        <v>rtdc.l.rtdc.4014:itc</v>
      </c>
      <c r="G195" s="8">
        <f t="shared" si="7"/>
        <v>42607.839918981481</v>
      </c>
    </row>
    <row r="196" spans="1:7" x14ac:dyDescent="0.25">
      <c r="A196" s="8">
        <v>42607.84888888889</v>
      </c>
      <c r="B196" s="23" t="s">
        <v>150</v>
      </c>
      <c r="C196" s="23" t="s">
        <v>524</v>
      </c>
      <c r="D196" s="23">
        <v>2260000</v>
      </c>
      <c r="E196" s="23" t="s">
        <v>261</v>
      </c>
      <c r="F196" s="23" t="str">
        <f t="shared" si="6"/>
        <v>rtdc.l.rtdc.4042:itc</v>
      </c>
      <c r="G196" s="8">
        <f t="shared" si="7"/>
        <v>42607.84888888889</v>
      </c>
    </row>
    <row r="197" spans="1:7" x14ac:dyDescent="0.25">
      <c r="A197" s="8">
        <v>42607.860590277778</v>
      </c>
      <c r="B197" s="23" t="s">
        <v>90</v>
      </c>
      <c r="C197" s="23" t="s">
        <v>674</v>
      </c>
      <c r="D197" s="23">
        <v>2270000</v>
      </c>
      <c r="E197" s="23" t="s">
        <v>700</v>
      </c>
      <c r="F197" s="23" t="str">
        <f t="shared" si="6"/>
        <v>rtdc.l.rtdc.4013:itc</v>
      </c>
      <c r="G197" s="8">
        <f t="shared" si="7"/>
        <v>42607.860590277778</v>
      </c>
    </row>
    <row r="198" spans="1:7" x14ac:dyDescent="0.25">
      <c r="A198" s="8">
        <v>42607.867013888892</v>
      </c>
      <c r="B198" s="23" t="s">
        <v>114</v>
      </c>
      <c r="C198" s="23" t="s">
        <v>526</v>
      </c>
      <c r="D198" s="23">
        <v>1180000</v>
      </c>
      <c r="E198" s="23" t="s">
        <v>218</v>
      </c>
      <c r="F198" s="23" t="str">
        <f t="shared" si="6"/>
        <v>rtdc.l.rtdc.4031:itc</v>
      </c>
      <c r="G198" s="8">
        <f t="shared" si="7"/>
        <v>42607.867013888892</v>
      </c>
    </row>
    <row r="199" spans="1:7" x14ac:dyDescent="0.25">
      <c r="A199" s="8">
        <v>42607.870856481481</v>
      </c>
      <c r="B199" s="23" t="s">
        <v>173</v>
      </c>
      <c r="C199" s="23" t="s">
        <v>523</v>
      </c>
      <c r="D199" s="23">
        <v>2150000</v>
      </c>
      <c r="E199" s="23" t="s">
        <v>260</v>
      </c>
      <c r="F199" s="23" t="str">
        <f t="shared" si="6"/>
        <v>rtdc.l.rtdc.4008:itc</v>
      </c>
      <c r="G199" s="8">
        <f t="shared" si="7"/>
        <v>42607.870856481481</v>
      </c>
    </row>
    <row r="200" spans="1:7" x14ac:dyDescent="0.25">
      <c r="A200" s="8">
        <v>42607.883125</v>
      </c>
      <c r="B200" s="23" t="s">
        <v>112</v>
      </c>
      <c r="C200" s="23" t="s">
        <v>681</v>
      </c>
      <c r="D200" s="23">
        <v>1230000</v>
      </c>
      <c r="E200" s="23" t="s">
        <v>175</v>
      </c>
      <c r="F200" s="23" t="str">
        <f t="shared" si="6"/>
        <v>rtdc.l.rtdc.4014:itc</v>
      </c>
      <c r="G200" s="8">
        <f t="shared" si="7"/>
        <v>42607.883125</v>
      </c>
    </row>
    <row r="201" spans="1:7" x14ac:dyDescent="0.25">
      <c r="A201" s="8">
        <v>42607.888518518521</v>
      </c>
      <c r="B201" s="23" t="s">
        <v>192</v>
      </c>
      <c r="C201" s="23" t="s">
        <v>525</v>
      </c>
      <c r="D201" s="23">
        <v>2260000</v>
      </c>
      <c r="E201" s="23" t="s">
        <v>261</v>
      </c>
      <c r="F201" s="23" t="str">
        <f t="shared" si="6"/>
        <v>rtdc.l.rtdc.4041:itc</v>
      </c>
      <c r="G201" s="8">
        <f t="shared" si="7"/>
        <v>42607.888518518521</v>
      </c>
    </row>
    <row r="202" spans="1:7" x14ac:dyDescent="0.25">
      <c r="A202" s="29">
        <v>42607.891851851855</v>
      </c>
      <c r="B202" s="23" t="s">
        <v>194</v>
      </c>
      <c r="C202" s="23" t="s">
        <v>528</v>
      </c>
      <c r="D202" s="23">
        <v>2110000</v>
      </c>
      <c r="E202" s="23" t="s">
        <v>702</v>
      </c>
      <c r="F202" s="23" t="str">
        <f t="shared" si="6"/>
        <v>rtdc.l.rtdc.4044:itc</v>
      </c>
      <c r="G202" s="8">
        <f t="shared" si="7"/>
        <v>42607.891851851855</v>
      </c>
    </row>
    <row r="203" spans="1:7" x14ac:dyDescent="0.25">
      <c r="A203" s="8">
        <v>42607.900787037041</v>
      </c>
      <c r="B203" s="23" t="s">
        <v>90</v>
      </c>
      <c r="C203" s="23" t="s">
        <v>679</v>
      </c>
      <c r="D203" s="23">
        <v>1230000</v>
      </c>
      <c r="E203" s="23" t="s">
        <v>175</v>
      </c>
      <c r="F203" s="23" t="str">
        <f t="shared" si="6"/>
        <v>rtdc.l.rtdc.4013:itc</v>
      </c>
      <c r="G203" s="8">
        <f t="shared" si="7"/>
        <v>42607.900787037041</v>
      </c>
    </row>
    <row r="204" spans="1:7" x14ac:dyDescent="0.25">
      <c r="A204" s="8">
        <v>42607.904756944445</v>
      </c>
      <c r="B204" s="23" t="s">
        <v>193</v>
      </c>
      <c r="C204" s="23" t="s">
        <v>529</v>
      </c>
      <c r="D204" s="23">
        <v>2150000</v>
      </c>
      <c r="E204" s="23" t="s">
        <v>260</v>
      </c>
      <c r="F204" s="23" t="str">
        <f t="shared" si="6"/>
        <v>rtdc.l.rtdc.4007:itc</v>
      </c>
      <c r="G204" s="8">
        <f t="shared" si="7"/>
        <v>42607.904756944445</v>
      </c>
    </row>
    <row r="205" spans="1:7" x14ac:dyDescent="0.25">
      <c r="A205" s="8">
        <v>42607.909074074072</v>
      </c>
      <c r="B205" s="23" t="s">
        <v>115</v>
      </c>
      <c r="C205" s="23" t="s">
        <v>527</v>
      </c>
      <c r="D205" s="23">
        <v>1180000</v>
      </c>
      <c r="E205" s="23" t="s">
        <v>218</v>
      </c>
      <c r="F205" s="23" t="str">
        <f t="shared" si="6"/>
        <v>rtdc.l.rtdc.4032:itc</v>
      </c>
      <c r="G205" s="8">
        <f t="shared" si="7"/>
        <v>42607.909074074072</v>
      </c>
    </row>
    <row r="206" spans="1:7" x14ac:dyDescent="0.25">
      <c r="A206" s="8">
        <v>42607.928356481483</v>
      </c>
      <c r="B206" s="23" t="s">
        <v>112</v>
      </c>
      <c r="C206" s="23" t="s">
        <v>683</v>
      </c>
      <c r="D206" s="23">
        <v>1230000</v>
      </c>
      <c r="E206" s="23" t="s">
        <v>175</v>
      </c>
      <c r="F206" s="23" t="str">
        <f t="shared" si="6"/>
        <v>rtdc.l.rtdc.4014:itc</v>
      </c>
      <c r="G206" s="8">
        <f t="shared" si="7"/>
        <v>42607.928356481483</v>
      </c>
    </row>
    <row r="207" spans="1:7" x14ac:dyDescent="0.25">
      <c r="A207" s="8">
        <v>42607.933819444443</v>
      </c>
      <c r="B207" s="23" t="s">
        <v>150</v>
      </c>
      <c r="C207" s="23" t="s">
        <v>532</v>
      </c>
      <c r="D207" s="23">
        <v>1480000</v>
      </c>
      <c r="E207" s="23" t="s">
        <v>305</v>
      </c>
      <c r="F207" s="23" t="str">
        <f t="shared" si="6"/>
        <v>rtdc.l.rtdc.4042:itc</v>
      </c>
      <c r="G207" s="8">
        <f t="shared" si="7"/>
        <v>42607.933819444443</v>
      </c>
    </row>
    <row r="208" spans="1:7" x14ac:dyDescent="0.25">
      <c r="A208" s="8">
        <v>42607.941412037035</v>
      </c>
      <c r="B208" s="23" t="s">
        <v>90</v>
      </c>
      <c r="C208" s="23" t="s">
        <v>687</v>
      </c>
      <c r="D208" s="23">
        <v>1230000</v>
      </c>
      <c r="E208" s="23" t="s">
        <v>175</v>
      </c>
      <c r="F208" s="23" t="str">
        <f t="shared" si="6"/>
        <v>rtdc.l.rtdc.4013:itc</v>
      </c>
      <c r="G208" s="8">
        <f t="shared" si="7"/>
        <v>42607.941412037035</v>
      </c>
    </row>
    <row r="209" spans="1:7" x14ac:dyDescent="0.25">
      <c r="A209" s="8">
        <v>42607.952002314814</v>
      </c>
      <c r="B209" s="23" t="s">
        <v>173</v>
      </c>
      <c r="C209" s="23" t="s">
        <v>531</v>
      </c>
      <c r="D209" s="23">
        <v>2150000</v>
      </c>
      <c r="E209" s="23" t="s">
        <v>260</v>
      </c>
      <c r="F209" s="23" t="str">
        <f t="shared" si="6"/>
        <v>rtdc.l.rtdc.4008:itc</v>
      </c>
      <c r="G209" s="8">
        <f t="shared" si="7"/>
        <v>42607.952002314814</v>
      </c>
    </row>
    <row r="210" spans="1:7" x14ac:dyDescent="0.25">
      <c r="A210" s="8">
        <v>42607.952789351853</v>
      </c>
      <c r="B210" s="23" t="s">
        <v>114</v>
      </c>
      <c r="C210" s="23" t="s">
        <v>535</v>
      </c>
      <c r="D210" s="23">
        <v>1180000</v>
      </c>
      <c r="E210" s="23" t="s">
        <v>218</v>
      </c>
      <c r="F210" s="23" t="str">
        <f t="shared" si="6"/>
        <v>rtdc.l.rtdc.4031:itc</v>
      </c>
      <c r="G210" s="8">
        <f t="shared" si="7"/>
        <v>42607.952789351853</v>
      </c>
    </row>
    <row r="211" spans="1:7" x14ac:dyDescent="0.25">
      <c r="A211" s="8">
        <v>42607.963113425925</v>
      </c>
      <c r="B211" s="23" t="s">
        <v>114</v>
      </c>
      <c r="C211" s="23" t="s">
        <v>535</v>
      </c>
      <c r="D211" s="23">
        <v>1180000</v>
      </c>
      <c r="E211" s="23" t="s">
        <v>218</v>
      </c>
      <c r="F211" s="23" t="str">
        <f t="shared" si="6"/>
        <v>rtdc.l.rtdc.4031:itc</v>
      </c>
      <c r="G211" s="8">
        <f t="shared" si="7"/>
        <v>42607.963113425925</v>
      </c>
    </row>
    <row r="212" spans="1:7" x14ac:dyDescent="0.25">
      <c r="A212" s="8">
        <v>42607.968206018515</v>
      </c>
      <c r="B212" s="23" t="s">
        <v>192</v>
      </c>
      <c r="C212" s="23" t="s">
        <v>533</v>
      </c>
      <c r="D212" s="23">
        <v>1480000</v>
      </c>
      <c r="E212" s="23" t="s">
        <v>305</v>
      </c>
      <c r="F212" s="23" t="str">
        <f t="shared" si="6"/>
        <v>rtdc.l.rtdc.4041:itc</v>
      </c>
      <c r="G212" s="8">
        <f t="shared" si="7"/>
        <v>42607.968206018515</v>
      </c>
    </row>
    <row r="213" spans="1:7" x14ac:dyDescent="0.25">
      <c r="A213" s="8">
        <v>42607.975937499999</v>
      </c>
      <c r="B213" s="23" t="s">
        <v>194</v>
      </c>
      <c r="C213" s="23" t="s">
        <v>538</v>
      </c>
      <c r="D213" s="23">
        <v>2110000</v>
      </c>
      <c r="E213" s="23" t="s">
        <v>702</v>
      </c>
      <c r="F213" s="23" t="str">
        <f t="shared" si="6"/>
        <v>rtdc.l.rtdc.4044:itc</v>
      </c>
      <c r="G213" s="8">
        <f t="shared" si="7"/>
        <v>42607.975937499999</v>
      </c>
    </row>
    <row r="214" spans="1:7" x14ac:dyDescent="0.25">
      <c r="A214" s="8">
        <v>42607.987893518519</v>
      </c>
      <c r="B214" s="23" t="s">
        <v>193</v>
      </c>
      <c r="C214" s="23" t="s">
        <v>541</v>
      </c>
      <c r="D214" s="23">
        <v>2150000</v>
      </c>
      <c r="E214" s="23" t="s">
        <v>260</v>
      </c>
      <c r="F214" s="23" t="str">
        <f t="shared" si="6"/>
        <v>rtdc.l.rtdc.4007:itc</v>
      </c>
      <c r="G214" s="8">
        <f t="shared" si="7"/>
        <v>42607.987893518519</v>
      </c>
    </row>
    <row r="215" spans="1:7" x14ac:dyDescent="0.25">
      <c r="A215" s="8">
        <v>42607.992210648146</v>
      </c>
      <c r="B215" s="23" t="s">
        <v>115</v>
      </c>
      <c r="C215" s="23" t="s">
        <v>537</v>
      </c>
      <c r="D215" s="23">
        <v>1180000</v>
      </c>
      <c r="E215" s="23" t="s">
        <v>218</v>
      </c>
      <c r="F215" s="23" t="str">
        <f t="shared" si="6"/>
        <v>rtdc.l.rtdc.4032:itc</v>
      </c>
      <c r="G215" s="8">
        <f t="shared" si="7"/>
        <v>42607.992210648146</v>
      </c>
    </row>
    <row r="216" spans="1:7" x14ac:dyDescent="0.25">
      <c r="A216" s="8">
        <v>42608.012199074074</v>
      </c>
      <c r="B216" s="23" t="s">
        <v>178</v>
      </c>
      <c r="C216" s="23" t="s">
        <v>540</v>
      </c>
      <c r="D216" s="23">
        <v>2110000</v>
      </c>
      <c r="E216" s="23" t="s">
        <v>702</v>
      </c>
      <c r="F216" s="23" t="str">
        <f t="shared" si="6"/>
        <v>rtdc.l.rtdc.4043:itc</v>
      </c>
      <c r="G216" s="8">
        <f t="shared" si="7"/>
        <v>42608.012199074074</v>
      </c>
    </row>
    <row r="217" spans="1:7" x14ac:dyDescent="0.25">
      <c r="A217" s="8">
        <v>42608.015601851854</v>
      </c>
      <c r="B217" s="23" t="s">
        <v>150</v>
      </c>
      <c r="C217" s="23" t="s">
        <v>544</v>
      </c>
      <c r="D217" s="23">
        <v>2260000</v>
      </c>
      <c r="E217" s="23" t="s">
        <v>261</v>
      </c>
      <c r="F217" s="23" t="str">
        <f t="shared" si="6"/>
        <v>rtdc.l.rtdc.4042:itc</v>
      </c>
      <c r="G217" s="8">
        <f t="shared" si="7"/>
        <v>42608.015601851854</v>
      </c>
    </row>
    <row r="218" spans="1:7" x14ac:dyDescent="0.25">
      <c r="A218" s="8">
        <v>42608.027615740742</v>
      </c>
      <c r="B218" s="23" t="s">
        <v>114</v>
      </c>
      <c r="C218" s="23" t="s">
        <v>549</v>
      </c>
      <c r="D218" s="23">
        <v>1180000</v>
      </c>
      <c r="E218" s="23" t="s">
        <v>218</v>
      </c>
      <c r="F218" s="23" t="str">
        <f t="shared" si="6"/>
        <v>rtdc.l.rtdc.4031:itc</v>
      </c>
      <c r="G218" s="8">
        <f t="shared" si="7"/>
        <v>42608.027615740742</v>
      </c>
    </row>
    <row r="219" spans="1:7" x14ac:dyDescent="0.25">
      <c r="A219" s="8">
        <v>42608.028831018521</v>
      </c>
      <c r="B219" s="23" t="s">
        <v>114</v>
      </c>
      <c r="C219" s="23" t="s">
        <v>549</v>
      </c>
      <c r="D219" s="23">
        <v>1180000</v>
      </c>
      <c r="E219" s="23" t="s">
        <v>218</v>
      </c>
      <c r="F219" s="23" t="str">
        <f t="shared" si="6"/>
        <v>rtdc.l.rtdc.4031:itc</v>
      </c>
      <c r="G219" s="8">
        <f t="shared" si="7"/>
        <v>42608.028831018521</v>
      </c>
    </row>
    <row r="220" spans="1:7" x14ac:dyDescent="0.25">
      <c r="A220" s="8">
        <v>42608.039641203701</v>
      </c>
      <c r="B220" s="23" t="s">
        <v>173</v>
      </c>
      <c r="C220" s="23" t="s">
        <v>542</v>
      </c>
      <c r="D220" s="23">
        <v>2150000</v>
      </c>
      <c r="E220" s="23" t="s">
        <v>260</v>
      </c>
      <c r="F220" s="23" t="str">
        <f t="shared" si="6"/>
        <v>rtdc.l.rtdc.4008:itc</v>
      </c>
      <c r="G220" s="8">
        <f t="shared" si="7"/>
        <v>42608.039641203701</v>
      </c>
    </row>
    <row r="221" spans="1:7" x14ac:dyDescent="0.25">
      <c r="A221" s="8">
        <v>42608.049027777779</v>
      </c>
      <c r="B221" s="23" t="s">
        <v>194</v>
      </c>
      <c r="C221" s="23" t="s">
        <v>550</v>
      </c>
      <c r="D221" s="23">
        <v>2110000</v>
      </c>
      <c r="E221" s="23" t="s">
        <v>702</v>
      </c>
      <c r="F221" s="23" t="str">
        <f t="shared" si="6"/>
        <v>rtdc.l.rtdc.4044:itc</v>
      </c>
      <c r="G221" s="8">
        <f t="shared" si="7"/>
        <v>42608.049027777779</v>
      </c>
    </row>
    <row r="222" spans="1:7" x14ac:dyDescent="0.25">
      <c r="A222" s="8">
        <v>42608.054467592592</v>
      </c>
      <c r="B222" s="23" t="s">
        <v>192</v>
      </c>
      <c r="C222" s="23" t="s">
        <v>545</v>
      </c>
      <c r="D222" s="23">
        <v>2260000</v>
      </c>
      <c r="E222" s="23" t="s">
        <v>261</v>
      </c>
      <c r="F222" s="23" t="str">
        <f t="shared" si="6"/>
        <v>rtdc.l.rtdc.4041:itc</v>
      </c>
      <c r="G222" s="8">
        <f t="shared" si="7"/>
        <v>42608.054467592592</v>
      </c>
    </row>
    <row r="223" spans="1:7" x14ac:dyDescent="0.25">
      <c r="A223" s="8">
        <v>42608.072222222225</v>
      </c>
      <c r="B223" s="23" t="s">
        <v>193</v>
      </c>
      <c r="C223" s="23" t="s">
        <v>553</v>
      </c>
      <c r="D223" s="23">
        <v>2150000</v>
      </c>
      <c r="E223" s="23" t="s">
        <v>260</v>
      </c>
      <c r="F223" s="23" t="str">
        <f t="shared" si="6"/>
        <v>rtdc.l.rtdc.4007:itc</v>
      </c>
      <c r="G223" s="8">
        <f t="shared" si="7"/>
        <v>42608.072222222225</v>
      </c>
    </row>
    <row r="224" spans="1:7" x14ac:dyDescent="0.25">
      <c r="A224" s="8">
        <v>42608.09233796296</v>
      </c>
      <c r="B224" t="s">
        <v>150</v>
      </c>
      <c r="C224" t="s">
        <v>555</v>
      </c>
      <c r="D224">
        <v>2260000</v>
      </c>
      <c r="E224" t="s">
        <v>261</v>
      </c>
      <c r="F224" s="23" t="str">
        <f t="shared" si="6"/>
        <v>rtdc.l.rtdc.4042:itc</v>
      </c>
      <c r="G224" s="8">
        <f t="shared" si="7"/>
        <v>42608.09233796296</v>
      </c>
    </row>
    <row r="225" spans="1:7" x14ac:dyDescent="0.25">
      <c r="A225" s="8">
        <v>42608.093680555554</v>
      </c>
      <c r="B225" t="s">
        <v>150</v>
      </c>
      <c r="C225" t="s">
        <v>555</v>
      </c>
      <c r="D225">
        <v>2260000</v>
      </c>
      <c r="E225" t="s">
        <v>261</v>
      </c>
      <c r="F225" s="23" t="str">
        <f t="shared" si="6"/>
        <v>rtdc.l.rtdc.4042:itc</v>
      </c>
      <c r="G225" s="8">
        <f t="shared" si="7"/>
        <v>42608.093680555554</v>
      </c>
    </row>
    <row r="226" spans="1:7" x14ac:dyDescent="0.25">
      <c r="F226" s="23">
        <f t="shared" si="6"/>
        <v>0</v>
      </c>
      <c r="G226" s="8">
        <f t="shared" si="7"/>
        <v>0</v>
      </c>
    </row>
    <row r="227" spans="1:7" x14ac:dyDescent="0.25">
      <c r="A227" s="8">
        <v>42606.049456018518</v>
      </c>
      <c r="B227" t="s">
        <v>193</v>
      </c>
      <c r="C227" t="s">
        <v>248</v>
      </c>
      <c r="D227">
        <v>2150000</v>
      </c>
      <c r="E227" t="s">
        <v>260</v>
      </c>
      <c r="F227" s="23" t="str">
        <f t="shared" si="6"/>
        <v>rtdc.l.rtdc.4007:itc</v>
      </c>
      <c r="G227" s="8">
        <f t="shared" si="7"/>
        <v>42606.049456018518</v>
      </c>
    </row>
    <row r="228" spans="1:7" x14ac:dyDescent="0.25">
      <c r="A228" s="8">
        <v>42606.050069444442</v>
      </c>
      <c r="B228" t="s">
        <v>193</v>
      </c>
      <c r="C228" t="s">
        <v>248</v>
      </c>
      <c r="D228">
        <v>2150000</v>
      </c>
      <c r="E228" t="s">
        <v>260</v>
      </c>
      <c r="F228" s="23" t="str">
        <f t="shared" si="6"/>
        <v>rtdc.l.rtdc.4007:itc</v>
      </c>
      <c r="G228" s="8">
        <f t="shared" si="7"/>
        <v>42606.050069444442</v>
      </c>
    </row>
    <row r="229" spans="1:7" x14ac:dyDescent="0.25">
      <c r="A229" s="8">
        <v>42606.051134259258</v>
      </c>
      <c r="B229" t="s">
        <v>193</v>
      </c>
      <c r="C229" t="s">
        <v>248</v>
      </c>
      <c r="D229">
        <v>2150000</v>
      </c>
      <c r="E229" t="s">
        <v>260</v>
      </c>
      <c r="F229" s="23" t="str">
        <f t="shared" si="6"/>
        <v>rtdc.l.rtdc.4007:itc</v>
      </c>
      <c r="G229" s="8">
        <f t="shared" si="7"/>
        <v>42606.051134259258</v>
      </c>
    </row>
    <row r="230" spans="1:7" x14ac:dyDescent="0.25">
      <c r="A230" s="8">
        <v>42606.059259259258</v>
      </c>
      <c r="B230" t="s">
        <v>255</v>
      </c>
      <c r="C230" t="s">
        <v>247</v>
      </c>
      <c r="D230">
        <v>1800000</v>
      </c>
      <c r="E230" t="s">
        <v>182</v>
      </c>
      <c r="F230" s="23" t="str">
        <f t="shared" si="6"/>
        <v>rtdc.l.rtdc.4004:itc</v>
      </c>
      <c r="G230" s="8">
        <f t="shared" si="7"/>
        <v>42606.059259259258</v>
      </c>
    </row>
    <row r="231" spans="1:7" x14ac:dyDescent="0.25">
      <c r="A231" s="8">
        <v>42606.067465277774</v>
      </c>
      <c r="B231" t="s">
        <v>114</v>
      </c>
      <c r="C231" t="s">
        <v>249</v>
      </c>
      <c r="D231">
        <v>1230000</v>
      </c>
      <c r="E231" t="s">
        <v>175</v>
      </c>
      <c r="F231" s="23" t="str">
        <f t="shared" si="6"/>
        <v>rtdc.l.rtdc.4031:itc</v>
      </c>
      <c r="G231" s="8">
        <f t="shared" si="7"/>
        <v>42606.067465277774</v>
      </c>
    </row>
    <row r="232" spans="1:7" x14ac:dyDescent="0.25">
      <c r="A232" s="8">
        <v>42606.090555555558</v>
      </c>
      <c r="B232" t="s">
        <v>204</v>
      </c>
      <c r="C232" t="s">
        <v>250</v>
      </c>
      <c r="D232">
        <v>1800000</v>
      </c>
      <c r="E232" t="s">
        <v>182</v>
      </c>
      <c r="F232" s="23" t="str">
        <f t="shared" si="6"/>
        <v>rtdc.l.rtdc.4003:itc</v>
      </c>
      <c r="G232" s="8">
        <f t="shared" si="7"/>
        <v>42606.090555555558</v>
      </c>
    </row>
    <row r="233" spans="1:7" x14ac:dyDescent="0.25">
      <c r="F233" s="23">
        <f t="shared" si="6"/>
        <v>0</v>
      </c>
      <c r="G233" s="8">
        <f t="shared" si="7"/>
        <v>0</v>
      </c>
    </row>
    <row r="234" spans="1:7" x14ac:dyDescent="0.25">
      <c r="F234" s="23">
        <f t="shared" si="6"/>
        <v>0</v>
      </c>
      <c r="G234" s="8">
        <f t="shared" si="7"/>
        <v>0</v>
      </c>
    </row>
    <row r="235" spans="1:7" x14ac:dyDescent="0.25">
      <c r="A235" s="8">
        <v>42594.945891203701</v>
      </c>
      <c r="B235" t="s">
        <v>173</v>
      </c>
      <c r="C235" t="s">
        <v>172</v>
      </c>
      <c r="D235">
        <v>1460000</v>
      </c>
      <c r="E235" t="s">
        <v>174</v>
      </c>
      <c r="F235" s="23" t="str">
        <f t="shared" si="6"/>
        <v>rtdc.l.rtdc.4008:itc</v>
      </c>
      <c r="G235" s="8">
        <f t="shared" si="7"/>
        <v>42594.945891203701</v>
      </c>
    </row>
    <row r="236" spans="1:7" x14ac:dyDescent="0.25">
      <c r="A236" s="8">
        <v>42594.953692129631</v>
      </c>
      <c r="B236" t="s">
        <v>115</v>
      </c>
      <c r="C236" t="s">
        <v>157</v>
      </c>
      <c r="D236">
        <v>2000000</v>
      </c>
      <c r="E236" t="s">
        <v>143</v>
      </c>
      <c r="F236" s="23" t="str">
        <f t="shared" ref="F236:F265" si="8">B236</f>
        <v>rtdc.l.rtdc.4032:itc</v>
      </c>
      <c r="G236" s="8">
        <f t="shared" ref="G236:G265" si="9">A236</f>
        <v>42594.953692129631</v>
      </c>
    </row>
    <row r="237" spans="1:7" x14ac:dyDescent="0.25">
      <c r="A237" s="8">
        <v>42594.956423611111</v>
      </c>
      <c r="B237" t="s">
        <v>151</v>
      </c>
      <c r="C237" t="s">
        <v>159</v>
      </c>
      <c r="D237">
        <v>1300000</v>
      </c>
      <c r="E237" t="s">
        <v>140</v>
      </c>
      <c r="F237" s="23" t="str">
        <f t="shared" si="8"/>
        <v>rtdc.l.rtdc.4038:itc</v>
      </c>
      <c r="G237" s="8">
        <f t="shared" si="9"/>
        <v>42594.956423611111</v>
      </c>
    </row>
    <row r="238" spans="1:7" x14ac:dyDescent="0.25">
      <c r="A238" s="8">
        <v>42594.963194444441</v>
      </c>
      <c r="B238" t="s">
        <v>91</v>
      </c>
      <c r="C238" t="s">
        <v>161</v>
      </c>
      <c r="D238">
        <v>1230000</v>
      </c>
      <c r="E238" t="s">
        <v>175</v>
      </c>
      <c r="F238" s="23" t="str">
        <f t="shared" si="8"/>
        <v>rtdc.l.rtdc.4029:itc</v>
      </c>
      <c r="G238" s="8">
        <f t="shared" si="9"/>
        <v>42594.963194444441</v>
      </c>
    </row>
    <row r="239" spans="1:7" x14ac:dyDescent="0.25">
      <c r="A239" s="8">
        <v>42594.971458333333</v>
      </c>
      <c r="B239" t="s">
        <v>90</v>
      </c>
      <c r="C239" t="s">
        <v>158</v>
      </c>
      <c r="D239">
        <v>2100000</v>
      </c>
      <c r="E239" t="s">
        <v>137</v>
      </c>
      <c r="F239" s="23" t="str">
        <f t="shared" si="8"/>
        <v>rtdc.l.rtdc.4013:itc</v>
      </c>
      <c r="G239" s="8">
        <f t="shared" si="9"/>
        <v>42594.971458333333</v>
      </c>
    </row>
    <row r="240" spans="1:7" x14ac:dyDescent="0.25">
      <c r="A240" s="8">
        <v>42594.992303240739</v>
      </c>
      <c r="B240" t="s">
        <v>144</v>
      </c>
      <c r="C240" t="s">
        <v>160</v>
      </c>
      <c r="D240">
        <v>1300000</v>
      </c>
      <c r="E240" t="s">
        <v>140</v>
      </c>
      <c r="F240" s="23" t="str">
        <f t="shared" si="8"/>
        <v>rtdc.l.rtdc.4037:itc</v>
      </c>
      <c r="G240" s="8">
        <f t="shared" si="9"/>
        <v>42594.992303240739</v>
      </c>
    </row>
    <row r="241" spans="1:7" x14ac:dyDescent="0.25">
      <c r="A241" s="8">
        <v>42594.99628472222</v>
      </c>
      <c r="B241" t="s">
        <v>114</v>
      </c>
      <c r="C241" t="s">
        <v>163</v>
      </c>
      <c r="D241">
        <v>2000000</v>
      </c>
      <c r="E241" t="s">
        <v>143</v>
      </c>
      <c r="F241" s="23" t="str">
        <f t="shared" si="8"/>
        <v>rtdc.l.rtdc.4031:itc</v>
      </c>
      <c r="G241" s="8">
        <f t="shared" si="9"/>
        <v>42594.99628472222</v>
      </c>
    </row>
    <row r="242" spans="1:7" x14ac:dyDescent="0.25">
      <c r="A242" s="8">
        <v>42595.014097222222</v>
      </c>
      <c r="B242" t="s">
        <v>92</v>
      </c>
      <c r="C242" t="s">
        <v>162</v>
      </c>
      <c r="D242">
        <v>1230000</v>
      </c>
      <c r="E242" t="s">
        <v>175</v>
      </c>
      <c r="F242" s="23" t="str">
        <f t="shared" si="8"/>
        <v>rtdc.l.rtdc.4030:itc</v>
      </c>
      <c r="G242" s="8">
        <f t="shared" si="9"/>
        <v>42595.014097222222</v>
      </c>
    </row>
    <row r="243" spans="1:7" x14ac:dyDescent="0.25">
      <c r="A243" s="8">
        <v>42595.015775462962</v>
      </c>
      <c r="B243" t="s">
        <v>112</v>
      </c>
      <c r="C243" t="s">
        <v>165</v>
      </c>
      <c r="D243">
        <v>2100000</v>
      </c>
      <c r="E243" t="s">
        <v>137</v>
      </c>
      <c r="F243" s="23" t="str">
        <f t="shared" si="8"/>
        <v>rtdc.l.rtdc.4014:itc</v>
      </c>
      <c r="G243" s="8">
        <f t="shared" si="9"/>
        <v>42595.015775462962</v>
      </c>
    </row>
    <row r="244" spans="1:7" x14ac:dyDescent="0.25">
      <c r="A244" s="8">
        <v>42595.034780092596</v>
      </c>
      <c r="B244" t="s">
        <v>151</v>
      </c>
      <c r="C244" t="s">
        <v>167</v>
      </c>
      <c r="D244">
        <v>1300000</v>
      </c>
      <c r="E244" t="s">
        <v>140</v>
      </c>
      <c r="F244" s="23" t="str">
        <f t="shared" si="8"/>
        <v>rtdc.l.rtdc.4038:itc</v>
      </c>
      <c r="G244" s="8">
        <f t="shared" si="9"/>
        <v>42595.034780092596</v>
      </c>
    </row>
    <row r="245" spans="1:7" x14ac:dyDescent="0.25">
      <c r="A245" s="8">
        <v>42595.036539351851</v>
      </c>
      <c r="B245" t="s">
        <v>115</v>
      </c>
      <c r="C245" t="s">
        <v>164</v>
      </c>
      <c r="D245">
        <v>2000000</v>
      </c>
      <c r="E245" t="s">
        <v>143</v>
      </c>
      <c r="F245" s="23" t="str">
        <f t="shared" si="8"/>
        <v>rtdc.l.rtdc.4032:itc</v>
      </c>
      <c r="G245" s="8">
        <f t="shared" si="9"/>
        <v>42595.036539351851</v>
      </c>
    </row>
    <row r="246" spans="1:7" x14ac:dyDescent="0.25">
      <c r="A246" s="8">
        <v>42595.046134259261</v>
      </c>
      <c r="B246" t="s">
        <v>91</v>
      </c>
      <c r="C246" t="s">
        <v>169</v>
      </c>
      <c r="D246">
        <v>1230000</v>
      </c>
      <c r="E246" t="s">
        <v>175</v>
      </c>
      <c r="F246" s="23" t="str">
        <f t="shared" si="8"/>
        <v>rtdc.l.rtdc.4029:itc</v>
      </c>
      <c r="G246" s="8">
        <f t="shared" si="9"/>
        <v>42595.046134259261</v>
      </c>
    </row>
    <row r="247" spans="1:7" x14ac:dyDescent="0.25">
      <c r="A247" s="8">
        <v>42595.053819444445</v>
      </c>
      <c r="B247" t="s">
        <v>90</v>
      </c>
      <c r="C247" t="s">
        <v>166</v>
      </c>
      <c r="D247">
        <v>2100000</v>
      </c>
      <c r="E247" t="s">
        <v>137</v>
      </c>
      <c r="F247" s="23" t="str">
        <f t="shared" si="8"/>
        <v>rtdc.l.rtdc.4013:itc</v>
      </c>
      <c r="G247" s="8">
        <f t="shared" si="9"/>
        <v>42595.053819444445</v>
      </c>
    </row>
    <row r="248" spans="1:7" x14ac:dyDescent="0.25">
      <c r="A248" s="8">
        <v>42595.068229166667</v>
      </c>
      <c r="B248" t="s">
        <v>114</v>
      </c>
      <c r="C248" t="s">
        <v>170</v>
      </c>
      <c r="D248">
        <v>2000000</v>
      </c>
      <c r="E248" t="s">
        <v>143</v>
      </c>
      <c r="F248" s="23" t="str">
        <f t="shared" si="8"/>
        <v>rtdc.l.rtdc.4031:itc</v>
      </c>
      <c r="G248" s="8">
        <f t="shared" si="9"/>
        <v>42595.068229166667</v>
      </c>
    </row>
    <row r="249" spans="1:7" x14ac:dyDescent="0.25">
      <c r="A249" s="8">
        <v>42595.072916666664</v>
      </c>
      <c r="B249" t="s">
        <v>144</v>
      </c>
      <c r="C249" t="s">
        <v>168</v>
      </c>
      <c r="D249">
        <v>1300000</v>
      </c>
      <c r="E249" t="s">
        <v>140</v>
      </c>
      <c r="F249" s="23" t="str">
        <f t="shared" si="8"/>
        <v>rtdc.l.rtdc.4037:itc</v>
      </c>
      <c r="G249" s="8">
        <f t="shared" si="9"/>
        <v>42595.072916666664</v>
      </c>
    </row>
    <row r="250" spans="1:7" x14ac:dyDescent="0.25">
      <c r="A250" s="8">
        <v>42595.09070601852</v>
      </c>
      <c r="B250" t="s">
        <v>112</v>
      </c>
      <c r="C250" t="s">
        <v>176</v>
      </c>
      <c r="D250">
        <v>2100000</v>
      </c>
      <c r="E250" t="s">
        <v>137</v>
      </c>
      <c r="F250" s="23" t="str">
        <f t="shared" si="8"/>
        <v>rtdc.l.rtdc.4014:itc</v>
      </c>
      <c r="G250" s="8">
        <f t="shared" si="9"/>
        <v>42595.09070601852</v>
      </c>
    </row>
    <row r="251" spans="1:7" x14ac:dyDescent="0.25">
      <c r="A251" s="8">
        <v>42595.110555555555</v>
      </c>
      <c r="B251" t="s">
        <v>151</v>
      </c>
      <c r="C251" t="s">
        <v>171</v>
      </c>
      <c r="D251">
        <v>1300000</v>
      </c>
      <c r="E251" t="s">
        <v>140</v>
      </c>
      <c r="F251" s="23" t="str">
        <f t="shared" si="8"/>
        <v>rtdc.l.rtdc.4038:itc</v>
      </c>
      <c r="G251" s="8">
        <f t="shared" si="9"/>
        <v>42595.110555555555</v>
      </c>
    </row>
    <row r="252" spans="1:7" x14ac:dyDescent="0.25">
      <c r="F252" s="23">
        <f t="shared" si="8"/>
        <v>0</v>
      </c>
      <c r="G252" s="8">
        <f t="shared" si="9"/>
        <v>0</v>
      </c>
    </row>
    <row r="253" spans="1:7" x14ac:dyDescent="0.25">
      <c r="F253" s="23">
        <f t="shared" si="8"/>
        <v>0</v>
      </c>
      <c r="G253" s="8">
        <f t="shared" si="9"/>
        <v>0</v>
      </c>
    </row>
    <row r="254" spans="1:7" x14ac:dyDescent="0.25">
      <c r="F254" s="23">
        <f t="shared" si="8"/>
        <v>0</v>
      </c>
      <c r="G254" s="8">
        <f t="shared" si="9"/>
        <v>0</v>
      </c>
    </row>
    <row r="255" spans="1:7" x14ac:dyDescent="0.25">
      <c r="F255" s="23">
        <f t="shared" si="8"/>
        <v>0</v>
      </c>
      <c r="G255" s="8">
        <f t="shared" si="9"/>
        <v>0</v>
      </c>
    </row>
    <row r="256" spans="1:7" x14ac:dyDescent="0.25">
      <c r="F256" s="23">
        <f t="shared" si="8"/>
        <v>0</v>
      </c>
      <c r="G256" s="8">
        <f t="shared" si="9"/>
        <v>0</v>
      </c>
    </row>
    <row r="257" spans="6:7" x14ac:dyDescent="0.25">
      <c r="F257" s="23">
        <f t="shared" si="8"/>
        <v>0</v>
      </c>
      <c r="G257" s="8">
        <f t="shared" si="9"/>
        <v>0</v>
      </c>
    </row>
    <row r="258" spans="6:7" x14ac:dyDescent="0.25">
      <c r="F258" s="23">
        <f t="shared" si="8"/>
        <v>0</v>
      </c>
      <c r="G258" s="8">
        <f t="shared" si="9"/>
        <v>0</v>
      </c>
    </row>
    <row r="259" spans="6:7" x14ac:dyDescent="0.25">
      <c r="F259" s="23">
        <f t="shared" si="8"/>
        <v>0</v>
      </c>
      <c r="G259" s="8">
        <f t="shared" si="9"/>
        <v>0</v>
      </c>
    </row>
    <row r="260" spans="6:7" x14ac:dyDescent="0.25">
      <c r="F260" s="23">
        <f t="shared" si="8"/>
        <v>0</v>
      </c>
      <c r="G260" s="8">
        <f t="shared" si="9"/>
        <v>0</v>
      </c>
    </row>
    <row r="261" spans="6:7" x14ac:dyDescent="0.25">
      <c r="F261" s="23">
        <f t="shared" si="8"/>
        <v>0</v>
      </c>
      <c r="G261" s="8">
        <f t="shared" si="9"/>
        <v>0</v>
      </c>
    </row>
    <row r="262" spans="6:7" x14ac:dyDescent="0.25">
      <c r="F262" s="23">
        <f t="shared" si="8"/>
        <v>0</v>
      </c>
      <c r="G262" s="8">
        <f t="shared" si="9"/>
        <v>0</v>
      </c>
    </row>
    <row r="263" spans="6:7" x14ac:dyDescent="0.25">
      <c r="F263" s="23">
        <f t="shared" si="8"/>
        <v>0</v>
      </c>
      <c r="G263" s="8">
        <f t="shared" si="9"/>
        <v>0</v>
      </c>
    </row>
    <row r="264" spans="6:7" x14ac:dyDescent="0.25">
      <c r="F264" s="23">
        <f t="shared" si="8"/>
        <v>0</v>
      </c>
      <c r="G264" s="8">
        <f t="shared" si="9"/>
        <v>0</v>
      </c>
    </row>
    <row r="265" spans="6:7" x14ac:dyDescent="0.25">
      <c r="F265" s="23">
        <f t="shared" si="8"/>
        <v>0</v>
      </c>
      <c r="G265" s="8">
        <f t="shared" si="9"/>
        <v>0</v>
      </c>
    </row>
    <row r="266" spans="6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3">
        <f t="shared" si="10"/>
        <v>0</v>
      </c>
      <c r="G267" s="8">
        <f t="shared" si="11"/>
        <v>0</v>
      </c>
    </row>
    <row r="268" spans="6:7" x14ac:dyDescent="0.25">
      <c r="F268" s="23">
        <f t="shared" si="10"/>
        <v>0</v>
      </c>
      <c r="G268" s="8">
        <f t="shared" si="11"/>
        <v>0</v>
      </c>
    </row>
    <row r="269" spans="6:7" x14ac:dyDescent="0.25">
      <c r="F269" s="23">
        <f t="shared" si="10"/>
        <v>0</v>
      </c>
      <c r="G269" s="8">
        <f t="shared" si="11"/>
        <v>0</v>
      </c>
    </row>
    <row r="270" spans="6:7" x14ac:dyDescent="0.25">
      <c r="F270" s="23">
        <f t="shared" si="10"/>
        <v>0</v>
      </c>
      <c r="G270" s="8">
        <f t="shared" si="11"/>
        <v>0</v>
      </c>
    </row>
    <row r="271" spans="6:7" x14ac:dyDescent="0.25">
      <c r="F271" s="23">
        <f t="shared" si="10"/>
        <v>0</v>
      </c>
      <c r="G271" s="8">
        <f t="shared" si="11"/>
        <v>0</v>
      </c>
    </row>
    <row r="272" spans="6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topLeftCell="A6" workbookViewId="0">
      <selection activeCell="M25" sqref="M25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116</v>
      </c>
      <c r="D1" s="74" t="s">
        <v>117</v>
      </c>
      <c r="J1" s="34" t="s">
        <v>118</v>
      </c>
      <c r="K1" s="34" t="s">
        <v>72</v>
      </c>
      <c r="L1" s="34" t="s">
        <v>73</v>
      </c>
      <c r="O1" s="77" t="s">
        <v>119</v>
      </c>
    </row>
    <row r="2" spans="1:16" ht="15.75" thickBot="1" x14ac:dyDescent="0.3">
      <c r="A2" s="14">
        <v>42607</v>
      </c>
      <c r="B2" s="4"/>
      <c r="C2" s="75">
        <v>50</v>
      </c>
      <c r="D2" s="76">
        <v>25</v>
      </c>
      <c r="F2" t="s">
        <v>145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70">
        <f t="shared" ref="M3:M14" si="0">AVERAGE(K3:L3)</f>
        <v>2.7201</v>
      </c>
      <c r="O3" t="s">
        <v>120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70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70">
        <f t="shared" si="0"/>
        <v>3.3196500000000002</v>
      </c>
    </row>
    <row r="6" spans="1:16" x14ac:dyDescent="0.25">
      <c r="F6" t="s">
        <v>146</v>
      </c>
      <c r="J6" s="35" t="s">
        <v>77</v>
      </c>
      <c r="K6" s="36">
        <v>4.2778999999999998</v>
      </c>
      <c r="L6" s="36">
        <v>4.2961</v>
      </c>
      <c r="M6" s="70">
        <f t="shared" si="0"/>
        <v>4.2869999999999999</v>
      </c>
    </row>
    <row r="7" spans="1:16" x14ac:dyDescent="0.25">
      <c r="F7" t="s">
        <v>147</v>
      </c>
      <c r="J7" s="35" t="s">
        <v>78</v>
      </c>
      <c r="K7" s="36">
        <v>4.7865000000000002</v>
      </c>
      <c r="L7" s="36">
        <v>4.8048000000000002</v>
      </c>
      <c r="M7" s="70">
        <f t="shared" si="0"/>
        <v>4.7956500000000002</v>
      </c>
    </row>
    <row r="8" spans="1:16" x14ac:dyDescent="0.25">
      <c r="F8" t="s">
        <v>148</v>
      </c>
      <c r="J8" s="35" t="s">
        <v>79</v>
      </c>
      <c r="K8" s="36">
        <v>5.3155000000000001</v>
      </c>
      <c r="L8" s="36">
        <v>5.3277000000000001</v>
      </c>
      <c r="M8" s="70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70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70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70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70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70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70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97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98</v>
      </c>
      <c r="K19" s="36"/>
      <c r="L19" s="36"/>
      <c r="M19" s="70" t="s">
        <v>130</v>
      </c>
    </row>
    <row r="20" spans="10:13" x14ac:dyDescent="0.25">
      <c r="J20" t="s">
        <v>99</v>
      </c>
      <c r="M20" s="70" t="s">
        <v>188</v>
      </c>
    </row>
    <row r="21" spans="10:13" x14ac:dyDescent="0.25">
      <c r="J21" s="23" t="s">
        <v>102</v>
      </c>
      <c r="K21" s="23" t="s">
        <v>103</v>
      </c>
      <c r="M21" s="70" t="s">
        <v>103</v>
      </c>
    </row>
    <row r="22" spans="10:13" x14ac:dyDescent="0.25">
      <c r="J22" s="23" t="s">
        <v>104</v>
      </c>
      <c r="K22" s="23" t="s">
        <v>105</v>
      </c>
      <c r="M22" s="70" t="s">
        <v>129</v>
      </c>
    </row>
    <row r="23" spans="10:13" x14ac:dyDescent="0.25">
      <c r="J23" s="31" t="s">
        <v>107</v>
      </c>
      <c r="K23" s="23"/>
      <c r="M23" s="114">
        <v>-6</v>
      </c>
    </row>
    <row r="24" spans="10:13" x14ac:dyDescent="0.25">
      <c r="J24" s="23" t="s">
        <v>126</v>
      </c>
      <c r="K24" s="23"/>
      <c r="M24" s="70" t="s">
        <v>128</v>
      </c>
    </row>
    <row r="25" spans="10:13" x14ac:dyDescent="0.25">
      <c r="J25" t="s">
        <v>709</v>
      </c>
      <c r="M25" s="70" t="b">
        <v>1</v>
      </c>
    </row>
    <row r="26" spans="10:13" x14ac:dyDescent="0.25">
      <c r="J26" t="s">
        <v>710</v>
      </c>
      <c r="M26" s="70" t="str">
        <f>"C:\Users\stu\Documents\GitHub\eaglep3-reporting\EC\"&amp;TEXT(A2,"yyyy-mm-dd")&amp;"-refined-times.txt"</f>
        <v>C:\Users\stu\Documents\GitHub\eaglep3-reporting\EC\2016-08-25-refined-times.txt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>
      <selection activeCell="H7" sqref="H7"/>
    </sheetView>
  </sheetViews>
  <sheetFormatPr defaultRowHeight="15" x14ac:dyDescent="0.25"/>
  <cols>
    <col min="1" max="1" width="32.85546875" style="143" bestFit="1" customWidth="1"/>
    <col min="2" max="7" width="9.140625" style="143"/>
    <col min="8" max="8" width="17.7109375" style="143" bestFit="1" customWidth="1"/>
    <col min="9" max="9" width="9.140625" style="145"/>
    <col min="10" max="16384" width="9.140625" style="143"/>
  </cols>
  <sheetData>
    <row r="1" spans="1:11" x14ac:dyDescent="0.25">
      <c r="A1" s="142" t="s">
        <v>266</v>
      </c>
      <c r="B1" s="142" t="s">
        <v>267</v>
      </c>
      <c r="C1" s="143" t="s">
        <v>268</v>
      </c>
      <c r="H1" t="s">
        <v>262</v>
      </c>
      <c r="I1" s="144" t="s">
        <v>264</v>
      </c>
      <c r="J1"/>
    </row>
    <row r="2" spans="1:11" x14ac:dyDescent="0.25">
      <c r="A2" s="143" t="s">
        <v>269</v>
      </c>
      <c r="B2" s="143" t="s">
        <v>270</v>
      </c>
      <c r="C2" s="143" t="s">
        <v>271</v>
      </c>
      <c r="H2" t="s">
        <v>263</v>
      </c>
      <c r="I2" s="114" t="s">
        <v>265</v>
      </c>
      <c r="J2"/>
    </row>
    <row r="3" spans="1:11" x14ac:dyDescent="0.25">
      <c r="A3" s="143" t="s">
        <v>272</v>
      </c>
      <c r="B3" s="143" t="s">
        <v>273</v>
      </c>
      <c r="C3" s="143" t="s">
        <v>274</v>
      </c>
      <c r="H3" t="s">
        <v>289</v>
      </c>
      <c r="I3" s="114">
        <v>1</v>
      </c>
      <c r="J3"/>
      <c r="K3" s="70"/>
    </row>
    <row r="4" spans="1:11" x14ac:dyDescent="0.25">
      <c r="A4" s="143" t="s">
        <v>275</v>
      </c>
      <c r="C4" s="143" t="s">
        <v>276</v>
      </c>
      <c r="H4" t="s">
        <v>290</v>
      </c>
      <c r="I4" s="114">
        <v>2</v>
      </c>
      <c r="J4"/>
      <c r="K4" s="70"/>
    </row>
    <row r="5" spans="1:11" x14ac:dyDescent="0.25">
      <c r="A5" s="143" t="s">
        <v>277</v>
      </c>
      <c r="C5" s="143" t="s">
        <v>278</v>
      </c>
      <c r="H5" t="s">
        <v>291</v>
      </c>
      <c r="I5" s="114">
        <v>23</v>
      </c>
      <c r="J5"/>
      <c r="K5" s="70"/>
    </row>
    <row r="6" spans="1:11" x14ac:dyDescent="0.25">
      <c r="A6" s="143" t="s">
        <v>279</v>
      </c>
      <c r="C6" s="143" t="s">
        <v>280</v>
      </c>
      <c r="H6" s="146" t="s">
        <v>292</v>
      </c>
      <c r="I6" s="147" t="s">
        <v>270</v>
      </c>
    </row>
    <row r="7" spans="1:11" x14ac:dyDescent="0.25">
      <c r="A7" s="143" t="s">
        <v>281</v>
      </c>
      <c r="C7" s="143" t="s">
        <v>282</v>
      </c>
    </row>
    <row r="8" spans="1:11" x14ac:dyDescent="0.25">
      <c r="C8" s="143" t="s">
        <v>283</v>
      </c>
    </row>
    <row r="9" spans="1:11" x14ac:dyDescent="0.25">
      <c r="C9" s="143" t="s">
        <v>284</v>
      </c>
    </row>
    <row r="10" spans="1:11" x14ac:dyDescent="0.25">
      <c r="C10" s="143" t="s">
        <v>285</v>
      </c>
    </row>
    <row r="11" spans="1:11" x14ac:dyDescent="0.25">
      <c r="C11" s="143" t="s">
        <v>286</v>
      </c>
    </row>
    <row r="12" spans="1:11" x14ac:dyDescent="0.25">
      <c r="C12" s="143" t="s">
        <v>287</v>
      </c>
    </row>
    <row r="13" spans="1:11" x14ac:dyDescent="0.25">
      <c r="C13" s="143" t="s">
        <v>288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Train Runs</vt:lpstr>
      <vt:lpstr>Enforcements</vt:lpstr>
      <vt:lpstr>Missing Trips</vt:lpstr>
      <vt:lpstr>Trips&amp;Operators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2016-08-29T15:49:59Z</dcterms:modified>
</cp:coreProperties>
</file>