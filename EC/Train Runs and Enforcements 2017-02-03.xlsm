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Enforcements!$A$6:$AC$33</definedName>
    <definedName name="_xlnm._FilterDatabase" localSheetId="2" hidden="1">'Missing Trips'!$A$2:$J$120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3" i="1" l="1"/>
  <c r="X24" i="1"/>
  <c r="X25" i="1"/>
  <c r="K22" i="1"/>
  <c r="L22" i="1"/>
  <c r="M22" i="1"/>
  <c r="V22" i="1"/>
  <c r="Y22" i="1"/>
  <c r="Z22" i="1"/>
  <c r="AA22" i="1"/>
  <c r="AB22" i="1"/>
  <c r="AC22" i="1"/>
  <c r="AD22" i="1"/>
  <c r="T22" i="1" s="1"/>
  <c r="AE22" i="1"/>
  <c r="AF22" i="1"/>
  <c r="AH22" i="1"/>
  <c r="AM22" i="1"/>
  <c r="AN22" i="1"/>
  <c r="K15" i="1"/>
  <c r="L15" i="1"/>
  <c r="M15" i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G22" i="1" l="1"/>
  <c r="AA15" i="1"/>
  <c r="AG15" i="1"/>
  <c r="K14" i="1"/>
  <c r="L14" i="1"/>
  <c r="M14" i="1"/>
  <c r="N14" i="1" s="1"/>
  <c r="V14" i="1"/>
  <c r="Y14" i="1"/>
  <c r="Z14" i="1"/>
  <c r="AB14" i="1"/>
  <c r="AC14" i="1"/>
  <c r="AD14" i="1"/>
  <c r="X15" i="1" s="1"/>
  <c r="AE14" i="1"/>
  <c r="AF14" i="1"/>
  <c r="AH14" i="1"/>
  <c r="AM14" i="1"/>
  <c r="AN14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S14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S8" i="3" s="1"/>
  <c r="Y20" i="1"/>
  <c r="Z20" i="1"/>
  <c r="AA20" i="1" s="1"/>
  <c r="AB20" i="1"/>
  <c r="AC20" i="1"/>
  <c r="AD20" i="1"/>
  <c r="T20" i="1" s="1"/>
  <c r="AE20" i="1"/>
  <c r="R8" i="3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P25" i="1" s="1"/>
  <c r="V25" i="1"/>
  <c r="Y25" i="1"/>
  <c r="Z25" i="1"/>
  <c r="AA25" i="1" s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G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P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R21" i="3" s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R10" i="3" s="1"/>
  <c r="AF34" i="1"/>
  <c r="AH34" i="1"/>
  <c r="AM34" i="1"/>
  <c r="AN34" i="1"/>
  <c r="K35" i="1"/>
  <c r="L35" i="1"/>
  <c r="M35" i="1"/>
  <c r="N35" i="1" s="1"/>
  <c r="V35" i="1"/>
  <c r="Y35" i="1"/>
  <c r="AA35" i="1" s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X37" i="1"/>
  <c r="Y37" i="1"/>
  <c r="Z37" i="1"/>
  <c r="AA37" i="1" s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S22" i="3" s="1"/>
  <c r="Y44" i="1"/>
  <c r="Z44" i="1"/>
  <c r="AI44" i="1" s="1"/>
  <c r="AB44" i="1"/>
  <c r="AC44" i="1"/>
  <c r="AD44" i="1"/>
  <c r="AG44" i="1" s="1"/>
  <c r="AE44" i="1"/>
  <c r="R22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S24" i="3" s="1"/>
  <c r="Y51" i="1"/>
  <c r="Z51" i="1"/>
  <c r="AI51" i="1" s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R23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S15" i="3" s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R25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S18" i="3" s="1"/>
  <c r="Y83" i="1"/>
  <c r="Z83" i="1"/>
  <c r="AB83" i="1"/>
  <c r="AC83" i="1"/>
  <c r="AD83" i="1"/>
  <c r="AE83" i="1"/>
  <c r="R18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I87" i="1" s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I91" i="1" s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I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I110" i="1" s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R12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I120" i="1" s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S26" i="3" s="1"/>
  <c r="Y130" i="1"/>
  <c r="Z130" i="1"/>
  <c r="AB130" i="1"/>
  <c r="AC130" i="1"/>
  <c r="AD130" i="1"/>
  <c r="T130" i="1" s="1"/>
  <c r="AE130" i="1"/>
  <c r="R26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7" i="3" s="1"/>
  <c r="Y136" i="1"/>
  <c r="Z136" i="1"/>
  <c r="AB136" i="1"/>
  <c r="AC136" i="1"/>
  <c r="AD136" i="1"/>
  <c r="AE136" i="1"/>
  <c r="R7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39" i="1"/>
  <c r="AM139" i="1"/>
  <c r="AN139" i="1"/>
  <c r="K140" i="1"/>
  <c r="L140" i="1"/>
  <c r="M140" i="1"/>
  <c r="V140" i="1"/>
  <c r="Y140" i="1"/>
  <c r="AB140" i="1"/>
  <c r="AC140" i="1"/>
  <c r="AD140" i="1"/>
  <c r="AE140" i="1"/>
  <c r="AF140" i="1"/>
  <c r="AH140" i="1"/>
  <c r="AM140" i="1"/>
  <c r="AN140" i="1"/>
  <c r="K141" i="1"/>
  <c r="L141" i="1"/>
  <c r="M141" i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S9" i="3" s="1"/>
  <c r="Y146" i="1"/>
  <c r="Z146" i="1"/>
  <c r="AB146" i="1"/>
  <c r="AC146" i="1"/>
  <c r="AD146" i="1"/>
  <c r="AG146" i="1" s="1"/>
  <c r="AE146" i="1"/>
  <c r="R9" i="3" s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I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R32" i="3" s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70" i="1"/>
  <c r="AM170" i="1"/>
  <c r="AN17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1" i="1"/>
  <c r="AM171" i="1"/>
  <c r="AN17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2" i="1"/>
  <c r="AM172" i="1"/>
  <c r="AN172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173" i="1"/>
  <c r="AM173" i="1"/>
  <c r="AN173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4" i="1"/>
  <c r="AM174" i="1"/>
  <c r="AN174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75" i="1"/>
  <c r="AM175" i="1"/>
  <c r="AN17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76" i="1"/>
  <c r="AM176" i="1"/>
  <c r="AN17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7" i="1"/>
  <c r="AM177" i="1"/>
  <c r="AN17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8" i="1"/>
  <c r="AM178" i="1"/>
  <c r="AN178" i="1"/>
  <c r="K166" i="1"/>
  <c r="L166" i="1"/>
  <c r="M166" i="1"/>
  <c r="N166" i="1" s="1"/>
  <c r="V166" i="1"/>
  <c r="S29" i="3" s="1"/>
  <c r="Y166" i="1"/>
  <c r="Z166" i="1"/>
  <c r="AB166" i="1"/>
  <c r="AC166" i="1"/>
  <c r="AD166" i="1"/>
  <c r="T166" i="1" s="1"/>
  <c r="AE166" i="1"/>
  <c r="AF166" i="1"/>
  <c r="AH179" i="1"/>
  <c r="AM179" i="1"/>
  <c r="AN179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0" i="1"/>
  <c r="AM180" i="1"/>
  <c r="AN18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1" i="1"/>
  <c r="AM181" i="1"/>
  <c r="AN18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2" i="1"/>
  <c r="AM182" i="1"/>
  <c r="AN18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3" i="1"/>
  <c r="AM183" i="1"/>
  <c r="AN183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4" i="1"/>
  <c r="AM184" i="1"/>
  <c r="AN184" i="1"/>
  <c r="K172" i="1"/>
  <c r="L172" i="1"/>
  <c r="M172" i="1"/>
  <c r="N172" i="1" s="1"/>
  <c r="V172" i="1"/>
  <c r="S30" i="3" s="1"/>
  <c r="Y172" i="1"/>
  <c r="Z172" i="1"/>
  <c r="AB172" i="1"/>
  <c r="AC172" i="1"/>
  <c r="AD172" i="1"/>
  <c r="AE172" i="1"/>
  <c r="R30" i="3" s="1"/>
  <c r="AF172" i="1"/>
  <c r="AH185" i="1"/>
  <c r="AM185" i="1"/>
  <c r="AN18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86" i="1"/>
  <c r="AM186" i="1"/>
  <c r="AN18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87" i="1"/>
  <c r="AM187" i="1"/>
  <c r="AN18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88" i="1"/>
  <c r="AM188" i="1"/>
  <c r="AN188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89" i="1"/>
  <c r="AM189" i="1"/>
  <c r="AN18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R28" i="3" s="1"/>
  <c r="AF177" i="1"/>
  <c r="AH190" i="1"/>
  <c r="AM190" i="1"/>
  <c r="AN19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1" i="1"/>
  <c r="AM191" i="1"/>
  <c r="AN19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2" i="1"/>
  <c r="AM192" i="1"/>
  <c r="AN192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3" i="1"/>
  <c r="AM193" i="1"/>
  <c r="AN19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4" i="1"/>
  <c r="AM194" i="1"/>
  <c r="AN194" i="1"/>
  <c r="K182" i="1"/>
  <c r="L182" i="1"/>
  <c r="M182" i="1"/>
  <c r="N182" i="1" s="1"/>
  <c r="V182" i="1"/>
  <c r="S27" i="3" s="1"/>
  <c r="Y182" i="1"/>
  <c r="Z182" i="1"/>
  <c r="AB182" i="1"/>
  <c r="AC182" i="1"/>
  <c r="AD182" i="1"/>
  <c r="T182" i="1" s="1"/>
  <c r="AE182" i="1"/>
  <c r="R27" i="3" s="1"/>
  <c r="AF182" i="1"/>
  <c r="AH195" i="1"/>
  <c r="AM195" i="1"/>
  <c r="AN19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96" i="1"/>
  <c r="AM196" i="1"/>
  <c r="AN19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97" i="1"/>
  <c r="AM197" i="1"/>
  <c r="AN197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98" i="1"/>
  <c r="AM198" i="1"/>
  <c r="AN19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99" i="1"/>
  <c r="AM199" i="1"/>
  <c r="AN199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0" i="1"/>
  <c r="AM200" i="1"/>
  <c r="AN200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1" i="1"/>
  <c r="AM201" i="1"/>
  <c r="AN201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2" i="1"/>
  <c r="AM202" i="1"/>
  <c r="AN20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3" i="1"/>
  <c r="AM203" i="1"/>
  <c r="AN20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04" i="1"/>
  <c r="AM204" i="1"/>
  <c r="AN204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05" i="1"/>
  <c r="AM205" i="1"/>
  <c r="AN205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6" i="1"/>
  <c r="AM206" i="1"/>
  <c r="AN20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07" i="1"/>
  <c r="AM207" i="1"/>
  <c r="AN20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08" i="1"/>
  <c r="AM208" i="1"/>
  <c r="AN208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09" i="1"/>
  <c r="AM209" i="1"/>
  <c r="AN20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0" i="1"/>
  <c r="AM210" i="1"/>
  <c r="AN21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1" i="1"/>
  <c r="AM211" i="1"/>
  <c r="AN21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2" i="1"/>
  <c r="AM212" i="1"/>
  <c r="AN21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13" i="1"/>
  <c r="AM213" i="1"/>
  <c r="AN213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4" i="1"/>
  <c r="AM214" i="1"/>
  <c r="AN214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15" i="1"/>
  <c r="AM215" i="1"/>
  <c r="AN21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6" i="1"/>
  <c r="AM216" i="1"/>
  <c r="AN21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17" i="1"/>
  <c r="AM217" i="1"/>
  <c r="AN21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18" i="1"/>
  <c r="AM218" i="1"/>
  <c r="AN218" i="1"/>
  <c r="K206" i="1"/>
  <c r="L206" i="1"/>
  <c r="M206" i="1"/>
  <c r="N206" i="1" s="1"/>
  <c r="V206" i="1"/>
  <c r="S31" i="3" s="1"/>
  <c r="Y206" i="1"/>
  <c r="Z206" i="1"/>
  <c r="AB206" i="1"/>
  <c r="AC206" i="1"/>
  <c r="AD206" i="1"/>
  <c r="T206" i="1" s="1"/>
  <c r="AE206" i="1"/>
  <c r="R31" i="3" s="1"/>
  <c r="AF206" i="1"/>
  <c r="AH219" i="1"/>
  <c r="AM219" i="1"/>
  <c r="AN21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0" i="1"/>
  <c r="AM220" i="1"/>
  <c r="AN220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21" i="1"/>
  <c r="AM221" i="1"/>
  <c r="AN221" i="1"/>
  <c r="K218" i="1"/>
  <c r="L218" i="1"/>
  <c r="M218" i="1"/>
  <c r="N218" i="1"/>
  <c r="V218" i="1"/>
  <c r="Y218" i="1"/>
  <c r="Z218" i="1"/>
  <c r="AB218" i="1"/>
  <c r="AC218" i="1"/>
  <c r="AD218" i="1"/>
  <c r="AG218" i="1" s="1"/>
  <c r="AE218" i="1"/>
  <c r="AF218" i="1"/>
  <c r="AH222" i="1"/>
  <c r="AM222" i="1"/>
  <c r="AN222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AA226" i="1" s="1"/>
  <c r="Z226" i="1"/>
  <c r="AB226" i="1"/>
  <c r="AC226" i="1"/>
  <c r="AD226" i="1"/>
  <c r="AG226" i="1" s="1"/>
  <c r="AE226" i="1"/>
  <c r="AF226" i="1"/>
  <c r="AH226" i="1"/>
  <c r="AI226" i="1"/>
  <c r="AM226" i="1"/>
  <c r="AN226" i="1"/>
  <c r="M14" i="3"/>
  <c r="R14" i="3"/>
  <c r="U14" i="3"/>
  <c r="T14" i="3" s="1"/>
  <c r="V14" i="3"/>
  <c r="W14" i="3"/>
  <c r="X14" i="3"/>
  <c r="AC14" i="3"/>
  <c r="M19" i="3"/>
  <c r="S19" i="3"/>
  <c r="U19" i="3"/>
  <c r="V19" i="3"/>
  <c r="W19" i="3"/>
  <c r="Y19" i="3" s="1"/>
  <c r="X19" i="3"/>
  <c r="M8" i="3"/>
  <c r="U8" i="3"/>
  <c r="T8" i="3" s="1"/>
  <c r="V8" i="3"/>
  <c r="W8" i="3"/>
  <c r="X8" i="3"/>
  <c r="AC8" i="3"/>
  <c r="M29" i="3"/>
  <c r="R29" i="3"/>
  <c r="U29" i="3"/>
  <c r="T29" i="3" s="1"/>
  <c r="V29" i="3"/>
  <c r="W29" i="3"/>
  <c r="X29" i="3"/>
  <c r="AC29" i="3"/>
  <c r="M21" i="3"/>
  <c r="S21" i="3"/>
  <c r="U21" i="3"/>
  <c r="AD21" i="3" s="1"/>
  <c r="V21" i="3"/>
  <c r="W21" i="3"/>
  <c r="X21" i="3"/>
  <c r="AC21" i="3"/>
  <c r="M10" i="3"/>
  <c r="S10" i="3"/>
  <c r="U10" i="3"/>
  <c r="AC10" i="3" s="1"/>
  <c r="V10" i="3"/>
  <c r="W10" i="3"/>
  <c r="X10" i="3"/>
  <c r="M30" i="3"/>
  <c r="U30" i="3"/>
  <c r="T30" i="3" s="1"/>
  <c r="V30" i="3"/>
  <c r="W30" i="3"/>
  <c r="X30" i="3"/>
  <c r="AC30" i="3"/>
  <c r="M22" i="3"/>
  <c r="U22" i="3"/>
  <c r="T22" i="3" s="1"/>
  <c r="V22" i="3"/>
  <c r="W22" i="3"/>
  <c r="X22" i="3"/>
  <c r="AC22" i="3"/>
  <c r="M24" i="3"/>
  <c r="R24" i="3"/>
  <c r="U24" i="3"/>
  <c r="V24" i="3"/>
  <c r="W24" i="3"/>
  <c r="X24" i="3"/>
  <c r="M15" i="3"/>
  <c r="R15" i="3"/>
  <c r="U15" i="3"/>
  <c r="AC15" i="3" s="1"/>
  <c r="V15" i="3"/>
  <c r="W15" i="3"/>
  <c r="X15" i="3"/>
  <c r="M23" i="3"/>
  <c r="S23" i="3"/>
  <c r="U23" i="3"/>
  <c r="V23" i="3"/>
  <c r="W23" i="3"/>
  <c r="X23" i="3"/>
  <c r="AC23" i="3"/>
  <c r="M25" i="3"/>
  <c r="S25" i="3"/>
  <c r="U25" i="3"/>
  <c r="T25" i="3" s="1"/>
  <c r="V25" i="3"/>
  <c r="AE25" i="3" s="1"/>
  <c r="W25" i="3"/>
  <c r="X25" i="3"/>
  <c r="AC25" i="3"/>
  <c r="AD19" i="3"/>
  <c r="M28" i="3"/>
  <c r="S28" i="3"/>
  <c r="U28" i="3"/>
  <c r="V28" i="3"/>
  <c r="W28" i="3"/>
  <c r="X28" i="3"/>
  <c r="AC28" i="3"/>
  <c r="M18" i="3"/>
  <c r="U18" i="3"/>
  <c r="AC18" i="3" s="1"/>
  <c r="V18" i="3"/>
  <c r="W18" i="3"/>
  <c r="X18" i="3"/>
  <c r="M27" i="3"/>
  <c r="T27" i="3"/>
  <c r="U27" i="3"/>
  <c r="V27" i="3"/>
  <c r="W27" i="3"/>
  <c r="X27" i="3"/>
  <c r="AC27" i="3"/>
  <c r="M13" i="3"/>
  <c r="R13" i="3"/>
  <c r="S13" i="3"/>
  <c r="U13" i="3"/>
  <c r="T13" i="3" s="1"/>
  <c r="V13" i="3"/>
  <c r="W13" i="3"/>
  <c r="X13" i="3"/>
  <c r="AC13" i="3"/>
  <c r="M11" i="3"/>
  <c r="R11" i="3"/>
  <c r="S11" i="3"/>
  <c r="U11" i="3"/>
  <c r="V11" i="3"/>
  <c r="W11" i="3"/>
  <c r="X11" i="3"/>
  <c r="M17" i="3"/>
  <c r="R17" i="3"/>
  <c r="S17" i="3"/>
  <c r="U17" i="3"/>
  <c r="AC17" i="3" s="1"/>
  <c r="V17" i="3"/>
  <c r="W17" i="3"/>
  <c r="X17" i="3"/>
  <c r="M12" i="3"/>
  <c r="S12" i="3"/>
  <c r="U12" i="3"/>
  <c r="T12" i="3" s="1"/>
  <c r="V12" i="3"/>
  <c r="W12" i="3"/>
  <c r="X12" i="3"/>
  <c r="AC12" i="3"/>
  <c r="M26" i="3"/>
  <c r="U26" i="3"/>
  <c r="AD27" i="3" s="1"/>
  <c r="V26" i="3"/>
  <c r="W26" i="3"/>
  <c r="X26" i="3"/>
  <c r="AC26" i="3"/>
  <c r="M7" i="3"/>
  <c r="U7" i="3"/>
  <c r="AC7" i="3" s="1"/>
  <c r="V7" i="3"/>
  <c r="W7" i="3"/>
  <c r="Y7" i="3" s="1"/>
  <c r="X7" i="3"/>
  <c r="M32" i="3"/>
  <c r="S32" i="3"/>
  <c r="U32" i="3"/>
  <c r="T32" i="3" s="1"/>
  <c r="V32" i="3"/>
  <c r="W32" i="3"/>
  <c r="X32" i="3"/>
  <c r="AC32" i="3"/>
  <c r="M16" i="3"/>
  <c r="R16" i="3"/>
  <c r="S16" i="3"/>
  <c r="U16" i="3"/>
  <c r="T16" i="3" s="1"/>
  <c r="V16" i="3"/>
  <c r="W16" i="3"/>
  <c r="X16" i="3"/>
  <c r="AC16" i="3"/>
  <c r="M31" i="3"/>
  <c r="U31" i="3"/>
  <c r="AD31" i="3" s="1"/>
  <c r="V31" i="3"/>
  <c r="W31" i="3"/>
  <c r="X31" i="3"/>
  <c r="M9" i="3"/>
  <c r="U9" i="3"/>
  <c r="AC9" i="3" s="1"/>
  <c r="V9" i="3"/>
  <c r="W9" i="3"/>
  <c r="X9" i="3"/>
  <c r="M28" i="5"/>
  <c r="Y17" i="3" l="1"/>
  <c r="Y14" i="3"/>
  <c r="AD23" i="3"/>
  <c r="AE21" i="3"/>
  <c r="Y9" i="3"/>
  <c r="Y26" i="3"/>
  <c r="AD29" i="3"/>
  <c r="AE29" i="3"/>
  <c r="Y28" i="3"/>
  <c r="AA180" i="1"/>
  <c r="W180" i="1" s="1"/>
  <c r="AA149" i="1"/>
  <c r="AI147" i="1"/>
  <c r="AI143" i="1"/>
  <c r="P99" i="1"/>
  <c r="AI79" i="1"/>
  <c r="AI67" i="1"/>
  <c r="X22" i="1"/>
  <c r="AG194" i="1"/>
  <c r="AG121" i="1"/>
  <c r="X121" i="1"/>
  <c r="AI78" i="1"/>
  <c r="W22" i="1"/>
  <c r="AI22" i="1"/>
  <c r="U22" i="1"/>
  <c r="S22" i="1" s="1"/>
  <c r="AA189" i="1"/>
  <c r="W189" i="1" s="1"/>
  <c r="AA177" i="1"/>
  <c r="AA165" i="1"/>
  <c r="AA161" i="1"/>
  <c r="W161" i="1" s="1"/>
  <c r="AA178" i="1"/>
  <c r="AG158" i="1"/>
  <c r="X158" i="1"/>
  <c r="X159" i="1"/>
  <c r="AA150" i="1"/>
  <c r="AA155" i="1"/>
  <c r="W155" i="1" s="1"/>
  <c r="AI148" i="1"/>
  <c r="AI146" i="1"/>
  <c r="AG101" i="1"/>
  <c r="AA133" i="1"/>
  <c r="AA113" i="1"/>
  <c r="AA108" i="1"/>
  <c r="AA134" i="1"/>
  <c r="AI132" i="1"/>
  <c r="AA118" i="1"/>
  <c r="AA53" i="1"/>
  <c r="X96" i="1"/>
  <c r="AA68" i="1"/>
  <c r="X67" i="1"/>
  <c r="AA62" i="1"/>
  <c r="AI52" i="1"/>
  <c r="AA197" i="1"/>
  <c r="W197" i="1" s="1"/>
  <c r="T189" i="1"/>
  <c r="AA181" i="1"/>
  <c r="AA210" i="1"/>
  <c r="AA146" i="1"/>
  <c r="AA144" i="1"/>
  <c r="AG139" i="1"/>
  <c r="AI139" i="1" s="1"/>
  <c r="X139" i="1"/>
  <c r="AA135" i="1"/>
  <c r="AG129" i="1"/>
  <c r="W129" i="1" s="1"/>
  <c r="AI128" i="1"/>
  <c r="AA125" i="1"/>
  <c r="X101" i="1"/>
  <c r="AG140" i="1"/>
  <c r="X140" i="1"/>
  <c r="R19" i="3"/>
  <c r="AA215" i="1"/>
  <c r="AA148" i="1"/>
  <c r="AA142" i="1"/>
  <c r="AA131" i="1"/>
  <c r="W131" i="1" s="1"/>
  <c r="AA124" i="1"/>
  <c r="W124" i="1" s="1"/>
  <c r="AA110" i="1"/>
  <c r="W110" i="1" s="1"/>
  <c r="AG108" i="1"/>
  <c r="AI108" i="1" s="1"/>
  <c r="AI107" i="1"/>
  <c r="AA103" i="1"/>
  <c r="W103" i="1" s="1"/>
  <c r="X95" i="1"/>
  <c r="AA91" i="1"/>
  <c r="W91" i="1" s="1"/>
  <c r="X59" i="1"/>
  <c r="AA52" i="1"/>
  <c r="AA48" i="1"/>
  <c r="W48" i="1" s="1"/>
  <c r="T138" i="1"/>
  <c r="X138" i="1"/>
  <c r="AI193" i="1"/>
  <c r="AG186" i="1"/>
  <c r="AI186" i="1" s="1"/>
  <c r="AA158" i="1"/>
  <c r="W158" i="1" s="1"/>
  <c r="AI155" i="1"/>
  <c r="AA143" i="1"/>
  <c r="P140" i="1"/>
  <c r="W139" i="1"/>
  <c r="X111" i="1"/>
  <c r="AA95" i="1"/>
  <c r="W95" i="1" s="1"/>
  <c r="AA85" i="1"/>
  <c r="AA67" i="1"/>
  <c r="W67" i="1" s="1"/>
  <c r="AA63" i="1"/>
  <c r="W63" i="1" s="1"/>
  <c r="AA61" i="1"/>
  <c r="AA59" i="1"/>
  <c r="W59" i="1" s="1"/>
  <c r="AA54" i="1"/>
  <c r="X38" i="1"/>
  <c r="X213" i="1"/>
  <c r="AA217" i="1"/>
  <c r="T202" i="1"/>
  <c r="U202" i="1" s="1"/>
  <c r="S202" i="1" s="1"/>
  <c r="X197" i="1"/>
  <c r="AA170" i="1"/>
  <c r="X162" i="1"/>
  <c r="AA216" i="1"/>
  <c r="AA152" i="1"/>
  <c r="AG117" i="1"/>
  <c r="U117" i="1" s="1"/>
  <c r="S117" i="1" s="1"/>
  <c r="X117" i="1"/>
  <c r="T100" i="1"/>
  <c r="U100" i="1" s="1"/>
  <c r="AA92" i="1"/>
  <c r="AA82" i="1"/>
  <c r="AA79" i="1"/>
  <c r="W79" i="1" s="1"/>
  <c r="AA76" i="1"/>
  <c r="AA66" i="1"/>
  <c r="AG45" i="1"/>
  <c r="U45" i="1" s="1"/>
  <c r="S45" i="1" s="1"/>
  <c r="AA43" i="1"/>
  <c r="W43" i="1" s="1"/>
  <c r="AG33" i="1"/>
  <c r="AI33" i="1" s="1"/>
  <c r="X207" i="1"/>
  <c r="AG206" i="1"/>
  <c r="X206" i="1"/>
  <c r="AG174" i="1"/>
  <c r="X174" i="1"/>
  <c r="X169" i="1"/>
  <c r="AG166" i="1"/>
  <c r="AI166" i="1" s="1"/>
  <c r="AG214" i="1"/>
  <c r="AI214" i="1" s="1"/>
  <c r="X214" i="1"/>
  <c r="AA218" i="1"/>
  <c r="W218" i="1" s="1"/>
  <c r="X198" i="1"/>
  <c r="AA169" i="1"/>
  <c r="W169" i="1" s="1"/>
  <c r="AA220" i="1"/>
  <c r="W220" i="1" s="1"/>
  <c r="AA132" i="1"/>
  <c r="W132" i="1" s="1"/>
  <c r="AA130" i="1"/>
  <c r="AA122" i="1"/>
  <c r="W122" i="1" s="1"/>
  <c r="AA119" i="1"/>
  <c r="AA115" i="1"/>
  <c r="AA111" i="1"/>
  <c r="W111" i="1" s="1"/>
  <c r="AA101" i="1"/>
  <c r="W101" i="1" s="1"/>
  <c r="T88" i="1"/>
  <c r="U88" i="1" s="1"/>
  <c r="S88" i="1" s="1"/>
  <c r="AG85" i="1"/>
  <c r="U85" i="1" s="1"/>
  <c r="S85" i="1" s="1"/>
  <c r="X85" i="1"/>
  <c r="AA80" i="1"/>
  <c r="AA75" i="1"/>
  <c r="W75" i="1" s="1"/>
  <c r="AA70" i="1"/>
  <c r="AA44" i="1"/>
  <c r="W44" i="1" s="1"/>
  <c r="AA24" i="1"/>
  <c r="T17" i="1"/>
  <c r="AA16" i="1"/>
  <c r="W143" i="1"/>
  <c r="AA116" i="1"/>
  <c r="W116" i="1" s="1"/>
  <c r="X91" i="1"/>
  <c r="AA87" i="1"/>
  <c r="W87" i="1" s="1"/>
  <c r="AA81" i="1"/>
  <c r="AA73" i="1"/>
  <c r="W73" i="1" s="1"/>
  <c r="AA71" i="1"/>
  <c r="W71" i="1" s="1"/>
  <c r="AA65" i="1"/>
  <c r="AA55" i="1"/>
  <c r="W55" i="1" s="1"/>
  <c r="W52" i="1"/>
  <c r="AA40" i="1"/>
  <c r="AA19" i="1"/>
  <c r="AA17" i="1"/>
  <c r="AG16" i="1"/>
  <c r="AI16" i="1" s="1"/>
  <c r="X16" i="1"/>
  <c r="AI15" i="1"/>
  <c r="U15" i="1"/>
  <c r="S15" i="1" s="1"/>
  <c r="W15" i="1"/>
  <c r="Y24" i="3"/>
  <c r="Y22" i="3"/>
  <c r="Y16" i="3"/>
  <c r="Y31" i="3"/>
  <c r="AD26" i="3"/>
  <c r="Y10" i="3"/>
  <c r="AA219" i="1"/>
  <c r="T198" i="1"/>
  <c r="AA196" i="1"/>
  <c r="W196" i="1" s="1"/>
  <c r="U194" i="1"/>
  <c r="S194" i="1" s="1"/>
  <c r="AA179" i="1"/>
  <c r="AA172" i="1"/>
  <c r="AA163" i="1"/>
  <c r="T162" i="1"/>
  <c r="X221" i="1"/>
  <c r="AA221" i="1"/>
  <c r="AA213" i="1"/>
  <c r="W213" i="1" s="1"/>
  <c r="AA209" i="1"/>
  <c r="W209" i="1" s="1"/>
  <c r="AA208" i="1"/>
  <c r="AG159" i="1"/>
  <c r="U159" i="1" s="1"/>
  <c r="S159" i="1" s="1"/>
  <c r="T156" i="1"/>
  <c r="AG153" i="1"/>
  <c r="X153" i="1"/>
  <c r="AA151" i="1"/>
  <c r="X149" i="1"/>
  <c r="X148" i="1"/>
  <c r="AA145" i="1"/>
  <c r="T140" i="1"/>
  <c r="X134" i="1"/>
  <c r="AG133" i="1"/>
  <c r="AI133" i="1" s="1"/>
  <c r="X133" i="1"/>
  <c r="AI131" i="1"/>
  <c r="AI124" i="1"/>
  <c r="T116" i="1"/>
  <c r="AA112" i="1"/>
  <c r="AI111" i="1"/>
  <c r="AA107" i="1"/>
  <c r="W107" i="1" s="1"/>
  <c r="AA104" i="1"/>
  <c r="W104" i="1" s="1"/>
  <c r="AI103" i="1"/>
  <c r="AA99" i="1"/>
  <c r="AA84" i="1"/>
  <c r="X81" i="1"/>
  <c r="AG80" i="1"/>
  <c r="AI80" i="1" s="1"/>
  <c r="AA77" i="1"/>
  <c r="AA74" i="1"/>
  <c r="AG72" i="1"/>
  <c r="U72" i="1" s="1"/>
  <c r="X72" i="1"/>
  <c r="AI71" i="1"/>
  <c r="AG64" i="1"/>
  <c r="U64" i="1" s="1"/>
  <c r="X64" i="1"/>
  <c r="AA56" i="1"/>
  <c r="X54" i="1"/>
  <c r="AG53" i="1"/>
  <c r="AI53" i="1" s="1"/>
  <c r="AA50" i="1"/>
  <c r="AG41" i="1"/>
  <c r="U41" i="1" s="1"/>
  <c r="X36" i="1"/>
  <c r="AA34" i="1"/>
  <c r="W34" i="1" s="1"/>
  <c r="T34" i="1"/>
  <c r="AA28" i="1"/>
  <c r="X21" i="1"/>
  <c r="AA200" i="1"/>
  <c r="AA198" i="1"/>
  <c r="X97" i="1"/>
  <c r="X226" i="1"/>
  <c r="AG219" i="1"/>
  <c r="AA182" i="1"/>
  <c r="AG178" i="1"/>
  <c r="AA171" i="1"/>
  <c r="W171" i="1" s="1"/>
  <c r="AA168" i="1"/>
  <c r="AA164" i="1"/>
  <c r="AG162" i="1"/>
  <c r="X161" i="1"/>
  <c r="AA212" i="1"/>
  <c r="AA160" i="1"/>
  <c r="U156" i="1"/>
  <c r="S156" i="1" s="1"/>
  <c r="AA153" i="1"/>
  <c r="AA147" i="1"/>
  <c r="W147" i="1" s="1"/>
  <c r="AG144" i="1"/>
  <c r="W144" i="1" s="1"/>
  <c r="AA106" i="1"/>
  <c r="T104" i="1"/>
  <c r="U104" i="1" s="1"/>
  <c r="S104" i="1" s="1"/>
  <c r="AA100" i="1"/>
  <c r="W100" i="1" s="1"/>
  <c r="AA98" i="1"/>
  <c r="AA96" i="1"/>
  <c r="AI95" i="1"/>
  <c r="AA94" i="1"/>
  <c r="W94" i="1" s="1"/>
  <c r="AG92" i="1"/>
  <c r="AI92" i="1" s="1"/>
  <c r="AA78" i="1"/>
  <c r="W78" i="1" s="1"/>
  <c r="AI75" i="1"/>
  <c r="AG60" i="1"/>
  <c r="U60" i="1" s="1"/>
  <c r="S60" i="1" s="1"/>
  <c r="X60" i="1"/>
  <c r="AA58" i="1"/>
  <c r="AA51" i="1"/>
  <c r="W51" i="1" s="1"/>
  <c r="AA49" i="1"/>
  <c r="AI48" i="1"/>
  <c r="AA36" i="1"/>
  <c r="W36" i="1" s="1"/>
  <c r="T36" i="1"/>
  <c r="X34" i="1"/>
  <c r="AA33" i="1"/>
  <c r="AA29" i="1"/>
  <c r="AG23" i="1"/>
  <c r="AI23" i="1" s="1"/>
  <c r="W226" i="1"/>
  <c r="AA225" i="1"/>
  <c r="W225" i="1" s="1"/>
  <c r="AI218" i="1"/>
  <c r="AA203" i="1"/>
  <c r="AI202" i="1"/>
  <c r="X183" i="1"/>
  <c r="AG182" i="1"/>
  <c r="X182" i="1"/>
  <c r="U174" i="1"/>
  <c r="S174" i="1" s="1"/>
  <c r="X210" i="1"/>
  <c r="W146" i="1"/>
  <c r="W133" i="1"/>
  <c r="T226" i="1"/>
  <c r="X218" i="1"/>
  <c r="AA205" i="1"/>
  <c r="AA204" i="1"/>
  <c r="W204" i="1" s="1"/>
  <c r="AG203" i="1"/>
  <c r="W203" i="1" s="1"/>
  <c r="X203" i="1"/>
  <c r="X199" i="1"/>
  <c r="AG198" i="1"/>
  <c r="T197" i="1"/>
  <c r="U197" i="1" s="1"/>
  <c r="S197" i="1" s="1"/>
  <c r="AA195" i="1"/>
  <c r="AA194" i="1"/>
  <c r="W194" i="1" s="1"/>
  <c r="X193" i="1"/>
  <c r="AA185" i="1"/>
  <c r="W185" i="1" s="1"/>
  <c r="X178" i="1"/>
  <c r="AA173" i="1"/>
  <c r="X170" i="1"/>
  <c r="AG170" i="1"/>
  <c r="W170" i="1" s="1"/>
  <c r="T170" i="1"/>
  <c r="AA224" i="1"/>
  <c r="U219" i="1"/>
  <c r="S219" i="1" s="1"/>
  <c r="U206" i="1"/>
  <c r="S206" i="1" s="1"/>
  <c r="AG205" i="1"/>
  <c r="T205" i="1"/>
  <c r="T195" i="1"/>
  <c r="X195" i="1"/>
  <c r="AG195" i="1"/>
  <c r="AI195" i="1" s="1"/>
  <c r="AG173" i="1"/>
  <c r="T173" i="1"/>
  <c r="U173" i="1" s="1"/>
  <c r="S173" i="1" s="1"/>
  <c r="AA201" i="1"/>
  <c r="W201" i="1" s="1"/>
  <c r="AA186" i="1"/>
  <c r="AI194" i="1"/>
  <c r="AG181" i="1"/>
  <c r="X181" i="1"/>
  <c r="AA176" i="1"/>
  <c r="AG165" i="1"/>
  <c r="W165" i="1" s="1"/>
  <c r="X165" i="1"/>
  <c r="X166" i="1"/>
  <c r="AG224" i="1"/>
  <c r="U224" i="1" s="1"/>
  <c r="S224" i="1" s="1"/>
  <c r="X224" i="1"/>
  <c r="AA202" i="1"/>
  <c r="W202" i="1" s="1"/>
  <c r="X190" i="1"/>
  <c r="AG190" i="1"/>
  <c r="AA190" i="1"/>
  <c r="AA188" i="1"/>
  <c r="W188" i="1" s="1"/>
  <c r="AG187" i="1"/>
  <c r="U187" i="1" s="1"/>
  <c r="S187" i="1" s="1"/>
  <c r="X187" i="1"/>
  <c r="U182" i="1"/>
  <c r="S182" i="1" s="1"/>
  <c r="AI182" i="1"/>
  <c r="T179" i="1"/>
  <c r="X179" i="1"/>
  <c r="AG179" i="1"/>
  <c r="AG177" i="1"/>
  <c r="X177" i="1"/>
  <c r="AA222" i="1"/>
  <c r="T221" i="1"/>
  <c r="AA211" i="1"/>
  <c r="T210" i="1"/>
  <c r="T147" i="1"/>
  <c r="U133" i="1"/>
  <c r="S133" i="1" s="1"/>
  <c r="AA128" i="1"/>
  <c r="W128" i="1" s="1"/>
  <c r="AA127" i="1"/>
  <c r="AG122" i="1"/>
  <c r="U122" i="1" s="1"/>
  <c r="S122" i="1" s="1"/>
  <c r="X122" i="1"/>
  <c r="AA120" i="1"/>
  <c r="W120" i="1" s="1"/>
  <c r="T120" i="1"/>
  <c r="U120" i="1" s="1"/>
  <c r="S120" i="1" s="1"/>
  <c r="AI116" i="1"/>
  <c r="U116" i="1"/>
  <c r="S116" i="1" s="1"/>
  <c r="AG112" i="1"/>
  <c r="X112" i="1"/>
  <c r="AI37" i="1"/>
  <c r="AI25" i="1"/>
  <c r="T220" i="1"/>
  <c r="U220" i="1" s="1"/>
  <c r="S220" i="1" s="1"/>
  <c r="T209" i="1"/>
  <c r="U209" i="1" s="1"/>
  <c r="S209" i="1" s="1"/>
  <c r="AG152" i="1"/>
  <c r="AI152" i="1" s="1"/>
  <c r="W148" i="1"/>
  <c r="AG138" i="1"/>
  <c r="AI138" i="1" s="1"/>
  <c r="AA137" i="1"/>
  <c r="T132" i="1"/>
  <c r="U129" i="1"/>
  <c r="S129" i="1" s="1"/>
  <c r="T169" i="1"/>
  <c r="U169" i="1" s="1"/>
  <c r="S169" i="1" s="1"/>
  <c r="AG221" i="1"/>
  <c r="W221" i="1" s="1"/>
  <c r="AG210" i="1"/>
  <c r="AI210" i="1" s="1"/>
  <c r="AA156" i="1"/>
  <c r="W156" i="1" s="1"/>
  <c r="T148" i="1"/>
  <c r="X147" i="1"/>
  <c r="AA140" i="1"/>
  <c r="W140" i="1" s="1"/>
  <c r="AG137" i="1"/>
  <c r="AI137" i="1" s="1"/>
  <c r="X128" i="1"/>
  <c r="AG125" i="1"/>
  <c r="U125" i="1" s="1"/>
  <c r="S125" i="1" s="1"/>
  <c r="X120" i="1"/>
  <c r="T113" i="1"/>
  <c r="X113" i="1"/>
  <c r="AG113" i="1"/>
  <c r="T112" i="1"/>
  <c r="AA206" i="1"/>
  <c r="AA193" i="1"/>
  <c r="W193" i="1" s="1"/>
  <c r="AA192" i="1"/>
  <c r="X191" i="1"/>
  <c r="AA187" i="1"/>
  <c r="AA184" i="1"/>
  <c r="AA174" i="1"/>
  <c r="AA166" i="1"/>
  <c r="AA162" i="1"/>
  <c r="T161" i="1"/>
  <c r="U161" i="1" s="1"/>
  <c r="S161" i="1" s="1"/>
  <c r="X220" i="1"/>
  <c r="AA214" i="1"/>
  <c r="W214" i="1" s="1"/>
  <c r="T213" i="1"/>
  <c r="X209" i="1"/>
  <c r="AA159" i="1"/>
  <c r="W159" i="1" s="1"/>
  <c r="T158" i="1"/>
  <c r="U158" i="1" s="1"/>
  <c r="S158" i="1" s="1"/>
  <c r="AA154" i="1"/>
  <c r="X143" i="1"/>
  <c r="AA138" i="1"/>
  <c r="AA136" i="1"/>
  <c r="X132" i="1"/>
  <c r="AI129" i="1"/>
  <c r="AA123" i="1"/>
  <c r="W123" i="1" s="1"/>
  <c r="W37" i="1"/>
  <c r="W25" i="1"/>
  <c r="AA121" i="1"/>
  <c r="W121" i="1" s="1"/>
  <c r="AA117" i="1"/>
  <c r="AA97" i="1"/>
  <c r="AA93" i="1"/>
  <c r="AA90" i="1"/>
  <c r="AA88" i="1"/>
  <c r="W88" i="1" s="1"/>
  <c r="AG84" i="1"/>
  <c r="U84" i="1" s="1"/>
  <c r="S84" i="1" s="1"/>
  <c r="X80" i="1"/>
  <c r="T79" i="1"/>
  <c r="AG76" i="1"/>
  <c r="X76" i="1"/>
  <c r="T75" i="1"/>
  <c r="U75" i="1" s="1"/>
  <c r="S75" i="1" s="1"/>
  <c r="AG68" i="1"/>
  <c r="W68" i="1" s="1"/>
  <c r="X68" i="1"/>
  <c r="T67" i="1"/>
  <c r="U67" i="1" s="1"/>
  <c r="S67" i="1" s="1"/>
  <c r="X63" i="1"/>
  <c r="AA60" i="1"/>
  <c r="AG56" i="1"/>
  <c r="U56" i="1" s="1"/>
  <c r="X56" i="1"/>
  <c r="X53" i="1"/>
  <c r="T52" i="1"/>
  <c r="AG49" i="1"/>
  <c r="AA47" i="1"/>
  <c r="AA45" i="1"/>
  <c r="AA42" i="1"/>
  <c r="AA38" i="1"/>
  <c r="AG31" i="1"/>
  <c r="AI31" i="1" s="1"/>
  <c r="AA30" i="1"/>
  <c r="T30" i="1"/>
  <c r="U30" i="1" s="1"/>
  <c r="S30" i="1" s="1"/>
  <c r="AG29" i="1"/>
  <c r="AA27" i="1"/>
  <c r="W27" i="1" s="1"/>
  <c r="AG26" i="1"/>
  <c r="U26" i="1" s="1"/>
  <c r="S26" i="1" s="1"/>
  <c r="X26" i="1"/>
  <c r="AA21" i="1"/>
  <c r="W21" i="1" s="1"/>
  <c r="T21" i="1"/>
  <c r="U21" i="1" s="1"/>
  <c r="S21" i="1" s="1"/>
  <c r="AG20" i="1"/>
  <c r="T111" i="1"/>
  <c r="U111" i="1" s="1"/>
  <c r="S111" i="1" s="1"/>
  <c r="T96" i="1"/>
  <c r="X71" i="1"/>
  <c r="T59" i="1"/>
  <c r="U59" i="1" s="1"/>
  <c r="S59" i="1" s="1"/>
  <c r="X55" i="1"/>
  <c r="T37" i="1"/>
  <c r="U37" i="1" s="1"/>
  <c r="S37" i="1" s="1"/>
  <c r="T25" i="1"/>
  <c r="U25" i="1" s="1"/>
  <c r="S25" i="1" s="1"/>
  <c r="AG18" i="1"/>
  <c r="U18" i="1" s="1"/>
  <c r="S18" i="1" s="1"/>
  <c r="AG17" i="1"/>
  <c r="AI17" i="1" s="1"/>
  <c r="T16" i="1"/>
  <c r="AA14" i="1"/>
  <c r="AA114" i="1"/>
  <c r="AA109" i="1"/>
  <c r="AA102" i="1"/>
  <c r="W102" i="1" s="1"/>
  <c r="AG96" i="1"/>
  <c r="AI96" i="1" s="1"/>
  <c r="AA86" i="1"/>
  <c r="W86" i="1" s="1"/>
  <c r="AA83" i="1"/>
  <c r="X79" i="1"/>
  <c r="AA72" i="1"/>
  <c r="AA69" i="1"/>
  <c r="W69" i="1" s="1"/>
  <c r="AA64" i="1"/>
  <c r="T63" i="1"/>
  <c r="U63" i="1" s="1"/>
  <c r="S63" i="1" s="1"/>
  <c r="AA57" i="1"/>
  <c r="X52" i="1"/>
  <c r="AG42" i="1"/>
  <c r="U42" i="1" s="1"/>
  <c r="S42" i="1" s="1"/>
  <c r="X42" i="1"/>
  <c r="AA41" i="1"/>
  <c r="AG35" i="1"/>
  <c r="W35" i="1" s="1"/>
  <c r="AA32" i="1"/>
  <c r="X30" i="1"/>
  <c r="AA26" i="1"/>
  <c r="AA23" i="1"/>
  <c r="T95" i="1"/>
  <c r="U80" i="1"/>
  <c r="S80" i="1" s="1"/>
  <c r="T71" i="1"/>
  <c r="U71" i="1" s="1"/>
  <c r="S71" i="1" s="1"/>
  <c r="T55" i="1"/>
  <c r="AI225" i="1"/>
  <c r="U203" i="1"/>
  <c r="S203" i="1" s="1"/>
  <c r="T217" i="1"/>
  <c r="X217" i="1"/>
  <c r="T191" i="1"/>
  <c r="U186" i="1"/>
  <c r="S186" i="1" s="1"/>
  <c r="T167" i="1"/>
  <c r="X167" i="1"/>
  <c r="AG160" i="1"/>
  <c r="T160" i="1"/>
  <c r="X160" i="1"/>
  <c r="AG151" i="1"/>
  <c r="T151" i="1"/>
  <c r="X152" i="1"/>
  <c r="X151" i="1"/>
  <c r="AI224" i="1"/>
  <c r="T199" i="1"/>
  <c r="T184" i="1"/>
  <c r="X184" i="1"/>
  <c r="T106" i="1"/>
  <c r="X106" i="1"/>
  <c r="AG106" i="1"/>
  <c r="AG163" i="1"/>
  <c r="W163" i="1" s="1"/>
  <c r="T163" i="1"/>
  <c r="X163" i="1"/>
  <c r="T24" i="1"/>
  <c r="AG24" i="1"/>
  <c r="T14" i="1"/>
  <c r="AG14" i="1"/>
  <c r="X201" i="1"/>
  <c r="T200" i="1"/>
  <c r="X200" i="1"/>
  <c r="AI206" i="1"/>
  <c r="AI201" i="1"/>
  <c r="X185" i="1"/>
  <c r="T183" i="1"/>
  <c r="T175" i="1"/>
  <c r="X175" i="1"/>
  <c r="T172" i="1"/>
  <c r="X172" i="1"/>
  <c r="AG172" i="1"/>
  <c r="AI179" i="1"/>
  <c r="AG222" i="1"/>
  <c r="AI222" i="1" s="1"/>
  <c r="T222" i="1"/>
  <c r="X222" i="1"/>
  <c r="AG211" i="1"/>
  <c r="AI211" i="1" s="1"/>
  <c r="T211" i="1"/>
  <c r="X211" i="1"/>
  <c r="X157" i="1"/>
  <c r="AG157" i="1"/>
  <c r="AI154" i="1"/>
  <c r="U226" i="1"/>
  <c r="S226" i="1" s="1"/>
  <c r="X219" i="1"/>
  <c r="T218" i="1"/>
  <c r="U218" i="1" s="1"/>
  <c r="S218" i="1" s="1"/>
  <c r="AA207" i="1"/>
  <c r="AI219" i="1"/>
  <c r="X205" i="1"/>
  <c r="T204" i="1"/>
  <c r="U204" i="1" s="1"/>
  <c r="S204" i="1" s="1"/>
  <c r="X204" i="1"/>
  <c r="AG200" i="1"/>
  <c r="AI200" i="1" s="1"/>
  <c r="AG199" i="1"/>
  <c r="AI199" i="1" s="1"/>
  <c r="X194" i="1"/>
  <c r="T193" i="1"/>
  <c r="U193" i="1" s="1"/>
  <c r="S193" i="1" s="1"/>
  <c r="AA191" i="1"/>
  <c r="X189" i="1"/>
  <c r="T188" i="1"/>
  <c r="U188" i="1" s="1"/>
  <c r="S188" i="1" s="1"/>
  <c r="X188" i="1"/>
  <c r="AG184" i="1"/>
  <c r="W184" i="1" s="1"/>
  <c r="AG183" i="1"/>
  <c r="AI183" i="1" s="1"/>
  <c r="T176" i="1"/>
  <c r="X176" i="1"/>
  <c r="AG176" i="1"/>
  <c r="AG175" i="1"/>
  <c r="AI175" i="1" s="1"/>
  <c r="X173" i="1"/>
  <c r="AA167" i="1"/>
  <c r="U165" i="1"/>
  <c r="S165" i="1" s="1"/>
  <c r="AI171" i="1"/>
  <c r="U214" i="1"/>
  <c r="S214" i="1" s="1"/>
  <c r="AI162" i="1"/>
  <c r="AI153" i="1"/>
  <c r="U153" i="1"/>
  <c r="S153" i="1" s="1"/>
  <c r="T142" i="1"/>
  <c r="X142" i="1"/>
  <c r="AG142" i="1"/>
  <c r="X141" i="1"/>
  <c r="AG141" i="1"/>
  <c r="T127" i="1"/>
  <c r="X127" i="1"/>
  <c r="AG127" i="1"/>
  <c r="X126" i="1"/>
  <c r="AG126" i="1"/>
  <c r="AI123" i="1"/>
  <c r="X107" i="1"/>
  <c r="AI102" i="1"/>
  <c r="T207" i="1"/>
  <c r="T192" i="1"/>
  <c r="X192" i="1"/>
  <c r="AG215" i="1"/>
  <c r="W215" i="1" s="1"/>
  <c r="T215" i="1"/>
  <c r="X215" i="1"/>
  <c r="T225" i="1"/>
  <c r="U225" i="1" s="1"/>
  <c r="S225" i="1" s="1"/>
  <c r="X225" i="1"/>
  <c r="AG217" i="1"/>
  <c r="AI217" i="1" s="1"/>
  <c r="AG207" i="1"/>
  <c r="AI207" i="1" s="1"/>
  <c r="X202" i="1"/>
  <c r="T201" i="1"/>
  <c r="U201" i="1" s="1"/>
  <c r="S201" i="1" s="1"/>
  <c r="AA199" i="1"/>
  <c r="W199" i="1" s="1"/>
  <c r="T196" i="1"/>
  <c r="U196" i="1" s="1"/>
  <c r="S196" i="1" s="1"/>
  <c r="X196" i="1"/>
  <c r="AG192" i="1"/>
  <c r="AG191" i="1"/>
  <c r="AI191" i="1" s="1"/>
  <c r="U189" i="1"/>
  <c r="S189" i="1" s="1"/>
  <c r="X186" i="1"/>
  <c r="T185" i="1"/>
  <c r="U185" i="1" s="1"/>
  <c r="S185" i="1" s="1"/>
  <c r="AA183" i="1"/>
  <c r="T180" i="1"/>
  <c r="U180" i="1" s="1"/>
  <c r="S180" i="1" s="1"/>
  <c r="X180" i="1"/>
  <c r="AA175" i="1"/>
  <c r="T171" i="1"/>
  <c r="U171" i="1" s="1"/>
  <c r="S171" i="1" s="1"/>
  <c r="X171" i="1"/>
  <c r="T168" i="1"/>
  <c r="X168" i="1"/>
  <c r="AG168" i="1"/>
  <c r="AG167" i="1"/>
  <c r="AI167" i="1" s="1"/>
  <c r="U221" i="1"/>
  <c r="S221" i="1" s="1"/>
  <c r="U213" i="1"/>
  <c r="S213" i="1" s="1"/>
  <c r="U210" i="1"/>
  <c r="S210" i="1" s="1"/>
  <c r="AI158" i="1"/>
  <c r="W154" i="1"/>
  <c r="U148" i="1"/>
  <c r="S148" i="1" s="1"/>
  <c r="AG136" i="1"/>
  <c r="T136" i="1"/>
  <c r="X137" i="1"/>
  <c r="X136" i="1"/>
  <c r="U121" i="1"/>
  <c r="S121" i="1" s="1"/>
  <c r="AI121" i="1"/>
  <c r="AG114" i="1"/>
  <c r="T114" i="1"/>
  <c r="X114" i="1"/>
  <c r="X105" i="1"/>
  <c r="AG105" i="1"/>
  <c r="T105" i="1"/>
  <c r="AG223" i="1"/>
  <c r="AI223" i="1" s="1"/>
  <c r="AG216" i="1"/>
  <c r="AI216" i="1" s="1"/>
  <c r="AG212" i="1"/>
  <c r="AG208" i="1"/>
  <c r="AI208" i="1" s="1"/>
  <c r="X156" i="1"/>
  <c r="T155" i="1"/>
  <c r="U155" i="1" s="1"/>
  <c r="S155" i="1" s="1"/>
  <c r="W153" i="1"/>
  <c r="T150" i="1"/>
  <c r="X150" i="1"/>
  <c r="T149" i="1"/>
  <c r="AG145" i="1"/>
  <c r="X145" i="1"/>
  <c r="T139" i="1"/>
  <c r="T135" i="1"/>
  <c r="X135" i="1"/>
  <c r="T134" i="1"/>
  <c r="AG130" i="1"/>
  <c r="X130" i="1"/>
  <c r="X125" i="1"/>
  <c r="T124" i="1"/>
  <c r="U124" i="1" s="1"/>
  <c r="S124" i="1" s="1"/>
  <c r="T118" i="1"/>
  <c r="X118" i="1"/>
  <c r="T115" i="1"/>
  <c r="X115" i="1"/>
  <c r="AG115" i="1"/>
  <c r="AI100" i="1"/>
  <c r="AG99" i="1"/>
  <c r="T99" i="1"/>
  <c r="X100" i="1"/>
  <c r="X99" i="1"/>
  <c r="T47" i="1"/>
  <c r="X47" i="1"/>
  <c r="AG47" i="1"/>
  <c r="AG164" i="1"/>
  <c r="X164" i="1"/>
  <c r="X223" i="1"/>
  <c r="X216" i="1"/>
  <c r="X212" i="1"/>
  <c r="X208" i="1"/>
  <c r="AA157" i="1"/>
  <c r="W157" i="1" s="1"/>
  <c r="AI156" i="1"/>
  <c r="X155" i="1"/>
  <c r="T154" i="1"/>
  <c r="U154" i="1" s="1"/>
  <c r="S154" i="1" s="1"/>
  <c r="X154" i="1"/>
  <c r="AG150" i="1"/>
  <c r="AG149" i="1"/>
  <c r="W149" i="1" s="1"/>
  <c r="U147" i="1"/>
  <c r="S147" i="1" s="1"/>
  <c r="X144" i="1"/>
  <c r="T143" i="1"/>
  <c r="U143" i="1" s="1"/>
  <c r="S143" i="1" s="1"/>
  <c r="AA141" i="1"/>
  <c r="W141" i="1" s="1"/>
  <c r="AI140" i="1"/>
  <c r="AG135" i="1"/>
  <c r="AG134" i="1"/>
  <c r="U132" i="1"/>
  <c r="S132" i="1" s="1"/>
  <c r="X129" i="1"/>
  <c r="T128" i="1"/>
  <c r="U128" i="1" s="1"/>
  <c r="S128" i="1" s="1"/>
  <c r="AA126" i="1"/>
  <c r="AI125" i="1"/>
  <c r="X124" i="1"/>
  <c r="T123" i="1"/>
  <c r="U123" i="1" s="1"/>
  <c r="S123" i="1" s="1"/>
  <c r="X123" i="1"/>
  <c r="T119" i="1"/>
  <c r="X119" i="1"/>
  <c r="AG119" i="1"/>
  <c r="AG118" i="1"/>
  <c r="W117" i="1"/>
  <c r="X116" i="1"/>
  <c r="AG83" i="1"/>
  <c r="T83" i="1"/>
  <c r="X84" i="1"/>
  <c r="X83" i="1"/>
  <c r="AI73" i="1"/>
  <c r="X48" i="1"/>
  <c r="AI43" i="1"/>
  <c r="T146" i="1"/>
  <c r="U146" i="1" s="1"/>
  <c r="S146" i="1" s="1"/>
  <c r="X146" i="1"/>
  <c r="T131" i="1"/>
  <c r="U131" i="1" s="1"/>
  <c r="S131" i="1" s="1"/>
  <c r="X131" i="1"/>
  <c r="AI101" i="1"/>
  <c r="U101" i="1"/>
  <c r="S101" i="1" s="1"/>
  <c r="T90" i="1"/>
  <c r="X90" i="1"/>
  <c r="AG90" i="1"/>
  <c r="X89" i="1"/>
  <c r="AG89" i="1"/>
  <c r="AI86" i="1"/>
  <c r="T74" i="1"/>
  <c r="X74" i="1"/>
  <c r="AG74" i="1"/>
  <c r="X75" i="1"/>
  <c r="U68" i="1"/>
  <c r="S68" i="1" s="1"/>
  <c r="AG65" i="1"/>
  <c r="W65" i="1" s="1"/>
  <c r="T65" i="1"/>
  <c r="X65" i="1"/>
  <c r="AG57" i="1"/>
  <c r="T57" i="1"/>
  <c r="X57" i="1"/>
  <c r="X46" i="1"/>
  <c r="AG46" i="1"/>
  <c r="T46" i="1"/>
  <c r="AG109" i="1"/>
  <c r="X109" i="1"/>
  <c r="X104" i="1"/>
  <c r="T103" i="1"/>
  <c r="U103" i="1" s="1"/>
  <c r="S103" i="1" s="1"/>
  <c r="T98" i="1"/>
  <c r="X98" i="1"/>
  <c r="T97" i="1"/>
  <c r="AG93" i="1"/>
  <c r="X93" i="1"/>
  <c r="X88" i="1"/>
  <c r="T87" i="1"/>
  <c r="U87" i="1" s="1"/>
  <c r="S87" i="1" s="1"/>
  <c r="W85" i="1"/>
  <c r="T82" i="1"/>
  <c r="X82" i="1"/>
  <c r="T81" i="1"/>
  <c r="AG77" i="1"/>
  <c r="X77" i="1"/>
  <c r="T69" i="1"/>
  <c r="U69" i="1" s="1"/>
  <c r="S69" i="1" s="1"/>
  <c r="X69" i="1"/>
  <c r="T66" i="1"/>
  <c r="X66" i="1"/>
  <c r="AG66" i="1"/>
  <c r="AG61" i="1"/>
  <c r="W61" i="1" s="1"/>
  <c r="T61" i="1"/>
  <c r="X61" i="1"/>
  <c r="S41" i="1"/>
  <c r="AI41" i="1"/>
  <c r="AG40" i="1"/>
  <c r="W40" i="1" s="1"/>
  <c r="T40" i="1"/>
  <c r="X41" i="1"/>
  <c r="X40" i="1"/>
  <c r="X29" i="1"/>
  <c r="T28" i="1"/>
  <c r="X28" i="1"/>
  <c r="AG28" i="1"/>
  <c r="W28" i="1" s="1"/>
  <c r="X20" i="1"/>
  <c r="T19" i="1"/>
  <c r="X19" i="1"/>
  <c r="AG19" i="1"/>
  <c r="X108" i="1"/>
  <c r="T107" i="1"/>
  <c r="U107" i="1" s="1"/>
  <c r="S107" i="1" s="1"/>
  <c r="AA105" i="1"/>
  <c r="AI104" i="1"/>
  <c r="X103" i="1"/>
  <c r="T102" i="1"/>
  <c r="U102" i="1" s="1"/>
  <c r="S102" i="1" s="1"/>
  <c r="X102" i="1"/>
  <c r="AG98" i="1"/>
  <c r="AG97" i="1"/>
  <c r="U95" i="1"/>
  <c r="S95" i="1" s="1"/>
  <c r="X92" i="1"/>
  <c r="T91" i="1"/>
  <c r="U91" i="1" s="1"/>
  <c r="S91" i="1" s="1"/>
  <c r="AA89" i="1"/>
  <c r="AI88" i="1"/>
  <c r="X87" i="1"/>
  <c r="T86" i="1"/>
  <c r="U86" i="1" s="1"/>
  <c r="S86" i="1" s="1"/>
  <c r="X86" i="1"/>
  <c r="AG82" i="1"/>
  <c r="AG81" i="1"/>
  <c r="U79" i="1"/>
  <c r="S79" i="1" s="1"/>
  <c r="T73" i="1"/>
  <c r="U73" i="1" s="1"/>
  <c r="S73" i="1" s="1"/>
  <c r="X73" i="1"/>
  <c r="T70" i="1"/>
  <c r="X70" i="1"/>
  <c r="AG70" i="1"/>
  <c r="AI69" i="1"/>
  <c r="AI59" i="1"/>
  <c r="AI30" i="1"/>
  <c r="U27" i="1"/>
  <c r="S27" i="1" s="1"/>
  <c r="T110" i="1"/>
  <c r="U110" i="1" s="1"/>
  <c r="S110" i="1" s="1"/>
  <c r="X110" i="1"/>
  <c r="T94" i="1"/>
  <c r="U94" i="1" s="1"/>
  <c r="S94" i="1" s="1"/>
  <c r="X94" i="1"/>
  <c r="T78" i="1"/>
  <c r="U78" i="1" s="1"/>
  <c r="S78" i="1" s="1"/>
  <c r="X78" i="1"/>
  <c r="S72" i="1"/>
  <c r="AI72" i="1"/>
  <c r="AI63" i="1"/>
  <c r="AI55" i="1"/>
  <c r="U55" i="1"/>
  <c r="S55" i="1" s="1"/>
  <c r="AG62" i="1"/>
  <c r="AG58" i="1"/>
  <c r="AG54" i="1"/>
  <c r="W54" i="1" s="1"/>
  <c r="T54" i="1"/>
  <c r="AG50" i="1"/>
  <c r="X50" i="1"/>
  <c r="X45" i="1"/>
  <c r="T44" i="1"/>
  <c r="U44" i="1" s="1"/>
  <c r="S44" i="1" s="1"/>
  <c r="T39" i="1"/>
  <c r="X39" i="1"/>
  <c r="T38" i="1"/>
  <c r="X62" i="1"/>
  <c r="X58" i="1"/>
  <c r="U52" i="1"/>
  <c r="S52" i="1" s="1"/>
  <c r="X49" i="1"/>
  <c r="T48" i="1"/>
  <c r="U48" i="1" s="1"/>
  <c r="S48" i="1" s="1"/>
  <c r="AA46" i="1"/>
  <c r="AI45" i="1"/>
  <c r="X44" i="1"/>
  <c r="T43" i="1"/>
  <c r="U43" i="1" s="1"/>
  <c r="S43" i="1" s="1"/>
  <c r="X43" i="1"/>
  <c r="AG39" i="1"/>
  <c r="AG38" i="1"/>
  <c r="AI36" i="1"/>
  <c r="U36" i="1"/>
  <c r="S36" i="1" s="1"/>
  <c r="U31" i="1"/>
  <c r="S31" i="1" s="1"/>
  <c r="W30" i="1"/>
  <c r="AA18" i="1"/>
  <c r="W14" i="1"/>
  <c r="T51" i="1"/>
  <c r="U51" i="1" s="1"/>
  <c r="S51" i="1" s="1"/>
  <c r="X51" i="1"/>
  <c r="U34" i="1"/>
  <c r="S34" i="1" s="1"/>
  <c r="AI34" i="1"/>
  <c r="X33" i="1"/>
  <c r="T32" i="1"/>
  <c r="X32" i="1"/>
  <c r="AG32" i="1"/>
  <c r="AI27" i="1"/>
  <c r="X35" i="1"/>
  <c r="X31" i="1"/>
  <c r="X27" i="1"/>
  <c r="AI21" i="1"/>
  <c r="X18" i="1"/>
  <c r="AD18" i="3"/>
  <c r="AD12" i="3"/>
  <c r="Y32" i="3"/>
  <c r="Y11" i="3"/>
  <c r="Y18" i="3"/>
  <c r="Y25" i="3"/>
  <c r="AD17" i="3"/>
  <c r="Y21" i="3"/>
  <c r="Y8" i="3"/>
  <c r="AD9" i="3"/>
  <c r="Y15" i="3"/>
  <c r="Y30" i="3"/>
  <c r="AE11" i="3"/>
  <c r="AD8" i="3"/>
  <c r="AD15" i="3"/>
  <c r="AE15" i="3"/>
  <c r="AD13" i="3"/>
  <c r="AD30" i="3"/>
  <c r="Y12" i="3"/>
  <c r="AD25" i="3"/>
  <c r="AC11" i="3"/>
  <c r="Y27" i="3"/>
  <c r="T23" i="3"/>
  <c r="AD16" i="3"/>
  <c r="Y29" i="3"/>
  <c r="AD11" i="3"/>
  <c r="AC19" i="3"/>
  <c r="Y13" i="3"/>
  <c r="AE18" i="3"/>
  <c r="Y23" i="3"/>
  <c r="AC31" i="3"/>
  <c r="AD22" i="3"/>
  <c r="AC24" i="3"/>
  <c r="AE32" i="3"/>
  <c r="T7" i="3"/>
  <c r="AE14" i="3"/>
  <c r="T10" i="3"/>
  <c r="AE10" i="3"/>
  <c r="T9" i="3"/>
  <c r="AE28" i="3"/>
  <c r="AE24" i="3"/>
  <c r="T17" i="3"/>
  <c r="AE31" i="3"/>
  <c r="T31" i="3"/>
  <c r="AD28" i="3"/>
  <c r="AE27" i="3"/>
  <c r="T26" i="3"/>
  <c r="AE23" i="3"/>
  <c r="T11" i="3"/>
  <c r="T28" i="3"/>
  <c r="AE17" i="3"/>
  <c r="T24" i="3"/>
  <c r="AD14" i="3"/>
  <c r="AE13" i="3"/>
  <c r="T21" i="3"/>
  <c r="AD10" i="3"/>
  <c r="AE9" i="3"/>
  <c r="T19" i="3"/>
  <c r="T18" i="3"/>
  <c r="T15" i="3"/>
  <c r="AD32" i="3"/>
  <c r="AD24" i="3"/>
  <c r="AE30" i="3"/>
  <c r="AE26" i="3"/>
  <c r="AE22" i="3"/>
  <c r="AE19" i="3"/>
  <c r="AE16" i="3"/>
  <c r="AE12" i="3"/>
  <c r="AE8" i="3"/>
  <c r="B55" i="9"/>
  <c r="C55" i="9" s="1"/>
  <c r="B56" i="9"/>
  <c r="B57" i="9"/>
  <c r="C57" i="9" s="1"/>
  <c r="B58" i="9"/>
  <c r="B59" i="9"/>
  <c r="C59" i="9" s="1"/>
  <c r="B60" i="9"/>
  <c r="B61" i="9"/>
  <c r="C61" i="9" s="1"/>
  <c r="B62" i="9"/>
  <c r="B63" i="9"/>
  <c r="C63" i="9" s="1"/>
  <c r="B64" i="9"/>
  <c r="B65" i="9"/>
  <c r="C65" i="9" s="1"/>
  <c r="B66" i="9"/>
  <c r="B67" i="9"/>
  <c r="C67" i="9" s="1"/>
  <c r="B68" i="9"/>
  <c r="B69" i="9"/>
  <c r="C69" i="9" s="1"/>
  <c r="B70" i="9"/>
  <c r="B71" i="9"/>
  <c r="C71" i="9" s="1"/>
  <c r="B72" i="9"/>
  <c r="B73" i="9"/>
  <c r="C73" i="9" s="1"/>
  <c r="B74" i="9"/>
  <c r="W20" i="3"/>
  <c r="W80" i="1" l="1"/>
  <c r="AI203" i="1"/>
  <c r="W42" i="1"/>
  <c r="W112" i="1"/>
  <c r="W181" i="1"/>
  <c r="W168" i="1"/>
  <c r="W41" i="1"/>
  <c r="W151" i="1"/>
  <c r="W152" i="1"/>
  <c r="W166" i="1"/>
  <c r="W186" i="1"/>
  <c r="U166" i="1"/>
  <c r="S166" i="1" s="1"/>
  <c r="W174" i="1"/>
  <c r="AI170" i="1"/>
  <c r="U205" i="1"/>
  <c r="S205" i="1" s="1"/>
  <c r="W178" i="1"/>
  <c r="W160" i="1"/>
  <c r="W118" i="1"/>
  <c r="U139" i="1"/>
  <c r="S139" i="1" s="1"/>
  <c r="U138" i="1"/>
  <c r="S138" i="1" s="1"/>
  <c r="U137" i="1"/>
  <c r="S137" i="1" s="1"/>
  <c r="AI122" i="1"/>
  <c r="W106" i="1"/>
  <c r="U108" i="1"/>
  <c r="S108" i="1" s="1"/>
  <c r="W138" i="1"/>
  <c r="W113" i="1"/>
  <c r="U140" i="1"/>
  <c r="W134" i="1"/>
  <c r="W108" i="1"/>
  <c r="AI56" i="1"/>
  <c r="W62" i="1"/>
  <c r="AI85" i="1"/>
  <c r="W45" i="1"/>
  <c r="W57" i="1"/>
  <c r="W38" i="1"/>
  <c r="W81" i="1"/>
  <c r="W24" i="1"/>
  <c r="W19" i="1"/>
  <c r="U23" i="1"/>
  <c r="S23" i="1" s="1"/>
  <c r="W99" i="1"/>
  <c r="AI174" i="1"/>
  <c r="AI187" i="1"/>
  <c r="W31" i="1"/>
  <c r="W76" i="1"/>
  <c r="AI18" i="1"/>
  <c r="W97" i="1"/>
  <c r="W77" i="1"/>
  <c r="AI113" i="1"/>
  <c r="W175" i="1"/>
  <c r="W192" i="1"/>
  <c r="U33" i="1"/>
  <c r="S33" i="1" s="1"/>
  <c r="W60" i="1"/>
  <c r="AI144" i="1"/>
  <c r="U144" i="1"/>
  <c r="S144" i="1" s="1"/>
  <c r="W198" i="1"/>
  <c r="W18" i="1"/>
  <c r="U112" i="1"/>
  <c r="S112" i="1" s="1"/>
  <c r="AI84" i="1"/>
  <c r="U96" i="1"/>
  <c r="S96" i="1" s="1"/>
  <c r="W187" i="1"/>
  <c r="W33" i="1"/>
  <c r="U162" i="1"/>
  <c r="S162" i="1" s="1"/>
  <c r="W84" i="1"/>
  <c r="W105" i="1"/>
  <c r="W93" i="1"/>
  <c r="AI117" i="1"/>
  <c r="U16" i="1"/>
  <c r="S16" i="1" s="1"/>
  <c r="W179" i="1"/>
  <c r="U178" i="1"/>
  <c r="S178" i="1" s="1"/>
  <c r="W16" i="1"/>
  <c r="AI26" i="1"/>
  <c r="AI42" i="1"/>
  <c r="W162" i="1"/>
  <c r="W206" i="1"/>
  <c r="AI64" i="1"/>
  <c r="AI68" i="1"/>
  <c r="W90" i="1"/>
  <c r="AI112" i="1"/>
  <c r="U152" i="1"/>
  <c r="S152" i="1" s="1"/>
  <c r="AI159" i="1"/>
  <c r="U181" i="1"/>
  <c r="S181" i="1" s="1"/>
  <c r="U92" i="1"/>
  <c r="S92" i="1" s="1"/>
  <c r="W72" i="1"/>
  <c r="AI178" i="1"/>
  <c r="S56" i="1"/>
  <c r="S64" i="1"/>
  <c r="AI60" i="1"/>
  <c r="W64" i="1"/>
  <c r="W53" i="1"/>
  <c r="U17" i="1"/>
  <c r="S17" i="1" s="1"/>
  <c r="U53" i="1"/>
  <c r="S53" i="1" s="1"/>
  <c r="W56" i="1"/>
  <c r="W23" i="1"/>
  <c r="AI163" i="1"/>
  <c r="W26" i="1"/>
  <c r="W89" i="1"/>
  <c r="W211" i="1"/>
  <c r="U179" i="1"/>
  <c r="S179" i="1" s="1"/>
  <c r="W17" i="1"/>
  <c r="W182" i="1"/>
  <c r="W92" i="1"/>
  <c r="W219" i="1"/>
  <c r="AI192" i="1"/>
  <c r="AI215" i="1"/>
  <c r="U29" i="1"/>
  <c r="S29" i="1" s="1"/>
  <c r="AI29" i="1"/>
  <c r="U49" i="1"/>
  <c r="S49" i="1" s="1"/>
  <c r="AI49" i="1"/>
  <c r="U190" i="1"/>
  <c r="S190" i="1" s="1"/>
  <c r="AI190" i="1"/>
  <c r="W224" i="1"/>
  <c r="W195" i="1"/>
  <c r="U35" i="1"/>
  <c r="S35" i="1" s="1"/>
  <c r="AI35" i="1"/>
  <c r="U76" i="1"/>
  <c r="S76" i="1" s="1"/>
  <c r="AI76" i="1"/>
  <c r="W29" i="1"/>
  <c r="W137" i="1"/>
  <c r="AI184" i="1"/>
  <c r="U20" i="1"/>
  <c r="S20" i="1" s="1"/>
  <c r="AI20" i="1"/>
  <c r="W49" i="1"/>
  <c r="U113" i="1"/>
  <c r="S113" i="1" s="1"/>
  <c r="W125" i="1"/>
  <c r="U177" i="1"/>
  <c r="S177" i="1" s="1"/>
  <c r="W173" i="1"/>
  <c r="U198" i="1"/>
  <c r="S198" i="1" s="1"/>
  <c r="AI198" i="1"/>
  <c r="W96" i="1"/>
  <c r="W20" i="1"/>
  <c r="W210" i="1"/>
  <c r="W190" i="1"/>
  <c r="U195" i="1"/>
  <c r="S195" i="1" s="1"/>
  <c r="U170" i="1"/>
  <c r="S170" i="1" s="1"/>
  <c r="W205" i="1"/>
  <c r="W177" i="1"/>
  <c r="U54" i="1"/>
  <c r="S54" i="1" s="1"/>
  <c r="AI54" i="1"/>
  <c r="U83" i="1"/>
  <c r="S83" i="1" s="1"/>
  <c r="AI83" i="1"/>
  <c r="AI47" i="1"/>
  <c r="U47" i="1"/>
  <c r="S47" i="1" s="1"/>
  <c r="U99" i="1"/>
  <c r="S99" i="1" s="1"/>
  <c r="AI99" i="1"/>
  <c r="AI145" i="1"/>
  <c r="U145" i="1"/>
  <c r="S145" i="1" s="1"/>
  <c r="U208" i="1"/>
  <c r="S208" i="1" s="1"/>
  <c r="AI161" i="1"/>
  <c r="W208" i="1"/>
  <c r="AI105" i="1"/>
  <c r="U105" i="1"/>
  <c r="S105" i="1" s="1"/>
  <c r="U114" i="1"/>
  <c r="S114" i="1" s="1"/>
  <c r="AI114" i="1"/>
  <c r="U136" i="1"/>
  <c r="S136" i="1" s="1"/>
  <c r="AI136" i="1"/>
  <c r="W136" i="1"/>
  <c r="AI142" i="1"/>
  <c r="U142" i="1"/>
  <c r="S142" i="1" s="1"/>
  <c r="U151" i="1"/>
  <c r="S151" i="1" s="1"/>
  <c r="AI151" i="1"/>
  <c r="AI38" i="1"/>
  <c r="U38" i="1"/>
  <c r="S38" i="1" s="1"/>
  <c r="AI50" i="1"/>
  <c r="U50" i="1"/>
  <c r="S50" i="1" s="1"/>
  <c r="U62" i="1"/>
  <c r="S62" i="1" s="1"/>
  <c r="AI62" i="1"/>
  <c r="W47" i="1"/>
  <c r="AI81" i="1"/>
  <c r="U81" i="1"/>
  <c r="S81" i="1" s="1"/>
  <c r="AI98" i="1"/>
  <c r="U98" i="1"/>
  <c r="S98" i="1" s="1"/>
  <c r="W98" i="1"/>
  <c r="AI109" i="1"/>
  <c r="U109" i="1"/>
  <c r="S109" i="1" s="1"/>
  <c r="U119" i="1"/>
  <c r="S119" i="1" s="1"/>
  <c r="W119" i="1"/>
  <c r="AI119" i="1"/>
  <c r="W126" i="1"/>
  <c r="AI134" i="1"/>
  <c r="U134" i="1"/>
  <c r="S134" i="1" s="1"/>
  <c r="AI150" i="1"/>
  <c r="U150" i="1"/>
  <c r="S150" i="1" s="1"/>
  <c r="W150" i="1"/>
  <c r="U216" i="1"/>
  <c r="S216" i="1" s="1"/>
  <c r="W216" i="1"/>
  <c r="AI169" i="1"/>
  <c r="W183" i="1"/>
  <c r="AI204" i="1"/>
  <c r="U191" i="1"/>
  <c r="S191" i="1" s="1"/>
  <c r="AI220" i="1"/>
  <c r="U207" i="1"/>
  <c r="S207" i="1" s="1"/>
  <c r="W109" i="1"/>
  <c r="U215" i="1"/>
  <c r="S215" i="1" s="1"/>
  <c r="AI168" i="1"/>
  <c r="AI141" i="1"/>
  <c r="U141" i="1"/>
  <c r="S140" i="1" s="1"/>
  <c r="AI188" i="1"/>
  <c r="U175" i="1"/>
  <c r="S175" i="1" s="1"/>
  <c r="W191" i="1"/>
  <c r="AI212" i="1"/>
  <c r="U199" i="1"/>
  <c r="S199" i="1" s="1"/>
  <c r="W207" i="1"/>
  <c r="W142" i="1"/>
  <c r="U172" i="1"/>
  <c r="S172" i="1" s="1"/>
  <c r="AI185" i="1"/>
  <c r="W50" i="1"/>
  <c r="AI32" i="1"/>
  <c r="U32" i="1"/>
  <c r="S32" i="1" s="1"/>
  <c r="U70" i="1"/>
  <c r="S70" i="1" s="1"/>
  <c r="W70" i="1"/>
  <c r="AI70" i="1"/>
  <c r="AI82" i="1"/>
  <c r="U82" i="1"/>
  <c r="S82" i="1" s="1"/>
  <c r="W82" i="1"/>
  <c r="U40" i="1"/>
  <c r="S40" i="1" s="1"/>
  <c r="AI40" i="1"/>
  <c r="U61" i="1"/>
  <c r="S61" i="1" s="1"/>
  <c r="AI61" i="1"/>
  <c r="U65" i="1"/>
  <c r="S65" i="1" s="1"/>
  <c r="AI65" i="1"/>
  <c r="AI90" i="1"/>
  <c r="U90" i="1"/>
  <c r="S90" i="1" s="1"/>
  <c r="AI135" i="1"/>
  <c r="U135" i="1"/>
  <c r="S135" i="1" s="1"/>
  <c r="W135" i="1"/>
  <c r="U164" i="1"/>
  <c r="S164" i="1" s="1"/>
  <c r="W164" i="1"/>
  <c r="AI177" i="1"/>
  <c r="AI130" i="1"/>
  <c r="U130" i="1"/>
  <c r="S130" i="1" s="1"/>
  <c r="U223" i="1"/>
  <c r="W223" i="1"/>
  <c r="S223" i="1"/>
  <c r="AI173" i="1"/>
  <c r="U192" i="1"/>
  <c r="S192" i="1" s="1"/>
  <c r="AI205" i="1"/>
  <c r="AI221" i="1"/>
  <c r="U217" i="1"/>
  <c r="S217" i="1" s="1"/>
  <c r="AI126" i="1"/>
  <c r="U126" i="1"/>
  <c r="S126" i="1" s="1"/>
  <c r="W145" i="1"/>
  <c r="U176" i="1"/>
  <c r="S176" i="1" s="1"/>
  <c r="AI189" i="1"/>
  <c r="AI196" i="1"/>
  <c r="U183" i="1"/>
  <c r="S183" i="1" s="1"/>
  <c r="AI213" i="1"/>
  <c r="U200" i="1"/>
  <c r="S200" i="1" s="1"/>
  <c r="AI106" i="1"/>
  <c r="U106" i="1"/>
  <c r="S106" i="1" s="1"/>
  <c r="W200" i="1"/>
  <c r="AI39" i="1"/>
  <c r="U39" i="1"/>
  <c r="S39" i="1" s="1"/>
  <c r="W39" i="1"/>
  <c r="AI19" i="1"/>
  <c r="U19" i="1"/>
  <c r="S19" i="1" s="1"/>
  <c r="AI28" i="1"/>
  <c r="U28" i="1"/>
  <c r="S28" i="1" s="1"/>
  <c r="U66" i="1"/>
  <c r="S66" i="1" s="1"/>
  <c r="AI66" i="1"/>
  <c r="W66" i="1"/>
  <c r="AI77" i="1"/>
  <c r="U77" i="1"/>
  <c r="S77" i="1" s="1"/>
  <c r="AI46" i="1"/>
  <c r="U46" i="1"/>
  <c r="S46" i="1" s="1"/>
  <c r="U57" i="1"/>
  <c r="S57" i="1" s="1"/>
  <c r="AI57" i="1"/>
  <c r="U74" i="1"/>
  <c r="S74" i="1" s="1"/>
  <c r="AI74" i="1"/>
  <c r="W83" i="1"/>
  <c r="AI180" i="1"/>
  <c r="U167" i="1"/>
  <c r="S167" i="1" s="1"/>
  <c r="W74" i="1"/>
  <c r="W167" i="1"/>
  <c r="AI197" i="1"/>
  <c r="U184" i="1"/>
  <c r="S184" i="1" s="1"/>
  <c r="U222" i="1"/>
  <c r="S222" i="1" s="1"/>
  <c r="AI172" i="1"/>
  <c r="W46" i="1"/>
  <c r="U58" i="1"/>
  <c r="S58" i="1" s="1"/>
  <c r="AI58" i="1"/>
  <c r="W58" i="1"/>
  <c r="AI97" i="1"/>
  <c r="U97" i="1"/>
  <c r="S97" i="1" s="1"/>
  <c r="AI93" i="1"/>
  <c r="U93" i="1"/>
  <c r="S93" i="1" s="1"/>
  <c r="AI89" i="1"/>
  <c r="U89" i="1"/>
  <c r="S89" i="1" s="1"/>
  <c r="W114" i="1"/>
  <c r="AI118" i="1"/>
  <c r="U118" i="1"/>
  <c r="S118" i="1" s="1"/>
  <c r="AI149" i="1"/>
  <c r="U149" i="1"/>
  <c r="S149" i="1" s="1"/>
  <c r="U115" i="1"/>
  <c r="S115" i="1" s="1"/>
  <c r="AI115" i="1"/>
  <c r="W115" i="1"/>
  <c r="U212" i="1"/>
  <c r="S212" i="1" s="1"/>
  <c r="W212" i="1"/>
  <c r="AI165" i="1"/>
  <c r="W222" i="1"/>
  <c r="U168" i="1"/>
  <c r="S168" i="1" s="1"/>
  <c r="AI181" i="1"/>
  <c r="AI127" i="1"/>
  <c r="U127" i="1"/>
  <c r="S127" i="1" s="1"/>
  <c r="U157" i="1"/>
  <c r="S157" i="1" s="1"/>
  <c r="AI157" i="1"/>
  <c r="U211" i="1"/>
  <c r="S211" i="1" s="1"/>
  <c r="AI164" i="1"/>
  <c r="AI14" i="1"/>
  <c r="U14" i="1"/>
  <c r="S14" i="1" s="1"/>
  <c r="AI24" i="1"/>
  <c r="U24" i="1"/>
  <c r="S24" i="1" s="1"/>
  <c r="W32" i="1"/>
  <c r="W130" i="1"/>
  <c r="U163" i="1"/>
  <c r="S163" i="1" s="1"/>
  <c r="AI176" i="1"/>
  <c r="W127" i="1"/>
  <c r="U160" i="1"/>
  <c r="S160" i="1" s="1"/>
  <c r="AI160" i="1"/>
  <c r="W176" i="1"/>
  <c r="W172" i="1"/>
  <c r="W217" i="1"/>
  <c r="C74" i="9"/>
  <c r="C72" i="9"/>
  <c r="C70" i="9"/>
  <c r="C68" i="9"/>
  <c r="C66" i="9"/>
  <c r="C64" i="9"/>
  <c r="C62" i="9"/>
  <c r="C60" i="9"/>
  <c r="C58" i="9"/>
  <c r="C56" i="9"/>
  <c r="R20" i="3"/>
  <c r="M20" i="3"/>
  <c r="S20" i="3"/>
  <c r="U20" i="3"/>
  <c r="V20" i="3"/>
  <c r="X20" i="3"/>
  <c r="T20" i="3" l="1"/>
  <c r="AD20" i="3"/>
  <c r="AE20" i="3"/>
  <c r="AC20" i="3"/>
  <c r="AD7" i="3"/>
  <c r="AE7" i="3"/>
  <c r="Y20" i="3"/>
  <c r="B50" i="9" l="1"/>
  <c r="B51" i="9"/>
  <c r="B52" i="9"/>
  <c r="C52" i="9" s="1"/>
  <c r="B53" i="9"/>
  <c r="B54" i="9"/>
  <c r="C54" i="9" s="1"/>
  <c r="C53" i="9" l="1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14" i="3" s="1"/>
  <c r="G24" i="4"/>
  <c r="G25" i="4"/>
  <c r="G26" i="4"/>
  <c r="G27" i="4"/>
  <c r="G28" i="4"/>
  <c r="G29" i="4"/>
  <c r="G30" i="4"/>
  <c r="N8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21" i="3" s="1"/>
  <c r="G47" i="4"/>
  <c r="G48" i="4"/>
  <c r="N29" i="3" s="1"/>
  <c r="G49" i="4"/>
  <c r="G50" i="4"/>
  <c r="G51" i="4"/>
  <c r="G52" i="4"/>
  <c r="G53" i="4"/>
  <c r="N10" i="3" s="1"/>
  <c r="G54" i="4"/>
  <c r="G55" i="4"/>
  <c r="G56" i="4"/>
  <c r="G57" i="4"/>
  <c r="G58" i="4"/>
  <c r="G59" i="4"/>
  <c r="G60" i="4"/>
  <c r="G61" i="4"/>
  <c r="G62" i="4"/>
  <c r="G63" i="4"/>
  <c r="G64" i="4"/>
  <c r="N30" i="3" s="1"/>
  <c r="G65" i="4"/>
  <c r="G66" i="4"/>
  <c r="G67" i="4"/>
  <c r="G68" i="4"/>
  <c r="N22" i="3" s="1"/>
  <c r="G69" i="4"/>
  <c r="N24" i="3" s="1"/>
  <c r="G70" i="4"/>
  <c r="G71" i="4"/>
  <c r="G72" i="4"/>
  <c r="G73" i="4"/>
  <c r="G74" i="4"/>
  <c r="G75" i="4"/>
  <c r="G76" i="4"/>
  <c r="G77" i="4"/>
  <c r="G78" i="4"/>
  <c r="N15" i="3" s="1"/>
  <c r="G79" i="4"/>
  <c r="G80" i="4"/>
  <c r="G81" i="4"/>
  <c r="N23" i="3" s="1"/>
  <c r="G82" i="4"/>
  <c r="G83" i="4"/>
  <c r="G84" i="4"/>
  <c r="N25" i="3" s="1"/>
  <c r="G85" i="4"/>
  <c r="G86" i="4"/>
  <c r="G87" i="4"/>
  <c r="G88" i="4"/>
  <c r="G89" i="4"/>
  <c r="G90" i="4"/>
  <c r="G91" i="4"/>
  <c r="N28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18" i="3" s="1"/>
  <c r="G113" i="4"/>
  <c r="G114" i="4"/>
  <c r="G115" i="4"/>
  <c r="G116" i="4"/>
  <c r="G117" i="4"/>
  <c r="G118" i="4"/>
  <c r="G119" i="4"/>
  <c r="N27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12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6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N7" i="3" s="1"/>
  <c r="G199" i="4"/>
  <c r="N32" i="3" s="1"/>
  <c r="G200" i="4"/>
  <c r="G201" i="4"/>
  <c r="G202" i="4"/>
  <c r="G203" i="4"/>
  <c r="G204" i="4"/>
  <c r="G205" i="4"/>
  <c r="G206" i="4"/>
  <c r="G207" i="4"/>
  <c r="G208" i="4"/>
  <c r="G209" i="4"/>
  <c r="G210" i="4"/>
  <c r="G211" i="4"/>
  <c r="N31" i="3" s="1"/>
  <c r="G212" i="4"/>
  <c r="N16" i="3" s="1"/>
  <c r="G213" i="4"/>
  <c r="G214" i="4"/>
  <c r="G215" i="4"/>
  <c r="G216" i="4"/>
  <c r="G217" i="4"/>
  <c r="G218" i="4"/>
  <c r="G219" i="4"/>
  <c r="N9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13" i="3"/>
  <c r="N11" i="3"/>
  <c r="N19" i="3"/>
  <c r="N20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<sst xmlns="http://schemas.openxmlformats.org/spreadsheetml/2006/main" count="2520" uniqueCount="930">
  <si>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</si>
  <si>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</si>
  <si>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</si>
  <si>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</si>
  <si>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</si>
  <si>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</si>
  <si>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</si>
  <si>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</si>
  <si>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</si>
  <si>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</si>
  <si>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</si>
  <si>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</si>
  <si>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</si>
  <si>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</si>
  <si>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</si>
  <si>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</si>
  <si>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</si>
  <si>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</si>
  <si>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</si>
  <si>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</si>
  <si>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</si>
  <si>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</si>
  <si>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</si>
  <si>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</si>
  <si>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</si>
  <si>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</si>
  <si>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</si>
  <si>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</si>
  <si>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</si>
  <si>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</si>
  <si>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</si>
  <si>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</si>
  <si>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</si>
  <si>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</si>
  <si>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</si>
  <si>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</si>
  <si>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</si>
  <si>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</si>
  <si>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</si>
  <si>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</si>
  <si>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</si>
  <si>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</si>
  <si>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</si>
  <si>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</si>
  <si>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</si>
  <si>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</si>
  <si>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</si>
  <si>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</si>
  <si>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</si>
  <si>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</si>
  <si>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</si>
  <si>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</si>
  <si>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</si>
  <si>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</si>
  <si>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</si>
  <si>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</si>
  <si>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</si>
  <si>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</si>
  <si>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</si>
  <si>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</si>
  <si>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</si>
  <si>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</si>
  <si>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</si>
  <si>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</si>
  <si>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</si>
  <si>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</si>
  <si>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</si>
  <si>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</si>
  <si>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</si>
  <si>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</si>
  <si>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</si>
  <si>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</si>
  <si>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</si>
  <si>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</si>
  <si>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</si>
  <si>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</si>
  <si>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</si>
  <si>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</si>
  <si>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</si>
  <si>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</si>
  <si>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</si>
  <si>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</si>
  <si>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</si>
  <si>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</si>
  <si>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</si>
  <si>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</si>
  <si>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</si>
  <si>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</si>
  <si>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</si>
  <si>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</si>
  <si>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</si>
  <si>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</si>
  <si>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</si>
  <si>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</si>
  <si>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</si>
  <si>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</si>
  <si>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</si>
  <si>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</si>
  <si>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</si>
  <si>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</si>
  <si>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</si>
  <si>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</si>
  <si>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</si>
  <si>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</si>
  <si>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</si>
  <si>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</si>
  <si>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</si>
  <si>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</si>
  <si>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</si>
  <si>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</si>
  <si>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</si>
  <si>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</si>
  <si>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</si>
  <si>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</si>
  <si>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</si>
  <si>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</si>
  <si>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</si>
  <si>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</si>
  <si>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</si>
  <si>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</si>
  <si>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</si>
  <si>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</si>
  <si>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</si>
  <si>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</si>
  <si>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</si>
  <si>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</si>
  <si>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</si>
  <si>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</si>
  <si>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</si>
  <si>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</si>
  <si>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</si>
  <si>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</si>
  <si>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</si>
  <si>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</si>
  <si>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</si>
  <si>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</si>
  <si>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</si>
  <si>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</si>
  <si>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</si>
  <si>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</si>
  <si>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</si>
  <si>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</si>
  <si>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</si>
  <si>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</si>
  <si>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</si>
  <si>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</si>
  <si>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</si>
  <si>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</si>
  <si>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</si>
  <si>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</si>
  <si>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</si>
  <si>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</si>
  <si>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</si>
  <si>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</si>
  <si>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</si>
  <si>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</si>
  <si>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</si>
  <si>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</si>
  <si>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</si>
  <si>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</si>
  <si>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</si>
  <si>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</si>
  <si>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</si>
  <si>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</si>
  <si>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</si>
  <si>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</si>
  <si>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</si>
  <si>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</si>
  <si>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</si>
  <si>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</si>
  <si>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</si>
  <si>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</si>
  <si>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</si>
  <si>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</si>
  <si>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</si>
  <si>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</si>
  <si>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</si>
  <si>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</si>
  <si>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</si>
  <si>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</si>
  <si>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</si>
  <si>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</si>
  <si>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</si>
  <si>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</si>
  <si>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</si>
  <si>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</si>
  <si>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</si>
  <si>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</si>
  <si>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</si>
  <si>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</si>
  <si>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</si>
  <si>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</si>
  <si>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</si>
  <si>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</si>
  <si>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</si>
  <si>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rtdc.l.rtdc.4012:itc</t>
  </si>
  <si>
    <t>204:150</t>
  </si>
  <si>
    <t>rtdc.l.rtdc.4022:itc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</si>
  <si>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</si>
  <si>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</si>
  <si>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</si>
  <si>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</si>
  <si>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</si>
  <si>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</si>
  <si>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</si>
  <si>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</si>
  <si>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</si>
  <si>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</si>
  <si>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</si>
  <si>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</si>
  <si>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</si>
  <si>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</si>
  <si>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</si>
  <si>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</si>
  <si>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</si>
  <si>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</si>
  <si>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</si>
  <si>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</si>
  <si>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</si>
  <si>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</si>
  <si>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</si>
  <si>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</si>
  <si>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</si>
  <si>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</si>
  <si>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</si>
  <si>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</si>
  <si>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</si>
  <si>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</si>
  <si>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</si>
  <si>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</si>
  <si>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</si>
  <si>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</si>
  <si>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</si>
  <si>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</si>
  <si>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</si>
  <si>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</si>
  <si>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</si>
  <si>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</si>
  <si>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</si>
  <si>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</si>
  <si>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</si>
  <si>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</si>
  <si>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</si>
  <si>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</si>
  <si>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</si>
  <si>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</si>
  <si>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</si>
  <si>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</si>
  <si>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</si>
  <si>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</si>
  <si>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</si>
  <si>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</si>
  <si>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</si>
  <si>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</si>
  <si>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</si>
  <si>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</si>
  <si>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</si>
  <si>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</si>
  <si>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</si>
  <si>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</si>
  <si>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</si>
  <si>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</si>
  <si>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</si>
  <si>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</si>
  <si>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</si>
  <si>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</si>
  <si>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</si>
  <si>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</si>
  <si>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</si>
  <si>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</si>
  <si>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</si>
  <si>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</si>
  <si>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</si>
  <si>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</si>
  <si>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</si>
  <si>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</si>
  <si>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</si>
  <si>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</si>
  <si>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</si>
  <si>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</si>
  <si>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</si>
  <si>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</si>
  <si>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</si>
  <si>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204:136</t>
  </si>
  <si>
    <t>204:232982</t>
  </si>
  <si>
    <t>204:233301</t>
  </si>
  <si>
    <t>204:232994</t>
  </si>
  <si>
    <t>204:467</t>
  </si>
  <si>
    <t>rtdc.l.rtdc.4002:itc</t>
  </si>
  <si>
    <t>204:233307</t>
  </si>
  <si>
    <t>204:156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</si>
  <si>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</si>
  <si>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</si>
  <si>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</si>
  <si>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</si>
  <si>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</si>
  <si>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</si>
  <si>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</si>
  <si>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</si>
  <si>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</si>
  <si>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</si>
  <si>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</si>
  <si>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</si>
  <si>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</si>
  <si>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</si>
  <si>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</si>
  <si>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204:233311</t>
  </si>
  <si>
    <t>204:233308</t>
  </si>
  <si>
    <t>204:139</t>
  </si>
  <si>
    <t>204:232998</t>
  </si>
  <si>
    <t>204:437</t>
  </si>
  <si>
    <t>204:233278</t>
  </si>
  <si>
    <t>204:233304</t>
  </si>
  <si>
    <t>rtdc.l.rtdc.4016:itc</t>
  </si>
  <si>
    <t>STARKS</t>
  </si>
  <si>
    <t>ANGELINA</t>
  </si>
  <si>
    <t>BONDS</t>
  </si>
  <si>
    <t>REYNALDO</t>
  </si>
  <si>
    <t>CLARK</t>
  </si>
  <si>
    <t>KATHLEEN</t>
  </si>
  <si>
    <t>LEVERE</t>
  </si>
  <si>
    <t>CRAIG</t>
  </si>
  <si>
    <t>Mostly Cloudy</t>
  </si>
  <si>
    <t>204:232993</t>
  </si>
  <si>
    <t>204:233317</t>
  </si>
  <si>
    <t>204:233291</t>
  </si>
  <si>
    <t>rtdc.l.rtdc.4010:itc</t>
  </si>
  <si>
    <t>LOZA</t>
  </si>
  <si>
    <t>FIDEL</t>
  </si>
  <si>
    <t>BRANNON</t>
  </si>
  <si>
    <t>JEFFREY</t>
  </si>
  <si>
    <t>204:232977</t>
  </si>
  <si>
    <t>204:138</t>
  </si>
  <si>
    <t>204:232986</t>
  </si>
  <si>
    <t>204:232981</t>
  </si>
  <si>
    <t>204:233309</t>
  </si>
  <si>
    <t>204:233303</t>
  </si>
  <si>
    <t>204:233281</t>
  </si>
  <si>
    <t>204:232985</t>
  </si>
  <si>
    <t>204:233274</t>
  </si>
  <si>
    <t>300:23346</t>
  </si>
  <si>
    <t>300:58649</t>
  </si>
  <si>
    <t>300:58950</t>
  </si>
  <si>
    <t>300:58624</t>
  </si>
  <si>
    <t>300:58975</t>
  </si>
  <si>
    <t>rtdc.l.rtdc.4055:itc</t>
  </si>
  <si>
    <t>GEBRETEKLE</t>
  </si>
  <si>
    <t>DAGNEW</t>
  </si>
  <si>
    <t>BADERTSCHER</t>
  </si>
  <si>
    <t>DIANE</t>
  </si>
  <si>
    <t>HELVIE</t>
  </si>
  <si>
    <t>ADAM</t>
  </si>
  <si>
    <t>BRUDER</t>
  </si>
  <si>
    <t>RICHARD</t>
  </si>
  <si>
    <t>rtdc.l.rtdc.4057:itc</t>
  </si>
  <si>
    <t>311-01</t>
  </si>
  <si>
    <t>313-01</t>
  </si>
  <si>
    <t>315-01</t>
  </si>
  <si>
    <t>204:129</t>
  </si>
  <si>
    <t>204:232677</t>
  </si>
  <si>
    <t>204:232963</t>
  </si>
  <si>
    <t>204:735</t>
  </si>
  <si>
    <t>204:232978</t>
  </si>
  <si>
    <t>204:233302</t>
  </si>
  <si>
    <t>204:232991</t>
  </si>
  <si>
    <t>204:232983</t>
  </si>
  <si>
    <t>204:233293</t>
  </si>
  <si>
    <t>204:442</t>
  </si>
  <si>
    <t>204:233321</t>
  </si>
  <si>
    <t>204:232980</t>
  </si>
  <si>
    <t>204:232967</t>
  </si>
  <si>
    <t>204:444</t>
  </si>
  <si>
    <t>204:233004</t>
  </si>
  <si>
    <t>204:232975</t>
  </si>
  <si>
    <t>204:475</t>
  </si>
  <si>
    <t>204:233289</t>
  </si>
  <si>
    <t>204:232996</t>
  </si>
  <si>
    <t>204:233316</t>
  </si>
  <si>
    <t>204:233288</t>
  </si>
  <si>
    <t>204:687</t>
  </si>
  <si>
    <t>300:58954</t>
  </si>
  <si>
    <t>300:58948</t>
  </si>
  <si>
    <t>204:979</t>
  </si>
  <si>
    <t>300:58619</t>
  </si>
  <si>
    <t>204:978</t>
  </si>
  <si>
    <t>rtdc.l.rtdc.4019:itc</t>
  </si>
  <si>
    <t>SOUTH57-02</t>
  </si>
  <si>
    <t>rtdc.l.rtdc.4017:itc</t>
  </si>
  <si>
    <t>ROBINSON</t>
  </si>
  <si>
    <t>KADDIBA</t>
  </si>
  <si>
    <t>rtdc.l.rtdc.4020:itc</t>
  </si>
  <si>
    <t>rtdc.l.rtdc.4001:itc</t>
  </si>
  <si>
    <t>rtdc.l.rtdc.4018:itc</t>
  </si>
  <si>
    <t>MACDONALD</t>
  </si>
  <si>
    <t>THOMAS</t>
  </si>
  <si>
    <t>SIMMONS</t>
  </si>
  <si>
    <t>SHYHESHA</t>
  </si>
  <si>
    <t>NORTH55-02</t>
  </si>
  <si>
    <t>242-02</t>
  </si>
  <si>
    <t>311-02</t>
  </si>
  <si>
    <t>244-02</t>
  </si>
  <si>
    <t>313-02</t>
  </si>
  <si>
    <t>315-02</t>
  </si>
  <si>
    <t>204:233006</t>
  </si>
  <si>
    <t>204:424</t>
  </si>
  <si>
    <t>204:703</t>
  </si>
  <si>
    <t>204:233310</t>
  </si>
  <si>
    <t>204:232957</t>
  </si>
  <si>
    <t>204:233002</t>
  </si>
  <si>
    <t>204:464</t>
  </si>
  <si>
    <t>204:233312</t>
  </si>
  <si>
    <t>204:233315</t>
  </si>
  <si>
    <t>204:431</t>
  </si>
  <si>
    <t>204:169</t>
  </si>
  <si>
    <t>204:232990</t>
  </si>
  <si>
    <t>204:466</t>
  </si>
  <si>
    <t>204:482</t>
  </si>
  <si>
    <t>204:233300</t>
  </si>
  <si>
    <t>204:187</t>
  </si>
  <si>
    <t>204:435</t>
  </si>
  <si>
    <t>204:232987</t>
  </si>
  <si>
    <t>204:233364</t>
  </si>
  <si>
    <t>204:478</t>
  </si>
  <si>
    <t>204:232971</t>
  </si>
  <si>
    <t>204:233372</t>
  </si>
  <si>
    <t>204:488</t>
  </si>
  <si>
    <t>204:233314</t>
  </si>
  <si>
    <t>204:232972</t>
  </si>
  <si>
    <t>204:233298</t>
  </si>
  <si>
    <t>204:232970</t>
  </si>
  <si>
    <t>300:23320</t>
  </si>
  <si>
    <t>204:738</t>
  </si>
  <si>
    <t>300:58656</t>
  </si>
  <si>
    <t>300:58988</t>
  </si>
  <si>
    <t>204:972</t>
  </si>
  <si>
    <t>204:990</t>
  </si>
  <si>
    <t>300:58636</t>
  </si>
  <si>
    <t>300:58960</t>
  </si>
  <si>
    <t>300:58645</t>
  </si>
  <si>
    <t>204:689</t>
  </si>
  <si>
    <t>300:58651</t>
  </si>
  <si>
    <t>204:670</t>
  </si>
  <si>
    <t>204:705</t>
  </si>
  <si>
    <t>204:981</t>
  </si>
  <si>
    <t>204:727</t>
  </si>
  <si>
    <t>300:58640</t>
  </si>
  <si>
    <t>204:985</t>
  </si>
  <si>
    <t>300:58958</t>
  </si>
  <si>
    <t>204:650</t>
  </si>
  <si>
    <t>204:125434</t>
  </si>
  <si>
    <t>start /low /b %USERPROFILE%\Documents\GitHub\eaglep3\Utilities\DownloadLogsFromS3.py --loco 4019 --day 2017-02-03</t>
  </si>
  <si>
    <t>start /low /b %USERPROFILE%\Documents\GitHub\eaglep3\Utilities\DownloadLogsFromS3.py --loco 4003 --day 2017-02-03</t>
  </si>
  <si>
    <t>SYS :2017/02/02 13:23:38.347:ENFORCEMENT:Predictive Enforcement Action:  Target Number: 00001005  Target Speed:   0.0  Current Speed:   7.1</t>
  </si>
  <si>
    <t>SYS :2017/02/02 13:23:38.509:ENFORCEMENT:Predictive Enforcement Action:  Target Number: 00001005  Target Speed:   0.0  Current Speed:   7.1</t>
  </si>
  <si>
    <t>SYS :2017/02/02 14:04:28.693:ENFORCEMENT:Predictive Enforcement Action:  Target Number: 00001003  Target Speed:   0.0  Current Speed:   9.0</t>
  </si>
  <si>
    <t>SYS :2017/02/02 14:04:28.994:ENFORCEMENT:Predictive Enforcement Action:  Target Number: 00001003  Target Speed:   0.0  Current Speed:   9.0</t>
  </si>
  <si>
    <t>SYS :2017/02/02 14:04:29.154:ENFORCEMENT:Predictive Enforcement Action:  Target Number: 00001003  Target Speed:   0.0  Current Speed:   9.0</t>
  </si>
  <si>
    <t>SYS :2017/02/02 14:21:42.185:ENFORCEMENT:Predictive Enforcement Action:  Target Number: 00010055  Target Speed:  20.0  Current Speed:  45.8</t>
  </si>
  <si>
    <t>SYS :2017/02/02 14:21:42.222:ENFORCEMENT:Predictive Enforcement Action:  Target Number: 00010009  Target Speed:  20.0  Current Speed:  45.8</t>
  </si>
  <si>
    <t>SYS :2017/02/02 14:21:42.756:ENFORCEMENT:Predictive Enforcement Action:  Target Number: 00010055  Target Speed:  20.0  Current Speed:  45.8</t>
  </si>
  <si>
    <t>SYS :2017/02/02 14:48:20.986:ENFORCEMENT:Predictive Enforcement Action:  Target Number: 00010016  Target Speed:  55.0  Current Speed:  79.5</t>
  </si>
  <si>
    <t>SYS :2017/02/02 14:48:21.182:ENFORCEMENT:Predictive Enforcement Action:  Target Number: 00010069  Target Speed:  55.0  Current Speed:  79.5</t>
  </si>
  <si>
    <t>SYS :2017/02/02 14:48:21.752:ENFORCEMENT:Predictive Enforcement Action:  Target Number: 00010068  Target Speed:  55.0  Current Speed:  79.5</t>
  </si>
  <si>
    <t>SYS :2017/02/02 15:26:15.951:ENFORCEMENT:Predictive Enforcement Action:  Target Number: 00010088  Target Speed:  30.0  Current Speed:  39.5</t>
  </si>
  <si>
    <t>SYS :2017/02/02 15:26:15.964:ENFORCEMENT:Predictive Enforcement Action:  Target Number: 00010088  Target Speed:  30.0  Current Speed:  39.9</t>
  </si>
  <si>
    <t>SYS :2017/02/02 15:26:16.086:ENFORCEMENT:Predictive Enforcement Action:  Target Number: 00010080  Target Speed:  30.0  Current Speed:  39.9</t>
  </si>
  <si>
    <t>SYS :2017/02/02 15:36:15.778:ENFORCEMENT:Predictive Enforcement Action:  Target Number: 00017038  Target Speed:   0.0  Current Speed:  23.6</t>
  </si>
  <si>
    <t>SYS :2017/02/02 15:36:16.920:ENFORCEMENT:Predictive Enforcement Action:  Target Number: 00017044  Target Speed:   0.0  Current Speed:  22.4</t>
  </si>
  <si>
    <t>SYS :2017/02/02 15:36:17.400:ENFORCEMENT:Predictive Enforcement Action:  Target Number: 00017044  Target Speed:   0.0  Current Speed:  22.4</t>
  </si>
  <si>
    <t>SYS :2017/02/02 16:51:30.559:ENFORCEMENT:Predictive Enforcement Action:  Target Number: 0000102B  Target Speed:   0.0  Current Speed:   9.7</t>
  </si>
  <si>
    <t>SYS :2017/02/02 16:51:30.912:ENFORCEMENT:Predictive Enforcement Action:  Target Number: 0000102B  Target Speed:   0.0  Current Speed:   9.7</t>
  </si>
  <si>
    <t>SYS :2017/02/02 16:51:31.380:ENFORCEMENT:Predictive Enforcement Action:  Target Number: 0000102B  Target Speed:   0.0  Current Speed:   9.7</t>
  </si>
  <si>
    <t>SYS :2017/02/02 16:52:05.919:ENFORCEMENT:Predictive Enforcement Action:  Target Number: 0000102B  Target Speed:   0.0  Current Speed:   4.2</t>
  </si>
  <si>
    <t>SYS :2017/02/02 16:52:06.371:ENFORCEMENT:Predictive Enforcement Action:  Target Number: 0000102B  Target Speed:   0.0  Current Speed:   4.2</t>
  </si>
  <si>
    <t>SYS :2017/02/02 16:52:08.554:ENFORCEMENT:Predictive Enforcement Action:  Target Number: 0000102B  Target Speed:   0.0  Current Speed:   4.1</t>
  </si>
  <si>
    <t>SYS :2017/02/02 16:55:07.476:ENFORCEMENT:Predictive Enforcement Action:  Target Number: 00017045  Target Speed:  24.0  Current Speed:  35.5</t>
  </si>
  <si>
    <t>SYS :2017/02/02 16:55:07.641:ENFORCEMENT:Predictive Enforcement Action:  Target Number: 00017045  Target Speed:  24.0  Current Speed:  35.6</t>
  </si>
  <si>
    <t>SYS :2017/02/02 17:23:18.412:ENFORCEMENT:Reactive Enforcement Action:  Target Number: 00017057  Target Speed:  15.0  Current Speed:  20.2</t>
  </si>
  <si>
    <t>SYS :2017/02/02 17:47:02.206:ENFORCEMENT:Predictive Enforcement Action:  Target Number: 00006116  Target Speed:   0.0  Current Speed:   6.4</t>
  </si>
  <si>
    <t>SYS :2017/02/02 17:51:41.353:ENFORCEMENT:Predictive Enforcement Action:  Target Number: 00010009  Target Speed:  20.0  Current Speed:  25.8</t>
  </si>
  <si>
    <t>SYS :2017/02/02 17:52:57.736:ENFORCEMENT:Predictive Enforcement Action:  Target Number: 00017062  Target Speed:   0.0  Current Speed:  18.0</t>
  </si>
  <si>
    <t>SYS :2017/02/02 17:52:57.779:ENFORCEMENT:Predictive Enforcement Action:  Target Number: 0001703E  Target Speed:   0.0  Current Speed:  17.0</t>
  </si>
  <si>
    <t>SYS :2017/02/02 18:17:02.566:ENFORCEMENT:Reactive Enforcement Action:  Target Number: 000063AD  Target Speed:   0.0  Current Speed:  47.8</t>
  </si>
  <si>
    <t>SYS :2017/02/02 18:17:03.367:ENFORCEMENT:Reactive Enforcement Action:  Target Number: 00006369  Target Speed:   0.0  Current Speed:  47.8</t>
  </si>
  <si>
    <t>SYS :2017/02/02 18:36:23.340:ENFORCEMENT:Predictive Enforcement Action:  Target Number: 0000100C  Target Speed:   0.0  Current Speed:   4.3</t>
  </si>
  <si>
    <t>SYS :2017/02/02 18:36:23.507:ENFORCEMENT:Predictive Enforcement Action:  Target Number: 0000100C  Target Speed:   0.0  Current Speed:   4.3</t>
  </si>
  <si>
    <t>SYS :2017/02/02 18:36:23.897:ENFORCEMENT:Predictive Enforcement Action:  Target Number: 0000100C  Target Speed:   0.0  Current Speed:   4.3</t>
  </si>
  <si>
    <t>SYS :2017/02/02 19:53:50.567:ENFORCEMENT:Predictive Enforcement Action:  Target Number: 000063F6  Target Speed:   0.0  Current Speed:  37.5</t>
  </si>
  <si>
    <t>SYS :2017/02/02 19:53:51.381:ENFORCEMENT:Predictive Enforcement Action:  Target Number: 000063B2  Target Speed:   0.0  Current Speed:  36.5</t>
  </si>
  <si>
    <t>SYS :2017/02/02 19:54:47.379:ENFORCEMENT:Reactive Enforcement Action:  Target Number: 000063B2  Target Speed:   0.0  Current Speed:   0.6</t>
  </si>
  <si>
    <t>SYS :2017/02/02 20:35:40.453:ENFORCEMENT:Predictive Enforcement Action:  Target Number: 0000100D  Target Speed:   0.0  Current Speed:   4.0</t>
  </si>
  <si>
    <t>SYS :2017/02/02 22:43:32.781:ENFORCEMENT:Predictive Enforcement Action:  Target Number: 00017095  Target Speed:   0.0  Current Speed:  49.1</t>
  </si>
  <si>
    <t>SYS :2017/02/02 22:43:34.398:ENFORCEMENT:Predictive Enforcement Action:  Target Number: 000170A1  Target Speed:   0.0  Current Speed:  45.8</t>
  </si>
  <si>
    <t>SYS :2017/02/03 00:27:13.281:ENFORCEMENT:Predictive Enforcement Action:  Target Number: 00001012  Target Speed:   0.0  Current Speed:   4.4</t>
  </si>
  <si>
    <t>SYS :2017/02/03 00:27:13.461:ENFORCEMENT:Predictive Enforcement Action:  Target Number: 0000100E  Target Speed:   0.0  Current Speed:   4.4</t>
  </si>
  <si>
    <t>SYS :2017/02/03 00:27:14.083:ENFORCEMENT:Predictive Enforcement Action:  Target Number: 00001012  Target Speed:   0.0  Current Speed:   4.4</t>
  </si>
  <si>
    <t>SYS :2017/02/03 01:27:26.085:ENFORCEMENT:Predictive Enforcement Action:  Target Number: 00001017  Target Speed:   0.0  Current Speed:   5.9</t>
  </si>
  <si>
    <t>SYS :2017/02/03 01:27:26.460:ENFORCEMENT:Predictive Enforcement Action:  Target Number: 00001013  Target Speed:   0.0  Current Speed:   5.9</t>
  </si>
  <si>
    <t>SYS :2017/02/03 01:27:27.274:ENFORCEMENT:Predictive Enforcement Action:  Target Number: 00001017  Target Speed:   0.0  Current Speed:   5.9</t>
  </si>
  <si>
    <t>SYS :2017/02/03 01:36:14.411:ENFORCEMENT:Predictive Enforcement Action:  Target Number: 00017173  Target Speed:   0.0  Current Speed:  20.3</t>
  </si>
  <si>
    <t>SYS :2017/02/03 01:36:14.993:ENFORCEMENT:Predictive Enforcement Action:  Target Number: 00017173  Target Speed:   0.0  Current Speed:  20.3</t>
  </si>
  <si>
    <t>SYS :2017/02/03 01:36:15.019:ENFORCEMENT:Predictive Enforcement Action:  Target Number: 0001716C  Target Speed:   0.0  Current Speed:  20.3</t>
  </si>
  <si>
    <t>SYS :2017/02/03 02:28:20.686:ENFORCEMENT:Reactive Enforcement Action:  Target Number: 000101D4  Target Speed:  35.0  Current Speed:  40.1</t>
  </si>
  <si>
    <t>SYS :2017/02/03 02:28:21.331:ENFORCEMENT:Reactive Enforcement Action:  Target Number: 00010366  Target Speed:  35.0  Current Speed:  40.1</t>
  </si>
  <si>
    <t>SYS :2017/02/03 02:28:21.373:ENFORCEMENT:Reactive Enforcement Action:  Target Number: 000100F6  Target Speed:  35.0  Current Speed:  40.1</t>
  </si>
  <si>
    <t>SYS :2017/02/03 02:35:37.922:ENFORCEMENT:Predictive Enforcement Action:  Target Number: 00001029  Target Speed:   0.0  Current Speed:   5.1</t>
  </si>
  <si>
    <t>SYS :2017/02/03 02:35:37.943:ENFORCEMENT:Predictive Enforcement Action:  Target Number: 00001029  Target Speed:   0.0  Current Speed:   5.1</t>
  </si>
  <si>
    <t>SYS :2017/02/03 03:08:06.796:ENFORCEMENT:Predictive Enforcement Action:  Target Number: 000170D5  Target Speed:   0.0  Current Speed:  16.8</t>
  </si>
  <si>
    <t>SYS :2017/02/03 03:08:06.975:ENFORCEMENT:Predictive Enforcement Action:  Target Number: 000170D5  Target Speed:   0.0  Current Speed:  16.8</t>
  </si>
  <si>
    <t>SYS :2017/02/03 03:08:07.140:ENFORCEMENT:Predictive Enforcement Action:  Target Number: 000170D5  Target Speed:   0.0  Current Speed:  16.8</t>
  </si>
  <si>
    <t>SYS :2017/02/03 03:36:46.408:ENFORCEMENT:Reactive Enforcement Action:  Target Number: 000103EF  Target Speed:  20.0  Current Speed:  25.6</t>
  </si>
  <si>
    <t>SYS :2017/02/03 03:36:46.999:ENFORCEMENT:Reactive Enforcement Action:  Target Number: 0001040A  Target Speed:  20.0  Current Speed:  25.6</t>
  </si>
  <si>
    <t>SYS :2017/02/03 03:36:47.034:ENFORCEMENT:Reactive Enforcement Action:  Target Number: 00010400  Target Speed:  20.0  Current Speed:  25.6</t>
  </si>
  <si>
    <t>SYS :2017/02/03 04:55:49.662:ENFORCEMENT:Predictive Enforcement Action:  Target Number: 0000103C  Target Speed:   0.0  Current Speed:   3.8</t>
  </si>
  <si>
    <t>SYS :2017/02/03 04:55:50.376:ENFORCEMENT:Predictive Enforcement Action:  Target Number: 0000103C  Target Speed:   0.0  Current Speed:   3.8</t>
  </si>
  <si>
    <t>SYS :2017/02/03 05:03:14.671:ENFORCEMENT:Predictive Enforcement Action:  Target Number: 0000101F  Target Speed:   0.0  Current Speed:   7.0</t>
  </si>
  <si>
    <t>SYS :2017/02/03 05:03:16.315:ENFORCEMENT:Predictive Enforcement Action:  Target Number: 0000103F  Target Speed:   0.0  Current Speed:   6.9</t>
  </si>
  <si>
    <t>SYS :2017/02/03 05:03:16.362:ENFORCEMENT:Predictive Enforcement Action:  Target Number: 00001010  Target Speed:   0.0  Current Speed:   6.9</t>
  </si>
  <si>
    <t>SYS :2017/02/03 06:51:53.709:ENFORCEMENT:Predictive Enforcement Action:  Target Number: 00017156  Target Speed:  53.0  Current Speed:  61.9</t>
  </si>
  <si>
    <t>SYS :2017/02/03 07:03:32.365:ENFORCEMENT:Predictive Enforcement Action:  Target Number: 00001012  Target Speed:   0.0  Current Speed:   4.6</t>
  </si>
  <si>
    <t>SYS :2017/02/03 07:03:32.827:ENFORCEMENT:Predictive Enforcement Action:  Target Number: 00001001  Target Speed:   0.0  Current Speed:   4.6</t>
  </si>
  <si>
    <t>SYS :2017/02/03 08:03:54.498:ENFORCEMENT:Predictive Enforcement Action:  Target Number: 00001021  Target Speed:   0.0  Current Speed:   3.0</t>
  </si>
  <si>
    <t>SYS :2017/02/03 08:03:54.854:ENFORCEMENT:Predictive Enforcement Action:  Target Number: 00001020  Target Speed:   0.0  Current Speed:   3.0</t>
  </si>
  <si>
    <t>SYS :2017/02/03 08:04:07.975:ENFORCEMENT:Predictive Enforcement Action:  Target Number: 00001045  Target Speed:   0.0  Current Speed:   6.4</t>
  </si>
  <si>
    <t>SYS :2017/02/03 08:04:08.013:ENFORCEMENT:Predictive Enforcement Action:  Target Number: 00001044  Target Speed:   0.0  Current Speed:   6.4</t>
  </si>
  <si>
    <t>SYS :2017/02/03 08:04:08.394:ENFORCEMENT:Predictive Enforcement Action:  Target Number: 00001044  Target Speed:   0.0  Current Speed:   6.4</t>
  </si>
  <si>
    <t>102-03</t>
  </si>
  <si>
    <t>rtdc.l.rtdc.4039:itc</t>
  </si>
  <si>
    <t>106-03</t>
  </si>
  <si>
    <t>113-03</t>
  </si>
  <si>
    <t>108-03</t>
  </si>
  <si>
    <t>805-03</t>
  </si>
  <si>
    <t>118-03</t>
  </si>
  <si>
    <t>122-03</t>
  </si>
  <si>
    <t>811-03</t>
  </si>
  <si>
    <t>132-03</t>
  </si>
  <si>
    <t>rtdc.l.rtdc.4044:itc</t>
  </si>
  <si>
    <t>139-03</t>
  </si>
  <si>
    <t>145-03</t>
  </si>
  <si>
    <t>142-03</t>
  </si>
  <si>
    <t>rtdc.l.rtdc.4040:itc</t>
  </si>
  <si>
    <t>151-03</t>
  </si>
  <si>
    <t>816-03</t>
  </si>
  <si>
    <t>171-03</t>
  </si>
  <si>
    <t>821-03</t>
  </si>
  <si>
    <t>172-03</t>
  </si>
  <si>
    <t>187-03</t>
  </si>
  <si>
    <t>200-03</t>
  </si>
  <si>
    <t>rtdc.l.rtdc.4031:itc</t>
  </si>
  <si>
    <t>217-03</t>
  </si>
  <si>
    <t>223-03</t>
  </si>
  <si>
    <t>307-03</t>
  </si>
  <si>
    <t>228-03</t>
  </si>
  <si>
    <t>845-03</t>
  </si>
  <si>
    <t>232-03</t>
  </si>
  <si>
    <t>302-03</t>
  </si>
  <si>
    <t>101-03</t>
  </si>
  <si>
    <t>306-03</t>
  </si>
  <si>
    <t>105-03</t>
  </si>
  <si>
    <t>308-03</t>
  </si>
  <si>
    <t>310-03</t>
  </si>
  <si>
    <t>107-03</t>
  </si>
  <si>
    <t>104-03</t>
  </si>
  <si>
    <t>DAVIS</t>
  </si>
  <si>
    <t>WENDY</t>
  </si>
  <si>
    <t>109-03</t>
  </si>
  <si>
    <t>111-03</t>
  </si>
  <si>
    <t>800-03</t>
  </si>
  <si>
    <t>115-03</t>
  </si>
  <si>
    <t>ROCHA</t>
  </si>
  <si>
    <t>YAOTL</t>
  </si>
  <si>
    <t>801-03</t>
  </si>
  <si>
    <t>117-03</t>
  </si>
  <si>
    <t>112-03</t>
  </si>
  <si>
    <t>119-03</t>
  </si>
  <si>
    <t>902-03</t>
  </si>
  <si>
    <t>BEAM</t>
  </si>
  <si>
    <t>ROSS</t>
  </si>
  <si>
    <t>802-03</t>
  </si>
  <si>
    <t>114-03</t>
  </si>
  <si>
    <t>121-03</t>
  </si>
  <si>
    <t>803-03</t>
  </si>
  <si>
    <t>116-03</t>
  </si>
  <si>
    <t>123-03</t>
  </si>
  <si>
    <t>804-03</t>
  </si>
  <si>
    <t>125-03</t>
  </si>
  <si>
    <t>rtdc.l.rtdc.4032:itc</t>
  </si>
  <si>
    <t>120-03</t>
  </si>
  <si>
    <t>127-03</t>
  </si>
  <si>
    <t>806-03</t>
  </si>
  <si>
    <t>807-03</t>
  </si>
  <si>
    <t>YANAI</t>
  </si>
  <si>
    <t>IAN</t>
  </si>
  <si>
    <t>129-03</t>
  </si>
  <si>
    <t>124-03</t>
  </si>
  <si>
    <t>131-03</t>
  </si>
  <si>
    <t>126-03</t>
  </si>
  <si>
    <t>808-03</t>
  </si>
  <si>
    <t>133-03</t>
  </si>
  <si>
    <t>809-03</t>
  </si>
  <si>
    <t>CUSHING</t>
  </si>
  <si>
    <t>HARRY</t>
  </si>
  <si>
    <t>128-03</t>
  </si>
  <si>
    <t>135-03</t>
  </si>
  <si>
    <t>810-03</t>
  </si>
  <si>
    <t>130-03</t>
  </si>
  <si>
    <t>137-03</t>
  </si>
  <si>
    <t>134-03</t>
  </si>
  <si>
    <t>903-03</t>
  </si>
  <si>
    <t>812-03</t>
  </si>
  <si>
    <t>141-03</t>
  </si>
  <si>
    <t>136-03</t>
  </si>
  <si>
    <t>143-03</t>
  </si>
  <si>
    <t>813-03</t>
  </si>
  <si>
    <t>138-03</t>
  </si>
  <si>
    <t>140-03</t>
  </si>
  <si>
    <t>147-03</t>
  </si>
  <si>
    <t>814-03</t>
  </si>
  <si>
    <t>149-03</t>
  </si>
  <si>
    <t>144-03</t>
  </si>
  <si>
    <t>146-03</t>
  </si>
  <si>
    <t>153-03</t>
  </si>
  <si>
    <t>148-03</t>
  </si>
  <si>
    <t>815-03</t>
  </si>
  <si>
    <t>155-03</t>
  </si>
  <si>
    <t>150-03</t>
  </si>
  <si>
    <t>157-03</t>
  </si>
  <si>
    <t>152-03</t>
  </si>
  <si>
    <t>rtdc.l.rtdc.4037:itc</t>
  </si>
  <si>
    <t>50-03</t>
  </si>
  <si>
    <t>BRANDNER</t>
  </si>
  <si>
    <t>MELINDA</t>
  </si>
  <si>
    <t>159-03</t>
  </si>
  <si>
    <t>STEWART</t>
  </si>
  <si>
    <t>154-03</t>
  </si>
  <si>
    <t>161-03</t>
  </si>
  <si>
    <t>DE LA ROSA</t>
  </si>
  <si>
    <t>ALEX</t>
  </si>
  <si>
    <t>817-03</t>
  </si>
  <si>
    <t>156-03</t>
  </si>
  <si>
    <t>163-03</t>
  </si>
  <si>
    <t>818-03</t>
  </si>
  <si>
    <t>165-03</t>
  </si>
  <si>
    <t>158-03</t>
  </si>
  <si>
    <t>51-03</t>
  </si>
  <si>
    <t>160-03</t>
  </si>
  <si>
    <t>167-03</t>
  </si>
  <si>
    <t>162-03</t>
  </si>
  <si>
    <t>169-03</t>
  </si>
  <si>
    <t>KILLION</t>
  </si>
  <si>
    <t>DAVID</t>
  </si>
  <si>
    <t>819-03</t>
  </si>
  <si>
    <t>164-03</t>
  </si>
  <si>
    <t>820-03</t>
  </si>
  <si>
    <t>166-03</t>
  </si>
  <si>
    <t>173-03</t>
  </si>
  <si>
    <t>168-03</t>
  </si>
  <si>
    <t>175-03</t>
  </si>
  <si>
    <t>170-03</t>
  </si>
  <si>
    <t>177-03</t>
  </si>
  <si>
    <t>179-03</t>
  </si>
  <si>
    <t>174-03</t>
  </si>
  <si>
    <t>822-03</t>
  </si>
  <si>
    <t>181-03</t>
  </si>
  <si>
    <t>176-03</t>
  </si>
  <si>
    <t>183-03</t>
  </si>
  <si>
    <t>178-03</t>
  </si>
  <si>
    <t>185-03</t>
  </si>
  <si>
    <t>823-03</t>
  </si>
  <si>
    <t>180-03</t>
  </si>
  <si>
    <t>824-03</t>
  </si>
  <si>
    <t>182-03</t>
  </si>
  <si>
    <t>189-03</t>
  </si>
  <si>
    <t>184-03</t>
  </si>
  <si>
    <t>191-03</t>
  </si>
  <si>
    <t>186-03</t>
  </si>
  <si>
    <t>825-03</t>
  </si>
  <si>
    <t>193-03</t>
  </si>
  <si>
    <t>188-03</t>
  </si>
  <si>
    <t>190-03</t>
  </si>
  <si>
    <t>904-03</t>
  </si>
  <si>
    <t>195-03</t>
  </si>
  <si>
    <t>827-03</t>
  </si>
  <si>
    <t>HOLCOMB</t>
  </si>
  <si>
    <t>KAMDEN</t>
  </si>
  <si>
    <t>826-03</t>
  </si>
  <si>
    <t>197-03</t>
  </si>
  <si>
    <t>192-03</t>
  </si>
  <si>
    <t>199-03</t>
  </si>
  <si>
    <t>194-03</t>
  </si>
  <si>
    <t>828-03</t>
  </si>
  <si>
    <t>201-03</t>
  </si>
  <si>
    <t>829-03</t>
  </si>
  <si>
    <t>196-03</t>
  </si>
  <si>
    <t>203-03</t>
  </si>
  <si>
    <t>831-03</t>
  </si>
  <si>
    <t>198-03</t>
  </si>
  <si>
    <t>830-03</t>
  </si>
  <si>
    <t>205-03</t>
  </si>
  <si>
    <t>207-03</t>
  </si>
  <si>
    <t>202-03</t>
  </si>
  <si>
    <t>209-03</t>
  </si>
  <si>
    <t>832-03</t>
  </si>
  <si>
    <t>833-03</t>
  </si>
  <si>
    <t>204-03</t>
  </si>
  <si>
    <t>211-03</t>
  </si>
  <si>
    <t>206-03</t>
  </si>
  <si>
    <t>56-03</t>
  </si>
  <si>
    <t>STRICKLAND</t>
  </si>
  <si>
    <t>EVAN</t>
  </si>
  <si>
    <t>834-03</t>
  </si>
  <si>
    <t>70-03</t>
  </si>
  <si>
    <t>PERKINS</t>
  </si>
  <si>
    <t>DARREN</t>
  </si>
  <si>
    <t>213-03</t>
  </si>
  <si>
    <t>835-03</t>
  </si>
  <si>
    <t>208-03</t>
  </si>
  <si>
    <t>215-03</t>
  </si>
  <si>
    <t>210-03</t>
  </si>
  <si>
    <t>836-03</t>
  </si>
  <si>
    <t>837-03</t>
  </si>
  <si>
    <t>71-03</t>
  </si>
  <si>
    <t>212-03</t>
  </si>
  <si>
    <t>219-03</t>
  </si>
  <si>
    <t>839-03</t>
  </si>
  <si>
    <t>214-03</t>
  </si>
  <si>
    <t>838-03</t>
  </si>
  <si>
    <t>303-03</t>
  </si>
  <si>
    <t>216-03</t>
  </si>
  <si>
    <t>221-03</t>
  </si>
  <si>
    <t>72-03</t>
  </si>
  <si>
    <t>DUNCAN</t>
  </si>
  <si>
    <t>SHEILA</t>
  </si>
  <si>
    <t>218-03</t>
  </si>
  <si>
    <t>906-03</t>
  </si>
  <si>
    <t>841-03</t>
  </si>
  <si>
    <t>220-03</t>
  </si>
  <si>
    <t>840-03</t>
  </si>
  <si>
    <t>222-03</t>
  </si>
  <si>
    <t>225-03</t>
  </si>
  <si>
    <t>843-03</t>
  </si>
  <si>
    <t>227-03</t>
  </si>
  <si>
    <t>224-03</t>
  </si>
  <si>
    <t>842-03</t>
  </si>
  <si>
    <t>226-03</t>
  </si>
  <si>
    <t>229-03</t>
  </si>
  <si>
    <t>231-03</t>
  </si>
  <si>
    <t>844-03</t>
  </si>
  <si>
    <t>233-03</t>
  </si>
  <si>
    <t>230-03</t>
  </si>
  <si>
    <t>235-03</t>
  </si>
  <si>
    <t>847-03</t>
  </si>
  <si>
    <t>908-03</t>
  </si>
  <si>
    <t>234-03</t>
  </si>
  <si>
    <t>237-03</t>
  </si>
  <si>
    <t>236-03</t>
  </si>
  <si>
    <t>239-03</t>
  </si>
  <si>
    <t>241-03</t>
  </si>
  <si>
    <t>238-03</t>
  </si>
  <si>
    <t>243-03</t>
  </si>
  <si>
    <t>240-03</t>
  </si>
  <si>
    <t>242-03</t>
  </si>
  <si>
    <t>245-03</t>
  </si>
  <si>
    <t>309-03</t>
  </si>
  <si>
    <t>244-03</t>
  </si>
  <si>
    <t>311-03</t>
  </si>
  <si>
    <t>246-03</t>
  </si>
  <si>
    <t>313-03</t>
  </si>
  <si>
    <t>315-03</t>
  </si>
  <si>
    <t>clear-night</t>
  </si>
  <si>
    <t>Clear</t>
  </si>
  <si>
    <t>204:232666</t>
  </si>
  <si>
    <t>204:116</t>
  </si>
  <si>
    <t>204:232656</t>
  </si>
  <si>
    <t>204:728</t>
  </si>
  <si>
    <t>204:233458</t>
  </si>
  <si>
    <t>204:232806</t>
  </si>
  <si>
    <t>204:232974</t>
  </si>
  <si>
    <t>204:233385</t>
  </si>
  <si>
    <t>204:752</t>
  </si>
  <si>
    <t>204:148155</t>
  </si>
  <si>
    <t>204:754</t>
  </si>
  <si>
    <t>204:420</t>
  </si>
  <si>
    <t>204:672</t>
  </si>
  <si>
    <t>204:765</t>
  </si>
  <si>
    <t>204:233297</t>
  </si>
  <si>
    <t>204:233295</t>
  </si>
  <si>
    <t>204:232969</t>
  </si>
  <si>
    <t>204:233331</t>
  </si>
  <si>
    <t>204:161</t>
  </si>
  <si>
    <t>204:232679</t>
  </si>
  <si>
    <t>204:236</t>
  </si>
  <si>
    <t>204:473</t>
  </si>
  <si>
    <t>204:233305</t>
  </si>
  <si>
    <t>204:537</t>
  </si>
  <si>
    <t>204:233013</t>
  </si>
  <si>
    <t>204:232652</t>
  </si>
  <si>
    <t>204:232973</t>
  </si>
  <si>
    <t>204:233206</t>
  </si>
  <si>
    <t>204:232887</t>
  </si>
  <si>
    <t>204:233000</t>
  </si>
  <si>
    <t>204:498</t>
  </si>
  <si>
    <t>204:233284</t>
  </si>
  <si>
    <t>204:233327</t>
  </si>
  <si>
    <t>204:232989</t>
  </si>
  <si>
    <t>204:1494</t>
  </si>
  <si>
    <t>204:2044</t>
  </si>
  <si>
    <t>204:19123</t>
  </si>
  <si>
    <t>204:123</t>
  </si>
  <si>
    <t>204:232966</t>
  </si>
  <si>
    <t>204:196</t>
  </si>
  <si>
    <t>204:233276</t>
  </si>
  <si>
    <t>204:163</t>
  </si>
  <si>
    <t>204:511</t>
  </si>
  <si>
    <t>204:233287</t>
  </si>
  <si>
    <t>204:450</t>
  </si>
  <si>
    <t>204:233213</t>
  </si>
  <si>
    <t>204:232892</t>
  </si>
  <si>
    <t>204:233393</t>
  </si>
  <si>
    <t>204:233091</t>
  </si>
  <si>
    <t>204:233395</t>
  </si>
  <si>
    <t>204:62198</t>
  </si>
  <si>
    <t>204:233113</t>
  </si>
  <si>
    <t>204:118</t>
  </si>
  <si>
    <t>204:233346</t>
  </si>
  <si>
    <t>204:233387</t>
  </si>
  <si>
    <t>204:233102</t>
  </si>
  <si>
    <t>204:87</t>
  </si>
  <si>
    <t>204:88</t>
  </si>
  <si>
    <t>204:415</t>
  </si>
  <si>
    <t>204:407</t>
  </si>
  <si>
    <t>204:1025</t>
  </si>
  <si>
    <t>204:91383</t>
  </si>
  <si>
    <t>204:233344</t>
  </si>
  <si>
    <t>204:301</t>
  </si>
  <si>
    <t>300:23148</t>
  </si>
  <si>
    <t>300:24222</t>
  </si>
  <si>
    <t>300:22155</t>
  </si>
  <si>
    <t>204:90</t>
  </si>
  <si>
    <t>204:723</t>
  </si>
  <si>
    <t>300:25459</t>
  </si>
  <si>
    <t>300:23357</t>
  </si>
  <si>
    <t>204:676</t>
  </si>
  <si>
    <t>300:12678</t>
  </si>
  <si>
    <t>204:363</t>
  </si>
  <si>
    <t>204:1334</t>
  </si>
  <si>
    <t>204:1387</t>
  </si>
  <si>
    <t>300:21950</t>
  </si>
  <si>
    <t>204:885</t>
  </si>
  <si>
    <t>300:22017</t>
  </si>
  <si>
    <t>204:104</t>
  </si>
  <si>
    <t>204:404</t>
  </si>
  <si>
    <t>300:21765</t>
  </si>
  <si>
    <t>204:1764</t>
  </si>
  <si>
    <t>300:58685</t>
  </si>
  <si>
    <t>300:58677</t>
  </si>
  <si>
    <t>204:673</t>
  </si>
  <si>
    <t>204:1042</t>
  </si>
  <si>
    <t>300:58660</t>
  </si>
  <si>
    <t>204:983</t>
  </si>
  <si>
    <t>300:58943</t>
  </si>
  <si>
    <t>300:58626</t>
  </si>
  <si>
    <t>204:1034</t>
  </si>
  <si>
    <t>300:58933</t>
  </si>
  <si>
    <t>300:58615</t>
  </si>
  <si>
    <t>204:671</t>
  </si>
  <si>
    <t>300:58992</t>
  </si>
  <si>
    <t>300:57975</t>
  </si>
  <si>
    <t>204:135</t>
  </si>
  <si>
    <t>204:936</t>
  </si>
  <si>
    <t>300:58978</t>
  </si>
  <si>
    <t>300:58658</t>
  </si>
  <si>
    <t>204:927</t>
  </si>
  <si>
    <t>300:58961</t>
  </si>
  <si>
    <t>204:941</t>
  </si>
  <si>
    <t>300:58937</t>
  </si>
  <si>
    <t>204:731</t>
  </si>
  <si>
    <t>204:1020</t>
  </si>
  <si>
    <t>300:58632</t>
  </si>
  <si>
    <t>204:1018</t>
  </si>
  <si>
    <t>300:58969</t>
  </si>
  <si>
    <t>204:719</t>
  </si>
  <si>
    <t>204:1006</t>
  </si>
  <si>
    <t>204:692</t>
  </si>
  <si>
    <t>300:58641</t>
  </si>
  <si>
    <t>204:988</t>
  </si>
  <si>
    <t>204:685</t>
  </si>
  <si>
    <t>204:1039</t>
  </si>
  <si>
    <t>300:58929</t>
  </si>
  <si>
    <t>300:58617</t>
  </si>
  <si>
    <t>204:701</t>
  </si>
  <si>
    <t>300:58931</t>
  </si>
  <si>
    <t>204:710</t>
  </si>
  <si>
    <t>300:58628</t>
  </si>
  <si>
    <t>300:58956</t>
  </si>
  <si>
    <t>300:58922</t>
  </si>
  <si>
    <t>300:58928</t>
  </si>
  <si>
    <t>300:19530</t>
  </si>
  <si>
    <t>204:768</t>
  </si>
  <si>
    <t>300:24244</t>
  </si>
  <si>
    <t>300:23250</t>
  </si>
  <si>
    <t>204:126080</t>
  </si>
  <si>
    <t>204:232670</t>
  </si>
  <si>
    <t>start /low /b %USERPROFILE%\Documents\GitHub\eaglep3\Utilities\DownloadLogsFromS3.py --loco 4018 --day 2017-02-03</t>
  </si>
  <si>
    <t>start /low /b %USERPROFILE%\Documents\GitHub\eaglep3\Utilities\DownloadLogsFromS3.py --loco 4002 --day 2017-02-03</t>
  </si>
  <si>
    <t>start /low /b %USERPROFILE%\Documents\GitHub\eaglep3\Utilities\DownloadLogsFromS3.py --loco 4022 --day 2017-02-03</t>
  </si>
  <si>
    <t>start /low /b %USERPROFILE%\Documents\GitHub\eaglep3\Utilities\DownloadLogsFromS3.py --loco 4021 --day 2017-02-04</t>
  </si>
  <si>
    <t>start /low /b %USERPROFILE%\Documents\GitHub\eaglep3\Utilities\DownloadLogsFromS3.py --loco 4025 --day 2017-02-04</t>
  </si>
  <si>
    <t>start /low /b %USERPROFILE%\Documents\GitHub\eaglep3\Utilities\DownloadLogsFromS3.py --loco 4021 --day 2017-02-03</t>
  </si>
  <si>
    <t>start /low /b %USERPROFILE%\Documents\GitHub\eaglep3\Utilities\DownloadLogsFromS3.py --loco 4026 --day 2017-02-04</t>
  </si>
  <si>
    <t>start /low /b %USERPROFILE%\Documents\GitHub\eaglep3\Utilities\DownloadLogsFromS3.py --loco 4026 --day 2017-02-03</t>
  </si>
  <si>
    <t>start /low /b %USERPROFILE%\Documents\GitHub\eaglep3\Utilities\DownloadLogsFromS3.py --loco 4039 --day 2017-02-03</t>
  </si>
  <si>
    <t>start /low /b %USERPROFILE%\Documents\GitHub\eaglep3\Utilities\DownloadLogsFromS3.py --loco 4025 --day 2017-02-03</t>
  </si>
  <si>
    <t>start /low /b %USERPROFILE%\Documents\GitHub\eaglep3\Utilities\DownloadLogsFromS3.py --loco 4017 --day 2017-02-03</t>
  </si>
  <si>
    <t>start /low /b %USERPROFILE%\Documents\GitHub\eaglep3\Utilities\DownloadLogsFromS3.py --loco 4001 --day 2017-02-03</t>
  </si>
  <si>
    <t>start /low /b %USERPROFILE%\Documents\GitHub\eaglep3\Utilities\DownloadLogsFromS3.py --loco 4044 --day 2017-02-03</t>
  </si>
  <si>
    <t>start /low /b %USERPROFILE%\Documents\GitHub\eaglep3\Utilities\DownloadLogsFromS3.py --loco 4040 --day 2017-02-03</t>
  </si>
  <si>
    <t>start /low /b %USERPROFILE%\Documents\GitHub\eaglep3\Utilities\DownloadLogsFromS3.py --loco 4031 --day 2017-02-04</t>
  </si>
  <si>
    <t>start /low /b %USERPROFILE%\Documents\GitHub\eaglep3\Utilities\DownloadLogsFromS3.py --loco 4020 --day 2017-02-03</t>
  </si>
  <si>
    <t>start /low /b %USERPROFILE%\Documents\GitHub\eaglep3\Utilities\DownloadLogsFromS3.py --loco 4029 --day 2017-02-03</t>
  </si>
  <si>
    <t>start /low /b %USERPROFILE%\Documents\GitHub\eaglep3\Utilities\DownloadLogsFromS3.py --loco 4020 --day 2017-02-04</t>
  </si>
  <si>
    <t>103-03</t>
  </si>
  <si>
    <t>Extended Onboard Wi-MAX outage</t>
  </si>
  <si>
    <t>Wi-MAX data drop</t>
  </si>
  <si>
    <t>MAIN 2 selected while train on MAIN 1</t>
  </si>
  <si>
    <t>Main 3 departure</t>
  </si>
  <si>
    <t>Wheel tach slip, failsafe to braking due to active XING session</t>
  </si>
  <si>
    <t>110-03</t>
  </si>
  <si>
    <t>Did not init</t>
  </si>
  <si>
    <t>Early arrival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</si>
</sst>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71" customWidth="1"/>
    <col min="22" max="22" width="5.7109375" style="193" customWidth="1"/>
    <col min="23" max="23" width="3.85546875" style="186" customWidth="1"/>
    <col min="24" max="24" width="6.5703125" style="186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8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2"/>
      <c r="V1" s="173"/>
      <c r="W1" s="172"/>
      <c r="X1" s="171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8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42769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42769</v>
      </c>
      <c r="S2" s="66"/>
      <c r="T2" s="67"/>
      <c r="U2" s="174"/>
      <c r="V2" s="175" t="s">
        <v>8</v>
      </c>
      <c r="W2" s="176"/>
      <c r="X2" s="177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8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8"/>
      <c r="V3" s="179" t="s">
        <v>11</v>
      </c>
      <c r="W3" s="180" t="s">
        <v>12</v>
      </c>
      <c r="X3" s="181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8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82"/>
      <c r="V4" s="179" t="s">
        <v>15</v>
      </c>
      <c r="W4" s="180" t="s">
        <v>15</v>
      </c>
      <c r="X4" s="181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8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COUNTIFS($N$13:$N$9356,"&gt;0",$AG$13:$AG$9356,I1)</f>
        <v>140</v>
      </c>
      <c r="K5" s="40"/>
      <c r="L5" s="40"/>
      <c r="M5" s="41">
        <f>AVERAGEIFS($N$13:$N$9356,$AG$13:$AG$9356,I1)</f>
        <v>38.191904762393925</v>
      </c>
      <c r="N5" s="39">
        <f t="array" ref="N5">MIN(IF($AG$13:$AG$9356=I1,IF(ISNUMBER($N$13:$N$9356),IF($N$13:$N$9356&gt;0,$N$13:$N$9356))))</f>
        <v>34.266666672192514</v>
      </c>
      <c r="O5" s="3">
        <f t="array" ref="O5">MAX(IF($AG$13:$AG$9356=I1,IF(ISNUMBER($N$13:$N$9356),IF($N$13:$N$9356&gt;0,$N$13:$N$9356))))</f>
        <v>49.533333334838971</v>
      </c>
      <c r="P5" s="2"/>
      <c r="R5" s="74" t="s">
        <v>17</v>
      </c>
      <c r="S5" s="50">
        <f>COUNTIFS($N$13:$N$9356,"&gt;0",$AG$13:$AG$9356,R1)</f>
        <v>47</v>
      </c>
      <c r="T5" s="40"/>
      <c r="U5" s="182"/>
      <c r="V5" s="179">
        <f>AVERAGEIFS($N$13:$N$9356,$AG$13:$AG$9356,R1)</f>
        <v>15.282624113185213</v>
      </c>
      <c r="W5" s="180">
        <f t="array" ref="W5">MIN(IF($AG$13:$AG$9356=R1,IF(ISNUMBER($N$13:$N$9356),IF($N$13:$N$9356&gt;0,$N$13:$N$9356))))</f>
        <v>12.433333337539807</v>
      </c>
      <c r="X5" s="181">
        <f t="array" ref="X5">MAX(IF($AG$13:$AG$9356=R1,IF(ISNUMBER($N$13:$N$9356),IF($N$13:$N$9356&gt;0,$N$13:$N$9356))))</f>
        <v>19.199999993434176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8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82"/>
      <c r="V6" s="179">
        <f>IFERROR(AVERAGE($O$13:$O$116),0)</f>
        <v>0</v>
      </c>
      <c r="W6" s="180">
        <f>MIN($O$13:$O$116)</f>
        <v>0</v>
      </c>
      <c r="X6" s="181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8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COUNTIFS($P$13:$P$9356,"&gt;0",$AG$13:$AG$9356,I1)</f>
        <v>6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COUNTIFS($P$13:$P$9356,"&gt;0",$AG$13:$AG$9356,R1)</f>
        <v>0</v>
      </c>
      <c r="T7" s="40"/>
      <c r="U7" s="182"/>
      <c r="V7" s="179" t="s">
        <v>15</v>
      </c>
      <c r="W7" s="180" t="s">
        <v>15</v>
      </c>
      <c r="X7" s="181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8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38.191904762393925</v>
      </c>
      <c r="N8" s="39">
        <f>N5</f>
        <v>34.266666672192514</v>
      </c>
      <c r="O8" s="3">
        <f>O5</f>
        <v>49.533333334838971</v>
      </c>
      <c r="P8" s="2"/>
      <c r="R8" s="74" t="s">
        <v>16</v>
      </c>
      <c r="S8" s="50">
        <f>S5</f>
        <v>47</v>
      </c>
      <c r="T8" s="40"/>
      <c r="U8" s="182"/>
      <c r="V8" s="179">
        <f>V5</f>
        <v>15.282624113185213</v>
      </c>
      <c r="W8" s="180">
        <f>W5</f>
        <v>12.433333337539807</v>
      </c>
      <c r="X8" s="181">
        <f>X5</f>
        <v>19.199999993434176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8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0.95890410958904104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2"/>
      <c r="V9" s="183"/>
      <c r="W9" s="172"/>
      <c r="X9" s="184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8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1"/>
      <c r="V10" s="185"/>
      <c r="W10" s="186"/>
      <c r="X10" s="186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8"/>
    </row>
    <row r="11" spans="1:91" ht="16.5" thickBot="1" x14ac:dyDescent="0.3">
      <c r="A11" s="195" t="str">
        <f>"Eagle P3 System Performance - "&amp;TEXT(Variables!A2,"yyyy-mm-dd")</f>
        <v>Eagle P3 System Performance - 2017-02-03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AVERAGE(S13:S83)</f>
        <v>0.95774647887323938</v>
      </c>
      <c r="V11" s="185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9" t="s">
        <v>215</v>
      </c>
      <c r="AN12" s="47" t="s">
        <v>232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556</v>
      </c>
      <c r="B13" s="7">
        <v>4044</v>
      </c>
      <c r="C13" s="21" t="s">
        <v>193</v>
      </c>
      <c r="D13" s="21" t="s">
        <v>361</v>
      </c>
      <c r="E13" s="13">
        <v>42769.133842592593</v>
      </c>
      <c r="F13" s="13">
        <v>42769.135833333334</v>
      </c>
      <c r="G13" s="7">
        <v>1</v>
      </c>
      <c r="H13" s="21" t="s">
        <v>377</v>
      </c>
      <c r="I13" s="13">
        <v>42769.162534722222</v>
      </c>
      <c r="J13" s="7">
        <v>0</v>
      </c>
      <c r="K13" s="98" t="str">
        <f t="shared" ref="K13:K78" si="0">IF(ISEVEN(B13),(B13-1)&amp;"/"&amp;B13,B13&amp;"/"&amp;(B13+1))</f>
        <v>4043/4044</v>
      </c>
      <c r="L13" s="21" t="str">
        <f>VLOOKUP(A13,'Trips&amp;Operators'!$C$1:$G$99999,5,FALSE)</f>
        <v>BADERTSCHER DIANE</v>
      </c>
      <c r="M13" s="6">
        <f t="shared" ref="M13:M78" si="1">I13-F13</f>
        <v>2.6701388887886424E-2</v>
      </c>
      <c r="N13" s="7">
        <f t="shared" ref="N13:P78" si="2">24*60*SUM($M13:$M13)</f>
        <v>38.44999999855645</v>
      </c>
      <c r="O13" s="7"/>
      <c r="P13" s="7"/>
      <c r="Q13" s="22"/>
      <c r="R13" s="22"/>
      <c r="S13" s="31">
        <f t="shared" ref="S13:S78" si="3">SUM(U13:U13)/IF(AG13="EC",12,1)</f>
        <v>1</v>
      </c>
      <c r="T13" s="46" t="str">
        <f t="shared" ref="T13:T78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8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-03T02:12:44-0700',mode:absolute,to:'2017-02-03T04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92" t="str">
        <f t="shared" ref="W13:W78" si="6">IF(AA13&lt;IF(AG13="EC",23,5.65),"Y","N")</f>
        <v>N</v>
      </c>
      <c r="X13" s="192" t="e">
        <f t="shared" ref="X13:X78" si="7">VALUE(LEFT(AD13,4))-VALUE(LEFT(AD12,4))</f>
        <v>#VALUE!</v>
      </c>
      <c r="Y13" s="62">
        <f t="shared" ref="Y13:Y78" si="8">RIGHT(D13,LEN(D13)-4)/10000</f>
        <v>7.3499999999999996E-2</v>
      </c>
      <c r="Z13" s="62">
        <f t="shared" ref="Z13:Z78" si="9">RIGHT(H13,LEN(H13)-4)/10000</f>
        <v>23.331600000000002</v>
      </c>
      <c r="AA13" s="62">
        <f t="shared" ref="AA13:AA78" si="10">ABS(Z13-Y13)</f>
        <v>23.258100000000002</v>
      </c>
      <c r="AB13" s="59" t="e">
        <f>VLOOKUP(A13,Enforcements!$C$7:$K$16,8,0)</f>
        <v>#N/A</v>
      </c>
      <c r="AC13" s="55" t="e">
        <f>VLOOKUP(A13,Enforcements!$C$7:$E$16,3,0)</f>
        <v>#N/A</v>
      </c>
      <c r="AD13" s="56" t="str">
        <f t="shared" ref="AD13:AD78" si="11">IF(LEN(A13)=6,"0"&amp;A13,A13)</f>
        <v>0101-03</v>
      </c>
      <c r="AE13" s="85" t="str">
        <f t="shared" ref="AE13:AE78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13" s="82" t="str">
        <f t="shared" ref="AF13:AF78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/stypes="app*4044*20170203*" /stext=" 10:.+((SYSTEM_STATE.+slice.+state.+changed )|(ment ac)|(multiple cpu faults)|(system.+state.+changed )|(\[timeout)|(PRM\|1\|D)|(kpr)|(kdp)|(\|lc)|(penalty))" /e /r /s</v>
      </c>
      <c r="AG13" s="1" t="str">
        <f t="shared" ref="AG13:AG78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4044 --swversion DE.1.0.8.0 --startMP 204:735 --initTime 2017-02-03T03:12:44 --startdatetime 2017-02-03T03:15:36 --delay 1 --endMP 204:233316 --enddatetime 2017-02-03T03:54:03 --enforcementcount 0 &gt;&gt;C:\Users\stu\Documents\GitHub\eaglep3-reporting\EC\2017-02-03-refined-times.txt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{"issue":{"subject":"","project_id":79,"tracker_id":40,"status_id":1,"priority_id":2,"assigned_to_id":23,"start_date":"2017-02-03","description":"","custom_fields":[{"id":1,"name":"Subdivision","value":"EC"},{"id":4,"name":"Milepost","value":"23.3316"},{"id":17,"name":"Train ID","value":"101-03"},{"id":16,"name":"Locomotive ID","value":"4044"},{"id":130,"name":"Impact","value":""},{"id":150,"name":"Time of Event (Mountain Time)","value":"03:54:03"},{"id":151,"name":"Denver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8" t="str">
        <f t="shared" ref="AM13" si="17">"start /low /b "&amp;dls3logs&amp;" --loco "&amp;B13&amp;" --day "&amp;TEXT(F13,"YYYY-MM-DD")</f>
        <v>start /low /b %USERPROFILE%\Documents\GitHub\eaglep3\Utilities\DownloadLogsFromS3.py --loco 4044 --day 2017-02-03</v>
      </c>
      <c r="AN13" s="167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"%USERPROFILE%\AppData\Local\Temp\OnboardLogs"\RTDC4044\*4044*20170203* | grep -SE "(Enforcement Action)|(\[TIMEOUT)|(CHR.+\|PRM\|1\|D.+(SWITCH|SIGNAL).+UNKNOWN)" - &gt;&gt; 2017-02-03-UncaughtWiMAX.txt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526</v>
      </c>
      <c r="B14" s="7">
        <v>4017</v>
      </c>
      <c r="C14" s="21" t="s">
        <v>193</v>
      </c>
      <c r="D14" s="21" t="s">
        <v>771</v>
      </c>
      <c r="E14" s="13">
        <v>42769.166226851848</v>
      </c>
      <c r="F14" s="13">
        <v>42769.174525462964</v>
      </c>
      <c r="G14" s="7">
        <v>1</v>
      </c>
      <c r="H14" s="21" t="s">
        <v>772</v>
      </c>
      <c r="I14" s="13">
        <v>42769.204155092593</v>
      </c>
      <c r="J14" s="7">
        <v>1</v>
      </c>
      <c r="K14" s="98" t="str">
        <f t="shared" si="0"/>
        <v>4017/4018</v>
      </c>
      <c r="L14" s="21" t="str">
        <f>VLOOKUP(A14,'Trips&amp;Operators'!$C$1:$G$99999,5,FALSE)</f>
        <v>BADERTSCHER DIANE</v>
      </c>
      <c r="M14" s="6">
        <f t="shared" si="1"/>
        <v>2.9629629629198462E-2</v>
      </c>
      <c r="N14" s="7">
        <f t="shared" si="2"/>
        <v>42.666666666045785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-02-03T02:59:22-0700',mode:absolute,to:'2017-02-03T05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92" t="str">
        <f t="shared" si="6"/>
        <v>N</v>
      </c>
      <c r="X14" s="192">
        <f t="shared" si="7"/>
        <v>1</v>
      </c>
      <c r="Y14" s="62">
        <f t="shared" si="8"/>
        <v>23.2666</v>
      </c>
      <c r="Z14" s="62">
        <f t="shared" si="9"/>
        <v>1.1599999999999999E-2</v>
      </c>
      <c r="AA14" s="62">
        <f t="shared" si="10"/>
        <v>23.254999999999999</v>
      </c>
      <c r="AB14" s="59" t="e">
        <f>VLOOKUP(A14,Enforcements!$C$7:$K$16,8,0)</f>
        <v>#N/A</v>
      </c>
      <c r="AC14" s="55" t="e">
        <f>VLOOKUP(A14,Enforcements!$C$7:$E$16,3,0)</f>
        <v>#N/A</v>
      </c>
      <c r="AD14" s="56" t="str">
        <f t="shared" si="11"/>
        <v>0102-03</v>
      </c>
      <c r="AE14" s="85" t="str">
        <f t="shared" si="12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14" s="82" t="str">
        <f t="shared" si="13"/>
        <v>"C:\Program Files (x86)\AstroGrep\AstroGrep.exe" /spath="%USERPROFILE%\AppData\Local\Temp\OnboardLogs" /stypes="app*4017*20170203*"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9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4017 --swversion DE.1.0.8.0 --startMP 204:232666 --initTime 2017-02-03T03:59:22 --startdatetime 2017-02-03T04:11:19 --delay 1 --endMP 204:116 --enddatetime 2017-02-03T04:53:59 --enforcementcount 1 &gt;&gt;C:\Users\stu\Documents\GitHub\eaglep3-reporting\EC\2017-02-03-refined-times.txt</v>
      </c>
      <c r="AI14" s="108" t="str">
        <f t="shared" ref="AI14:AI79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{"issue":{"subject":"","project_id":79,"tracker_id":40,"status_id":1,"priority_id":2,"assigned_to_id":23,"start_date":"2017-02-03","description":"","custom_fields":[{"id":1,"name":"Subdivision","value":"EC"},{"id":4,"name":"Milepost","value":"0.0116"},{"id":17,"name":"Train ID","value":"102-03"},{"id":16,"name":"Locomotive ID","value":"4017"},{"id":130,"name":"Impact","value":""},{"id":150,"name":"Time of Event (Mountain Time)","value":"04:53:59"},{"id":151,"name":"Denver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8" t="str">
        <f t="shared" ref="AM14:AM79" si="20">"start /low /b "&amp;dls3logs&amp;" --loco "&amp;B14&amp;" --day "&amp;TEXT(F14,"YYYY-MM-DD")</f>
        <v>start /low /b %USERPROFILE%\Documents\GitHub\eaglep3\Utilities\DownloadLogsFromS3.py --loco 4017 --day 2017-02-03</v>
      </c>
      <c r="AN14" s="167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"%USERPROFILE%\AppData\Local\Temp\OnboardLogs"\RTDC4017\*4017*20170203* | grep -SE "(Enforcement Action)|(\[TIMEOUT)|(CHR.+\|PRM\|1\|D.+(SWITCH|SIGNAL).+UNKNOWN)" - &gt;&gt; 2017-02-03-UncaughtWiMAX.txt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921</v>
      </c>
      <c r="B15" s="7">
        <v>4025</v>
      </c>
      <c r="C15" s="21" t="s">
        <v>193</v>
      </c>
      <c r="D15" s="21" t="s">
        <v>771</v>
      </c>
      <c r="E15" s="13">
        <v>42769.166226851848</v>
      </c>
      <c r="F15" s="13"/>
      <c r="G15" s="7">
        <v>1</v>
      </c>
      <c r="H15" s="21" t="s">
        <v>772</v>
      </c>
      <c r="I15" s="13"/>
      <c r="J15" s="7">
        <v>0</v>
      </c>
      <c r="K15" s="98" t="str">
        <f t="shared" ref="K15" si="21">IF(ISEVEN(B15),(B15-1)&amp;"/"&amp;B15,B15&amp;"/"&amp;(B15+1))</f>
        <v>4025/4026</v>
      </c>
      <c r="L15" s="21" t="e">
        <f>VLOOKUP(A15,'Trips&amp;Operators'!$C$1:$G$99999,5,FALSE)</f>
        <v>#N/A</v>
      </c>
      <c r="M15" s="6">
        <f t="shared" ref="M15" si="22">I15-F15</f>
        <v>0</v>
      </c>
      <c r="N15" s="7"/>
      <c r="O15" s="7"/>
      <c r="P15" s="7">
        <v>1</v>
      </c>
      <c r="Q15" s="22"/>
      <c r="R15" s="22" t="s">
        <v>922</v>
      </c>
      <c r="S15" s="31">
        <f t="shared" ref="S15" si="23">SUM(U15:U15)/IF(AG15="EC",12,1)</f>
        <v>0</v>
      </c>
      <c r="T15" s="46" t="str">
        <f t="shared" ref="T15" si="24">IF(ISEVEN(LEFT(AD15,4)),"Southbound","NorthBound")</f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91" t="str">
        <f t="shared" ref="V15" si="25"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-02-03T02:59:22-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" s="192" t="str">
        <f t="shared" ref="W15" si="26">IF(AA15&lt;IF(AG15="EC",23,5.65),"Y","N")</f>
        <v>N</v>
      </c>
      <c r="X15" s="192">
        <f t="shared" ref="X15:X17" si="27">VALUE(LEFT(AD15,4))-VALUE(LEFT(AD14,4))</f>
        <v>1</v>
      </c>
      <c r="Y15" s="62">
        <f t="shared" ref="Y15" si="28">RIGHT(D15,LEN(D15)-4)/10000</f>
        <v>23.2666</v>
      </c>
      <c r="Z15" s="62">
        <f t="shared" ref="Z15" si="29">RIGHT(H15,LEN(H15)-4)/10000</f>
        <v>1.1599999999999999E-2</v>
      </c>
      <c r="AA15" s="62">
        <f t="shared" ref="AA15" si="30">ABS(Z15-Y15)</f>
        <v>23.254999999999999</v>
      </c>
      <c r="AB15" s="59" t="e">
        <f>VLOOKUP(A15,Enforcements!$C$7:$K$16,8,0)</f>
        <v>#N/A</v>
      </c>
      <c r="AC15" s="55" t="e">
        <f>VLOOKUP(A15,Enforcements!$C$7:$E$16,3,0)</f>
        <v>#N/A</v>
      </c>
      <c r="AD15" s="56" t="str">
        <f t="shared" ref="AD15" si="31">IF(LEN(A15)=6,"0"&amp;A15,A15)</f>
        <v>0103-03</v>
      </c>
      <c r="AE15" s="85" t="str">
        <f t="shared" ref="AE15" si="32"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s3://rtdc.mdm.uploadarchive.raw/RTDC4025/ "%USERPROFILE%\AppData\Local\Temp\OnboardLogs"\RTDC4025\1900-01-00 --exclude "*" --recursive --include "*19000100*" &amp; "%USERPROFILE%\Documents\GitHub\mrs-test-scripts\Headless Mode &amp; Sideloading\WalkAndUnGZ.bat" "%USERPROFILE%\AppData\Local\Temp\OnboardLogs"\RTDC4025\1900-01-00 &amp; aws s3 cp s3://rtdc.mdm.uploadarchive.raw/RTDC4025/ "%USERPROFILE%\AppData\Local\Temp\OnboardLogs"\RTDC4025\1900-01-01 --exclude "*" --recursive --include "*19000101*" &amp; "%USERPROFILE%\Documents\GitHub\mrs-test-scripts\Headless Mode &amp; Sideloading\WalkAndUnGZ.bat" "%USERPROFILE%\AppData\Local\Temp\OnboardLogs"\RTDC4025\1900-01-01</v>
      </c>
      <c r="AF15" s="82" t="str">
        <f t="shared" ref="AF15" si="33"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/stypes="app*4025*19000100*" /stext=" 07:.+((SYSTEM_STATE.+slice.+state.+changed )|(ment ac)|(multiple cpu faults)|(system.+state.+changed )|(\[timeout)|(PRM\|1\|D)|(kpr)|(kdp)|(\|lc)|(penalty))" /e /r /s</v>
      </c>
      <c r="AG15" s="1" t="str">
        <f t="shared" ref="AG15" si="34">IFERROR(IF(VALUE(LEFT(AD15,2))&lt;=2,"EC",IF(OR(VALUE(LEFT(AD15,2))=8,VALUE(LEFT(AD15,2))=18),"NW","Other")),"Other")</f>
        <v>EC</v>
      </c>
      <c r="AH15" s="86" t="str">
        <f t="shared" ref="AH15" si="35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103-03 --locoid 4025 --swversion DE.1.0.8.0 --startMP 204:232666 --initTime 2017-02-03T03:59:22 --startdatetime 1900-01-00T00:00:00 --delay 1 --endMP 204:116 --enddatetime 1900-01-00T00:00:00 --enforcementcount 0 &gt;&gt;C:\Users\stu\Documents\GitHub\eaglep3-reporting\EC\2017-02-03-refined-times.txt</v>
      </c>
      <c r="AI15" s="108" t="str">
        <f t="shared" ref="AI15" si="36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outage","project_id":79,"tracker_id":40,"status_id":1,"priority_id":2,"assigned_to_id":23,"start_date":"1900-01-00","description":"","custom_fields":[{"id":1,"name":"Subdivision","value":"EC"},{"id":4,"name":"Milepost","value":"0.0116"},{"id":17,"name":"Train ID","value":"103-03"},{"id":16,"name":"Locomotive ID","value":"4025"},{"id":130,"name":"Impact","value":""},{"id":150,"name":"Time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8" t="str">
        <f t="shared" ref="AM15" si="37">"start /low /b "&amp;dls3logs&amp;" --loco "&amp;B15&amp;" --day "&amp;TEXT(F15,"YYYY-MM-DD")</f>
        <v>start /low /b %USERPROFILE%\Documents\GitHub\eaglep3\Utilities\DownloadLogsFromS3.py --loco 4025 --day 1900-01-00</v>
      </c>
      <c r="AN15" s="167" t="e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#DIV/0!</v>
      </c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</row>
    <row r="16" spans="1:91" s="1" customFormat="1" x14ac:dyDescent="0.25">
      <c r="A16" s="33" t="s">
        <v>562</v>
      </c>
      <c r="B16" s="7">
        <v>4001</v>
      </c>
      <c r="C16" s="21" t="s">
        <v>193</v>
      </c>
      <c r="D16" s="21" t="s">
        <v>773</v>
      </c>
      <c r="E16" s="13">
        <v>42769.191423611112</v>
      </c>
      <c r="F16" s="13">
        <v>42769.195451388892</v>
      </c>
      <c r="G16" s="7">
        <v>4</v>
      </c>
      <c r="H16" s="21" t="s">
        <v>308</v>
      </c>
      <c r="I16" s="13">
        <v>42769.223379629628</v>
      </c>
      <c r="J16" s="7">
        <v>0</v>
      </c>
      <c r="K16" s="98" t="str">
        <f t="shared" si="0"/>
        <v>4001/4002</v>
      </c>
      <c r="L16" s="21" t="str">
        <f>VLOOKUP(A16,'Trips&amp;Operators'!$C$1:$G$99999,5,FALSE)</f>
        <v>DAVIS WENDY</v>
      </c>
      <c r="M16" s="6">
        <f t="shared" si="1"/>
        <v>2.7928240735491272E-2</v>
      </c>
      <c r="N16" s="7">
        <f t="shared" si="2"/>
        <v>40.216666659107432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-02-03T03:35:39-0700',mode:absolute,to:'2017-02-03T06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92" t="str">
        <f t="shared" si="6"/>
        <v>N</v>
      </c>
      <c r="X16" s="192">
        <f t="shared" si="27"/>
        <v>1</v>
      </c>
      <c r="Y16" s="62">
        <f t="shared" si="8"/>
        <v>23.265599999999999</v>
      </c>
      <c r="Z16" s="62">
        <f t="shared" si="9"/>
        <v>1.3899999999999999E-2</v>
      </c>
      <c r="AA16" s="62">
        <f t="shared" si="10"/>
        <v>23.2517</v>
      </c>
      <c r="AB16" s="59" t="e">
        <f>VLOOKUP(A16,Enforcements!$C$7:$K$16,8,0)</f>
        <v>#N/A</v>
      </c>
      <c r="AC16" s="55" t="e">
        <f>VLOOKUP(A16,Enforcements!$C$7:$E$16,3,0)</f>
        <v>#N/A</v>
      </c>
      <c r="AD16" s="56" t="str">
        <f t="shared" si="11"/>
        <v>0104-03</v>
      </c>
      <c r="AE16" s="85" t="str">
        <f t="shared" si="12"/>
        <v>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 &amp; aws s3 cp s3://rtdc.mdm.uploadarchive.raw/RTDC4001/ "%USERPROFILE%\AppData\Local\Temp\OnboardLogs"\RTDC4001\2017-02-04 --exclude "*" --recursive --include "*20170204*" &amp; "%USERPROFILE%\Documents\GitHub\mrs-test-scripts\Headless Mode &amp; Sideloading\WalkAndUnGZ.bat" "%USERPROFILE%\AppData\Local\Temp\OnboardLogs"\RTDC4001\2017-02-04</v>
      </c>
      <c r="AF16" s="82" t="str">
        <f t="shared" si="13"/>
        <v>"C:\Program Files (x86)\AstroGrep\AstroGrep.exe" /spath="%USERPROFILE%\AppData\Local\Temp\OnboardLogs" /stypes="app*4001*20170203*"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104-03 --locoid 4001 --swversion DE.1.0.8.0 --startMP 204:232656 --initTime 2017-02-03T04:35:39 --startdatetime 2017-02-03T04:41:27 --delay 4 --endMP 204:139 --enddatetime 2017-02-03T05:21:40 --enforcementcount 0 &gt;&gt;C:\Users\stu\Documents\GitHub\eaglep3-reporting\EC\2017-02-03-refined-times.txt</v>
      </c>
      <c r="AI16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{"issue":{"subject":"","project_id":79,"tracker_id":40,"status_id":1,"priority_id":2,"assigned_to_id":23,"start_date":"2017-02-03","description":"","custom_fields":[{"id":1,"name":"Subdivision","value":"EC"},{"id":4,"name":"Milepost","value":"0.0139"},{"id":17,"name":"Train ID","value":"104-03"},{"id":16,"name":"Locomotive ID","value":"4001"},{"id":130,"name":"Impact","value":""},{"id":150,"name":"Time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8" t="str">
        <f t="shared" si="20"/>
        <v>start /low /b %USERPROFILE%\Documents\GitHub\eaglep3\Utilities\DownloadLogsFromS3.py --loco 4001 --day 2017-02-03</v>
      </c>
      <c r="AN16" s="167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"%USERPROFILE%\AppData\Local\Temp\OnboardLogs"\RTDC4001\*4001*20170203* | grep -SE "(Enforcement Action)|(\[TIMEOUT)|(CHR.+\|PRM\|1\|D.+(SWITCH|SIGNAL).+UNKNOWN)" - &gt;&gt; 2017-02-03-UncaughtWiMAX.txt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558</v>
      </c>
      <c r="B17" s="7">
        <v>4031</v>
      </c>
      <c r="C17" s="21" t="s">
        <v>193</v>
      </c>
      <c r="D17" s="21" t="s">
        <v>774</v>
      </c>
      <c r="E17" s="13">
        <v>42769.165717592594</v>
      </c>
      <c r="F17" s="13">
        <v>42769.177268518521</v>
      </c>
      <c r="G17" s="7">
        <v>2</v>
      </c>
      <c r="H17" s="21" t="s">
        <v>775</v>
      </c>
      <c r="I17" s="13">
        <v>42769.202256944445</v>
      </c>
      <c r="J17" s="7">
        <v>0</v>
      </c>
      <c r="K17" s="98" t="str">
        <f t="shared" si="0"/>
        <v>4031/4032</v>
      </c>
      <c r="L17" s="21" t="str">
        <f>VLOOKUP(A17,'Trips&amp;Operators'!$C$1:$G$99999,5,FALSE)</f>
        <v>ROBINSON KADDIBA</v>
      </c>
      <c r="M17" s="6">
        <f t="shared" si="1"/>
        <v>2.4988425924675539E-2</v>
      </c>
      <c r="N17" s="7">
        <f t="shared" si="2"/>
        <v>35.983333331532776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-02-03T02:58:38-0700',mode:absolute,to:'2017-02-03T05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92" t="str">
        <f t="shared" si="6"/>
        <v>N</v>
      </c>
      <c r="X17" s="192">
        <f t="shared" si="27"/>
        <v>1</v>
      </c>
      <c r="Y17" s="62">
        <f t="shared" si="8"/>
        <v>7.2800000000000004E-2</v>
      </c>
      <c r="Z17" s="62">
        <f t="shared" si="9"/>
        <v>23.345800000000001</v>
      </c>
      <c r="AA17" s="62">
        <f t="shared" si="10"/>
        <v>23.273</v>
      </c>
      <c r="AB17" s="59" t="e">
        <f>VLOOKUP(A17,Enforcements!$C$7:$K$16,8,0)</f>
        <v>#N/A</v>
      </c>
      <c r="AC17" s="55" t="e">
        <f>VLOOKUP(A17,Enforcements!$C$7:$E$16,3,0)</f>
        <v>#N/A</v>
      </c>
      <c r="AD17" s="56" t="str">
        <f t="shared" si="11"/>
        <v>0105-03</v>
      </c>
      <c r="AE17" s="85" t="str">
        <f t="shared" si="12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17" s="82" t="str">
        <f t="shared" si="13"/>
        <v>"C:\Program Files (x86)\AstroGrep\AstroGrep.exe" /spath="%USERPROFILE%\AppData\Local\Temp\OnboardLogs" /stypes="app*4031*20170203*"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105-03 --locoid 4031 --swversion DE.1.0.8.0 --startMP 204:728 --initTime 2017-02-03T03:58:38 --startdatetime 2017-02-03T04:15:16 --delay 2 --endMP 204:233458 --enddatetime 2017-02-03T04:51:15 --enforcementcount 0 &gt;&gt;C:\Users\stu\Documents\GitHub\eaglep3-reporting\EC\2017-02-03-refined-times.txt</v>
      </c>
      <c r="AI17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{"issue":{"subject":"","project_id":79,"tracker_id":40,"status_id":1,"priority_id":2,"assigned_to_id":23,"start_date":"2017-02-03","description":"","custom_fields":[{"id":1,"name":"Subdivision","value":"EC"},{"id":4,"name":"Milepost","value":"23.3458"},{"id":17,"name":"Train ID","value":"105-03"},{"id":16,"name":"Locomotive ID","value":"4031"},{"id":130,"name":"Impact","value":""},{"id":150,"name":"Time of Event (Mountain Time)","value":"04:51:15"},{"id":151,"name":"Denver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8" t="str">
        <f t="shared" si="20"/>
        <v>start /low /b %USERPROFILE%\Documents\GitHub\eaglep3\Utilities\DownloadLogsFromS3.py --loco 4031 --day 2017-02-03</v>
      </c>
      <c r="AN17" s="167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"%USERPROFILE%\AppData\Local\Temp\OnboardLogs"\RTDC4031\*4031*20170203* | grep -SE "(Enforcement Action)|(\[TIMEOUT)|(CHR.+\|PRM\|1\|D.+(SWITCH|SIGNAL).+UNKNOWN)" - &gt;&gt; 2017-02-03-UncaughtWiMAX.txt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528</v>
      </c>
      <c r="B18" s="7">
        <v>4039</v>
      </c>
      <c r="C18" s="21" t="s">
        <v>193</v>
      </c>
      <c r="D18" s="21" t="s">
        <v>776</v>
      </c>
      <c r="E18" s="13">
        <v>42769.207627314812</v>
      </c>
      <c r="F18" s="13">
        <v>42769.216134259259</v>
      </c>
      <c r="G18" s="7">
        <v>1</v>
      </c>
      <c r="H18" s="21" t="s">
        <v>283</v>
      </c>
      <c r="I18" s="13">
        <v>42769.244270833333</v>
      </c>
      <c r="J18" s="7">
        <v>1</v>
      </c>
      <c r="K18" s="98" t="str">
        <f t="shared" si="0"/>
        <v>4039/4040</v>
      </c>
      <c r="L18" s="21" t="str">
        <f>VLOOKUP(A18,'Trips&amp;Operators'!$C$1:$G$99999,5,FALSE)</f>
        <v>ROBINSON KADDIBA</v>
      </c>
      <c r="M18" s="6">
        <f t="shared" si="1"/>
        <v>2.8136574073869269E-2</v>
      </c>
      <c r="N18" s="7">
        <f t="shared" si="2"/>
        <v>40.516666666371748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-02-03T03:58:59-0700',mode:absolute,to:'2017-02-03T06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92" t="str">
        <f t="shared" si="6"/>
        <v>N</v>
      </c>
      <c r="X18" s="192">
        <f t="shared" si="7"/>
        <v>1</v>
      </c>
      <c r="Y18" s="62">
        <f t="shared" si="8"/>
        <v>23.2806</v>
      </c>
      <c r="Z18" s="62">
        <f t="shared" si="9"/>
        <v>1.3599999999999999E-2</v>
      </c>
      <c r="AA18" s="62">
        <f t="shared" si="10"/>
        <v>23.266999999999999</v>
      </c>
      <c r="AB18" s="59" t="str">
        <f>VLOOKUP(A18,Enforcements!$C$7:$K$16,8,0)</f>
        <v>Speed (6)</v>
      </c>
      <c r="AC18" s="55" t="str">
        <f>VLOOKUP(A18,Enforcements!$C$7:$E$16,3,0)</f>
        <v>PERMANENT SPEED RESTRICTION</v>
      </c>
      <c r="AD18" s="56" t="str">
        <f t="shared" si="11"/>
        <v>0106-03</v>
      </c>
      <c r="AE18" s="85" t="str">
        <f t="shared" si="12"/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AF18" s="82" t="str">
        <f t="shared" si="13"/>
        <v>"C:\Program Files (x86)\AstroGrep\AstroGrep.exe" /spath="%USERPROFILE%\AppData\Local\Temp\OnboardLogs" /stypes="app*4039*20170203*"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106-03 --locoid 4039 --swversion DE.1.0.8.0 --startMP 204:232806 --initTime 2017-02-03T04:58:59 --startdatetime 2017-02-03T05:11:14 --delay 1 --endMP 204:136 --enddatetime 2017-02-03T05:51:45 --enforcementcount 1 &gt;&gt;C:\Users\stu\Documents\GitHub\eaglep3-reporting\EC\2017-02-03-refined-times.txt</v>
      </c>
      <c r="AI18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{"issue":{"subject":"","project_id":79,"tracker_id":40,"status_id":1,"priority_id":2,"assigned_to_id":23,"start_date":"2017-02-03","description":"","custom_fields":[{"id":1,"name":"Subdivision","value":"EC"},{"id":4,"name":"Milepost","value":"0.0136"},{"id":17,"name":"Train ID","value":"106-03"},{"id":16,"name":"Locomotive ID","value":"4039"},{"id":130,"name":"Impact","value":""},{"id":150,"name":"Time of Event (Mountain Time)","value":"05:51:45"},{"id":151,"name":"Denver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8" t="str">
        <f t="shared" si="20"/>
        <v>start /low /b %USERPROFILE%\Documents\GitHub\eaglep3\Utilities\DownloadLogsFromS3.py --loco 4039 --day 2017-02-03</v>
      </c>
      <c r="AN18" s="167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"%USERPROFILE%\AppData\Local\Temp\OnboardLogs"\RTDC4039\*4039*20170203* | grep -SE "(Enforcement Action)|(\[TIMEOUT)|(CHR.+\|PRM\|1\|D.+(SWITCH|SIGNAL).+UNKNOWN)" - &gt;&gt; 2017-02-03-UncaughtWiMAX.txt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561</v>
      </c>
      <c r="B19" s="7">
        <v>4022</v>
      </c>
      <c r="C19" s="21" t="s">
        <v>193</v>
      </c>
      <c r="D19" s="21" t="s">
        <v>275</v>
      </c>
      <c r="E19" s="13">
        <v>42769.18476851852</v>
      </c>
      <c r="F19" s="13">
        <v>42769.187719907408</v>
      </c>
      <c r="G19" s="7">
        <v>2</v>
      </c>
      <c r="H19" s="21" t="s">
        <v>307</v>
      </c>
      <c r="I19" s="13">
        <v>42769.21334490741</v>
      </c>
      <c r="J19" s="7">
        <v>0</v>
      </c>
      <c r="K19" s="98" t="str">
        <f t="shared" si="0"/>
        <v>4021/4022</v>
      </c>
      <c r="L19" s="21" t="str">
        <f>VLOOKUP(A19,'Trips&amp;Operators'!$C$1:$G$99999,5,FALSE)</f>
        <v>STARKS ANGELINA</v>
      </c>
      <c r="M19" s="6">
        <f t="shared" si="1"/>
        <v>2.5625000002037268E-2</v>
      </c>
      <c r="N19" s="7">
        <f t="shared" si="2"/>
        <v>36.900000002933666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-02-03T03:26:04-0700',mode:absolute,to:'2017-02-03T06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192" t="str">
        <f t="shared" si="6"/>
        <v>N</v>
      </c>
      <c r="X19" s="192">
        <f t="shared" si="7"/>
        <v>1</v>
      </c>
      <c r="Y19" s="62">
        <f t="shared" si="8"/>
        <v>4.53E-2</v>
      </c>
      <c r="Z19" s="62">
        <f t="shared" si="9"/>
        <v>23.3308</v>
      </c>
      <c r="AA19" s="62">
        <f t="shared" si="10"/>
        <v>23.285499999999999</v>
      </c>
      <c r="AB19" s="59" t="e">
        <f>VLOOKUP(A19,Enforcements!$C$7:$K$16,8,0)</f>
        <v>#N/A</v>
      </c>
      <c r="AC19" s="55" t="e">
        <f>VLOOKUP(A19,Enforcements!$C$7:$E$16,3,0)</f>
        <v>#N/A</v>
      </c>
      <c r="AD19" s="56" t="str">
        <f t="shared" si="11"/>
        <v>0107-03</v>
      </c>
      <c r="AE19" s="85" t="str">
        <f t="shared" si="12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19" s="82" t="str">
        <f t="shared" si="13"/>
        <v>"C:\Program Files (x86)\AstroGrep\AstroGrep.exe" /spath="%USERPROFILE%\AppData\Local\Temp\OnboardLogs" /stypes="app*4022*20170203*"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107-03 --locoid 4022 --swversion DE.1.0.8.0 --startMP 204:453 --initTime 2017-02-03T04:26:04 --startdatetime 2017-02-03T04:30:19 --delay 2 --endMP 204:233308 --enddatetime 2017-02-03T05:07:13 --enforcementcount 0 &gt;&gt;C:\Users\stu\Documents\GitHub\eaglep3-reporting\EC\2017-02-03-refined-times.txt</v>
      </c>
      <c r="AI19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{"issue":{"subject":"","project_id":79,"tracker_id":40,"status_id":1,"priority_id":2,"assigned_to_id":23,"start_date":"2017-02-03","description":"","custom_fields":[{"id":1,"name":"Subdivision","value":"EC"},{"id":4,"name":"Milepost","value":"23.3308"},{"id":17,"name":"Train ID","value":"107-03"},{"id":16,"name":"Locomotive ID","value":"4022"},{"id":130,"name":"Impact","value":""},{"id":150,"name":"Time of Event (Mountain Time)","value":"05:07:13"},{"id":151,"name":"Denver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8" t="str">
        <f t="shared" si="20"/>
        <v>start /low /b %USERPROFILE%\Documents\GitHub\eaglep3\Utilities\DownloadLogsFromS3.py --loco 4022 --day 2017-02-03</v>
      </c>
      <c r="AN19" s="167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"%USERPROFILE%\AppData\Local\Temp\OnboardLogs"\RTDC4022\*4022*20170203* | grep -SE "(Enforcement Action)|(\[TIMEOUT)|(CHR.+\|PRM\|1\|D.+(SWITCH|SIGNAL).+UNKNOWN)" - &gt;&gt; 2017-02-03-UncaughtWiMAX.txt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530</v>
      </c>
      <c r="B20" s="7">
        <v>4021</v>
      </c>
      <c r="C20" s="21" t="s">
        <v>193</v>
      </c>
      <c r="D20" s="21" t="s">
        <v>777</v>
      </c>
      <c r="E20" s="13">
        <v>42769.224722222221</v>
      </c>
      <c r="F20" s="13">
        <v>42769.226550925923</v>
      </c>
      <c r="G20" s="7">
        <v>1</v>
      </c>
      <c r="H20" s="21" t="s">
        <v>206</v>
      </c>
      <c r="I20" s="13">
        <v>42769.25509259259</v>
      </c>
      <c r="J20" s="7">
        <v>1</v>
      </c>
      <c r="K20" s="98" t="str">
        <f t="shared" si="0"/>
        <v>4021/4022</v>
      </c>
      <c r="L20" s="21" t="str">
        <f>VLOOKUP(A20,'Trips&amp;Operators'!$C$1:$G$99999,5,FALSE)</f>
        <v>STARKS ANGELINA</v>
      </c>
      <c r="M20" s="6">
        <f t="shared" si="1"/>
        <v>2.8541666666569654E-2</v>
      </c>
      <c r="N20" s="7">
        <f t="shared" si="2"/>
        <v>41.099999999860302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-02-03T04:23:36-0700',mode:absolute,to:'2017-02-03T07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92" t="str">
        <f t="shared" si="6"/>
        <v>N</v>
      </c>
      <c r="X20" s="192">
        <f t="shared" si="7"/>
        <v>1</v>
      </c>
      <c r="Y20" s="62">
        <f t="shared" si="8"/>
        <v>23.2974</v>
      </c>
      <c r="Z20" s="62">
        <f t="shared" si="9"/>
        <v>1.47E-2</v>
      </c>
      <c r="AA20" s="62">
        <f t="shared" si="10"/>
        <v>23.282699999999998</v>
      </c>
      <c r="AB20" s="59" t="str">
        <f>VLOOKUP(A20,Enforcements!$C$7:$K$16,8,0)</f>
        <v>Bulletin (2)</v>
      </c>
      <c r="AC20" s="55" t="str">
        <f>VLOOKUP(A20,Enforcements!$C$7:$E$16,3,0)</f>
        <v>GRADE CROSSING</v>
      </c>
      <c r="AD20" s="56" t="str">
        <f t="shared" si="11"/>
        <v>0108-03</v>
      </c>
      <c r="AE20" s="85" t="str">
        <f t="shared" si="12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20" s="82" t="str">
        <f t="shared" si="13"/>
        <v>"C:\Program Files (x86)\AstroGrep\AstroGrep.exe" /spath="%USERPROFILE%\AppData\Local\Temp\OnboardLogs" /stypes="app*4021*20170203*"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108-03 --locoid 4021 --swversion DE.1.0.8.0 --startMP 204:232974 --initTime 2017-02-03T05:23:36 --startdatetime 2017-02-03T05:26:14 --delay 1 --endMP 204:147 --enddatetime 2017-02-03T06:07:20 --enforcementcount 1 &gt;&gt;C:\Users\stu\Documents\GitHub\eaglep3-reporting\EC\2017-02-03-refined-times.txt</v>
      </c>
      <c r="AI20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{"issue":{"subject":"","project_id":79,"tracker_id":40,"status_id":1,"priority_id":2,"assigned_to_id":23,"start_date":"2017-02-03","description":"","custom_fields":[{"id":1,"name":"Subdivision","value":"EC"},{"id":4,"name":"Milepost","value":"0.0147"},{"id":17,"name":"Train ID","value":"108-03"},{"id":16,"name":"Locomotive ID","value":"4021"},{"id":130,"name":"Impact","value":""},{"id":150,"name":"Time of Event (Mountain Time)","value":"06:07:20"},{"id":151,"name":"Denver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8" t="str">
        <f t="shared" si="20"/>
        <v>start /low /b %USERPROFILE%\Documents\GitHub\eaglep3\Utilities\DownloadLogsFromS3.py --loco 4021 --day 2017-02-03</v>
      </c>
      <c r="AN20" s="167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565</v>
      </c>
      <c r="B21" s="7">
        <v>4003</v>
      </c>
      <c r="C21" s="21" t="s">
        <v>193</v>
      </c>
      <c r="D21" s="21" t="s">
        <v>371</v>
      </c>
      <c r="E21" s="13">
        <v>42769.197106481479</v>
      </c>
      <c r="F21" s="13">
        <v>42769.198761574073</v>
      </c>
      <c r="G21" s="7">
        <v>1</v>
      </c>
      <c r="H21" s="21" t="s">
        <v>778</v>
      </c>
      <c r="I21" s="13">
        <v>42769.223449074074</v>
      </c>
      <c r="J21" s="7">
        <v>0</v>
      </c>
      <c r="K21" s="98" t="str">
        <f t="shared" si="0"/>
        <v>4003/4004</v>
      </c>
      <c r="L21" s="21" t="str">
        <f>VLOOKUP(A21,'Trips&amp;Operators'!$C$1:$G$99999,5,FALSE)</f>
        <v>LOZA FIDEL</v>
      </c>
      <c r="M21" s="6">
        <f t="shared" si="1"/>
        <v>2.4687500001164153E-2</v>
      </c>
      <c r="N21" s="7">
        <f t="shared" si="2"/>
        <v>35.550000001676381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-02-03T03:43:50-0700',mode:absolute,to:'2017-02-03T06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" s="192" t="str">
        <f t="shared" si="6"/>
        <v>N</v>
      </c>
      <c r="X21" s="192">
        <f t="shared" si="7"/>
        <v>1</v>
      </c>
      <c r="Y21" s="62">
        <f t="shared" si="8"/>
        <v>4.4400000000000002E-2</v>
      </c>
      <c r="Z21" s="62">
        <f t="shared" si="9"/>
        <v>23.3385</v>
      </c>
      <c r="AA21" s="62">
        <f t="shared" si="10"/>
        <v>23.2941</v>
      </c>
      <c r="AB21" s="59" t="e">
        <f>VLOOKUP(A21,Enforcements!$C$7:$K$16,8,0)</f>
        <v>#N/A</v>
      </c>
      <c r="AC21" s="55" t="e">
        <f>VLOOKUP(A21,Enforcements!$C$7:$E$16,3,0)</f>
        <v>#N/A</v>
      </c>
      <c r="AD21" s="56" t="str">
        <f t="shared" si="11"/>
        <v>0109-03</v>
      </c>
      <c r="AE21" s="85" t="str">
        <f t="shared" si="12"/>
        <v>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 &amp; 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</v>
      </c>
      <c r="AF21" s="82" t="str">
        <f t="shared" si="13"/>
        <v>"C:\Program Files (x86)\AstroGrep\AstroGrep.exe" /spath="%USERPROFILE%\AppData\Local\Temp\OnboardLogs" /stypes="app*4003*20170203*"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109-03 --locoid 4003 --swversion DE.1.0.8.0 --startMP 204:444 --initTime 2017-02-03T04:43:50 --startdatetime 2017-02-03T04:46:13 --delay 1 --endMP 204:233385 --enddatetime 2017-02-03T05:21:46 --enforcementcount 0 &gt;&gt;C:\Users\stu\Documents\GitHub\eaglep3-reporting\EC\2017-02-03-refined-times.txt</v>
      </c>
      <c r="AI21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{"issue":{"subject":"","project_id":79,"tracker_id":40,"status_id":1,"priority_id":2,"assigned_to_id":23,"start_date":"2017-02-03","description":"","custom_fields":[{"id":1,"name":"Subdivision","value":"EC"},{"id":4,"name":"Milepost","value":"23.3385"},{"id":17,"name":"Train ID","value":"109-03"},{"id":16,"name":"Locomotive ID","value":"4003"},{"id":130,"name":"Impact","value":""},{"id":150,"name":"Time of Event (Mountain Time)","value":"05:21:46"},{"id":151,"name":"Denver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8" t="str">
        <f t="shared" si="20"/>
        <v>start /low /b %USERPROFILE%\Documents\GitHub\eaglep3\Utilities\DownloadLogsFromS3.py --loco 4003 --day 2017-02-03</v>
      </c>
      <c r="AN21" s="167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927</v>
      </c>
      <c r="B22" s="7">
        <v>4004</v>
      </c>
      <c r="C22" s="21" t="s">
        <v>193</v>
      </c>
      <c r="D22" s="21" t="s">
        <v>371</v>
      </c>
      <c r="E22" s="13">
        <v>42769.197106481479</v>
      </c>
      <c r="F22" s="13"/>
      <c r="G22" s="7">
        <v>1</v>
      </c>
      <c r="H22" s="21" t="s">
        <v>778</v>
      </c>
      <c r="I22" s="13"/>
      <c r="J22" s="7">
        <v>0</v>
      </c>
      <c r="K22" s="98" t="str">
        <f t="shared" ref="K22" si="38">IF(ISEVEN(B22),(B22-1)&amp;"/"&amp;B22,B22&amp;"/"&amp;(B22+1))</f>
        <v>4003/4004</v>
      </c>
      <c r="L22" s="21" t="e">
        <f>VLOOKUP(A22,'Trips&amp;Operators'!$C$1:$G$99999,5,FALSE)</f>
        <v>#N/A</v>
      </c>
      <c r="M22" s="6">
        <f t="shared" ref="M22" si="39">I22-F22</f>
        <v>0</v>
      </c>
      <c r="N22" s="7"/>
      <c r="O22" s="7"/>
      <c r="P22" s="7">
        <v>1</v>
      </c>
      <c r="Q22" s="22"/>
      <c r="R22" s="22" t="s">
        <v>928</v>
      </c>
      <c r="S22" s="31">
        <f t="shared" ref="S22" si="40">SUM(U22:U22)/IF(AG22="EC",12,1)</f>
        <v>0</v>
      </c>
      <c r="T22" s="46" t="str">
        <f t="shared" ref="T22" si="41">IF(ISEVEN(LEFT(AD22,4)),"Southbound","NorthBound")</f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191" t="str">
        <f t="shared" ref="V22" si="42"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-02-03T03:43:50-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" s="192" t="str">
        <f t="shared" ref="W22" si="43">IF(AA22&lt;IF(AG22="EC",23,5.65),"Y","N")</f>
        <v>N</v>
      </c>
      <c r="X22" s="192">
        <f t="shared" ref="X22:X25" si="44">VALUE(LEFT(AD22,4))-VALUE(LEFT(AD21,4))</f>
        <v>1</v>
      </c>
      <c r="Y22" s="62">
        <f t="shared" ref="Y22" si="45">RIGHT(D22,LEN(D22)-4)/10000</f>
        <v>4.4400000000000002E-2</v>
      </c>
      <c r="Z22" s="62">
        <f t="shared" ref="Z22" si="46">RIGHT(H22,LEN(H22)-4)/10000</f>
        <v>23.3385</v>
      </c>
      <c r="AA22" s="62">
        <f t="shared" ref="AA22" si="47">ABS(Z22-Y22)</f>
        <v>23.2941</v>
      </c>
      <c r="AB22" s="59" t="e">
        <f>VLOOKUP(A22,Enforcements!$C$7:$K$16,8,0)</f>
        <v>#N/A</v>
      </c>
      <c r="AC22" s="55" t="e">
        <f>VLOOKUP(A22,Enforcements!$C$7:$E$16,3,0)</f>
        <v>#N/A</v>
      </c>
      <c r="AD22" s="56" t="str">
        <f t="shared" ref="AD22" si="48">IF(LEN(A22)=6,"0"&amp;A22,A22)</f>
        <v>0110-03</v>
      </c>
      <c r="AE22" s="85" t="str">
        <f t="shared" ref="AE22" si="49"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s3://rtdc.mdm.uploadarchive.raw/RTDC4004/ "%USERPROFILE%\AppData\Local\Temp\OnboardLogs"\RTDC4004\1900-01-00 --exclude "*" --recursive --include "*19000100*" &amp; "%USERPROFILE%\Documents\GitHub\mrs-test-scripts\Headless Mode &amp; Sideloading\WalkAndUnGZ.bat" "%USERPROFILE%\AppData\Local\Temp\OnboardLogs"\RTDC4004\1900-01-00 &amp; aws s3 cp s3://rtdc.mdm.uploadarchive.raw/RTDC4004/ "%USERPROFILE%\AppData\Local\Temp\OnboardLogs"\RTDC4004\1900-01-01 --exclude "*" --recursive --include "*19000101*" &amp; "%USERPROFILE%\Documents\GitHub\mrs-test-scripts\Headless Mode &amp; Sideloading\WalkAndUnGZ.bat" "%USERPROFILE%\AppData\Local\Temp\OnboardLogs"\RTDC4004\1900-01-01</v>
      </c>
      <c r="AF22" s="82" t="str">
        <f t="shared" ref="AF22" si="50"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/stypes="app*4004*19000100*" /stext=" 07:.+((SYSTEM_STATE.+slice.+state.+changed )|(ment ac)|(multiple cpu faults)|(system.+state.+changed )|(\[timeout)|(PRM\|1\|D)|(kpr)|(kdp)|(\|lc)|(penalty))" /e /r /s</v>
      </c>
      <c r="AG22" s="1" t="str">
        <f t="shared" ref="AG22" si="51">IFERROR(IF(VALUE(LEFT(AD22,2))&lt;=2,"EC",IF(OR(VALUE(LEFT(AD22,2))=8,VALUE(LEFT(AD22,2))=18),"NW","Other")),"Other")</f>
        <v>EC</v>
      </c>
      <c r="AH22" s="86" t="str">
        <f t="shared" ref="AH22" si="52">refinertdcruntimes&amp;" --tripid "&amp;A22&amp;" --locoid "&amp;B22&amp;" --swversion "&amp;C22&amp;" --startMP "&amp;D22&amp;" --initTime "&amp;TEXT(E22,"yyyy-mm-ddTHH:MM:SS")&amp;" --startdatetime "&amp;TEXT(F22,"yyyy-mm-ddTHH:MM:SS")&amp;" --delay "&amp;G22&amp;" --endMP "&amp;H22&amp;" --enddatetime "&amp;TEXT(I22,"yyyy-mm-ddTHH:MM:SS")&amp;" --enforcementcount "&amp;J22&amp;IF(outputrefinedruntimes," &gt;&gt;"&amp;RefinedRTDCRunTimesOutputFile,"")</f>
        <v>"%USERPROFILE%\Documents\GitHub\eaglep3\Utilities\RefineRTDCRunTimes.py" --tripid 110-03 --locoid 4004 --swversion DE.1.0.8.0 --startMP 204:444 --initTime 2017-02-03T04:43:50 --startdatetime 1900-01-00T00:00:00 --delay 1 --endMP 204:233385 --enddatetime 1900-01-00T00:00:00 --enforcementcount 0 &gt;&gt;C:\Users\stu\Documents\GitHub\eaglep3-reporting\EC\2017-02-03-refined-times.txt</v>
      </c>
      <c r="AI22" s="108" t="str">
        <f t="shared" ref="AI22" si="53">"echo {""issue"":{""subject"":"""&amp;R22&amp;""",""project_id"":79,""tracker_id"":40,""status_id"":"&amp;redmine_status&amp;",""priority_id"":"&amp;redmine_priority&amp;",""assigned_to_id"":"&amp;redmine_assignee&amp;",""start_date"":"""&amp;TEXT(I22,"YYYY-mm-dd")&amp;""",""description"":"""&amp;AJ22&amp;""",""custom_fields"":[{""id"":1,""name"":""Subdivision"",""value"":"""&amp;AG22&amp;"""},{""id"":4,""name"":""Milepost"",""value"":"""&amp;Z22&amp;"""},{""id"":17,""name"":""Train ID"",""value"":"""&amp;A22&amp;"""},{""id"":16,""name"":""Locomotive ID"",""value"":"""&amp;B22&amp;"""},{""id"":130,""name"":""Impact"",""value"":"""&amp;AK22&amp;"""},{""id"":150,""name"":""Time of Event (Mountain Time)"",""value"":"""&amp;TEXT(I22,"hh:mm:ss")&amp;"""},{""id"":151,""name"":""Denver Issue ID"",""value"":"""&amp;"""},{""id"":178,""name"":""Operational Impact"",""value"":"""&amp;redmine_op_impact&amp;"""},{""id"":179,""name"":""Denver Segment Assigned"",""value"":"""&amp;AL22&amp;"""}]}}"&amp;"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init","project_id":79,"tracker_id":40,"status_id":1,"priority_id":2,"assigned_to_id":23,"start_date":"1900-01-00","description":"","custom_fields":[{"id":1,"name":"Subdivision","value":"EC"},{"id":4,"name":"Milepost","value":"23.3385"},{"id":17,"name":"Train ID","value":"110-03"},{"id":16,"name":"Locomotive ID","value":"4004"},{"id":130,"name":"Impact","value":""},{"id":150,"name":"Time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8" t="str">
        <f t="shared" ref="AM22" si="54">"start /low /b "&amp;dls3logs&amp;" --loco "&amp;B22&amp;" --day "&amp;TEXT(F22,"YYYY-MM-DD")</f>
        <v>start /low /b %USERPROFILE%\Documents\GitHub\eaglep3\Utilities\DownloadLogsFromS3.py --loco 4004 --day 1900-01-00</v>
      </c>
      <c r="AN22" s="167" t="e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#DIV/0!</v>
      </c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</row>
    <row r="23" spans="1:91" s="1" customFormat="1" x14ac:dyDescent="0.25">
      <c r="A23" s="33" t="s">
        <v>566</v>
      </c>
      <c r="B23" s="7">
        <v>4044</v>
      </c>
      <c r="C23" s="21" t="s">
        <v>193</v>
      </c>
      <c r="D23" s="21" t="s">
        <v>779</v>
      </c>
      <c r="E23" s="13">
        <v>42769.206956018519</v>
      </c>
      <c r="F23" s="13">
        <v>42769.209050925929</v>
      </c>
      <c r="G23" s="7">
        <v>1</v>
      </c>
      <c r="H23" s="21" t="s">
        <v>426</v>
      </c>
      <c r="I23" s="13">
        <v>42769.234884259262</v>
      </c>
      <c r="J23" s="7">
        <v>0</v>
      </c>
      <c r="K23" s="98" t="str">
        <f t="shared" si="0"/>
        <v>4043/4044</v>
      </c>
      <c r="L23" s="21" t="str">
        <f>VLOOKUP(A23,'Trips&amp;Operators'!$C$1:$G$99999,5,FALSE)</f>
        <v>BONDS REYNALDO</v>
      </c>
      <c r="M23" s="6">
        <f t="shared" si="1"/>
        <v>2.5833333333139308E-2</v>
      </c>
      <c r="N23" s="7">
        <f t="shared" si="2"/>
        <v>37.199999999720603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-02-03T03:58:01-0700',mode:absolute,to:'2017-02-03T06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92" t="str">
        <f t="shared" si="6"/>
        <v>N</v>
      </c>
      <c r="X23" s="192">
        <f t="shared" si="44"/>
        <v>1</v>
      </c>
      <c r="Y23" s="62">
        <f t="shared" si="8"/>
        <v>7.5200000000000003E-2</v>
      </c>
      <c r="Z23" s="62">
        <f t="shared" si="9"/>
        <v>23.331399999999999</v>
      </c>
      <c r="AA23" s="62">
        <f t="shared" si="10"/>
        <v>23.2562</v>
      </c>
      <c r="AB23" s="59" t="e">
        <f>VLOOKUP(A23,Enforcements!$C$7:$K$16,8,0)</f>
        <v>#N/A</v>
      </c>
      <c r="AC23" s="55" t="e">
        <f>VLOOKUP(A23,Enforcements!$C$7:$E$16,3,0)</f>
        <v>#N/A</v>
      </c>
      <c r="AD23" s="56" t="str">
        <f t="shared" si="11"/>
        <v>0111-03</v>
      </c>
      <c r="AE23" s="85" t="str">
        <f t="shared" si="12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23" s="82" t="str">
        <f t="shared" si="13"/>
        <v>"C:\Program Files (x86)\AstroGrep\AstroGrep.exe" /spath="%USERPROFILE%\AppData\Local\Temp\OnboardLogs" /stypes="app*4044*20170203*"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111-03 --locoid 4044 --swversion DE.1.0.8.0 --startMP 204:752 --initTime 2017-02-03T04:58:01 --startdatetime 2017-02-03T05:01:02 --delay 1 --endMP 204:233314 --enddatetime 2017-02-03T05:38:14 --enforcementcount 0 &gt;&gt;C:\Users\stu\Documents\GitHub\eaglep3-reporting\EC\2017-02-03-refined-times.txt</v>
      </c>
      <c r="AI23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{"issue":{"subject":"","project_id":79,"tracker_id":40,"status_id":1,"priority_id":2,"assigned_to_id":23,"start_date":"2017-02-03","description":"","custom_fields":[{"id":1,"name":"Subdivision","value":"EC"},{"id":4,"name":"Milepost","value":"23.3314"},{"id":17,"name":"Train ID","value":"111-03"},{"id":16,"name":"Locomotive ID","value":"4044"},{"id":130,"name":"Impact","value":""},{"id":150,"name":"Time of Event (Mountain Time)","value":"05:38:14"},{"id":151,"name":"Denver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8" t="str">
        <f t="shared" si="20"/>
        <v>start /low /b %USERPROFILE%\Documents\GitHub\eaglep3\Utilities\DownloadLogsFromS3.py --loco 4044 --day 2017-02-03</v>
      </c>
      <c r="AN23" s="167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"%USERPROFILE%\AppData\Local\Temp\OnboardLogs"\RTDC4044\*4044*20170203* | grep -SE "(Enforcement Action)|(\[TIMEOUT)|(CHR.+\|PRM\|1\|D.+(SWITCH|SIGNAL).+UNKNOWN)" - &gt;&gt; 2017-02-03-UncaughtWiMAX.txt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573</v>
      </c>
      <c r="B24" s="7">
        <v>4043</v>
      </c>
      <c r="C24" s="21" t="s">
        <v>193</v>
      </c>
      <c r="D24" s="21" t="s">
        <v>323</v>
      </c>
      <c r="E24" s="13">
        <v>42769.240474537037</v>
      </c>
      <c r="F24" s="13">
        <v>42769.247430555559</v>
      </c>
      <c r="G24" s="7">
        <v>1</v>
      </c>
      <c r="H24" s="21" t="s">
        <v>225</v>
      </c>
      <c r="I24" s="13">
        <v>42769.276655092595</v>
      </c>
      <c r="J24" s="7">
        <v>0</v>
      </c>
      <c r="K24" s="98" t="str">
        <f t="shared" si="0"/>
        <v>4043/4044</v>
      </c>
      <c r="L24" s="21" t="str">
        <f>VLOOKUP(A24,'Trips&amp;Operators'!$C$1:$G$99999,5,FALSE)</f>
        <v>BONDS REYNALDO</v>
      </c>
      <c r="M24" s="6">
        <f t="shared" si="1"/>
        <v>2.9224537036498077E-2</v>
      </c>
      <c r="N24" s="7">
        <f t="shared" si="2"/>
        <v>42.083333332557231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-02-03T04:46:17-0700',mode:absolute,to:'2017-02-03T07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92" t="str">
        <f t="shared" si="6"/>
        <v>N</v>
      </c>
      <c r="X24" s="192">
        <f t="shared" si="44"/>
        <v>1</v>
      </c>
      <c r="Y24" s="62">
        <f t="shared" si="8"/>
        <v>23.299299999999999</v>
      </c>
      <c r="Z24" s="62">
        <f t="shared" si="9"/>
        <v>1.54E-2</v>
      </c>
      <c r="AA24" s="62">
        <f t="shared" si="10"/>
        <v>23.283899999999999</v>
      </c>
      <c r="AB24" s="59" t="e">
        <f>VLOOKUP(A24,Enforcements!$C$7:$K$16,8,0)</f>
        <v>#N/A</v>
      </c>
      <c r="AC24" s="55" t="e">
        <f>VLOOKUP(A24,Enforcements!$C$7:$E$16,3,0)</f>
        <v>#N/A</v>
      </c>
      <c r="AD24" s="56" t="str">
        <f t="shared" si="11"/>
        <v>0112-03</v>
      </c>
      <c r="AE24" s="85" t="str">
        <f t="shared" si="12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24" s="82" t="str">
        <f t="shared" si="13"/>
        <v>"C:\Program Files (x86)\AstroGrep\AstroGrep.exe" /spath="%USERPROFILE%\AppData\Local\Temp\OnboardLogs" /stypes="app*4043*20170203*"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112-03 --locoid 4043 --swversion DE.1.0.8.0 --startMP 204:232993 --initTime 2017-02-03T05:46:17 --startdatetime 2017-02-03T05:56:18 --delay 1 --endMP 204:154 --enddatetime 2017-02-03T06:38:23 --enforcementcount 0 &gt;&gt;C:\Users\stu\Documents\GitHub\eaglep3-reporting\EC\2017-02-03-refined-times.txt</v>
      </c>
      <c r="AI24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{"issue":{"subject":"","project_id":79,"tracker_id":40,"status_id":1,"priority_id":2,"assigned_to_id":23,"start_date":"2017-02-03","description":"","custom_fields":[{"id":1,"name":"Subdivision","value":"EC"},{"id":4,"name":"Milepost","value":"0.0154"},{"id":17,"name":"Train ID","value":"112-03"},{"id":16,"name":"Locomotive ID","value":"4043"},{"id":130,"name":"Impact","value":""},{"id":150,"name":"Time of Event (Mountain Time)","value":"06:38:23"},{"id":151,"name":"Denver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8" t="str">
        <f t="shared" si="20"/>
        <v>start /low /b %USERPROFILE%\Documents\GitHub\eaglep3\Utilities\DownloadLogsFromS3.py --loco 4043 --day 2017-02-03</v>
      </c>
      <c r="AN24" s="167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"%USERPROFILE%\AppData\Local\Temp\OnboardLogs"\RTDC4043\*4043*20170203* | grep -SE "(Enforcement Action)|(\[TIMEOUT)|(CHR.+\|PRM\|1\|D.+(SWITCH|SIGNAL).+UNKNOWN)" - &gt;&gt; 2017-02-03-UncaughtWiMAX.txt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529</v>
      </c>
      <c r="B25" s="7">
        <v>4018</v>
      </c>
      <c r="C25" s="21" t="s">
        <v>193</v>
      </c>
      <c r="D25" s="21" t="s">
        <v>419</v>
      </c>
      <c r="E25" s="13">
        <v>42769.221979166665</v>
      </c>
      <c r="F25" s="13">
        <v>42769.223194444443</v>
      </c>
      <c r="G25" s="7">
        <v>1</v>
      </c>
      <c r="H25" s="21" t="s">
        <v>780</v>
      </c>
      <c r="I25" s="13">
        <v>42769.244675925926</v>
      </c>
      <c r="J25" s="7">
        <v>2</v>
      </c>
      <c r="K25" s="98" t="str">
        <f t="shared" si="0"/>
        <v>4017/4018</v>
      </c>
      <c r="L25" s="21" t="str">
        <f>VLOOKUP(A25,'Trips&amp;Operators'!$C$1:$G$99999,5,FALSE)</f>
        <v>BADERTSCHER DIANE</v>
      </c>
      <c r="M25" s="6">
        <f t="shared" si="1"/>
        <v>2.1481481482624076E-2</v>
      </c>
      <c r="N25" s="7"/>
      <c r="O25" s="7"/>
      <c r="P25" s="7">
        <f t="shared" si="2"/>
        <v>30.93333333497867</v>
      </c>
      <c r="Q25" s="22"/>
      <c r="R25" s="22" t="s">
        <v>923</v>
      </c>
      <c r="S25" s="31">
        <f t="shared" si="3"/>
        <v>1</v>
      </c>
      <c r="T25" s="46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-02-03T04:19:39-0700',mode:absolute,to:'2017-02-03T06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92" t="str">
        <f t="shared" si="6"/>
        <v>Y</v>
      </c>
      <c r="X25" s="192">
        <f t="shared" si="44"/>
        <v>1</v>
      </c>
      <c r="Y25" s="62">
        <f t="shared" si="8"/>
        <v>4.3499999999999997E-2</v>
      </c>
      <c r="Z25" s="62">
        <f t="shared" si="9"/>
        <v>14.8155</v>
      </c>
      <c r="AA25" s="62">
        <f t="shared" si="10"/>
        <v>14.772</v>
      </c>
      <c r="AB25" s="59" t="e">
        <f>VLOOKUP(A25,Enforcements!$C$7:$K$16,8,0)</f>
        <v>#N/A</v>
      </c>
      <c r="AC25" s="55" t="e">
        <f>VLOOKUP(A25,Enforcements!$C$7:$E$16,3,0)</f>
        <v>#N/A</v>
      </c>
      <c r="AD25" s="56" t="str">
        <f t="shared" si="11"/>
        <v>0113-03</v>
      </c>
      <c r="AE25" s="85" t="str">
        <f t="shared" si="12"/>
        <v>aws s3 cp s3://rtdc.mdm.uploadarchive.raw/RTDC4018/ "%USERPROFILE%\AppData\Local\Temp\OnboardLogs"\RTDC4018\2017-02-03 --exclude "*" --recursive --include "*20170203*" &amp; "%USERPROFILE%\Documents\GitHub\mrs-test-scripts\Headless Mode &amp; Sideloading\WalkAndUnGZ.bat" "%USERPROFILE%\AppData\Local\Temp\OnboardLogs"\RTDC4018\2017-02-03 &amp; aws s3 cp s3://rtdc.mdm.uploadarchive.raw/RTDC4018/ "%USERPROFILE%\AppData\Local\Temp\OnboardLogs"\RTDC4018\2017-02-04 --exclude "*" --recursive --include "*20170204*" &amp; "%USERPROFILE%\Documents\GitHub\mrs-test-scripts\Headless Mode &amp; Sideloading\WalkAndUnGZ.bat" "%USERPROFILE%\AppData\Local\Temp\OnboardLogs"\RTDC4018\2017-02-04</v>
      </c>
      <c r="AF25" s="82" t="str">
        <f t="shared" si="13"/>
        <v>"C:\Program Files (x86)\AstroGrep\AstroGrep.exe" /spath="%USERPROFILE%\AppData\Local\Temp\OnboardLogs" /stypes="app*4018*20170203*"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113-03 --locoid 4018 --swversion DE.1.0.8.0 --startMP 204:435 --initTime 2017-02-03T05:19:39 --startdatetime 2017-02-03T05:21:24 --delay 1 --endMP 204:148155 --enddatetime 2017-02-03T05:52:20 --enforcementcount 2 &gt;&gt;C:\Users\stu\Documents\GitHub\eaglep3-reporting\EC\2017-02-03-refined-times.txt</v>
      </c>
      <c r="AI25" s="108" t="str">
        <f t="shared" si="19"/>
        <v>echo {"issue":{"subject":"Wi-MAX data drop","project_id":79,"tracker_id":40,"status_id":1,"priority_id":2,"assigned_to_id":23,"start_date":"2017-02-03","description":"","custom_fields":[{"id":1,"name":"Subdivision","value":"EC"},{"id":4,"name":"Milepost","value":"14.8155"},{"id":17,"name":"Train ID","value":"113-03"},{"id":16,"name":"Locomotive ID","value":"4018"},{"id":130,"name":"Impact","value":""},{"id":150,"name":"Time of Event (Mountain Time)","value":"05:52:20"},{"id":151,"name":"Denver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8" t="str">
        <f t="shared" si="20"/>
        <v>start /low /b %USERPROFILE%\Documents\GitHub\eaglep3\Utilities\DownloadLogsFromS3.py --loco 4018 --day 2017-02-03</v>
      </c>
      <c r="AN25" s="167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"%USERPROFILE%\AppData\Local\Temp\OnboardLogs"\RTDC4018\*4018*20170203* | grep -SE "(Enforcement Action)|(\[TIMEOUT)|(CHR.+\|PRM\|1\|D.+(SWITCH|SIGNAL).+UNKNOWN)" - &gt;&gt; 2017-02-03-UncaughtWiMAX.txt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579</v>
      </c>
      <c r="B26" s="7">
        <v>4017</v>
      </c>
      <c r="C26" s="21" t="s">
        <v>193</v>
      </c>
      <c r="D26" s="21" t="s">
        <v>370</v>
      </c>
      <c r="E26" s="13">
        <v>42769.257233796299</v>
      </c>
      <c r="F26" s="13">
        <v>42769.259120370371</v>
      </c>
      <c r="G26" s="7">
        <v>1</v>
      </c>
      <c r="H26" s="21" t="s">
        <v>263</v>
      </c>
      <c r="I26" s="13">
        <v>42769.287812499999</v>
      </c>
      <c r="J26" s="7">
        <v>0</v>
      </c>
      <c r="K26" s="98" t="str">
        <f t="shared" si="0"/>
        <v>4017/4018</v>
      </c>
      <c r="L26" s="21" t="str">
        <f>VLOOKUP(A26,'Trips&amp;Operators'!$C$1:$G$99999,5,FALSE)</f>
        <v>BADERTSCHER DIANE</v>
      </c>
      <c r="M26" s="6">
        <f t="shared" si="1"/>
        <v>2.8692129628325347E-2</v>
      </c>
      <c r="N26" s="7">
        <f t="shared" si="2"/>
        <v>41.316666664788499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-02-03T05:10:25-0700',mode:absolute,to:'2017-02-03T07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92" t="str">
        <f t="shared" si="6"/>
        <v>N</v>
      </c>
      <c r="X26" s="192">
        <f t="shared" si="7"/>
        <v>1</v>
      </c>
      <c r="Y26" s="62">
        <f t="shared" si="8"/>
        <v>23.296700000000001</v>
      </c>
      <c r="Z26" s="62">
        <f t="shared" si="9"/>
        <v>1.41E-2</v>
      </c>
      <c r="AA26" s="62">
        <f t="shared" si="10"/>
        <v>23.282600000000002</v>
      </c>
      <c r="AB26" s="59" t="e">
        <f>VLOOKUP(A26,Enforcements!$C$7:$K$16,8,0)</f>
        <v>#N/A</v>
      </c>
      <c r="AC26" s="55" t="e">
        <f>VLOOKUP(A26,Enforcements!$C$7:$E$16,3,0)</f>
        <v>#N/A</v>
      </c>
      <c r="AD26" s="56" t="str">
        <f t="shared" si="11"/>
        <v>0114-03</v>
      </c>
      <c r="AE26" s="85" t="str">
        <f t="shared" si="12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26" s="82" t="str">
        <f t="shared" si="13"/>
        <v>"C:\Program Files (x86)\AstroGrep\AstroGrep.exe" /spath="%USERPROFILE%\AppData\Local\Temp\OnboardLogs" /stypes="app*4017*20170203*"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114-03 --locoid 4017 --swversion DE.1.0.8.0 --startMP 204:232967 --initTime 2017-02-03T06:10:25 --startdatetime 2017-02-03T06:13:08 --delay 1 --endMP 204:141 --enddatetime 2017-02-03T06:54:27 --enforcementcount 0 &gt;&gt;C:\Users\stu\Documents\GitHub\eaglep3-reporting\EC\2017-02-03-refined-times.txt</v>
      </c>
      <c r="AI26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{"issue":{"subject":"","project_id":79,"tracker_id":40,"status_id":1,"priority_id":2,"assigned_to_id":23,"start_date":"2017-02-03","description":"","custom_fields":[{"id":1,"name":"Subdivision","value":"EC"},{"id":4,"name":"Milepost","value":"0.0141"},{"id":17,"name":"Train ID","value":"114-03"},{"id":16,"name":"Locomotive ID","value":"4017"},{"id":130,"name":"Impact","value":""},{"id":150,"name":"Time of Event (Mountain Time)","value":"06:54:27"},{"id":151,"name":"Denver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8" t="str">
        <f t="shared" si="20"/>
        <v>start /low /b %USERPROFILE%\Documents\GitHub\eaglep3\Utilities\DownloadLogsFromS3.py --loco 4017 --day 2017-02-03</v>
      </c>
      <c r="AN26" s="167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"%USERPROFILE%\AppData\Local\Temp\OnboardLogs"\RTDC4017\*4017*20170203* | grep -SE "(Enforcement Action)|(\[TIMEOUT)|(CHR.+\|PRM\|1\|D.+(SWITCH|SIGNAL).+UNKNOWN)" - &gt;&gt; 2017-02-03-UncaughtWiMAX.txt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568</v>
      </c>
      <c r="B27" s="7">
        <v>4025</v>
      </c>
      <c r="C27" s="21" t="s">
        <v>193</v>
      </c>
      <c r="D27" s="21" t="s">
        <v>781</v>
      </c>
      <c r="E27" s="13">
        <v>42769.227754629632</v>
      </c>
      <c r="F27" s="13">
        <v>42769.230405092596</v>
      </c>
      <c r="G27" s="7">
        <v>1</v>
      </c>
      <c r="H27" s="21" t="s">
        <v>406</v>
      </c>
      <c r="I27" s="13">
        <v>42769.257141203707</v>
      </c>
      <c r="J27" s="7">
        <v>0</v>
      </c>
      <c r="K27" s="98" t="str">
        <f t="shared" si="0"/>
        <v>4025/4026</v>
      </c>
      <c r="L27" s="21" t="str">
        <f>VLOOKUP(A27,'Trips&amp;Operators'!$C$1:$G$99999,5,FALSE)</f>
        <v>ROCHA YAOTL</v>
      </c>
      <c r="M27" s="6">
        <f t="shared" si="1"/>
        <v>2.6736111110949423E-2</v>
      </c>
      <c r="N27" s="7">
        <f t="shared" si="2"/>
        <v>38.499999999767169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-02-03T04:27:58-0700',mode:absolute,to:'2017-02-03T07:10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7" s="192" t="str">
        <f t="shared" si="6"/>
        <v>N</v>
      </c>
      <c r="X27" s="192">
        <f t="shared" si="7"/>
        <v>1</v>
      </c>
      <c r="Y27" s="62">
        <f t="shared" si="8"/>
        <v>7.5399999999999995E-2</v>
      </c>
      <c r="Z27" s="62">
        <f t="shared" si="9"/>
        <v>23.331</v>
      </c>
      <c r="AA27" s="62">
        <f t="shared" si="10"/>
        <v>23.255600000000001</v>
      </c>
      <c r="AB27" s="59" t="e">
        <f>VLOOKUP(A27,Enforcements!$C$7:$K$16,8,0)</f>
        <v>#N/A</v>
      </c>
      <c r="AC27" s="55" t="e">
        <f>VLOOKUP(A27,Enforcements!$C$7:$E$16,3,0)</f>
        <v>#N/A</v>
      </c>
      <c r="AD27" s="56" t="str">
        <f t="shared" si="11"/>
        <v>0115-03</v>
      </c>
      <c r="AE27" s="85" t="str">
        <f t="shared" si="12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27" s="82" t="str">
        <f t="shared" si="13"/>
        <v>"C:\Program Files (x86)\AstroGrep\AstroGrep.exe" /spath="%USERPROFILE%\AppData\Local\Temp\OnboardLogs" /stypes="app*4025*20170203*"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115-03 --locoid 4025 --swversion DE.1.0.8.0 --startMP 204:754 --initTime 2017-02-03T05:27:58 --startdatetime 2017-02-03T05:31:47 --delay 1 --endMP 204:233310 --enddatetime 2017-02-03T06:10:17 --enforcementcount 0 &gt;&gt;C:\Users\stu\Documents\GitHub\eaglep3-reporting\EC\2017-02-03-refined-times.txt</v>
      </c>
      <c r="AI27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{"issue":{"subject":"","project_id":79,"tracker_id":40,"status_id":1,"priority_id":2,"assigned_to_id":23,"start_date":"2017-02-03","description":"","custom_fields":[{"id":1,"name":"Subdivision","value":"EC"},{"id":4,"name":"Milepost","value":"23.331"},{"id":17,"name":"Train ID","value":"115-03"},{"id":16,"name":"Locomotive ID","value":"4025"},{"id":130,"name":"Impact","value":""},{"id":150,"name":"Time of Event (Mountain Time)","value":"06:10:17"},{"id":151,"name":"Denver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8" t="str">
        <f t="shared" si="20"/>
        <v>start /low /b %USERPROFILE%\Documents\GitHub\eaglep3\Utilities\DownloadLogsFromS3.py --loco 4025 --day 2017-02-03</v>
      </c>
      <c r="AN27" s="167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"%USERPROFILE%\AppData\Local\Temp\OnboardLogs"\RTDC4025\*4025*20170203* | grep -SE "(Enforcement Action)|(\[TIMEOUT)|(CHR.+\|PRM\|1\|D.+(SWITCH|SIGNAL).+UNKNOWN)" - &gt;&gt; 2017-02-03-UncaughtWiMAX.txt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582</v>
      </c>
      <c r="B28" s="7">
        <v>4026</v>
      </c>
      <c r="C28" s="21" t="s">
        <v>193</v>
      </c>
      <c r="D28" s="21" t="s">
        <v>365</v>
      </c>
      <c r="E28" s="13">
        <v>42769.267569444448</v>
      </c>
      <c r="F28" s="13">
        <v>42769.269085648149</v>
      </c>
      <c r="G28" s="7">
        <v>1</v>
      </c>
      <c r="H28" s="21" t="s">
        <v>237</v>
      </c>
      <c r="I28" s="13">
        <v>42769.294583333336</v>
      </c>
      <c r="J28" s="7">
        <v>0</v>
      </c>
      <c r="K28" s="98" t="str">
        <f t="shared" si="0"/>
        <v>4025/4026</v>
      </c>
      <c r="L28" s="21" t="str">
        <f>VLOOKUP(A28,'Trips&amp;Operators'!$C$1:$G$99999,5,FALSE)</f>
        <v>ROCHA YAOTL</v>
      </c>
      <c r="M28" s="6">
        <f t="shared" si="1"/>
        <v>2.5497685186564922E-2</v>
      </c>
      <c r="N28" s="7">
        <f t="shared" si="2"/>
        <v>36.716666668653488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-02-03T05:25:18-0700',mode:absolute,to:'2017-02-03T08:04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8" s="192" t="str">
        <f t="shared" si="6"/>
        <v>N</v>
      </c>
      <c r="X28" s="192">
        <f t="shared" si="7"/>
        <v>1</v>
      </c>
      <c r="Y28" s="62">
        <f t="shared" si="8"/>
        <v>23.298300000000001</v>
      </c>
      <c r="Z28" s="62">
        <f t="shared" si="9"/>
        <v>1.43E-2</v>
      </c>
      <c r="AA28" s="62">
        <f t="shared" si="10"/>
        <v>23.284000000000002</v>
      </c>
      <c r="AB28" s="59" t="e">
        <f>VLOOKUP(A28,Enforcements!$C$7:$K$16,8,0)</f>
        <v>#N/A</v>
      </c>
      <c r="AC28" s="55" t="e">
        <f>VLOOKUP(A28,Enforcements!$C$7:$E$16,3,0)</f>
        <v>#N/A</v>
      </c>
      <c r="AD28" s="56" t="str">
        <f t="shared" si="11"/>
        <v>0116-03</v>
      </c>
      <c r="AE28" s="85" t="str">
        <f t="shared" si="12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28" s="82" t="str">
        <f t="shared" si="13"/>
        <v>"C:\Program Files (x86)\AstroGrep\AstroGrep.exe" /spath="%USERPROFILE%\AppData\Local\Temp\OnboardLogs" /stypes="app*4026*20170203*"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116-03 --locoid 4026 --swversion DE.1.0.8.0 --startMP 204:232983 --initTime 2017-02-03T06:25:18 --startdatetime 2017-02-03T06:27:29 --delay 1 --endMP 204:143 --enddatetime 2017-02-03T07:04:12 --enforcementcount 0 &gt;&gt;C:\Users\stu\Documents\GitHub\eaglep3-reporting\EC\2017-02-03-refined-times.txt</v>
      </c>
      <c r="AI28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{"issue":{"subject":"","project_id":79,"tracker_id":40,"status_id":1,"priority_id":2,"assigned_to_id":23,"start_date":"2017-02-03","description":"","custom_fields":[{"id":1,"name":"Subdivision","value":"EC"},{"id":4,"name":"Milepost","value":"0.0143"},{"id":17,"name":"Train ID","value":"116-03"},{"id":16,"name":"Locomotive ID","value":"4026"},{"id":130,"name":"Impact","value":""},{"id":150,"name":"Time of Event (Mountain Time)","value":"07:04:12"},{"id":151,"name":"Denver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8" t="str">
        <f t="shared" si="20"/>
        <v>start /low /b %USERPROFILE%\Documents\GitHub\eaglep3\Utilities\DownloadLogsFromS3.py --loco 4026 --day 2017-02-03</v>
      </c>
      <c r="AN28" s="167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"%USERPROFILE%\AppData\Local\Temp\OnboardLogs"\RTDC4026\*4026*20170203* | grep -SE "(Enforcement Action)|(\[TIMEOUT)|(CHR.+\|PRM\|1\|D.+(SWITCH|SIGNAL).+UNKNOWN)" - &gt;&gt; 2017-02-03-UncaughtWiMAX.txt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572</v>
      </c>
      <c r="B29" s="7">
        <v>4002</v>
      </c>
      <c r="C29" s="21" t="s">
        <v>193</v>
      </c>
      <c r="D29" s="21" t="s">
        <v>782</v>
      </c>
      <c r="E29" s="13">
        <v>42769.237453703703</v>
      </c>
      <c r="F29" s="13">
        <v>42769.312662037039</v>
      </c>
      <c r="G29" s="7">
        <v>4</v>
      </c>
      <c r="H29" s="21" t="s">
        <v>783</v>
      </c>
      <c r="I29" s="13">
        <v>42769.339814814812</v>
      </c>
      <c r="J29" s="7">
        <v>0</v>
      </c>
      <c r="K29" s="98" t="str">
        <f t="shared" si="0"/>
        <v>4001/4002</v>
      </c>
      <c r="L29" s="21" t="str">
        <f>VLOOKUP(A29,'Trips&amp;Operators'!$C$1:$G$99999,5,FALSE)</f>
        <v>DAVIS WENDY</v>
      </c>
      <c r="M29" s="6">
        <f t="shared" si="1"/>
        <v>2.7152777773153502E-2</v>
      </c>
      <c r="N29" s="7"/>
      <c r="O29" s="7"/>
      <c r="P29" s="7">
        <f t="shared" si="2"/>
        <v>39.099999993341044</v>
      </c>
      <c r="Q29" s="22"/>
      <c r="R29" s="22" t="s">
        <v>924</v>
      </c>
      <c r="S29" s="31">
        <f t="shared" si="3"/>
        <v>0</v>
      </c>
      <c r="T29" s="46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-02-03T04:41:56-0700',mode:absolute,to:'2017-02-03T09:09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192" t="str">
        <f t="shared" si="6"/>
        <v>Y</v>
      </c>
      <c r="X29" s="192">
        <f t="shared" si="7"/>
        <v>1</v>
      </c>
      <c r="Y29" s="62">
        <f t="shared" si="8"/>
        <v>4.2000000000000003E-2</v>
      </c>
      <c r="Z29" s="62">
        <f t="shared" si="9"/>
        <v>6.7199999999999996E-2</v>
      </c>
      <c r="AA29" s="62">
        <f t="shared" si="10"/>
        <v>2.5199999999999993E-2</v>
      </c>
      <c r="AB29" s="59" t="e">
        <f>VLOOKUP(A29,Enforcements!$C$7:$K$16,8,0)</f>
        <v>#N/A</v>
      </c>
      <c r="AC29" s="55" t="e">
        <f>VLOOKUP(A29,Enforcements!$C$7:$E$16,3,0)</f>
        <v>#N/A</v>
      </c>
      <c r="AD29" s="56" t="str">
        <f t="shared" si="11"/>
        <v>0117-03</v>
      </c>
      <c r="AE29" s="85" t="str">
        <f t="shared" si="12"/>
        <v>aws s3 cp s3://rtdc.mdm.uploadarchive.raw/RTDC4002/ "%USERPROFILE%\AppData\Local\Temp\OnboardLogs"\RTDC4002\2017-02-03 --exclude "*" --recursive --include "*20170203*" &amp; "%USERPROFILE%\Documents\GitHub\mrs-test-scripts\Headless Mode &amp; Sideloading\WalkAndUnGZ.bat" "%USERPROFILE%\AppData\Local\Temp\OnboardLogs"\RTDC4002\2017-02-03 &amp; aws s3 cp s3://rtdc.mdm.uploadarchive.raw/RTDC4002/ "%USERPROFILE%\AppData\Local\Temp\OnboardLogs"\RTDC4002\2017-02-04 --exclude "*" --recursive --include "*20170204*" &amp; "%USERPROFILE%\Documents\GitHub\mrs-test-scripts\Headless Mode &amp; Sideloading\WalkAndUnGZ.bat" "%USERPROFILE%\AppData\Local\Temp\OnboardLogs"\RTDC4002\2017-02-04</v>
      </c>
      <c r="AF29" s="82" t="str">
        <f t="shared" si="13"/>
        <v>"C:\Program Files (x86)\AstroGrep\AstroGrep.exe" /spath="%USERPROFILE%\AppData\Local\Temp\OnboardLogs" /stypes="app*4002*20170203*" /stext=" 15:.+((SYSTEM_STATE.+slice.+state.+changed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117-03 --locoid 4002 --swversion DE.1.0.8.0 --startMP 204:420 --initTime 2017-02-03T05:41:56 --startdatetime 2017-02-03T07:30:14 --delay 4 --endMP 204:672 --enddatetime 2017-02-03T08:09:20 --enforcementcount 0 &gt;&gt;C:\Users\stu\Documents\GitHub\eaglep3-reporting\EC\2017-02-03-refined-times.txt</v>
      </c>
      <c r="AI29" s="108" t="str">
        <f t="shared" si="19"/>
        <v>echo {"issue":{"subject":"MAIN 2 selected while train on MAIN 1","project_id":79,"tracker_id":40,"status_id":1,"priority_id":2,"assigned_to_id":23,"start_date":"2017-02-03","description":"","custom_fields":[{"id":1,"name":"Subdivision","value":"EC"},{"id":4,"name":"Milepost","value":"0.0672"},{"id":17,"name":"Train ID","value":"117-03"},{"id":16,"name":"Locomotive ID","value":"4002"},{"id":130,"name":"Impact","value":""},{"id":150,"name":"Time of Event (Mountain Time)","value":"08:09:20"},{"id":151,"name":"Denver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8" t="str">
        <f t="shared" si="20"/>
        <v>start /low /b %USERPROFILE%\Documents\GitHub\eaglep3\Utilities\DownloadLogsFromS3.py --loco 4002 --day 2017-02-03</v>
      </c>
      <c r="AN29" s="167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"%USERPROFILE%\AppData\Local\Temp\OnboardLogs"\RTDC4002\*4002*20170203* | grep -SE "(Enforcement Action)|(\[TIMEOUT)|(CHR.+\|PRM\|1\|D.+(SWITCH|SIGNAL).+UNKNOWN)" - &gt;&gt; 2017-02-03-UncaughtWiMAX.txt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532</v>
      </c>
      <c r="B30" s="7">
        <v>4001</v>
      </c>
      <c r="C30" s="21" t="s">
        <v>193</v>
      </c>
      <c r="D30" s="21" t="s">
        <v>414</v>
      </c>
      <c r="E30" s="13">
        <v>42769.274189814816</v>
      </c>
      <c r="F30" s="13">
        <v>42769.278622685182</v>
      </c>
      <c r="G30" s="7">
        <v>1</v>
      </c>
      <c r="H30" s="21" t="s">
        <v>212</v>
      </c>
      <c r="I30" s="13">
        <v>42769.307141203702</v>
      </c>
      <c r="J30" s="7">
        <v>1</v>
      </c>
      <c r="K30" s="98" t="str">
        <f t="shared" si="0"/>
        <v>4001/4002</v>
      </c>
      <c r="L30" s="21" t="str">
        <f>VLOOKUP(A30,'Trips&amp;Operators'!$C$1:$G$99999,5,FALSE)</f>
        <v>DAVIS WENDY</v>
      </c>
      <c r="M30" s="6">
        <f t="shared" si="1"/>
        <v>2.8518518520286307E-2</v>
      </c>
      <c r="N30" s="7">
        <f t="shared" si="2"/>
        <v>41.066666669212282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-02-03T05:34:50-0700',mode:absolute,to:'2017-02-03T08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92" t="str">
        <f t="shared" si="6"/>
        <v>N</v>
      </c>
      <c r="X30" s="192">
        <f t="shared" si="7"/>
        <v>1</v>
      </c>
      <c r="Y30" s="62">
        <f t="shared" si="8"/>
        <v>23.298999999999999</v>
      </c>
      <c r="Z30" s="62">
        <f t="shared" si="9"/>
        <v>1.52E-2</v>
      </c>
      <c r="AA30" s="62">
        <f t="shared" si="10"/>
        <v>23.283799999999999</v>
      </c>
      <c r="AB30" s="59" t="e">
        <f>VLOOKUP(A30,Enforcements!$C$7:$K$16,8,0)</f>
        <v>#N/A</v>
      </c>
      <c r="AC30" s="55" t="e">
        <f>VLOOKUP(A30,Enforcements!$C$7:$E$16,3,0)</f>
        <v>#N/A</v>
      </c>
      <c r="AD30" s="56" t="str">
        <f t="shared" si="11"/>
        <v>0118-03</v>
      </c>
      <c r="AE30" s="85" t="str">
        <f t="shared" si="12"/>
        <v>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 &amp; aws s3 cp s3://rtdc.mdm.uploadarchive.raw/RTDC4001/ "%USERPROFILE%\AppData\Local\Temp\OnboardLogs"\RTDC4001\2017-02-04 --exclude "*" --recursive --include "*20170204*" &amp; "%USERPROFILE%\Documents\GitHub\mrs-test-scripts\Headless Mode &amp; Sideloading\WalkAndUnGZ.bat" "%USERPROFILE%\AppData\Local\Temp\OnboardLogs"\RTDC4001\2017-02-04</v>
      </c>
      <c r="AF30" s="82" t="str">
        <f t="shared" si="13"/>
        <v>"C:\Program Files (x86)\AstroGrep\AstroGrep.exe" /spath="%USERPROFILE%\AppData\Local\Temp\OnboardLogs" /stypes="app*4001*20170203*"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118-03 --locoid 4001 --swversion DE.1.0.8.0 --startMP 204:232990 --initTime 2017-02-03T06:34:50 --startdatetime 2017-02-03T06:41:13 --delay 1 --endMP 204:152 --enddatetime 2017-02-03T07:22:17 --enforcementcount 1 &gt;&gt;C:\Users\stu\Documents\GitHub\eaglep3-reporting\EC\2017-02-03-refined-times.txt</v>
      </c>
      <c r="AI30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{"issue":{"subject":"","project_id":79,"tracker_id":40,"status_id":1,"priority_id":2,"assigned_to_id":23,"start_date":"2017-02-03","description":"","custom_fields":[{"id":1,"name":"Subdivision","value":"EC"},{"id":4,"name":"Milepost","value":"0.0152"},{"id":17,"name":"Train ID","value":"118-03"},{"id":16,"name":"Locomotive ID","value":"4001"},{"id":130,"name":"Impact","value":""},{"id":150,"name":"Time of Event (Mountain Time)","value":"07:22:17"},{"id":151,"name":"Denver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8" t="str">
        <f t="shared" si="20"/>
        <v>start /low /b %USERPROFILE%\Documents\GitHub\eaglep3\Utilities\DownloadLogsFromS3.py --loco 4001 --day 2017-02-03</v>
      </c>
      <c r="AN30" s="167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"%USERPROFILE%\AppData\Local\Temp\OnboardLogs"\RTDC4001\*4001*20170203* | grep -SE "(Enforcement Action)|(\[TIMEOUT)|(CHR.+\|PRM\|1\|D.+(SWITCH|SIGNAL).+UNKNOWN)" - &gt;&gt; 2017-02-03-UncaughtWiMAX.txt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574</v>
      </c>
      <c r="B31" s="7">
        <v>4031</v>
      </c>
      <c r="C31" s="21" t="s">
        <v>193</v>
      </c>
      <c r="D31" s="21" t="s">
        <v>784</v>
      </c>
      <c r="E31" s="13">
        <v>42769.246469907404</v>
      </c>
      <c r="F31" s="13">
        <v>42769.250185185185</v>
      </c>
      <c r="G31" s="7">
        <v>1</v>
      </c>
      <c r="H31" s="21" t="s">
        <v>307</v>
      </c>
      <c r="I31" s="13">
        <v>42769.277546296296</v>
      </c>
      <c r="J31" s="7">
        <v>0</v>
      </c>
      <c r="K31" s="98" t="str">
        <f t="shared" si="0"/>
        <v>4031/4032</v>
      </c>
      <c r="L31" s="21" t="str">
        <f>VLOOKUP(A31,'Trips&amp;Operators'!$C$1:$G$99999,5,FALSE)</f>
        <v>ROBINSON KADDIBA</v>
      </c>
      <c r="M31" s="6">
        <f t="shared" si="1"/>
        <v>2.73611111115315E-2</v>
      </c>
      <c r="N31" s="7">
        <f t="shared" si="2"/>
        <v>39.40000000060536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-02-03T04:54:55-0700',mode:absolute,to:'2017-02-03T07:39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1" s="192" t="str">
        <f t="shared" si="6"/>
        <v>N</v>
      </c>
      <c r="X31" s="192">
        <f t="shared" si="7"/>
        <v>1</v>
      </c>
      <c r="Y31" s="62">
        <f t="shared" si="8"/>
        <v>7.6499999999999999E-2</v>
      </c>
      <c r="Z31" s="62">
        <f t="shared" si="9"/>
        <v>23.3308</v>
      </c>
      <c r="AA31" s="62">
        <f t="shared" si="10"/>
        <v>23.254300000000001</v>
      </c>
      <c r="AB31" s="59" t="e">
        <f>VLOOKUP(A31,Enforcements!$C$7:$K$16,8,0)</f>
        <v>#N/A</v>
      </c>
      <c r="AC31" s="55" t="e">
        <f>VLOOKUP(A31,Enforcements!$C$7:$E$16,3,0)</f>
        <v>#N/A</v>
      </c>
      <c r="AD31" s="56" t="str">
        <f t="shared" si="11"/>
        <v>0119-03</v>
      </c>
      <c r="AE31" s="85" t="str">
        <f t="shared" si="12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31" s="82" t="str">
        <f t="shared" si="13"/>
        <v>"C:\Program Files (x86)\AstroGrep\AstroGrep.exe" /spath="%USERPROFILE%\AppData\Local\Temp\OnboardLogs" /stypes="app*4031*20170203*"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119-03 --locoid 4031 --swversion DE.1.0.8.0 --startMP 204:765 --initTime 2017-02-03T05:54:55 --startdatetime 2017-02-03T06:00:16 --delay 1 --endMP 204:233308 --enddatetime 2017-02-03T06:39:40 --enforcementcount 0 &gt;&gt;C:\Users\stu\Documents\GitHub\eaglep3-reporting\EC\2017-02-03-refined-times.txt</v>
      </c>
      <c r="AI31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{"issue":{"subject":"","project_id":79,"tracker_id":40,"status_id":1,"priority_id":2,"assigned_to_id":23,"start_date":"2017-02-03","description":"","custom_fields":[{"id":1,"name":"Subdivision","value":"EC"},{"id":4,"name":"Milepost","value":"23.3308"},{"id":17,"name":"Train ID","value":"119-03"},{"id":16,"name":"Locomotive ID","value":"4031"},{"id":130,"name":"Impact","value":""},{"id":150,"name":"Time of Event (Mountain Time)","value":"06:39:40"},{"id":151,"name":"Denver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8" t="str">
        <f t="shared" si="20"/>
        <v>start /low /b %USERPROFILE%\Documents\GitHub\eaglep3\Utilities\DownloadLogsFromS3.py --loco 4031 --day 2017-02-03</v>
      </c>
      <c r="AN31" s="167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"%USERPROFILE%\AppData\Local\Temp\OnboardLogs"\RTDC4031\*4031*20170203* | grep -SE "(Enforcement Action)|(\[TIMEOUT)|(CHR.+\|PRM\|1\|D.+(SWITCH|SIGNAL).+UNKNOWN)" - &gt;&gt; 2017-02-03-UncaughtWiMAX.txt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587</v>
      </c>
      <c r="B32" s="7">
        <v>4032</v>
      </c>
      <c r="C32" s="21" t="s">
        <v>193</v>
      </c>
      <c r="D32" s="21" t="s">
        <v>323</v>
      </c>
      <c r="E32" s="13">
        <v>42769.28328703704</v>
      </c>
      <c r="F32" s="13">
        <v>42769.2890625</v>
      </c>
      <c r="G32" s="7">
        <v>1</v>
      </c>
      <c r="H32" s="21" t="s">
        <v>237</v>
      </c>
      <c r="I32" s="13">
        <v>42769.316458333335</v>
      </c>
      <c r="J32" s="7">
        <v>0</v>
      </c>
      <c r="K32" s="98" t="str">
        <f t="shared" si="0"/>
        <v>4031/4032</v>
      </c>
      <c r="L32" s="21" t="str">
        <f>VLOOKUP(A32,'Trips&amp;Operators'!$C$1:$G$99999,5,FALSE)</f>
        <v>ROBINSON KADDIBA</v>
      </c>
      <c r="M32" s="6">
        <f t="shared" si="1"/>
        <v>2.7395833334594499E-2</v>
      </c>
      <c r="N32" s="7">
        <f t="shared" si="2"/>
        <v>39.450000001816079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-02-03T05:47:56-0700',mode:absolute,to:'2017-02-03T08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2" s="192" t="str">
        <f t="shared" si="6"/>
        <v>N</v>
      </c>
      <c r="X32" s="192">
        <f t="shared" si="7"/>
        <v>1</v>
      </c>
      <c r="Y32" s="62">
        <f t="shared" si="8"/>
        <v>23.299299999999999</v>
      </c>
      <c r="Z32" s="62">
        <f t="shared" si="9"/>
        <v>1.43E-2</v>
      </c>
      <c r="AA32" s="62">
        <f t="shared" si="10"/>
        <v>23.285</v>
      </c>
      <c r="AB32" s="59" t="e">
        <f>VLOOKUP(A32,Enforcements!$C$7:$K$16,8,0)</f>
        <v>#N/A</v>
      </c>
      <c r="AC32" s="55" t="e">
        <f>VLOOKUP(A32,Enforcements!$C$7:$E$16,3,0)</f>
        <v>#N/A</v>
      </c>
      <c r="AD32" s="56" t="str">
        <f t="shared" si="11"/>
        <v>0120-03</v>
      </c>
      <c r="AE32" s="85" t="str">
        <f t="shared" si="12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32" s="82" t="str">
        <f t="shared" si="13"/>
        <v>"C:\Program Files (x86)\AstroGrep\AstroGrep.exe" /spath="%USERPROFILE%\AppData\Local\Temp\OnboardLogs" /stypes="app*4032*20170203*"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120-03 --locoid 4032 --swversion DE.1.0.8.0 --startMP 204:232993 --initTime 2017-02-03T06:47:56 --startdatetime 2017-02-03T06:56:15 --delay 1 --endMP 204:143 --enddatetime 2017-02-03T07:35:42 --enforcementcount 0 &gt;&gt;C:\Users\stu\Documents\GitHub\eaglep3-reporting\EC\2017-02-03-refined-times.txt</v>
      </c>
      <c r="AI32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{"issue":{"subject":"","project_id":79,"tracker_id":40,"status_id":1,"priority_id":2,"assigned_to_id":23,"start_date":"2017-02-03","description":"","custom_fields":[{"id":1,"name":"Subdivision","value":"EC"},{"id":4,"name":"Milepost","value":"0.0143"},{"id":17,"name":"Train ID","value":"120-03"},{"id":16,"name":"Locomotive ID","value":"4032"},{"id":130,"name":"Impact","value":""},{"id":150,"name":"Time of Event (Mountain Time)","value":"07:35:42"},{"id":151,"name":"Denver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8" t="str">
        <f t="shared" si="20"/>
        <v>start /low /b %USERPROFILE%\Documents\GitHub\eaglep3\Utilities\DownloadLogsFromS3.py --loco 4032 --day 2017-02-03</v>
      </c>
      <c r="AN32" s="167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"%USERPROFILE%\AppData\Local\Temp\OnboardLogs"\RTDC4032\*4032*20170203* | grep -SE "(Enforcement Action)|(\[TIMEOUT)|(CHR.+\|PRM\|1\|D.+(SWITCH|SIGNAL).+UNKNOWN)" - &gt;&gt; 2017-02-03-UncaughtWiMAX.txt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580</v>
      </c>
      <c r="B33" s="7">
        <v>4022</v>
      </c>
      <c r="C33" s="21" t="s">
        <v>193</v>
      </c>
      <c r="D33" s="21" t="s">
        <v>275</v>
      </c>
      <c r="E33" s="13">
        <v>42769.258032407408</v>
      </c>
      <c r="F33" s="13">
        <v>42769.260717592595</v>
      </c>
      <c r="G33" s="7">
        <v>1</v>
      </c>
      <c r="H33" s="21" t="s">
        <v>785</v>
      </c>
      <c r="I33" s="13">
        <v>42769.285868055558</v>
      </c>
      <c r="J33" s="7">
        <v>0</v>
      </c>
      <c r="K33" s="98" t="str">
        <f t="shared" si="0"/>
        <v>4021/4022</v>
      </c>
      <c r="L33" s="21" t="str">
        <f>VLOOKUP(A33,'Trips&amp;Operators'!$C$1:$G$99999,5,FALSE)</f>
        <v>STARKS ANGELINA</v>
      </c>
      <c r="M33" s="6">
        <f t="shared" si="1"/>
        <v>2.5150462963210884E-2</v>
      </c>
      <c r="N33" s="7">
        <f t="shared" si="2"/>
        <v>36.216666667023674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-02-03T05:11:34-0700',mode:absolute,to:'2017-02-03T07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92" t="str">
        <f t="shared" si="6"/>
        <v>N</v>
      </c>
      <c r="X33" s="192">
        <f t="shared" si="7"/>
        <v>1</v>
      </c>
      <c r="Y33" s="62">
        <f t="shared" si="8"/>
        <v>4.53E-2</v>
      </c>
      <c r="Z33" s="62">
        <f t="shared" si="9"/>
        <v>23.329699999999999</v>
      </c>
      <c r="AA33" s="62">
        <f t="shared" si="10"/>
        <v>23.284399999999998</v>
      </c>
      <c r="AB33" s="59" t="e">
        <f>VLOOKUP(A33,Enforcements!$C$7:$K$16,8,0)</f>
        <v>#N/A</v>
      </c>
      <c r="AC33" s="55" t="e">
        <f>VLOOKUP(A33,Enforcements!$C$7:$E$16,3,0)</f>
        <v>#N/A</v>
      </c>
      <c r="AD33" s="56" t="str">
        <f t="shared" si="11"/>
        <v>0121-03</v>
      </c>
      <c r="AE33" s="85" t="str">
        <f t="shared" si="12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33" s="82" t="str">
        <f t="shared" si="13"/>
        <v>"C:\Program Files (x86)\AstroGrep\AstroGrep.exe" /spath="%USERPROFILE%\AppData\Local\Temp\OnboardLogs" /stypes="app*4022*20170203*"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121-03 --locoid 4022 --swversion DE.1.0.8.0 --startMP 204:453 --initTime 2017-02-03T06:11:34 --startdatetime 2017-02-03T06:15:26 --delay 1 --endMP 204:233297 --enddatetime 2017-02-03T06:51:39 --enforcementcount 0 &gt;&gt;C:\Users\stu\Documents\GitHub\eaglep3-reporting\EC\2017-02-03-refined-times.txt</v>
      </c>
      <c r="AI33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{"issue":{"subject":"","project_id":79,"tracker_id":40,"status_id":1,"priority_id":2,"assigned_to_id":23,"start_date":"2017-02-03","description":"","custom_fields":[{"id":1,"name":"Subdivision","value":"EC"},{"id":4,"name":"Milepost","value":"23.3297"},{"id":17,"name":"Train ID","value":"121-03"},{"id":16,"name":"Locomotive ID","value":"4022"},{"id":130,"name":"Impact","value":""},{"id":150,"name":"Time of Event (Mountain Time)","value":"06:51:39"},{"id":151,"name":"Denver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8" t="str">
        <f t="shared" si="20"/>
        <v>start /low /b %USERPROFILE%\Documents\GitHub\eaglep3\Utilities\DownloadLogsFromS3.py --loco 4022 --day 2017-02-03</v>
      </c>
      <c r="AN33" s="167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"%USERPROFILE%\AppData\Local\Temp\OnboardLogs"\RTDC4022\*4022*20170203* | grep -SE "(Enforcement Action)|(\[TIMEOUT)|(CHR.+\|PRM\|1\|D.+(SWITCH|SIGNAL).+UNKNOWN)" - &gt;&gt; 2017-02-03-UncaughtWiMAX.txt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533</v>
      </c>
      <c r="B34" s="7">
        <v>4021</v>
      </c>
      <c r="C34" s="21" t="s">
        <v>193</v>
      </c>
      <c r="D34" s="21" t="s">
        <v>414</v>
      </c>
      <c r="E34" s="13">
        <v>42769.296655092592</v>
      </c>
      <c r="F34" s="13">
        <v>42769.299560185187</v>
      </c>
      <c r="G34" s="7">
        <v>1</v>
      </c>
      <c r="H34" s="21" t="s">
        <v>200</v>
      </c>
      <c r="I34" s="13">
        <v>42769.327847222223</v>
      </c>
      <c r="J34" s="7">
        <v>1</v>
      </c>
      <c r="K34" s="98" t="str">
        <f t="shared" si="0"/>
        <v>4021/4022</v>
      </c>
      <c r="L34" s="21" t="str">
        <f>VLOOKUP(A34,'Trips&amp;Operators'!$C$1:$G$99999,5,FALSE)</f>
        <v>STARKS ANGELINA</v>
      </c>
      <c r="M34" s="6">
        <f t="shared" si="1"/>
        <v>2.8287037035624962E-2</v>
      </c>
      <c r="N34" s="7">
        <f t="shared" si="2"/>
        <v>40.733333331299946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-02-03T06:07:11-0700',mode:absolute,to:'2017-02-03T08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92" t="str">
        <f t="shared" si="6"/>
        <v>N</v>
      </c>
      <c r="X34" s="192">
        <f t="shared" si="7"/>
        <v>1</v>
      </c>
      <c r="Y34" s="62">
        <f t="shared" si="8"/>
        <v>23.298999999999999</v>
      </c>
      <c r="Z34" s="62">
        <f t="shared" si="9"/>
        <v>1.4500000000000001E-2</v>
      </c>
      <c r="AA34" s="62">
        <f t="shared" si="10"/>
        <v>23.284499999999998</v>
      </c>
      <c r="AB34" s="59" t="str">
        <f>VLOOKUP(A34,Enforcements!$C$7:$K$16,8,0)</f>
        <v>Bulletin (2)</v>
      </c>
      <c r="AC34" s="55" t="str">
        <f>VLOOKUP(A34,Enforcements!$C$7:$E$16,3,0)</f>
        <v>GRADE CROSSING</v>
      </c>
      <c r="AD34" s="56" t="str">
        <f t="shared" si="11"/>
        <v>0122-03</v>
      </c>
      <c r="AE34" s="85" t="str">
        <f t="shared" si="12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34" s="82" t="str">
        <f t="shared" si="13"/>
        <v>"C:\Program Files (x86)\AstroGrep\AstroGrep.exe" /spath="%USERPROFILE%\AppData\Local\Temp\OnboardLogs" /stypes="app*4021*20170203*"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122-03 --locoid 4021 --swversion DE.1.0.8.0 --startMP 204:232990 --initTime 2017-02-03T07:07:11 --startdatetime 2017-02-03T07:11:22 --delay 1 --endMP 204:145 --enddatetime 2017-02-03T07:52:06 --enforcementcount 1 &gt;&gt;C:\Users\stu\Documents\GitHub\eaglep3-reporting\EC\2017-02-03-refined-times.txt</v>
      </c>
      <c r="AI34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{"issue":{"subject":"","project_id":79,"tracker_id":40,"status_id":1,"priority_id":2,"assigned_to_id":23,"start_date":"2017-02-03","description":"","custom_fields":[{"id":1,"name":"Subdivision","value":"EC"},{"id":4,"name":"Milepost","value":"0.0145"},{"id":17,"name":"Train ID","value":"122-03"},{"id":16,"name":"Locomotive ID","value":"4021"},{"id":130,"name":"Impact","value":""},{"id":150,"name":"Time of Event (Mountain Time)","value":"07:52:06"},{"id":151,"name":"Denver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8" t="str">
        <f t="shared" si="20"/>
        <v>start /low /b %USERPROFILE%\Documents\GitHub\eaglep3\Utilities\DownloadLogsFromS3.py --loco 4021 --day 2017-02-03</v>
      </c>
      <c r="AN34" s="167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583</v>
      </c>
      <c r="B35" s="7">
        <v>4040</v>
      </c>
      <c r="C35" s="21" t="s">
        <v>193</v>
      </c>
      <c r="D35" s="21" t="s">
        <v>222</v>
      </c>
      <c r="E35" s="13">
        <v>42769.268240740741</v>
      </c>
      <c r="F35" s="13">
        <v>42769.271168981482</v>
      </c>
      <c r="G35" s="7">
        <v>2</v>
      </c>
      <c r="H35" s="21" t="s">
        <v>324</v>
      </c>
      <c r="I35" s="13">
        <v>42769.296701388892</v>
      </c>
      <c r="J35" s="7">
        <v>0</v>
      </c>
      <c r="K35" s="98" t="str">
        <f t="shared" si="0"/>
        <v>4039/4040</v>
      </c>
      <c r="L35" s="21" t="str">
        <f>VLOOKUP(A35,'Trips&amp;Operators'!$C$1:$G$99999,5,FALSE)</f>
        <v>LOZA FIDEL</v>
      </c>
      <c r="M35" s="6">
        <f t="shared" si="1"/>
        <v>2.5532407409627922E-2</v>
      </c>
      <c r="N35" s="7">
        <f t="shared" si="2"/>
        <v>36.766666669864208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-02-03T05:26:16-0700',mode:absolute,to:'2017-02-03T08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92" t="str">
        <f t="shared" si="6"/>
        <v>N</v>
      </c>
      <c r="X35" s="192">
        <f t="shared" si="7"/>
        <v>1</v>
      </c>
      <c r="Y35" s="62">
        <f t="shared" si="8"/>
        <v>4.6899999999999997E-2</v>
      </c>
      <c r="Z35" s="62">
        <f t="shared" si="9"/>
        <v>23.331700000000001</v>
      </c>
      <c r="AA35" s="62">
        <f t="shared" si="10"/>
        <v>23.284800000000001</v>
      </c>
      <c r="AB35" s="59" t="e">
        <f>VLOOKUP(A35,Enforcements!$C$7:$K$16,8,0)</f>
        <v>#N/A</v>
      </c>
      <c r="AC35" s="55" t="e">
        <f>VLOOKUP(A35,Enforcements!$C$7:$E$16,3,0)</f>
        <v>#N/A</v>
      </c>
      <c r="AD35" s="56" t="str">
        <f t="shared" si="11"/>
        <v>0123-03</v>
      </c>
      <c r="AE35" s="85" t="str">
        <f t="shared" si="12"/>
        <v>aws s3 cp s3://rtdc.mdm.uploadarchive.raw/RTDC4040/ "%USERPROFILE%\AppData\Local\Temp\OnboardLogs"\RTDC4040\2017-02-03 --exclude "*" --recursive --include "*20170203*" &amp; "%USERPROFILE%\Documents\GitHub\mrs-test-scripts\Headless Mode &amp; Sideloading\WalkAndUnGZ.bat" "%USERPROFILE%\AppData\Local\Temp\OnboardLogs"\RTDC4040\2017-02-03 &amp; 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</v>
      </c>
      <c r="AF35" s="82" t="str">
        <f t="shared" si="13"/>
        <v>"C:\Program Files (x86)\AstroGrep\AstroGrep.exe" /spath="%USERPROFILE%\AppData\Local\Temp\OnboardLogs" /stypes="app*4040*20170203*"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123-03 --locoid 4040 --swversion DE.1.0.8.0 --startMP 204:469 --initTime 2017-02-03T06:26:16 --startdatetime 2017-02-03T06:30:29 --delay 2 --endMP 204:233317 --enddatetime 2017-02-03T07:07:15 --enforcementcount 0 &gt;&gt;C:\Users\stu\Documents\GitHub\eaglep3-reporting\EC\2017-02-03-refined-times.txt</v>
      </c>
      <c r="AI35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{"issue":{"subject":"","project_id":79,"tracker_id":40,"status_id":1,"priority_id":2,"assigned_to_id":23,"start_date":"2017-02-03","description":"","custom_fields":[{"id":1,"name":"Subdivision","value":"EC"},{"id":4,"name":"Milepost","value":"23.3317"},{"id":17,"name":"Train ID","value":"123-03"},{"id":16,"name":"Locomotive ID","value":"4040"},{"id":130,"name":"Impact","value":""},{"id":150,"name":"Time of Event (Mountain Time)","value":"07:07:15"},{"id":151,"name":"Denver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8" t="str">
        <f t="shared" si="20"/>
        <v>start /low /b %USERPROFILE%\Documents\GitHub\eaglep3\Utilities\DownloadLogsFromS3.py --loco 4040 --day 2017-02-03</v>
      </c>
      <c r="AN35" s="167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"%USERPROFILE%\AppData\Local\Temp\OnboardLogs"\RTDC4040\*4040*20170203* | grep -SE "(Enforcement Action)|(\[TIMEOUT)|(CHR.+\|PRM\|1\|D.+(SWITCH|SIGNAL).+UNKNOWN)" - &gt;&gt; 2017-02-03-UncaughtWiMAX.txt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594</v>
      </c>
      <c r="B36" s="7">
        <v>4039</v>
      </c>
      <c r="C36" s="21" t="s">
        <v>193</v>
      </c>
      <c r="D36" s="21" t="s">
        <v>323</v>
      </c>
      <c r="E36" s="13">
        <v>42769.305798611109</v>
      </c>
      <c r="F36" s="13">
        <v>42769.310057870367</v>
      </c>
      <c r="G36" s="7">
        <v>2</v>
      </c>
      <c r="H36" s="21" t="s">
        <v>200</v>
      </c>
      <c r="I36" s="13">
        <v>42769.337372685186</v>
      </c>
      <c r="J36" s="7">
        <v>0</v>
      </c>
      <c r="K36" s="98" t="str">
        <f t="shared" si="0"/>
        <v>4039/4040</v>
      </c>
      <c r="L36" s="21" t="str">
        <f>VLOOKUP(A36,'Trips&amp;Operators'!$C$1:$G$99999,5,FALSE)</f>
        <v>LOZA FIDEL</v>
      </c>
      <c r="M36" s="6">
        <f t="shared" si="1"/>
        <v>2.7314814818964805E-2</v>
      </c>
      <c r="N36" s="7">
        <f t="shared" si="2"/>
        <v>39.33333333930932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-02-03T06:20:21-0700',mode:absolute,to:'2017-02-03T09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92" t="str">
        <f t="shared" si="6"/>
        <v>N</v>
      </c>
      <c r="X36" s="192">
        <f t="shared" si="7"/>
        <v>1</v>
      </c>
      <c r="Y36" s="62">
        <f t="shared" si="8"/>
        <v>23.299299999999999</v>
      </c>
      <c r="Z36" s="62">
        <f t="shared" si="9"/>
        <v>1.4500000000000001E-2</v>
      </c>
      <c r="AA36" s="62">
        <f t="shared" si="10"/>
        <v>23.284799999999997</v>
      </c>
      <c r="AB36" s="59" t="e">
        <f>VLOOKUP(A36,Enforcements!$C$7:$K$16,8,0)</f>
        <v>#N/A</v>
      </c>
      <c r="AC36" s="55" t="e">
        <f>VLOOKUP(A36,Enforcements!$C$7:$E$16,3,0)</f>
        <v>#N/A</v>
      </c>
      <c r="AD36" s="56" t="str">
        <f t="shared" si="11"/>
        <v>0124-03</v>
      </c>
      <c r="AE36" s="85" t="str">
        <f t="shared" si="12"/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AF36" s="82" t="str">
        <f t="shared" si="13"/>
        <v>"C:\Program Files (x86)\AstroGrep\AstroGrep.exe" /spath="%USERPROFILE%\AppData\Local\Temp\OnboardLogs" /stypes="app*4039*20170203*"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124-03 --locoid 4039 --swversion DE.1.0.8.0 --startMP 204:232993 --initTime 2017-02-03T07:20:21 --startdatetime 2017-02-03T07:26:29 --delay 2 --endMP 204:145 --enddatetime 2017-02-03T08:05:49 --enforcementcount 0 &gt;&gt;C:\Users\stu\Documents\GitHub\eaglep3-reporting\EC\2017-02-03-refined-times.txt</v>
      </c>
      <c r="AI36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{"issue":{"subject":"","project_id":79,"tracker_id":40,"status_id":1,"priority_id":2,"assigned_to_id":23,"start_date":"2017-02-03","description":"","custom_fields":[{"id":1,"name":"Subdivision","value":"EC"},{"id":4,"name":"Milepost","value":"0.0145"},{"id":17,"name":"Train ID","value":"124-03"},{"id":16,"name":"Locomotive ID","value":"4039"},{"id":130,"name":"Impact","value":""},{"id":150,"name":"Time of Event (Mountain Time)","value":"08:05:49"},{"id":151,"name":"Denver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8" t="str">
        <f t="shared" si="20"/>
        <v>start /low /b %USERPROFILE%\Documents\GitHub\eaglep3\Utilities\DownloadLogsFromS3.py --loco 4039 --day 2017-02-03</v>
      </c>
      <c r="AN36" s="167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"%USERPROFILE%\AppData\Local\Temp\OnboardLogs"\RTDC4039\*4039*20170203* | grep -SE "(Enforcement Action)|(\[TIMEOUT)|(CHR.+\|PRM\|1\|D.+(SWITCH|SIGNAL).+UNKNOWN)" - &gt;&gt; 2017-02-03-UncaughtWiMAX.txt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585</v>
      </c>
      <c r="B37" s="7">
        <v>4044</v>
      </c>
      <c r="C37" s="21" t="s">
        <v>193</v>
      </c>
      <c r="D37" s="21" t="s">
        <v>416</v>
      </c>
      <c r="E37" s="13">
        <v>42769.278263888889</v>
      </c>
      <c r="F37" s="13">
        <v>42769.281469907408</v>
      </c>
      <c r="G37" s="7">
        <v>1</v>
      </c>
      <c r="H37" s="21" t="s">
        <v>786</v>
      </c>
      <c r="I37" s="13">
        <v>42769.307152777779</v>
      </c>
      <c r="J37" s="7">
        <v>0</v>
      </c>
      <c r="K37" s="98" t="str">
        <f t="shared" si="0"/>
        <v>4043/4044</v>
      </c>
      <c r="L37" s="21" t="str">
        <f>VLOOKUP(A37,'Trips&amp;Operators'!$C$1:$G$99999,5,FALSE)</f>
        <v>BONDS REYNALDO</v>
      </c>
      <c r="M37" s="6">
        <f t="shared" si="1"/>
        <v>2.5682870371383615E-2</v>
      </c>
      <c r="N37" s="7">
        <f t="shared" si="2"/>
        <v>36.983333334792405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-02-03T05:40:42-0700',mode:absolute,to:'2017-02-03T08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92" t="str">
        <f t="shared" si="6"/>
        <v>N</v>
      </c>
      <c r="X37" s="192">
        <f t="shared" si="7"/>
        <v>1</v>
      </c>
      <c r="Y37" s="62">
        <f t="shared" si="8"/>
        <v>4.82E-2</v>
      </c>
      <c r="Z37" s="62">
        <f t="shared" si="9"/>
        <v>23.329499999999999</v>
      </c>
      <c r="AA37" s="62">
        <f t="shared" si="10"/>
        <v>23.281299999999998</v>
      </c>
      <c r="AB37" s="59" t="e">
        <f>VLOOKUP(A37,Enforcements!$C$7:$K$16,8,0)</f>
        <v>#N/A</v>
      </c>
      <c r="AC37" s="55" t="e">
        <f>VLOOKUP(A37,Enforcements!$C$7:$E$16,3,0)</f>
        <v>#N/A</v>
      </c>
      <c r="AD37" s="56" t="str">
        <f t="shared" si="11"/>
        <v>0125-03</v>
      </c>
      <c r="AE37" s="85" t="str">
        <f t="shared" si="12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37" s="82" t="str">
        <f t="shared" si="13"/>
        <v>"C:\Program Files (x86)\AstroGrep\AstroGrep.exe" /spath="%USERPROFILE%\AppData\Local\Temp\OnboardLogs" /stypes="app*4044*20170203*"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125-03 --locoid 4044 --swversion DE.1.0.8.0 --startMP 204:482 --initTime 2017-02-03T06:40:42 --startdatetime 2017-02-03T06:45:19 --delay 1 --endMP 204:233295 --enddatetime 2017-02-03T07:22:18 --enforcementcount 0 &gt;&gt;C:\Users\stu\Documents\GitHub\eaglep3-reporting\EC\2017-02-03-refined-times.txt</v>
      </c>
      <c r="AI37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{"issue":{"subject":"","project_id":79,"tracker_id":40,"status_id":1,"priority_id":2,"assigned_to_id":23,"start_date":"2017-02-03","description":"","custom_fields":[{"id":1,"name":"Subdivision","value":"EC"},{"id":4,"name":"Milepost","value":"23.3295"},{"id":17,"name":"Train ID","value":"125-03"},{"id":16,"name":"Locomotive ID","value":"4044"},{"id":130,"name":"Impact","value":""},{"id":150,"name":"Time of Event (Mountain Time)","value":"07:22:18"},{"id":151,"name":"Denver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8" t="str">
        <f t="shared" si="20"/>
        <v>start /low /b %USERPROFILE%\Documents\GitHub\eaglep3\Utilities\DownloadLogsFromS3.py --loco 4044 --day 2017-02-03</v>
      </c>
      <c r="AN37" s="167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"%USERPROFILE%\AppData\Local\Temp\OnboardLogs"\RTDC4044\*4044*20170203* | grep -SE "(Enforcement Action)|(\[TIMEOUT)|(CHR.+\|PRM\|1\|D.+(SWITCH|SIGNAL).+UNKNOWN)" - &gt;&gt; 2017-02-03-UncaughtWiMAX.txt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596</v>
      </c>
      <c r="B38" s="7">
        <v>4043</v>
      </c>
      <c r="C38" s="21" t="s">
        <v>193</v>
      </c>
      <c r="D38" s="21" t="s">
        <v>286</v>
      </c>
      <c r="E38" s="13">
        <v>42769.31622685185</v>
      </c>
      <c r="F38" s="13">
        <v>42769.320810185185</v>
      </c>
      <c r="G38" s="7">
        <v>1</v>
      </c>
      <c r="H38" s="21" t="s">
        <v>225</v>
      </c>
      <c r="I38" s="13">
        <v>42769.347673611112</v>
      </c>
      <c r="J38" s="7">
        <v>0</v>
      </c>
      <c r="K38" s="98" t="str">
        <f t="shared" si="0"/>
        <v>4043/4044</v>
      </c>
      <c r="L38" s="21" t="str">
        <f>VLOOKUP(A38,'Trips&amp;Operators'!$C$1:$G$99999,5,FALSE)</f>
        <v>BONDS REYNALDO</v>
      </c>
      <c r="M38" s="6">
        <f t="shared" si="1"/>
        <v>2.6863425926421769E-2</v>
      </c>
      <c r="N38" s="7">
        <f t="shared" si="2"/>
        <v>38.683333334047347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-02-03T06:35:22-0700',mode:absolute,to:'2017-02-03T09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92" t="str">
        <f t="shared" si="6"/>
        <v>N</v>
      </c>
      <c r="X38" s="192">
        <f t="shared" si="7"/>
        <v>1</v>
      </c>
      <c r="Y38" s="62">
        <f t="shared" si="8"/>
        <v>23.299399999999999</v>
      </c>
      <c r="Z38" s="62">
        <f t="shared" si="9"/>
        <v>1.54E-2</v>
      </c>
      <c r="AA38" s="62">
        <f t="shared" si="10"/>
        <v>23.283999999999999</v>
      </c>
      <c r="AB38" s="59" t="e">
        <f>VLOOKUP(A38,Enforcements!$C$7:$K$16,8,0)</f>
        <v>#N/A</v>
      </c>
      <c r="AC38" s="55" t="e">
        <f>VLOOKUP(A38,Enforcements!$C$7:$E$16,3,0)</f>
        <v>#N/A</v>
      </c>
      <c r="AD38" s="56" t="str">
        <f t="shared" si="11"/>
        <v>0126-03</v>
      </c>
      <c r="AE38" s="85" t="str">
        <f t="shared" si="12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38" s="82" t="str">
        <f t="shared" si="13"/>
        <v>"C:\Program Files (x86)\AstroGrep\AstroGrep.exe" /spath="%USERPROFILE%\AppData\Local\Temp\OnboardLogs" /stypes="app*4043*20170203*"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126-03 --locoid 4043 --swversion DE.1.0.8.0 --startMP 204:232994 --initTime 2017-02-03T07:35:22 --startdatetime 2017-02-03T07:41:58 --delay 1 --endMP 204:154 --enddatetime 2017-02-03T08:20:39 --enforcementcount 0 &gt;&gt;C:\Users\stu\Documents\GitHub\eaglep3-reporting\EC\2017-02-03-refined-times.txt</v>
      </c>
      <c r="AI38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{"issue":{"subject":"","project_id":79,"tracker_id":40,"status_id":1,"priority_id":2,"assigned_to_id":23,"start_date":"2017-02-03","description":"","custom_fields":[{"id":1,"name":"Subdivision","value":"EC"},{"id":4,"name":"Milepost","value":"0.0154"},{"id":17,"name":"Train ID","value":"126-03"},{"id":16,"name":"Locomotive ID","value":"4043"},{"id":130,"name":"Impact","value":""},{"id":150,"name":"Time of Event (Mountain Time)","value":"08:20:39"},{"id":151,"name":"Denver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8" t="str">
        <f t="shared" si="20"/>
        <v>start /low /b %USERPROFILE%\Documents\GitHub\eaglep3\Utilities\DownloadLogsFromS3.py --loco 4043 --day 2017-02-03</v>
      </c>
      <c r="AN38" s="167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"%USERPROFILE%\AppData\Local\Temp\OnboardLogs"\RTDC4043\*4043*20170203* | grep -SE "(Enforcement Action)|(\[TIMEOUT)|(CHR.+\|PRM\|1\|D.+(SWITCH|SIGNAL).+UNKNOWN)" - &gt;&gt; 2017-02-03-UncaughtWiMAX.txt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588</v>
      </c>
      <c r="B39" s="7">
        <v>4018</v>
      </c>
      <c r="C39" s="21" t="s">
        <v>193</v>
      </c>
      <c r="D39" s="21" t="s">
        <v>211</v>
      </c>
      <c r="E39" s="13">
        <v>42769.289942129632</v>
      </c>
      <c r="F39" s="13">
        <v>42769.292222222219</v>
      </c>
      <c r="G39" s="7">
        <v>1</v>
      </c>
      <c r="H39" s="21" t="s">
        <v>337</v>
      </c>
      <c r="I39" s="13">
        <v>42769.319976851853</v>
      </c>
      <c r="J39" s="7">
        <v>0</v>
      </c>
      <c r="K39" s="98" t="str">
        <f t="shared" si="0"/>
        <v>4017/4018</v>
      </c>
      <c r="L39" s="21" t="str">
        <f>VLOOKUP(A39,'Trips&amp;Operators'!$C$1:$G$99999,5,FALSE)</f>
        <v>BADERTSCHER DIANE</v>
      </c>
      <c r="M39" s="6">
        <f t="shared" si="1"/>
        <v>2.775462963472819E-2</v>
      </c>
      <c r="N39" s="7">
        <f t="shared" si="2"/>
        <v>39.966666674008593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-02-03T05:57:31-0700',mode:absolute,to:'2017-02-03T08:40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92" t="str">
        <f t="shared" si="6"/>
        <v>N</v>
      </c>
      <c r="X39" s="192">
        <f t="shared" si="7"/>
        <v>1</v>
      </c>
      <c r="Y39" s="62">
        <f t="shared" si="8"/>
        <v>4.4900000000000002E-2</v>
      </c>
      <c r="Z39" s="62">
        <f t="shared" si="9"/>
        <v>23.328099999999999</v>
      </c>
      <c r="AA39" s="62">
        <f t="shared" si="10"/>
        <v>23.283200000000001</v>
      </c>
      <c r="AB39" s="59" t="e">
        <f>VLOOKUP(A39,Enforcements!$C$7:$K$16,8,0)</f>
        <v>#N/A</v>
      </c>
      <c r="AC39" s="55" t="e">
        <f>VLOOKUP(A39,Enforcements!$C$7:$E$16,3,0)</f>
        <v>#N/A</v>
      </c>
      <c r="AD39" s="56" t="str">
        <f t="shared" si="11"/>
        <v>0127-03</v>
      </c>
      <c r="AE39" s="85" t="str">
        <f t="shared" si="12"/>
        <v>aws s3 cp s3://rtdc.mdm.uploadarchive.raw/RTDC4018/ "%USERPROFILE%\AppData\Local\Temp\OnboardLogs"\RTDC4018\2017-02-03 --exclude "*" --recursive --include "*20170203*" &amp; "%USERPROFILE%\Documents\GitHub\mrs-test-scripts\Headless Mode &amp; Sideloading\WalkAndUnGZ.bat" "%USERPROFILE%\AppData\Local\Temp\OnboardLogs"\RTDC4018\2017-02-03 &amp; aws s3 cp s3://rtdc.mdm.uploadarchive.raw/RTDC4018/ "%USERPROFILE%\AppData\Local\Temp\OnboardLogs"\RTDC4018\2017-02-04 --exclude "*" --recursive --include "*20170204*" &amp; "%USERPROFILE%\Documents\GitHub\mrs-test-scripts\Headless Mode &amp; Sideloading\WalkAndUnGZ.bat" "%USERPROFILE%\AppData\Local\Temp\OnboardLogs"\RTDC4018\2017-02-04</v>
      </c>
      <c r="AF39" s="82" t="str">
        <f t="shared" si="13"/>
        <v>"C:\Program Files (x86)\AstroGrep\AstroGrep.exe" /spath="%USERPROFILE%\AppData\Local\Temp\OnboardLogs" /stypes="app*4018*20170203*"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127-03 --locoid 4018 --swversion DE.1.0.8.0 --startMP 204:449 --initTime 2017-02-03T06:57:31 --startdatetime 2017-02-03T07:00:48 --delay 1 --endMP 204:233281 --enddatetime 2017-02-03T07:40:46 --enforcementcount 0 &gt;&gt;C:\Users\stu\Documents\GitHub\eaglep3-reporting\EC\2017-02-03-refined-times.txt</v>
      </c>
      <c r="AI39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{"issue":{"subject":"","project_id":79,"tracker_id":40,"status_id":1,"priority_id":2,"assigned_to_id":23,"start_date":"2017-02-03","description":"","custom_fields":[{"id":1,"name":"Subdivision","value":"EC"},{"id":4,"name":"Milepost","value":"23.3281"},{"id":17,"name":"Train ID","value":"127-03"},{"id":16,"name":"Locomotive ID","value":"4018"},{"id":130,"name":"Impact","value":""},{"id":150,"name":"Time of Event (Mountain Time)","value":"07:40:46"},{"id":151,"name":"Denver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8" t="str">
        <f t="shared" si="20"/>
        <v>start /low /b %USERPROFILE%\Documents\GitHub\eaglep3\Utilities\DownloadLogsFromS3.py --loco 4018 --day 2017-02-03</v>
      </c>
      <c r="AN39" s="167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"%USERPROFILE%\AppData\Local\Temp\OnboardLogs"\RTDC4018\*4018*20170203* | grep -SE "(Enforcement Action)|(\[TIMEOUT)|(CHR.+\|PRM\|1\|D.+(SWITCH|SIGNAL).+UNKNOWN)" - &gt;&gt; 2017-02-03-UncaughtWiMAX.txt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602</v>
      </c>
      <c r="B40" s="7">
        <v>4017</v>
      </c>
      <c r="C40" s="21" t="s">
        <v>193</v>
      </c>
      <c r="D40" s="21" t="s">
        <v>427</v>
      </c>
      <c r="E40" s="13">
        <v>42769.322233796294</v>
      </c>
      <c r="F40" s="13">
        <v>42769.33084490741</v>
      </c>
      <c r="G40" s="7">
        <v>1</v>
      </c>
      <c r="H40" s="21" t="s">
        <v>200</v>
      </c>
      <c r="I40" s="13">
        <v>42769.359074074076</v>
      </c>
      <c r="J40" s="7">
        <v>0</v>
      </c>
      <c r="K40" s="98" t="str">
        <f t="shared" si="0"/>
        <v>4017/4018</v>
      </c>
      <c r="L40" s="21" t="str">
        <f>VLOOKUP(A40,'Trips&amp;Operators'!$C$1:$G$99999,5,FALSE)</f>
        <v>BADERTSCHER DIANE</v>
      </c>
      <c r="M40" s="6">
        <f t="shared" si="1"/>
        <v>2.8229166666278616E-2</v>
      </c>
      <c r="N40" s="7">
        <f t="shared" si="2"/>
        <v>40.649999999441206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-02-03T06:44:01-0700',mode:absolute,to:'2017-02-03T09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92" t="str">
        <f t="shared" si="6"/>
        <v>N</v>
      </c>
      <c r="X40" s="192">
        <f t="shared" si="7"/>
        <v>1</v>
      </c>
      <c r="Y40" s="62">
        <f t="shared" si="8"/>
        <v>23.2972</v>
      </c>
      <c r="Z40" s="62">
        <f t="shared" si="9"/>
        <v>1.4500000000000001E-2</v>
      </c>
      <c r="AA40" s="62">
        <f t="shared" si="10"/>
        <v>23.282699999999998</v>
      </c>
      <c r="AB40" s="59" t="e">
        <f>VLOOKUP(A40,Enforcements!$C$7:$K$16,8,0)</f>
        <v>#N/A</v>
      </c>
      <c r="AC40" s="55" t="e">
        <f>VLOOKUP(A40,Enforcements!$C$7:$E$16,3,0)</f>
        <v>#N/A</v>
      </c>
      <c r="AD40" s="56" t="str">
        <f t="shared" si="11"/>
        <v>0128-03</v>
      </c>
      <c r="AE40" s="85" t="str">
        <f t="shared" si="12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40" s="82" t="str">
        <f t="shared" si="13"/>
        <v>"C:\Program Files (x86)\AstroGrep\AstroGrep.exe" /spath="%USERPROFILE%\AppData\Local\Temp\OnboardLogs" /stypes="app*4017*20170203*"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128-03 --locoid 4017 --swversion DE.1.0.8.0 --startMP 204:232972 --initTime 2017-02-03T07:44:01 --startdatetime 2017-02-03T07:56:25 --delay 1 --endMP 204:145 --enddatetime 2017-02-03T08:37:04 --enforcementcount 0 &gt;&gt;C:\Users\stu\Documents\GitHub\eaglep3-reporting\EC\2017-02-03-refined-times.txt</v>
      </c>
      <c r="AI40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{"issue":{"subject":"","project_id":79,"tracker_id":40,"status_id":1,"priority_id":2,"assigned_to_id":23,"start_date":"2017-02-03","description":"","custom_fields":[{"id":1,"name":"Subdivision","value":"EC"},{"id":4,"name":"Milepost","value":"0.0145"},{"id":17,"name":"Train ID","value":"128-03"},{"id":16,"name":"Locomotive ID","value":"4017"},{"id":130,"name":"Impact","value":""},{"id":150,"name":"Time of Event (Mountain Time)","value":"08:37:04"},{"id":151,"name":"Denver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8" t="str">
        <f t="shared" si="20"/>
        <v>start /low /b %USERPROFILE%\Documents\GitHub\eaglep3\Utilities\DownloadLogsFromS3.py --loco 4017 --day 2017-02-03</v>
      </c>
      <c r="AN40" s="167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"%USERPROFILE%\AppData\Local\Temp\OnboardLogs"\RTDC4017\*4017*20170203* | grep -SE "(Enforcement Action)|(\[TIMEOUT)|(CHR.+\|PRM\|1\|D.+(SWITCH|SIGNAL).+UNKNOWN)" - &gt;&gt; 2017-02-03-UncaughtWiMAX.txt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593</v>
      </c>
      <c r="B41" s="7">
        <v>4025</v>
      </c>
      <c r="C41" s="21" t="s">
        <v>193</v>
      </c>
      <c r="D41" s="21" t="s">
        <v>425</v>
      </c>
      <c r="E41" s="13">
        <v>42769.299895833334</v>
      </c>
      <c r="F41" s="13">
        <v>42769.302430555559</v>
      </c>
      <c r="G41" s="7">
        <v>1</v>
      </c>
      <c r="H41" s="21" t="s">
        <v>339</v>
      </c>
      <c r="I41" s="13">
        <v>42769.326678240737</v>
      </c>
      <c r="J41" s="7">
        <v>0</v>
      </c>
      <c r="K41" s="98" t="str">
        <f t="shared" si="0"/>
        <v>4025/4026</v>
      </c>
      <c r="L41" s="21" t="str">
        <f>VLOOKUP(A41,'Trips&amp;Operators'!$C$1:$G$99999,5,FALSE)</f>
        <v>ROCHA YAOTL</v>
      </c>
      <c r="M41" s="6">
        <f t="shared" si="1"/>
        <v>2.4247685178124812E-2</v>
      </c>
      <c r="N41" s="7">
        <f t="shared" si="2"/>
        <v>34.916666656499729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-02-03T06:11:51-0700',mode:absolute,to:'2017-02-03T08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1" s="192" t="str">
        <f t="shared" si="6"/>
        <v>N</v>
      </c>
      <c r="X41" s="192">
        <f t="shared" si="7"/>
        <v>1</v>
      </c>
      <c r="Y41" s="62">
        <f t="shared" si="8"/>
        <v>4.8800000000000003E-2</v>
      </c>
      <c r="Z41" s="62">
        <f t="shared" si="9"/>
        <v>23.327400000000001</v>
      </c>
      <c r="AA41" s="62">
        <f t="shared" si="10"/>
        <v>23.278600000000001</v>
      </c>
      <c r="AB41" s="59" t="e">
        <f>VLOOKUP(A41,Enforcements!$C$7:$K$16,8,0)</f>
        <v>#N/A</v>
      </c>
      <c r="AC41" s="55" t="e">
        <f>VLOOKUP(A41,Enforcements!$C$7:$E$16,3,0)</f>
        <v>#N/A</v>
      </c>
      <c r="AD41" s="56" t="str">
        <f t="shared" si="11"/>
        <v>0129-03</v>
      </c>
      <c r="AE41" s="85" t="str">
        <f t="shared" si="12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41" s="82" t="str">
        <f t="shared" si="13"/>
        <v>"C:\Program Files (x86)\AstroGrep\AstroGrep.exe" /spath="%USERPROFILE%\AppData\Local\Temp\OnboardLogs" /stypes="app*4025*20170203*"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129-03 --locoid 4025 --swversion DE.1.0.8.0 --startMP 204:488 --initTime 2017-02-03T07:11:51 --startdatetime 2017-02-03T07:15:30 --delay 1 --endMP 204:233274 --enddatetime 2017-02-03T07:50:25 --enforcementcount 0 &gt;&gt;C:\Users\stu\Documents\GitHub\eaglep3-reporting\EC\2017-02-03-refined-times.txt</v>
      </c>
      <c r="AI41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{"issue":{"subject":"","project_id":79,"tracker_id":40,"status_id":1,"priority_id":2,"assigned_to_id":23,"start_date":"2017-02-03","description":"","custom_fields":[{"id":1,"name":"Subdivision","value":"EC"},{"id":4,"name":"Milepost","value":"23.3274"},{"id":17,"name":"Train ID","value":"129-03"},{"id":16,"name":"Locomotive ID","value":"4025"},{"id":130,"name":"Impact","value":""},{"id":150,"name":"Time of Event (Mountain Time)","value":"07:50:25"},{"id":151,"name":"Denver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8" t="str">
        <f t="shared" si="20"/>
        <v>start /low /b %USERPROFILE%\Documents\GitHub\eaglep3\Utilities\DownloadLogsFromS3.py --loco 4025 --day 2017-02-03</v>
      </c>
      <c r="AN41" s="167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"%USERPROFILE%\AppData\Local\Temp\OnboardLogs"\RTDC4025\*4025*20170203* | grep -SE "(Enforcement Action)|(\[TIMEOUT)|(CHR.+\|PRM\|1\|D.+(SWITCH|SIGNAL).+UNKNOWN)" - &gt;&gt; 2017-02-03-UncaughtWiMAX.txt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605</v>
      </c>
      <c r="B42" s="7">
        <v>4026</v>
      </c>
      <c r="C42" s="21" t="s">
        <v>193</v>
      </c>
      <c r="D42" s="21" t="s">
        <v>787</v>
      </c>
      <c r="E42" s="13">
        <v>42769.340497685182</v>
      </c>
      <c r="F42" s="13">
        <v>42769.34175925926</v>
      </c>
      <c r="G42" s="7">
        <v>0</v>
      </c>
      <c r="H42" s="21" t="s">
        <v>308</v>
      </c>
      <c r="I42" s="13">
        <v>42769.367766203701</v>
      </c>
      <c r="J42" s="7">
        <v>0</v>
      </c>
      <c r="K42" s="98" t="str">
        <f t="shared" si="0"/>
        <v>4025/4026</v>
      </c>
      <c r="L42" s="21" t="str">
        <f>VLOOKUP(A42,'Trips&amp;Operators'!$C$1:$G$99999,5,FALSE)</f>
        <v>ROCHA YAOTL</v>
      </c>
      <c r="M42" s="6">
        <f t="shared" si="1"/>
        <v>2.6006944441178348E-2</v>
      </c>
      <c r="N42" s="7">
        <f t="shared" si="2"/>
        <v>37.449999995296821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-02-03T07:10:19-0700',mode:absolute,to:'2017-02-03T09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2" s="192" t="str">
        <f t="shared" si="6"/>
        <v>N</v>
      </c>
      <c r="X42" s="192">
        <f t="shared" si="7"/>
        <v>1</v>
      </c>
      <c r="Y42" s="62">
        <f t="shared" si="8"/>
        <v>23.296900000000001</v>
      </c>
      <c r="Z42" s="62">
        <f t="shared" si="9"/>
        <v>1.3899999999999999E-2</v>
      </c>
      <c r="AA42" s="62">
        <f t="shared" si="10"/>
        <v>23.283000000000001</v>
      </c>
      <c r="AB42" s="59" t="e">
        <f>VLOOKUP(A42,Enforcements!$C$7:$K$16,8,0)</f>
        <v>#N/A</v>
      </c>
      <c r="AC42" s="55" t="e">
        <f>VLOOKUP(A42,Enforcements!$C$7:$E$16,3,0)</f>
        <v>#N/A</v>
      </c>
      <c r="AD42" s="56" t="str">
        <f t="shared" si="11"/>
        <v>0130-03</v>
      </c>
      <c r="AE42" s="85" t="str">
        <f t="shared" si="12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42" s="82" t="str">
        <f t="shared" si="13"/>
        <v>"C:\Program Files (x86)\AstroGrep\AstroGrep.exe" /spath="%USERPROFILE%\AppData\Local\Temp\OnboardLogs" /stypes="app*4026*20170203*"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130-03 --locoid 4026 --swversion DE.1.0.8.0 --startMP 204:232969 --initTime 2017-02-03T08:10:19 --startdatetime 2017-02-03T08:12:08 --delay 0 --endMP 204:139 --enddatetime 2017-02-03T08:49:35 --enforcementcount 0 &gt;&gt;C:\Users\stu\Documents\GitHub\eaglep3-reporting\EC\2017-02-03-refined-times.txt</v>
      </c>
      <c r="AI42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{"issue":{"subject":"","project_id":79,"tracker_id":40,"status_id":1,"priority_id":2,"assigned_to_id":23,"start_date":"2017-02-03","description":"","custom_fields":[{"id":1,"name":"Subdivision","value":"EC"},{"id":4,"name":"Milepost","value":"0.0139"},{"id":17,"name":"Train ID","value":"130-03"},{"id":16,"name":"Locomotive ID","value":"4026"},{"id":130,"name":"Impact","value":""},{"id":150,"name":"Time of Event (Mountain Time)","value":"08:49:35"},{"id":151,"name":"Denver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8" t="str">
        <f t="shared" si="20"/>
        <v>start /low /b %USERPROFILE%\Documents\GitHub\eaglep3\Utilities\DownloadLogsFromS3.py --loco 4026 --day 2017-02-03</v>
      </c>
      <c r="AN42" s="167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"%USERPROFILE%\AppData\Local\Temp\OnboardLogs"\RTDC4026\*4026*20170203* | grep -SE "(Enforcement Action)|(\[TIMEOUT)|(CHR.+\|PRM\|1\|D.+(SWITCH|SIGNAL).+UNKNOWN)" - &gt;&gt; 2017-02-03-UncaughtWiMAX.txt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595</v>
      </c>
      <c r="B43" s="7">
        <v>4002</v>
      </c>
      <c r="C43" s="21" t="s">
        <v>193</v>
      </c>
      <c r="D43" s="21" t="s">
        <v>222</v>
      </c>
      <c r="E43" s="13">
        <v>42769.309571759259</v>
      </c>
      <c r="F43" s="13">
        <v>42769.312662037039</v>
      </c>
      <c r="G43" s="7">
        <v>1</v>
      </c>
      <c r="H43" s="21" t="s">
        <v>788</v>
      </c>
      <c r="I43" s="13">
        <v>42769.339814814812</v>
      </c>
      <c r="J43" s="7">
        <v>0</v>
      </c>
      <c r="K43" s="98" t="str">
        <f t="shared" si="0"/>
        <v>4001/4002</v>
      </c>
      <c r="L43" s="21" t="str">
        <f>VLOOKUP(A43,'Trips&amp;Operators'!$C$1:$G$99999,5,FALSE)</f>
        <v>DAVIS WENDY</v>
      </c>
      <c r="M43" s="6">
        <f t="shared" si="1"/>
        <v>2.7152777773153502E-2</v>
      </c>
      <c r="N43" s="7">
        <f t="shared" si="2"/>
        <v>39.099999993341044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-02-03T06:25:47-0700',mode:absolute,to:'2017-02-03T09:09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192" t="str">
        <f t="shared" si="6"/>
        <v>N</v>
      </c>
      <c r="X43" s="192">
        <f t="shared" si="7"/>
        <v>1</v>
      </c>
      <c r="Y43" s="62">
        <f t="shared" si="8"/>
        <v>4.6899999999999997E-2</v>
      </c>
      <c r="Z43" s="62">
        <f t="shared" si="9"/>
        <v>23.333100000000002</v>
      </c>
      <c r="AA43" s="62">
        <f t="shared" si="10"/>
        <v>23.286200000000001</v>
      </c>
      <c r="AB43" s="59" t="e">
        <f>VLOOKUP(A43,Enforcements!$C$7:$K$16,8,0)</f>
        <v>#N/A</v>
      </c>
      <c r="AC43" s="55" t="e">
        <f>VLOOKUP(A43,Enforcements!$C$7:$E$16,3,0)</f>
        <v>#N/A</v>
      </c>
      <c r="AD43" s="56" t="str">
        <f t="shared" si="11"/>
        <v>0131-03</v>
      </c>
      <c r="AE43" s="85" t="str">
        <f t="shared" si="12"/>
        <v>aws s3 cp s3://rtdc.mdm.uploadarchive.raw/RTDC4002/ "%USERPROFILE%\AppData\Local\Temp\OnboardLogs"\RTDC4002\2017-02-03 --exclude "*" --recursive --include "*20170203*" &amp; "%USERPROFILE%\Documents\GitHub\mrs-test-scripts\Headless Mode &amp; Sideloading\WalkAndUnGZ.bat" "%USERPROFILE%\AppData\Local\Temp\OnboardLogs"\RTDC4002\2017-02-03 &amp; aws s3 cp s3://rtdc.mdm.uploadarchive.raw/RTDC4002/ "%USERPROFILE%\AppData\Local\Temp\OnboardLogs"\RTDC4002\2017-02-04 --exclude "*" --recursive --include "*20170204*" &amp; "%USERPROFILE%\Documents\GitHub\mrs-test-scripts\Headless Mode &amp; Sideloading\WalkAndUnGZ.bat" "%USERPROFILE%\AppData\Local\Temp\OnboardLogs"\RTDC4002\2017-02-04</v>
      </c>
      <c r="AF43" s="82" t="str">
        <f t="shared" si="13"/>
        <v>"C:\Program Files (x86)\AstroGrep\AstroGrep.exe" /spath="%USERPROFILE%\AppData\Local\Temp\OnboardLogs" /stypes="app*4002*20170203*"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131-03 --locoid 4002 --swversion DE.1.0.8.0 --startMP 204:469 --initTime 2017-02-03T07:25:47 --startdatetime 2017-02-03T07:30:14 --delay 1 --endMP 204:233331 --enddatetime 2017-02-03T08:09:20 --enforcementcount 0 &gt;&gt;C:\Users\stu\Documents\GitHub\eaglep3-reporting\EC\2017-02-03-refined-times.txt</v>
      </c>
      <c r="AI43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{"issue":{"subject":"","project_id":79,"tracker_id":40,"status_id":1,"priority_id":2,"assigned_to_id":23,"start_date":"2017-02-03","description":"","custom_fields":[{"id":1,"name":"Subdivision","value":"EC"},{"id":4,"name":"Milepost","value":"23.3331"},{"id":17,"name":"Train ID","value":"131-03"},{"id":16,"name":"Locomotive ID","value":"4002"},{"id":130,"name":"Impact","value":""},{"id":150,"name":"Time of Event (Mountain Time)","value":"08:09:20"},{"id":151,"name":"Denver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8" t="str">
        <f t="shared" si="20"/>
        <v>start /low /b %USERPROFILE%\Documents\GitHub\eaglep3\Utilities\DownloadLogsFromS3.py --loco 4002 --day 2017-02-03</v>
      </c>
      <c r="AN43" s="167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"%USERPROFILE%\AppData\Local\Temp\OnboardLogs"\RTDC4002\*4002*20170203* | grep -SE "(Enforcement Action)|(\[TIMEOUT)|(CHR.+\|PRM\|1\|D.+(SWITCH|SIGNAL).+UNKNOWN)" - &gt;&gt; 2017-02-03-UncaughtWiMAX.txt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535</v>
      </c>
      <c r="B44" s="7">
        <v>4001</v>
      </c>
      <c r="C44" s="21" t="s">
        <v>193</v>
      </c>
      <c r="D44" s="21" t="s">
        <v>372</v>
      </c>
      <c r="E44" s="13">
        <v>42769.348645833335</v>
      </c>
      <c r="F44" s="13">
        <v>42769.351574074077</v>
      </c>
      <c r="G44" s="7">
        <v>1</v>
      </c>
      <c r="H44" s="21" t="s">
        <v>225</v>
      </c>
      <c r="I44" s="13">
        <v>42769.378530092596</v>
      </c>
      <c r="J44" s="7">
        <v>1</v>
      </c>
      <c r="K44" s="98" t="str">
        <f t="shared" si="0"/>
        <v>4001/4002</v>
      </c>
      <c r="L44" s="21" t="str">
        <f>VLOOKUP(A44,'Trips&amp;Operators'!$C$1:$G$99999,5,FALSE)</f>
        <v>DAVIS WENDY</v>
      </c>
      <c r="M44" s="6">
        <f t="shared" si="1"/>
        <v>2.6956018518831115E-2</v>
      </c>
      <c r="N44" s="7">
        <f t="shared" si="2"/>
        <v>38.816666667116806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-02-03T07:22:03-0700',mode:absolute,to:'2017-02-03T10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192" t="str">
        <f t="shared" si="6"/>
        <v>N</v>
      </c>
      <c r="X44" s="192">
        <f t="shared" si="7"/>
        <v>1</v>
      </c>
      <c r="Y44" s="62">
        <f t="shared" si="8"/>
        <v>23.3004</v>
      </c>
      <c r="Z44" s="62">
        <f t="shared" si="9"/>
        <v>1.54E-2</v>
      </c>
      <c r="AA44" s="62">
        <f t="shared" si="10"/>
        <v>23.285</v>
      </c>
      <c r="AB44" s="59" t="e">
        <f>VLOOKUP(A44,Enforcements!$C$7:$K$16,8,0)</f>
        <v>#N/A</v>
      </c>
      <c r="AC44" s="55" t="e">
        <f>VLOOKUP(A44,Enforcements!$C$7:$E$16,3,0)</f>
        <v>#N/A</v>
      </c>
      <c r="AD44" s="56" t="str">
        <f t="shared" si="11"/>
        <v>0132-03</v>
      </c>
      <c r="AE44" s="85" t="str">
        <f t="shared" si="12"/>
        <v>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 &amp; aws s3 cp s3://rtdc.mdm.uploadarchive.raw/RTDC4001/ "%USERPROFILE%\AppData\Local\Temp\OnboardLogs"\RTDC4001\2017-02-04 --exclude "*" --recursive --include "*20170204*" &amp; "%USERPROFILE%\Documents\GitHub\mrs-test-scripts\Headless Mode &amp; Sideloading\WalkAndUnGZ.bat" "%USERPROFILE%\AppData\Local\Temp\OnboardLogs"\RTDC4001\2017-02-04</v>
      </c>
      <c r="AF44" s="82" t="str">
        <f t="shared" si="13"/>
        <v>"C:\Program Files (x86)\AstroGrep\AstroGrep.exe" /spath="%USERPROFILE%\AppData\Local\Temp\OnboardLogs" /stypes="app*4001*20170203*"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132-03 --locoid 4001 --swversion DE.1.0.8.0 --startMP 204:233004 --initTime 2017-02-03T08:22:03 --startdatetime 2017-02-03T08:26:16 --delay 1 --endMP 204:154 --enddatetime 2017-02-03T09:05:05 --enforcementcount 1 &gt;&gt;C:\Users\stu\Documents\GitHub\eaglep3-reporting\EC\2017-02-03-refined-times.txt</v>
      </c>
      <c r="AI44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{"issue":{"subject":"","project_id":79,"tracker_id":40,"status_id":1,"priority_id":2,"assigned_to_id":23,"start_date":"2017-02-03","description":"","custom_fields":[{"id":1,"name":"Subdivision","value":"EC"},{"id":4,"name":"Milepost","value":"0.0154"},{"id":17,"name":"Train ID","value":"132-03"},{"id":16,"name":"Locomotive ID","value":"4001"},{"id":130,"name":"Impact","value":""},{"id":150,"name":"Time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8" t="str">
        <f t="shared" si="20"/>
        <v>start /low /b %USERPROFILE%\Documents\GitHub\eaglep3\Utilities\DownloadLogsFromS3.py --loco 4001 --day 2017-02-03</v>
      </c>
      <c r="AN44" s="167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"%USERPROFILE%\AppData\Local\Temp\OnboardLogs"\RTDC4001\*4001*20170203* | grep -SE "(Enforcement Action)|(\[TIMEOUT)|(CHR.+\|PRM\|1\|D.+(SWITCH|SIGNAL).+UNKNOWN)" - &gt;&gt; 2017-02-03-UncaughtWiMAX.txt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598</v>
      </c>
      <c r="B45" s="7">
        <v>4031</v>
      </c>
      <c r="C45" s="21" t="s">
        <v>193</v>
      </c>
      <c r="D45" s="21" t="s">
        <v>409</v>
      </c>
      <c r="E45" s="13">
        <v>42769.318159722221</v>
      </c>
      <c r="F45" s="13">
        <v>42769.323067129626</v>
      </c>
      <c r="G45" s="7">
        <v>1</v>
      </c>
      <c r="H45" s="21" t="s">
        <v>366</v>
      </c>
      <c r="I45" s="13">
        <v>42769.347708333335</v>
      </c>
      <c r="J45" s="7">
        <v>0</v>
      </c>
      <c r="K45" s="98" t="str">
        <f t="shared" si="0"/>
        <v>4031/4032</v>
      </c>
      <c r="L45" s="21" t="str">
        <f>VLOOKUP(A45,'Trips&amp;Operators'!$C$1:$G$99999,5,FALSE)</f>
        <v>ROBINSON KADDIBA</v>
      </c>
      <c r="M45" s="6">
        <f t="shared" si="1"/>
        <v>2.4641203708597459E-2</v>
      </c>
      <c r="N45" s="7">
        <f t="shared" si="2"/>
        <v>35.483333340380341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-02-03T06:38:09-0700',mode:absolute,to:'2017-02-03T09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5" s="192" t="str">
        <f t="shared" si="6"/>
        <v>N</v>
      </c>
      <c r="X45" s="192">
        <f t="shared" si="7"/>
        <v>1</v>
      </c>
      <c r="Y45" s="62">
        <f t="shared" si="8"/>
        <v>4.6399999999999997E-2</v>
      </c>
      <c r="Z45" s="62">
        <f t="shared" si="9"/>
        <v>23.3293</v>
      </c>
      <c r="AA45" s="62">
        <f t="shared" si="10"/>
        <v>23.282900000000001</v>
      </c>
      <c r="AB45" s="59" t="e">
        <f>VLOOKUP(A45,Enforcements!$C$7:$K$16,8,0)</f>
        <v>#N/A</v>
      </c>
      <c r="AC45" s="55" t="e">
        <f>VLOOKUP(A45,Enforcements!$C$7:$E$16,3,0)</f>
        <v>#N/A</v>
      </c>
      <c r="AD45" s="56" t="str">
        <f t="shared" si="11"/>
        <v>0133-03</v>
      </c>
      <c r="AE45" s="85" t="str">
        <f t="shared" si="12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45" s="82" t="str">
        <f t="shared" si="13"/>
        <v>"C:\Program Files (x86)\AstroGrep\AstroGrep.exe" /spath="%USERPROFILE%\AppData\Local\Temp\OnboardLogs" /stypes="app*4031*20170203*"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133-03 --locoid 4031 --swversion DE.1.0.8.0 --startMP 204:464 --initTime 2017-02-03T07:38:09 --startdatetime 2017-02-03T07:45:13 --delay 1 --endMP 204:233293 --enddatetime 2017-02-03T08:20:42 --enforcementcount 0 &gt;&gt;C:\Users\stu\Documents\GitHub\eaglep3-reporting\EC\2017-02-03-refined-times.txt</v>
      </c>
      <c r="AI45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{"issue":{"subject":"","project_id":79,"tracker_id":40,"status_id":1,"priority_id":2,"assigned_to_id":23,"start_date":"2017-02-03","description":"","custom_fields":[{"id":1,"name":"Subdivision","value":"EC"},{"id":4,"name":"Milepost","value":"23.3293"},{"id":17,"name":"Train ID","value":"133-03"},{"id":16,"name":"Locomotive ID","value":"4031"},{"id":130,"name":"Impact","value":""},{"id":150,"name":"Time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8" t="str">
        <f t="shared" si="20"/>
        <v>start /low /b %USERPROFILE%\Documents\GitHub\eaglep3\Utilities\DownloadLogsFromS3.py --loco 4031 --day 2017-02-03</v>
      </c>
      <c r="AN45" s="167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"%USERPROFILE%\AppData\Local\Temp\OnboardLogs"\RTDC4031\*4031*20170203* | grep -SE "(Enforcement Action)|(\[TIMEOUT)|(CHR.+\|PRM\|1\|D.+(SWITCH|SIGNAL).+UNKNOWN)" - &gt;&gt; 2017-02-03-UncaughtWiMAX.txt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607</v>
      </c>
      <c r="B46" s="7">
        <v>4032</v>
      </c>
      <c r="C46" s="21" t="s">
        <v>193</v>
      </c>
      <c r="D46" s="21" t="s">
        <v>369</v>
      </c>
      <c r="E46" s="13">
        <v>42769.355613425927</v>
      </c>
      <c r="F46" s="13">
        <v>42769.361990740741</v>
      </c>
      <c r="G46" s="7">
        <v>1</v>
      </c>
      <c r="H46" s="21" t="s">
        <v>237</v>
      </c>
      <c r="I46" s="13">
        <v>42769.388865740744</v>
      </c>
      <c r="J46" s="7">
        <v>0</v>
      </c>
      <c r="K46" s="98" t="str">
        <f t="shared" si="0"/>
        <v>4031/4032</v>
      </c>
      <c r="L46" s="21" t="str">
        <f>VLOOKUP(A46,'Trips&amp;Operators'!$C$1:$G$99999,5,FALSE)</f>
        <v>ROBINSON KADDIBA</v>
      </c>
      <c r="M46" s="6">
        <f t="shared" si="1"/>
        <v>2.6875000003201421E-2</v>
      </c>
      <c r="N46" s="7">
        <f t="shared" si="2"/>
        <v>38.700000004610047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-02-03T07:32:05-0700',mode:absolute,to:'2017-02-03T10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6" s="192" t="str">
        <f t="shared" si="6"/>
        <v>N</v>
      </c>
      <c r="X46" s="192">
        <f t="shared" si="7"/>
        <v>1</v>
      </c>
      <c r="Y46" s="62">
        <f t="shared" si="8"/>
        <v>23.297999999999998</v>
      </c>
      <c r="Z46" s="62">
        <f t="shared" si="9"/>
        <v>1.43E-2</v>
      </c>
      <c r="AA46" s="62">
        <f t="shared" si="10"/>
        <v>23.2837</v>
      </c>
      <c r="AB46" s="59" t="e">
        <f>VLOOKUP(A46,Enforcements!$C$7:$K$16,8,0)</f>
        <v>#N/A</v>
      </c>
      <c r="AC46" s="55" t="e">
        <f>VLOOKUP(A46,Enforcements!$C$7:$E$16,3,0)</f>
        <v>#N/A</v>
      </c>
      <c r="AD46" s="56" t="str">
        <f t="shared" si="11"/>
        <v>0134-03</v>
      </c>
      <c r="AE46" s="85" t="str">
        <f t="shared" si="12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46" s="82" t="str">
        <f t="shared" si="13"/>
        <v>"C:\Program Files (x86)\AstroGrep\AstroGrep.exe" /spath="%USERPROFILE%\AppData\Local\Temp\OnboardLogs" /stypes="app*4032*20170203*"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134-03 --locoid 4032 --swversion DE.1.0.8.0 --startMP 204:232980 --initTime 2017-02-03T08:32:05 --startdatetime 2017-02-03T08:41:16 --delay 1 --endMP 204:143 --enddatetime 2017-02-03T09:19:58 --enforcementcount 0 &gt;&gt;C:\Users\stu\Documents\GitHub\eaglep3-reporting\EC\2017-02-03-refined-times.txt</v>
      </c>
      <c r="AI46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{"issue":{"subject":"","project_id":79,"tracker_id":40,"status_id":1,"priority_id":2,"assigned_to_id":23,"start_date":"2017-02-03","description":"","custom_fields":[{"id":1,"name":"Subdivision","value":"EC"},{"id":4,"name":"Milepost","value":"0.0143"},{"id":17,"name":"Train ID","value":"134-03"},{"id":16,"name":"Locomotive ID","value":"4032"},{"id":130,"name":"Impact","value":""},{"id":150,"name":"Time of Event (Mountain Time)","value":"09:19:58"},{"id":151,"name":"Denver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8" t="str">
        <f t="shared" si="20"/>
        <v>start /low /b %USERPROFILE%\Documents\GitHub\eaglep3\Utilities\DownloadLogsFromS3.py --loco 4032 --day 2017-02-03</v>
      </c>
      <c r="AN46" s="167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"%USERPROFILE%\AppData\Local\Temp\OnboardLogs"\RTDC4032\*4032*20170203* | grep -SE "(Enforcement Action)|(\[TIMEOUT)|(CHR.+\|PRM\|1\|D.+(SWITCH|SIGNAL).+UNKNOWN)" - &gt;&gt; 2017-02-03-UncaughtWiMAX.txt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603</v>
      </c>
      <c r="B47" s="7">
        <v>4022</v>
      </c>
      <c r="C47" s="21" t="s">
        <v>193</v>
      </c>
      <c r="D47" s="21" t="s">
        <v>211</v>
      </c>
      <c r="E47" s="13">
        <v>42769.331273148149</v>
      </c>
      <c r="F47" s="13">
        <v>42769.333495370367</v>
      </c>
      <c r="G47" s="7">
        <v>2</v>
      </c>
      <c r="H47" s="21" t="s">
        <v>368</v>
      </c>
      <c r="I47" s="13">
        <v>42769.359340277777</v>
      </c>
      <c r="J47" s="7">
        <v>0</v>
      </c>
      <c r="K47" s="98" t="str">
        <f t="shared" si="0"/>
        <v>4021/4022</v>
      </c>
      <c r="L47" s="21" t="str">
        <f>VLOOKUP(A47,'Trips&amp;Operators'!$C$1:$G$99999,5,FALSE)</f>
        <v>STARKS ANGELINA</v>
      </c>
      <c r="M47" s="6">
        <f t="shared" si="1"/>
        <v>2.584490740991896E-2</v>
      </c>
      <c r="N47" s="7">
        <f t="shared" si="2"/>
        <v>37.216666670283303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-02-03T06:57:02-0700',mode:absolute,to:'2017-02-03T09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192" t="str">
        <f t="shared" si="6"/>
        <v>N</v>
      </c>
      <c r="X47" s="192">
        <f t="shared" si="7"/>
        <v>1</v>
      </c>
      <c r="Y47" s="62">
        <f t="shared" si="8"/>
        <v>4.4900000000000002E-2</v>
      </c>
      <c r="Z47" s="62">
        <f t="shared" si="9"/>
        <v>23.332100000000001</v>
      </c>
      <c r="AA47" s="62">
        <f t="shared" si="10"/>
        <v>23.287200000000002</v>
      </c>
      <c r="AB47" s="59" t="e">
        <f>VLOOKUP(A47,Enforcements!$C$7:$K$16,8,0)</f>
        <v>#N/A</v>
      </c>
      <c r="AC47" s="55" t="e">
        <f>VLOOKUP(A47,Enforcements!$C$7:$E$16,3,0)</f>
        <v>#N/A</v>
      </c>
      <c r="AD47" s="56" t="str">
        <f t="shared" si="11"/>
        <v>0135-03</v>
      </c>
      <c r="AE47" s="85" t="str">
        <f t="shared" si="12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47" s="82" t="str">
        <f t="shared" si="13"/>
        <v>"C:\Program Files (x86)\AstroGrep\AstroGrep.exe" /spath="%USERPROFILE%\AppData\Local\Temp\OnboardLogs" /stypes="app*4022*20170203*"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135-03 --locoid 4022 --swversion DE.1.0.8.0 --startMP 204:449 --initTime 2017-02-03T07:57:02 --startdatetime 2017-02-03T08:00:14 --delay 2 --endMP 204:233321 --enddatetime 2017-02-03T08:37:27 --enforcementcount 0 &gt;&gt;C:\Users\stu\Documents\GitHub\eaglep3-reporting\EC\2017-02-03-refined-times.txt</v>
      </c>
      <c r="AI47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{"issue":{"subject":"","project_id":79,"tracker_id":40,"status_id":1,"priority_id":2,"assigned_to_id":23,"start_date":"2017-02-03","description":"","custom_fields":[{"id":1,"name":"Subdivision","value":"EC"},{"id":4,"name":"Milepost","value":"23.3321"},{"id":17,"name":"Train ID","value":"135-03"},{"id":16,"name":"Locomotive ID","value":"4022"},{"id":130,"name":"Impact","value":""},{"id":150,"name":"Time of Event (Mountain Time)","value":"08:37:27"},{"id":151,"name":"Denver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8" t="str">
        <f t="shared" si="20"/>
        <v>start /low /b %USERPROFILE%\Documents\GitHub\eaglep3\Utilities\DownloadLogsFromS3.py --loco 4022 --day 2017-02-03</v>
      </c>
      <c r="AN47" s="167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"%USERPROFILE%\AppData\Local\Temp\OnboardLogs"\RTDC4022\*4022*20170203* | grep -SE "(Enforcement Action)|(\[TIMEOUT)|(CHR.+\|PRM\|1\|D.+(SWITCH|SIGNAL).+UNKNOWN)" - &gt;&gt; 2017-02-03-UncaughtWiMAX.txt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611</v>
      </c>
      <c r="B48" s="7">
        <v>4021</v>
      </c>
      <c r="C48" s="21" t="s">
        <v>193</v>
      </c>
      <c r="D48" s="21" t="s">
        <v>376</v>
      </c>
      <c r="E48" s="13">
        <v>42769.370509259257</v>
      </c>
      <c r="F48" s="13">
        <v>42769.372615740744</v>
      </c>
      <c r="G48" s="7">
        <v>1</v>
      </c>
      <c r="H48" s="21" t="s">
        <v>789</v>
      </c>
      <c r="I48" s="13">
        <v>42769.400717592594</v>
      </c>
      <c r="J48" s="7">
        <v>0</v>
      </c>
      <c r="K48" s="98" t="str">
        <f t="shared" si="0"/>
        <v>4021/4022</v>
      </c>
      <c r="L48" s="21" t="str">
        <f>VLOOKUP(A48,'Trips&amp;Operators'!$C$1:$G$99999,5,FALSE)</f>
        <v>STARKS ANGELINA</v>
      </c>
      <c r="M48" s="6">
        <f t="shared" si="1"/>
        <v>2.810185185080627E-2</v>
      </c>
      <c r="N48" s="7">
        <f t="shared" si="2"/>
        <v>40.466666665161029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-02-03T07:53:32-0700',mode:absolute,to:'2017-02-03T10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192" t="str">
        <f t="shared" si="6"/>
        <v>N</v>
      </c>
      <c r="X48" s="192">
        <f t="shared" si="7"/>
        <v>1</v>
      </c>
      <c r="Y48" s="62">
        <f t="shared" si="8"/>
        <v>23.299600000000002</v>
      </c>
      <c r="Z48" s="62">
        <f t="shared" si="9"/>
        <v>1.61E-2</v>
      </c>
      <c r="AA48" s="62">
        <f t="shared" si="10"/>
        <v>23.2835</v>
      </c>
      <c r="AB48" s="59" t="e">
        <f>VLOOKUP(A48,Enforcements!$C$7:$K$16,8,0)</f>
        <v>#N/A</v>
      </c>
      <c r="AC48" s="55" t="e">
        <f>VLOOKUP(A48,Enforcements!$C$7:$E$16,3,0)</f>
        <v>#N/A</v>
      </c>
      <c r="AD48" s="56" t="str">
        <f t="shared" si="11"/>
        <v>0136-03</v>
      </c>
      <c r="AE48" s="85" t="str">
        <f t="shared" si="12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48" s="82" t="str">
        <f t="shared" si="13"/>
        <v>"C:\Program Files (x86)\AstroGrep\AstroGrep.exe" /spath="%USERPROFILE%\AppData\Local\Temp\OnboardLogs" /stypes="app*4021*20170203*"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136-03 --locoid 4021 --swversion DE.1.0.8.0 --startMP 204:232996 --initTime 2017-02-03T08:53:32 --startdatetime 2017-02-03T08:56:34 --delay 1 --endMP 204:161 --enddatetime 2017-02-03T09:37:02 --enforcementcount 0 &gt;&gt;C:\Users\stu\Documents\GitHub\eaglep3-reporting\EC\2017-02-03-refined-times.txt</v>
      </c>
      <c r="AI48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{"issue":{"subject":"","project_id":79,"tracker_id":40,"status_id":1,"priority_id":2,"assigned_to_id":23,"start_date":"2017-02-03","description":"","custom_fields":[{"id":1,"name":"Subdivision","value":"EC"},{"id":4,"name":"Milepost","value":"0.0161"},{"id":17,"name":"Train ID","value":"136-03"},{"id":16,"name":"Locomotive ID","value":"4021"},{"id":130,"name":"Impact","value":""},{"id":150,"name":"Time of Event (Mountain Time)","value":"09:37:02"},{"id":151,"name":"Denver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8" t="str">
        <f t="shared" si="20"/>
        <v>start /low /b %USERPROFILE%\Documents\GitHub\eaglep3\Utilities\DownloadLogsFromS3.py --loco 4021 --day 2017-02-03</v>
      </c>
      <c r="AN48" s="167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606</v>
      </c>
      <c r="B49" s="7">
        <v>4040</v>
      </c>
      <c r="C49" s="21" t="s">
        <v>193</v>
      </c>
      <c r="D49" s="21" t="s">
        <v>275</v>
      </c>
      <c r="E49" s="13">
        <v>42769.340671296297</v>
      </c>
      <c r="F49" s="13">
        <v>42769.344201388885</v>
      </c>
      <c r="G49" s="7">
        <v>2</v>
      </c>
      <c r="H49" s="21" t="s">
        <v>289</v>
      </c>
      <c r="I49" s="13">
        <v>42769.368414351855</v>
      </c>
      <c r="J49" s="7">
        <v>0</v>
      </c>
      <c r="K49" s="98" t="str">
        <f t="shared" si="0"/>
        <v>4039/4040</v>
      </c>
      <c r="L49" s="21" t="str">
        <f>VLOOKUP(A49,'Trips&amp;Operators'!$C$1:$G$99999,5,FALSE)</f>
        <v>LOZA FIDEL</v>
      </c>
      <c r="M49" s="6">
        <f t="shared" si="1"/>
        <v>2.4212962969613727E-2</v>
      </c>
      <c r="N49" s="7">
        <f t="shared" si="2"/>
        <v>34.866666676243767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-02-03T07:10:34-0700',mode:absolute,to:'2017-02-03T09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92" t="str">
        <f t="shared" si="6"/>
        <v>N</v>
      </c>
      <c r="X49" s="192">
        <f t="shared" si="7"/>
        <v>1</v>
      </c>
      <c r="Y49" s="62">
        <f t="shared" si="8"/>
        <v>4.53E-2</v>
      </c>
      <c r="Z49" s="62">
        <f t="shared" si="9"/>
        <v>23.3307</v>
      </c>
      <c r="AA49" s="62">
        <f t="shared" si="10"/>
        <v>23.285399999999999</v>
      </c>
      <c r="AB49" s="59" t="e">
        <f>VLOOKUP(A49,Enforcements!$C$7:$K$16,8,0)</f>
        <v>#N/A</v>
      </c>
      <c r="AC49" s="55" t="e">
        <f>VLOOKUP(A49,Enforcements!$C$7:$E$16,3,0)</f>
        <v>#N/A</v>
      </c>
      <c r="AD49" s="56" t="str">
        <f t="shared" si="11"/>
        <v>0137-03</v>
      </c>
      <c r="AE49" s="85" t="str">
        <f t="shared" si="12"/>
        <v>aws s3 cp s3://rtdc.mdm.uploadarchive.raw/RTDC4040/ "%USERPROFILE%\AppData\Local\Temp\OnboardLogs"\RTDC4040\2017-02-03 --exclude "*" --recursive --include "*20170203*" &amp; "%USERPROFILE%\Documents\GitHub\mrs-test-scripts\Headless Mode &amp; Sideloading\WalkAndUnGZ.bat" "%USERPROFILE%\AppData\Local\Temp\OnboardLogs"\RTDC4040\2017-02-03 &amp; 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</v>
      </c>
      <c r="AF49" s="82" t="str">
        <f t="shared" si="13"/>
        <v>"C:\Program Files (x86)\AstroGrep\AstroGrep.exe" /spath="%USERPROFILE%\AppData\Local\Temp\OnboardLogs" /stypes="app*4040*20170203*"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137-03 --locoid 4040 --swversion DE.1.0.8.0 --startMP 204:453 --initTime 2017-02-03T08:10:34 --startdatetime 2017-02-03T08:15:39 --delay 2 --endMP 204:233307 --enddatetime 2017-02-03T08:50:31 --enforcementcount 0 &gt;&gt;C:\Users\stu\Documents\GitHub\eaglep3-reporting\EC\2017-02-03-refined-times.txt</v>
      </c>
      <c r="AI49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{"issue":{"subject":"","project_id":79,"tracker_id":40,"status_id":1,"priority_id":2,"assigned_to_id":23,"start_date":"2017-02-03","description":"","custom_fields":[{"id":1,"name":"Subdivision","value":"EC"},{"id":4,"name":"Milepost","value":"23.3307"},{"id":17,"name":"Train ID","value":"137-03"},{"id":16,"name":"Locomotive ID","value":"4040"},{"id":130,"name":"Impact","value":""},{"id":150,"name":"Time of Event (Mountain Time)","value":"08:50:31"},{"id":151,"name":"Denver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8" t="str">
        <f t="shared" si="20"/>
        <v>start /low /b %USERPROFILE%\Documents\GitHub\eaglep3\Utilities\DownloadLogsFromS3.py --loco 4040 --day 2017-02-03</v>
      </c>
      <c r="AN49" s="167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"%USERPROFILE%\AppData\Local\Temp\OnboardLogs"\RTDC4040\*4040*20170203* | grep -SE "(Enforcement Action)|(\[TIMEOUT)|(CHR.+\|PRM\|1\|D.+(SWITCH|SIGNAL).+UNKNOWN)" - &gt;&gt; 2017-02-03-UncaughtWiMAX.txt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614</v>
      </c>
      <c r="B50" s="7">
        <v>4039</v>
      </c>
      <c r="C50" s="21" t="s">
        <v>193</v>
      </c>
      <c r="D50" s="21" t="s">
        <v>333</v>
      </c>
      <c r="E50" s="13">
        <v>42769.378275462965</v>
      </c>
      <c r="F50" s="13">
        <v>42769.383032407408</v>
      </c>
      <c r="G50" s="7">
        <v>2</v>
      </c>
      <c r="H50" s="21" t="s">
        <v>290</v>
      </c>
      <c r="I50" s="13">
        <v>42769.409571759257</v>
      </c>
      <c r="J50" s="7">
        <v>0</v>
      </c>
      <c r="K50" s="98" t="str">
        <f t="shared" si="0"/>
        <v>4039/4040</v>
      </c>
      <c r="L50" s="21" t="str">
        <f>VLOOKUP(A50,'Trips&amp;Operators'!$C$1:$G$99999,5,FALSE)</f>
        <v>LOZA FIDEL</v>
      </c>
      <c r="M50" s="6">
        <f t="shared" si="1"/>
        <v>2.6539351849351078E-2</v>
      </c>
      <c r="N50" s="7">
        <f t="shared" si="2"/>
        <v>38.216666663065553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-02-03T08:04:43-0700',mode:absolute,to:'2017-02-03T10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92" t="str">
        <f t="shared" si="6"/>
        <v>N</v>
      </c>
      <c r="X50" s="192">
        <f t="shared" si="7"/>
        <v>1</v>
      </c>
      <c r="Y50" s="62">
        <f t="shared" si="8"/>
        <v>23.2986</v>
      </c>
      <c r="Z50" s="62">
        <f t="shared" si="9"/>
        <v>1.5599999999999999E-2</v>
      </c>
      <c r="AA50" s="62">
        <f t="shared" si="10"/>
        <v>23.283000000000001</v>
      </c>
      <c r="AB50" s="59" t="e">
        <f>VLOOKUP(A50,Enforcements!$C$7:$K$16,8,0)</f>
        <v>#N/A</v>
      </c>
      <c r="AC50" s="55" t="e">
        <f>VLOOKUP(A50,Enforcements!$C$7:$E$16,3,0)</f>
        <v>#N/A</v>
      </c>
      <c r="AD50" s="56" t="str">
        <f t="shared" si="11"/>
        <v>0138-03</v>
      </c>
      <c r="AE50" s="85" t="str">
        <f t="shared" si="12"/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AF50" s="82" t="str">
        <f t="shared" si="13"/>
        <v>"C:\Program Files (x86)\AstroGrep\AstroGrep.exe" /spath="%USERPROFILE%\AppData\Local\Temp\OnboardLogs" /stypes="app*4039*20170203*"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138-03 --locoid 4039 --swversion DE.1.0.8.0 --startMP 204:232986 --initTime 2017-02-03T09:04:43 --startdatetime 2017-02-03T09:11:34 --delay 2 --endMP 204:156 --enddatetime 2017-02-03T09:49:47 --enforcementcount 0 &gt;&gt;C:\Users\stu\Documents\GitHub\eaglep3-reporting\EC\2017-02-03-refined-times.txt</v>
      </c>
      <c r="AI50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{"issue":{"subject":"","project_id":79,"tracker_id":40,"status_id":1,"priority_id":2,"assigned_to_id":23,"start_date":"2017-02-03","description":"","custom_fields":[{"id":1,"name":"Subdivision","value":"EC"},{"id":4,"name":"Milepost","value":"0.0156"},{"id":17,"name":"Train ID","value":"138-03"},{"id":16,"name":"Locomotive ID","value":"4039"},{"id":130,"name":"Impact","value":""},{"id":150,"name":"Time of Event (Mountain Time)","value":"09:49:47"},{"id":151,"name":"Denver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8" t="str">
        <f t="shared" si="20"/>
        <v>start /low /b %USERPROFILE%\Documents\GitHub\eaglep3\Utilities\DownloadLogsFromS3.py --loco 4039 --day 2017-02-03</v>
      </c>
      <c r="AN50" s="167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"%USERPROFILE%\AppData\Local\Temp\OnboardLogs"\RTDC4039\*4039*20170203* | grep -SE "(Enforcement Action)|(\[TIMEOUT)|(CHR.+\|PRM\|1\|D.+(SWITCH|SIGNAL).+UNKNOWN)" - &gt;&gt; 2017-02-03-UncaughtWiMAX.txt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537</v>
      </c>
      <c r="B51" s="7">
        <v>4044</v>
      </c>
      <c r="C51" s="21" t="s">
        <v>193</v>
      </c>
      <c r="D51" s="21" t="s">
        <v>222</v>
      </c>
      <c r="E51" s="13">
        <v>42769.349629629629</v>
      </c>
      <c r="F51" s="13">
        <v>42769.354432870372</v>
      </c>
      <c r="G51" s="7">
        <v>1</v>
      </c>
      <c r="H51" s="21" t="s">
        <v>790</v>
      </c>
      <c r="I51" s="13">
        <v>42769.381261574075</v>
      </c>
      <c r="J51" s="7">
        <v>1</v>
      </c>
      <c r="K51" s="98" t="str">
        <f t="shared" si="0"/>
        <v>4043/4044</v>
      </c>
      <c r="L51" s="21" t="str">
        <f>VLOOKUP(A51,'Trips&amp;Operators'!$C$1:$G$99999,5,FALSE)</f>
        <v>BONDS REYNALDO</v>
      </c>
      <c r="M51" s="6">
        <f t="shared" si="1"/>
        <v>2.6828703703358769E-2</v>
      </c>
      <c r="N51" s="7">
        <f t="shared" si="2"/>
        <v>38.633333332836628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-02-03T07:23:28-0700',mode:absolute,to:'2017-02-03T10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92" t="str">
        <f t="shared" si="6"/>
        <v>N</v>
      </c>
      <c r="X51" s="192">
        <f t="shared" si="7"/>
        <v>1</v>
      </c>
      <c r="Y51" s="62">
        <f t="shared" si="8"/>
        <v>4.6899999999999997E-2</v>
      </c>
      <c r="Z51" s="62">
        <f t="shared" si="9"/>
        <v>23.267900000000001</v>
      </c>
      <c r="AA51" s="62">
        <f t="shared" si="10"/>
        <v>23.221</v>
      </c>
      <c r="AB51" s="59" t="e">
        <f>VLOOKUP(A51,Enforcements!$C$7:$K$16,8,0)</f>
        <v>#N/A</v>
      </c>
      <c r="AC51" s="55" t="e">
        <f>VLOOKUP(A51,Enforcements!$C$7:$E$16,3,0)</f>
        <v>#N/A</v>
      </c>
      <c r="AD51" s="56" t="str">
        <f t="shared" si="11"/>
        <v>0139-03</v>
      </c>
      <c r="AE51" s="85" t="str">
        <f t="shared" si="12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51" s="82" t="str">
        <f t="shared" si="13"/>
        <v>"C:\Program Files (x86)\AstroGrep\AstroGrep.exe" /spath="%USERPROFILE%\AppData\Local\Temp\OnboardLogs" /stypes="app*4044*20170203*"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139-03 --locoid 4044 --swversion DE.1.0.8.0 --startMP 204:469 --initTime 2017-02-03T08:23:28 --startdatetime 2017-02-03T08:30:23 --delay 1 --endMP 204:232679 --enddatetime 2017-02-03T09:09:01 --enforcementcount 1 &gt;&gt;C:\Users\stu\Documents\GitHub\eaglep3-reporting\EC\2017-02-03-refined-times.txt</v>
      </c>
      <c r="AI51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{"issue":{"subject":"","project_id":79,"tracker_id":40,"status_id":1,"priority_id":2,"assigned_to_id":23,"start_date":"2017-02-03","description":"","custom_fields":[{"id":1,"name":"Subdivision","value":"EC"},{"id":4,"name":"Milepost","value":"23.2679"},{"id":17,"name":"Train ID","value":"139-03"},{"id":16,"name":"Locomotive ID","value":"4044"},{"id":130,"name":"Impact","value":""},{"id":150,"name":"Time of Event (Mountain Time)","value":"09:09:01"},{"id":151,"name":"Denver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8" t="str">
        <f t="shared" si="20"/>
        <v>start /low /b %USERPROFILE%\Documents\GitHub\eaglep3\Utilities\DownloadLogsFromS3.py --loco 4044 --day 2017-02-03</v>
      </c>
      <c r="AN51" s="167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"%USERPROFILE%\AppData\Local\Temp\OnboardLogs"\RTDC4044\*4044*20170203* | grep -SE "(Enforcement Action)|(\[TIMEOUT)|(CHR.+\|PRM\|1\|D.+(SWITCH|SIGNAL).+UNKNOWN)" - &gt;&gt; 2017-02-03-UncaughtWiMAX.txt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615</v>
      </c>
      <c r="B52" s="7">
        <v>4043</v>
      </c>
      <c r="C52" s="21" t="s">
        <v>193</v>
      </c>
      <c r="D52" s="21" t="s">
        <v>323</v>
      </c>
      <c r="E52" s="13">
        <v>42769.391215277778</v>
      </c>
      <c r="F52" s="13">
        <v>42769.393460648149</v>
      </c>
      <c r="G52" s="7">
        <v>1</v>
      </c>
      <c r="H52" s="21" t="s">
        <v>212</v>
      </c>
      <c r="I52" s="13">
        <v>42769.420578703706</v>
      </c>
      <c r="J52" s="7">
        <v>0</v>
      </c>
      <c r="K52" s="98" t="str">
        <f t="shared" si="0"/>
        <v>4043/4044</v>
      </c>
      <c r="L52" s="21" t="str">
        <f>VLOOKUP(A52,'Trips&amp;Operators'!$C$1:$G$99999,5,FALSE)</f>
        <v>BONDS REYNALDO</v>
      </c>
      <c r="M52" s="6">
        <f t="shared" si="1"/>
        <v>2.7118055557366461E-2</v>
      </c>
      <c r="N52" s="7">
        <f t="shared" si="2"/>
        <v>39.050000002607703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-02-03T08:23:21-0700',mode:absolute,to:'2017-02-03T11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92" t="str">
        <f t="shared" si="6"/>
        <v>N</v>
      </c>
      <c r="X52" s="192">
        <f t="shared" si="7"/>
        <v>1</v>
      </c>
      <c r="Y52" s="62">
        <f t="shared" si="8"/>
        <v>23.299299999999999</v>
      </c>
      <c r="Z52" s="62">
        <f t="shared" si="9"/>
        <v>1.52E-2</v>
      </c>
      <c r="AA52" s="62">
        <f t="shared" si="10"/>
        <v>23.284099999999999</v>
      </c>
      <c r="AB52" s="59" t="e">
        <f>VLOOKUP(A52,Enforcements!$C$7:$K$16,8,0)</f>
        <v>#N/A</v>
      </c>
      <c r="AC52" s="55" t="e">
        <f>VLOOKUP(A52,Enforcements!$C$7:$E$16,3,0)</f>
        <v>#N/A</v>
      </c>
      <c r="AD52" s="56" t="str">
        <f t="shared" si="11"/>
        <v>0140-03</v>
      </c>
      <c r="AE52" s="85" t="str">
        <f t="shared" si="12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52" s="82" t="str">
        <f t="shared" si="13"/>
        <v>"C:\Program Files (x86)\AstroGrep\AstroGrep.exe" /spath="%USERPROFILE%\AppData\Local\Temp\OnboardLogs" /stypes="app*4043*20170203*"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140-03 --locoid 4043 --swversion DE.1.0.8.0 --startMP 204:232993 --initTime 2017-02-03T09:23:21 --startdatetime 2017-02-03T09:26:35 --delay 1 --endMP 204:152 --enddatetime 2017-02-03T10:05:38 --enforcementcount 0 &gt;&gt;C:\Users\stu\Documents\GitHub\eaglep3-reporting\EC\2017-02-03-refined-times.txt</v>
      </c>
      <c r="AI52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{"issue":{"subject":"","project_id":79,"tracker_id":40,"status_id":1,"priority_id":2,"assigned_to_id":23,"start_date":"2017-02-03","description":"","custom_fields":[{"id":1,"name":"Subdivision","value":"EC"},{"id":4,"name":"Milepost","value":"0.0152"},{"id":17,"name":"Train ID","value":"140-03"},{"id":16,"name":"Locomotive ID","value":"4043"},{"id":130,"name":"Impact","value":""},{"id":150,"name":"Time of Event (Mountain Time)","value":"10:05:38"},{"id":151,"name":"Denver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8" t="str">
        <f t="shared" si="20"/>
        <v>start /low /b %USERPROFILE%\Documents\GitHub\eaglep3\Utilities\DownloadLogsFromS3.py --loco 4043 --day 2017-02-03</v>
      </c>
      <c r="AN52" s="167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"%USERPROFILE%\AppData\Local\Temp\OnboardLogs"\RTDC4043\*4043*20170203* | grep -SE "(Enforcement Action)|(\[TIMEOUT)|(CHR.+\|PRM\|1\|D.+(SWITCH|SIGNAL).+UNKNOWN)" - &gt;&gt; 2017-02-03-UncaughtWiMAX.txt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610</v>
      </c>
      <c r="B53" s="7">
        <v>4018</v>
      </c>
      <c r="C53" s="21" t="s">
        <v>193</v>
      </c>
      <c r="D53" s="21" t="s">
        <v>211</v>
      </c>
      <c r="E53" s="13">
        <v>42769.361770833333</v>
      </c>
      <c r="F53" s="13">
        <v>42769.365717592591</v>
      </c>
      <c r="G53" s="7">
        <v>1</v>
      </c>
      <c r="H53" s="21" t="s">
        <v>285</v>
      </c>
      <c r="I53" s="13">
        <v>42769.390821759262</v>
      </c>
      <c r="J53" s="7">
        <v>0</v>
      </c>
      <c r="K53" s="98" t="str">
        <f t="shared" si="0"/>
        <v>4017/4018</v>
      </c>
      <c r="L53" s="21" t="str">
        <f>VLOOKUP(A53,'Trips&amp;Operators'!$C$1:$G$99999,5,FALSE)</f>
        <v>BADERTSCHER DIANE</v>
      </c>
      <c r="M53" s="6">
        <f t="shared" si="1"/>
        <v>2.510416667064419E-2</v>
      </c>
      <c r="N53" s="7">
        <f t="shared" si="2"/>
        <v>36.150000005727634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-02-03T07:40:57-0700',mode:absolute,to:'2017-02-03T10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92" t="str">
        <f t="shared" si="6"/>
        <v>N</v>
      </c>
      <c r="X53" s="192">
        <f t="shared" si="7"/>
        <v>1</v>
      </c>
      <c r="Y53" s="62">
        <f t="shared" si="8"/>
        <v>4.4900000000000002E-2</v>
      </c>
      <c r="Z53" s="62">
        <f t="shared" si="9"/>
        <v>23.330100000000002</v>
      </c>
      <c r="AA53" s="62">
        <f t="shared" si="10"/>
        <v>23.285200000000003</v>
      </c>
      <c r="AB53" s="59" t="e">
        <f>VLOOKUP(A53,Enforcements!$C$7:$K$16,8,0)</f>
        <v>#N/A</v>
      </c>
      <c r="AC53" s="55" t="e">
        <f>VLOOKUP(A53,Enforcements!$C$7:$E$16,3,0)</f>
        <v>#N/A</v>
      </c>
      <c r="AD53" s="56" t="str">
        <f t="shared" si="11"/>
        <v>0141-03</v>
      </c>
      <c r="AE53" s="85" t="str">
        <f t="shared" si="12"/>
        <v>aws s3 cp s3://rtdc.mdm.uploadarchive.raw/RTDC4018/ "%USERPROFILE%\AppData\Local\Temp\OnboardLogs"\RTDC4018\2017-02-03 --exclude "*" --recursive --include "*20170203*" &amp; "%USERPROFILE%\Documents\GitHub\mrs-test-scripts\Headless Mode &amp; Sideloading\WalkAndUnGZ.bat" "%USERPROFILE%\AppData\Local\Temp\OnboardLogs"\RTDC4018\2017-02-03 &amp; aws s3 cp s3://rtdc.mdm.uploadarchive.raw/RTDC4018/ "%USERPROFILE%\AppData\Local\Temp\OnboardLogs"\RTDC4018\2017-02-04 --exclude "*" --recursive --include "*20170204*" &amp; "%USERPROFILE%\Documents\GitHub\mrs-test-scripts\Headless Mode &amp; Sideloading\WalkAndUnGZ.bat" "%USERPROFILE%\AppData\Local\Temp\OnboardLogs"\RTDC4018\2017-02-04</v>
      </c>
      <c r="AF53" s="82" t="str">
        <f t="shared" si="13"/>
        <v>"C:\Program Files (x86)\AstroGrep\AstroGrep.exe" /spath="%USERPROFILE%\AppData\Local\Temp\OnboardLogs" /stypes="app*4018*20170203*"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141-03 --locoid 4018 --swversion DE.1.0.8.0 --startMP 204:449 --initTime 2017-02-03T08:40:57 --startdatetime 2017-02-03T08:46:38 --delay 1 --endMP 204:233301 --enddatetime 2017-02-03T09:22:47 --enforcementcount 0 &gt;&gt;C:\Users\stu\Documents\GitHub\eaglep3-reporting\EC\2017-02-03-refined-times.txt</v>
      </c>
      <c r="AI53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{"issue":{"subject":"","project_id":79,"tracker_id":40,"status_id":1,"priority_id":2,"assigned_to_id":23,"start_date":"2017-02-03","description":"","custom_fields":[{"id":1,"name":"Subdivision","value":"EC"},{"id":4,"name":"Milepost","value":"23.3301"},{"id":17,"name":"Train ID","value":"141-03"},{"id":16,"name":"Locomotive ID","value":"4018"},{"id":130,"name":"Impact","value":""},{"id":150,"name":"Time of Event (Mountain Time)","value":"09:22:47"},{"id":151,"name":"Denver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8" t="str">
        <f t="shared" si="20"/>
        <v>start /low /b %USERPROFILE%\Documents\GitHub\eaglep3\Utilities\DownloadLogsFromS3.py --loco 4018 --day 2017-02-03</v>
      </c>
      <c r="AN53" s="167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"%USERPROFILE%\AppData\Local\Temp\OnboardLogs"\RTDC4018\*4018*20170203* | grep -SE "(Enforcement Action)|(\[TIMEOUT)|(CHR.+\|PRM\|1\|D.+(SWITCH|SIGNAL).+UNKNOWN)" - &gt;&gt; 2017-02-03-UncaughtWiMAX.txt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539</v>
      </c>
      <c r="B54" s="7">
        <v>4017</v>
      </c>
      <c r="C54" s="21" t="s">
        <v>193</v>
      </c>
      <c r="D54" s="21" t="s">
        <v>362</v>
      </c>
      <c r="E54" s="13">
        <v>42769.393634259257</v>
      </c>
      <c r="F54" s="13">
        <v>42769.403668981482</v>
      </c>
      <c r="G54" s="7">
        <v>1</v>
      </c>
      <c r="H54" s="21" t="s">
        <v>791</v>
      </c>
      <c r="I54" s="13">
        <v>42769.430763888886</v>
      </c>
      <c r="J54" s="7">
        <v>1</v>
      </c>
      <c r="K54" s="98" t="str">
        <f t="shared" si="0"/>
        <v>4017/4018</v>
      </c>
      <c r="L54" s="21" t="str">
        <f>VLOOKUP(A54,'Trips&amp;Operators'!$C$1:$G$99999,5,FALSE)</f>
        <v>BADERTSCHER DIANE</v>
      </c>
      <c r="M54" s="6">
        <f t="shared" si="1"/>
        <v>2.7094907403807156E-2</v>
      </c>
      <c r="N54" s="7">
        <f t="shared" si="2"/>
        <v>39.016666661482304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-02-03T08:26:50-0700',mode:absolute,to:'2017-02-03T11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92" t="str">
        <f t="shared" si="6"/>
        <v>N</v>
      </c>
      <c r="X54" s="192">
        <f t="shared" si="7"/>
        <v>1</v>
      </c>
      <c r="Y54" s="62">
        <f t="shared" si="8"/>
        <v>23.297799999999999</v>
      </c>
      <c r="Z54" s="62">
        <f t="shared" si="9"/>
        <v>2.3599999999999999E-2</v>
      </c>
      <c r="AA54" s="62">
        <f t="shared" si="10"/>
        <v>23.2742</v>
      </c>
      <c r="AB54" s="59" t="e">
        <f>VLOOKUP(A54,Enforcements!$C$7:$K$16,8,0)</f>
        <v>#N/A</v>
      </c>
      <c r="AC54" s="55" t="e">
        <f>VLOOKUP(A54,Enforcements!$C$7:$E$16,3,0)</f>
        <v>#N/A</v>
      </c>
      <c r="AD54" s="56" t="str">
        <f t="shared" si="11"/>
        <v>0142-03</v>
      </c>
      <c r="AE54" s="85" t="str">
        <f t="shared" si="12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54" s="82" t="str">
        <f t="shared" si="13"/>
        <v>"C:\Program Files (x86)\AstroGrep\AstroGrep.exe" /spath="%USERPROFILE%\AppData\Local\Temp\OnboardLogs" /stypes="app*4017*20170203*"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142-03 --locoid 4017 --swversion DE.1.0.8.0 --startMP 204:232978 --initTime 2017-02-03T09:26:50 --startdatetime 2017-02-03T09:41:17 --delay 1 --endMP 204:236 --enddatetime 2017-02-03T10:20:18 --enforcementcount 1 &gt;&gt;C:\Users\stu\Documents\GitHub\eaglep3-reporting\EC\2017-02-03-refined-times.txt</v>
      </c>
      <c r="AI54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{"issue":{"subject":"","project_id":79,"tracker_id":40,"status_id":1,"priority_id":2,"assigned_to_id":23,"start_date":"2017-02-03","description":"","custom_fields":[{"id":1,"name":"Subdivision","value":"EC"},{"id":4,"name":"Milepost","value":"0.0236"},{"id":17,"name":"Train ID","value":"142-03"},{"id":16,"name":"Locomotive ID","value":"4017"},{"id":130,"name":"Impact","value":""},{"id":150,"name":"Time of Event (Mountain Time)","value":"10:20:18"},{"id":151,"name":"Denver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8" t="str">
        <f t="shared" si="20"/>
        <v>start /low /b %USERPROFILE%\Documents\GitHub\eaglep3\Utilities\DownloadLogsFromS3.py --loco 4017 --day 2017-02-03</v>
      </c>
      <c r="AN54" s="167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"%USERPROFILE%\AppData\Local\Temp\OnboardLogs"\RTDC4017\*4017*20170203* | grep -SE "(Enforcement Action)|(\[TIMEOUT)|(CHR.+\|PRM\|1\|D.+(SWITCH|SIGNAL).+UNKNOWN)" - &gt;&gt; 2017-02-03-UncaughtWiMAX.txt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612</v>
      </c>
      <c r="B55" s="7">
        <v>4025</v>
      </c>
      <c r="C55" s="21" t="s">
        <v>193</v>
      </c>
      <c r="D55" s="21" t="s">
        <v>276</v>
      </c>
      <c r="E55" s="13">
        <v>42769.37060185185</v>
      </c>
      <c r="F55" s="13">
        <v>42769.375231481485</v>
      </c>
      <c r="G55" s="7">
        <v>1</v>
      </c>
      <c r="H55" s="21" t="s">
        <v>325</v>
      </c>
      <c r="I55" s="13">
        <v>42769.400254629632</v>
      </c>
      <c r="J55" s="7">
        <v>0</v>
      </c>
      <c r="K55" s="98" t="str">
        <f t="shared" si="0"/>
        <v>4025/4026</v>
      </c>
      <c r="L55" s="21" t="str">
        <f>VLOOKUP(A55,'Trips&amp;Operators'!$C$1:$G$99999,5,FALSE)</f>
        <v>ROCHA YAOTL</v>
      </c>
      <c r="M55" s="6">
        <f t="shared" si="1"/>
        <v>2.5023148147738539E-2</v>
      </c>
      <c r="N55" s="7">
        <f t="shared" si="2"/>
        <v>36.033333332743496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-02-03T07:53:40-0700',mode:absolute,to:'2017-02-03T10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5" s="192" t="str">
        <f t="shared" si="6"/>
        <v>N</v>
      </c>
      <c r="X55" s="192">
        <f t="shared" si="7"/>
        <v>1</v>
      </c>
      <c r="Y55" s="62">
        <f t="shared" si="8"/>
        <v>4.7100000000000003E-2</v>
      </c>
      <c r="Z55" s="62">
        <f t="shared" si="9"/>
        <v>23.3291</v>
      </c>
      <c r="AA55" s="62">
        <f t="shared" si="10"/>
        <v>23.282</v>
      </c>
      <c r="AB55" s="59" t="e">
        <f>VLOOKUP(A55,Enforcements!$C$7:$K$16,8,0)</f>
        <v>#N/A</v>
      </c>
      <c r="AC55" s="55" t="e">
        <f>VLOOKUP(A55,Enforcements!$C$7:$E$16,3,0)</f>
        <v>#N/A</v>
      </c>
      <c r="AD55" s="56" t="str">
        <f t="shared" si="11"/>
        <v>0143-03</v>
      </c>
      <c r="AE55" s="85" t="str">
        <f t="shared" si="12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55" s="82" t="str">
        <f t="shared" si="13"/>
        <v>"C:\Program Files (x86)\AstroGrep\AstroGrep.exe" /spath="%USERPROFILE%\AppData\Local\Temp\OnboardLogs" /stypes="app*4025*20170203*"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143-03 --locoid 4025 --swversion DE.1.0.8.0 --startMP 204:471 --initTime 2017-02-03T08:53:40 --startdatetime 2017-02-03T09:00:20 --delay 1 --endMP 204:233291 --enddatetime 2017-02-03T09:36:22 --enforcementcount 0 &gt;&gt;C:\Users\stu\Documents\GitHub\eaglep3-reporting\EC\2017-02-03-refined-times.txt</v>
      </c>
      <c r="AI55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{"issue":{"subject":"","project_id":79,"tracker_id":40,"status_id":1,"priority_id":2,"assigned_to_id":23,"start_date":"2017-02-03","description":"","custom_fields":[{"id":1,"name":"Subdivision","value":"EC"},{"id":4,"name":"Milepost","value":"23.3291"},{"id":17,"name":"Train ID","value":"143-03"},{"id":16,"name":"Locomotive ID","value":"4025"},{"id":130,"name":"Impact","value":""},{"id":150,"name":"Time of Event (Mountain Time)","value":"09:36:22"},{"id":151,"name":"Denver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8" t="str">
        <f t="shared" si="20"/>
        <v>start /low /b %USERPROFILE%\Documents\GitHub\eaglep3\Utilities\DownloadLogsFromS3.py --loco 4025 --day 2017-02-03</v>
      </c>
      <c r="AN55" s="167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"%USERPROFILE%\AppData\Local\Temp\OnboardLogs"\RTDC4025\*4025*20170203* | grep -SE "(Enforcement Action)|(\[TIMEOUT)|(CHR.+\|PRM\|1\|D.+(SWITCH|SIGNAL).+UNKNOWN)" - &gt;&gt; 2017-02-03-UncaughtWiMAX.txt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619</v>
      </c>
      <c r="B56" s="7">
        <v>4026</v>
      </c>
      <c r="C56" s="21" t="s">
        <v>193</v>
      </c>
      <c r="D56" s="21" t="s">
        <v>286</v>
      </c>
      <c r="E56" s="13">
        <v>42769.412893518522</v>
      </c>
      <c r="F56" s="13">
        <v>42769.414247685185</v>
      </c>
      <c r="G56" s="7">
        <v>1</v>
      </c>
      <c r="H56" s="21" t="s">
        <v>413</v>
      </c>
      <c r="I56" s="13">
        <v>42769.440011574072</v>
      </c>
      <c r="J56" s="7">
        <v>0</v>
      </c>
      <c r="K56" s="98" t="str">
        <f t="shared" si="0"/>
        <v>4025/4026</v>
      </c>
      <c r="L56" s="21" t="str">
        <f>VLOOKUP(A56,'Trips&amp;Operators'!$C$1:$G$99999,5,FALSE)</f>
        <v>ROCHA YAOTL</v>
      </c>
      <c r="M56" s="6">
        <f t="shared" si="1"/>
        <v>2.5763888887013309E-2</v>
      </c>
      <c r="N56" s="7">
        <f t="shared" si="2"/>
        <v>37.099999997299165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-02-03T08:54:34-0700',mode:absolute,to:'2017-02-03T11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6" s="192" t="str">
        <f t="shared" si="6"/>
        <v>N</v>
      </c>
      <c r="X56" s="192">
        <f t="shared" si="7"/>
        <v>1</v>
      </c>
      <c r="Y56" s="62">
        <f t="shared" si="8"/>
        <v>23.299399999999999</v>
      </c>
      <c r="Z56" s="62">
        <f t="shared" si="9"/>
        <v>1.6899999999999998E-2</v>
      </c>
      <c r="AA56" s="62">
        <f t="shared" si="10"/>
        <v>23.282499999999999</v>
      </c>
      <c r="AB56" s="59" t="e">
        <f>VLOOKUP(A56,Enforcements!$C$7:$K$16,8,0)</f>
        <v>#N/A</v>
      </c>
      <c r="AC56" s="55" t="e">
        <f>VLOOKUP(A56,Enforcements!$C$7:$E$16,3,0)</f>
        <v>#N/A</v>
      </c>
      <c r="AD56" s="56" t="str">
        <f t="shared" si="11"/>
        <v>0144-03</v>
      </c>
      <c r="AE56" s="85" t="str">
        <f t="shared" si="12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56" s="82" t="str">
        <f t="shared" si="13"/>
        <v>"C:\Program Files (x86)\AstroGrep\AstroGrep.exe" /spath="%USERPROFILE%\AppData\Local\Temp\OnboardLogs" /stypes="app*4026*20170203*"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144-03 --locoid 4026 --swversion DE.1.0.8.0 --startMP 204:232994 --initTime 2017-02-03T09:54:34 --startdatetime 2017-02-03T09:56:31 --delay 1 --endMP 204:169 --enddatetime 2017-02-03T10:33:37 --enforcementcount 0 &gt;&gt;C:\Users\stu\Documents\GitHub\eaglep3-reporting\EC\2017-02-03-refined-times.txt</v>
      </c>
      <c r="AI56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{"issue":{"subject":"","project_id":79,"tracker_id":40,"status_id":1,"priority_id":2,"assigned_to_id":23,"start_date":"2017-02-03","description":"","custom_fields":[{"id":1,"name":"Subdivision","value":"EC"},{"id":4,"name":"Milepost","value":"0.0169"},{"id":17,"name":"Train ID","value":"144-03"},{"id":16,"name":"Locomotive ID","value":"4026"},{"id":130,"name":"Impact","value":""},{"id":150,"name":"Time of Event (Mountain Time)","value":"10:33:37"},{"id":151,"name":"Denver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8" t="str">
        <f t="shared" si="20"/>
        <v>start /low /b %USERPROFILE%\Documents\GitHub\eaglep3\Utilities\DownloadLogsFromS3.py --loco 4026 --day 2017-02-03</v>
      </c>
      <c r="AN56" s="167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"%USERPROFILE%\AppData\Local\Temp\OnboardLogs"\RTDC4026\*4026*20170203* | grep -SE "(Enforcement Action)|(\[TIMEOUT)|(CHR.+\|PRM\|1\|D.+(SWITCH|SIGNAL).+UNKNOWN)" - &gt;&gt; 2017-02-03-UncaughtWiMAX.txt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538</v>
      </c>
      <c r="B57" s="7">
        <v>4002</v>
      </c>
      <c r="C57" s="21" t="s">
        <v>193</v>
      </c>
      <c r="D57" s="21" t="s">
        <v>209</v>
      </c>
      <c r="E57" s="13">
        <v>42769.380520833336</v>
      </c>
      <c r="F57" s="13">
        <v>42769.385567129626</v>
      </c>
      <c r="G57" s="7">
        <v>1</v>
      </c>
      <c r="H57" s="21" t="s">
        <v>785</v>
      </c>
      <c r="I57" s="13">
        <v>42769.410949074074</v>
      </c>
      <c r="J57" s="7">
        <v>1</v>
      </c>
      <c r="K57" s="98" t="str">
        <f t="shared" si="0"/>
        <v>4001/4002</v>
      </c>
      <c r="L57" s="21" t="str">
        <f>VLOOKUP(A57,'Trips&amp;Operators'!$C$1:$G$99999,5,FALSE)</f>
        <v>DAVIS WENDY</v>
      </c>
      <c r="M57" s="6">
        <f t="shared" si="1"/>
        <v>2.5381944447872229E-2</v>
      </c>
      <c r="N57" s="7">
        <f t="shared" si="2"/>
        <v>36.55000000493601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-02-03T08:07:57-0700',mode:absolute,to:'2017-02-03T10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192" t="str">
        <f t="shared" si="6"/>
        <v>N</v>
      </c>
      <c r="X57" s="192">
        <f t="shared" si="7"/>
        <v>1</v>
      </c>
      <c r="Y57" s="62">
        <f t="shared" si="8"/>
        <v>4.6199999999999998E-2</v>
      </c>
      <c r="Z57" s="62">
        <f t="shared" si="9"/>
        <v>23.329699999999999</v>
      </c>
      <c r="AA57" s="62">
        <f t="shared" si="10"/>
        <v>23.2835</v>
      </c>
      <c r="AB57" s="59" t="str">
        <f>VLOOKUP(A57,Enforcements!$C$7:$K$16,8,0)</f>
        <v>Speed (6)</v>
      </c>
      <c r="AC57" s="55" t="str">
        <f>VLOOKUP(A57,Enforcements!$C$7:$E$16,3,0)</f>
        <v>PERMANENT SPEED RESTRICTION</v>
      </c>
      <c r="AD57" s="56" t="str">
        <f t="shared" si="11"/>
        <v>0145-03</v>
      </c>
      <c r="AE57" s="85" t="str">
        <f t="shared" si="12"/>
        <v>aws s3 cp s3://rtdc.mdm.uploadarchive.raw/RTDC4002/ "%USERPROFILE%\AppData\Local\Temp\OnboardLogs"\RTDC4002\2017-02-03 --exclude "*" --recursive --include "*20170203*" &amp; "%USERPROFILE%\Documents\GitHub\mrs-test-scripts\Headless Mode &amp; Sideloading\WalkAndUnGZ.bat" "%USERPROFILE%\AppData\Local\Temp\OnboardLogs"\RTDC4002\2017-02-03 &amp; aws s3 cp s3://rtdc.mdm.uploadarchive.raw/RTDC4002/ "%USERPROFILE%\AppData\Local\Temp\OnboardLogs"\RTDC4002\2017-02-04 --exclude "*" --recursive --include "*20170204*" &amp; "%USERPROFILE%\Documents\GitHub\mrs-test-scripts\Headless Mode &amp; Sideloading\WalkAndUnGZ.bat" "%USERPROFILE%\AppData\Local\Temp\OnboardLogs"\RTDC4002\2017-02-04</v>
      </c>
      <c r="AF57" s="82" t="str">
        <f t="shared" si="13"/>
        <v>"C:\Program Files (x86)\AstroGrep\AstroGrep.exe" /spath="%USERPROFILE%\AppData\Local\Temp\OnboardLogs" /stypes="app*4002*20170203*"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145-03 --locoid 4002 --swversion DE.1.0.8.0 --startMP 204:462 --initTime 2017-02-03T09:07:57 --startdatetime 2017-02-03T09:15:13 --delay 1 --endMP 204:233297 --enddatetime 2017-02-03T09:51:46 --enforcementcount 1 &gt;&gt;C:\Users\stu\Documents\GitHub\eaglep3-reporting\EC\2017-02-03-refined-times.txt</v>
      </c>
      <c r="AI57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{"issue":{"subject":"","project_id":79,"tracker_id":40,"status_id":1,"priority_id":2,"assigned_to_id":23,"start_date":"2017-02-03","description":"","custom_fields":[{"id":1,"name":"Subdivision","value":"EC"},{"id":4,"name":"Milepost","value":"23.3297"},{"id":17,"name":"Train ID","value":"145-03"},{"id":16,"name":"Locomotive ID","value":"4002"},{"id":130,"name":"Impact","value":""},{"id":150,"name":"Time of Event (Mountain Time)","value":"09:51:46"},{"id":151,"name":"Denver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8" t="str">
        <f t="shared" si="20"/>
        <v>start /low /b %USERPROFILE%\Documents\GitHub\eaglep3\Utilities\DownloadLogsFromS3.py --loco 4002 --day 2017-02-03</v>
      </c>
      <c r="AN57" s="167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"%USERPROFILE%\AppData\Local\Temp\OnboardLogs"\RTDC4002\*4002*20170203* | grep -SE "(Enforcement Action)|(\[TIMEOUT)|(CHR.+\|PRM\|1\|D.+(SWITCH|SIGNAL).+UNKNOWN)" - &gt;&gt; 2017-02-03-UncaughtWiMAX.txt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620</v>
      </c>
      <c r="B58" s="7">
        <v>4001</v>
      </c>
      <c r="C58" s="21" t="s">
        <v>193</v>
      </c>
      <c r="D58" s="21" t="s">
        <v>362</v>
      </c>
      <c r="E58" s="13">
        <v>42769.42019675926</v>
      </c>
      <c r="F58" s="13">
        <v>42769.424537037034</v>
      </c>
      <c r="G58" s="7">
        <v>1</v>
      </c>
      <c r="H58" s="21" t="s">
        <v>290</v>
      </c>
      <c r="I58" s="13">
        <v>42769.452511574076</v>
      </c>
      <c r="J58" s="7">
        <v>0</v>
      </c>
      <c r="K58" s="98" t="str">
        <f t="shared" si="0"/>
        <v>4001/4002</v>
      </c>
      <c r="L58" s="21" t="str">
        <f>VLOOKUP(A58,'Trips&amp;Operators'!$C$1:$G$99999,5,FALSE)</f>
        <v>DAVIS WENDY</v>
      </c>
      <c r="M58" s="6">
        <f t="shared" si="1"/>
        <v>2.7974537042609882E-2</v>
      </c>
      <c r="N58" s="7">
        <f t="shared" si="2"/>
        <v>40.28333334135823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-02-03T09:05:05-0700',mode:absolute,to:'2017-02-03T11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192" t="str">
        <f t="shared" si="6"/>
        <v>N</v>
      </c>
      <c r="X58" s="192">
        <f t="shared" si="7"/>
        <v>1</v>
      </c>
      <c r="Y58" s="62">
        <f t="shared" si="8"/>
        <v>23.297799999999999</v>
      </c>
      <c r="Z58" s="62">
        <f t="shared" si="9"/>
        <v>1.5599999999999999E-2</v>
      </c>
      <c r="AA58" s="62">
        <f t="shared" si="10"/>
        <v>23.2822</v>
      </c>
      <c r="AB58" s="59" t="e">
        <f>VLOOKUP(A58,Enforcements!$C$7:$K$16,8,0)</f>
        <v>#N/A</v>
      </c>
      <c r="AC58" s="55" t="e">
        <f>VLOOKUP(A58,Enforcements!$C$7:$E$16,3,0)</f>
        <v>#N/A</v>
      </c>
      <c r="AD58" s="56" t="str">
        <f t="shared" si="11"/>
        <v>0146-03</v>
      </c>
      <c r="AE58" s="85" t="str">
        <f t="shared" si="12"/>
        <v>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 &amp; aws s3 cp s3://rtdc.mdm.uploadarchive.raw/RTDC4001/ "%USERPROFILE%\AppData\Local\Temp\OnboardLogs"\RTDC4001\2017-02-04 --exclude "*" --recursive --include "*20170204*" &amp; "%USERPROFILE%\Documents\GitHub\mrs-test-scripts\Headless Mode &amp; Sideloading\WalkAndUnGZ.bat" "%USERPROFILE%\AppData\Local\Temp\OnboardLogs"\RTDC4001\2017-02-04</v>
      </c>
      <c r="AF58" s="82" t="str">
        <f t="shared" si="13"/>
        <v>"C:\Program Files (x86)\AstroGrep\AstroGrep.exe" /spath="%USERPROFILE%\AppData\Local\Temp\OnboardLogs" /stypes="app*4001*20170203*"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146-03 --locoid 4001 --swversion DE.1.0.8.0 --startMP 204:232978 --initTime 2017-02-03T10:05:05 --startdatetime 2017-02-03T10:11:20 --delay 1 --endMP 204:156 --enddatetime 2017-02-03T10:51:37 --enforcementcount 0 &gt;&gt;C:\Users\stu\Documents\GitHub\eaglep3-reporting\EC\2017-02-03-refined-times.txt</v>
      </c>
      <c r="AI58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{"issue":{"subject":"","project_id":79,"tracker_id":40,"status_id":1,"priority_id":2,"assigned_to_id":23,"start_date":"2017-02-03","description":"","custom_fields":[{"id":1,"name":"Subdivision","value":"EC"},{"id":4,"name":"Milepost","value":"0.0156"},{"id":17,"name":"Train ID","value":"146-03"},{"id":16,"name":"Locomotive ID","value":"4001"},{"id":130,"name":"Impact","value":""},{"id":150,"name":"Time of Event (Mountain Time)","value":"10:51:37"},{"id":151,"name":"Denver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8" t="str">
        <f t="shared" si="20"/>
        <v>start /low /b %USERPROFILE%\Documents\GitHub\eaglep3\Utilities\DownloadLogsFromS3.py --loco 4001 --day 2017-02-03</v>
      </c>
      <c r="AN58" s="167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"%USERPROFILE%\AppData\Local\Temp\OnboardLogs"\RTDC4001\*4001*20170203* | grep -SE "(Enforcement Action)|(\[TIMEOUT)|(CHR.+\|PRM\|1\|D.+(SWITCH|SIGNAL).+UNKNOWN)" - &gt;&gt; 2017-02-03-UncaughtWiMAX.txt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616</v>
      </c>
      <c r="B59" s="7">
        <v>4031</v>
      </c>
      <c r="C59" s="21" t="s">
        <v>193</v>
      </c>
      <c r="D59" s="21" t="s">
        <v>374</v>
      </c>
      <c r="E59" s="13">
        <v>42769.391643518517</v>
      </c>
      <c r="F59" s="13">
        <v>42769.395995370367</v>
      </c>
      <c r="G59" s="7">
        <v>1</v>
      </c>
      <c r="H59" s="21" t="s">
        <v>785</v>
      </c>
      <c r="I59" s="13">
        <v>42769.422592592593</v>
      </c>
      <c r="J59" s="7">
        <v>0</v>
      </c>
      <c r="K59" s="98" t="str">
        <f t="shared" si="0"/>
        <v>4031/4032</v>
      </c>
      <c r="L59" s="21" t="str">
        <f>VLOOKUP(A59,'Trips&amp;Operators'!$C$1:$G$99999,5,FALSE)</f>
        <v>ROBINSON KADDIBA</v>
      </c>
      <c r="M59" s="6">
        <f t="shared" si="1"/>
        <v>2.6597222225973383E-2</v>
      </c>
      <c r="N59" s="7">
        <f t="shared" si="2"/>
        <v>38.300000005401671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-02-03T08:23:58-0700',mode:absolute,to:'2017-02-03T11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9" s="192" t="str">
        <f t="shared" si="6"/>
        <v>N</v>
      </c>
      <c r="X59" s="192">
        <f t="shared" si="7"/>
        <v>1</v>
      </c>
      <c r="Y59" s="62">
        <f t="shared" si="8"/>
        <v>4.7500000000000001E-2</v>
      </c>
      <c r="Z59" s="62">
        <f t="shared" si="9"/>
        <v>23.329699999999999</v>
      </c>
      <c r="AA59" s="62">
        <f t="shared" si="10"/>
        <v>23.2822</v>
      </c>
      <c r="AB59" s="59" t="e">
        <f>VLOOKUP(A59,Enforcements!$C$7:$K$16,8,0)</f>
        <v>#N/A</v>
      </c>
      <c r="AC59" s="55" t="e">
        <f>VLOOKUP(A59,Enforcements!$C$7:$E$16,3,0)</f>
        <v>#N/A</v>
      </c>
      <c r="AD59" s="56" t="str">
        <f t="shared" si="11"/>
        <v>0147-03</v>
      </c>
      <c r="AE59" s="85" t="str">
        <f t="shared" si="12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59" s="82" t="str">
        <f t="shared" si="13"/>
        <v>"C:\Program Files (x86)\AstroGrep\AstroGrep.exe" /spath="%USERPROFILE%\AppData\Local\Temp\OnboardLogs" /stypes="app*4031*20170203*"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147-03 --locoid 4031 --swversion DE.1.0.8.0 --startMP 204:475 --initTime 2017-02-03T09:23:58 --startdatetime 2017-02-03T09:30:14 --delay 1 --endMP 204:233297 --enddatetime 2017-02-03T10:08:32 --enforcementcount 0 &gt;&gt;C:\Users\stu\Documents\GitHub\eaglep3-reporting\EC\2017-02-03-refined-times.txt</v>
      </c>
      <c r="AI59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{"issue":{"subject":"","project_id":79,"tracker_id":40,"status_id":1,"priority_id":2,"assigned_to_id":23,"start_date":"2017-02-03","description":"","custom_fields":[{"id":1,"name":"Subdivision","value":"EC"},{"id":4,"name":"Milepost","value":"23.3297"},{"id":17,"name":"Train ID","value":"147-03"},{"id":16,"name":"Locomotive ID","value":"4031"},{"id":130,"name":"Impact","value":""},{"id":150,"name":"Time of Event (Mountain Time)","value":"10:08:32"},{"id":151,"name":"Denver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8" t="str">
        <f t="shared" si="20"/>
        <v>start /low /b %USERPROFILE%\Documents\GitHub\eaglep3\Utilities\DownloadLogsFromS3.py --loco 4031 --day 2017-02-03</v>
      </c>
      <c r="AN59" s="167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"%USERPROFILE%\AppData\Local\Temp\OnboardLogs"\RTDC4031\*4031*20170203* | grep -SE "(Enforcement Action)|(\[TIMEOUT)|(CHR.+\|PRM\|1\|D.+(SWITCH|SIGNAL).+UNKNOWN)" - &gt;&gt; 2017-02-03-UncaughtWiMAX.txt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622</v>
      </c>
      <c r="B60" s="7">
        <v>4032</v>
      </c>
      <c r="C60" s="21" t="s">
        <v>193</v>
      </c>
      <c r="D60" s="21" t="s">
        <v>376</v>
      </c>
      <c r="E60" s="13">
        <v>42769.428333333337</v>
      </c>
      <c r="F60" s="13">
        <v>42769.434884259259</v>
      </c>
      <c r="G60" s="7">
        <v>1</v>
      </c>
      <c r="H60" s="21" t="s">
        <v>213</v>
      </c>
      <c r="I60" s="13">
        <v>42769.46130787037</v>
      </c>
      <c r="J60" s="7">
        <v>0</v>
      </c>
      <c r="K60" s="98" t="str">
        <f t="shared" si="0"/>
        <v>4031/4032</v>
      </c>
      <c r="L60" s="21" t="str">
        <f>VLOOKUP(A60,'Trips&amp;Operators'!$C$1:$G$99999,5,FALSE)</f>
        <v>ROBINSON KADDIBA</v>
      </c>
      <c r="M60" s="6">
        <f t="shared" si="1"/>
        <v>2.6423611110658385E-2</v>
      </c>
      <c r="N60" s="7">
        <f t="shared" si="2"/>
        <v>38.049999999348074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-02-03T09:16:48-0700',mode:absolute,to:'2017-02-03T12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0" s="192" t="str">
        <f t="shared" si="6"/>
        <v>N</v>
      </c>
      <c r="X60" s="192">
        <f t="shared" si="7"/>
        <v>1</v>
      </c>
      <c r="Y60" s="62">
        <f t="shared" si="8"/>
        <v>23.299600000000002</v>
      </c>
      <c r="Z60" s="62">
        <f t="shared" si="9"/>
        <v>1.5800000000000002E-2</v>
      </c>
      <c r="AA60" s="62">
        <f t="shared" si="10"/>
        <v>23.283800000000003</v>
      </c>
      <c r="AB60" s="59" t="e">
        <f>VLOOKUP(A60,Enforcements!$C$7:$K$16,8,0)</f>
        <v>#N/A</v>
      </c>
      <c r="AC60" s="55" t="e">
        <f>VLOOKUP(A60,Enforcements!$C$7:$E$16,3,0)</f>
        <v>#N/A</v>
      </c>
      <c r="AD60" s="56" t="str">
        <f t="shared" si="11"/>
        <v>0148-03</v>
      </c>
      <c r="AE60" s="85" t="str">
        <f t="shared" si="12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60" s="82" t="str">
        <f t="shared" si="13"/>
        <v>"C:\Program Files (x86)\AstroGrep\AstroGrep.exe" /spath="%USERPROFILE%\AppData\Local\Temp\OnboardLogs" /stypes="app*4032*20170203*"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148-03 --locoid 4032 --swversion DE.1.0.8.0 --startMP 204:232996 --initTime 2017-02-03T10:16:48 --startdatetime 2017-02-03T10:26:14 --delay 1 --endMP 204:158 --enddatetime 2017-02-03T11:04:17 --enforcementcount 0 &gt;&gt;C:\Users\stu\Documents\GitHub\eaglep3-reporting\EC\2017-02-03-refined-times.txt</v>
      </c>
      <c r="AI60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{"issue":{"subject":"","project_id":79,"tracker_id":40,"status_id":1,"priority_id":2,"assigned_to_id":23,"start_date":"2017-02-03","description":"","custom_fields":[{"id":1,"name":"Subdivision","value":"EC"},{"id":4,"name":"Milepost","value":"0.0158"},{"id":17,"name":"Train ID","value":"148-03"},{"id":16,"name":"Locomotive ID","value":"4032"},{"id":130,"name":"Impact","value":""},{"id":150,"name":"Time of Event (Mountain Time)","value":"11:04:17"},{"id":151,"name":"Denver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8" t="str">
        <f t="shared" si="20"/>
        <v>start /low /b %USERPROFILE%\Documents\GitHub\eaglep3\Utilities\DownloadLogsFromS3.py --loco 4032 --day 2017-02-03</v>
      </c>
      <c r="AN60" s="167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"%USERPROFILE%\AppData\Local\Temp\OnboardLogs"\RTDC4032\*4032*20170203* | grep -SE "(Enforcement Action)|(\[TIMEOUT)|(CHR.+\|PRM\|1\|D.+(SWITCH|SIGNAL).+UNKNOWN)" - &gt;&gt; 2017-02-03-UncaughtWiMAX.txt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618</v>
      </c>
      <c r="B61" s="7">
        <v>4022</v>
      </c>
      <c r="C61" s="21" t="s">
        <v>193</v>
      </c>
      <c r="D61" s="21" t="s">
        <v>240</v>
      </c>
      <c r="E61" s="13">
        <v>42769.403981481482</v>
      </c>
      <c r="F61" s="13">
        <v>42769.406435185185</v>
      </c>
      <c r="G61" s="7">
        <v>1</v>
      </c>
      <c r="H61" s="21" t="s">
        <v>426</v>
      </c>
      <c r="I61" s="13">
        <v>42769.431180555555</v>
      </c>
      <c r="J61" s="7">
        <v>0</v>
      </c>
      <c r="K61" s="98" t="str">
        <f t="shared" si="0"/>
        <v>4021/4022</v>
      </c>
      <c r="L61" s="21" t="str">
        <f>VLOOKUP(A61,'Trips&amp;Operators'!$C$1:$G$99999,5,FALSE)</f>
        <v>STARKS ANGELINA</v>
      </c>
      <c r="M61" s="6">
        <f t="shared" si="1"/>
        <v>2.47453703705105E-2</v>
      </c>
      <c r="N61" s="7">
        <f t="shared" si="2"/>
        <v>35.63333333353512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-02-03T08:41:44-0700',mode:absolute,to:'2017-02-03T11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192" t="str">
        <f t="shared" si="6"/>
        <v>N</v>
      </c>
      <c r="X61" s="192">
        <f t="shared" si="7"/>
        <v>1</v>
      </c>
      <c r="Y61" s="62">
        <f t="shared" si="8"/>
        <v>4.5699999999999998E-2</v>
      </c>
      <c r="Z61" s="62">
        <f t="shared" si="9"/>
        <v>23.331399999999999</v>
      </c>
      <c r="AA61" s="62">
        <f t="shared" si="10"/>
        <v>23.285699999999999</v>
      </c>
      <c r="AB61" s="59" t="e">
        <f>VLOOKUP(A61,Enforcements!$C$7:$K$16,8,0)</f>
        <v>#N/A</v>
      </c>
      <c r="AC61" s="55" t="e">
        <f>VLOOKUP(A61,Enforcements!$C$7:$E$16,3,0)</f>
        <v>#N/A</v>
      </c>
      <c r="AD61" s="56" t="str">
        <f t="shared" si="11"/>
        <v>0149-03</v>
      </c>
      <c r="AE61" s="85" t="str">
        <f t="shared" si="12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61" s="82" t="str">
        <f t="shared" si="13"/>
        <v>"C:\Program Files (x86)\AstroGrep\AstroGrep.exe" /spath="%USERPROFILE%\AppData\Local\Temp\OnboardLogs" /stypes="app*4022*20170203*"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149-03 --locoid 4022 --swversion DE.1.0.8.0 --startMP 204:457 --initTime 2017-02-03T09:41:44 --startdatetime 2017-02-03T09:45:16 --delay 1 --endMP 204:233314 --enddatetime 2017-02-03T10:20:54 --enforcementcount 0 &gt;&gt;C:\Users\stu\Documents\GitHub\eaglep3-reporting\EC\2017-02-03-refined-times.txt</v>
      </c>
      <c r="AI61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{"issue":{"subject":"","project_id":79,"tracker_id":40,"status_id":1,"priority_id":2,"assigned_to_id":23,"start_date":"2017-02-03","description":"","custom_fields":[{"id":1,"name":"Subdivision","value":"EC"},{"id":4,"name":"Milepost","value":"23.3314"},{"id":17,"name":"Train ID","value":"149-03"},{"id":16,"name":"Locomotive ID","value":"4022"},{"id":130,"name":"Impact","value":""},{"id":150,"name":"Time of Event (Mountain Time)","value":"10:20:54"},{"id":151,"name":"Denver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8" t="str">
        <f t="shared" si="20"/>
        <v>start /low /b %USERPROFILE%\Documents\GitHub\eaglep3\Utilities\DownloadLogsFromS3.py --loco 4022 --day 2017-02-03</v>
      </c>
      <c r="AN61" s="167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"%USERPROFILE%\AppData\Local\Temp\OnboardLogs"\RTDC4022\*4022*20170203* | grep -SE "(Enforcement Action)|(\[TIMEOUT)|(CHR.+\|PRM\|1\|D.+(SWITCH|SIGNAL).+UNKNOWN)" - &gt;&gt; 2017-02-03-UncaughtWiMAX.txt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625</v>
      </c>
      <c r="B62" s="7">
        <v>4021</v>
      </c>
      <c r="C62" s="21" t="s">
        <v>193</v>
      </c>
      <c r="D62" s="21" t="s">
        <v>370</v>
      </c>
      <c r="E62" s="13">
        <v>42769.442719907405</v>
      </c>
      <c r="F62" s="13">
        <v>42769.445393518516</v>
      </c>
      <c r="G62" s="7">
        <v>1</v>
      </c>
      <c r="H62" s="21" t="s">
        <v>212</v>
      </c>
      <c r="I62" s="13">
        <v>42769.471921296295</v>
      </c>
      <c r="J62" s="7">
        <v>0</v>
      </c>
      <c r="K62" s="98" t="str">
        <f t="shared" si="0"/>
        <v>4021/4022</v>
      </c>
      <c r="L62" s="21" t="str">
        <f>VLOOKUP(A62,'Trips&amp;Operators'!$C$1:$G$99999,5,FALSE)</f>
        <v>STARKS ANGELINA</v>
      </c>
      <c r="M62" s="6">
        <f t="shared" si="1"/>
        <v>2.6527777779847383E-2</v>
      </c>
      <c r="N62" s="7">
        <f t="shared" si="2"/>
        <v>38.200000002980232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-02-03T09:37:31-0700',mode:absolute,to:'2017-02-03T12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192" t="str">
        <f t="shared" si="6"/>
        <v>N</v>
      </c>
      <c r="X62" s="192">
        <f t="shared" si="7"/>
        <v>1</v>
      </c>
      <c r="Y62" s="62">
        <f t="shared" si="8"/>
        <v>23.296700000000001</v>
      </c>
      <c r="Z62" s="62">
        <f t="shared" si="9"/>
        <v>1.52E-2</v>
      </c>
      <c r="AA62" s="62">
        <f t="shared" si="10"/>
        <v>23.281500000000001</v>
      </c>
      <c r="AB62" s="59" t="e">
        <f>VLOOKUP(A62,Enforcements!$C$7:$K$16,8,0)</f>
        <v>#N/A</v>
      </c>
      <c r="AC62" s="55" t="e">
        <f>VLOOKUP(A62,Enforcements!$C$7:$E$16,3,0)</f>
        <v>#N/A</v>
      </c>
      <c r="AD62" s="56" t="str">
        <f t="shared" si="11"/>
        <v>0150-03</v>
      </c>
      <c r="AE62" s="85" t="str">
        <f t="shared" si="12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62" s="82" t="str">
        <f t="shared" si="13"/>
        <v>"C:\Program Files (x86)\AstroGrep\AstroGrep.exe" /spath="%USERPROFILE%\AppData\Local\Temp\OnboardLogs" /stypes="app*4021*20170203*"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150-03 --locoid 4021 --swversion DE.1.0.8.0 --startMP 204:232967 --initTime 2017-02-03T10:37:31 --startdatetime 2017-02-03T10:41:22 --delay 1 --endMP 204:152 --enddatetime 2017-02-03T11:19:34 --enforcementcount 0 &gt;&gt;C:\Users\stu\Documents\GitHub\eaglep3-reporting\EC\2017-02-03-refined-times.txt</v>
      </c>
      <c r="AI62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{"issue":{"subject":"","project_id":79,"tracker_id":40,"status_id":1,"priority_id":2,"assigned_to_id":23,"start_date":"2017-02-03","description":"","custom_fields":[{"id":1,"name":"Subdivision","value":"EC"},{"id":4,"name":"Milepost","value":"0.0152"},{"id":17,"name":"Train ID","value":"150-03"},{"id":16,"name":"Locomotive ID","value":"4021"},{"id":130,"name":"Impact","value":""},{"id":150,"name":"Time of Event (Mountain Time)","value":"11:19:34"},{"id":151,"name":"Denver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8" t="str">
        <f t="shared" si="20"/>
        <v>start /low /b %USERPROFILE%\Documents\GitHub\eaglep3\Utilities\DownloadLogsFromS3.py --loco 4021 --day 2017-02-03</v>
      </c>
      <c r="AN62" s="167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541</v>
      </c>
      <c r="B63" s="7">
        <v>4040</v>
      </c>
      <c r="C63" s="21" t="s">
        <v>193</v>
      </c>
      <c r="D63" s="21" t="s">
        <v>792</v>
      </c>
      <c r="E63" s="13">
        <v>42769.411319444444</v>
      </c>
      <c r="F63" s="13">
        <v>42769.416909722226</v>
      </c>
      <c r="G63" s="7">
        <v>1</v>
      </c>
      <c r="H63" s="21" t="s">
        <v>417</v>
      </c>
      <c r="I63" s="13">
        <v>42769.443379629629</v>
      </c>
      <c r="J63" s="7">
        <v>1</v>
      </c>
      <c r="K63" s="98" t="str">
        <f t="shared" si="0"/>
        <v>4039/4040</v>
      </c>
      <c r="L63" s="21" t="str">
        <f>VLOOKUP(A63,'Trips&amp;Operators'!$C$1:$G$99999,5,FALSE)</f>
        <v>LOZA FIDEL</v>
      </c>
      <c r="M63" s="6">
        <f t="shared" si="1"/>
        <v>2.6469907403225079E-2</v>
      </c>
      <c r="N63" s="7">
        <f t="shared" si="2"/>
        <v>38.116666660644114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-02-03T08:52:18-0700',mode:absolute,to:'2017-02-03T11:38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92" t="str">
        <f t="shared" si="6"/>
        <v>N</v>
      </c>
      <c r="X63" s="192">
        <f t="shared" si="7"/>
        <v>1</v>
      </c>
      <c r="Y63" s="62">
        <f t="shared" si="8"/>
        <v>4.7300000000000002E-2</v>
      </c>
      <c r="Z63" s="62">
        <f t="shared" si="9"/>
        <v>23.33</v>
      </c>
      <c r="AA63" s="62">
        <f t="shared" si="10"/>
        <v>23.282699999999998</v>
      </c>
      <c r="AB63" s="59" t="e">
        <f>VLOOKUP(A63,Enforcements!$C$7:$K$16,8,0)</f>
        <v>#N/A</v>
      </c>
      <c r="AC63" s="55" t="e">
        <f>VLOOKUP(A63,Enforcements!$C$7:$E$16,3,0)</f>
        <v>#N/A</v>
      </c>
      <c r="AD63" s="56" t="str">
        <f t="shared" si="11"/>
        <v>0151-03</v>
      </c>
      <c r="AE63" s="85" t="str">
        <f t="shared" si="12"/>
        <v>aws s3 cp s3://rtdc.mdm.uploadarchive.raw/RTDC4040/ "%USERPROFILE%\AppData\Local\Temp\OnboardLogs"\RTDC4040\2017-02-03 --exclude "*" --recursive --include "*20170203*" &amp; "%USERPROFILE%\Documents\GitHub\mrs-test-scripts\Headless Mode &amp; Sideloading\WalkAndUnGZ.bat" "%USERPROFILE%\AppData\Local\Temp\OnboardLogs"\RTDC4040\2017-02-03 &amp; 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</v>
      </c>
      <c r="AF63" s="82" t="str">
        <f t="shared" si="13"/>
        <v>"C:\Program Files (x86)\AstroGrep\AstroGrep.exe" /spath="%USERPROFILE%\AppData\Local\Temp\OnboardLogs" /stypes="app*4040*20170203*"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151-03 --locoid 4040 --swversion DE.1.0.8.0 --startMP 204:473 --initTime 2017-02-03T09:52:18 --startdatetime 2017-02-03T10:00:21 --delay 1 --endMP 204:233300 --enddatetime 2017-02-03T10:38:28 --enforcementcount 1 &gt;&gt;C:\Users\stu\Documents\GitHub\eaglep3-reporting\EC\2017-02-03-refined-times.txt</v>
      </c>
      <c r="AI63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{"issue":{"subject":"","project_id":79,"tracker_id":40,"status_id":1,"priority_id":2,"assigned_to_id":23,"start_date":"2017-02-03","description":"","custom_fields":[{"id":1,"name":"Subdivision","value":"EC"},{"id":4,"name":"Milepost","value":"23.33"},{"id":17,"name":"Train ID","value":"151-03"},{"id":16,"name":"Locomotive ID","value":"4040"},{"id":130,"name":"Impact","value":""},{"id":150,"name":"Time of Event (Mountain Time)","value":"10:38:28"},{"id":151,"name":"Denver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8" t="str">
        <f t="shared" si="20"/>
        <v>start /low /b %USERPROFILE%\Documents\GitHub\eaglep3\Utilities\DownloadLogsFromS3.py --loco 4040 --day 2017-02-03</v>
      </c>
      <c r="AN63" s="167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"%USERPROFILE%\AppData\Local\Temp\OnboardLogs"\RTDC4040\*4040*20170203* | grep -SE "(Enforcement Action)|(\[TIMEOUT)|(CHR.+\|PRM\|1\|D.+(SWITCH|SIGNAL).+UNKNOWN)" - &gt;&gt; 2017-02-03-UncaughtWiMAX.txt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627</v>
      </c>
      <c r="B64" s="7">
        <v>4039</v>
      </c>
      <c r="C64" s="21" t="s">
        <v>193</v>
      </c>
      <c r="D64" s="21" t="s">
        <v>309</v>
      </c>
      <c r="E64" s="13">
        <v>42769.451284722221</v>
      </c>
      <c r="F64" s="13">
        <v>42769.455949074072</v>
      </c>
      <c r="G64" s="7">
        <v>1</v>
      </c>
      <c r="H64" s="21" t="s">
        <v>196</v>
      </c>
      <c r="I64" s="13">
        <v>42769.481886574074</v>
      </c>
      <c r="J64" s="7">
        <v>0</v>
      </c>
      <c r="K64" s="98" t="str">
        <f t="shared" si="0"/>
        <v>4039/4040</v>
      </c>
      <c r="L64" s="21" t="str">
        <f>VLOOKUP(A64,'Trips&amp;Operators'!$C$1:$G$99999,5,FALSE)</f>
        <v>LOZA FIDEL</v>
      </c>
      <c r="M64" s="6">
        <f t="shared" si="1"/>
        <v>2.5937500002328306E-2</v>
      </c>
      <c r="N64" s="7">
        <f t="shared" si="2"/>
        <v>37.350000003352761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-02-03T09:49:51-0700',mode:absolute,to:'2017-02-03T12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92" t="str">
        <f t="shared" si="6"/>
        <v>N</v>
      </c>
      <c r="X64" s="192">
        <f t="shared" si="7"/>
        <v>1</v>
      </c>
      <c r="Y64" s="62">
        <f t="shared" si="8"/>
        <v>23.299800000000001</v>
      </c>
      <c r="Z64" s="62">
        <f t="shared" si="9"/>
        <v>1.4999999999999999E-2</v>
      </c>
      <c r="AA64" s="62">
        <f t="shared" si="10"/>
        <v>23.284800000000001</v>
      </c>
      <c r="AB64" s="59" t="e">
        <f>VLOOKUP(A64,Enforcements!$C$7:$K$16,8,0)</f>
        <v>#N/A</v>
      </c>
      <c r="AC64" s="55" t="e">
        <f>VLOOKUP(A64,Enforcements!$C$7:$E$16,3,0)</f>
        <v>#N/A</v>
      </c>
      <c r="AD64" s="56" t="str">
        <f t="shared" si="11"/>
        <v>0152-03</v>
      </c>
      <c r="AE64" s="85" t="str">
        <f t="shared" si="12"/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AF64" s="82" t="str">
        <f t="shared" si="13"/>
        <v>"C:\Program Files (x86)\AstroGrep\AstroGrep.exe" /spath="%USERPROFILE%\AppData\Local\Temp\OnboardLogs" /stypes="app*4039*20170203*"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152-03 --locoid 4039 --swversion DE.1.0.8.0 --startMP 204:232998 --initTime 2017-02-03T10:49:51 --startdatetime 2017-02-03T10:56:34 --delay 1 --endMP 204:150 --enddatetime 2017-02-03T11:33:55 --enforcementcount 0 &gt;&gt;C:\Users\stu\Documents\GitHub\eaglep3-reporting\EC\2017-02-03-refined-times.txt</v>
      </c>
      <c r="AI64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{"issue":{"subject":"","project_id":79,"tracker_id":40,"status_id":1,"priority_id":2,"assigned_to_id":23,"start_date":"2017-02-03","description":"","custom_fields":[{"id":1,"name":"Subdivision","value":"EC"},{"id":4,"name":"Milepost","value":"0.015"},{"id":17,"name":"Train ID","value":"152-03"},{"id":16,"name":"Locomotive ID","value":"4039"},{"id":130,"name":"Impact","value":""},{"id":150,"name":"Time of Event (Mountain Time)","value":"11:33:55"},{"id":151,"name":"Denver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8" t="str">
        <f t="shared" si="20"/>
        <v>start /low /b %USERPROFILE%\Documents\GitHub\eaglep3\Utilities\DownloadLogsFromS3.py --loco 4039 --day 2017-02-03</v>
      </c>
      <c r="AN64" s="167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"%USERPROFILE%\AppData\Local\Temp\OnboardLogs"\RTDC4039\*4039*20170203* | grep -SE "(Enforcement Action)|(\[TIMEOUT)|(CHR.+\|PRM\|1\|D.+(SWITCH|SIGNAL).+UNKNOWN)" - &gt;&gt; 2017-02-03-UncaughtWiMAX.txt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621</v>
      </c>
      <c r="B65" s="7">
        <v>4044</v>
      </c>
      <c r="C65" s="21" t="s">
        <v>193</v>
      </c>
      <c r="D65" s="21" t="s">
        <v>243</v>
      </c>
      <c r="E65" s="13">
        <v>42769.422500000001</v>
      </c>
      <c r="F65" s="13">
        <v>42769.42728009259</v>
      </c>
      <c r="G65" s="7">
        <v>1</v>
      </c>
      <c r="H65" s="21" t="s">
        <v>793</v>
      </c>
      <c r="I65" s="13">
        <v>42769.452615740738</v>
      </c>
      <c r="J65" s="7">
        <v>0</v>
      </c>
      <c r="K65" s="98" t="str">
        <f t="shared" si="0"/>
        <v>4043/4044</v>
      </c>
      <c r="L65" s="21" t="str">
        <f>VLOOKUP(A65,'Trips&amp;Operators'!$C$1:$G$99999,5,FALSE)</f>
        <v>BONDS REYNALDO</v>
      </c>
      <c r="M65" s="6">
        <f t="shared" si="1"/>
        <v>2.5335648148029577E-2</v>
      </c>
      <c r="N65" s="7">
        <f t="shared" si="2"/>
        <v>36.483333333162591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-02-03T09:08:24-0700',mode:absolute,to:'2017-02-03T11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92" t="str">
        <f t="shared" si="6"/>
        <v>N</v>
      </c>
      <c r="X65" s="192">
        <f t="shared" si="7"/>
        <v>1</v>
      </c>
      <c r="Y65" s="62">
        <f t="shared" si="8"/>
        <v>4.5999999999999999E-2</v>
      </c>
      <c r="Z65" s="62">
        <f t="shared" si="9"/>
        <v>23.330500000000001</v>
      </c>
      <c r="AA65" s="62">
        <f t="shared" si="10"/>
        <v>23.284500000000001</v>
      </c>
      <c r="AB65" s="59" t="e">
        <f>VLOOKUP(A65,Enforcements!$C$7:$K$16,8,0)</f>
        <v>#N/A</v>
      </c>
      <c r="AC65" s="55" t="e">
        <f>VLOOKUP(A65,Enforcements!$C$7:$E$16,3,0)</f>
        <v>#N/A</v>
      </c>
      <c r="AD65" s="56" t="str">
        <f t="shared" si="11"/>
        <v>0153-03</v>
      </c>
      <c r="AE65" s="85" t="str">
        <f t="shared" si="12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65" s="82" t="str">
        <f t="shared" si="13"/>
        <v>"C:\Program Files (x86)\AstroGrep\AstroGrep.exe" /spath="%USERPROFILE%\AppData\Local\Temp\OnboardLogs" /stypes="app*4044*20170203*"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153-03 --locoid 4044 --swversion DE.1.0.8.0 --startMP 204:460 --initTime 2017-02-03T10:08:24 --startdatetime 2017-02-03T10:15:17 --delay 1 --endMP 204:233305 --enddatetime 2017-02-03T10:51:46 --enforcementcount 0 &gt;&gt;C:\Users\stu\Documents\GitHub\eaglep3-reporting\EC\2017-02-03-refined-times.txt</v>
      </c>
      <c r="AI65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{"issue":{"subject":"","project_id":79,"tracker_id":40,"status_id":1,"priority_id":2,"assigned_to_id":23,"start_date":"2017-02-03","description":"","custom_fields":[{"id":1,"name":"Subdivision","value":"EC"},{"id":4,"name":"Milepost","value":"23.3305"},{"id":17,"name":"Train ID","value":"153-03"},{"id":16,"name":"Locomotive ID","value":"4044"},{"id":130,"name":"Impact","value":""},{"id":150,"name":"Time of Event (Mountain Time)","value":"10:51:46"},{"id":151,"name":"Denver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8" t="str">
        <f t="shared" si="20"/>
        <v>start /low /b %USERPROFILE%\Documents\GitHub\eaglep3\Utilities\DownloadLogsFromS3.py --loco 4044 --day 2017-02-03</v>
      </c>
      <c r="AN65" s="167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"%USERPROFILE%\AppData\Local\Temp\OnboardLogs"\RTDC4044\*4044*20170203* | grep -SE "(Enforcement Action)|(\[TIMEOUT)|(CHR.+\|PRM\|1\|D.+(SWITCH|SIGNAL).+UNKNOWN)" - &gt;&gt; 2017-02-03-UncaughtWiMAX.txt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634</v>
      </c>
      <c r="B66" s="7">
        <v>4043</v>
      </c>
      <c r="C66" s="21" t="s">
        <v>193</v>
      </c>
      <c r="D66" s="21" t="s">
        <v>362</v>
      </c>
      <c r="E66" s="13">
        <v>42769.462164351855</v>
      </c>
      <c r="F66" s="13">
        <v>42769.466168981482</v>
      </c>
      <c r="G66" s="7">
        <v>0</v>
      </c>
      <c r="H66" s="21" t="s">
        <v>290</v>
      </c>
      <c r="I66" s="13">
        <v>42769.493344907409</v>
      </c>
      <c r="J66" s="7">
        <v>0</v>
      </c>
      <c r="K66" s="98" t="str">
        <f t="shared" si="0"/>
        <v>4043/4044</v>
      </c>
      <c r="L66" s="21" t="str">
        <f>VLOOKUP(A66,'Trips&amp;Operators'!$C$1:$G$99999,5,FALSE)</f>
        <v>BONDS REYNALDO</v>
      </c>
      <c r="M66" s="6">
        <f t="shared" si="1"/>
        <v>2.7175925926712807E-2</v>
      </c>
      <c r="N66" s="7">
        <f t="shared" si="2"/>
        <v>39.133333334466442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-02-03T10:05:31-0700',mode:absolute,to:'2017-02-03T12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92" t="str">
        <f t="shared" si="6"/>
        <v>N</v>
      </c>
      <c r="X66" s="192">
        <f t="shared" si="7"/>
        <v>1</v>
      </c>
      <c r="Y66" s="62">
        <f t="shared" si="8"/>
        <v>23.297799999999999</v>
      </c>
      <c r="Z66" s="62">
        <f t="shared" si="9"/>
        <v>1.5599999999999999E-2</v>
      </c>
      <c r="AA66" s="62">
        <f t="shared" si="10"/>
        <v>23.2822</v>
      </c>
      <c r="AB66" s="59" t="e">
        <f>VLOOKUP(A66,Enforcements!$C$7:$K$16,8,0)</f>
        <v>#N/A</v>
      </c>
      <c r="AC66" s="55" t="e">
        <f>VLOOKUP(A66,Enforcements!$C$7:$E$16,3,0)</f>
        <v>#N/A</v>
      </c>
      <c r="AD66" s="56" t="str">
        <f t="shared" si="11"/>
        <v>0154-03</v>
      </c>
      <c r="AE66" s="85" t="str">
        <f t="shared" si="12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66" s="82" t="str">
        <f t="shared" si="13"/>
        <v>"C:\Program Files (x86)\AstroGrep\AstroGrep.exe" /spath="%USERPROFILE%\AppData\Local\Temp\OnboardLogs" /stypes="app*4043*20170203*"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154-03 --locoid 4043 --swversion DE.1.0.8.0 --startMP 204:232978 --initTime 2017-02-03T11:05:31 --startdatetime 2017-02-03T11:11:17 --delay 0 --endMP 204:156 --enddatetime 2017-02-03T11:50:25 --enforcementcount 0 &gt;&gt;C:\Users\stu\Documents\GitHub\eaglep3-reporting\EC\2017-02-03-refined-times.txt</v>
      </c>
      <c r="AI66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{"issue":{"subject":"","project_id":79,"tracker_id":40,"status_id":1,"priority_id":2,"assigned_to_id":23,"start_date":"2017-02-03","description":"","custom_fields":[{"id":1,"name":"Subdivision","value":"EC"},{"id":4,"name":"Milepost","value":"0.0156"},{"id":17,"name":"Train ID","value":"154-03"},{"id":16,"name":"Locomotive ID","value":"4043"},{"id":130,"name":"Impact","value":""},{"id":150,"name":"Time of Event (Mountain Time)","value":"11:50:25"},{"id":151,"name":"Denver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8" t="str">
        <f t="shared" si="20"/>
        <v>start /low /b %USERPROFILE%\Documents\GitHub\eaglep3\Utilities\DownloadLogsFromS3.py --loco 4043 --day 2017-02-03</v>
      </c>
      <c r="AN66" s="167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"%USERPROFILE%\AppData\Local\Temp\OnboardLogs"\RTDC4043\*4043*20170203* | grep -SE "(Enforcement Action)|(\[TIMEOUT)|(CHR.+\|PRM\|1\|D.+(SWITCH|SIGNAL).+UNKNOWN)" - &gt;&gt; 2017-02-03-UncaughtWiMAX.txt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624</v>
      </c>
      <c r="B67" s="7">
        <v>4018</v>
      </c>
      <c r="C67" s="21" t="s">
        <v>193</v>
      </c>
      <c r="D67" s="21" t="s">
        <v>794</v>
      </c>
      <c r="E67" s="13">
        <v>42769.43309027778</v>
      </c>
      <c r="F67" s="13">
        <v>42769.437673611108</v>
      </c>
      <c r="G67" s="7">
        <v>2</v>
      </c>
      <c r="H67" s="21" t="s">
        <v>366</v>
      </c>
      <c r="I67" s="13">
        <v>42769.463391203702</v>
      </c>
      <c r="J67" s="7">
        <v>0</v>
      </c>
      <c r="K67" s="98" t="str">
        <f t="shared" si="0"/>
        <v>4017/4018</v>
      </c>
      <c r="L67" s="21" t="str">
        <f>VLOOKUP(A67,'Trips&amp;Operators'!$C$1:$G$99999,5,FALSE)</f>
        <v>GEBRETEKLE DAGNEW</v>
      </c>
      <c r="M67" s="6">
        <f t="shared" si="1"/>
        <v>2.5717592594446614E-2</v>
      </c>
      <c r="N67" s="7">
        <f t="shared" si="2"/>
        <v>37.033333336003125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-02-03T09:23:39-0700',mode:absolute,to:'2017-02-03T12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92" t="str">
        <f t="shared" si="6"/>
        <v>N</v>
      </c>
      <c r="X67" s="192">
        <f t="shared" si="7"/>
        <v>1</v>
      </c>
      <c r="Y67" s="62">
        <f t="shared" si="8"/>
        <v>5.3699999999999998E-2</v>
      </c>
      <c r="Z67" s="62">
        <f t="shared" si="9"/>
        <v>23.3293</v>
      </c>
      <c r="AA67" s="62">
        <f t="shared" si="10"/>
        <v>23.275600000000001</v>
      </c>
      <c r="AB67" s="59" t="e">
        <f>VLOOKUP(A67,Enforcements!$C$7:$K$16,8,0)</f>
        <v>#N/A</v>
      </c>
      <c r="AC67" s="55" t="e">
        <f>VLOOKUP(A67,Enforcements!$C$7:$E$16,3,0)</f>
        <v>#N/A</v>
      </c>
      <c r="AD67" s="56" t="str">
        <f t="shared" si="11"/>
        <v>0155-03</v>
      </c>
      <c r="AE67" s="85" t="str">
        <f t="shared" si="12"/>
        <v>aws s3 cp s3://rtdc.mdm.uploadarchive.raw/RTDC4018/ "%USERPROFILE%\AppData\Local\Temp\OnboardLogs"\RTDC4018\2017-02-03 --exclude "*" --recursive --include "*20170203*" &amp; "%USERPROFILE%\Documents\GitHub\mrs-test-scripts\Headless Mode &amp; Sideloading\WalkAndUnGZ.bat" "%USERPROFILE%\AppData\Local\Temp\OnboardLogs"\RTDC4018\2017-02-03 &amp; aws s3 cp s3://rtdc.mdm.uploadarchive.raw/RTDC4018/ "%USERPROFILE%\AppData\Local\Temp\OnboardLogs"\RTDC4018\2017-02-04 --exclude "*" --recursive --include "*20170204*" &amp; "%USERPROFILE%\Documents\GitHub\mrs-test-scripts\Headless Mode &amp; Sideloading\WalkAndUnGZ.bat" "%USERPROFILE%\AppData\Local\Temp\OnboardLogs"\RTDC4018\2017-02-04</v>
      </c>
      <c r="AF67" s="82" t="str">
        <f t="shared" si="13"/>
        <v>"C:\Program Files (x86)\AstroGrep\AstroGrep.exe" /spath="%USERPROFILE%\AppData\Local\Temp\OnboardLogs" /stypes="app*4018*20170203*"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155-03 --locoid 4018 --swversion DE.1.0.8.0 --startMP 204:537 --initTime 2017-02-03T10:23:39 --startdatetime 2017-02-03T10:30:15 --delay 2 --endMP 204:233293 --enddatetime 2017-02-03T11:07:17 --enforcementcount 0 &gt;&gt;C:\Users\stu\Documents\GitHub\eaglep3-reporting\EC\2017-02-03-refined-times.txt</v>
      </c>
      <c r="AI67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{"issue":{"subject":"","project_id":79,"tracker_id":40,"status_id":1,"priority_id":2,"assigned_to_id":23,"start_date":"2017-02-03","description":"","custom_fields":[{"id":1,"name":"Subdivision","value":"EC"},{"id":4,"name":"Milepost","value":"23.3293"},{"id":17,"name":"Train ID","value":"155-03"},{"id":16,"name":"Locomotive ID","value":"4018"},{"id":130,"name":"Impact","value":""},{"id":150,"name":"Time of Event (Mountain Time)","value":"11:07:17"},{"id":151,"name":"Denver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8" t="str">
        <f t="shared" si="20"/>
        <v>start /low /b %USERPROFILE%\Documents\GitHub\eaglep3\Utilities\DownloadLogsFromS3.py --loco 4018 --day 2017-02-03</v>
      </c>
      <c r="AN67" s="167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"%USERPROFILE%\AppData\Local\Temp\OnboardLogs"\RTDC4018\*4018*20170203* | grep -SE "(Enforcement Action)|(\[TIMEOUT)|(CHR.+\|PRM\|1\|D.+(SWITCH|SIGNAL).+UNKNOWN)" - &gt;&gt; 2017-02-03-UncaughtWiMAX.txt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639</v>
      </c>
      <c r="B68" s="7">
        <v>4017</v>
      </c>
      <c r="C68" s="21" t="s">
        <v>193</v>
      </c>
      <c r="D68" s="21" t="s">
        <v>795</v>
      </c>
      <c r="E68" s="13">
        <v>42769.47283564815</v>
      </c>
      <c r="F68" s="13">
        <v>42769.476620370369</v>
      </c>
      <c r="G68" s="7">
        <v>2</v>
      </c>
      <c r="H68" s="21" t="s">
        <v>208</v>
      </c>
      <c r="I68" s="13">
        <v>42769.50240740741</v>
      </c>
      <c r="J68" s="7">
        <v>0</v>
      </c>
      <c r="K68" s="98" t="str">
        <f t="shared" si="0"/>
        <v>4017/4018</v>
      </c>
      <c r="L68" s="21" t="str">
        <f>VLOOKUP(A68,'Trips&amp;Operators'!$C$1:$G$99999,5,FALSE)</f>
        <v>GEBRETEKLE DAGNEW</v>
      </c>
      <c r="M68" s="6">
        <f t="shared" si="1"/>
        <v>2.5787037040572613E-2</v>
      </c>
      <c r="N68" s="7">
        <f t="shared" si="2"/>
        <v>37.133333338424563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-02-03T10:20:53-0700',mode:absolute,to:'2017-02-03T13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92" t="str">
        <f t="shared" si="6"/>
        <v>N</v>
      </c>
      <c r="X68" s="192">
        <f t="shared" si="7"/>
        <v>1</v>
      </c>
      <c r="Y68" s="62">
        <f t="shared" si="8"/>
        <v>23.301300000000001</v>
      </c>
      <c r="Z68" s="62">
        <f t="shared" si="9"/>
        <v>1.6E-2</v>
      </c>
      <c r="AA68" s="62">
        <f t="shared" si="10"/>
        <v>23.285300000000003</v>
      </c>
      <c r="AB68" s="59" t="e">
        <f>VLOOKUP(A68,Enforcements!$C$7:$K$16,8,0)</f>
        <v>#N/A</v>
      </c>
      <c r="AC68" s="55" t="e">
        <f>VLOOKUP(A68,Enforcements!$C$7:$E$16,3,0)</f>
        <v>#N/A</v>
      </c>
      <c r="AD68" s="56" t="str">
        <f t="shared" si="11"/>
        <v>0156-03</v>
      </c>
      <c r="AE68" s="85" t="str">
        <f t="shared" si="12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68" s="82" t="str">
        <f t="shared" si="13"/>
        <v>"C:\Program Files (x86)\AstroGrep\AstroGrep.exe" /spath="%USERPROFILE%\AppData\Local\Temp\OnboardLogs" /stypes="app*4017*20170203*"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156-03 --locoid 4017 --swversion DE.1.0.8.0 --startMP 204:233013 --initTime 2017-02-03T11:20:53 --startdatetime 2017-02-03T11:26:20 --delay 2 --endMP 204:160 --enddatetime 2017-02-03T12:03:28 --enforcementcount 0 &gt;&gt;C:\Users\stu\Documents\GitHub\eaglep3-reporting\EC\2017-02-03-refined-times.txt</v>
      </c>
      <c r="AI68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{"issue":{"subject":"","project_id":79,"tracker_id":40,"status_id":1,"priority_id":2,"assigned_to_id":23,"start_date":"2017-02-03","description":"","custom_fields":[{"id":1,"name":"Subdivision","value":"EC"},{"id":4,"name":"Milepost","value":"0.016"},{"id":17,"name":"Train ID","value":"156-03"},{"id":16,"name":"Locomotive ID","value":"4017"},{"id":130,"name":"Impact","value":""},{"id":150,"name":"Time of Event (Mountain Time)","value":"12:03:28"},{"id":151,"name":"Denver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8" t="str">
        <f t="shared" si="20"/>
        <v>start /low /b %USERPROFILE%\Documents\GitHub\eaglep3\Utilities\DownloadLogsFromS3.py --loco 4017 --day 2017-02-03</v>
      </c>
      <c r="AN68" s="167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"%USERPROFILE%\AppData\Local\Temp\OnboardLogs"\RTDC4017\*4017*20170203* | grep -SE "(Enforcement Action)|(\[TIMEOUT)|(CHR.+\|PRM\|1\|D.+(SWITCH|SIGNAL).+UNKNOWN)" - &gt;&gt; 2017-02-03-UncaughtWiMAX.txt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626</v>
      </c>
      <c r="B69" s="7">
        <v>4025</v>
      </c>
      <c r="C69" s="21" t="s">
        <v>193</v>
      </c>
      <c r="D69" s="21" t="s">
        <v>211</v>
      </c>
      <c r="E69" s="13">
        <v>42769.444872685184</v>
      </c>
      <c r="F69" s="13">
        <v>42769.448449074072</v>
      </c>
      <c r="G69" s="7">
        <v>1</v>
      </c>
      <c r="H69" s="21" t="s">
        <v>378</v>
      </c>
      <c r="I69" s="13">
        <v>42769.472488425927</v>
      </c>
      <c r="J69" s="7">
        <v>0</v>
      </c>
      <c r="K69" s="98" t="str">
        <f t="shared" si="0"/>
        <v>4025/4026</v>
      </c>
      <c r="L69" s="21" t="str">
        <f>VLOOKUP(A69,'Trips&amp;Operators'!$C$1:$G$99999,5,FALSE)</f>
        <v>ROCHA YAOTL</v>
      </c>
      <c r="M69" s="6">
        <f t="shared" si="1"/>
        <v>2.4039351854298729E-2</v>
      </c>
      <c r="N69" s="7">
        <f t="shared" si="2"/>
        <v>34.61666667019017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-02-03T09:40:37-0700',mode:absolute,to:'2017-02-03T12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9" s="192" t="str">
        <f t="shared" si="6"/>
        <v>N</v>
      </c>
      <c r="X69" s="192">
        <f t="shared" si="7"/>
        <v>1</v>
      </c>
      <c r="Y69" s="62">
        <f t="shared" si="8"/>
        <v>4.4900000000000002E-2</v>
      </c>
      <c r="Z69" s="62">
        <f t="shared" si="9"/>
        <v>23.328800000000001</v>
      </c>
      <c r="AA69" s="62">
        <f t="shared" si="10"/>
        <v>23.283900000000003</v>
      </c>
      <c r="AB69" s="59" t="e">
        <f>VLOOKUP(A69,Enforcements!$C$7:$K$16,8,0)</f>
        <v>#N/A</v>
      </c>
      <c r="AC69" s="55" t="e">
        <f>VLOOKUP(A69,Enforcements!$C$7:$E$16,3,0)</f>
        <v>#N/A</v>
      </c>
      <c r="AD69" s="56" t="str">
        <f t="shared" si="11"/>
        <v>0157-03</v>
      </c>
      <c r="AE69" s="85" t="str">
        <f t="shared" si="12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69" s="82" t="str">
        <f t="shared" si="13"/>
        <v>"C:\Program Files (x86)\AstroGrep\AstroGrep.exe" /spath="%USERPROFILE%\AppData\Local\Temp\OnboardLogs" /stypes="app*4025*20170203*"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157-03 --locoid 4025 --swversion DE.1.0.8.0 --startMP 204:449 --initTime 2017-02-03T10:40:37 --startdatetime 2017-02-03T10:45:46 --delay 1 --endMP 204:233288 --enddatetime 2017-02-03T11:20:23 --enforcementcount 0 &gt;&gt;C:\Users\stu\Documents\GitHub\eaglep3-reporting\EC\2017-02-03-refined-times.txt</v>
      </c>
      <c r="AI69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{"issue":{"subject":"","project_id":79,"tracker_id":40,"status_id":1,"priority_id":2,"assigned_to_id":23,"start_date":"2017-02-03","description":"","custom_fields":[{"id":1,"name":"Subdivision","value":"EC"},{"id":4,"name":"Milepost","value":"23.3288"},{"id":17,"name":"Train ID","value":"157-03"},{"id":16,"name":"Locomotive ID","value":"4025"},{"id":130,"name":"Impact","value":""},{"id":150,"name":"Time of Event (Mountain Time)","value":"11:20:23"},{"id":151,"name":"Denver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8" t="str">
        <f t="shared" si="20"/>
        <v>start /low /b %USERPROFILE%\Documents\GitHub\eaglep3\Utilities\DownloadLogsFromS3.py --loco 4025 --day 2017-02-03</v>
      </c>
      <c r="AN69" s="167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"%USERPROFILE%\AppData\Local\Temp\OnboardLogs"\RTDC4025\*4025*20170203* | grep -SE "(Enforcement Action)|(\[TIMEOUT)|(CHR.+\|PRM\|1\|D.+(SWITCH|SIGNAL).+UNKNOWN)" - &gt;&gt; 2017-02-03-UncaughtWiMAX.txt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643</v>
      </c>
      <c r="B70" s="7">
        <v>4026</v>
      </c>
      <c r="C70" s="21" t="s">
        <v>193</v>
      </c>
      <c r="D70" s="21" t="s">
        <v>796</v>
      </c>
      <c r="E70" s="13">
        <v>42769.486724537041</v>
      </c>
      <c r="F70" s="13">
        <v>42769.487719907411</v>
      </c>
      <c r="G70" s="7">
        <v>1</v>
      </c>
      <c r="H70" s="21" t="s">
        <v>196</v>
      </c>
      <c r="I70" s="13">
        <v>42769.512928240743</v>
      </c>
      <c r="J70" s="7">
        <v>0</v>
      </c>
      <c r="K70" s="98" t="str">
        <f t="shared" si="0"/>
        <v>4025/4026</v>
      </c>
      <c r="L70" s="21" t="str">
        <f>VLOOKUP(A70,'Trips&amp;Operators'!$C$1:$G$99999,5,FALSE)</f>
        <v>ROCHA YAOTL</v>
      </c>
      <c r="M70" s="6">
        <f t="shared" si="1"/>
        <v>2.5208333332557231E-2</v>
      </c>
      <c r="N70" s="7">
        <f t="shared" si="2"/>
        <v>36.299999998882413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-02-03T10:40:53-0700',mode:absolute,to:'2017-02-03T13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0" s="192" t="str">
        <f t="shared" si="6"/>
        <v>N</v>
      </c>
      <c r="X70" s="192">
        <f t="shared" si="7"/>
        <v>1</v>
      </c>
      <c r="Y70" s="62">
        <f t="shared" si="8"/>
        <v>23.2652</v>
      </c>
      <c r="Z70" s="62">
        <f t="shared" si="9"/>
        <v>1.4999999999999999E-2</v>
      </c>
      <c r="AA70" s="62">
        <f t="shared" si="10"/>
        <v>23.2502</v>
      </c>
      <c r="AB70" s="59" t="e">
        <f>VLOOKUP(A70,Enforcements!$C$7:$K$16,8,0)</f>
        <v>#N/A</v>
      </c>
      <c r="AC70" s="55" t="e">
        <f>VLOOKUP(A70,Enforcements!$C$7:$E$16,3,0)</f>
        <v>#N/A</v>
      </c>
      <c r="AD70" s="56" t="str">
        <f t="shared" si="11"/>
        <v>0158-03</v>
      </c>
      <c r="AE70" s="85" t="str">
        <f t="shared" si="12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70" s="82" t="str">
        <f t="shared" si="13"/>
        <v>"C:\Program Files (x86)\AstroGrep\AstroGrep.exe" /spath="%USERPROFILE%\AppData\Local\Temp\OnboardLogs" /stypes="app*4026*20170203*"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158-03 --locoid 4026 --swversion DE.1.0.8.0 --startMP 204:232652 --initTime 2017-02-03T11:40:53 --startdatetime 2017-02-03T11:42:19 --delay 1 --endMP 204:150 --enddatetime 2017-02-03T12:18:37 --enforcementcount 0 &gt;&gt;C:\Users\stu\Documents\GitHub\eaglep3-reporting\EC\2017-02-03-refined-times.txt</v>
      </c>
      <c r="AI70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{"issue":{"subject":"","project_id":79,"tracker_id":40,"status_id":1,"priority_id":2,"assigned_to_id":23,"start_date":"2017-02-03","description":"","custom_fields":[{"id":1,"name":"Subdivision","value":"EC"},{"id":4,"name":"Milepost","value":"0.015"},{"id":17,"name":"Train ID","value":"158-03"},{"id":16,"name":"Locomotive ID","value":"4026"},{"id":130,"name":"Impact","value":""},{"id":150,"name":"Time of Event (Mountain Time)","value":"12:18:37"},{"id":151,"name":"Denver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8" t="str">
        <f t="shared" si="20"/>
        <v>start /low /b %USERPROFILE%\Documents\GitHub\eaglep3\Utilities\DownloadLogsFromS3.py --loco 4026 --day 2017-02-03</v>
      </c>
      <c r="AN70" s="167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"%USERPROFILE%\AppData\Local\Temp\OnboardLogs"\RTDC4026\*4026*20170203* | grep -SE "(Enforcement Action)|(\[TIMEOUT)|(CHR.+\|PRM\|1\|D.+(SWITCH|SIGNAL).+UNKNOWN)" - &gt;&gt; 2017-02-03-UncaughtWiMAX.txt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632</v>
      </c>
      <c r="B71" s="7">
        <v>4002</v>
      </c>
      <c r="C71" s="21" t="s">
        <v>193</v>
      </c>
      <c r="D71" s="21" t="s">
        <v>292</v>
      </c>
      <c r="E71" s="13">
        <v>42769.45449074074</v>
      </c>
      <c r="F71" s="13">
        <v>42769.45857638889</v>
      </c>
      <c r="G71" s="7">
        <v>2</v>
      </c>
      <c r="H71" s="21" t="s">
        <v>311</v>
      </c>
      <c r="I71" s="13">
        <v>42769.484155092592</v>
      </c>
      <c r="J71" s="7">
        <v>0</v>
      </c>
      <c r="K71" s="98" t="str">
        <f t="shared" si="0"/>
        <v>4001/4002</v>
      </c>
      <c r="L71" s="21" t="str">
        <f>VLOOKUP(A71,'Trips&amp;Operators'!$C$1:$G$99999,5,FALSE)</f>
        <v>STEWART MICHAEL</v>
      </c>
      <c r="M71" s="6">
        <f t="shared" si="1"/>
        <v>2.5578703702194616E-2</v>
      </c>
      <c r="N71" s="7">
        <f t="shared" si="2"/>
        <v>36.833333331160247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-02-03T09:54:28-0700',mode:absolute,to:'2017-02-03T12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192" t="str">
        <f t="shared" si="6"/>
        <v>N</v>
      </c>
      <c r="X71" s="192">
        <f t="shared" si="7"/>
        <v>1</v>
      </c>
      <c r="Y71" s="62">
        <f t="shared" si="8"/>
        <v>4.5499999999999999E-2</v>
      </c>
      <c r="Z71" s="62">
        <f t="shared" si="9"/>
        <v>23.3278</v>
      </c>
      <c r="AA71" s="62">
        <f t="shared" si="10"/>
        <v>23.282299999999999</v>
      </c>
      <c r="AB71" s="59" t="e">
        <f>VLOOKUP(A71,Enforcements!$C$7:$K$16,8,0)</f>
        <v>#N/A</v>
      </c>
      <c r="AC71" s="55" t="e">
        <f>VLOOKUP(A71,Enforcements!$C$7:$E$16,3,0)</f>
        <v>#N/A</v>
      </c>
      <c r="AD71" s="56" t="str">
        <f t="shared" si="11"/>
        <v>0159-03</v>
      </c>
      <c r="AE71" s="85" t="str">
        <f t="shared" si="12"/>
        <v>aws s3 cp s3://rtdc.mdm.uploadarchive.raw/RTDC4002/ "%USERPROFILE%\AppData\Local\Temp\OnboardLogs"\RTDC4002\2017-02-03 --exclude "*" --recursive --include "*20170203*" &amp; "%USERPROFILE%\Documents\GitHub\mrs-test-scripts\Headless Mode &amp; Sideloading\WalkAndUnGZ.bat" "%USERPROFILE%\AppData\Local\Temp\OnboardLogs"\RTDC4002\2017-02-03 &amp; aws s3 cp s3://rtdc.mdm.uploadarchive.raw/RTDC4002/ "%USERPROFILE%\AppData\Local\Temp\OnboardLogs"\RTDC4002\2017-02-04 --exclude "*" --recursive --include "*20170204*" &amp; "%USERPROFILE%\Documents\GitHub\mrs-test-scripts\Headless Mode &amp; Sideloading\WalkAndUnGZ.bat" "%USERPROFILE%\AppData\Local\Temp\OnboardLogs"\RTDC4002\2017-02-04</v>
      </c>
      <c r="AF71" s="82" t="str">
        <f t="shared" si="13"/>
        <v>"C:\Program Files (x86)\AstroGrep\AstroGrep.exe" /spath="%USERPROFILE%\AppData\Local\Temp\OnboardLogs" /stypes="app*4002*20170203*"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159-03 --locoid 4002 --swversion DE.1.0.8.0 --startMP 204:455 --initTime 2017-02-03T10:54:28 --startdatetime 2017-02-03T11:00:21 --delay 2 --endMP 204:233278 --enddatetime 2017-02-03T11:37:11 --enforcementcount 0 &gt;&gt;C:\Users\stu\Documents\GitHub\eaglep3-reporting\EC\2017-02-03-refined-times.txt</v>
      </c>
      <c r="AI71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{"issue":{"subject":"","project_id":79,"tracker_id":40,"status_id":1,"priority_id":2,"assigned_to_id":23,"start_date":"2017-02-03","description":"","custom_fields":[{"id":1,"name":"Subdivision","value":"EC"},{"id":4,"name":"Milepost","value":"23.3278"},{"id":17,"name":"Train ID","value":"159-03"},{"id":16,"name":"Locomotive ID","value":"4002"},{"id":130,"name":"Impact","value":""},{"id":150,"name":"Time of Event (Mountain Time)","value":"11:37:11"},{"id":151,"name":"Denver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8" t="str">
        <f t="shared" si="20"/>
        <v>start /low /b %USERPROFILE%\Documents\GitHub\eaglep3\Utilities\DownloadLogsFromS3.py --loco 4002 --day 2017-02-03</v>
      </c>
      <c r="AN71" s="167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"%USERPROFILE%\AppData\Local\Temp\OnboardLogs"\RTDC4002\*4002*20170203* | grep -SE "(Enforcement Action)|(\[TIMEOUT)|(CHR.+\|PRM\|1\|D.+(SWITCH|SIGNAL).+UNKNOWN)" - &gt;&gt; 2017-02-03-UncaughtWiMAX.txt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645</v>
      </c>
      <c r="B72" s="7">
        <v>4001</v>
      </c>
      <c r="C72" s="21" t="s">
        <v>193</v>
      </c>
      <c r="D72" s="21" t="s">
        <v>407</v>
      </c>
      <c r="E72" s="13">
        <v>42769.494270833333</v>
      </c>
      <c r="F72" s="13">
        <v>42769.497569444444</v>
      </c>
      <c r="G72" s="7">
        <v>1</v>
      </c>
      <c r="H72" s="21" t="s">
        <v>208</v>
      </c>
      <c r="I72" s="13">
        <v>42769.524456018517</v>
      </c>
      <c r="J72" s="7">
        <v>0</v>
      </c>
      <c r="K72" s="98" t="str">
        <f t="shared" si="0"/>
        <v>4001/4002</v>
      </c>
      <c r="L72" s="21" t="str">
        <f>VLOOKUP(A72,'Trips&amp;Operators'!$C$1:$G$99999,5,FALSE)</f>
        <v>STEWART MICHAEL</v>
      </c>
      <c r="M72" s="6">
        <f t="shared" si="1"/>
        <v>2.6886574072705116E-2</v>
      </c>
      <c r="N72" s="7">
        <f t="shared" si="2"/>
        <v>38.716666664695367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-02-03T10:51:45-0700',mode:absolute,to:'2017-02-03T13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192" t="str">
        <f t="shared" si="6"/>
        <v>N</v>
      </c>
      <c r="X72" s="192">
        <f t="shared" si="7"/>
        <v>1</v>
      </c>
      <c r="Y72" s="62">
        <f t="shared" si="8"/>
        <v>23.2957</v>
      </c>
      <c r="Z72" s="62">
        <f t="shared" si="9"/>
        <v>1.6E-2</v>
      </c>
      <c r="AA72" s="62">
        <f t="shared" si="10"/>
        <v>23.279700000000002</v>
      </c>
      <c r="AB72" s="59" t="e">
        <f>VLOOKUP(A72,Enforcements!$C$7:$K$16,8,0)</f>
        <v>#N/A</v>
      </c>
      <c r="AC72" s="55" t="e">
        <f>VLOOKUP(A72,Enforcements!$C$7:$E$16,3,0)</f>
        <v>#N/A</v>
      </c>
      <c r="AD72" s="56" t="str">
        <f t="shared" si="11"/>
        <v>0160-03</v>
      </c>
      <c r="AE72" s="85" t="str">
        <f t="shared" si="12"/>
        <v>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 &amp; aws s3 cp s3://rtdc.mdm.uploadarchive.raw/RTDC4001/ "%USERPROFILE%\AppData\Local\Temp\OnboardLogs"\RTDC4001\2017-02-04 --exclude "*" --recursive --include "*20170204*" &amp; "%USERPROFILE%\Documents\GitHub\mrs-test-scripts\Headless Mode &amp; Sideloading\WalkAndUnGZ.bat" "%USERPROFILE%\AppData\Local\Temp\OnboardLogs"\RTDC4001\2017-02-04</v>
      </c>
      <c r="AF72" s="82" t="str">
        <f t="shared" si="13"/>
        <v>"C:\Program Files (x86)\AstroGrep\AstroGrep.exe" /spath="%USERPROFILE%\AppData\Local\Temp\OnboardLogs" /stypes="app*4001*20170203*"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160-03 --locoid 4001 --swversion DE.1.0.8.0 --startMP 204:232957 --initTime 2017-02-03T11:51:45 --startdatetime 2017-02-03T11:56:30 --delay 1 --endMP 204:160 --enddatetime 2017-02-03T12:35:13 --enforcementcount 0 &gt;&gt;C:\Users\stu\Documents\GitHub\eaglep3-reporting\EC\2017-02-03-refined-times.txt</v>
      </c>
      <c r="AI72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{"issue":{"subject":"","project_id":79,"tracker_id":40,"status_id":1,"priority_id":2,"assigned_to_id":23,"start_date":"2017-02-03","description":"","custom_fields":[{"id":1,"name":"Subdivision","value":"EC"},{"id":4,"name":"Milepost","value":"0.016"},{"id":17,"name":"Train ID","value":"160-03"},{"id":16,"name":"Locomotive ID","value":"4001"},{"id":130,"name":"Impact","value":""},{"id":150,"name":"Time of Event (Mountain Time)","value":"12:35:13"},{"id":151,"name":"Denver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8" t="str">
        <f t="shared" si="20"/>
        <v>start /low /b %USERPROFILE%\Documents\GitHub\eaglep3\Utilities\DownloadLogsFromS3.py --loco 4001 --day 2017-02-03</v>
      </c>
      <c r="AN72" s="167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"%USERPROFILE%\AppData\Local\Temp\OnboardLogs"\RTDC4001\*4001*20170203* | grep -SE "(Enforcement Action)|(\[TIMEOUT)|(CHR.+\|PRM\|1\|D.+(SWITCH|SIGNAL).+UNKNOWN)" - &gt;&gt; 2017-02-03-UncaughtWiMAX.txt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635</v>
      </c>
      <c r="B73" s="7">
        <v>4031</v>
      </c>
      <c r="C73" s="21" t="s">
        <v>193</v>
      </c>
      <c r="D73" s="21" t="s">
        <v>371</v>
      </c>
      <c r="E73" s="13">
        <v>42769.464201388888</v>
      </c>
      <c r="F73" s="13">
        <v>42769.469050925924</v>
      </c>
      <c r="G73" s="7">
        <v>1</v>
      </c>
      <c r="H73" s="21" t="s">
        <v>289</v>
      </c>
      <c r="I73" s="13">
        <v>42769.493831018517</v>
      </c>
      <c r="J73" s="7">
        <v>0</v>
      </c>
      <c r="K73" s="98" t="str">
        <f t="shared" si="0"/>
        <v>4031/4032</v>
      </c>
      <c r="L73" s="21" t="str">
        <f>VLOOKUP(A73,'Trips&amp;Operators'!$C$1:$G$99999,5,FALSE)</f>
        <v>DE LA ROSA ALEX</v>
      </c>
      <c r="M73" s="6">
        <f t="shared" si="1"/>
        <v>2.4780092593573499E-2</v>
      </c>
      <c r="N73" s="7">
        <f t="shared" si="2"/>
        <v>35.683333334745839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-02-03T10:08:27-0700',mode:absolute,to:'2017-02-03T12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192" t="str">
        <f t="shared" si="6"/>
        <v>N</v>
      </c>
      <c r="X73" s="192">
        <f t="shared" si="7"/>
        <v>1</v>
      </c>
      <c r="Y73" s="62">
        <f t="shared" si="8"/>
        <v>4.4400000000000002E-2</v>
      </c>
      <c r="Z73" s="62">
        <f t="shared" si="9"/>
        <v>23.3307</v>
      </c>
      <c r="AA73" s="62">
        <f t="shared" si="10"/>
        <v>23.286300000000001</v>
      </c>
      <c r="AB73" s="59" t="e">
        <f>VLOOKUP(A73,Enforcements!$C$7:$K$16,8,0)</f>
        <v>#N/A</v>
      </c>
      <c r="AC73" s="55" t="e">
        <f>VLOOKUP(A73,Enforcements!$C$7:$E$16,3,0)</f>
        <v>#N/A</v>
      </c>
      <c r="AD73" s="56" t="str">
        <f t="shared" si="11"/>
        <v>0161-03</v>
      </c>
      <c r="AE73" s="85" t="str">
        <f t="shared" si="12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73" s="82" t="str">
        <f t="shared" si="13"/>
        <v>"C:\Program Files (x86)\AstroGrep\AstroGrep.exe" /spath="%USERPROFILE%\AppData\Local\Temp\OnboardLogs" /stypes="app*4031*20170203*"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161-03 --locoid 4031 --swversion DE.1.0.8.0 --startMP 204:444 --initTime 2017-02-03T11:08:27 --startdatetime 2017-02-03T11:15:26 --delay 1 --endMP 204:233307 --enddatetime 2017-02-03T11:51:07 --enforcementcount 0 &gt;&gt;C:\Users\stu\Documents\GitHub\eaglep3-reporting\EC\2017-02-03-refined-times.txt</v>
      </c>
      <c r="AI73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{"issue":{"subject":"","project_id":79,"tracker_id":40,"status_id":1,"priority_id":2,"assigned_to_id":23,"start_date":"2017-02-03","description":"","custom_fields":[{"id":1,"name":"Subdivision","value":"EC"},{"id":4,"name":"Milepost","value":"23.3307"},{"id":17,"name":"Train ID","value":"161-03"},{"id":16,"name":"Locomotive ID","value":"4031"},{"id":130,"name":"Impact","value":""},{"id":150,"name":"Time of Event (Mountain Time)","value":"11:51:07"},{"id":151,"name":"Denver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8" t="str">
        <f t="shared" si="20"/>
        <v>start /low /b %USERPROFILE%\Documents\GitHub\eaglep3\Utilities\DownloadLogsFromS3.py --loco 4031 --day 2017-02-03</v>
      </c>
      <c r="AN73" s="167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"%USERPROFILE%\AppData\Local\Temp\OnboardLogs"\RTDC4031\*4031*20170203* | grep -SE "(Enforcement Action)|(\[TIMEOUT)|(CHR.+\|PRM\|1\|D.+(SWITCH|SIGNAL).+UNKNOWN)" - &gt;&gt; 2017-02-03-UncaughtWiMAX.txt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647</v>
      </c>
      <c r="B74" s="7">
        <v>4032</v>
      </c>
      <c r="C74" s="21" t="s">
        <v>193</v>
      </c>
      <c r="D74" s="21" t="s">
        <v>797</v>
      </c>
      <c r="E74" s="13">
        <v>42769.50236111111</v>
      </c>
      <c r="F74" s="13">
        <v>42769.507870370369</v>
      </c>
      <c r="G74" s="7">
        <v>1</v>
      </c>
      <c r="H74" s="21" t="s">
        <v>237</v>
      </c>
      <c r="I74" s="13">
        <v>42769.53564814815</v>
      </c>
      <c r="J74" s="7">
        <v>0</v>
      </c>
      <c r="K74" s="98" t="str">
        <f t="shared" si="0"/>
        <v>4031/4032</v>
      </c>
      <c r="L74" s="21" t="str">
        <f>VLOOKUP(A74,'Trips&amp;Operators'!$C$1:$G$99999,5,FALSE)</f>
        <v>DE LA ROSA ALEX</v>
      </c>
      <c r="M74" s="6">
        <f t="shared" si="1"/>
        <v>2.7777777781011537E-2</v>
      </c>
      <c r="N74" s="7">
        <f t="shared" si="2"/>
        <v>40.000000004656613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-02-03T11:03:24-0700',mode:absolute,to:'2017-02-03T13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4" s="192" t="str">
        <f t="shared" si="6"/>
        <v>N</v>
      </c>
      <c r="X74" s="192">
        <f t="shared" si="7"/>
        <v>1</v>
      </c>
      <c r="Y74" s="62">
        <f t="shared" si="8"/>
        <v>23.2973</v>
      </c>
      <c r="Z74" s="62">
        <f t="shared" si="9"/>
        <v>1.43E-2</v>
      </c>
      <c r="AA74" s="62">
        <f t="shared" si="10"/>
        <v>23.283000000000001</v>
      </c>
      <c r="AB74" s="59" t="e">
        <f>VLOOKUP(A74,Enforcements!$C$7:$K$16,8,0)</f>
        <v>#N/A</v>
      </c>
      <c r="AC74" s="55" t="e">
        <f>VLOOKUP(A74,Enforcements!$C$7:$E$16,3,0)</f>
        <v>#N/A</v>
      </c>
      <c r="AD74" s="56" t="str">
        <f t="shared" si="11"/>
        <v>0162-03</v>
      </c>
      <c r="AE74" s="85" t="str">
        <f t="shared" si="12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74" s="82" t="str">
        <f t="shared" si="13"/>
        <v>"C:\Program Files (x86)\AstroGrep\AstroGrep.exe" /spath="%USERPROFILE%\AppData\Local\Temp\OnboardLogs" /stypes="app*4032*20170203*"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162-03 --locoid 4032 --swversion DE.1.0.8.0 --startMP 204:232973 --initTime 2017-02-03T12:03:24 --startdatetime 2017-02-03T12:11:20 --delay 1 --endMP 204:143 --enddatetime 2017-02-03T12:51:20 --enforcementcount 0 &gt;&gt;C:\Users\stu\Documents\GitHub\eaglep3-reporting\EC\2017-02-03-refined-times.txt</v>
      </c>
      <c r="AI74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{"issue":{"subject":"","project_id":79,"tracker_id":40,"status_id":1,"priority_id":2,"assigned_to_id":23,"start_date":"2017-02-03","description":"","custom_fields":[{"id":1,"name":"Subdivision","value":"EC"},{"id":4,"name":"Milepost","value":"0.0143"},{"id":17,"name":"Train ID","value":"162-03"},{"id":16,"name":"Locomotive ID","value":"4032"},{"id":130,"name":"Impact","value":""},{"id":150,"name":"Time of Event (Mountain Time)","value":"12:51:20"},{"id":151,"name":"Denver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8" t="str">
        <f t="shared" si="20"/>
        <v>start /low /b %USERPROFILE%\Documents\GitHub\eaglep3\Utilities\DownloadLogsFromS3.py --loco 4032 --day 2017-02-03</v>
      </c>
      <c r="AN74" s="167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"%USERPROFILE%\AppData\Local\Temp\OnboardLogs"\RTDC4032\*4032*20170203* | grep -SE "(Enforcement Action)|(\[TIMEOUT)|(CHR.+\|PRM\|1\|D.+(SWITCH|SIGNAL).+UNKNOWN)" - &gt;&gt; 2017-02-03-UncaughtWiMAX.txt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640</v>
      </c>
      <c r="B75" s="7">
        <v>4022</v>
      </c>
      <c r="C75" s="21" t="s">
        <v>193</v>
      </c>
      <c r="D75" s="21" t="s">
        <v>240</v>
      </c>
      <c r="E75" s="13">
        <v>42769.47519675926</v>
      </c>
      <c r="F75" s="13">
        <v>42769.47934027778</v>
      </c>
      <c r="G75" s="7">
        <v>1</v>
      </c>
      <c r="H75" s="21" t="s">
        <v>786</v>
      </c>
      <c r="I75" s="13">
        <v>42769.507002314815</v>
      </c>
      <c r="J75" s="7">
        <v>0</v>
      </c>
      <c r="K75" s="98" t="str">
        <f t="shared" si="0"/>
        <v>4021/4022</v>
      </c>
      <c r="L75" s="21" t="str">
        <f>VLOOKUP(A75,'Trips&amp;Operators'!$C$1:$G$99999,5,FALSE)</f>
        <v>CLARK KATHLEEN</v>
      </c>
      <c r="M75" s="6">
        <f t="shared" si="1"/>
        <v>2.7662037035042886E-2</v>
      </c>
      <c r="N75" s="7">
        <f t="shared" si="2"/>
        <v>39.833333330461755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-02-03T10:24:17-0700',mode:absolute,to:'2017-02-03T13:10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192" t="str">
        <f t="shared" si="6"/>
        <v>N</v>
      </c>
      <c r="X75" s="192">
        <f t="shared" si="7"/>
        <v>1</v>
      </c>
      <c r="Y75" s="62">
        <f t="shared" si="8"/>
        <v>4.5699999999999998E-2</v>
      </c>
      <c r="Z75" s="62">
        <f t="shared" si="9"/>
        <v>23.329499999999999</v>
      </c>
      <c r="AA75" s="62">
        <f t="shared" si="10"/>
        <v>23.283799999999999</v>
      </c>
      <c r="AB75" s="59" t="e">
        <f>VLOOKUP(A75,Enforcements!$C$7:$K$16,8,0)</f>
        <v>#N/A</v>
      </c>
      <c r="AC75" s="55" t="e">
        <f>VLOOKUP(A75,Enforcements!$C$7:$E$16,3,0)</f>
        <v>#N/A</v>
      </c>
      <c r="AD75" s="56" t="str">
        <f t="shared" si="11"/>
        <v>0163-03</v>
      </c>
      <c r="AE75" s="85" t="str">
        <f t="shared" si="12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75" s="82" t="str">
        <f t="shared" si="13"/>
        <v>"C:\Program Files (x86)\AstroGrep\AstroGrep.exe" /spath="%USERPROFILE%\AppData\Local\Temp\OnboardLogs" /stypes="app*4022*20170203*"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163-03 --locoid 4022 --swversion DE.1.0.8.0 --startMP 204:457 --initTime 2017-02-03T11:24:17 --startdatetime 2017-02-03T11:30:15 --delay 1 --endMP 204:233295 --enddatetime 2017-02-03T12:10:05 --enforcementcount 0 &gt;&gt;C:\Users\stu\Documents\GitHub\eaglep3-reporting\EC\2017-02-03-refined-times.txt</v>
      </c>
      <c r="AI75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{"issue":{"subject":"","project_id":79,"tracker_id":40,"status_id":1,"priority_id":2,"assigned_to_id":23,"start_date":"2017-02-03","description":"","custom_fields":[{"id":1,"name":"Subdivision","value":"EC"},{"id":4,"name":"Milepost","value":"23.3295"},{"id":17,"name":"Train ID","value":"163-03"},{"id":16,"name":"Locomotive ID","value":"4022"},{"id":130,"name":"Impact","value":""},{"id":150,"name":"Time of Event (Mountain Time)","value":"12:10:05"},{"id":151,"name":"Denver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8" t="str">
        <f t="shared" si="20"/>
        <v>start /low /b %USERPROFILE%\Documents\GitHub\eaglep3\Utilities\DownloadLogsFromS3.py --loco 4022 --day 2017-02-03</v>
      </c>
      <c r="AN75" s="167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"%USERPROFILE%\AppData\Local\Temp\OnboardLogs"\RTDC4022\*4022*20170203* | grep -SE "(Enforcement Action)|(\[TIMEOUT)|(CHR.+\|PRM\|1\|D.+(SWITCH|SIGNAL).+UNKNOWN)" - &gt;&gt; 2017-02-03-UncaughtWiMAX.txt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652</v>
      </c>
      <c r="B76" s="7">
        <v>4021</v>
      </c>
      <c r="C76" s="21" t="s">
        <v>193</v>
      </c>
      <c r="D76" s="21" t="s">
        <v>286</v>
      </c>
      <c r="E76" s="13">
        <v>42769.513541666667</v>
      </c>
      <c r="F76" s="13">
        <v>42769.518229166664</v>
      </c>
      <c r="G76" s="7">
        <v>1</v>
      </c>
      <c r="H76" s="21" t="s">
        <v>418</v>
      </c>
      <c r="I76" s="13">
        <v>42769.546087962961</v>
      </c>
      <c r="J76" s="7">
        <v>0</v>
      </c>
      <c r="K76" s="98" t="str">
        <f t="shared" si="0"/>
        <v>4021/4022</v>
      </c>
      <c r="L76" s="21" t="str">
        <f>VLOOKUP(A76,'Trips&amp;Operators'!$C$1:$G$99999,5,FALSE)</f>
        <v>CLARK KATHLEEN</v>
      </c>
      <c r="M76" s="6">
        <f t="shared" si="1"/>
        <v>2.7858796296641231E-2</v>
      </c>
      <c r="N76" s="7">
        <f t="shared" si="2"/>
        <v>40.116666667163372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-02-03T11:19:30-0700',mode:absolute,to:'2017-02-03T14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192" t="str">
        <f t="shared" si="6"/>
        <v>N</v>
      </c>
      <c r="X76" s="192">
        <f t="shared" si="7"/>
        <v>1</v>
      </c>
      <c r="Y76" s="62">
        <f t="shared" si="8"/>
        <v>23.299399999999999</v>
      </c>
      <c r="Z76" s="62">
        <f t="shared" si="9"/>
        <v>1.8700000000000001E-2</v>
      </c>
      <c r="AA76" s="62">
        <f t="shared" si="10"/>
        <v>23.2807</v>
      </c>
      <c r="AB76" s="59" t="e">
        <f>VLOOKUP(A76,Enforcements!$C$7:$K$16,8,0)</f>
        <v>#N/A</v>
      </c>
      <c r="AC76" s="55" t="e">
        <f>VLOOKUP(A76,Enforcements!$C$7:$E$16,3,0)</f>
        <v>#N/A</v>
      </c>
      <c r="AD76" s="56" t="str">
        <f t="shared" si="11"/>
        <v>0164-03</v>
      </c>
      <c r="AE76" s="85" t="str">
        <f t="shared" si="12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76" s="82" t="str">
        <f t="shared" si="13"/>
        <v>"C:\Program Files (x86)\AstroGrep\AstroGrep.exe" /spath="%USERPROFILE%\AppData\Local\Temp\OnboardLogs" /stypes="app*4021*20170203*"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164-03 --locoid 4021 --swversion DE.1.0.8.0 --startMP 204:232994 --initTime 2017-02-03T12:19:30 --startdatetime 2017-02-03T12:26:15 --delay 1 --endMP 204:187 --enddatetime 2017-02-03T13:06:22 --enforcementcount 0 &gt;&gt;C:\Users\stu\Documents\GitHub\eaglep3-reporting\EC\2017-02-03-refined-times.txt</v>
      </c>
      <c r="AI76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{"issue":{"subject":"","project_id":79,"tracker_id":40,"status_id":1,"priority_id":2,"assigned_to_id":23,"start_date":"2017-02-03","description":"","custom_fields":[{"id":1,"name":"Subdivision","value":"EC"},{"id":4,"name":"Milepost","value":"0.0187"},{"id":17,"name":"Train ID","value":"164-03"},{"id":16,"name":"Locomotive ID","value":"4021"},{"id":130,"name":"Impact","value":""},{"id":150,"name":"Time of Event (Mountain Time)","value":"13:06:22"},{"id":151,"name":"Denver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8" t="str">
        <f t="shared" si="20"/>
        <v>start /low /b %USERPROFILE%\Documents\GitHub\eaglep3\Utilities\DownloadLogsFromS3.py --loco 4021 --day 2017-02-03</v>
      </c>
      <c r="AN76" s="167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2017-02-03-UncaughtWiMAX.txt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642</v>
      </c>
      <c r="B77" s="7">
        <v>4040</v>
      </c>
      <c r="C77" s="21" t="s">
        <v>193</v>
      </c>
      <c r="D77" s="21" t="s">
        <v>292</v>
      </c>
      <c r="E77" s="13">
        <v>42769.485335648147</v>
      </c>
      <c r="F77" s="13">
        <v>42769.489756944444</v>
      </c>
      <c r="G77" s="7">
        <v>2</v>
      </c>
      <c r="H77" s="21" t="s">
        <v>223</v>
      </c>
      <c r="I77" s="13">
        <v>42769.514085648145</v>
      </c>
      <c r="J77" s="7">
        <v>0</v>
      </c>
      <c r="K77" s="98" t="str">
        <f t="shared" si="0"/>
        <v>4039/4040</v>
      </c>
      <c r="L77" s="21" t="str">
        <f>VLOOKUP(A77,'Trips&amp;Operators'!$C$1:$G$99999,5,FALSE)</f>
        <v>BRUDER RICHARD</v>
      </c>
      <c r="M77" s="6">
        <f t="shared" si="1"/>
        <v>2.4328703701030463E-2</v>
      </c>
      <c r="N77" s="7">
        <f t="shared" si="2"/>
        <v>35.033333329483867</v>
      </c>
      <c r="O77" s="7"/>
      <c r="P77" s="7"/>
      <c r="Q77" s="22"/>
      <c r="R77" s="22"/>
      <c r="S77" s="31">
        <f t="shared" si="3"/>
        <v>1</v>
      </c>
      <c r="T77" s="46" t="str">
        <f t="shared" si="4"/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si="5"/>
        <v>https://d0f6bd738d7f1b3e5a7ca70fe4ff75f0.us-east-1.aws.found.io/app/kibana#/discover/Steve-Slow-Train-Analysis-(2080s-and-2083s)?_g=(refreshInterval:(display:Off,pause:!f,section:0,value:0),time:(from:'2017-02-03T10:38:53-0700',mode:absolute,to:'2017-02-03T13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192" t="str">
        <f t="shared" si="6"/>
        <v>N</v>
      </c>
      <c r="X77" s="192">
        <f t="shared" si="7"/>
        <v>1</v>
      </c>
      <c r="Y77" s="62">
        <f t="shared" si="8"/>
        <v>4.5499999999999999E-2</v>
      </c>
      <c r="Z77" s="62">
        <f t="shared" si="9"/>
        <v>23.329899999999999</v>
      </c>
      <c r="AA77" s="62">
        <f t="shared" si="10"/>
        <v>23.284399999999998</v>
      </c>
      <c r="AB77" s="59" t="e">
        <f>VLOOKUP(A77,Enforcements!$C$7:$K$16,8,0)</f>
        <v>#N/A</v>
      </c>
      <c r="AC77" s="55" t="e">
        <f>VLOOKUP(A77,Enforcements!$C$7:$E$16,3,0)</f>
        <v>#N/A</v>
      </c>
      <c r="AD77" s="56" t="str">
        <f t="shared" si="11"/>
        <v>0165-03</v>
      </c>
      <c r="AE77" s="85" t="str">
        <f t="shared" si="12"/>
        <v>aws s3 cp s3://rtdc.mdm.uploadarchive.raw/RTDC4040/ "%USERPROFILE%\AppData\Local\Temp\OnboardLogs"\RTDC4040\2017-02-03 --exclude "*" --recursive --include "*20170203*" &amp; "%USERPROFILE%\Documents\GitHub\mrs-test-scripts\Headless Mode &amp; Sideloading\WalkAndUnGZ.bat" "%USERPROFILE%\AppData\Local\Temp\OnboardLogs"\RTDC4040\2017-02-03 &amp; 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</v>
      </c>
      <c r="AF77" s="82" t="str">
        <f t="shared" si="13"/>
        <v>"C:\Program Files (x86)\AstroGrep\AstroGrep.exe" /spath="%USERPROFILE%\AppData\Local\Temp\OnboardLogs" /stypes="app*4040*20170203*" /stext=" 19:.+((SYSTEM_STATE.+slice.+state.+changed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86" t="str">
        <f t="shared" si="18"/>
        <v>"%USERPROFILE%\Documents\GitHub\eaglep3\Utilities\RefineRTDCRunTimes.py" --tripid 165-03 --locoid 4040 --swversion DE.1.0.8.0 --startMP 204:455 --initTime 2017-02-03T11:38:53 --startdatetime 2017-02-03T11:45:15 --delay 2 --endMP 204:233299 --enddatetime 2017-02-03T12:20:17 --enforcementcount 0 &gt;&gt;C:\Users\stu\Documents\GitHub\eaglep3-reporting\EC\2017-02-03-refined-times.txt</v>
      </c>
      <c r="AI77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{"issue":{"subject":"","project_id":79,"tracker_id":40,"status_id":1,"priority_id":2,"assigned_to_id":23,"start_date":"2017-02-03","description":"","custom_fields":[{"id":1,"name":"Subdivision","value":"EC"},{"id":4,"name":"Milepost","value":"23.3299"},{"id":17,"name":"Train ID","value":"165-03"},{"id":16,"name":"Locomotive ID","value":"4040"},{"id":130,"name":"Impact","value":""},{"id":150,"name":"Time of Event (Mountain Time)","value":"12:20:17"},{"id":151,"name":"Denver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8" t="str">
        <f t="shared" si="20"/>
        <v>start /low /b %USERPROFILE%\Documents\GitHub\eaglep3\Utilities\DownloadLogsFromS3.py --loco 4040 --day 2017-02-03</v>
      </c>
      <c r="AN77" s="167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"%USERPROFILE%\AppData\Local\Temp\OnboardLogs"\RTDC4040\*4040*20170203* | grep -SE "(Enforcement Action)|(\[TIMEOUT)|(CHR.+\|PRM\|1\|D.+(SWITCH|SIGNAL).+UNKNOWN)" - &gt;&gt; 2017-02-03-UncaughtWiMAX.txt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654</v>
      </c>
      <c r="B78" s="7">
        <v>4039</v>
      </c>
      <c r="C78" s="21" t="s">
        <v>193</v>
      </c>
      <c r="D78" s="21" t="s">
        <v>369</v>
      </c>
      <c r="E78" s="13">
        <v>42769.524039351854</v>
      </c>
      <c r="F78" s="13">
        <v>42769.528715277775</v>
      </c>
      <c r="G78" s="7">
        <v>2</v>
      </c>
      <c r="H78" s="21" t="s">
        <v>196</v>
      </c>
      <c r="I78" s="13">
        <v>42769.555821759262</v>
      </c>
      <c r="J78" s="7">
        <v>0</v>
      </c>
      <c r="K78" s="98" t="str">
        <f t="shared" si="0"/>
        <v>4039/4040</v>
      </c>
      <c r="L78" s="21" t="str">
        <f>VLOOKUP(A78,'Trips&amp;Operators'!$C$1:$G$99999,5,FALSE)</f>
        <v>BRUDER RICHARD</v>
      </c>
      <c r="M78" s="6">
        <f t="shared" si="1"/>
        <v>2.7106481487862766E-2</v>
      </c>
      <c r="N78" s="7">
        <f t="shared" si="2"/>
        <v>39.033333342522383</v>
      </c>
      <c r="O78" s="7"/>
      <c r="P78" s="7"/>
      <c r="Q78" s="22"/>
      <c r="R78" s="22"/>
      <c r="S78" s="31">
        <f t="shared" si="3"/>
        <v>1</v>
      </c>
      <c r="T78" s="46" t="str">
        <f t="shared" si="4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5"/>
        <v>https://d0f6bd738d7f1b3e5a7ca70fe4ff75f0.us-east-1.aws.found.io/app/kibana#/discover/Steve-Slow-Train-Analysis-(2080s-and-2083s)?_g=(refreshInterval:(display:Off,pause:!f,section:0,value:0),time:(from:'2017-02-03T11:34:37-0700',mode:absolute,to:'2017-02-03T14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192" t="str">
        <f t="shared" si="6"/>
        <v>N</v>
      </c>
      <c r="X78" s="192">
        <f t="shared" si="7"/>
        <v>1</v>
      </c>
      <c r="Y78" s="62">
        <f t="shared" si="8"/>
        <v>23.297999999999998</v>
      </c>
      <c r="Z78" s="62">
        <f t="shared" si="9"/>
        <v>1.4999999999999999E-2</v>
      </c>
      <c r="AA78" s="62">
        <f t="shared" si="10"/>
        <v>23.282999999999998</v>
      </c>
      <c r="AB78" s="59" t="e">
        <f>VLOOKUP(A78,Enforcements!$C$7:$K$16,8,0)</f>
        <v>#N/A</v>
      </c>
      <c r="AC78" s="55" t="e">
        <f>VLOOKUP(A78,Enforcements!$C$7:$E$16,3,0)</f>
        <v>#N/A</v>
      </c>
      <c r="AD78" s="56" t="str">
        <f t="shared" si="11"/>
        <v>0166-03</v>
      </c>
      <c r="AE78" s="85" t="str">
        <f t="shared" si="12"/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AF78" s="82" t="str">
        <f t="shared" si="13"/>
        <v>"C:\Program Files (x86)\AstroGrep\AstroGrep.exe" /spath="%USERPROFILE%\AppData\Local\Temp\OnboardLogs" /stypes="app*4039*20170203*" /stext=" 20:.+((SYSTEM_STATE.+slice.+state.+changed )|(ment ac)|(multiple cpu faults)|(system.+state.+changed )|(\[timeout)|(PRM\|1\|D)|(kpr)|(kdp)|(\|lc)|(penalty))" /e /r /s</v>
      </c>
      <c r="AG78" s="1" t="str">
        <f t="shared" si="14"/>
        <v>EC</v>
      </c>
      <c r="AH78" s="86" t="str">
        <f t="shared" si="18"/>
        <v>"%USERPROFILE%\Documents\GitHub\eaglep3\Utilities\RefineRTDCRunTimes.py" --tripid 166-03 --locoid 4039 --swversion DE.1.0.8.0 --startMP 204:232980 --initTime 2017-02-03T12:34:37 --startdatetime 2017-02-03T12:41:21 --delay 2 --endMP 204:150 --enddatetime 2017-02-03T13:20:23 --enforcementcount 0 &gt;&gt;C:\Users\stu\Documents\GitHub\eaglep3-reporting\EC\2017-02-03-refined-times.txt</v>
      </c>
      <c r="AI78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{"issue":{"subject":"","project_id":79,"tracker_id":40,"status_id":1,"priority_id":2,"assigned_to_id":23,"start_date":"2017-02-03","description":"","custom_fields":[{"id":1,"name":"Subdivision","value":"EC"},{"id":4,"name":"Milepost","value":"0.015"},{"id":17,"name":"Train ID","value":"166-03"},{"id":16,"name":"Locomotive ID","value":"4039"},{"id":130,"name":"Impact","value":""},{"id":150,"name":"Time of Event (Mountain Time)","value":"13:20:23"},{"id":151,"name":"Denver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8" t="str">
        <f t="shared" si="20"/>
        <v>start /low /b %USERPROFILE%\Documents\GitHub\eaglep3\Utilities\DownloadLogsFromS3.py --loco 4039 --day 2017-02-03</v>
      </c>
      <c r="AN78" s="167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"%USERPROFILE%\AppData\Local\Temp\OnboardLogs"\RTDC4039\*4039*20170203* | grep -SE "(Enforcement Action)|(\[TIMEOUT)|(CHR.+\|PRM\|1\|D.+(SWITCH|SIGNAL).+UNKNOWN)" - &gt;&gt; 2017-02-03-UncaughtWiMAX.txt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646</v>
      </c>
      <c r="B79" s="7">
        <v>4044</v>
      </c>
      <c r="C79" s="21" t="s">
        <v>193</v>
      </c>
      <c r="D79" s="21" t="s">
        <v>409</v>
      </c>
      <c r="E79" s="13">
        <v>42769.494849537034</v>
      </c>
      <c r="F79" s="13">
        <v>42769.500462962962</v>
      </c>
      <c r="G79" s="7">
        <v>1</v>
      </c>
      <c r="H79" s="21" t="s">
        <v>798</v>
      </c>
      <c r="I79" s="13">
        <v>42769.52548611111</v>
      </c>
      <c r="J79" s="7">
        <v>0</v>
      </c>
      <c r="K79" s="98" t="str">
        <f t="shared" ref="K79:K141" si="55">IF(ISEVEN(B79),(B79-1)&amp;"/"&amp;B79,B79&amp;"/"&amp;(B79+1))</f>
        <v>4043/4044</v>
      </c>
      <c r="L79" s="21" t="str">
        <f>VLOOKUP(A79,'Trips&amp;Operators'!$C$1:$G$99999,5,FALSE)</f>
        <v>HELVIE ADAM</v>
      </c>
      <c r="M79" s="6">
        <f t="shared" ref="M79:M141" si="56">I79-F79</f>
        <v>2.5023148147738539E-2</v>
      </c>
      <c r="N79" s="7">
        <f t="shared" ref="N79:N139" si="57">24*60*SUM($M79:$M79)</f>
        <v>36.033333332743496</v>
      </c>
      <c r="O79" s="7"/>
      <c r="P79" s="7"/>
      <c r="Q79" s="22"/>
      <c r="R79" s="22"/>
      <c r="S79" s="31">
        <f t="shared" ref="S79:S139" si="58">SUM(U79:U79)/IF(AG79="EC",12,1)</f>
        <v>1</v>
      </c>
      <c r="T79" s="46" t="str">
        <f t="shared" ref="T79:T141" si="59">IF(ISEVEN(LEFT(AD79,4)),"Southbound","NorthBound")</f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ref="V79:V141" si="60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-02-03T10:52:35-0700',mode:absolute,to:'2017-02-03T13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92" t="str">
        <f t="shared" ref="W79:W141" si="61">IF(AA79&lt;IF(AG79="EC",23,5.65),"Y","N")</f>
        <v>N</v>
      </c>
      <c r="X79" s="192">
        <f t="shared" ref="X79:X141" si="62">VALUE(LEFT(AD79,4))-VALUE(LEFT(AD78,4))</f>
        <v>1</v>
      </c>
      <c r="Y79" s="62">
        <f t="shared" ref="Y79:Y141" si="63">RIGHT(D79,LEN(D79)-4)/10000</f>
        <v>4.6399999999999997E-2</v>
      </c>
      <c r="Z79" s="62">
        <f t="shared" ref="Z79:Z141" si="64">RIGHT(H79,LEN(H79)-4)/10000</f>
        <v>23.320599999999999</v>
      </c>
      <c r="AA79" s="62">
        <f t="shared" ref="AA79:AA141" si="65">ABS(Z79-Y79)</f>
        <v>23.2742</v>
      </c>
      <c r="AB79" s="59" t="e">
        <f>VLOOKUP(A79,Enforcements!$C$7:$K$16,8,0)</f>
        <v>#N/A</v>
      </c>
      <c r="AC79" s="55" t="e">
        <f>VLOOKUP(A79,Enforcements!$C$7:$E$16,3,0)</f>
        <v>#N/A</v>
      </c>
      <c r="AD79" s="56" t="str">
        <f t="shared" ref="AD79:AD141" si="66">IF(LEN(A79)=6,"0"&amp;A79,A79)</f>
        <v>0167-03</v>
      </c>
      <c r="AE79" s="85" t="str">
        <f t="shared" ref="AE79:AE141" si="67"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79" s="82" t="str">
        <f t="shared" ref="AF79:AF141" si="68"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/stypes="app*4044*20170203*" /stext=" 19:.+((SYSTEM_STATE.+slice.+state.+changed )|(ment ac)|(multiple cpu faults)|(system.+state.+changed )|(\[timeout)|(PRM\|1\|D)|(kpr)|(kdp)|(\|lc)|(penalty))" /e /r /s</v>
      </c>
      <c r="AG79" s="1" t="str">
        <f t="shared" ref="AG79:AG141" si="69">IFERROR(IF(VALUE(LEFT(AD79,2))&lt;=2,"EC",IF(OR(VALUE(LEFT(AD79,2))=8,VALUE(LEFT(AD79,2))=18),"NW","Other")),"Other")</f>
        <v>EC</v>
      </c>
      <c r="AH79" s="86" t="str">
        <f t="shared" si="18"/>
        <v>"%USERPROFILE%\Documents\GitHub\eaglep3\Utilities\RefineRTDCRunTimes.py" --tripid 167-03 --locoid 4044 --swversion DE.1.0.8.0 --startMP 204:464 --initTime 2017-02-03T11:52:35 --startdatetime 2017-02-03T12:00:40 --delay 1 --endMP 204:233206 --enddatetime 2017-02-03T12:36:42 --enforcementcount 0 &gt;&gt;C:\Users\stu\Documents\GitHub\eaglep3-reporting\EC\2017-02-03-refined-times.txt</v>
      </c>
      <c r="AI79" s="108" t="str">
        <f t="shared" si="19"/>
        <v>echo {"issue":{"subject":"","project_id":79,"tracker_id":40,"status_id":1,"priority_id":2,"assigned_to_id":23,"start_date":"2017-02-03","description":"","custom_fields":[{"id":1,"name":"Subdivision","value":"EC"},{"id":4,"name":"Milepost","value":"23.3206"},{"id":17,"name":"Train ID","value":"167-03"},{"id":16,"name":"Locomotive ID","value":"4044"},{"id":130,"name":"Impact","value":""},{"id":150,"name":"Time of Event (Mountain Time)","value":"12:36:42"},{"id":151,"name":"Denver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8" t="str">
        <f t="shared" si="20"/>
        <v>start /low /b %USERPROFILE%\Documents\GitHub\eaglep3\Utilities\DownloadLogsFromS3.py --loco 4044 --day 2017-02-03</v>
      </c>
      <c r="AN79" s="167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"%USERPROFILE%\AppData\Local\Temp\OnboardLogs"\RTDC4044\*4044*20170203* | grep -SE "(Enforcement Action)|(\[TIMEOUT)|(CHR.+\|PRM\|1\|D.+(SWITCH|SIGNAL).+UNKNOWN)" - &gt;&gt; 2017-02-03-UncaughtWiMAX.txt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656</v>
      </c>
      <c r="B80" s="7">
        <v>4043</v>
      </c>
      <c r="C80" s="21" t="s">
        <v>193</v>
      </c>
      <c r="D80" s="21" t="s">
        <v>799</v>
      </c>
      <c r="E80" s="13">
        <v>42769.535879629628</v>
      </c>
      <c r="F80" s="13">
        <v>42769.5391087963</v>
      </c>
      <c r="G80" s="7">
        <v>1</v>
      </c>
      <c r="H80" s="21" t="s">
        <v>212</v>
      </c>
      <c r="I80" s="13">
        <v>42769.565694444442</v>
      </c>
      <c r="J80" s="7">
        <v>0</v>
      </c>
      <c r="K80" s="98" t="str">
        <f t="shared" si="55"/>
        <v>4043/4044</v>
      </c>
      <c r="L80" s="21" t="str">
        <f>VLOOKUP(A80,'Trips&amp;Operators'!$C$1:$G$99999,5,FALSE)</f>
        <v>HELVIE ADAM</v>
      </c>
      <c r="M80" s="6">
        <f t="shared" si="56"/>
        <v>2.6585648141917773E-2</v>
      </c>
      <c r="N80" s="7">
        <f t="shared" si="57"/>
        <v>38.283333324361593</v>
      </c>
      <c r="O80" s="7"/>
      <c r="P80" s="7"/>
      <c r="Q80" s="22"/>
      <c r="R80" s="22"/>
      <c r="S80" s="31">
        <f t="shared" si="58"/>
        <v>1</v>
      </c>
      <c r="T80" s="46" t="str">
        <f t="shared" si="59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60"/>
        <v>https://d0f6bd738d7f1b3e5a7ca70fe4ff75f0.us-east-1.aws.found.io/app/kibana#/discover/Steve-Slow-Train-Analysis-(2080s-and-2083s)?_g=(refreshInterval:(display:Off,pause:!f,section:0,value:0),time:(from:'2017-02-03T11:51:40-0700',mode:absolute,to:'2017-02-03T14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92" t="str">
        <f t="shared" si="61"/>
        <v>N</v>
      </c>
      <c r="X80" s="192">
        <f t="shared" si="62"/>
        <v>1</v>
      </c>
      <c r="Y80" s="62">
        <f t="shared" si="63"/>
        <v>23.288699999999999</v>
      </c>
      <c r="Z80" s="62">
        <f t="shared" si="64"/>
        <v>1.52E-2</v>
      </c>
      <c r="AA80" s="62">
        <f t="shared" si="65"/>
        <v>23.273499999999999</v>
      </c>
      <c r="AB80" s="59" t="e">
        <f>VLOOKUP(A80,Enforcements!$C$7:$K$16,8,0)</f>
        <v>#N/A</v>
      </c>
      <c r="AC80" s="55" t="e">
        <f>VLOOKUP(A80,Enforcements!$C$7:$E$16,3,0)</f>
        <v>#N/A</v>
      </c>
      <c r="AD80" s="56" t="str">
        <f t="shared" si="66"/>
        <v>0168-03</v>
      </c>
      <c r="AE80" s="85" t="str">
        <f t="shared" si="67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80" s="82" t="str">
        <f t="shared" si="68"/>
        <v>"C:\Program Files (x86)\AstroGrep\AstroGrep.exe" /spath="%USERPROFILE%\AppData\Local\Temp\OnboardLogs" /stypes="app*4043*20170203*" /stext=" 20:.+((SYSTEM_STATE.+slice.+state.+changed )|(ment ac)|(multiple cpu faults)|(system.+state.+changed )|(\[timeout)|(PRM\|1\|D)|(kpr)|(kdp)|(\|lc)|(penalty))" /e /r /s</v>
      </c>
      <c r="AG80" s="1" t="str">
        <f t="shared" si="69"/>
        <v>EC</v>
      </c>
      <c r="AH80" s="86" t="str">
        <f t="shared" ref="AH80:AH142" si="70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168-03 --locoid 4043 --swversion DE.1.0.8.0 --startMP 204:232887 --initTime 2017-02-03T12:51:40 --startdatetime 2017-02-03T12:56:19 --delay 1 --endMP 204:152 --enddatetime 2017-02-03T13:34:36 --enforcementcount 0 &gt;&gt;C:\Users\stu\Documents\GitHub\eaglep3-reporting\EC\2017-02-03-refined-times.txt</v>
      </c>
      <c r="AI80" s="108" t="str">
        <f t="shared" ref="AI80:AI142" si="71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{"issue":{"subject":"","project_id":79,"tracker_id":40,"status_id":1,"priority_id":2,"assigned_to_id":23,"start_date":"2017-02-03","description":"","custom_fields":[{"id":1,"name":"Subdivision","value":"EC"},{"id":4,"name":"Milepost","value":"0.0152"},{"id":17,"name":"Train ID","value":"168-03"},{"id":16,"name":"Locomotive ID","value":"4043"},{"id":130,"name":"Impact","value":""},{"id":150,"name":"Time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8" t="str">
        <f t="shared" ref="AM80:AM142" si="72">"start /low /b "&amp;dls3logs&amp;" --loco "&amp;B80&amp;" --day "&amp;TEXT(F80,"YYYY-MM-DD")</f>
        <v>start /low /b %USERPROFILE%\Documents\GitHub\eaglep3\Utilities\DownloadLogsFromS3.py --loco 4043 --day 2017-02-03</v>
      </c>
      <c r="AN80" s="167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"%USERPROFILE%\AppData\Local\Temp\OnboardLogs"\RTDC4043\*4043*20170203* | grep -SE "(Enforcement Action)|(\[TIMEOUT)|(CHR.+\|PRM\|1\|D.+(SWITCH|SIGNAL).+UNKNOWN)" - &gt;&gt; 2017-02-03-UncaughtWiMAX.txt</v>
      </c>
    </row>
    <row r="81" spans="1:91" x14ac:dyDescent="0.25">
      <c r="A81" s="33" t="s">
        <v>648</v>
      </c>
      <c r="B81" s="7">
        <v>4018</v>
      </c>
      <c r="C81" s="21" t="s">
        <v>193</v>
      </c>
      <c r="D81" s="21" t="s">
        <v>240</v>
      </c>
      <c r="E81" s="13">
        <v>42769.503784722219</v>
      </c>
      <c r="F81" s="13">
        <v>42769.510891203703</v>
      </c>
      <c r="G81" s="7">
        <v>2</v>
      </c>
      <c r="H81" s="21" t="s">
        <v>223</v>
      </c>
      <c r="I81" s="13">
        <v>42769.53601851852</v>
      </c>
      <c r="J81" s="7">
        <v>0</v>
      </c>
      <c r="K81" s="98" t="str">
        <f t="shared" si="55"/>
        <v>4017/4018</v>
      </c>
      <c r="L81" s="21" t="str">
        <f>VLOOKUP(A81,'Trips&amp;Operators'!$C$1:$G$99999,5,FALSE)</f>
        <v>KILLION DAVID</v>
      </c>
      <c r="M81" s="6">
        <f t="shared" si="56"/>
        <v>2.5127314816927537E-2</v>
      </c>
      <c r="N81" s="7">
        <f t="shared" si="57"/>
        <v>36.183333336375654</v>
      </c>
      <c r="O81" s="7"/>
      <c r="P81" s="7"/>
      <c r="Q81" s="22"/>
      <c r="R81" s="22"/>
      <c r="S81" s="31">
        <f t="shared" si="58"/>
        <v>1</v>
      </c>
      <c r="T81" s="46" t="str">
        <f t="shared" si="59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60"/>
        <v>https://d0f6bd738d7f1b3e5a7ca70fe4ff75f0.us-east-1.aws.found.io/app/kibana#/discover/Steve-Slow-Train-Analysis-(2080s-and-2083s)?_g=(refreshInterval:(display:Off,pause:!f,section:0,value:0),time:(from:'2017-02-03T11:05:27-0700',mode:absolute,to:'2017-02-03T13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92" t="str">
        <f t="shared" si="61"/>
        <v>N</v>
      </c>
      <c r="X81" s="192">
        <f t="shared" si="62"/>
        <v>1</v>
      </c>
      <c r="Y81" s="62">
        <f t="shared" si="63"/>
        <v>4.5699999999999998E-2</v>
      </c>
      <c r="Z81" s="62">
        <f t="shared" si="64"/>
        <v>23.329899999999999</v>
      </c>
      <c r="AA81" s="62">
        <f t="shared" si="65"/>
        <v>23.284199999999998</v>
      </c>
      <c r="AB81" s="59" t="e">
        <f>VLOOKUP(A81,Enforcements!$C$7:$K$16,8,0)</f>
        <v>#N/A</v>
      </c>
      <c r="AC81" s="55" t="e">
        <f>VLOOKUP(A81,Enforcements!$C$7:$E$16,3,0)</f>
        <v>#N/A</v>
      </c>
      <c r="AD81" s="56" t="str">
        <f t="shared" si="66"/>
        <v>0169-03</v>
      </c>
      <c r="AE81" s="85" t="str">
        <f t="shared" si="67"/>
        <v>aws s3 cp s3://rtdc.mdm.uploadarchive.raw/RTDC4018/ "%USERPROFILE%\AppData\Local\Temp\OnboardLogs"\RTDC4018\2017-02-03 --exclude "*" --recursive --include "*20170203*" &amp; "%USERPROFILE%\Documents\GitHub\mrs-test-scripts\Headless Mode &amp; Sideloading\WalkAndUnGZ.bat" "%USERPROFILE%\AppData\Local\Temp\OnboardLogs"\RTDC4018\2017-02-03 &amp; aws s3 cp s3://rtdc.mdm.uploadarchive.raw/RTDC4018/ "%USERPROFILE%\AppData\Local\Temp\OnboardLogs"\RTDC4018\2017-02-04 --exclude "*" --recursive --include "*20170204*" &amp; "%USERPROFILE%\Documents\GitHub\mrs-test-scripts\Headless Mode &amp; Sideloading\WalkAndUnGZ.bat" "%USERPROFILE%\AppData\Local\Temp\OnboardLogs"\RTDC4018\2017-02-04</v>
      </c>
      <c r="AF81" s="82" t="str">
        <f t="shared" si="68"/>
        <v>"C:\Program Files (x86)\AstroGrep\AstroGrep.exe" /spath="%USERPROFILE%\AppData\Local\Temp\OnboardLogs" /stypes="app*4018*20170203*" /stext=" 19:.+((SYSTEM_STATE.+slice.+state.+changed )|(ment ac)|(multiple cpu faults)|(system.+state.+changed )|(\[timeout)|(PRM\|1\|D)|(kpr)|(kdp)|(\|lc)|(penalty))" /e /r /s</v>
      </c>
      <c r="AG81" s="1" t="str">
        <f t="shared" si="69"/>
        <v>EC</v>
      </c>
      <c r="AH81" s="86" t="str">
        <f t="shared" si="70"/>
        <v>"%USERPROFILE%\Documents\GitHub\eaglep3\Utilities\RefineRTDCRunTimes.py" --tripid 169-03 --locoid 4018 --swversion DE.1.0.8.0 --startMP 204:457 --initTime 2017-02-03T12:05:27 --startdatetime 2017-02-03T12:15:41 --delay 2 --endMP 204:233299 --enddatetime 2017-02-03T12:51:52 --enforcementcount 0 &gt;&gt;C:\Users\stu\Documents\GitHub\eaglep3-reporting\EC\2017-02-03-refined-times.txt</v>
      </c>
      <c r="AI81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{"issue":{"subject":"","project_id":79,"tracker_id":40,"status_id":1,"priority_id":2,"assigned_to_id":23,"start_date":"2017-02-03","description":"","custom_fields":[{"id":1,"name":"Subdivision","value":"EC"},{"id":4,"name":"Milepost","value":"23.3299"},{"id":17,"name":"Train ID","value":"169-03"},{"id":16,"name":"Locomotive ID","value":"4018"},{"id":130,"name":"Impact","value":""},{"id":150,"name":"Time of Event (Mountain Time)","value":"12:51:52"},{"id":151,"name":"Denver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8" t="str">
        <f t="shared" si="72"/>
        <v>start /low /b %USERPROFILE%\Documents\GitHub\eaglep3\Utilities\DownloadLogsFromS3.py --loco 4018 --day 2017-02-03</v>
      </c>
      <c r="AN81" s="167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"%USERPROFILE%\AppData\Local\Temp\OnboardLogs"\RTDC4018\*4018*20170203* | grep -SE "(Enforcement Action)|(\[TIMEOUT)|(CHR.+\|PRM\|1\|D.+(SWITCH|SIGNAL).+UNKNOWN)" - &gt;&gt; 2017-02-03-UncaughtWiMAX.txt</v>
      </c>
    </row>
    <row r="82" spans="1:91" s="20" customFormat="1" x14ac:dyDescent="0.25">
      <c r="A82" s="33" t="s">
        <v>658</v>
      </c>
      <c r="B82" s="7">
        <v>4017</v>
      </c>
      <c r="C82" s="21" t="s">
        <v>193</v>
      </c>
      <c r="D82" s="21" t="s">
        <v>373</v>
      </c>
      <c r="E82" s="13">
        <v>42769.542210648149</v>
      </c>
      <c r="F82" s="13">
        <v>42769.549618055556</v>
      </c>
      <c r="G82" s="7">
        <v>1</v>
      </c>
      <c r="H82" s="21" t="s">
        <v>208</v>
      </c>
      <c r="I82" s="13">
        <v>42769.576562499999</v>
      </c>
      <c r="J82" s="7">
        <v>0</v>
      </c>
      <c r="K82" s="98" t="str">
        <f t="shared" si="55"/>
        <v>4017/4018</v>
      </c>
      <c r="L82" s="21" t="str">
        <f>VLOOKUP(A82,'Trips&amp;Operators'!$C$1:$G$99999,5,FALSE)</f>
        <v>KILLION DAVID</v>
      </c>
      <c r="M82" s="6">
        <f t="shared" si="56"/>
        <v>2.6944444442051463E-2</v>
      </c>
      <c r="N82" s="7">
        <f t="shared" si="57"/>
        <v>38.799999996554106</v>
      </c>
      <c r="O82" s="7"/>
      <c r="P82" s="7"/>
      <c r="Q82" s="22"/>
      <c r="R82" s="22"/>
      <c r="S82" s="31">
        <f t="shared" si="58"/>
        <v>1</v>
      </c>
      <c r="T82" s="46" t="str">
        <f t="shared" si="59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60"/>
        <v>https://d0f6bd738d7f1b3e5a7ca70fe4ff75f0.us-east-1.aws.found.io/app/kibana#/discover/Steve-Slow-Train-Analysis-(2080s-and-2083s)?_g=(refreshInterval:(display:Off,pause:!f,section:0,value:0),time:(from:'2017-02-03T12:00:47-0700',mode:absolute,to:'2017-02-03T14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92" t="str">
        <f t="shared" si="61"/>
        <v>N</v>
      </c>
      <c r="X82" s="192">
        <f t="shared" si="62"/>
        <v>1</v>
      </c>
      <c r="Y82" s="62">
        <f t="shared" si="63"/>
        <v>23.297499999999999</v>
      </c>
      <c r="Z82" s="62">
        <f t="shared" si="64"/>
        <v>1.6E-2</v>
      </c>
      <c r="AA82" s="62">
        <f t="shared" si="65"/>
        <v>23.281500000000001</v>
      </c>
      <c r="AB82" s="59" t="e">
        <f>VLOOKUP(A82,Enforcements!$C$7:$K$16,8,0)</f>
        <v>#N/A</v>
      </c>
      <c r="AC82" s="55" t="e">
        <f>VLOOKUP(A82,Enforcements!$C$7:$E$16,3,0)</f>
        <v>#N/A</v>
      </c>
      <c r="AD82" s="56" t="str">
        <f t="shared" si="66"/>
        <v>0170-03</v>
      </c>
      <c r="AE82" s="85" t="str">
        <f t="shared" si="67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82" s="82" t="str">
        <f t="shared" si="68"/>
        <v>"C:\Program Files (x86)\AstroGrep\AstroGrep.exe" /spath="%USERPROFILE%\AppData\Local\Temp\OnboardLogs" /stypes="app*4017*20170203*" /stext=" 20:.+((SYSTEM_STATE.+slice.+state.+changed )|(ment ac)|(multiple cpu faults)|(system.+state.+changed )|(\[timeout)|(PRM\|1\|D)|(kpr)|(kdp)|(\|lc)|(penalty))" /e /r /s</v>
      </c>
      <c r="AG82" s="1" t="str">
        <f t="shared" si="69"/>
        <v>EC</v>
      </c>
      <c r="AH82" s="86" t="str">
        <f t="shared" si="70"/>
        <v>"%USERPROFILE%\Documents\GitHub\eaglep3\Utilities\RefineRTDCRunTimes.py" --tripid 170-03 --locoid 4017 --swversion DE.1.0.8.0 --startMP 204:232975 --initTime 2017-02-03T13:00:47 --startdatetime 2017-02-03T13:11:27 --delay 1 --endMP 204:160 --enddatetime 2017-02-03T13:50:15 --enforcementcount 0 &gt;&gt;C:\Users\stu\Documents\GitHub\eaglep3-reporting\EC\2017-02-03-refined-times.txt</v>
      </c>
      <c r="AI82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{"issue":{"subject":"","project_id":79,"tracker_id":40,"status_id":1,"priority_id":2,"assigned_to_id":23,"start_date":"2017-02-03","description":"","custom_fields":[{"id":1,"name":"Subdivision","value":"EC"},{"id":4,"name":"Milepost","value":"0.016"},{"id":17,"name":"Train ID","value":"170-03"},{"id":16,"name":"Locomotive ID","value":"4017"},{"id":130,"name":"Impact","value":""},{"id":150,"name":"Time of Event (Mountain Time)","value":"13:50:15"},{"id":151,"name":"Denver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8" t="str">
        <f t="shared" si="72"/>
        <v>start /low /b %USERPROFILE%\Documents\GitHub\eaglep3\Utilities\DownloadLogsFromS3.py --loco 4017 --day 2017-02-03</v>
      </c>
      <c r="AN82" s="167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"%USERPROFILE%\AppData\Local\Temp\OnboardLogs"\RTDC4017\*4017*20170203* | grep -SE "(Enforcement Action)|(\[TIMEOUT)|(CHR.+\|PRM\|1\|D.+(SWITCH|SIGNAL).+UNKNOWN)" - &gt;&gt; 2017-02-03-UncaughtWiMAX.txt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543</v>
      </c>
      <c r="B83" s="7">
        <v>4025</v>
      </c>
      <c r="C83" s="21" t="s">
        <v>193</v>
      </c>
      <c r="D83" s="21" t="s">
        <v>415</v>
      </c>
      <c r="E83" s="13">
        <v>42769.515115740738</v>
      </c>
      <c r="F83" s="13">
        <v>42769.520983796298</v>
      </c>
      <c r="G83" s="7">
        <v>1</v>
      </c>
      <c r="H83" s="21" t="s">
        <v>375</v>
      </c>
      <c r="I83" s="13">
        <v>42769.548136574071</v>
      </c>
      <c r="J83" s="7">
        <v>1</v>
      </c>
      <c r="K83" s="98" t="str">
        <f t="shared" si="55"/>
        <v>4025/4026</v>
      </c>
      <c r="L83" s="21" t="str">
        <f>VLOOKUP(A83,'Trips&amp;Operators'!$C$1:$G$99999,5,FALSE)</f>
        <v>BRANNON JEFFREY</v>
      </c>
      <c r="M83" s="6">
        <f t="shared" si="56"/>
        <v>2.7152777773153502E-2</v>
      </c>
      <c r="N83" s="7">
        <f t="shared" si="57"/>
        <v>39.099999993341044</v>
      </c>
      <c r="O83" s="7"/>
      <c r="P83" s="7"/>
      <c r="Q83" s="22"/>
      <c r="R83" s="22"/>
      <c r="S83" s="31">
        <f t="shared" si="58"/>
        <v>1</v>
      </c>
      <c r="T83" s="46" t="str">
        <f t="shared" si="59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60"/>
        <v>https://d0f6bd738d7f1b3e5a7ca70fe4ff75f0.us-east-1.aws.found.io/app/kibana#/discover/Steve-Slow-Train-Analysis-(2080s-and-2083s)?_g=(refreshInterval:(display:Off,pause:!f,section:0,value:0),time:(from:'2017-02-03T11:21:46-0700',mode:absolute,to:'2017-02-03T14:09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3" s="192" t="str">
        <f t="shared" si="61"/>
        <v>N</v>
      </c>
      <c r="X83" s="192">
        <f t="shared" si="62"/>
        <v>1</v>
      </c>
      <c r="Y83" s="62">
        <f t="shared" si="63"/>
        <v>4.6600000000000003E-2</v>
      </c>
      <c r="Z83" s="62">
        <f t="shared" si="64"/>
        <v>23.328900000000001</v>
      </c>
      <c r="AA83" s="62">
        <f t="shared" si="65"/>
        <v>23.282299999999999</v>
      </c>
      <c r="AB83" s="59" t="e">
        <f>VLOOKUP(A83,Enforcements!$C$7:$K$16,8,0)</f>
        <v>#N/A</v>
      </c>
      <c r="AC83" s="55" t="e">
        <f>VLOOKUP(A83,Enforcements!$C$7:$E$16,3,0)</f>
        <v>#N/A</v>
      </c>
      <c r="AD83" s="56" t="str">
        <f t="shared" si="66"/>
        <v>0171-03</v>
      </c>
      <c r="AE83" s="85" t="str">
        <f t="shared" si="67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83" s="82" t="str">
        <f t="shared" si="68"/>
        <v>"C:\Program Files (x86)\AstroGrep\AstroGrep.exe" /spath="%USERPROFILE%\AppData\Local\Temp\OnboardLogs" /stypes="app*4025*20170203*" /stext=" 20:.+((SYSTEM_STATE.+slice.+state.+changed )|(ment ac)|(multiple cpu faults)|(system.+state.+changed )|(\[timeout)|(PRM\|1\|D)|(kpr)|(kdp)|(\|lc)|(penalty))" /e /r /s</v>
      </c>
      <c r="AG83" s="1" t="str">
        <f t="shared" si="69"/>
        <v>EC</v>
      </c>
      <c r="AH83" s="86" t="str">
        <f t="shared" si="70"/>
        <v>"%USERPROFILE%\Documents\GitHub\eaglep3\Utilities\RefineRTDCRunTimes.py" --tripid 171-03 --locoid 4025 --swversion DE.1.0.8.0 --startMP 204:466 --initTime 2017-02-03T12:21:46 --startdatetime 2017-02-03T12:30:13 --delay 1 --endMP 204:233289 --enddatetime 2017-02-03T13:09:19 --enforcementcount 1 &gt;&gt;C:\Users\stu\Documents\GitHub\eaglep3-reporting\EC\2017-02-03-refined-times.txt</v>
      </c>
      <c r="AI83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{"issue":{"subject":"","project_id":79,"tracker_id":40,"status_id":1,"priority_id":2,"assigned_to_id":23,"start_date":"2017-02-03","description":"","custom_fields":[{"id":1,"name":"Subdivision","value":"EC"},{"id":4,"name":"Milepost","value":"23.3289"},{"id":17,"name":"Train ID","value":"171-03"},{"id":16,"name":"Locomotive ID","value":"4025"},{"id":130,"name":"Impact","value":""},{"id":150,"name":"Time of Event (Mountain Time)","value":"13:09:19"},{"id":151,"name":"Denver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8" t="str">
        <f t="shared" si="72"/>
        <v>start /low /b %USERPROFILE%\Documents\GitHub\eaglep3\Utilities\DownloadLogsFromS3.py --loco 4025 --day 2017-02-03</v>
      </c>
      <c r="AN83" s="167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"%USERPROFILE%\AppData\Local\Temp\OnboardLogs"\RTDC4025\*4025*20170203* | grep -SE "(Enforcement Action)|(\[TIMEOUT)|(CHR.+\|PRM\|1\|D.+(SWITCH|SIGNAL).+UNKNOWN)" - &gt;&gt; 2017-02-03-UncaughtWiMAX.txt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545</v>
      </c>
      <c r="B84" s="7">
        <v>4026</v>
      </c>
      <c r="C84" s="21" t="s">
        <v>193</v>
      </c>
      <c r="D84" s="21" t="s">
        <v>403</v>
      </c>
      <c r="E84" s="13">
        <v>42769.550636574073</v>
      </c>
      <c r="F84" s="13">
        <v>42769.559884259259</v>
      </c>
      <c r="G84" s="7">
        <v>1</v>
      </c>
      <c r="H84" s="21" t="s">
        <v>308</v>
      </c>
      <c r="I84" s="13">
        <v>42769.587199074071</v>
      </c>
      <c r="J84" s="7">
        <v>2</v>
      </c>
      <c r="K84" s="98" t="str">
        <f t="shared" si="55"/>
        <v>4025/4026</v>
      </c>
      <c r="L84" s="21" t="str">
        <f>VLOOKUP(A84,'Trips&amp;Operators'!$C$1:$G$99999,5,FALSE)</f>
        <v>BRANNON JEFFREY</v>
      </c>
      <c r="M84" s="6">
        <f t="shared" si="56"/>
        <v>2.7314814811688848E-2</v>
      </c>
      <c r="N84" s="7">
        <f t="shared" si="57"/>
        <v>39.333333328831941</v>
      </c>
      <c r="O84" s="7"/>
      <c r="P84" s="7"/>
      <c r="Q84" s="22"/>
      <c r="R84" s="22"/>
      <c r="S84" s="31">
        <f t="shared" si="58"/>
        <v>1</v>
      </c>
      <c r="T84" s="46" t="str">
        <f t="shared" si="59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60"/>
        <v>https://d0f6bd738d7f1b3e5a7ca70fe4ff75f0.us-east-1.aws.found.io/app/kibana#/discover/Steve-Slow-Train-Analysis-(2080s-and-2083s)?_g=(refreshInterval:(display:Off,pause:!f,section:0,value:0),time:(from:'2017-02-03T12:12:55-0700',mode:absolute,to:'2017-02-03T15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4" s="192" t="str">
        <f t="shared" si="61"/>
        <v>N</v>
      </c>
      <c r="X84" s="192">
        <f t="shared" si="62"/>
        <v>1</v>
      </c>
      <c r="Y84" s="62">
        <f t="shared" si="63"/>
        <v>23.300599999999999</v>
      </c>
      <c r="Z84" s="62">
        <f t="shared" si="64"/>
        <v>1.3899999999999999E-2</v>
      </c>
      <c r="AA84" s="62">
        <f t="shared" si="65"/>
        <v>23.2867</v>
      </c>
      <c r="AB84" s="59" t="str">
        <f>VLOOKUP(A84,Enforcements!$C$7:$K$16,8,0)</f>
        <v>Bulletin (2)</v>
      </c>
      <c r="AC84" s="55" t="str">
        <f>VLOOKUP(A84,Enforcements!$C$7:$E$16,3,0)</f>
        <v>GRADE CROSSING</v>
      </c>
      <c r="AD84" s="56" t="str">
        <f t="shared" si="66"/>
        <v>0172-03</v>
      </c>
      <c r="AE84" s="85" t="str">
        <f t="shared" si="67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84" s="82" t="str">
        <f t="shared" si="68"/>
        <v>"C:\Program Files (x86)\AstroGrep\AstroGrep.exe" /spath="%USERPROFILE%\AppData\Local\Temp\OnboardLogs" /stypes="app*4026*20170203*" /stext=" 21:.+((SYSTEM_STATE.+slice.+state.+changed )|(ment ac)|(multiple cpu faults)|(system.+state.+changed )|(\[timeout)|(PRM\|1\|D)|(kpr)|(kdp)|(\|lc)|(penalty))" /e /r /s</v>
      </c>
      <c r="AG84" s="1" t="str">
        <f t="shared" si="69"/>
        <v>EC</v>
      </c>
      <c r="AH84" s="86" t="str">
        <f t="shared" si="70"/>
        <v>"%USERPROFILE%\Documents\GitHub\eaglep3\Utilities\RefineRTDCRunTimes.py" --tripid 172-03 --locoid 4026 --swversion DE.1.0.8.0 --startMP 204:233006 --initTime 2017-02-03T13:12:55 --startdatetime 2017-02-03T13:26:14 --delay 1 --endMP 204:139 --enddatetime 2017-02-03T14:05:34 --enforcementcount 2 &gt;&gt;C:\Users\stu\Documents\GitHub\eaglep3-reporting\EC\2017-02-03-refined-times.txt</v>
      </c>
      <c r="AI84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{"issue":{"subject":"","project_id":79,"tracker_id":40,"status_id":1,"priority_id":2,"assigned_to_id":23,"start_date":"2017-02-03","description":"","custom_fields":[{"id":1,"name":"Subdivision","value":"EC"},{"id":4,"name":"Milepost","value":"0.0139"},{"id":17,"name":"Train ID","value":"172-03"},{"id":16,"name":"Locomotive ID","value":"4026"},{"id":130,"name":"Impact","value":""},{"id":150,"name":"Time of Event (Mountain Time)","value":"14:05:34"},{"id":151,"name":"Denver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8" t="str">
        <f t="shared" si="72"/>
        <v>start /low /b %USERPROFILE%\Documents\GitHub\eaglep3\Utilities\DownloadLogsFromS3.py --loco 4026 --day 2017-02-03</v>
      </c>
      <c r="AN84" s="167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"%USERPROFILE%\AppData\Local\Temp\OnboardLogs"\RTDC4026\*4026*20170203* | grep -SE "(Enforcement Action)|(\[TIMEOUT)|(CHR.+\|PRM\|1\|D.+(SWITCH|SIGNAL).+UNKNOWN)" - &gt;&gt; 2017-02-03-UncaughtWiMAX.txt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655</v>
      </c>
      <c r="B85" s="7">
        <v>4002</v>
      </c>
      <c r="C85" s="21" t="s">
        <v>193</v>
      </c>
      <c r="D85" s="21" t="s">
        <v>211</v>
      </c>
      <c r="E85" s="13">
        <v>42769.527048611111</v>
      </c>
      <c r="F85" s="13">
        <v>42769.531446759262</v>
      </c>
      <c r="G85" s="7">
        <v>1</v>
      </c>
      <c r="H85" s="21" t="s">
        <v>786</v>
      </c>
      <c r="I85" s="13">
        <v>42769.555949074071</v>
      </c>
      <c r="J85" s="7">
        <v>0</v>
      </c>
      <c r="K85" s="98" t="str">
        <f t="shared" si="55"/>
        <v>4001/4002</v>
      </c>
      <c r="L85" s="21" t="str">
        <f>VLOOKUP(A85,'Trips&amp;Operators'!$C$1:$G$99999,5,FALSE)</f>
        <v>STEWART MICHAEL</v>
      </c>
      <c r="M85" s="6">
        <f t="shared" si="56"/>
        <v>2.4502314809069503E-2</v>
      </c>
      <c r="N85" s="7">
        <f t="shared" si="57"/>
        <v>35.283333325060084</v>
      </c>
      <c r="O85" s="7"/>
      <c r="P85" s="7"/>
      <c r="Q85" s="22"/>
      <c r="R85" s="22"/>
      <c r="S85" s="31">
        <f t="shared" si="58"/>
        <v>1</v>
      </c>
      <c r="T85" s="46" t="str">
        <f t="shared" si="59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60"/>
        <v>https://d0f6bd738d7f1b3e5a7ca70fe4ff75f0.us-east-1.aws.found.io/app/kibana#/discover/Steve-Slow-Train-Analysis-(2080s-and-2083s)?_g=(refreshInterval:(display:Off,pause:!f,section:0,value:0),time:(from:'2017-02-03T11:38:57-0700',mode:absolute,to:'2017-02-03T14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192" t="str">
        <f t="shared" si="61"/>
        <v>N</v>
      </c>
      <c r="X85" s="192">
        <f t="shared" si="62"/>
        <v>1</v>
      </c>
      <c r="Y85" s="62">
        <f t="shared" si="63"/>
        <v>4.4900000000000002E-2</v>
      </c>
      <c r="Z85" s="62">
        <f t="shared" si="64"/>
        <v>23.329499999999999</v>
      </c>
      <c r="AA85" s="62">
        <f t="shared" si="65"/>
        <v>23.284600000000001</v>
      </c>
      <c r="AB85" s="59" t="e">
        <f>VLOOKUP(A85,Enforcements!$C$7:$K$16,8,0)</f>
        <v>#N/A</v>
      </c>
      <c r="AC85" s="55" t="e">
        <f>VLOOKUP(A85,Enforcements!$C$7:$E$16,3,0)</f>
        <v>#N/A</v>
      </c>
      <c r="AD85" s="56" t="str">
        <f t="shared" si="66"/>
        <v>0173-03</v>
      </c>
      <c r="AE85" s="85" t="str">
        <f t="shared" si="67"/>
        <v>aws s3 cp s3://rtdc.mdm.uploadarchive.raw/RTDC4002/ "%USERPROFILE%\AppData\Local\Temp\OnboardLogs"\RTDC4002\2017-02-03 --exclude "*" --recursive --include "*20170203*" &amp; "%USERPROFILE%\Documents\GitHub\mrs-test-scripts\Headless Mode &amp; Sideloading\WalkAndUnGZ.bat" "%USERPROFILE%\AppData\Local\Temp\OnboardLogs"\RTDC4002\2017-02-03 &amp; aws s3 cp s3://rtdc.mdm.uploadarchive.raw/RTDC4002/ "%USERPROFILE%\AppData\Local\Temp\OnboardLogs"\RTDC4002\2017-02-04 --exclude "*" --recursive --include "*20170204*" &amp; "%USERPROFILE%\Documents\GitHub\mrs-test-scripts\Headless Mode &amp; Sideloading\WalkAndUnGZ.bat" "%USERPROFILE%\AppData\Local\Temp\OnboardLogs"\RTDC4002\2017-02-04</v>
      </c>
      <c r="AF85" s="82" t="str">
        <f t="shared" si="68"/>
        <v>"C:\Program Files (x86)\AstroGrep\AstroGrep.exe" /spath="%USERPROFILE%\AppData\Local\Temp\OnboardLogs" /stypes="app*4002*20170203*" /stext=" 20:.+((SYSTEM_STATE.+slice.+state.+changed )|(ment ac)|(multiple cpu faults)|(system.+state.+changed )|(\[timeout)|(PRM\|1\|D)|(kpr)|(kdp)|(\|lc)|(penalty))" /e /r /s</v>
      </c>
      <c r="AG85" s="1" t="str">
        <f t="shared" si="69"/>
        <v>EC</v>
      </c>
      <c r="AH85" s="86" t="str">
        <f t="shared" si="70"/>
        <v>"%USERPROFILE%\Documents\GitHub\eaglep3\Utilities\RefineRTDCRunTimes.py" --tripid 173-03 --locoid 4002 --swversion DE.1.0.8.0 --startMP 204:449 --initTime 2017-02-03T12:38:57 --startdatetime 2017-02-03T12:45:17 --delay 1 --endMP 204:233295 --enddatetime 2017-02-03T13:20:34 --enforcementcount 0 &gt;&gt;C:\Users\stu\Documents\GitHub\eaglep3-reporting\EC\2017-02-03-refined-times.txt</v>
      </c>
      <c r="AI85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{"issue":{"subject":"","project_id":79,"tracker_id":40,"status_id":1,"priority_id":2,"assigned_to_id":23,"start_date":"2017-02-03","description":"","custom_fields":[{"id":1,"name":"Subdivision","value":"EC"},{"id":4,"name":"Milepost","value":"23.3295"},{"id":17,"name":"Train ID","value":"173-03"},{"id":16,"name":"Locomotive ID","value":"4002"},{"id":130,"name":"Impact","value":""},{"id":150,"name":"Time of Event (Mountain Time)","value":"13:20:34"},{"id":151,"name":"Denver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8" t="str">
        <f t="shared" si="72"/>
        <v>start /low /b %USERPROFILE%\Documents\GitHub\eaglep3\Utilities\DownloadLogsFromS3.py --loco 4002 --day 2017-02-03</v>
      </c>
      <c r="AN85" s="167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"%USERPROFILE%\AppData\Local\Temp\OnboardLogs"\RTDC4002\*4002*20170203* | grep -SE "(Enforcement Action)|(\[TIMEOUT)|(CHR.+\|PRM\|1\|D.+(SWITCH|SIGNAL).+UNKNOWN)" - &gt;&gt; 2017-02-03-UncaughtWiMAX.txt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661</v>
      </c>
      <c r="B86" s="7">
        <v>4001</v>
      </c>
      <c r="C86" s="21" t="s">
        <v>193</v>
      </c>
      <c r="D86" s="21" t="s">
        <v>362</v>
      </c>
      <c r="E86" s="13">
        <v>42769.56695601852</v>
      </c>
      <c r="F86" s="13">
        <v>42769.570405092592</v>
      </c>
      <c r="G86" s="7">
        <v>2</v>
      </c>
      <c r="H86" s="21" t="s">
        <v>237</v>
      </c>
      <c r="I86" s="13">
        <v>42769.596932870372</v>
      </c>
      <c r="J86" s="7">
        <v>0</v>
      </c>
      <c r="K86" s="98" t="str">
        <f t="shared" si="55"/>
        <v>4001/4002</v>
      </c>
      <c r="L86" s="21" t="str">
        <f>VLOOKUP(A86,'Trips&amp;Operators'!$C$1:$G$99999,5,FALSE)</f>
        <v>STEWART MICHAEL</v>
      </c>
      <c r="M86" s="6">
        <f t="shared" si="56"/>
        <v>2.6527777779847383E-2</v>
      </c>
      <c r="N86" s="7">
        <f t="shared" si="57"/>
        <v>38.200000002980232</v>
      </c>
      <c r="O86" s="7"/>
      <c r="P86" s="7"/>
      <c r="Q86" s="22"/>
      <c r="R86" s="22"/>
      <c r="S86" s="31">
        <f t="shared" si="58"/>
        <v>1</v>
      </c>
      <c r="T86" s="46" t="str">
        <f t="shared" si="59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60"/>
        <v>https://d0f6bd738d7f1b3e5a7ca70fe4ff75f0.us-east-1.aws.found.io/app/kibana#/discover/Steve-Slow-Train-Analysis-(2080s-and-2083s)?_g=(refreshInterval:(display:Off,pause:!f,section:0,value:0),time:(from:'2017-02-03T12:36:25-0700',mode:absolute,to:'2017-02-03T15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192" t="str">
        <f t="shared" si="61"/>
        <v>N</v>
      </c>
      <c r="X86" s="192">
        <f t="shared" si="62"/>
        <v>1</v>
      </c>
      <c r="Y86" s="62">
        <f t="shared" si="63"/>
        <v>23.297799999999999</v>
      </c>
      <c r="Z86" s="62">
        <f t="shared" si="64"/>
        <v>1.43E-2</v>
      </c>
      <c r="AA86" s="62">
        <f t="shared" si="65"/>
        <v>23.2835</v>
      </c>
      <c r="AB86" s="59" t="e">
        <f>VLOOKUP(A86,Enforcements!$C$7:$K$16,8,0)</f>
        <v>#N/A</v>
      </c>
      <c r="AC86" s="55" t="e">
        <f>VLOOKUP(A86,Enforcements!$C$7:$E$16,3,0)</f>
        <v>#N/A</v>
      </c>
      <c r="AD86" s="56" t="str">
        <f t="shared" si="66"/>
        <v>0174-03</v>
      </c>
      <c r="AE86" s="85" t="str">
        <f t="shared" si="67"/>
        <v>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 &amp; aws s3 cp s3://rtdc.mdm.uploadarchive.raw/RTDC4001/ "%USERPROFILE%\AppData\Local\Temp\OnboardLogs"\RTDC4001\2017-02-04 --exclude "*" --recursive --include "*20170204*" &amp; "%USERPROFILE%\Documents\GitHub\mrs-test-scripts\Headless Mode &amp; Sideloading\WalkAndUnGZ.bat" "%USERPROFILE%\AppData\Local\Temp\OnboardLogs"\RTDC4001\2017-02-04</v>
      </c>
      <c r="AF86" s="82" t="str">
        <f t="shared" si="68"/>
        <v>"C:\Program Files (x86)\AstroGrep\AstroGrep.exe" /spath="%USERPROFILE%\AppData\Local\Temp\OnboardLogs" /stypes="app*4001*20170203*" /stext=" 21:.+((SYSTEM_STATE.+slice.+state.+changed )|(ment ac)|(multiple cpu faults)|(system.+state.+changed )|(\[timeout)|(PRM\|1\|D)|(kpr)|(kdp)|(\|lc)|(penalty))" /e /r /s</v>
      </c>
      <c r="AG86" s="1" t="str">
        <f t="shared" si="69"/>
        <v>EC</v>
      </c>
      <c r="AH86" s="86" t="str">
        <f t="shared" si="70"/>
        <v>"%USERPROFILE%\Documents\GitHub\eaglep3\Utilities\RefineRTDCRunTimes.py" --tripid 174-03 --locoid 4001 --swversion DE.1.0.8.0 --startMP 204:232978 --initTime 2017-02-03T13:36:25 --startdatetime 2017-02-03T13:41:23 --delay 2 --endMP 204:143 --enddatetime 2017-02-03T14:19:35 --enforcementcount 0 &gt;&gt;C:\Users\stu\Documents\GitHub\eaglep3-reporting\EC\2017-02-03-refined-times.txt</v>
      </c>
      <c r="AI86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{"issue":{"subject":"","project_id":79,"tracker_id":40,"status_id":1,"priority_id":2,"assigned_to_id":23,"start_date":"2017-02-03","description":"","custom_fields":[{"id":1,"name":"Subdivision","value":"EC"},{"id":4,"name":"Milepost","value":"0.0143"},{"id":17,"name":"Train ID","value":"174-03"},{"id":16,"name":"Locomotive ID","value":"4001"},{"id":130,"name":"Impact","value":""},{"id":150,"name":"Time of Event (Mountain Time)","value":"14:19:35"},{"id":151,"name":"Denver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8" t="str">
        <f t="shared" si="72"/>
        <v>start /low /b %USERPROFILE%\Documents\GitHub\eaglep3\Utilities\DownloadLogsFromS3.py --loco 4001 --day 2017-02-03</v>
      </c>
      <c r="AN86" s="167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"%USERPROFILE%\AppData\Local\Temp\OnboardLogs"\RTDC4001\*4001*20170203* | grep -SE "(Enforcement Action)|(\[TIMEOUT)|(CHR.+\|PRM\|1\|D.+(SWITCH|SIGNAL).+UNKNOWN)" - &gt;&gt; 2017-02-03-UncaughtWiMAX.txt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3" t="s">
        <v>657</v>
      </c>
      <c r="B87" s="7">
        <v>4031</v>
      </c>
      <c r="C87" s="21" t="s">
        <v>193</v>
      </c>
      <c r="D87" s="21" t="s">
        <v>412</v>
      </c>
      <c r="E87" s="13">
        <v>42769.537557870368</v>
      </c>
      <c r="F87" s="13">
        <v>42769.541967592595</v>
      </c>
      <c r="G87" s="7">
        <v>2</v>
      </c>
      <c r="H87" s="21" t="s">
        <v>411</v>
      </c>
      <c r="I87" s="13">
        <v>42769.56763888889</v>
      </c>
      <c r="J87" s="7">
        <v>0</v>
      </c>
      <c r="K87" s="98" t="str">
        <f t="shared" si="55"/>
        <v>4031/4032</v>
      </c>
      <c r="L87" s="21" t="str">
        <f>VLOOKUP(A87,'Trips&amp;Operators'!$C$1:$G$99999,5,FALSE)</f>
        <v>DE LA ROSA ALEX</v>
      </c>
      <c r="M87" s="6">
        <f t="shared" si="56"/>
        <v>2.5671296294603962E-2</v>
      </c>
      <c r="N87" s="7">
        <f t="shared" si="57"/>
        <v>36.966666664229706</v>
      </c>
      <c r="O87" s="7"/>
      <c r="P87" s="7"/>
      <c r="Q87" s="22"/>
      <c r="R87" s="22"/>
      <c r="S87" s="31">
        <f t="shared" si="58"/>
        <v>1</v>
      </c>
      <c r="T87" s="46" t="str">
        <f t="shared" si="59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60"/>
        <v>https://d0f6bd738d7f1b3e5a7ca70fe4ff75f0.us-east-1.aws.found.io/app/kibana#/discover/Steve-Slow-Train-Analysis-(2080s-and-2083s)?_g=(refreshInterval:(display:Off,pause:!f,section:0,value:0),time:(from:'2017-02-03T11:54:05-0700',mode:absolute,to:'2017-02-03T14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192" t="str">
        <f t="shared" si="61"/>
        <v>N</v>
      </c>
      <c r="X87" s="192">
        <f t="shared" si="62"/>
        <v>1</v>
      </c>
      <c r="Y87" s="62">
        <f t="shared" si="63"/>
        <v>4.3099999999999999E-2</v>
      </c>
      <c r="Z87" s="62">
        <f t="shared" si="64"/>
        <v>23.331499999999998</v>
      </c>
      <c r="AA87" s="62">
        <f t="shared" si="65"/>
        <v>23.288399999999999</v>
      </c>
      <c r="AB87" s="59" t="e">
        <f>VLOOKUP(A87,Enforcements!$C$7:$K$16,8,0)</f>
        <v>#N/A</v>
      </c>
      <c r="AC87" s="55" t="e">
        <f>VLOOKUP(A87,Enforcements!$C$7:$E$16,3,0)</f>
        <v>#N/A</v>
      </c>
      <c r="AD87" s="56" t="str">
        <f t="shared" si="66"/>
        <v>0175-03</v>
      </c>
      <c r="AE87" s="85" t="str">
        <f t="shared" si="67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87" s="82" t="str">
        <f t="shared" si="68"/>
        <v>"C:\Program Files (x86)\AstroGrep\AstroGrep.exe" /spath="%USERPROFILE%\AppData\Local\Temp\OnboardLogs" /stypes="app*4031*20170203*" /stext=" 20:.+((SYSTEM_STATE.+slice.+state.+changed )|(ment ac)|(multiple cpu faults)|(system.+state.+changed )|(\[timeout)|(PRM\|1\|D)|(kpr)|(kdp)|(\|lc)|(penalty))" /e /r /s</v>
      </c>
      <c r="AG87" s="1" t="str">
        <f t="shared" si="69"/>
        <v>EC</v>
      </c>
      <c r="AH87" s="86" t="str">
        <f t="shared" si="70"/>
        <v>"%USERPROFILE%\Documents\GitHub\eaglep3\Utilities\RefineRTDCRunTimes.py" --tripid 175-03 --locoid 4031 --swversion DE.1.0.8.0 --startMP 204:431 --initTime 2017-02-03T12:54:05 --startdatetime 2017-02-03T13:00:26 --delay 2 --endMP 204:233315 --enddatetime 2017-02-03T13:37:24 --enforcementcount 0 &gt;&gt;C:\Users\stu\Documents\GitHub\eaglep3-reporting\EC\2017-02-03-refined-times.txt</v>
      </c>
      <c r="AI87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{"issue":{"subject":"","project_id":79,"tracker_id":40,"status_id":1,"priority_id":2,"assigned_to_id":23,"start_date":"2017-02-03","description":"","custom_fields":[{"id":1,"name":"Subdivision","value":"EC"},{"id":4,"name":"Milepost","value":"23.3315"},{"id":17,"name":"Train ID","value":"175-03"},{"id":16,"name":"Locomotive ID","value":"4031"},{"id":130,"name":"Impact","value":""},{"id":150,"name":"Time of Event (Mountain Time)","value":"13:37:24"},{"id":151,"name":"Denver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8" t="str">
        <f t="shared" si="72"/>
        <v>start /low /b %USERPROFILE%\Documents\GitHub\eaglep3\Utilities\DownloadLogsFromS3.py --loco 4031 --day 2017-02-03</v>
      </c>
      <c r="AN87" s="167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"%USERPROFILE%\AppData\Local\Temp\OnboardLogs"\RTDC4031\*4031*20170203* | grep -SE "(Enforcement Action)|(\[TIMEOUT)|(CHR.+\|PRM\|1\|D.+(SWITCH|SIGNAL).+UNKNOWN)" - &gt;&gt; 2017-02-03-UncaughtWiMAX.txt</v>
      </c>
    </row>
    <row r="88" spans="1:91" s="20" customFormat="1" x14ac:dyDescent="0.25">
      <c r="A88" s="33" t="s">
        <v>664</v>
      </c>
      <c r="B88" s="7">
        <v>4032</v>
      </c>
      <c r="C88" s="21" t="s">
        <v>193</v>
      </c>
      <c r="D88" s="21" t="s">
        <v>800</v>
      </c>
      <c r="E88" s="13">
        <v>42769.577013888891</v>
      </c>
      <c r="F88" s="13">
        <v>42769.580740740741</v>
      </c>
      <c r="G88" s="7">
        <v>1</v>
      </c>
      <c r="H88" s="21" t="s">
        <v>225</v>
      </c>
      <c r="I88" s="13">
        <v>42769.607407407406</v>
      </c>
      <c r="J88" s="7">
        <v>0</v>
      </c>
      <c r="K88" s="98" t="str">
        <f t="shared" si="55"/>
        <v>4031/4032</v>
      </c>
      <c r="L88" s="21" t="str">
        <f>VLOOKUP(A88,'Trips&amp;Operators'!$C$1:$G$99999,5,FALSE)</f>
        <v>DE LA ROSA ALEX</v>
      </c>
      <c r="M88" s="6">
        <f t="shared" si="56"/>
        <v>2.6666666664823424E-2</v>
      </c>
      <c r="N88" s="7">
        <f t="shared" si="57"/>
        <v>38.399999997345731</v>
      </c>
      <c r="O88" s="7"/>
      <c r="P88" s="7"/>
      <c r="Q88" s="22"/>
      <c r="R88" s="22"/>
      <c r="S88" s="31">
        <f t="shared" si="58"/>
        <v>1</v>
      </c>
      <c r="T88" s="46" t="str">
        <f t="shared" si="59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60"/>
        <v>https://d0f6bd738d7f1b3e5a7ca70fe4ff75f0.us-east-1.aws.found.io/app/kibana#/discover/Steve-Slow-Train-Analysis-(2080s-and-2083s)?_g=(refreshInterval:(display:Off,pause:!f,section:0,value:0),time:(from:'2017-02-03T12:50:54-0700',mode:absolute,to:'2017-02-03T15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8" s="192" t="str">
        <f t="shared" si="61"/>
        <v>N</v>
      </c>
      <c r="X88" s="192">
        <f t="shared" si="62"/>
        <v>1</v>
      </c>
      <c r="Y88" s="62">
        <f t="shared" si="63"/>
        <v>23.3</v>
      </c>
      <c r="Z88" s="62">
        <f t="shared" si="64"/>
        <v>1.54E-2</v>
      </c>
      <c r="AA88" s="62">
        <f t="shared" si="65"/>
        <v>23.284600000000001</v>
      </c>
      <c r="AB88" s="59" t="e">
        <f>VLOOKUP(A88,Enforcements!$C$7:$K$16,8,0)</f>
        <v>#N/A</v>
      </c>
      <c r="AC88" s="55" t="e">
        <f>VLOOKUP(A88,Enforcements!$C$7:$E$16,3,0)</f>
        <v>#N/A</v>
      </c>
      <c r="AD88" s="56" t="str">
        <f t="shared" si="66"/>
        <v>0176-03</v>
      </c>
      <c r="AE88" s="85" t="str">
        <f t="shared" si="67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88" s="82" t="str">
        <f t="shared" si="68"/>
        <v>"C:\Program Files (x86)\AstroGrep\AstroGrep.exe" /spath="%USERPROFILE%\AppData\Local\Temp\OnboardLogs" /stypes="app*4032*20170203*" /stext=" 21:.+((SYSTEM_STATE.+slice.+state.+changed )|(ment ac)|(multiple cpu faults)|(system.+state.+changed )|(\[timeout)|(PRM\|1\|D)|(kpr)|(kdp)|(\|lc)|(penalty))" /e /r /s</v>
      </c>
      <c r="AG88" s="1" t="str">
        <f t="shared" si="69"/>
        <v>EC</v>
      </c>
      <c r="AH88" s="86" t="str">
        <f t="shared" si="70"/>
        <v>"%USERPROFILE%\Documents\GitHub\eaglep3\Utilities\RefineRTDCRunTimes.py" --tripid 176-03 --locoid 4032 --swversion DE.1.0.8.0 --startMP 204:233000 --initTime 2017-02-03T13:50:54 --startdatetime 2017-02-03T13:56:16 --delay 1 --endMP 204:154 --enddatetime 2017-02-03T14:34:40 --enforcementcount 0 &gt;&gt;C:\Users\stu\Documents\GitHub\eaglep3-reporting\EC\2017-02-03-refined-times.txt</v>
      </c>
      <c r="AI88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{"issue":{"subject":"","project_id":79,"tracker_id":40,"status_id":1,"priority_id":2,"assigned_to_id":23,"start_date":"2017-02-03","description":"","custom_fields":[{"id":1,"name":"Subdivision","value":"EC"},{"id":4,"name":"Milepost","value":"0.0154"},{"id":17,"name":"Train ID","value":"176-03"},{"id":16,"name":"Locomotive ID","value":"4032"},{"id":130,"name":"Impact","value":""},{"id":150,"name":"Time of Event (Mountain Time)","value":"14:34:40"},{"id":151,"name":"Denver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8" t="str">
        <f t="shared" si="72"/>
        <v>start /low /b %USERPROFILE%\Documents\GitHub\eaglep3\Utilities\DownloadLogsFromS3.py --loco 4032 --day 2017-02-03</v>
      </c>
      <c r="AN88" s="167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"%USERPROFILE%\AppData\Local\Temp\OnboardLogs"\RTDC4032\*4032*20170203* | grep -SE "(Enforcement Action)|(\[TIMEOUT)|(CHR.+\|PRM\|1\|D.+(SWITCH|SIGNAL).+UNKNOWN)" - &gt;&gt; 2017-02-03-UncaughtWiMAX.txt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659</v>
      </c>
      <c r="B89" s="7">
        <v>4022</v>
      </c>
      <c r="C89" s="21" t="s">
        <v>193</v>
      </c>
      <c r="D89" s="21" t="s">
        <v>801</v>
      </c>
      <c r="E89" s="13">
        <v>42769.547500000001</v>
      </c>
      <c r="F89" s="13">
        <v>42769.552291666667</v>
      </c>
      <c r="G89" s="7">
        <v>1</v>
      </c>
      <c r="H89" s="21" t="s">
        <v>802</v>
      </c>
      <c r="I89" s="13">
        <v>42769.577893518515</v>
      </c>
      <c r="J89" s="7">
        <v>0</v>
      </c>
      <c r="K89" s="98" t="str">
        <f t="shared" si="55"/>
        <v>4021/4022</v>
      </c>
      <c r="L89" s="21" t="str">
        <f>VLOOKUP(A89,'Trips&amp;Operators'!$C$1:$G$99999,5,FALSE)</f>
        <v>CLARK KATHLEEN</v>
      </c>
      <c r="M89" s="6">
        <f t="shared" si="56"/>
        <v>2.5601851848477963E-2</v>
      </c>
      <c r="N89" s="7">
        <f t="shared" si="57"/>
        <v>36.866666661808267</v>
      </c>
      <c r="O89" s="7"/>
      <c r="P89" s="7"/>
      <c r="Q89" s="22"/>
      <c r="R89" s="22"/>
      <c r="S89" s="31">
        <f t="shared" si="58"/>
        <v>1</v>
      </c>
      <c r="T89" s="46" t="str">
        <f t="shared" si="59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60"/>
        <v>https://d0f6bd738d7f1b3e5a7ca70fe4ff75f0.us-east-1.aws.found.io/app/kibana#/discover/Steve-Slow-Train-Analysis-(2080s-and-2083s)?_g=(refreshInterval:(display:Off,pause:!f,section:0,value:0),time:(from:'2017-02-03T12:08:24-0700',mode:absolute,to:'2017-02-03T14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192" t="str">
        <f t="shared" si="61"/>
        <v>N</v>
      </c>
      <c r="X89" s="192">
        <f t="shared" si="62"/>
        <v>1</v>
      </c>
      <c r="Y89" s="62">
        <f t="shared" si="63"/>
        <v>4.9799999999999997E-2</v>
      </c>
      <c r="Z89" s="62">
        <f t="shared" si="64"/>
        <v>23.328399999999998</v>
      </c>
      <c r="AA89" s="62">
        <f t="shared" si="65"/>
        <v>23.278599999999997</v>
      </c>
      <c r="AB89" s="59" t="e">
        <f>VLOOKUP(A89,Enforcements!$C$7:$K$16,8,0)</f>
        <v>#N/A</v>
      </c>
      <c r="AC89" s="55" t="e">
        <f>VLOOKUP(A89,Enforcements!$C$7:$E$16,3,0)</f>
        <v>#N/A</v>
      </c>
      <c r="AD89" s="56" t="str">
        <f t="shared" si="66"/>
        <v>0177-03</v>
      </c>
      <c r="AE89" s="85" t="str">
        <f t="shared" si="67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89" s="82" t="str">
        <f t="shared" si="68"/>
        <v>"C:\Program Files (x86)\AstroGrep\AstroGrep.exe" /spath="%USERPROFILE%\AppData\Local\Temp\OnboardLogs" /stypes="app*4022*20170203*" /stext=" 20:.+((SYSTEM_STATE.+slice.+state.+changed )|(ment ac)|(multiple cpu faults)|(system.+state.+changed )|(\[timeout)|(PRM\|1\|D)|(kpr)|(kdp)|(\|lc)|(penalty))" /e /r /s</v>
      </c>
      <c r="AG89" s="1" t="str">
        <f t="shared" si="69"/>
        <v>EC</v>
      </c>
      <c r="AH89" s="86" t="str">
        <f t="shared" si="70"/>
        <v>"%USERPROFILE%\Documents\GitHub\eaglep3\Utilities\RefineRTDCRunTimes.py" --tripid 177-03 --locoid 4022 --swversion DE.1.0.8.0 --startMP 204:498 --initTime 2017-02-03T13:08:24 --startdatetime 2017-02-03T13:15:18 --delay 1 --endMP 204:233284 --enddatetime 2017-02-03T13:52:10 --enforcementcount 0 &gt;&gt;C:\Users\stu\Documents\GitHub\eaglep3-reporting\EC\2017-02-03-refined-times.txt</v>
      </c>
      <c r="AI89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{"issue":{"subject":"","project_id":79,"tracker_id":40,"status_id":1,"priority_id":2,"assigned_to_id":23,"start_date":"2017-02-03","description":"","custom_fields":[{"id":1,"name":"Subdivision","value":"EC"},{"id":4,"name":"Milepost","value":"23.3284"},{"id":17,"name":"Train ID","value":"177-03"},{"id":16,"name":"Locomotive ID","value":"4022"},{"id":130,"name":"Impact","value":""},{"id":150,"name":"Time of Event (Mountain Time)","value":"13:52:10"},{"id":151,"name":"Denver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8" t="str">
        <f t="shared" si="72"/>
        <v>start /low /b %USERPROFILE%\Documents\GitHub\eaglep3\Utilities\DownloadLogsFromS3.py --loco 4022 --day 2017-02-03</v>
      </c>
      <c r="AN89" s="167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"%USERPROFILE%\AppData\Local\Temp\OnboardLogs"\RTDC4022\*4022*20170203* | grep -SE "(Enforcement Action)|(\[TIMEOUT)|(CHR.+\|PRM\|1\|D.+(SWITCH|SIGNAL).+UNKNOWN)" - &gt;&gt; 2017-02-03-UncaughtWiMAX.txt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666</v>
      </c>
      <c r="B90" s="7">
        <v>4021</v>
      </c>
      <c r="C90" s="21" t="s">
        <v>193</v>
      </c>
      <c r="D90" s="21" t="s">
        <v>360</v>
      </c>
      <c r="E90" s="13">
        <v>42769.58489583333</v>
      </c>
      <c r="F90" s="13">
        <v>42769.591145833336</v>
      </c>
      <c r="G90" s="7">
        <v>0</v>
      </c>
      <c r="H90" s="21" t="s">
        <v>290</v>
      </c>
      <c r="I90" s="13">
        <v>42769.619120370371</v>
      </c>
      <c r="J90" s="7">
        <v>0</v>
      </c>
      <c r="K90" s="98" t="str">
        <f t="shared" si="55"/>
        <v>4021/4022</v>
      </c>
      <c r="L90" s="21" t="str">
        <f>VLOOKUP(A90,'Trips&amp;Operators'!$C$1:$G$99999,5,FALSE)</f>
        <v>CLARK KATHLEEN</v>
      </c>
      <c r="M90" s="6">
        <f t="shared" si="56"/>
        <v>2.7974537035333924E-2</v>
      </c>
      <c r="N90" s="7">
        <f t="shared" si="57"/>
        <v>40.283333330880851</v>
      </c>
      <c r="O90" s="7"/>
      <c r="P90" s="7"/>
      <c r="Q90" s="22"/>
      <c r="R90" s="22"/>
      <c r="S90" s="31">
        <f t="shared" si="58"/>
        <v>1</v>
      </c>
      <c r="T90" s="46" t="str">
        <f t="shared" si="59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60"/>
        <v>https://d0f6bd738d7f1b3e5a7ca70fe4ff75f0.us-east-1.aws.found.io/app/kibana#/discover/Steve-Slow-Train-Analysis-(2080s-and-2083s)?_g=(refreshInterval:(display:Off,pause:!f,section:0,value:0),time:(from:'2017-02-03T13:02:15-0700',mode:absolute,to:'2017-02-03T15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192" t="str">
        <f t="shared" si="61"/>
        <v>N</v>
      </c>
      <c r="X90" s="192">
        <f t="shared" si="62"/>
        <v>1</v>
      </c>
      <c r="Y90" s="62">
        <f t="shared" si="63"/>
        <v>23.296299999999999</v>
      </c>
      <c r="Z90" s="62">
        <f t="shared" si="64"/>
        <v>1.5599999999999999E-2</v>
      </c>
      <c r="AA90" s="62">
        <f t="shared" si="65"/>
        <v>23.2807</v>
      </c>
      <c r="AB90" s="59" t="e">
        <f>VLOOKUP(A90,Enforcements!$C$7:$K$16,8,0)</f>
        <v>#N/A</v>
      </c>
      <c r="AC90" s="55" t="e">
        <f>VLOOKUP(A90,Enforcements!$C$7:$E$16,3,0)</f>
        <v>#N/A</v>
      </c>
      <c r="AD90" s="56" t="str">
        <f t="shared" si="66"/>
        <v>0178-03</v>
      </c>
      <c r="AE90" s="85" t="str">
        <f t="shared" si="67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90" s="82" t="str">
        <f t="shared" si="68"/>
        <v>"C:\Program Files (x86)\AstroGrep\AstroGrep.exe" /spath="%USERPROFILE%\AppData\Local\Temp\OnboardLogs" /stypes="app*4021*20170203*" /stext=" 21:.+((SYSTEM_STATE.+slice.+state.+changed )|(ment ac)|(multiple cpu faults)|(system.+state.+changed )|(\[timeout)|(PRM\|1\|D)|(kpr)|(kdp)|(\|lc)|(penalty))" /e /r /s</v>
      </c>
      <c r="AG90" s="1" t="str">
        <f t="shared" si="69"/>
        <v>EC</v>
      </c>
      <c r="AH90" s="86" t="str">
        <f t="shared" si="70"/>
        <v>"%USERPROFILE%\Documents\GitHub\eaglep3\Utilities\RefineRTDCRunTimes.py" --tripid 178-03 --locoid 4021 --swversion DE.1.0.8.0 --startMP 204:232963 --initTime 2017-02-03T14:02:15 --startdatetime 2017-02-03T14:11:15 --delay 0 --endMP 204:156 --enddatetime 2017-02-03T14:51:32 --enforcementcount 0 &gt;&gt;C:\Users\stu\Documents\GitHub\eaglep3-reporting\EC\2017-02-03-refined-times.txt</v>
      </c>
      <c r="AI90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{"issue":{"subject":"","project_id":79,"tracker_id":40,"status_id":1,"priority_id":2,"assigned_to_id":23,"start_date":"2017-02-03","description":"","custom_fields":[{"id":1,"name":"Subdivision","value":"EC"},{"id":4,"name":"Milepost","value":"0.0156"},{"id":17,"name":"Train ID","value":"178-03"},{"id":16,"name":"Locomotive ID","value":"4021"},{"id":130,"name":"Impact","value":""},{"id":150,"name":"Time of Event (Mountain Time)","value":"14:51:32"},{"id":151,"name":"Denver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8" t="str">
        <f t="shared" si="72"/>
        <v>start /low /b %USERPROFILE%\Documents\GitHub\eaglep3\Utilities\DownloadLogsFromS3.py --loco 4021 --day 2017-02-03</v>
      </c>
      <c r="AN90" s="167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660</v>
      </c>
      <c r="B91" s="7">
        <v>4040</v>
      </c>
      <c r="C91" s="21" t="s">
        <v>193</v>
      </c>
      <c r="D91" s="21" t="s">
        <v>226</v>
      </c>
      <c r="E91" s="13">
        <v>42769.558020833334</v>
      </c>
      <c r="F91" s="13">
        <v>42769.562673611108</v>
      </c>
      <c r="G91" s="7">
        <v>1</v>
      </c>
      <c r="H91" s="21" t="s">
        <v>803</v>
      </c>
      <c r="I91" s="13">
        <v>42769.588287037041</v>
      </c>
      <c r="J91" s="7">
        <v>0</v>
      </c>
      <c r="K91" s="98" t="str">
        <f t="shared" si="55"/>
        <v>4039/4040</v>
      </c>
      <c r="L91" s="21" t="str">
        <f>VLOOKUP(A91,'Trips&amp;Operators'!$C$1:$G$99999,5,FALSE)</f>
        <v>BRUDER RICHARD</v>
      </c>
      <c r="M91" s="6">
        <f t="shared" si="56"/>
        <v>2.5613425932533573E-2</v>
      </c>
      <c r="N91" s="7">
        <f t="shared" si="57"/>
        <v>36.883333342848346</v>
      </c>
      <c r="O91" s="7"/>
      <c r="P91" s="7"/>
      <c r="Q91" s="22"/>
      <c r="R91" s="22"/>
      <c r="S91" s="31">
        <f t="shared" si="58"/>
        <v>1</v>
      </c>
      <c r="T91" s="46" t="str">
        <f t="shared" si="59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60"/>
        <v>https://d0f6bd738d7f1b3e5a7ca70fe4ff75f0.us-east-1.aws.found.io/app/kibana#/discover/Steve-Slow-Train-Analysis-(2080s-and-2083s)?_g=(refreshInterval:(display:Off,pause:!f,section:0,value:0),time:(from:'2017-02-03T12:23:33-0700',mode:absolute,to:'2017-02-03T15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192" t="str">
        <f t="shared" si="61"/>
        <v>N</v>
      </c>
      <c r="X91" s="192">
        <f t="shared" si="62"/>
        <v>1</v>
      </c>
      <c r="Y91" s="62">
        <f t="shared" si="63"/>
        <v>4.58E-2</v>
      </c>
      <c r="Z91" s="62">
        <f t="shared" si="64"/>
        <v>23.332699999999999</v>
      </c>
      <c r="AA91" s="62">
        <f t="shared" si="65"/>
        <v>23.286899999999999</v>
      </c>
      <c r="AB91" s="59" t="e">
        <f>VLOOKUP(A91,Enforcements!$C$7:$K$16,8,0)</f>
        <v>#N/A</v>
      </c>
      <c r="AC91" s="55" t="e">
        <f>VLOOKUP(A91,Enforcements!$C$7:$E$16,3,0)</f>
        <v>#N/A</v>
      </c>
      <c r="AD91" s="56" t="str">
        <f t="shared" si="66"/>
        <v>0179-03</v>
      </c>
      <c r="AE91" s="85" t="str">
        <f t="shared" si="67"/>
        <v>aws s3 cp s3://rtdc.mdm.uploadarchive.raw/RTDC4040/ "%USERPROFILE%\AppData\Local\Temp\OnboardLogs"\RTDC4040\2017-02-03 --exclude "*" --recursive --include "*20170203*" &amp; "%USERPROFILE%\Documents\GitHub\mrs-test-scripts\Headless Mode &amp; Sideloading\WalkAndUnGZ.bat" "%USERPROFILE%\AppData\Local\Temp\OnboardLogs"\RTDC4040\2017-02-03 &amp; 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</v>
      </c>
      <c r="AF91" s="82" t="str">
        <f t="shared" si="68"/>
        <v>"C:\Program Files (x86)\AstroGrep\AstroGrep.exe" /spath="%USERPROFILE%\AppData\Local\Temp\OnboardLogs" /stypes="app*4040*20170203*" /stext=" 21:.+((SYSTEM_STATE.+slice.+state.+changed )|(ment ac)|(multiple cpu faults)|(system.+state.+changed )|(\[timeout)|(PRM\|1\|D)|(kpr)|(kdp)|(\|lc)|(penalty))" /e /r /s</v>
      </c>
      <c r="AG91" s="1" t="str">
        <f t="shared" si="69"/>
        <v>EC</v>
      </c>
      <c r="AH91" s="86" t="str">
        <f t="shared" si="70"/>
        <v>"%USERPROFILE%\Documents\GitHub\eaglep3\Utilities\RefineRTDCRunTimes.py" --tripid 179-03 --locoid 4040 --swversion DE.1.0.8.0 --startMP 204:458 --initTime 2017-02-03T13:23:33 --startdatetime 2017-02-03T13:30:15 --delay 1 --endMP 204:233327 --enddatetime 2017-02-03T14:07:08 --enforcementcount 0 &gt;&gt;C:\Users\stu\Documents\GitHub\eaglep3-reporting\EC\2017-02-03-refined-times.txt</v>
      </c>
      <c r="AI91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{"issue":{"subject":"","project_id":79,"tracker_id":40,"status_id":1,"priority_id":2,"assigned_to_id":23,"start_date":"2017-02-03","description":"","custom_fields":[{"id":1,"name":"Subdivision","value":"EC"},{"id":4,"name":"Milepost","value":"23.3327"},{"id":17,"name":"Train ID","value":"179-03"},{"id":16,"name":"Locomotive ID","value":"4040"},{"id":130,"name":"Impact","value":""},{"id":150,"name":"Time of Event (Mountain Time)","value":"14:07:08"},{"id":151,"name":"Denver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8" t="str">
        <f t="shared" si="72"/>
        <v>start /low /b %USERPROFILE%\Documents\GitHub\eaglep3\Utilities\DownloadLogsFromS3.py --loco 4040 --day 2017-02-03</v>
      </c>
      <c r="AN91" s="167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"%USERPROFILE%\AppData\Local\Temp\OnboardLogs"\RTDC4040\*4040*20170203* | grep -SE "(Enforcement Action)|(\[TIMEOUT)|(CHR.+\|PRM\|1\|D.+(SWITCH|SIGNAL).+UNKNOWN)" - &gt;&gt; 2017-02-03-UncaughtWiMAX.txt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669</v>
      </c>
      <c r="B92" s="7">
        <v>4039</v>
      </c>
      <c r="C92" s="21" t="s">
        <v>193</v>
      </c>
      <c r="D92" s="21" t="s">
        <v>804</v>
      </c>
      <c r="E92" s="13">
        <v>42769.596944444442</v>
      </c>
      <c r="F92" s="13">
        <v>42769.602372685185</v>
      </c>
      <c r="G92" s="7">
        <v>2</v>
      </c>
      <c r="H92" s="21" t="s">
        <v>206</v>
      </c>
      <c r="I92" s="13">
        <v>42769.627442129633</v>
      </c>
      <c r="J92" s="7">
        <v>0</v>
      </c>
      <c r="K92" s="98" t="str">
        <f t="shared" si="55"/>
        <v>4039/4040</v>
      </c>
      <c r="L92" s="21" t="str">
        <f>VLOOKUP(A92,'Trips&amp;Operators'!$C$1:$G$99999,5,FALSE)</f>
        <v>BRUDER RICHARD</v>
      </c>
      <c r="M92" s="6">
        <f t="shared" si="56"/>
        <v>2.5069444447581191E-2</v>
      </c>
      <c r="N92" s="7">
        <f t="shared" si="57"/>
        <v>36.100000004516914</v>
      </c>
      <c r="O92" s="7"/>
      <c r="P92" s="7"/>
      <c r="Q92" s="22"/>
      <c r="R92" s="22"/>
      <c r="S92" s="31">
        <f t="shared" si="58"/>
        <v>1</v>
      </c>
      <c r="T92" s="46" t="str">
        <f t="shared" si="59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60"/>
        <v>https://d0f6bd738d7f1b3e5a7ca70fe4ff75f0.us-east-1.aws.found.io/app/kibana#/discover/Steve-Slow-Train-Analysis-(2080s-and-2083s)?_g=(refreshInterval:(display:Off,pause:!f,section:0,value:0),time:(from:'2017-02-03T13:19:36-0700',mode:absolute,to:'2017-02-03T16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192" t="str">
        <f t="shared" si="61"/>
        <v>N</v>
      </c>
      <c r="X92" s="192">
        <f t="shared" si="62"/>
        <v>1</v>
      </c>
      <c r="Y92" s="62">
        <f t="shared" si="63"/>
        <v>23.2989</v>
      </c>
      <c r="Z92" s="62">
        <f t="shared" si="64"/>
        <v>1.47E-2</v>
      </c>
      <c r="AA92" s="62">
        <f t="shared" si="65"/>
        <v>23.284199999999998</v>
      </c>
      <c r="AB92" s="59" t="e">
        <f>VLOOKUP(A92,Enforcements!$C$7:$K$16,8,0)</f>
        <v>#N/A</v>
      </c>
      <c r="AC92" s="55" t="e">
        <f>VLOOKUP(A92,Enforcements!$C$7:$E$16,3,0)</f>
        <v>#N/A</v>
      </c>
      <c r="AD92" s="56" t="str">
        <f t="shared" si="66"/>
        <v>0180-03</v>
      </c>
      <c r="AE92" s="85" t="str">
        <f t="shared" si="67"/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AF92" s="82" t="str">
        <f t="shared" si="68"/>
        <v>"C:\Program Files (x86)\AstroGrep\AstroGrep.exe" /spath="%USERPROFILE%\AppData\Local\Temp\OnboardLogs" /stypes="app*4039*20170203*" /stext=" 22:.+((SYSTEM_STATE.+slice.+state.+changed )|(ment ac)|(multiple cpu faults)|(system.+state.+changed )|(\[timeout)|(PRM\|1\|D)|(kpr)|(kdp)|(\|lc)|(penalty))" /e /r /s</v>
      </c>
      <c r="AG92" s="1" t="str">
        <f t="shared" si="69"/>
        <v>EC</v>
      </c>
      <c r="AH92" s="86" t="str">
        <f t="shared" si="70"/>
        <v>"%USERPROFILE%\Documents\GitHub\eaglep3\Utilities\RefineRTDCRunTimes.py" --tripid 180-03 --locoid 4039 --swversion DE.1.0.8.0 --startMP 204:232989 --initTime 2017-02-03T14:19:36 --startdatetime 2017-02-03T14:27:25 --delay 2 --endMP 204:147 --enddatetime 2017-02-03T15:03:31 --enforcementcount 0 &gt;&gt;C:\Users\stu\Documents\GitHub\eaglep3-reporting\EC\2017-02-03-refined-times.txt</v>
      </c>
      <c r="AI92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{"issue":{"subject":"","project_id":79,"tracker_id":40,"status_id":1,"priority_id":2,"assigned_to_id":23,"start_date":"2017-02-03","description":"","custom_fields":[{"id":1,"name":"Subdivision","value":"EC"},{"id":4,"name":"Milepost","value":"0.0147"},{"id":17,"name":"Train ID","value":"180-03"},{"id":16,"name":"Locomotive ID","value":"4039"},{"id":130,"name":"Impact","value":""},{"id":150,"name":"Time of Event (Mountain Time)","value":"15:03:31"},{"id":151,"name":"Denver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8" t="str">
        <f t="shared" si="72"/>
        <v>start /low /b %USERPROFILE%\Documents\GitHub\eaglep3\Utilities\DownloadLogsFromS3.py --loco 4039 --day 2017-02-03</v>
      </c>
      <c r="AN92" s="167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"%USERPROFILE%\AppData\Local\Temp\OnboardLogs"\RTDC4039\*4039*20170203* | grep -SE "(Enforcement Action)|(\[TIMEOUT)|(CHR.+\|PRM\|1\|D.+(SWITCH|SIGNAL).+UNKNOWN)" - &gt;&gt; 2017-02-03-UncaughtWiMAX.txt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663</v>
      </c>
      <c r="B93" s="7">
        <v>4044</v>
      </c>
      <c r="C93" s="21" t="s">
        <v>193</v>
      </c>
      <c r="D93" s="21" t="s">
        <v>287</v>
      </c>
      <c r="E93" s="13">
        <v>42769.569143518522</v>
      </c>
      <c r="F93" s="13">
        <v>42769.57309027778</v>
      </c>
      <c r="G93" s="7">
        <v>1</v>
      </c>
      <c r="H93" s="21" t="s">
        <v>378</v>
      </c>
      <c r="I93" s="13">
        <v>42769.597754629627</v>
      </c>
      <c r="J93" s="7">
        <v>0</v>
      </c>
      <c r="K93" s="98" t="str">
        <f t="shared" si="55"/>
        <v>4043/4044</v>
      </c>
      <c r="L93" s="21" t="str">
        <f>VLOOKUP(A93,'Trips&amp;Operators'!$C$1:$G$99999,5,FALSE)</f>
        <v>HELVIE ADAM</v>
      </c>
      <c r="M93" s="6">
        <f t="shared" si="56"/>
        <v>2.4664351847604848E-2</v>
      </c>
      <c r="N93" s="7">
        <f t="shared" si="57"/>
        <v>35.516666660550982</v>
      </c>
      <c r="O93" s="7"/>
      <c r="P93" s="7"/>
      <c r="Q93" s="22"/>
      <c r="R93" s="22"/>
      <c r="S93" s="31">
        <f t="shared" si="58"/>
        <v>1</v>
      </c>
      <c r="T93" s="46" t="str">
        <f t="shared" si="59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60"/>
        <v>https://d0f6bd738d7f1b3e5a7ca70fe4ff75f0.us-east-1.aws.found.io/app/kibana#/discover/Steve-Slow-Train-Analysis-(2080s-and-2083s)?_g=(refreshInterval:(display:Off,pause:!f,section:0,value:0),time:(from:'2017-02-03T12:39:34-0700',mode:absolute,to:'2017-02-03T15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92" t="str">
        <f t="shared" si="61"/>
        <v>N</v>
      </c>
      <c r="X93" s="192">
        <f t="shared" si="62"/>
        <v>1</v>
      </c>
      <c r="Y93" s="62">
        <f t="shared" si="63"/>
        <v>4.6699999999999998E-2</v>
      </c>
      <c r="Z93" s="62">
        <f t="shared" si="64"/>
        <v>23.328800000000001</v>
      </c>
      <c r="AA93" s="62">
        <f t="shared" si="65"/>
        <v>23.2821</v>
      </c>
      <c r="AB93" s="59" t="e">
        <f>VLOOKUP(A93,Enforcements!$C$7:$K$16,8,0)</f>
        <v>#N/A</v>
      </c>
      <c r="AC93" s="55" t="e">
        <f>VLOOKUP(A93,Enforcements!$C$7:$E$16,3,0)</f>
        <v>#N/A</v>
      </c>
      <c r="AD93" s="56" t="str">
        <f t="shared" si="66"/>
        <v>0181-03</v>
      </c>
      <c r="AE93" s="85" t="str">
        <f t="shared" si="67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93" s="82" t="str">
        <f t="shared" si="68"/>
        <v>"C:\Program Files (x86)\AstroGrep\AstroGrep.exe" /spath="%USERPROFILE%\AppData\Local\Temp\OnboardLogs" /stypes="app*4044*20170203*" /stext=" 21:.+((SYSTEM_STATE.+slice.+state.+changed )|(ment ac)|(multiple cpu faults)|(system.+state.+changed )|(\[timeout)|(PRM\|1\|D)|(kpr)|(kdp)|(\|lc)|(penalty))" /e /r /s</v>
      </c>
      <c r="AG93" s="1" t="str">
        <f t="shared" si="69"/>
        <v>EC</v>
      </c>
      <c r="AH93" s="86" t="str">
        <f t="shared" si="70"/>
        <v>"%USERPROFILE%\Documents\GitHub\eaglep3\Utilities\RefineRTDCRunTimes.py" --tripid 181-03 --locoid 4044 --swversion DE.1.0.8.0 --startMP 204:467 --initTime 2017-02-03T13:39:34 --startdatetime 2017-02-03T13:45:15 --delay 1 --endMP 204:233288 --enddatetime 2017-02-03T14:20:46 --enforcementcount 0 &gt;&gt;C:\Users\stu\Documents\GitHub\eaglep3-reporting\EC\2017-02-03-refined-times.txt</v>
      </c>
      <c r="AI93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{"issue":{"subject":"","project_id":79,"tracker_id":40,"status_id":1,"priority_id":2,"assigned_to_id":23,"start_date":"2017-02-03","description":"","custom_fields":[{"id":1,"name":"Subdivision","value":"EC"},{"id":4,"name":"Milepost","value":"23.3288"},{"id":17,"name":"Train ID","value":"181-03"},{"id":16,"name":"Locomotive ID","value":"4044"},{"id":130,"name":"Impact","value":""},{"id":150,"name":"Time of Event (Mountain Time)","value":"14:20:46"},{"id":151,"name":"Denver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8" t="str">
        <f t="shared" si="72"/>
        <v>start /low /b %USERPROFILE%\Documents\GitHub\eaglep3\Utilities\DownloadLogsFromS3.py --loco 4044 --day 2017-02-03</v>
      </c>
      <c r="AN93" s="167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"%USERPROFILE%\AppData\Local\Temp\OnboardLogs"\RTDC4044\*4044*20170203* | grep -SE "(Enforcement Action)|(\[TIMEOUT)|(CHR.+\|PRM\|1\|D.+(SWITCH|SIGNAL).+UNKNOWN)" - &gt;&gt; 2017-02-03-UncaughtWiMAX.txt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671</v>
      </c>
      <c r="B94" s="7">
        <v>4043</v>
      </c>
      <c r="C94" s="21" t="s">
        <v>193</v>
      </c>
      <c r="D94" s="21" t="s">
        <v>787</v>
      </c>
      <c r="E94" s="13">
        <v>42769.608923611115</v>
      </c>
      <c r="F94" s="13">
        <v>42769.611979166664</v>
      </c>
      <c r="G94" s="7">
        <v>1</v>
      </c>
      <c r="H94" s="21" t="s">
        <v>208</v>
      </c>
      <c r="I94" s="13">
        <v>42769.638912037037</v>
      </c>
      <c r="J94" s="7">
        <v>0</v>
      </c>
      <c r="K94" s="98" t="str">
        <f t="shared" si="55"/>
        <v>4043/4044</v>
      </c>
      <c r="L94" s="21" t="str">
        <f>VLOOKUP(A94,'Trips&amp;Operators'!$C$1:$G$99999,5,FALSE)</f>
        <v>HELVIE ADAM</v>
      </c>
      <c r="M94" s="6">
        <f t="shared" si="56"/>
        <v>2.6932870372547768E-2</v>
      </c>
      <c r="N94" s="7">
        <f t="shared" si="57"/>
        <v>38.783333336468786</v>
      </c>
      <c r="O94" s="7"/>
      <c r="P94" s="7"/>
      <c r="Q94" s="22"/>
      <c r="R94" s="22"/>
      <c r="S94" s="31">
        <f t="shared" si="58"/>
        <v>1</v>
      </c>
      <c r="T94" s="46" t="str">
        <f t="shared" si="59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60"/>
        <v>https://d0f6bd738d7f1b3e5a7ca70fe4ff75f0.us-east-1.aws.found.io/app/kibana#/discover/Steve-Slow-Train-Analysis-(2080s-and-2083s)?_g=(refreshInterval:(display:Off,pause:!f,section:0,value:0),time:(from:'2017-02-03T13:36:51-0700',mode:absolute,to:'2017-02-03T16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92" t="str">
        <f t="shared" si="61"/>
        <v>N</v>
      </c>
      <c r="X94" s="192">
        <f t="shared" si="62"/>
        <v>1</v>
      </c>
      <c r="Y94" s="62">
        <f t="shared" si="63"/>
        <v>23.296900000000001</v>
      </c>
      <c r="Z94" s="62">
        <f t="shared" si="64"/>
        <v>1.6E-2</v>
      </c>
      <c r="AA94" s="62">
        <f t="shared" si="65"/>
        <v>23.280900000000003</v>
      </c>
      <c r="AB94" s="59" t="e">
        <f>VLOOKUP(A94,Enforcements!$C$7:$K$16,8,0)</f>
        <v>#N/A</v>
      </c>
      <c r="AC94" s="55" t="e">
        <f>VLOOKUP(A94,Enforcements!$C$7:$E$16,3,0)</f>
        <v>#N/A</v>
      </c>
      <c r="AD94" s="56" t="str">
        <f t="shared" si="66"/>
        <v>0182-03</v>
      </c>
      <c r="AE94" s="85" t="str">
        <f t="shared" si="67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94" s="82" t="str">
        <f t="shared" si="68"/>
        <v>"C:\Program Files (x86)\AstroGrep\AstroGrep.exe" /spath="%USERPROFILE%\AppData\Local\Temp\OnboardLogs" /stypes="app*4043*20170203*" /stext=" 22:.+((SYSTEM_STATE.+slice.+state.+changed )|(ment ac)|(multiple cpu faults)|(system.+state.+changed )|(\[timeout)|(PRM\|1\|D)|(kpr)|(kdp)|(\|lc)|(penalty))" /e /r /s</v>
      </c>
      <c r="AG94" s="1" t="str">
        <f t="shared" si="69"/>
        <v>EC</v>
      </c>
      <c r="AH94" s="86" t="str">
        <f t="shared" si="70"/>
        <v>"%USERPROFILE%\Documents\GitHub\eaglep3\Utilities\RefineRTDCRunTimes.py" --tripid 182-03 --locoid 4043 --swversion DE.1.0.8.0 --startMP 204:232969 --initTime 2017-02-03T14:36:51 --startdatetime 2017-02-03T14:41:15 --delay 1 --endMP 204:160 --enddatetime 2017-02-03T15:20:02 --enforcementcount 0 &gt;&gt;C:\Users\stu\Documents\GitHub\eaglep3-reporting\EC\2017-02-03-refined-times.txt</v>
      </c>
      <c r="AI94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{"issue":{"subject":"","project_id":79,"tracker_id":40,"status_id":1,"priority_id":2,"assigned_to_id":23,"start_date":"2017-02-03","description":"","custom_fields":[{"id":1,"name":"Subdivision","value":"EC"},{"id":4,"name":"Milepost","value":"0.016"},{"id":17,"name":"Train ID","value":"182-03"},{"id":16,"name":"Locomotive ID","value":"4043"},{"id":130,"name":"Impact","value":""},{"id":150,"name":"Time of Event (Mountain Time)","value":"15:20:02"},{"id":151,"name":"Denver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8" t="str">
        <f t="shared" si="72"/>
        <v>start /low /b %USERPROFILE%\Documents\GitHub\eaglep3\Utilities\DownloadLogsFromS3.py --loco 4043 --day 2017-02-03</v>
      </c>
      <c r="AN94" s="167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"%USERPROFILE%\AppData\Local\Temp\OnboardLogs"\RTDC4043\*4043*20170203* | grep -SE "(Enforcement Action)|(\[TIMEOUT)|(CHR.+\|PRM\|1\|D.+(SWITCH|SIGNAL).+UNKNOWN)" - &gt;&gt; 2017-02-03-UncaughtWiMAX.txt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665</v>
      </c>
      <c r="B95" s="7">
        <v>4018</v>
      </c>
      <c r="C95" s="21" t="s">
        <v>193</v>
      </c>
      <c r="D95" s="21" t="s">
        <v>409</v>
      </c>
      <c r="E95" s="13">
        <v>42769.578020833331</v>
      </c>
      <c r="F95" s="13">
        <v>42769.583518518521</v>
      </c>
      <c r="G95" s="7">
        <v>1</v>
      </c>
      <c r="H95" s="21" t="s">
        <v>363</v>
      </c>
      <c r="I95" s="13">
        <v>42769.609351851854</v>
      </c>
      <c r="J95" s="7">
        <v>0</v>
      </c>
      <c r="K95" s="98" t="str">
        <f t="shared" si="55"/>
        <v>4017/4018</v>
      </c>
      <c r="L95" s="21" t="str">
        <f>VLOOKUP(A95,'Trips&amp;Operators'!$C$1:$G$99999,5,FALSE)</f>
        <v>KILLION DAVID</v>
      </c>
      <c r="M95" s="6">
        <f t="shared" si="56"/>
        <v>2.5833333333139308E-2</v>
      </c>
      <c r="N95" s="7">
        <f t="shared" si="57"/>
        <v>37.199999999720603</v>
      </c>
      <c r="O95" s="7"/>
      <c r="P95" s="7"/>
      <c r="Q95" s="22"/>
      <c r="R95" s="22"/>
      <c r="S95" s="31">
        <f t="shared" si="58"/>
        <v>1</v>
      </c>
      <c r="T95" s="46" t="str">
        <f t="shared" si="59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60"/>
        <v>https://d0f6bd738d7f1b3e5a7ca70fe4ff75f0.us-east-1.aws.found.io/app/kibana#/discover/Steve-Slow-Train-Analysis-(2080s-and-2083s)?_g=(refreshInterval:(display:Off,pause:!f,section:0,value:0),time:(from:'2017-02-03T12:52:21-0700',mode:absolute,to:'2017-02-03T15:37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92" t="str">
        <f t="shared" si="61"/>
        <v>N</v>
      </c>
      <c r="X95" s="192">
        <f t="shared" si="62"/>
        <v>1</v>
      </c>
      <c r="Y95" s="62">
        <f t="shared" si="63"/>
        <v>4.6399999999999997E-2</v>
      </c>
      <c r="Z95" s="62">
        <f t="shared" si="64"/>
        <v>23.330200000000001</v>
      </c>
      <c r="AA95" s="62">
        <f t="shared" si="65"/>
        <v>23.283800000000003</v>
      </c>
      <c r="AB95" s="59" t="e">
        <f>VLOOKUP(A95,Enforcements!$C$7:$K$16,8,0)</f>
        <v>#N/A</v>
      </c>
      <c r="AC95" s="55" t="e">
        <f>VLOOKUP(A95,Enforcements!$C$7:$E$16,3,0)</f>
        <v>#N/A</v>
      </c>
      <c r="AD95" s="56" t="str">
        <f t="shared" si="66"/>
        <v>0183-03</v>
      </c>
      <c r="AE95" s="85" t="str">
        <f t="shared" si="67"/>
        <v>aws s3 cp s3://rtdc.mdm.uploadarchive.raw/RTDC4018/ "%USERPROFILE%\AppData\Local\Temp\OnboardLogs"\RTDC4018\2017-02-03 --exclude "*" --recursive --include "*20170203*" &amp; "%USERPROFILE%\Documents\GitHub\mrs-test-scripts\Headless Mode &amp; Sideloading\WalkAndUnGZ.bat" "%USERPROFILE%\AppData\Local\Temp\OnboardLogs"\RTDC4018\2017-02-03 &amp; aws s3 cp s3://rtdc.mdm.uploadarchive.raw/RTDC4018/ "%USERPROFILE%\AppData\Local\Temp\OnboardLogs"\RTDC4018\2017-02-04 --exclude "*" --recursive --include "*20170204*" &amp; "%USERPROFILE%\Documents\GitHub\mrs-test-scripts\Headless Mode &amp; Sideloading\WalkAndUnGZ.bat" "%USERPROFILE%\AppData\Local\Temp\OnboardLogs"\RTDC4018\2017-02-04</v>
      </c>
      <c r="AF95" s="82" t="str">
        <f t="shared" si="68"/>
        <v>"C:\Program Files (x86)\AstroGrep\AstroGrep.exe" /spath="%USERPROFILE%\AppData\Local\Temp\OnboardLogs" /stypes="app*4018*20170203*" /stext=" 21:.+((SYSTEM_STATE.+slice.+state.+changed )|(ment ac)|(multiple cpu faults)|(system.+state.+changed )|(\[timeout)|(PRM\|1\|D)|(kpr)|(kdp)|(\|lc)|(penalty))" /e /r /s</v>
      </c>
      <c r="AG95" s="1" t="str">
        <f t="shared" si="69"/>
        <v>EC</v>
      </c>
      <c r="AH95" s="86" t="str">
        <f t="shared" si="70"/>
        <v>"%USERPROFILE%\Documents\GitHub\eaglep3\Utilities\RefineRTDCRunTimes.py" --tripid 183-03 --locoid 4018 --swversion DE.1.0.8.0 --startMP 204:464 --initTime 2017-02-03T13:52:21 --startdatetime 2017-02-03T14:00:16 --delay 1 --endMP 204:233302 --enddatetime 2017-02-03T14:37:28 --enforcementcount 0 &gt;&gt;C:\Users\stu\Documents\GitHub\eaglep3-reporting\EC\2017-02-03-refined-times.txt</v>
      </c>
      <c r="AI95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{"issue":{"subject":"","project_id":79,"tracker_id":40,"status_id":1,"priority_id":2,"assigned_to_id":23,"start_date":"2017-02-03","description":"","custom_fields":[{"id":1,"name":"Subdivision","value":"EC"},{"id":4,"name":"Milepost","value":"23.3302"},{"id":17,"name":"Train ID","value":"183-03"},{"id":16,"name":"Locomotive ID","value":"4018"},{"id":130,"name":"Impact","value":""},{"id":150,"name":"Time of Event (Mountain Time)","value":"14:37:28"},{"id":151,"name":"Denver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8" t="str">
        <f t="shared" si="72"/>
        <v>start /low /b %USERPROFILE%\Documents\GitHub\eaglep3\Utilities\DownloadLogsFromS3.py --loco 4018 --day 2017-02-03</v>
      </c>
      <c r="AN95" s="167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"%USERPROFILE%\AppData\Local\Temp\OnboardLogs"\RTDC4018\*4018*20170203* | grep -SE "(Enforcement Action)|(\[TIMEOUT)|(CHR.+\|PRM\|1\|D.+(SWITCH|SIGNAL).+UNKNOWN)" - &gt;&gt; 2017-02-03-UncaughtWiMAX.txt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673</v>
      </c>
      <c r="B96" s="7">
        <v>4017</v>
      </c>
      <c r="C96" s="21" t="s">
        <v>193</v>
      </c>
      <c r="D96" s="21" t="s">
        <v>338</v>
      </c>
      <c r="E96" s="13">
        <v>42769.615358796298</v>
      </c>
      <c r="F96" s="13">
        <v>42769.622650462959</v>
      </c>
      <c r="G96" s="7">
        <v>1</v>
      </c>
      <c r="H96" s="21" t="s">
        <v>184</v>
      </c>
      <c r="I96" s="13">
        <v>42769.650995370372</v>
      </c>
      <c r="J96" s="7">
        <v>0</v>
      </c>
      <c r="K96" s="98" t="str">
        <f t="shared" si="55"/>
        <v>4017/4018</v>
      </c>
      <c r="L96" s="21" t="str">
        <f>VLOOKUP(A96,'Trips&amp;Operators'!$C$1:$G$99999,5,FALSE)</f>
        <v>KILLION DAVID</v>
      </c>
      <c r="M96" s="6">
        <f t="shared" si="56"/>
        <v>2.8344907412247267E-2</v>
      </c>
      <c r="N96" s="7">
        <f t="shared" si="57"/>
        <v>40.816666673636064</v>
      </c>
      <c r="O96" s="7"/>
      <c r="P96" s="7"/>
      <c r="Q96" s="22"/>
      <c r="R96" s="22"/>
      <c r="S96" s="31">
        <f t="shared" si="58"/>
        <v>1</v>
      </c>
      <c r="T96" s="46" t="str">
        <f t="shared" si="59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60"/>
        <v>https://d0f6bd738d7f1b3e5a7ca70fe4ff75f0.us-east-1.aws.found.io/app/kibana#/discover/Steve-Slow-Train-Analysis-(2080s-and-2083s)?_g=(refreshInterval:(display:Off,pause:!f,section:0,value:0),time:(from:'2017-02-03T13:46:07-0700',mode:absolute,to:'2017-02-03T16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92" t="str">
        <f t="shared" si="61"/>
        <v>N</v>
      </c>
      <c r="X96" s="192">
        <f t="shared" si="62"/>
        <v>1</v>
      </c>
      <c r="Y96" s="62">
        <f t="shared" si="63"/>
        <v>23.298500000000001</v>
      </c>
      <c r="Z96" s="62">
        <f t="shared" si="64"/>
        <v>1.49E-2</v>
      </c>
      <c r="AA96" s="62">
        <f t="shared" si="65"/>
        <v>23.2836</v>
      </c>
      <c r="AB96" s="59" t="e">
        <f>VLOOKUP(A96,Enforcements!$C$7:$K$16,8,0)</f>
        <v>#N/A</v>
      </c>
      <c r="AC96" s="55" t="e">
        <f>VLOOKUP(A96,Enforcements!$C$7:$E$16,3,0)</f>
        <v>#N/A</v>
      </c>
      <c r="AD96" s="56" t="str">
        <f t="shared" si="66"/>
        <v>0184-03</v>
      </c>
      <c r="AE96" s="85" t="str">
        <f t="shared" si="67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96" s="82" t="str">
        <f t="shared" si="68"/>
        <v>"C:\Program Files (x86)\AstroGrep\AstroGrep.exe" /spath="%USERPROFILE%\AppData\Local\Temp\OnboardLogs" /stypes="app*4017*20170203*" /stext=" 22:.+((SYSTEM_STATE.+slice.+state.+changed )|(ment ac)|(multiple cpu faults)|(system.+state.+changed )|(\[timeout)|(PRM\|1\|D)|(kpr)|(kdp)|(\|lc)|(penalty))" /e /r /s</v>
      </c>
      <c r="AG96" s="1" t="str">
        <f t="shared" si="69"/>
        <v>EC</v>
      </c>
      <c r="AH96" s="86" t="str">
        <f t="shared" si="70"/>
        <v>"%USERPROFILE%\Documents\GitHub\eaglep3\Utilities\RefineRTDCRunTimes.py" --tripid 184-03 --locoid 4017 --swversion DE.1.0.8.0 --startMP 204:232985 --initTime 2017-02-03T14:46:07 --startdatetime 2017-02-03T14:56:37 --delay 1 --endMP 204:149 --enddatetime 2017-02-03T15:37:26 --enforcementcount 0 &gt;&gt;C:\Users\stu\Documents\GitHub\eaglep3-reporting\EC\2017-02-03-refined-times.txt</v>
      </c>
      <c r="AI96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{"issue":{"subject":"","project_id":79,"tracker_id":40,"status_id":1,"priority_id":2,"assigned_to_id":23,"start_date":"2017-02-03","description":"","custom_fields":[{"id":1,"name":"Subdivision","value":"EC"},{"id":4,"name":"Milepost","value":"0.0149"},{"id":17,"name":"Train ID","value":"184-03"},{"id":16,"name":"Locomotive ID","value":"4017"},{"id":130,"name":"Impact","value":""},{"id":150,"name":"Time of Event (Mountain Time)","value":"15:37:26"},{"id":151,"name":"Denver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8" t="str">
        <f t="shared" si="72"/>
        <v>start /low /b %USERPROFILE%\Documents\GitHub\eaglep3\Utilities\DownloadLogsFromS3.py --loco 4017 --day 2017-02-03</v>
      </c>
      <c r="AN96" s="167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"%USERPROFILE%\AppData\Local\Temp\OnboardLogs"\RTDC4017\*4017*20170203* | grep -SE "(Enforcement Action)|(\[TIMEOUT)|(CHR.+\|PRM\|1\|D.+(SWITCH|SIGNAL).+UNKNOWN)" - &gt;&gt; 2017-02-03-UncaughtWiMAX.txt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667</v>
      </c>
      <c r="B97" s="7">
        <v>4025</v>
      </c>
      <c r="C97" s="21" t="s">
        <v>193</v>
      </c>
      <c r="D97" s="21" t="s">
        <v>226</v>
      </c>
      <c r="E97" s="13">
        <v>42769.589166666665</v>
      </c>
      <c r="F97" s="13">
        <v>42769.593958333331</v>
      </c>
      <c r="G97" s="7">
        <v>1</v>
      </c>
      <c r="H97" s="21" t="s">
        <v>223</v>
      </c>
      <c r="I97" s="13">
        <v>42769.618368055555</v>
      </c>
      <c r="J97" s="7">
        <v>0</v>
      </c>
      <c r="K97" s="98" t="str">
        <f t="shared" si="55"/>
        <v>4025/4026</v>
      </c>
      <c r="L97" s="21" t="str">
        <f>VLOOKUP(A97,'Trips&amp;Operators'!$C$1:$G$99999,5,FALSE)</f>
        <v>BRANNON JEFFREY</v>
      </c>
      <c r="M97" s="6">
        <f t="shared" si="56"/>
        <v>2.4409722223936114E-2</v>
      </c>
      <c r="N97" s="7">
        <f t="shared" si="57"/>
        <v>35.150000002468005</v>
      </c>
      <c r="O97" s="7"/>
      <c r="P97" s="7"/>
      <c r="Q97" s="22"/>
      <c r="R97" s="22"/>
      <c r="S97" s="31">
        <f t="shared" si="58"/>
        <v>1</v>
      </c>
      <c r="T97" s="46" t="str">
        <f t="shared" si="59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60"/>
        <v>https://d0f6bd738d7f1b3e5a7ca70fe4ff75f0.us-east-1.aws.found.io/app/kibana#/discover/Steve-Slow-Train-Analysis-(2080s-and-2083s)?_g=(refreshInterval:(display:Off,pause:!f,section:0,value:0),time:(from:'2017-02-03T13:08:24-0700',mode:absolute,to:'2017-02-03T15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7" s="192" t="str">
        <f t="shared" si="61"/>
        <v>N</v>
      </c>
      <c r="X97" s="192">
        <f t="shared" si="62"/>
        <v>1</v>
      </c>
      <c r="Y97" s="62">
        <f t="shared" si="63"/>
        <v>4.58E-2</v>
      </c>
      <c r="Z97" s="62">
        <f t="shared" si="64"/>
        <v>23.329899999999999</v>
      </c>
      <c r="AA97" s="62">
        <f t="shared" si="65"/>
        <v>23.284099999999999</v>
      </c>
      <c r="AB97" s="59" t="e">
        <f>VLOOKUP(A97,Enforcements!$C$7:$K$16,8,0)</f>
        <v>#N/A</v>
      </c>
      <c r="AC97" s="55" t="e">
        <f>VLOOKUP(A97,Enforcements!$C$7:$E$16,3,0)</f>
        <v>#N/A</v>
      </c>
      <c r="AD97" s="56" t="str">
        <f t="shared" si="66"/>
        <v>0185-03</v>
      </c>
      <c r="AE97" s="85" t="str">
        <f t="shared" si="67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97" s="82" t="str">
        <f t="shared" si="68"/>
        <v>"C:\Program Files (x86)\AstroGrep\AstroGrep.exe" /spath="%USERPROFILE%\AppData\Local\Temp\OnboardLogs" /stypes="app*4025*20170203*" /stext=" 21:.+((SYSTEM_STATE.+slice.+state.+changed )|(ment ac)|(multiple cpu faults)|(system.+state.+changed )|(\[timeout)|(PRM\|1\|D)|(kpr)|(kdp)|(\|lc)|(penalty))" /e /r /s</v>
      </c>
      <c r="AG97" s="1" t="str">
        <f t="shared" si="69"/>
        <v>EC</v>
      </c>
      <c r="AH97" s="86" t="str">
        <f t="shared" si="70"/>
        <v>"%USERPROFILE%\Documents\GitHub\eaglep3\Utilities\RefineRTDCRunTimes.py" --tripid 185-03 --locoid 4025 --swversion DE.1.0.8.0 --startMP 204:458 --initTime 2017-02-03T14:08:24 --startdatetime 2017-02-03T14:15:18 --delay 1 --endMP 204:233299 --enddatetime 2017-02-03T14:50:27 --enforcementcount 0 &gt;&gt;C:\Users\stu\Documents\GitHub\eaglep3-reporting\EC\2017-02-03-refined-times.txt</v>
      </c>
      <c r="AI97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{"issue":{"subject":"","project_id":79,"tracker_id":40,"status_id":1,"priority_id":2,"assigned_to_id":23,"start_date":"2017-02-03","description":"","custom_fields":[{"id":1,"name":"Subdivision","value":"EC"},{"id":4,"name":"Milepost","value":"23.3299"},{"id":17,"name":"Train ID","value":"185-03"},{"id":16,"name":"Locomotive ID","value":"4025"},{"id":130,"name":"Impact","value":""},{"id":150,"name":"Time of Event (Mountain Time)","value":"14:50:27"},{"id":151,"name":"Denver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8" t="str">
        <f t="shared" si="72"/>
        <v>start /low /b %USERPROFILE%\Documents\GitHub\eaglep3\Utilities\DownloadLogsFromS3.py --loco 4025 --day 2017-02-03</v>
      </c>
      <c r="AN97" s="167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"%USERPROFILE%\AppData\Local\Temp\OnboardLogs"\RTDC4025\*4025*20170203* | grep -SE "(Enforcement Action)|(\[TIMEOUT)|(CHR.+\|PRM\|1\|D.+(SWITCH|SIGNAL).+UNKNOWN)" - &gt;&gt; 2017-02-03-UncaughtWiMAX.txt</v>
      </c>
    </row>
    <row r="98" spans="1:91" s="20" customFormat="1" x14ac:dyDescent="0.25">
      <c r="A98" s="33" t="s">
        <v>675</v>
      </c>
      <c r="B98" s="7">
        <v>4026</v>
      </c>
      <c r="C98" s="21" t="s">
        <v>193</v>
      </c>
      <c r="D98" s="21" t="s">
        <v>797</v>
      </c>
      <c r="E98" s="13">
        <v>42769.627118055556</v>
      </c>
      <c r="F98" s="13">
        <v>42769.632789351854</v>
      </c>
      <c r="G98" s="7">
        <v>1</v>
      </c>
      <c r="H98" s="21" t="s">
        <v>200</v>
      </c>
      <c r="I98" s="13">
        <v>42769.658831018518</v>
      </c>
      <c r="J98" s="7">
        <v>0</v>
      </c>
      <c r="K98" s="98" t="str">
        <f t="shared" si="55"/>
        <v>4025/4026</v>
      </c>
      <c r="L98" s="21" t="str">
        <f>VLOOKUP(A98,'Trips&amp;Operators'!$C$1:$G$99999,5,FALSE)</f>
        <v>BRANNON JEFFREY</v>
      </c>
      <c r="M98" s="6">
        <f t="shared" si="56"/>
        <v>2.6041666664241347E-2</v>
      </c>
      <c r="N98" s="7">
        <f t="shared" si="57"/>
        <v>37.49999999650754</v>
      </c>
      <c r="O98" s="7"/>
      <c r="P98" s="7"/>
      <c r="Q98" s="22"/>
      <c r="R98" s="22"/>
      <c r="S98" s="31">
        <f t="shared" si="58"/>
        <v>1</v>
      </c>
      <c r="T98" s="46" t="str">
        <f t="shared" si="59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60"/>
        <v>https://d0f6bd738d7f1b3e5a7ca70fe4ff75f0.us-east-1.aws.found.io/app/kibana#/discover/Steve-Slow-Train-Analysis-(2080s-and-2083s)?_g=(refreshInterval:(display:Off,pause:!f,section:0,value:0),time:(from:'2017-02-03T14:03:03-0700',mode:absolute,to:'2017-02-03T16:48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8" s="192" t="str">
        <f t="shared" si="61"/>
        <v>N</v>
      </c>
      <c r="X98" s="192">
        <f t="shared" si="62"/>
        <v>1</v>
      </c>
      <c r="Y98" s="62">
        <f t="shared" si="63"/>
        <v>23.2973</v>
      </c>
      <c r="Z98" s="62">
        <f t="shared" si="64"/>
        <v>1.4500000000000001E-2</v>
      </c>
      <c r="AA98" s="62">
        <f t="shared" si="65"/>
        <v>23.282799999999998</v>
      </c>
      <c r="AB98" s="59" t="e">
        <f>VLOOKUP(A98,Enforcements!$C$7:$K$16,8,0)</f>
        <v>#N/A</v>
      </c>
      <c r="AC98" s="55" t="e">
        <f>VLOOKUP(A98,Enforcements!$C$7:$E$16,3,0)</f>
        <v>#N/A</v>
      </c>
      <c r="AD98" s="56" t="str">
        <f t="shared" si="66"/>
        <v>0186-03</v>
      </c>
      <c r="AE98" s="85" t="str">
        <f t="shared" si="67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98" s="82" t="str">
        <f t="shared" si="68"/>
        <v>"C:\Program Files (x86)\AstroGrep\AstroGrep.exe" /spath="%USERPROFILE%\AppData\Local\Temp\OnboardLogs" /stypes="app*4026*20170203*" /stext=" 22:.+((SYSTEM_STATE.+slice.+state.+changed )|(ment ac)|(multiple cpu faults)|(system.+state.+changed )|(\[timeout)|(PRM\|1\|D)|(kpr)|(kdp)|(\|lc)|(penalty))" /e /r /s</v>
      </c>
      <c r="AG98" s="1" t="str">
        <f t="shared" si="69"/>
        <v>EC</v>
      </c>
      <c r="AH98" s="86" t="str">
        <f t="shared" si="70"/>
        <v>"%USERPROFILE%\Documents\GitHub\eaglep3\Utilities\RefineRTDCRunTimes.py" --tripid 186-03 --locoid 4026 --swversion DE.1.0.8.0 --startMP 204:232973 --initTime 2017-02-03T15:03:03 --startdatetime 2017-02-03T15:11:13 --delay 1 --endMP 204:145 --enddatetime 2017-02-03T15:48:43 --enforcementcount 0 &gt;&gt;C:\Users\stu\Documents\GitHub\eaglep3-reporting\EC\2017-02-03-refined-times.txt</v>
      </c>
      <c r="AI98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{"issue":{"subject":"","project_id":79,"tracker_id":40,"status_id":1,"priority_id":2,"assigned_to_id":23,"start_date":"2017-02-03","description":"","custom_fields":[{"id":1,"name":"Subdivision","value":"EC"},{"id":4,"name":"Milepost","value":"0.0145"},{"id":17,"name":"Train ID","value":"186-03"},{"id":16,"name":"Locomotive ID","value":"4026"},{"id":130,"name":"Impact","value":""},{"id":150,"name":"Time of Event (Mountain Time)","value":"15:48:43"},{"id":151,"name":"Denver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8" t="str">
        <f t="shared" si="72"/>
        <v>start /low /b %USERPROFILE%\Documents\GitHub\eaglep3\Utilities\DownloadLogsFromS3.py --loco 4026 --day 2017-02-03</v>
      </c>
      <c r="AN98" s="167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"%USERPROFILE%\AppData\Local\Temp\OnboardLogs"\RTDC4026\*4026*20170203* | grep -SE "(Enforcement Action)|(\[TIMEOUT)|(CHR.+\|PRM\|1\|D.+(SWITCH|SIGNAL).+UNKNOWN)" - &gt;&gt; 2017-02-03-UncaughtWiMAX.txt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546</v>
      </c>
      <c r="B99" s="7">
        <v>4003</v>
      </c>
      <c r="C99" s="21" t="s">
        <v>193</v>
      </c>
      <c r="D99" s="21" t="s">
        <v>805</v>
      </c>
      <c r="E99" s="13">
        <v>42769.599293981482</v>
      </c>
      <c r="F99" s="13">
        <v>42769.601111111115</v>
      </c>
      <c r="G99" s="7">
        <v>2</v>
      </c>
      <c r="H99" s="21" t="s">
        <v>806</v>
      </c>
      <c r="I99" s="13">
        <v>42769.605115740742</v>
      </c>
      <c r="J99" s="7">
        <v>0</v>
      </c>
      <c r="K99" s="98" t="str">
        <f t="shared" si="55"/>
        <v>4003/4004</v>
      </c>
      <c r="L99" s="21" t="str">
        <f>VLOOKUP(A99,'Trips&amp;Operators'!$C$1:$G$99999,5,FALSE)</f>
        <v>STEWART MICHAEL</v>
      </c>
      <c r="M99" s="6">
        <f t="shared" si="56"/>
        <v>4.0046296271611936E-3</v>
      </c>
      <c r="N99" s="7"/>
      <c r="O99" s="7"/>
      <c r="P99" s="7">
        <f>24*60*SUM($M99:$M100)</f>
        <v>37.750000002561137</v>
      </c>
      <c r="Q99" s="22"/>
      <c r="R99" s="22" t="s">
        <v>925</v>
      </c>
      <c r="S99" s="31">
        <f>SUM(U99:U100)/IF(AG99="EC",12,1)</f>
        <v>1</v>
      </c>
      <c r="T99" s="46" t="str">
        <f t="shared" si="59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0</v>
      </c>
      <c r="V99" s="191" t="str">
        <f t="shared" si="60"/>
        <v>https://d0f6bd738d7f1b3e5a7ca70fe4ff75f0.us-east-1.aws.found.io/app/kibana#/discover/Steve-Slow-Train-Analysis-(2080s-and-2083s)?_g=(refreshInterval:(display:Off,pause:!f,section:0,value:0),time:(from:'2017-02-03T13:22:59-0700',mode:absolute,to:'2017-02-03T15:31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92" t="str">
        <f t="shared" si="61"/>
        <v>Y</v>
      </c>
      <c r="X99" s="192">
        <f t="shared" si="62"/>
        <v>1</v>
      </c>
      <c r="Y99" s="62">
        <f t="shared" si="63"/>
        <v>0.14940000000000001</v>
      </c>
      <c r="Z99" s="62">
        <f t="shared" si="64"/>
        <v>0.2044</v>
      </c>
      <c r="AA99" s="62">
        <f t="shared" si="65"/>
        <v>5.4999999999999993E-2</v>
      </c>
      <c r="AB99" s="59" t="e">
        <f>VLOOKUP(A99,Enforcements!$C$7:$K$16,8,0)</f>
        <v>#N/A</v>
      </c>
      <c r="AC99" s="55" t="e">
        <f>VLOOKUP(A99,Enforcements!$C$7:$E$16,3,0)</f>
        <v>#N/A</v>
      </c>
      <c r="AD99" s="56" t="str">
        <f t="shared" si="66"/>
        <v>0187-03</v>
      </c>
      <c r="AE99" s="85" t="str">
        <f t="shared" si="67"/>
        <v>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 &amp; 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</v>
      </c>
      <c r="AF99" s="82" t="str">
        <f t="shared" si="68"/>
        <v>"C:\Program Files (x86)\AstroGrep\AstroGrep.exe" /spath="%USERPROFILE%\AppData\Local\Temp\OnboardLogs" /stypes="app*4003*20170203*" /stext=" 21:.+((SYSTEM_STATE.+slice.+state.+changed )|(ment ac)|(multiple cpu faults)|(system.+state.+changed )|(\[timeout)|(PRM\|1\|D)|(kpr)|(kdp)|(\|lc)|(penalty))" /e /r /s</v>
      </c>
      <c r="AG99" s="1" t="str">
        <f t="shared" si="69"/>
        <v>EC</v>
      </c>
      <c r="AH99" s="86" t="str">
        <f t="shared" si="70"/>
        <v>"%USERPROFILE%\Documents\GitHub\eaglep3\Utilities\RefineRTDCRunTimes.py" --tripid 187-03 --locoid 4003 --swversion DE.1.0.8.0 --startMP 204:1494 --initTime 2017-02-03T14:22:59 --startdatetime 2017-02-03T14:25:36 --delay 2 --endMP 204:2044 --enddatetime 2017-02-03T14:31:22 --enforcementcount 0 &gt;&gt;C:\Users\stu\Documents\GitHub\eaglep3-reporting\EC\2017-02-03-refined-times.txt</v>
      </c>
      <c r="AI99" s="108" t="str">
        <f t="shared" si="71"/>
        <v>echo {"issue":{"subject":"Main 3 departure","project_id":79,"tracker_id":40,"status_id":1,"priority_id":2,"assigned_to_id":23,"start_date":"2017-02-03","description":"","custom_fields":[{"id":1,"name":"Subdivision","value":"EC"},{"id":4,"name":"Milepost","value":"0.2044"},{"id":17,"name":"Train ID","value":"187-03"},{"id":16,"name":"Locomotive ID","value":"4003"},{"id":130,"name":"Impact","value":""},{"id":150,"name":"Time of Event (Mountain Time)","value":"14:31:22"},{"id":151,"name":"Denver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8" t="str">
        <f t="shared" si="72"/>
        <v>start /low /b %USERPROFILE%\Documents\GitHub\eaglep3\Utilities\DownloadLogsFromS3.py --loco 4003 --day 2017-02-03</v>
      </c>
      <c r="AN99" s="167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546</v>
      </c>
      <c r="B100" s="7">
        <v>4003</v>
      </c>
      <c r="C100" s="21" t="s">
        <v>193</v>
      </c>
      <c r="D100" s="21" t="s">
        <v>807</v>
      </c>
      <c r="E100" s="13">
        <v>42769.608460648145</v>
      </c>
      <c r="F100" s="13">
        <v>42769.609340277777</v>
      </c>
      <c r="G100" s="7">
        <v>1</v>
      </c>
      <c r="H100" s="21" t="s">
        <v>428</v>
      </c>
      <c r="I100" s="13">
        <v>42769.631550925929</v>
      </c>
      <c r="J100" s="7">
        <v>0</v>
      </c>
      <c r="K100" s="98" t="str">
        <f t="shared" si="55"/>
        <v>4003/4004</v>
      </c>
      <c r="L100" s="21" t="str">
        <f>VLOOKUP(A100,'Trips&amp;Operators'!$C$1:$G$99999,5,FALSE)</f>
        <v>STEWART MICHAEL</v>
      </c>
      <c r="M100" s="6">
        <f t="shared" si="56"/>
        <v>2.2210648152395152E-2</v>
      </c>
      <c r="N100" s="7"/>
      <c r="O100" s="7"/>
      <c r="P100" s="7"/>
      <c r="Q100" s="22"/>
      <c r="R100" s="22"/>
      <c r="S100" s="31"/>
      <c r="T100" s="46" t="str">
        <f t="shared" si="59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60"/>
        <v>https://d0f6bd738d7f1b3e5a7ca70fe4ff75f0.us-east-1.aws.found.io/app/kibana#/discover/Steve-Slow-Train-Analysis-(2080s-and-2083s)?_g=(refreshInterval:(display:Off,pause:!f,section:0,value:0),time:(from:'2017-02-03T13:36:11-0700',mode:absolute,to:'2017-02-03T16:09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0" s="192" t="str">
        <f t="shared" si="61"/>
        <v>Y</v>
      </c>
      <c r="X100" s="192">
        <f t="shared" si="62"/>
        <v>0</v>
      </c>
      <c r="Y100" s="62">
        <f t="shared" si="63"/>
        <v>1.9123000000000001</v>
      </c>
      <c r="Z100" s="62">
        <f t="shared" si="64"/>
        <v>23.329799999999999</v>
      </c>
      <c r="AA100" s="62">
        <f t="shared" si="65"/>
        <v>21.417499999999997</v>
      </c>
      <c r="AB100" s="59" t="e">
        <f>VLOOKUP(A100,Enforcements!$C$7:$K$16,8,0)</f>
        <v>#N/A</v>
      </c>
      <c r="AC100" s="55" t="e">
        <f>VLOOKUP(A100,Enforcements!$C$7:$E$16,3,0)</f>
        <v>#N/A</v>
      </c>
      <c r="AD100" s="56" t="str">
        <f t="shared" si="66"/>
        <v>0187-03</v>
      </c>
      <c r="AE100" s="85" t="str">
        <f t="shared" si="67"/>
        <v>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 &amp; 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</v>
      </c>
      <c r="AF100" s="82" t="str">
        <f t="shared" si="68"/>
        <v>"C:\Program Files (x86)\AstroGrep\AstroGrep.exe" /spath="%USERPROFILE%\AppData\Local\Temp\OnboardLogs" /stypes="app*4003*20170203*" /stext=" 22:.+((SYSTEM_STATE.+slice.+state.+changed )|(ment ac)|(multiple cpu faults)|(system.+state.+changed )|(\[timeout)|(PRM\|1\|D)|(kpr)|(kdp)|(\|lc)|(penalty))" /e /r /s</v>
      </c>
      <c r="AG100" s="1" t="str">
        <f t="shared" si="69"/>
        <v>EC</v>
      </c>
      <c r="AH100" s="86" t="str">
        <f t="shared" si="70"/>
        <v>"%USERPROFILE%\Documents\GitHub\eaglep3\Utilities\RefineRTDCRunTimes.py" --tripid 187-03 --locoid 4003 --swversion DE.1.0.8.0 --startMP 204:19123 --initTime 2017-02-03T14:36:11 --startdatetime 2017-02-03T14:37:27 --delay 1 --endMP 204:233298 --enddatetime 2017-02-03T15:09:26 --enforcementcount 0 &gt;&gt;C:\Users\stu\Documents\GitHub\eaglep3-reporting\EC\2017-02-03-refined-times.txt</v>
      </c>
      <c r="AI100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{"issue":{"subject":"","project_id":79,"tracker_id":40,"status_id":1,"priority_id":2,"assigned_to_id":23,"start_date":"2017-02-03","description":"","custom_fields":[{"id":1,"name":"Subdivision","value":"EC"},{"id":4,"name":"Milepost","value":"23.3298"},{"id":17,"name":"Train ID","value":"187-03"},{"id":16,"name":"Locomotive ID","value":"4003"},{"id":130,"name":"Impact","value":""},{"id":150,"name":"Time of Event (Mountain Time)","value":"15:09:26"},{"id":151,"name":"Denver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8" t="str">
        <f t="shared" si="72"/>
        <v>start /low /b %USERPROFILE%\Documents\GitHub\eaglep3\Utilities\DownloadLogsFromS3.py --loco 4003 --day 2017-02-03</v>
      </c>
      <c r="AN100" s="167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678</v>
      </c>
      <c r="B101" s="7">
        <v>4004</v>
      </c>
      <c r="C101" s="21" t="s">
        <v>193</v>
      </c>
      <c r="D101" s="21" t="s">
        <v>338</v>
      </c>
      <c r="E101" s="13">
        <v>42769.639826388891</v>
      </c>
      <c r="F101" s="13">
        <v>42769.643287037034</v>
      </c>
      <c r="G101" s="7">
        <v>1</v>
      </c>
      <c r="H101" s="21" t="s">
        <v>208</v>
      </c>
      <c r="I101" s="13">
        <v>42769.669895833336</v>
      </c>
      <c r="J101" s="7">
        <v>0</v>
      </c>
      <c r="K101" s="98" t="str">
        <f t="shared" si="55"/>
        <v>4003/4004</v>
      </c>
      <c r="L101" s="21" t="str">
        <f>VLOOKUP(A101,'Trips&amp;Operators'!$C$1:$G$99999,5,FALSE)</f>
        <v>STEWART MICHAEL</v>
      </c>
      <c r="M101" s="6">
        <f t="shared" si="56"/>
        <v>2.6608796302753035E-2</v>
      </c>
      <c r="N101" s="7">
        <f t="shared" si="57"/>
        <v>38.31666667596437</v>
      </c>
      <c r="O101" s="7"/>
      <c r="P101" s="7"/>
      <c r="Q101" s="22"/>
      <c r="R101" s="22"/>
      <c r="S101" s="31">
        <f t="shared" si="58"/>
        <v>1</v>
      </c>
      <c r="T101" s="46" t="str">
        <f t="shared" si="59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60"/>
        <v>https://d0f6bd738d7f1b3e5a7ca70fe4ff75f0.us-east-1.aws.found.io/app/kibana#/discover/Steve-Slow-Train-Analysis-(2080s-and-2083s)?_g=(refreshInterval:(display:Off,pause:!f,section:0,value:0),time:(from:'2017-02-03T14:21:21-0700',mode:absolute,to:'2017-02-03T17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1" s="192" t="str">
        <f t="shared" si="61"/>
        <v>N</v>
      </c>
      <c r="X101" s="192">
        <f t="shared" si="62"/>
        <v>1</v>
      </c>
      <c r="Y101" s="62">
        <f t="shared" si="63"/>
        <v>23.298500000000001</v>
      </c>
      <c r="Z101" s="62">
        <f t="shared" si="64"/>
        <v>1.6E-2</v>
      </c>
      <c r="AA101" s="62">
        <f t="shared" si="65"/>
        <v>23.282500000000002</v>
      </c>
      <c r="AB101" s="59" t="e">
        <f>VLOOKUP(A101,Enforcements!$C$7:$K$16,8,0)</f>
        <v>#N/A</v>
      </c>
      <c r="AC101" s="55" t="e">
        <f>VLOOKUP(A101,Enforcements!$C$7:$E$16,3,0)</f>
        <v>#N/A</v>
      </c>
      <c r="AD101" s="56" t="str">
        <f t="shared" si="66"/>
        <v>0188-03</v>
      </c>
      <c r="AE101" s="85" t="str">
        <f t="shared" si="67"/>
        <v>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 &amp; 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</v>
      </c>
      <c r="AF101" s="82" t="str">
        <f t="shared" si="68"/>
        <v>"C:\Program Files (x86)\AstroGrep\AstroGrep.exe" /spath="%USERPROFILE%\AppData\Local\Temp\OnboardLogs" /stypes="app*4004*20170203*" /stext=" 23:.+((SYSTEM_STATE.+slice.+state.+changed )|(ment ac)|(multiple cpu faults)|(system.+state.+changed )|(\[timeout)|(PRM\|1\|D)|(kpr)|(kdp)|(\|lc)|(penalty))" /e /r /s</v>
      </c>
      <c r="AG101" s="1" t="str">
        <f t="shared" si="69"/>
        <v>EC</v>
      </c>
      <c r="AH101" s="86" t="str">
        <f t="shared" si="70"/>
        <v>"%USERPROFILE%\Documents\GitHub\eaglep3\Utilities\RefineRTDCRunTimes.py" --tripid 188-03 --locoid 4004 --swversion DE.1.0.8.0 --startMP 204:232985 --initTime 2017-02-03T15:21:21 --startdatetime 2017-02-03T15:26:20 --delay 1 --endMP 204:160 --enddatetime 2017-02-03T16:04:39 --enforcementcount 0 &gt;&gt;C:\Users\stu\Documents\GitHub\eaglep3-reporting\EC\2017-02-03-refined-times.txt</v>
      </c>
      <c r="AI101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{"issue":{"subject":"","project_id":79,"tracker_id":40,"status_id":1,"priority_id":2,"assigned_to_id":23,"start_date":"2017-02-03","description":"","custom_fields":[{"id":1,"name":"Subdivision","value":"EC"},{"id":4,"name":"Milepost","value":"0.016"},{"id":17,"name":"Train ID","value":"188-03"},{"id":16,"name":"Locomotive ID","value":"4004"},{"id":130,"name":"Impact","value":""},{"id":150,"name":"Time of Event (Mountain Time)","value":"16:04:39"},{"id":151,"name":"Denver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8" t="str">
        <f t="shared" si="72"/>
        <v>start /low /b %USERPROFILE%\Documents\GitHub\eaglep3\Utilities\DownloadLogsFromS3.py --loco 4004 --day 2017-02-03</v>
      </c>
      <c r="AN101" s="167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2017-02-03-UncaughtWiMAX.txt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672</v>
      </c>
      <c r="B102" s="7">
        <v>4031</v>
      </c>
      <c r="C102" s="21" t="s">
        <v>193</v>
      </c>
      <c r="D102" s="21" t="s">
        <v>222</v>
      </c>
      <c r="E102" s="13">
        <v>42769.611296296294</v>
      </c>
      <c r="F102" s="13">
        <v>42769.61478009259</v>
      </c>
      <c r="G102" s="7">
        <v>1</v>
      </c>
      <c r="H102" s="21" t="s">
        <v>378</v>
      </c>
      <c r="I102" s="13">
        <v>42769.639363425929</v>
      </c>
      <c r="J102" s="7">
        <v>0</v>
      </c>
      <c r="K102" s="98" t="str">
        <f t="shared" si="55"/>
        <v>4031/4032</v>
      </c>
      <c r="L102" s="21" t="str">
        <f>VLOOKUP(A102,'Trips&amp;Operators'!$C$1:$G$99999,5,FALSE)</f>
        <v>SANTIZO D. EDY</v>
      </c>
      <c r="M102" s="6">
        <f t="shared" si="56"/>
        <v>2.4583333339251112E-2</v>
      </c>
      <c r="N102" s="7">
        <f t="shared" si="57"/>
        <v>35.400000008521602</v>
      </c>
      <c r="O102" s="7"/>
      <c r="P102" s="7"/>
      <c r="Q102" s="22"/>
      <c r="R102" s="22"/>
      <c r="S102" s="31">
        <f t="shared" si="58"/>
        <v>1</v>
      </c>
      <c r="T102" s="46" t="str">
        <f t="shared" si="59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60"/>
        <v>https://d0f6bd738d7f1b3e5a7ca70fe4ff75f0.us-east-1.aws.found.io/app/kibana#/discover/Steve-Slow-Train-Analysis-(2080s-and-2083s)?_g=(refreshInterval:(display:Off,pause:!f,section:0,value:0),time:(from:'2017-02-03T13:40:16-0700',mode:absolute,to:'2017-02-03T16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92" t="str">
        <f t="shared" si="61"/>
        <v>N</v>
      </c>
      <c r="X102" s="192">
        <f t="shared" si="62"/>
        <v>1</v>
      </c>
      <c r="Y102" s="62">
        <f t="shared" si="63"/>
        <v>4.6899999999999997E-2</v>
      </c>
      <c r="Z102" s="62">
        <f t="shared" si="64"/>
        <v>23.328800000000001</v>
      </c>
      <c r="AA102" s="62">
        <f t="shared" si="65"/>
        <v>23.2819</v>
      </c>
      <c r="AB102" s="59" t="e">
        <f>VLOOKUP(A102,Enforcements!$C$7:$K$16,8,0)</f>
        <v>#N/A</v>
      </c>
      <c r="AC102" s="55" t="e">
        <f>VLOOKUP(A102,Enforcements!$C$7:$E$16,3,0)</f>
        <v>#N/A</v>
      </c>
      <c r="AD102" s="56" t="str">
        <f t="shared" si="66"/>
        <v>0189-03</v>
      </c>
      <c r="AE102" s="85" t="str">
        <f t="shared" si="67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102" s="82" t="str">
        <f t="shared" si="68"/>
        <v>"C:\Program Files (x86)\AstroGrep\AstroGrep.exe" /spath="%USERPROFILE%\AppData\Local\Temp\OnboardLogs" /stypes="app*4031*20170203*" /stext=" 22:.+((SYSTEM_STATE.+slice.+state.+changed )|(ment ac)|(multiple cpu faults)|(system.+state.+changed )|(\[timeout)|(PRM\|1\|D)|(kpr)|(kdp)|(\|lc)|(penalty))" /e /r /s</v>
      </c>
      <c r="AG102" s="1" t="str">
        <f t="shared" si="69"/>
        <v>EC</v>
      </c>
      <c r="AH102" s="86" t="str">
        <f t="shared" si="70"/>
        <v>"%USERPROFILE%\Documents\GitHub\eaglep3\Utilities\RefineRTDCRunTimes.py" --tripid 189-03 --locoid 4031 --swversion DE.1.0.8.0 --startMP 204:469 --initTime 2017-02-03T14:40:16 --startdatetime 2017-02-03T14:45:17 --delay 1 --endMP 204:233288 --enddatetime 2017-02-03T15:20:41 --enforcementcount 0 &gt;&gt;C:\Users\stu\Documents\GitHub\eaglep3-reporting\EC\2017-02-03-refined-times.txt</v>
      </c>
      <c r="AI102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{"issue":{"subject":"","project_id":79,"tracker_id":40,"status_id":1,"priority_id":2,"assigned_to_id":23,"start_date":"2017-02-03","description":"","custom_fields":[{"id":1,"name":"Subdivision","value":"EC"},{"id":4,"name":"Milepost","value":"23.3288"},{"id":17,"name":"Train ID","value":"189-03"},{"id":16,"name":"Locomotive ID","value":"4031"},{"id":130,"name":"Impact","value":""},{"id":150,"name":"Time of Event (Mountain Time)","value":"15:20:41"},{"id":151,"name":"Denver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8" t="str">
        <f t="shared" si="72"/>
        <v>start /low /b %USERPROFILE%\Documents\GitHub\eaglep3\Utilities\DownloadLogsFromS3.py --loco 4031 --day 2017-02-03</v>
      </c>
      <c r="AN102" s="167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"%USERPROFILE%\AppData\Local\Temp\OnboardLogs"\RTDC4031\*4031*20170203* | grep -SE "(Enforcement Action)|(\[TIMEOUT)|(CHR.+\|PRM\|1\|D.+(SWITCH|SIGNAL).+UNKNOWN)" - &gt;&gt; 2017-02-03-UncaughtWiMAX.txt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679</v>
      </c>
      <c r="B103" s="7">
        <v>4032</v>
      </c>
      <c r="C103" s="21" t="s">
        <v>193</v>
      </c>
      <c r="D103" s="21" t="s">
        <v>797</v>
      </c>
      <c r="E103" s="13">
        <v>42769.640277777777</v>
      </c>
      <c r="F103" s="13">
        <v>42769.653761574074</v>
      </c>
      <c r="G103" s="7">
        <v>1</v>
      </c>
      <c r="H103" s="21" t="s">
        <v>808</v>
      </c>
      <c r="I103" s="13">
        <v>42769.679560185185</v>
      </c>
      <c r="J103" s="7">
        <v>0</v>
      </c>
      <c r="K103" s="98" t="str">
        <f t="shared" si="55"/>
        <v>4031/4032</v>
      </c>
      <c r="L103" s="21" t="str">
        <f>VLOOKUP(A103,'Trips&amp;Operators'!$C$1:$G$99999,5,FALSE)</f>
        <v>SANTIZO D. EDY</v>
      </c>
      <c r="M103" s="6">
        <f t="shared" si="56"/>
        <v>2.5798611110076308E-2</v>
      </c>
      <c r="N103" s="7">
        <f t="shared" si="57"/>
        <v>37.149999998509884</v>
      </c>
      <c r="O103" s="7"/>
      <c r="P103" s="7"/>
      <c r="Q103" s="22"/>
      <c r="R103" s="22"/>
      <c r="S103" s="31">
        <f t="shared" si="58"/>
        <v>1</v>
      </c>
      <c r="T103" s="46" t="str">
        <f t="shared" si="59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60"/>
        <v>https://d0f6bd738d7f1b3e5a7ca70fe4ff75f0.us-east-1.aws.found.io/app/kibana#/discover/Steve-Slow-Train-Analysis-(2080s-and-2083s)?_g=(refreshInterval:(display:Off,pause:!f,section:0,value:0),time:(from:'2017-02-03T14:22:00-0700',mode:absolute,to:'2017-02-03T17:18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192" t="str">
        <f t="shared" si="61"/>
        <v>N</v>
      </c>
      <c r="X103" s="192">
        <f t="shared" si="62"/>
        <v>1</v>
      </c>
      <c r="Y103" s="62">
        <f t="shared" si="63"/>
        <v>23.2973</v>
      </c>
      <c r="Z103" s="62">
        <f t="shared" si="64"/>
        <v>1.23E-2</v>
      </c>
      <c r="AA103" s="62">
        <f t="shared" si="65"/>
        <v>23.285</v>
      </c>
      <c r="AB103" s="59" t="e">
        <f>VLOOKUP(A103,Enforcements!$C$7:$K$16,8,0)</f>
        <v>#N/A</v>
      </c>
      <c r="AC103" s="55" t="e">
        <f>VLOOKUP(A103,Enforcements!$C$7:$E$16,3,0)</f>
        <v>#N/A</v>
      </c>
      <c r="AD103" s="56" t="str">
        <f t="shared" si="66"/>
        <v>0190-03</v>
      </c>
      <c r="AE103" s="85" t="str">
        <f t="shared" si="67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103" s="82" t="str">
        <f t="shared" si="68"/>
        <v>"C:\Program Files (x86)\AstroGrep\AstroGrep.exe" /spath="%USERPROFILE%\AppData\Local\Temp\OnboardLogs" /stypes="app*4032*20170203*" /stext=" 23:.+((SYSTEM_STATE.+slice.+state.+changed )|(ment ac)|(multiple cpu faults)|(system.+state.+changed )|(\[timeout)|(PRM\|1\|D)|(kpr)|(kdp)|(\|lc)|(penalty))" /e /r /s</v>
      </c>
      <c r="AG103" s="1" t="str">
        <f t="shared" si="69"/>
        <v>EC</v>
      </c>
      <c r="AH103" s="86" t="str">
        <f t="shared" si="70"/>
        <v>"%USERPROFILE%\Documents\GitHub\eaglep3\Utilities\RefineRTDCRunTimes.py" --tripid 190-03 --locoid 4032 --swversion DE.1.0.8.0 --startMP 204:232973 --initTime 2017-02-03T15:22:00 --startdatetime 2017-02-03T15:41:25 --delay 1 --endMP 204:123 --enddatetime 2017-02-03T16:18:34 --enforcementcount 0 &gt;&gt;C:\Users\stu\Documents\GitHub\eaglep3-reporting\EC\2017-02-03-refined-times.txt</v>
      </c>
      <c r="AI103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{"issue":{"subject":"","project_id":79,"tracker_id":40,"status_id":1,"priority_id":2,"assigned_to_id":23,"start_date":"2017-02-03","description":"","custom_fields":[{"id":1,"name":"Subdivision","value":"EC"},{"id":4,"name":"Milepost","value":"0.0123"},{"id":17,"name":"Train ID","value":"190-03"},{"id":16,"name":"Locomotive ID","value":"4032"},{"id":130,"name":"Impact","value":""},{"id":150,"name":"Time of Event (Mountain Time)","value":"16:18:34"},{"id":151,"name":"Denver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8" t="str">
        <f t="shared" si="72"/>
        <v>start /low /b %USERPROFILE%\Documents\GitHub\eaglep3\Utilities\DownloadLogsFromS3.py --loco 4032 --day 2017-02-03</v>
      </c>
      <c r="AN103" s="167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"%USERPROFILE%\AppData\Local\Temp\OnboardLogs"\RTDC4032\*4032*20170203* | grep -SE "(Enforcement Action)|(\[TIMEOUT)|(CHR.+\|PRM\|1\|D.+(SWITCH|SIGNAL).+UNKNOWN)" - &gt;&gt; 2017-02-03-UncaughtWiMAX.txt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674</v>
      </c>
      <c r="B104" s="7">
        <v>4022</v>
      </c>
      <c r="C104" s="21" t="s">
        <v>193</v>
      </c>
      <c r="D104" s="21" t="s">
        <v>374</v>
      </c>
      <c r="E104" s="13">
        <v>42769.620532407411</v>
      </c>
      <c r="F104" s="13">
        <v>42769.625277777777</v>
      </c>
      <c r="G104" s="7">
        <v>1</v>
      </c>
      <c r="H104" s="21" t="s">
        <v>375</v>
      </c>
      <c r="I104" s="13">
        <v>42769.651689814818</v>
      </c>
      <c r="J104" s="7">
        <v>0</v>
      </c>
      <c r="K104" s="98" t="str">
        <f t="shared" si="55"/>
        <v>4021/4022</v>
      </c>
      <c r="L104" s="21" t="str">
        <f>VLOOKUP(A104,'Trips&amp;Operators'!$C$1:$G$99999,5,FALSE)</f>
        <v>CLARK KATHLEEN</v>
      </c>
      <c r="M104" s="6">
        <f t="shared" si="56"/>
        <v>2.641203704115469E-2</v>
      </c>
      <c r="N104" s="7">
        <f t="shared" si="57"/>
        <v>38.033333339262754</v>
      </c>
      <c r="O104" s="7"/>
      <c r="P104" s="7"/>
      <c r="Q104" s="22"/>
      <c r="R104" s="22"/>
      <c r="S104" s="31">
        <f t="shared" si="58"/>
        <v>1</v>
      </c>
      <c r="T104" s="46" t="str">
        <f t="shared" si="59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60"/>
        <v>https://d0f6bd738d7f1b3e5a7ca70fe4ff75f0.us-east-1.aws.found.io/app/kibana#/discover/Steve-Slow-Train-Analysis-(2080s-and-2083s)?_g=(refreshInterval:(display:Off,pause:!f,section:0,value:0),time:(from:'2017-02-03T13:53:34-0700',mode:absolute,to:'2017-02-03T16:38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4" s="192" t="str">
        <f t="shared" si="61"/>
        <v>N</v>
      </c>
      <c r="X104" s="192">
        <f t="shared" si="62"/>
        <v>1</v>
      </c>
      <c r="Y104" s="62">
        <f t="shared" si="63"/>
        <v>4.7500000000000001E-2</v>
      </c>
      <c r="Z104" s="62">
        <f t="shared" si="64"/>
        <v>23.328900000000001</v>
      </c>
      <c r="AA104" s="62">
        <f t="shared" si="65"/>
        <v>23.281400000000001</v>
      </c>
      <c r="AB104" s="59" t="e">
        <f>VLOOKUP(A104,Enforcements!$C$7:$K$16,8,0)</f>
        <v>#N/A</v>
      </c>
      <c r="AC104" s="55" t="e">
        <f>VLOOKUP(A104,Enforcements!$C$7:$E$16,3,0)</f>
        <v>#N/A</v>
      </c>
      <c r="AD104" s="56" t="str">
        <f t="shared" si="66"/>
        <v>0191-03</v>
      </c>
      <c r="AE104" s="85" t="str">
        <f t="shared" si="67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104" s="82" t="str">
        <f t="shared" si="68"/>
        <v>"C:\Program Files (x86)\AstroGrep\AstroGrep.exe" /spath="%USERPROFILE%\AppData\Local\Temp\OnboardLogs" /stypes="app*4022*20170203*" /stext=" 22:.+((SYSTEM_STATE.+slice.+state.+changed )|(ment ac)|(multiple cpu faults)|(system.+state.+changed )|(\[timeout)|(PRM\|1\|D)|(kpr)|(kdp)|(\|lc)|(penalty))" /e /r /s</v>
      </c>
      <c r="AG104" s="1" t="str">
        <f t="shared" si="69"/>
        <v>EC</v>
      </c>
      <c r="AH104" s="86" t="str">
        <f t="shared" si="70"/>
        <v>"%USERPROFILE%\Documents\GitHub\eaglep3\Utilities\RefineRTDCRunTimes.py" --tripid 191-03 --locoid 4022 --swversion DE.1.0.8.0 --startMP 204:475 --initTime 2017-02-03T14:53:34 --startdatetime 2017-02-03T15:00:24 --delay 1 --endMP 204:233289 --enddatetime 2017-02-03T15:38:26 --enforcementcount 0 &gt;&gt;C:\Users\stu\Documents\GitHub\eaglep3-reporting\EC\2017-02-03-refined-times.txt</v>
      </c>
      <c r="AI104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{"issue":{"subject":"","project_id":79,"tracker_id":40,"status_id":1,"priority_id":2,"assigned_to_id":23,"start_date":"2017-02-03","description":"","custom_fields":[{"id":1,"name":"Subdivision","value":"EC"},{"id":4,"name":"Milepost","value":"23.3289"},{"id":17,"name":"Train ID","value":"191-03"},{"id":16,"name":"Locomotive ID","value":"4022"},{"id":130,"name":"Impact","value":""},{"id":150,"name":"Time of Event (Mountain Time)","value":"15:38:26"},{"id":151,"name":"Denver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8" t="str">
        <f t="shared" si="72"/>
        <v>start /low /b %USERPROFILE%\Documents\GitHub\eaglep3\Utilities\DownloadLogsFromS3.py --loco 4022 --day 2017-02-03</v>
      </c>
      <c r="AN104" s="167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"%USERPROFILE%\AppData\Local\Temp\OnboardLogs"\RTDC4022\*4022*20170203* | grep -SE "(Enforcement Action)|(\[TIMEOUT)|(CHR.+\|PRM\|1\|D.+(SWITCH|SIGNAL).+UNKNOWN)" - &gt;&gt; 2017-02-03-UncaughtWiMAX.txt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687</v>
      </c>
      <c r="B105" s="7">
        <v>4021</v>
      </c>
      <c r="C105" s="21" t="s">
        <v>193</v>
      </c>
      <c r="D105" s="21" t="s">
        <v>809</v>
      </c>
      <c r="E105" s="13">
        <v>42769.658032407409</v>
      </c>
      <c r="F105" s="13">
        <v>42769.6640625</v>
      </c>
      <c r="G105" s="7">
        <v>0</v>
      </c>
      <c r="H105" s="21" t="s">
        <v>810</v>
      </c>
      <c r="I105" s="13">
        <v>42769.692129629628</v>
      </c>
      <c r="J105" s="7">
        <v>0</v>
      </c>
      <c r="K105" s="98" t="str">
        <f t="shared" si="55"/>
        <v>4021/4022</v>
      </c>
      <c r="L105" s="21" t="str">
        <f>VLOOKUP(A105,'Trips&amp;Operators'!$C$1:$G$99999,5,FALSE)</f>
        <v>CLARK KATHLEEN</v>
      </c>
      <c r="M105" s="6">
        <f t="shared" si="56"/>
        <v>2.806712962774327E-2</v>
      </c>
      <c r="N105" s="7">
        <f t="shared" si="57"/>
        <v>40.416666663950309</v>
      </c>
      <c r="O105" s="7"/>
      <c r="P105" s="7"/>
      <c r="Q105" s="22"/>
      <c r="R105" s="22"/>
      <c r="S105" s="31">
        <f t="shared" si="58"/>
        <v>1</v>
      </c>
      <c r="T105" s="46" t="str">
        <f t="shared" si="59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60"/>
        <v>https://d0f6bd738d7f1b3e5a7ca70fe4ff75f0.us-east-1.aws.found.io/app/kibana#/discover/Steve-Slow-Train-Analysis-(2080s-and-2083s)?_g=(refreshInterval:(display:Off,pause:!f,section:0,value:0),time:(from:'2017-02-03T14:47:34-0700',mode:absolute,to:'2017-02-03T17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5" s="192" t="str">
        <f t="shared" si="61"/>
        <v>N</v>
      </c>
      <c r="X105" s="192">
        <f t="shared" si="62"/>
        <v>1</v>
      </c>
      <c r="Y105" s="62">
        <f t="shared" si="63"/>
        <v>23.296600000000002</v>
      </c>
      <c r="Z105" s="62">
        <f t="shared" si="64"/>
        <v>1.9599999999999999E-2</v>
      </c>
      <c r="AA105" s="62">
        <f t="shared" si="65"/>
        <v>23.277000000000001</v>
      </c>
      <c r="AB105" s="59" t="e">
        <f>VLOOKUP(A105,Enforcements!$C$7:$K$16,8,0)</f>
        <v>#N/A</v>
      </c>
      <c r="AC105" s="55" t="e">
        <f>VLOOKUP(A105,Enforcements!$C$7:$E$16,3,0)</f>
        <v>#N/A</v>
      </c>
      <c r="AD105" s="56" t="str">
        <f t="shared" si="66"/>
        <v>0192-03</v>
      </c>
      <c r="AE105" s="85" t="str">
        <f t="shared" si="67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105" s="82" t="str">
        <f t="shared" si="68"/>
        <v>"C:\Program Files (x86)\AstroGrep\AstroGrep.exe" /spath="%USERPROFILE%\AppData\Local\Temp\OnboardLogs" /stypes="app*4021*20170203*" /stext=" 23:.+((SYSTEM_STATE.+slice.+state.+changed )|(ment ac)|(multiple cpu faults)|(system.+state.+changed )|(\[timeout)|(PRM\|1\|D)|(kpr)|(kdp)|(\|lc)|(penalty))" /e /r /s</v>
      </c>
      <c r="AG105" s="1" t="str">
        <f t="shared" si="69"/>
        <v>EC</v>
      </c>
      <c r="AH105" s="86" t="str">
        <f t="shared" si="70"/>
        <v>"%USERPROFILE%\Documents\GitHub\eaglep3\Utilities\RefineRTDCRunTimes.py" --tripid 192-03 --locoid 4021 --swversion DE.1.0.8.0 --startMP 204:232966 --initTime 2017-02-03T15:47:34 --startdatetime 2017-02-03T15:56:15 --delay 0 --endMP 204:196 --enddatetime 2017-02-03T16:36:40 --enforcementcount 0 &gt;&gt;C:\Users\stu\Documents\GitHub\eaglep3-reporting\EC\2017-02-03-refined-times.txt</v>
      </c>
      <c r="AI105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{"issue":{"subject":"","project_id":79,"tracker_id":40,"status_id":1,"priority_id":2,"assigned_to_id":23,"start_date":"2017-02-03","description":"","custom_fields":[{"id":1,"name":"Subdivision","value":"EC"},{"id":4,"name":"Milepost","value":"0.0196"},{"id":17,"name":"Train ID","value":"192-03"},{"id":16,"name":"Locomotive ID","value":"4021"},{"id":130,"name":"Impact","value":""},{"id":150,"name":"Time of Event (Mountain Time)","value":"16:36:40"},{"id":151,"name":"Denver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8" t="str">
        <f t="shared" si="72"/>
        <v>start /low /b %USERPROFILE%\Documents\GitHub\eaglep3\Utilities\DownloadLogsFromS3.py --loco 4021 --day 2017-02-03</v>
      </c>
      <c r="AN105" s="167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677</v>
      </c>
      <c r="B106" s="7">
        <v>4040</v>
      </c>
      <c r="C106" s="21" t="s">
        <v>193</v>
      </c>
      <c r="D106" s="21" t="s">
        <v>409</v>
      </c>
      <c r="E106" s="13">
        <v>42769.63008101852</v>
      </c>
      <c r="F106" s="13">
        <v>42769.635601851849</v>
      </c>
      <c r="G106" s="7">
        <v>1</v>
      </c>
      <c r="H106" s="21" t="s">
        <v>811</v>
      </c>
      <c r="I106" s="13">
        <v>42769.660081018519</v>
      </c>
      <c r="J106" s="7">
        <v>0</v>
      </c>
      <c r="K106" s="98" t="str">
        <f t="shared" si="55"/>
        <v>4039/4040</v>
      </c>
      <c r="L106" s="21" t="str">
        <f>VLOOKUP(A106,'Trips&amp;Operators'!$C$1:$G$99999,5,FALSE)</f>
        <v>BRUDER RICHARD</v>
      </c>
      <c r="M106" s="6">
        <f t="shared" si="56"/>
        <v>2.4479166670062114E-2</v>
      </c>
      <c r="N106" s="7">
        <f t="shared" si="57"/>
        <v>35.250000004889444</v>
      </c>
      <c r="O106" s="7"/>
      <c r="P106" s="7"/>
      <c r="Q106" s="22"/>
      <c r="R106" s="22"/>
      <c r="S106" s="31">
        <f t="shared" si="58"/>
        <v>1</v>
      </c>
      <c r="T106" s="46" t="str">
        <f t="shared" si="59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60"/>
        <v>https://d0f6bd738d7f1b3e5a7ca70fe4ff75f0.us-east-1.aws.found.io/app/kibana#/discover/Steve-Slow-Train-Analysis-(2080s-and-2083s)?_g=(refreshInterval:(display:Off,pause:!f,section:0,value:0),time:(from:'2017-02-03T14:07:19-0700',mode:absolute,to:'2017-02-03T16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6" s="192" t="str">
        <f t="shared" si="61"/>
        <v>N</v>
      </c>
      <c r="X106" s="192">
        <f t="shared" si="62"/>
        <v>1</v>
      </c>
      <c r="Y106" s="62">
        <f t="shared" si="63"/>
        <v>4.6399999999999997E-2</v>
      </c>
      <c r="Z106" s="62">
        <f t="shared" si="64"/>
        <v>23.3276</v>
      </c>
      <c r="AA106" s="62">
        <f t="shared" si="65"/>
        <v>23.281200000000002</v>
      </c>
      <c r="AB106" s="59" t="e">
        <f>VLOOKUP(A106,Enforcements!$C$7:$K$16,8,0)</f>
        <v>#N/A</v>
      </c>
      <c r="AC106" s="55" t="e">
        <f>VLOOKUP(A106,Enforcements!$C$7:$E$16,3,0)</f>
        <v>#N/A</v>
      </c>
      <c r="AD106" s="56" t="str">
        <f t="shared" si="66"/>
        <v>0193-03</v>
      </c>
      <c r="AE106" s="85" t="str">
        <f t="shared" si="67"/>
        <v>aws s3 cp s3://rtdc.mdm.uploadarchive.raw/RTDC4040/ "%USERPROFILE%\AppData\Local\Temp\OnboardLogs"\RTDC4040\2017-02-03 --exclude "*" --recursive --include "*20170203*" &amp; "%USERPROFILE%\Documents\GitHub\mrs-test-scripts\Headless Mode &amp; Sideloading\WalkAndUnGZ.bat" "%USERPROFILE%\AppData\Local\Temp\OnboardLogs"\RTDC4040\2017-02-03 &amp; 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</v>
      </c>
      <c r="AF106" s="82" t="str">
        <f t="shared" si="68"/>
        <v>"C:\Program Files (x86)\AstroGrep\AstroGrep.exe" /spath="%USERPROFILE%\AppData\Local\Temp\OnboardLogs" /stypes="app*4040*20170203*" /stext=" 22:.+((SYSTEM_STATE.+slice.+state.+changed )|(ment ac)|(multiple cpu faults)|(system.+state.+changed )|(\[timeout)|(PRM\|1\|D)|(kpr)|(kdp)|(\|lc)|(penalty))" /e /r /s</v>
      </c>
      <c r="AG106" s="1" t="str">
        <f t="shared" si="69"/>
        <v>EC</v>
      </c>
      <c r="AH106" s="86" t="str">
        <f t="shared" si="70"/>
        <v>"%USERPROFILE%\Documents\GitHub\eaglep3\Utilities\RefineRTDCRunTimes.py" --tripid 193-03 --locoid 4040 --swversion DE.1.0.8.0 --startMP 204:464 --initTime 2017-02-03T15:07:19 --startdatetime 2017-02-03T15:15:16 --delay 1 --endMP 204:233276 --enddatetime 2017-02-03T15:50:31 --enforcementcount 0 &gt;&gt;C:\Users\stu\Documents\GitHub\eaglep3-reporting\EC\2017-02-03-refined-times.txt</v>
      </c>
      <c r="AI106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{"issue":{"subject":"","project_id":79,"tracker_id":40,"status_id":1,"priority_id":2,"assigned_to_id":23,"start_date":"2017-02-03","description":"","custom_fields":[{"id":1,"name":"Subdivision","value":"EC"},{"id":4,"name":"Milepost","value":"23.3276"},{"id":17,"name":"Train ID","value":"193-03"},{"id":16,"name":"Locomotive ID","value":"4040"},{"id":130,"name":"Impact","value":""},{"id":150,"name":"Time of Event (Mountain Time)","value":"15:50:31"},{"id":151,"name":"Denver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8" t="str">
        <f t="shared" si="72"/>
        <v>start /low /b %USERPROFILE%\Documents\GitHub\eaglep3\Utilities\DownloadLogsFromS3.py --loco 4040 --day 2017-02-03</v>
      </c>
      <c r="AN106" s="167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"%USERPROFILE%\AppData\Local\Temp\OnboardLogs"\RTDC4040\*4040*20170203* | grep -SE "(Enforcement Action)|(\[TIMEOUT)|(CHR.+\|PRM\|1\|D.+(SWITCH|SIGNAL).+UNKNOWN)" - &gt;&gt; 2017-02-03-UncaughtWiMAX.txt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689</v>
      </c>
      <c r="B107" s="7">
        <v>4039</v>
      </c>
      <c r="C107" s="21" t="s">
        <v>193</v>
      </c>
      <c r="D107" s="21" t="s">
        <v>373</v>
      </c>
      <c r="E107" s="13">
        <v>42769.668287037035</v>
      </c>
      <c r="F107" s="13">
        <v>42769.674675925926</v>
      </c>
      <c r="G107" s="7">
        <v>2</v>
      </c>
      <c r="H107" s="21" t="s">
        <v>237</v>
      </c>
      <c r="I107" s="13">
        <v>42769.700648148151</v>
      </c>
      <c r="J107" s="7">
        <v>0</v>
      </c>
      <c r="K107" s="98" t="str">
        <f t="shared" si="55"/>
        <v>4039/4040</v>
      </c>
      <c r="L107" s="21" t="str">
        <f>VLOOKUP(A107,'Trips&amp;Operators'!$C$1:$G$99999,5,FALSE)</f>
        <v>BRUDER RICHARD</v>
      </c>
      <c r="M107" s="6">
        <f t="shared" si="56"/>
        <v>2.5972222225391306E-2</v>
      </c>
      <c r="N107" s="7">
        <f t="shared" si="57"/>
        <v>37.400000004563481</v>
      </c>
      <c r="O107" s="7"/>
      <c r="P107" s="7"/>
      <c r="Q107" s="22"/>
      <c r="R107" s="22"/>
      <c r="S107" s="31">
        <f t="shared" si="58"/>
        <v>1</v>
      </c>
      <c r="T107" s="46" t="str">
        <f t="shared" si="59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60"/>
        <v>https://d0f6bd738d7f1b3e5a7ca70fe4ff75f0.us-east-1.aws.found.io/app/kibana#/discover/Steve-Slow-Train-Analysis-(2080s-and-2083s)?_g=(refreshInterval:(display:Off,pause:!f,section:0,value:0),time:(from:'2017-02-03T15:02:20-0700',mode:absolute,to:'2017-02-03T17:48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7" s="192" t="str">
        <f t="shared" si="61"/>
        <v>N</v>
      </c>
      <c r="X107" s="192">
        <f t="shared" si="62"/>
        <v>1</v>
      </c>
      <c r="Y107" s="62">
        <f t="shared" si="63"/>
        <v>23.297499999999999</v>
      </c>
      <c r="Z107" s="62">
        <f t="shared" si="64"/>
        <v>1.43E-2</v>
      </c>
      <c r="AA107" s="62">
        <f t="shared" si="65"/>
        <v>23.283200000000001</v>
      </c>
      <c r="AB107" s="59" t="e">
        <f>VLOOKUP(A107,Enforcements!$C$7:$K$16,8,0)</f>
        <v>#N/A</v>
      </c>
      <c r="AC107" s="55" t="e">
        <f>VLOOKUP(A107,Enforcements!$C$7:$E$16,3,0)</f>
        <v>#N/A</v>
      </c>
      <c r="AD107" s="56" t="str">
        <f t="shared" si="66"/>
        <v>0194-03</v>
      </c>
      <c r="AE107" s="85" t="str">
        <f t="shared" si="67"/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AF107" s="82" t="str">
        <f t="shared" si="68"/>
        <v>"C:\Program Files (x86)\AstroGrep\AstroGrep.exe" /spath="%USERPROFILE%\AppData\Local\Temp\OnboardLogs" /stypes="app*4039*20170203*" /stext=" 23:.+((SYSTEM_STATE.+slice.+state.+changed )|(ment ac)|(multiple cpu faults)|(system.+state.+changed )|(\[timeout)|(PRM\|1\|D)|(kpr)|(kdp)|(\|lc)|(penalty))" /e /r /s</v>
      </c>
      <c r="AG107" s="1" t="str">
        <f t="shared" si="69"/>
        <v>EC</v>
      </c>
      <c r="AH107" s="86" t="str">
        <f t="shared" si="70"/>
        <v>"%USERPROFILE%\Documents\GitHub\eaglep3\Utilities\RefineRTDCRunTimes.py" --tripid 194-03 --locoid 4039 --swversion DE.1.0.8.0 --startMP 204:232975 --initTime 2017-02-03T16:02:20 --startdatetime 2017-02-03T16:11:32 --delay 2 --endMP 204:143 --enddatetime 2017-02-03T16:48:56 --enforcementcount 0 &gt;&gt;C:\Users\stu\Documents\GitHub\eaglep3-reporting\EC\2017-02-03-refined-times.txt</v>
      </c>
      <c r="AI107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{"issue":{"subject":"","project_id":79,"tracker_id":40,"status_id":1,"priority_id":2,"assigned_to_id":23,"start_date":"2017-02-03","description":"","custom_fields":[{"id":1,"name":"Subdivision","value":"EC"},{"id":4,"name":"Milepost","value":"0.0143"},{"id":17,"name":"Train ID","value":"194-03"},{"id":16,"name":"Locomotive ID","value":"4039"},{"id":130,"name":"Impact","value":""},{"id":150,"name":"Time of Event (Mountain Time)","value":"16:48:56"},{"id":151,"name":"Denver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8" t="str">
        <f t="shared" si="72"/>
        <v>start /low /b %USERPROFILE%\Documents\GitHub\eaglep3\Utilities\DownloadLogsFromS3.py --loco 4039 --day 2017-02-03</v>
      </c>
      <c r="AN107" s="167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"%USERPROFILE%\AppData\Local\Temp\OnboardLogs"\RTDC4039\*4039*20170203* | grep -SE "(Enforcement Action)|(\[TIMEOUT)|(CHR.+\|PRM\|1\|D.+(SWITCH|SIGNAL).+UNKNOWN)" - &gt;&gt; 2017-02-03-UncaughtWiMAX.txt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681</v>
      </c>
      <c r="B108" s="7">
        <v>4044</v>
      </c>
      <c r="C108" s="21" t="s">
        <v>193</v>
      </c>
      <c r="D108" s="21" t="s">
        <v>240</v>
      </c>
      <c r="E108" s="13">
        <v>42769.643425925926</v>
      </c>
      <c r="F108" s="13">
        <v>42769.646331018521</v>
      </c>
      <c r="G108" s="7">
        <v>1</v>
      </c>
      <c r="H108" s="21" t="s">
        <v>325</v>
      </c>
      <c r="I108" s="13">
        <v>42769.670648148145</v>
      </c>
      <c r="J108" s="7">
        <v>0</v>
      </c>
      <c r="K108" s="98" t="str">
        <f t="shared" si="55"/>
        <v>4043/4044</v>
      </c>
      <c r="L108" s="21" t="str">
        <f>VLOOKUP(A108,'Trips&amp;Operators'!$C$1:$G$99999,5,FALSE)</f>
        <v>HELVIE ADAM</v>
      </c>
      <c r="M108" s="6">
        <f t="shared" si="56"/>
        <v>2.4317129624250811E-2</v>
      </c>
      <c r="N108" s="7">
        <f t="shared" si="57"/>
        <v>35.016666658921167</v>
      </c>
      <c r="O108" s="7"/>
      <c r="P108" s="7"/>
      <c r="Q108" s="22"/>
      <c r="R108" s="22"/>
      <c r="S108" s="31">
        <f t="shared" si="58"/>
        <v>1</v>
      </c>
      <c r="T108" s="46" t="str">
        <f t="shared" si="59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60"/>
        <v>https://d0f6bd738d7f1b3e5a7ca70fe4ff75f0.us-east-1.aws.found.io/app/kibana#/discover/Steve-Slow-Train-Analysis-(2080s-and-2083s)?_g=(refreshInterval:(display:Off,pause:!f,section:0,value:0),time:(from:'2017-02-03T14:26:32-0700',mode:absolute,to:'2017-02-03T17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8" s="192" t="str">
        <f t="shared" si="61"/>
        <v>N</v>
      </c>
      <c r="X108" s="192">
        <f t="shared" si="62"/>
        <v>1</v>
      </c>
      <c r="Y108" s="62">
        <f t="shared" si="63"/>
        <v>4.5699999999999998E-2</v>
      </c>
      <c r="Z108" s="62">
        <f t="shared" si="64"/>
        <v>23.3291</v>
      </c>
      <c r="AA108" s="62">
        <f t="shared" si="65"/>
        <v>23.2834</v>
      </c>
      <c r="AB108" s="59" t="e">
        <f>VLOOKUP(A108,Enforcements!$C$7:$K$16,8,0)</f>
        <v>#N/A</v>
      </c>
      <c r="AC108" s="55" t="e">
        <f>VLOOKUP(A108,Enforcements!$C$7:$E$16,3,0)</f>
        <v>#N/A</v>
      </c>
      <c r="AD108" s="56" t="str">
        <f t="shared" si="66"/>
        <v>0195-03</v>
      </c>
      <c r="AE108" s="85" t="str">
        <f t="shared" si="67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108" s="82" t="str">
        <f t="shared" si="68"/>
        <v>"C:\Program Files (x86)\AstroGrep\AstroGrep.exe" /spath="%USERPROFILE%\AppData\Local\Temp\OnboardLogs" /stypes="app*4044*20170203*" /stext=" 23:.+((SYSTEM_STATE.+slice.+state.+changed )|(ment ac)|(multiple cpu faults)|(system.+state.+changed )|(\[timeout)|(PRM\|1\|D)|(kpr)|(kdp)|(\|lc)|(penalty))" /e /r /s</v>
      </c>
      <c r="AG108" s="1" t="str">
        <f t="shared" si="69"/>
        <v>EC</v>
      </c>
      <c r="AH108" s="86" t="str">
        <f t="shared" si="70"/>
        <v>"%USERPROFILE%\Documents\GitHub\eaglep3\Utilities\RefineRTDCRunTimes.py" --tripid 195-03 --locoid 4044 --swversion DE.1.0.8.0 --startMP 204:457 --initTime 2017-02-03T15:26:32 --startdatetime 2017-02-03T15:30:43 --delay 1 --endMP 204:233291 --enddatetime 2017-02-03T16:05:44 --enforcementcount 0 &gt;&gt;C:\Users\stu\Documents\GitHub\eaglep3-reporting\EC\2017-02-03-refined-times.txt</v>
      </c>
      <c r="AI108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{"issue":{"subject":"","project_id":79,"tracker_id":40,"status_id":1,"priority_id":2,"assigned_to_id":23,"start_date":"2017-02-03","description":"","custom_fields":[{"id":1,"name":"Subdivision","value":"EC"},{"id":4,"name":"Milepost","value":"23.3291"},{"id":17,"name":"Train ID","value":"195-03"},{"id":16,"name":"Locomotive ID","value":"4044"},{"id":130,"name":"Impact","value":""},{"id":150,"name":"Time of Event (Mountain Time)","value":"16:05:44"},{"id":151,"name":"Denver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8" t="str">
        <f t="shared" si="72"/>
        <v>start /low /b %USERPROFILE%\Documents\GitHub\eaglep3\Utilities\DownloadLogsFromS3.py --loco 4044 --day 2017-02-03</v>
      </c>
      <c r="AN108" s="167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"%USERPROFILE%\AppData\Local\Temp\OnboardLogs"\RTDC4044\*4044*20170203* | grep -SE "(Enforcement Action)|(\[TIMEOUT)|(CHR.+\|PRM\|1\|D.+(SWITCH|SIGNAL).+UNKNOWN)" - &gt;&gt; 2017-02-03-UncaughtWiMAX.txt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693</v>
      </c>
      <c r="B109" s="7">
        <v>4043</v>
      </c>
      <c r="C109" s="21" t="s">
        <v>193</v>
      </c>
      <c r="D109" s="21" t="s">
        <v>364</v>
      </c>
      <c r="E109" s="13">
        <v>42769.681898148148</v>
      </c>
      <c r="F109" s="13">
        <v>42769.684884259259</v>
      </c>
      <c r="G109" s="7">
        <v>1</v>
      </c>
      <c r="H109" s="21" t="s">
        <v>812</v>
      </c>
      <c r="I109" s="13">
        <v>42769.71130787037</v>
      </c>
      <c r="J109" s="7">
        <v>0</v>
      </c>
      <c r="K109" s="98" t="str">
        <f t="shared" si="55"/>
        <v>4043/4044</v>
      </c>
      <c r="L109" s="21" t="str">
        <f>VLOOKUP(A109,'Trips&amp;Operators'!$C$1:$G$99999,5,FALSE)</f>
        <v>HELVIE ADAM</v>
      </c>
      <c r="M109" s="6">
        <f t="shared" si="56"/>
        <v>2.6423611110658385E-2</v>
      </c>
      <c r="N109" s="7">
        <f t="shared" si="57"/>
        <v>38.049999999348074</v>
      </c>
      <c r="O109" s="7"/>
      <c r="P109" s="7"/>
      <c r="Q109" s="22"/>
      <c r="R109" s="22"/>
      <c r="S109" s="31">
        <f t="shared" si="58"/>
        <v>1</v>
      </c>
      <c r="T109" s="46" t="str">
        <f t="shared" si="59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60"/>
        <v>https://d0f6bd738d7f1b3e5a7ca70fe4ff75f0.us-east-1.aws.found.io/app/kibana#/discover/Steve-Slow-Train-Analysis-(2080s-and-2083s)?_g=(refreshInterval:(display:Off,pause:!f,section:0,value:0),time:(from:'2017-02-03T15:21:56-0700',mode:absolute,to:'2017-02-03T18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9" s="192" t="str">
        <f t="shared" si="61"/>
        <v>N</v>
      </c>
      <c r="X109" s="192">
        <f t="shared" si="62"/>
        <v>1</v>
      </c>
      <c r="Y109" s="62">
        <f t="shared" si="63"/>
        <v>23.299099999999999</v>
      </c>
      <c r="Z109" s="62">
        <f t="shared" si="64"/>
        <v>1.6299999999999999E-2</v>
      </c>
      <c r="AA109" s="62">
        <f t="shared" si="65"/>
        <v>23.282799999999998</v>
      </c>
      <c r="AB109" s="59" t="e">
        <f>VLOOKUP(A109,Enforcements!$C$7:$K$16,8,0)</f>
        <v>#N/A</v>
      </c>
      <c r="AC109" s="55" t="e">
        <f>VLOOKUP(A109,Enforcements!$C$7:$E$16,3,0)</f>
        <v>#N/A</v>
      </c>
      <c r="AD109" s="56" t="str">
        <f t="shared" si="66"/>
        <v>0196-03</v>
      </c>
      <c r="AE109" s="85" t="str">
        <f t="shared" si="67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109" s="82" t="str">
        <f t="shared" si="68"/>
        <v>"C:\Program Files (x86)\AstroGrep\AstroGrep.exe" /spath="%USERPROFILE%\AppData\Local\Temp\OnboardLogs" /stypes="app*4043*20170204*" /stext=" 00:.+((SYSTEM_STATE.+slice.+state.+changed )|(ment ac)|(multiple cpu faults)|(system.+state.+changed )|(\[timeout)|(PRM\|1\|D)|(kpr)|(kdp)|(\|lc)|(penalty))" /e /r /s</v>
      </c>
      <c r="AG109" s="1" t="str">
        <f t="shared" si="69"/>
        <v>EC</v>
      </c>
      <c r="AH109" s="86" t="str">
        <f t="shared" si="70"/>
        <v>"%USERPROFILE%\Documents\GitHub\eaglep3\Utilities\RefineRTDCRunTimes.py" --tripid 196-03 --locoid 4043 --swversion DE.1.0.8.0 --startMP 204:232991 --initTime 2017-02-03T16:21:56 --startdatetime 2017-02-03T16:26:14 --delay 1 --endMP 204:163 --enddatetime 2017-02-03T17:04:17 --enforcementcount 0 &gt;&gt;C:\Users\stu\Documents\GitHub\eaglep3-reporting\EC\2017-02-03-refined-times.txt</v>
      </c>
      <c r="AI109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{"issue":{"subject":"","project_id":79,"tracker_id":40,"status_id":1,"priority_id":2,"assigned_to_id":23,"start_date":"2017-02-03","description":"","custom_fields":[{"id":1,"name":"Subdivision","value":"EC"},{"id":4,"name":"Milepost","value":"0.0163"},{"id":17,"name":"Train ID","value":"196-03"},{"id":16,"name":"Locomotive ID","value":"4043"},{"id":130,"name":"Impact","value":""},{"id":150,"name":"Time of Event (Mountain Time)","value":"17:04:17"},{"id":151,"name":"Denver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8" t="str">
        <f t="shared" si="72"/>
        <v>start /low /b %USERPROFILE%\Documents\GitHub\eaglep3\Utilities\DownloadLogsFromS3.py --loco 4043 --day 2017-02-03</v>
      </c>
      <c r="AN109" s="167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"%USERPROFILE%\AppData\Local\Temp\OnboardLogs"\RTDC4043\*4043*20170203* | grep -SE "(Enforcement Action)|(\[TIMEOUT)|(CHR.+\|PRM\|1\|D.+(SWITCH|SIGNAL).+UNKNOWN)" - &gt;&gt; 2017-02-03-UncaughtWiMAX.txt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686</v>
      </c>
      <c r="B110" s="7">
        <v>4018</v>
      </c>
      <c r="C110" s="21" t="s">
        <v>193</v>
      </c>
      <c r="D110" s="21" t="s">
        <v>276</v>
      </c>
      <c r="E110" s="13">
        <v>42769.653043981481</v>
      </c>
      <c r="F110" s="13">
        <v>42769.656458333331</v>
      </c>
      <c r="G110" s="7">
        <v>1</v>
      </c>
      <c r="H110" s="21" t="s">
        <v>811</v>
      </c>
      <c r="I110" s="13">
        <v>42769.681076388886</v>
      </c>
      <c r="J110" s="7">
        <v>0</v>
      </c>
      <c r="K110" s="98" t="str">
        <f t="shared" si="55"/>
        <v>4017/4018</v>
      </c>
      <c r="L110" s="21" t="str">
        <f>VLOOKUP(A110,'Trips&amp;Operators'!$C$1:$G$99999,5,FALSE)</f>
        <v>KILLION DAVID</v>
      </c>
      <c r="M110" s="6">
        <f t="shared" si="56"/>
        <v>2.4618055555038154E-2</v>
      </c>
      <c r="N110" s="7">
        <f t="shared" si="57"/>
        <v>35.449999999254942</v>
      </c>
      <c r="O110" s="7"/>
      <c r="P110" s="7"/>
      <c r="Q110" s="22"/>
      <c r="R110" s="22"/>
      <c r="S110" s="31">
        <f t="shared" si="58"/>
        <v>1</v>
      </c>
      <c r="T110" s="46" t="str">
        <f t="shared" si="59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60"/>
        <v>https://d0f6bd738d7f1b3e5a7ca70fe4ff75f0.us-east-1.aws.found.io/app/kibana#/discover/Steve-Slow-Train-Analysis-(2080s-and-2083s)?_g=(refreshInterval:(display:Off,pause:!f,section:0,value:0),time:(from:'2017-02-03T14:40:23-0700',mode:absolute,to:'2017-02-03T17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0" s="192" t="str">
        <f t="shared" si="61"/>
        <v>N</v>
      </c>
      <c r="X110" s="192">
        <f t="shared" si="62"/>
        <v>1</v>
      </c>
      <c r="Y110" s="62">
        <f t="shared" si="63"/>
        <v>4.7100000000000003E-2</v>
      </c>
      <c r="Z110" s="62">
        <f t="shared" si="64"/>
        <v>23.3276</v>
      </c>
      <c r="AA110" s="62">
        <f t="shared" si="65"/>
        <v>23.2805</v>
      </c>
      <c r="AB110" s="59" t="e">
        <f>VLOOKUP(A110,Enforcements!$C$7:$K$16,8,0)</f>
        <v>#N/A</v>
      </c>
      <c r="AC110" s="55" t="e">
        <f>VLOOKUP(A110,Enforcements!$C$7:$E$16,3,0)</f>
        <v>#N/A</v>
      </c>
      <c r="AD110" s="56" t="str">
        <f t="shared" si="66"/>
        <v>0197-03</v>
      </c>
      <c r="AE110" s="85" t="str">
        <f t="shared" si="67"/>
        <v>aws s3 cp s3://rtdc.mdm.uploadarchive.raw/RTDC4018/ "%USERPROFILE%\AppData\Local\Temp\OnboardLogs"\RTDC4018\2017-02-03 --exclude "*" --recursive --include "*20170203*" &amp; "%USERPROFILE%\Documents\GitHub\mrs-test-scripts\Headless Mode &amp; Sideloading\WalkAndUnGZ.bat" "%USERPROFILE%\AppData\Local\Temp\OnboardLogs"\RTDC4018\2017-02-03 &amp; aws s3 cp s3://rtdc.mdm.uploadarchive.raw/RTDC4018/ "%USERPROFILE%\AppData\Local\Temp\OnboardLogs"\RTDC4018\2017-02-04 --exclude "*" --recursive --include "*20170204*" &amp; "%USERPROFILE%\Documents\GitHub\mrs-test-scripts\Headless Mode &amp; Sideloading\WalkAndUnGZ.bat" "%USERPROFILE%\AppData\Local\Temp\OnboardLogs"\RTDC4018\2017-02-04</v>
      </c>
      <c r="AF110" s="82" t="str">
        <f t="shared" si="68"/>
        <v>"C:\Program Files (x86)\AstroGrep\AstroGrep.exe" /spath="%USERPROFILE%\AppData\Local\Temp\OnboardLogs" /stypes="app*4018*20170203*" /stext=" 23:.+((SYSTEM_STATE.+slice.+state.+changed )|(ment ac)|(multiple cpu faults)|(system.+state.+changed )|(\[timeout)|(PRM\|1\|D)|(kpr)|(kdp)|(\|lc)|(penalty))" /e /r /s</v>
      </c>
      <c r="AG110" s="1" t="str">
        <f t="shared" si="69"/>
        <v>EC</v>
      </c>
      <c r="AH110" s="86" t="str">
        <f t="shared" si="70"/>
        <v>"%USERPROFILE%\Documents\GitHub\eaglep3\Utilities\RefineRTDCRunTimes.py" --tripid 197-03 --locoid 4018 --swversion DE.1.0.8.0 --startMP 204:471 --initTime 2017-02-03T15:40:23 --startdatetime 2017-02-03T15:45:18 --delay 1 --endMP 204:233276 --enddatetime 2017-02-03T16:20:45 --enforcementcount 0 &gt;&gt;C:\Users\stu\Documents\GitHub\eaglep3-reporting\EC\2017-02-03-refined-times.txt</v>
      </c>
      <c r="AI110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{"issue":{"subject":"","project_id":79,"tracker_id":40,"status_id":1,"priority_id":2,"assigned_to_id":23,"start_date":"2017-02-03","description":"","custom_fields":[{"id":1,"name":"Subdivision","value":"EC"},{"id":4,"name":"Milepost","value":"23.3276"},{"id":17,"name":"Train ID","value":"197-03"},{"id":16,"name":"Locomotive ID","value":"4018"},{"id":130,"name":"Impact","value":""},{"id":150,"name":"Time of Event (Mountain Time)","value":"16:20:45"},{"id":151,"name":"Denver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8" t="str">
        <f t="shared" si="72"/>
        <v>start /low /b %USERPROFILE%\Documents\GitHub\eaglep3\Utilities\DownloadLogsFromS3.py --loco 4018 --day 2017-02-03</v>
      </c>
      <c r="AN110" s="167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"%USERPROFILE%\AppData\Local\Temp\OnboardLogs"\RTDC4018\*4018*20170203* | grep -SE "(Enforcement Action)|(\[TIMEOUT)|(CHR.+\|PRM\|1\|D.+(SWITCH|SIGNAL).+UNKNOWN)" - &gt;&gt; 2017-02-03-UncaughtWiMAX.txt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696</v>
      </c>
      <c r="B111" s="7">
        <v>4017</v>
      </c>
      <c r="C111" s="21" t="s">
        <v>193</v>
      </c>
      <c r="D111" s="21" t="s">
        <v>423</v>
      </c>
      <c r="E111" s="13">
        <v>42769.687025462961</v>
      </c>
      <c r="F111" s="13">
        <v>42769.695520833331</v>
      </c>
      <c r="G111" s="7">
        <v>1</v>
      </c>
      <c r="H111" s="21" t="s">
        <v>213</v>
      </c>
      <c r="I111" s="13">
        <v>42769.722766203704</v>
      </c>
      <c r="J111" s="7">
        <v>0</v>
      </c>
      <c r="K111" s="98" t="str">
        <f t="shared" si="55"/>
        <v>4017/4018</v>
      </c>
      <c r="L111" s="21" t="str">
        <f>VLOOKUP(A111,'Trips&amp;Operators'!$C$1:$G$99999,5,FALSE)</f>
        <v>KILLION DAVID</v>
      </c>
      <c r="M111" s="6">
        <f t="shared" si="56"/>
        <v>2.7245370372838806E-2</v>
      </c>
      <c r="N111" s="7">
        <f t="shared" si="57"/>
        <v>39.233333336887881</v>
      </c>
      <c r="O111" s="7"/>
      <c r="P111" s="7"/>
      <c r="Q111" s="22"/>
      <c r="R111" s="22"/>
      <c r="S111" s="31">
        <f t="shared" si="58"/>
        <v>1</v>
      </c>
      <c r="T111" s="46" t="str">
        <f t="shared" si="59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60"/>
        <v>https://d0f6bd738d7f1b3e5a7ca70fe4ff75f0.us-east-1.aws.found.io/app/kibana#/discover/Steve-Slow-Train-Analysis-(2080s-and-2083s)?_g=(refreshInterval:(display:Off,pause:!f,section:0,value:0),time:(from:'2017-02-03T15:29:19-0700',mode:absolute,to:'2017-02-03T18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1" s="192" t="str">
        <f t="shared" si="61"/>
        <v>N</v>
      </c>
      <c r="X111" s="192">
        <f t="shared" si="62"/>
        <v>1</v>
      </c>
      <c r="Y111" s="62">
        <f t="shared" si="63"/>
        <v>23.2971</v>
      </c>
      <c r="Z111" s="62">
        <f t="shared" si="64"/>
        <v>1.5800000000000002E-2</v>
      </c>
      <c r="AA111" s="62">
        <f t="shared" si="65"/>
        <v>23.281300000000002</v>
      </c>
      <c r="AB111" s="59" t="e">
        <f>VLOOKUP(A111,Enforcements!$C$7:$K$16,8,0)</f>
        <v>#N/A</v>
      </c>
      <c r="AC111" s="55" t="e">
        <f>VLOOKUP(A111,Enforcements!$C$7:$E$16,3,0)</f>
        <v>#N/A</v>
      </c>
      <c r="AD111" s="56" t="str">
        <f t="shared" si="66"/>
        <v>0198-03</v>
      </c>
      <c r="AE111" s="85" t="str">
        <f t="shared" si="67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111" s="82" t="str">
        <f t="shared" si="68"/>
        <v>"C:\Program Files (x86)\AstroGrep\AstroGrep.exe" /spath="%USERPROFILE%\AppData\Local\Temp\OnboardLogs" /stypes="app*4017*20170204*" /stext=" 00:.+((SYSTEM_STATE.+slice.+state.+changed )|(ment ac)|(multiple cpu faults)|(system.+state.+changed )|(\[timeout)|(PRM\|1\|D)|(kpr)|(kdp)|(\|lc)|(penalty))" /e /r /s</v>
      </c>
      <c r="AG111" s="1" t="str">
        <f t="shared" si="69"/>
        <v>EC</v>
      </c>
      <c r="AH111" s="86" t="str">
        <f t="shared" si="70"/>
        <v>"%USERPROFILE%\Documents\GitHub\eaglep3\Utilities\RefineRTDCRunTimes.py" --tripid 198-03 --locoid 4017 --swversion DE.1.0.8.0 --startMP 204:232971 --initTime 2017-02-03T16:29:19 --startdatetime 2017-02-03T16:41:33 --delay 1 --endMP 204:158 --enddatetime 2017-02-03T17:20:47 --enforcementcount 0 &gt;&gt;C:\Users\stu\Documents\GitHub\eaglep3-reporting\EC\2017-02-03-refined-times.txt</v>
      </c>
      <c r="AI111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{"issue":{"subject":"","project_id":79,"tracker_id":40,"status_id":1,"priority_id":2,"assigned_to_id":23,"start_date":"2017-02-03","description":"","custom_fields":[{"id":1,"name":"Subdivision","value":"EC"},{"id":4,"name":"Milepost","value":"0.0158"},{"id":17,"name":"Train ID","value":"198-03"},{"id":16,"name":"Locomotive ID","value":"4017"},{"id":130,"name":"Impact","value":""},{"id":150,"name":"Time of Event (Mountain Time)","value":"17:20:47"},{"id":151,"name":"Denver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8" t="str">
        <f t="shared" si="72"/>
        <v>start /low /b %USERPROFILE%\Documents\GitHub\eaglep3\Utilities\DownloadLogsFromS3.py --loco 4017 --day 2017-02-03</v>
      </c>
      <c r="AN111" s="167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"%USERPROFILE%\AppData\Local\Temp\OnboardLogs"\RTDC4017\*4017*20170204* | grep -SE "(Enforcement Action)|(\[TIMEOUT)|(CHR.+\|PRM\|1\|D.+(SWITCH|SIGNAL).+UNKNOWN)" - &gt;&gt; 2017-02-03-UncaughtWiMAX.txt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688</v>
      </c>
      <c r="B112" s="7">
        <v>4025</v>
      </c>
      <c r="C112" s="21" t="s">
        <v>193</v>
      </c>
      <c r="D112" s="21" t="s">
        <v>275</v>
      </c>
      <c r="E112" s="13">
        <v>42769.661562499998</v>
      </c>
      <c r="F112" s="13">
        <v>42769.667847222219</v>
      </c>
      <c r="G112" s="7">
        <v>1</v>
      </c>
      <c r="H112" s="21" t="s">
        <v>417</v>
      </c>
      <c r="I112" s="13">
        <v>42769.691643518519</v>
      </c>
      <c r="J112" s="7">
        <v>0</v>
      </c>
      <c r="K112" s="98" t="str">
        <f t="shared" si="55"/>
        <v>4025/4026</v>
      </c>
      <c r="L112" s="21" t="str">
        <f>VLOOKUP(A112,'Trips&amp;Operators'!$C$1:$G$99999,5,FALSE)</f>
        <v>BRANNON JEFFREY</v>
      </c>
      <c r="M112" s="6">
        <f t="shared" si="56"/>
        <v>2.379629630013369E-2</v>
      </c>
      <c r="N112" s="7">
        <f t="shared" si="57"/>
        <v>34.266666672192514</v>
      </c>
      <c r="O112" s="7"/>
      <c r="P112" s="7"/>
      <c r="Q112" s="22"/>
      <c r="R112" s="22"/>
      <c r="S112" s="31">
        <f t="shared" si="58"/>
        <v>1</v>
      </c>
      <c r="T112" s="46" t="str">
        <f t="shared" si="59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60"/>
        <v>https://d0f6bd738d7f1b3e5a7ca70fe4ff75f0.us-east-1.aws.found.io/app/kibana#/discover/Steve-Slow-Train-Analysis-(2080s-and-2083s)?_g=(refreshInterval:(display:Off,pause:!f,section:0,value:0),time:(from:'2017-02-03T14:52:39-0700',mode:absolute,to:'2017-02-03T17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2" s="192" t="str">
        <f t="shared" si="61"/>
        <v>N</v>
      </c>
      <c r="X112" s="192">
        <f t="shared" si="62"/>
        <v>1</v>
      </c>
      <c r="Y112" s="62">
        <f t="shared" si="63"/>
        <v>4.53E-2</v>
      </c>
      <c r="Z112" s="62">
        <f t="shared" si="64"/>
        <v>23.33</v>
      </c>
      <c r="AA112" s="62">
        <f t="shared" si="65"/>
        <v>23.284699999999997</v>
      </c>
      <c r="AB112" s="59" t="e">
        <f>VLOOKUP(A112,Enforcements!$C$7:$K$16,8,0)</f>
        <v>#N/A</v>
      </c>
      <c r="AC112" s="55" t="e">
        <f>VLOOKUP(A112,Enforcements!$C$7:$E$16,3,0)</f>
        <v>#N/A</v>
      </c>
      <c r="AD112" s="56" t="str">
        <f t="shared" si="66"/>
        <v>0199-03</v>
      </c>
      <c r="AE112" s="85" t="str">
        <f t="shared" si="67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112" s="82" t="str">
        <f t="shared" si="68"/>
        <v>"C:\Program Files (x86)\AstroGrep\AstroGrep.exe" /spath="%USERPROFILE%\AppData\Local\Temp\OnboardLogs" /stypes="app*4025*20170203*" /stext=" 23:.+((SYSTEM_STATE.+slice.+state.+changed )|(ment ac)|(multiple cpu faults)|(system.+state.+changed )|(\[timeout)|(PRM\|1\|D)|(kpr)|(kdp)|(\|lc)|(penalty))" /e /r /s</v>
      </c>
      <c r="AG112" s="1" t="str">
        <f t="shared" si="69"/>
        <v>EC</v>
      </c>
      <c r="AH112" s="86" t="str">
        <f t="shared" si="70"/>
        <v>"%USERPROFILE%\Documents\GitHub\eaglep3\Utilities\RefineRTDCRunTimes.py" --tripid 199-03 --locoid 4025 --swversion DE.1.0.8.0 --startMP 204:453 --initTime 2017-02-03T15:52:39 --startdatetime 2017-02-03T16:01:42 --delay 1 --endMP 204:233300 --enddatetime 2017-02-03T16:35:58 --enforcementcount 0 &gt;&gt;C:\Users\stu\Documents\GitHub\eaglep3-reporting\EC\2017-02-03-refined-times.txt</v>
      </c>
      <c r="AI112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{"issue":{"subject":"","project_id":79,"tracker_id":40,"status_id":1,"priority_id":2,"assigned_to_id":23,"start_date":"2017-02-03","description":"","custom_fields":[{"id":1,"name":"Subdivision","value":"EC"},{"id":4,"name":"Milepost","value":"23.33"},{"id":17,"name":"Train ID","value":"199-03"},{"id":16,"name":"Locomotive ID","value":"4025"},{"id":130,"name":"Impact","value":""},{"id":150,"name":"Time of Event (Mountain Time)","value":"16:35:58"},{"id":151,"name":"Denver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8" t="str">
        <f t="shared" si="72"/>
        <v>start /low /b %USERPROFILE%\Documents\GitHub\eaglep3\Utilities\DownloadLogsFromS3.py --loco 4025 --day 2017-02-03</v>
      </c>
      <c r="AN112" s="167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"%USERPROFILE%\AppData\Local\Temp\OnboardLogs"\RTDC4025\*4025*20170203* | grep -SE "(Enforcement Action)|(\[TIMEOUT)|(CHR.+\|PRM\|1\|D.+(SWITCH|SIGNAL).+UNKNOWN)" - &gt;&gt; 2017-02-03-UncaughtWiMAX.txt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547</v>
      </c>
      <c r="B113" s="7">
        <v>4026</v>
      </c>
      <c r="C113" s="21" t="s">
        <v>193</v>
      </c>
      <c r="D113" s="21" t="s">
        <v>334</v>
      </c>
      <c r="E113" s="13">
        <v>42769.692650462966</v>
      </c>
      <c r="F113" s="13">
        <v>42769.705706018518</v>
      </c>
      <c r="G113" s="7">
        <v>1</v>
      </c>
      <c r="H113" s="21" t="s">
        <v>237</v>
      </c>
      <c r="I113" s="13">
        <v>42769.732465277775</v>
      </c>
      <c r="J113" s="7">
        <v>1</v>
      </c>
      <c r="K113" s="98" t="str">
        <f t="shared" si="55"/>
        <v>4025/4026</v>
      </c>
      <c r="L113" s="21" t="str">
        <f>VLOOKUP(A113,'Trips&amp;Operators'!$C$1:$G$99999,5,FALSE)</f>
        <v>BRANNON JEFFREY</v>
      </c>
      <c r="M113" s="6">
        <f t="shared" si="56"/>
        <v>2.675925925723277E-2</v>
      </c>
      <c r="N113" s="7">
        <f t="shared" si="57"/>
        <v>38.533333330415189</v>
      </c>
      <c r="O113" s="7"/>
      <c r="P113" s="7"/>
      <c r="Q113" s="22"/>
      <c r="R113" s="22"/>
      <c r="S113" s="31">
        <f t="shared" si="58"/>
        <v>1</v>
      </c>
      <c r="T113" s="46" t="str">
        <f t="shared" si="59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60"/>
        <v>https://d0f6bd738d7f1b3e5a7ca70fe4ff75f0.us-east-1.aws.found.io/app/kibana#/discover/Steve-Slow-Train-Analysis-(2080s-and-2083s)?_g=(refreshInterval:(display:Off,pause:!f,section:0,value:0),time:(from:'2017-02-03T15:37:25-0700',mode:absolute,to:'2017-02-03T18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192" t="str">
        <f t="shared" si="61"/>
        <v>N</v>
      </c>
      <c r="X113" s="192">
        <f t="shared" si="62"/>
        <v>1</v>
      </c>
      <c r="Y113" s="62">
        <f t="shared" si="63"/>
        <v>23.298100000000002</v>
      </c>
      <c r="Z113" s="62">
        <f t="shared" si="64"/>
        <v>1.43E-2</v>
      </c>
      <c r="AA113" s="62">
        <f t="shared" si="65"/>
        <v>23.283800000000003</v>
      </c>
      <c r="AB113" s="59" t="str">
        <f>VLOOKUP(A113,Enforcements!$C$7:$K$16,8,0)</f>
        <v>Bulletin (2)</v>
      </c>
      <c r="AC113" s="55" t="str">
        <f>VLOOKUP(A113,Enforcements!$C$7:$E$16,3,0)</f>
        <v>GRADE CROSSING</v>
      </c>
      <c r="AD113" s="56" t="str">
        <f t="shared" si="66"/>
        <v>0200-03</v>
      </c>
      <c r="AE113" s="85" t="str">
        <f t="shared" si="67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113" s="82" t="str">
        <f t="shared" si="68"/>
        <v>"C:\Program Files (x86)\AstroGrep\AstroGrep.exe" /spath="%USERPROFILE%\AppData\Local\Temp\OnboardLogs" /stypes="app*4026*20170204*" /stext=" 00:.+((SYSTEM_STATE.+slice.+state.+changed )|(ment ac)|(multiple cpu faults)|(system.+state.+changed )|(\[timeout)|(PRM\|1\|D)|(kpr)|(kdp)|(\|lc)|(penalty))" /e /r /s</v>
      </c>
      <c r="AG113" s="1" t="str">
        <f t="shared" si="69"/>
        <v>EC</v>
      </c>
      <c r="AH113" s="86" t="str">
        <f t="shared" si="70"/>
        <v>"%USERPROFILE%\Documents\GitHub\eaglep3\Utilities\RefineRTDCRunTimes.py" --tripid 200-03 --locoid 4026 --swversion DE.1.0.8.0 --startMP 204:232981 --initTime 2017-02-03T16:37:25 --startdatetime 2017-02-03T16:56:13 --delay 1 --endMP 204:143 --enddatetime 2017-02-03T17:34:45 --enforcementcount 1 &gt;&gt;C:\Users\stu\Documents\GitHub\eaglep3-reporting\EC\2017-02-03-refined-times.txt</v>
      </c>
      <c r="AI113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{"issue":{"subject":"","project_id":79,"tracker_id":40,"status_id":1,"priority_id":2,"assigned_to_id":23,"start_date":"2017-02-03","description":"","custom_fields":[{"id":1,"name":"Subdivision","value":"EC"},{"id":4,"name":"Milepost","value":"0.0143"},{"id":17,"name":"Train ID","value":"200-03"},{"id":16,"name":"Locomotive ID","value":"4026"},{"id":130,"name":"Impact","value":""},{"id":150,"name":"Time of Event (Mountain Time)","value":"17:34:45"},{"id":151,"name":"Denver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8" t="str">
        <f t="shared" si="72"/>
        <v>start /low /b %USERPROFILE%\Documents\GitHub\eaglep3\Utilities\DownloadLogsFromS3.py --loco 4026 --day 2017-02-03</v>
      </c>
      <c r="AN113" s="167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"%USERPROFILE%\AppData\Local\Temp\OnboardLogs"\RTDC4026\*4026*20170204* | grep -SE "(Enforcement Action)|(\[TIMEOUT)|(CHR.+\|PRM\|1\|D.+(SWITCH|SIGNAL).+UNKNOWN)" - &gt;&gt; 2017-02-03-UncaughtWiMAX.txt</v>
      </c>
    </row>
    <row r="114" spans="1:91" s="20" customFormat="1" x14ac:dyDescent="0.25">
      <c r="A114" s="33" t="s">
        <v>691</v>
      </c>
      <c r="B114" s="7">
        <v>4003</v>
      </c>
      <c r="C114" s="21" t="s">
        <v>193</v>
      </c>
      <c r="D114" s="21" t="s">
        <v>276</v>
      </c>
      <c r="E114" s="13">
        <v>42769.672662037039</v>
      </c>
      <c r="F114" s="13">
        <v>42769.677314814813</v>
      </c>
      <c r="G114" s="7">
        <v>1</v>
      </c>
      <c r="H114" s="21" t="s">
        <v>335</v>
      </c>
      <c r="I114" s="13">
        <v>42769.701898148145</v>
      </c>
      <c r="J114" s="7">
        <v>0</v>
      </c>
      <c r="K114" s="98" t="str">
        <f t="shared" si="55"/>
        <v>4003/4004</v>
      </c>
      <c r="L114" s="21" t="str">
        <f>VLOOKUP(A114,'Trips&amp;Operators'!$C$1:$G$99999,5,FALSE)</f>
        <v>STEWART MICHAEL</v>
      </c>
      <c r="M114" s="6">
        <f t="shared" si="56"/>
        <v>2.4583333331975155E-2</v>
      </c>
      <c r="N114" s="7">
        <f t="shared" si="57"/>
        <v>35.399999998044223</v>
      </c>
      <c r="O114" s="7"/>
      <c r="P114" s="7"/>
      <c r="Q114" s="22"/>
      <c r="R114" s="22"/>
      <c r="S114" s="31">
        <f t="shared" si="58"/>
        <v>1</v>
      </c>
      <c r="T114" s="46" t="str">
        <f t="shared" si="59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60"/>
        <v>https://d0f6bd738d7f1b3e5a7ca70fe4ff75f0.us-east-1.aws.found.io/app/kibana#/discover/Steve-Slow-Train-Analysis-(2080s-and-2083s)?_g=(refreshInterval:(display:Off,pause:!f,section:0,value:0),time:(from:'2017-02-03T15:08:38-0700',mode:absolute,to:'2017-02-03T17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4" s="192" t="str">
        <f t="shared" si="61"/>
        <v>N</v>
      </c>
      <c r="X114" s="192">
        <f t="shared" si="62"/>
        <v>1</v>
      </c>
      <c r="Y114" s="62">
        <f t="shared" si="63"/>
        <v>4.7100000000000003E-2</v>
      </c>
      <c r="Z114" s="62">
        <f t="shared" si="64"/>
        <v>23.3309</v>
      </c>
      <c r="AA114" s="62">
        <f t="shared" si="65"/>
        <v>23.283799999999999</v>
      </c>
      <c r="AB114" s="59" t="e">
        <f>VLOOKUP(A114,Enforcements!$C$7:$K$16,8,0)</f>
        <v>#N/A</v>
      </c>
      <c r="AC114" s="55" t="e">
        <f>VLOOKUP(A114,Enforcements!$C$7:$E$16,3,0)</f>
        <v>#N/A</v>
      </c>
      <c r="AD114" s="56" t="str">
        <f t="shared" si="66"/>
        <v>0201-03</v>
      </c>
      <c r="AE114" s="85" t="str">
        <f t="shared" si="67"/>
        <v>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 &amp; 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</v>
      </c>
      <c r="AF114" s="82" t="str">
        <f t="shared" si="68"/>
        <v>"C:\Program Files (x86)\AstroGrep\AstroGrep.exe" /spath="%USERPROFILE%\AppData\Local\Temp\OnboardLogs" /stypes="app*4003*20170203*" /stext=" 23:.+((SYSTEM_STATE.+slice.+state.+changed )|(ment ac)|(multiple cpu faults)|(system.+state.+changed )|(\[timeout)|(PRM\|1\|D)|(kpr)|(kdp)|(\|lc)|(penalty))" /e /r /s</v>
      </c>
      <c r="AG114" s="1" t="str">
        <f t="shared" si="69"/>
        <v>EC</v>
      </c>
      <c r="AH114" s="86" t="str">
        <f t="shared" si="70"/>
        <v>"%USERPROFILE%\Documents\GitHub\eaglep3\Utilities\RefineRTDCRunTimes.py" --tripid 201-03 --locoid 4003 --swversion DE.1.0.8.0 --startMP 204:471 --initTime 2017-02-03T16:08:38 --startdatetime 2017-02-03T16:15:20 --delay 1 --endMP 204:233309 --enddatetime 2017-02-03T16:50:44 --enforcementcount 0 &gt;&gt;C:\Users\stu\Documents\GitHub\eaglep3-reporting\EC\2017-02-03-refined-times.txt</v>
      </c>
      <c r="AI114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{"issue":{"subject":"","project_id":79,"tracker_id":40,"status_id":1,"priority_id":2,"assigned_to_id":23,"start_date":"2017-02-03","description":"","custom_fields":[{"id":1,"name":"Subdivision","value":"EC"},{"id":4,"name":"Milepost","value":"23.3309"},{"id":17,"name":"Train ID","value":"201-03"},{"id":16,"name":"Locomotive ID","value":"4003"},{"id":130,"name":"Impact","value":""},{"id":150,"name":"Time of Event (Mountain Time)","value":"16:50:44"},{"id":151,"name":"Denver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8" t="str">
        <f t="shared" si="72"/>
        <v>start /low /b %USERPROFILE%\Documents\GitHub\eaglep3\Utilities\DownloadLogsFromS3.py --loco 4003 --day 2017-02-03</v>
      </c>
      <c r="AN114" s="167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700</v>
      </c>
      <c r="B115" s="7">
        <v>4004</v>
      </c>
      <c r="C115" s="21" t="s">
        <v>193</v>
      </c>
      <c r="D115" s="21" t="s">
        <v>331</v>
      </c>
      <c r="E115" s="13">
        <v>42769.711724537039</v>
      </c>
      <c r="F115" s="13">
        <v>42769.716296296298</v>
      </c>
      <c r="G115" s="7">
        <v>1</v>
      </c>
      <c r="H115" s="21" t="s">
        <v>208</v>
      </c>
      <c r="I115" s="13">
        <v>42769.743067129632</v>
      </c>
      <c r="J115" s="7">
        <v>0</v>
      </c>
      <c r="K115" s="98" t="str">
        <f t="shared" si="55"/>
        <v>4003/4004</v>
      </c>
      <c r="L115" s="21" t="str">
        <f>VLOOKUP(A115,'Trips&amp;Operators'!$C$1:$G$99999,5,FALSE)</f>
        <v>STEWART MICHAEL</v>
      </c>
      <c r="M115" s="6">
        <f t="shared" si="56"/>
        <v>2.6770833334012423E-2</v>
      </c>
      <c r="N115" s="7">
        <f t="shared" si="57"/>
        <v>38.550000000977889</v>
      </c>
      <c r="O115" s="7"/>
      <c r="P115" s="7"/>
      <c r="Q115" s="22"/>
      <c r="R115" s="22"/>
      <c r="S115" s="31">
        <f t="shared" si="58"/>
        <v>1</v>
      </c>
      <c r="T115" s="46" t="str">
        <f t="shared" si="59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60"/>
        <v>https://d0f6bd738d7f1b3e5a7ca70fe4ff75f0.us-east-1.aws.found.io/app/kibana#/discover/Steve-Slow-Train-Analysis-(2080s-and-2083s)?_g=(refreshInterval:(display:Off,pause:!f,section:0,value:0),time:(from:'2017-02-03T16:04:53-0700',mode:absolute,to:'2017-02-03T18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5" s="192" t="str">
        <f t="shared" si="61"/>
        <v>N</v>
      </c>
      <c r="X115" s="192">
        <f t="shared" si="62"/>
        <v>1</v>
      </c>
      <c r="Y115" s="62">
        <f t="shared" si="63"/>
        <v>23.297699999999999</v>
      </c>
      <c r="Z115" s="62">
        <f t="shared" si="64"/>
        <v>1.6E-2</v>
      </c>
      <c r="AA115" s="62">
        <f t="shared" si="65"/>
        <v>23.281700000000001</v>
      </c>
      <c r="AB115" s="59" t="e">
        <f>VLOOKUP(A115,Enforcements!$C$7:$K$16,8,0)</f>
        <v>#N/A</v>
      </c>
      <c r="AC115" s="55" t="e">
        <f>VLOOKUP(A115,Enforcements!$C$7:$E$16,3,0)</f>
        <v>#N/A</v>
      </c>
      <c r="AD115" s="56" t="str">
        <f t="shared" si="66"/>
        <v>0202-03</v>
      </c>
      <c r="AE115" s="85" t="str">
        <f t="shared" si="67"/>
        <v>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 &amp; 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</v>
      </c>
      <c r="AF115" s="82" t="str">
        <f t="shared" si="68"/>
        <v>"C:\Program Files (x86)\AstroGrep\AstroGrep.exe" /spath="%USERPROFILE%\AppData\Local\Temp\OnboardLogs" /stypes="app*4004*20170204*" /stext=" 00:.+((SYSTEM_STATE.+slice.+state.+changed )|(ment ac)|(multiple cpu faults)|(system.+state.+changed )|(\[timeout)|(PRM\|1\|D)|(kpr)|(kdp)|(\|lc)|(penalty))" /e /r /s</v>
      </c>
      <c r="AG115" s="1" t="str">
        <f t="shared" si="69"/>
        <v>EC</v>
      </c>
      <c r="AH115" s="86" t="str">
        <f t="shared" si="70"/>
        <v>"%USERPROFILE%\Documents\GitHub\eaglep3\Utilities\RefineRTDCRunTimes.py" --tripid 202-03 --locoid 4004 --swversion DE.1.0.8.0 --startMP 204:232977 --initTime 2017-02-03T17:04:53 --startdatetime 2017-02-03T17:11:28 --delay 1 --endMP 204:160 --enddatetime 2017-02-03T17:50:01 --enforcementcount 0 &gt;&gt;C:\Users\stu\Documents\GitHub\eaglep3-reporting\EC\2017-02-03-refined-times.txt</v>
      </c>
      <c r="AI115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{"issue":{"subject":"","project_id":79,"tracker_id":40,"status_id":1,"priority_id":2,"assigned_to_id":23,"start_date":"2017-02-03","description":"","custom_fields":[{"id":1,"name":"Subdivision","value":"EC"},{"id":4,"name":"Milepost","value":"0.016"},{"id":17,"name":"Train ID","value":"202-03"},{"id":16,"name":"Locomotive ID","value":"4004"},{"id":130,"name":"Impact","value":""},{"id":150,"name":"Time of Event (Mountain Time)","value":"17:50:01"},{"id":151,"name":"Denver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8" t="str">
        <f t="shared" si="72"/>
        <v>start /low /b %USERPROFILE%\Documents\GitHub\eaglep3\Utilities\DownloadLogsFromS3.py --loco 4004 --day 2017-02-03</v>
      </c>
      <c r="AN115" s="167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2017-02-03-UncaughtWiMAX.txt</v>
      </c>
    </row>
    <row r="116" spans="1:91" s="20" customFormat="1" x14ac:dyDescent="0.25">
      <c r="A116" s="33" t="s">
        <v>694</v>
      </c>
      <c r="B116" s="7">
        <v>4031</v>
      </c>
      <c r="C116" s="21" t="s">
        <v>193</v>
      </c>
      <c r="D116" s="21" t="s">
        <v>371</v>
      </c>
      <c r="E116" s="13">
        <v>42769.682314814818</v>
      </c>
      <c r="F116" s="13">
        <v>42769.687800925924</v>
      </c>
      <c r="G116" s="7">
        <v>1</v>
      </c>
      <c r="H116" s="21" t="s">
        <v>406</v>
      </c>
      <c r="I116" s="13">
        <v>42769.713217592594</v>
      </c>
      <c r="J116" s="7">
        <v>0</v>
      </c>
      <c r="K116" s="98" t="str">
        <f t="shared" si="55"/>
        <v>4031/4032</v>
      </c>
      <c r="L116" s="21" t="str">
        <f>VLOOKUP(A116,'Trips&amp;Operators'!$C$1:$G$99999,5,FALSE)</f>
        <v>DE LA ROSA ALEX</v>
      </c>
      <c r="M116" s="6">
        <f t="shared" si="56"/>
        <v>2.5416666670935228E-2</v>
      </c>
      <c r="N116" s="7">
        <f t="shared" si="57"/>
        <v>36.600000006146729</v>
      </c>
      <c r="O116" s="7"/>
      <c r="P116" s="7"/>
      <c r="Q116" s="22"/>
      <c r="R116" s="22"/>
      <c r="S116" s="31">
        <f t="shared" si="58"/>
        <v>1</v>
      </c>
      <c r="T116" s="46" t="str">
        <f t="shared" si="59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60"/>
        <v>https://d0f6bd738d7f1b3e5a7ca70fe4ff75f0.us-east-1.aws.found.io/app/kibana#/discover/Steve-Slow-Train-Analysis-(2080s-and-2083s)?_g=(refreshInterval:(display:Off,pause:!f,section:0,value:0),time:(from:'2017-02-03T15:22:32-0700',mode:absolute,to:'2017-02-03T18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92" t="str">
        <f t="shared" si="61"/>
        <v>N</v>
      </c>
      <c r="X116" s="192">
        <f t="shared" si="62"/>
        <v>1</v>
      </c>
      <c r="Y116" s="62">
        <f t="shared" si="63"/>
        <v>4.4400000000000002E-2</v>
      </c>
      <c r="Z116" s="62">
        <f t="shared" si="64"/>
        <v>23.331</v>
      </c>
      <c r="AA116" s="62">
        <f t="shared" si="65"/>
        <v>23.2866</v>
      </c>
      <c r="AB116" s="59" t="e">
        <f>VLOOKUP(A116,Enforcements!$C$7:$K$16,8,0)</f>
        <v>#N/A</v>
      </c>
      <c r="AC116" s="55" t="e">
        <f>VLOOKUP(A116,Enforcements!$C$7:$E$16,3,0)</f>
        <v>#N/A</v>
      </c>
      <c r="AD116" s="56" t="str">
        <f t="shared" si="66"/>
        <v>0203-03</v>
      </c>
      <c r="AE116" s="85" t="str">
        <f t="shared" si="67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116" s="82" t="str">
        <f t="shared" si="68"/>
        <v>"C:\Program Files (x86)\AstroGrep\AstroGrep.exe" /spath="%USERPROFILE%\AppData\Local\Temp\OnboardLogs" /stypes="app*4031*20170204*" /stext=" 00:.+((SYSTEM_STATE.+slice.+state.+changed )|(ment ac)|(multiple cpu faults)|(system.+state.+changed )|(\[timeout)|(PRM\|1\|D)|(kpr)|(kdp)|(\|lc)|(penalty))" /e /r /s</v>
      </c>
      <c r="AG116" s="1" t="str">
        <f t="shared" si="69"/>
        <v>EC</v>
      </c>
      <c r="AH116" s="86" t="str">
        <f t="shared" si="70"/>
        <v>"%USERPROFILE%\Documents\GitHub\eaglep3\Utilities\RefineRTDCRunTimes.py" --tripid 203-03 --locoid 4031 --swversion DE.1.0.8.0 --startMP 204:444 --initTime 2017-02-03T16:22:32 --startdatetime 2017-02-03T16:30:26 --delay 1 --endMP 204:233310 --enddatetime 2017-02-03T17:07:02 --enforcementcount 0 &gt;&gt;C:\Users\stu\Documents\GitHub\eaglep3-reporting\EC\2017-02-03-refined-times.txt</v>
      </c>
      <c r="AI116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{"issue":{"subject":"","project_id":79,"tracker_id":40,"status_id":1,"priority_id":2,"assigned_to_id":23,"start_date":"2017-02-03","description":"","custom_fields":[{"id":1,"name":"Subdivision","value":"EC"},{"id":4,"name":"Milepost","value":"23.331"},{"id":17,"name":"Train ID","value":"203-03"},{"id":16,"name":"Locomotive ID","value":"4031"},{"id":130,"name":"Impact","value":""},{"id":150,"name":"Time of Event (Mountain Time)","value":"17:07:02"},{"id":151,"name":"Denver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8" t="str">
        <f t="shared" si="72"/>
        <v>start /low /b %USERPROFILE%\Documents\GitHub\eaglep3\Utilities\DownloadLogsFromS3.py --loco 4031 --day 2017-02-03</v>
      </c>
      <c r="AN116" s="167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"%USERPROFILE%\AppData\Local\Temp\OnboardLogs"\RTDC4031\*4031*20170203* | grep -SE "(Enforcement Action)|(\[TIMEOUT)|(CHR.+\|PRM\|1\|D.+(SWITCH|SIGNAL).+UNKNOWN)" - &gt;&gt; 2017-02-03-UncaughtWiMAX.txt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704</v>
      </c>
      <c r="B117" s="7">
        <v>4032</v>
      </c>
      <c r="C117" s="21" t="s">
        <v>193</v>
      </c>
      <c r="D117" s="21" t="s">
        <v>420</v>
      </c>
      <c r="E117" s="13">
        <v>42769.723287037035</v>
      </c>
      <c r="F117" s="13">
        <v>42769.726678240739</v>
      </c>
      <c r="G117" s="7">
        <v>1</v>
      </c>
      <c r="H117" s="21" t="s">
        <v>212</v>
      </c>
      <c r="I117" s="13">
        <v>42769.754293981481</v>
      </c>
      <c r="J117" s="7">
        <v>0</v>
      </c>
      <c r="K117" s="98" t="str">
        <f t="shared" si="55"/>
        <v>4031/4032</v>
      </c>
      <c r="L117" s="21" t="str">
        <f>VLOOKUP(A117,'Trips&amp;Operators'!$C$1:$G$99999,5,FALSE)</f>
        <v>DE LA ROSA ALEX</v>
      </c>
      <c r="M117" s="6">
        <f t="shared" si="56"/>
        <v>2.7615740742476191E-2</v>
      </c>
      <c r="N117" s="7">
        <f t="shared" si="57"/>
        <v>39.766666669165716</v>
      </c>
      <c r="O117" s="7"/>
      <c r="P117" s="7"/>
      <c r="Q117" s="22"/>
      <c r="R117" s="22"/>
      <c r="S117" s="31">
        <f t="shared" si="58"/>
        <v>1</v>
      </c>
      <c r="T117" s="46" t="str">
        <f t="shared" si="59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60"/>
        <v>https://d0f6bd738d7f1b3e5a7ca70fe4ff75f0.us-east-1.aws.found.io/app/kibana#/discover/Steve-Slow-Train-Analysis-(2080s-and-2083s)?_g=(refreshInterval:(display:Off,pause:!f,section:0,value:0),time:(from:'2017-02-03T16:21:32-0700',mode:absolute,to:'2017-02-03T19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192" t="str">
        <f t="shared" si="61"/>
        <v>N</v>
      </c>
      <c r="X117" s="192">
        <f t="shared" si="62"/>
        <v>1</v>
      </c>
      <c r="Y117" s="62">
        <f t="shared" si="63"/>
        <v>23.2987</v>
      </c>
      <c r="Z117" s="62">
        <f t="shared" si="64"/>
        <v>1.52E-2</v>
      </c>
      <c r="AA117" s="62">
        <f t="shared" si="65"/>
        <v>23.2835</v>
      </c>
      <c r="AB117" s="59" t="e">
        <f>VLOOKUP(A117,Enforcements!$C$7:$K$16,8,0)</f>
        <v>#N/A</v>
      </c>
      <c r="AC117" s="55" t="e">
        <f>VLOOKUP(A117,Enforcements!$C$7:$E$16,3,0)</f>
        <v>#N/A</v>
      </c>
      <c r="AD117" s="56" t="str">
        <f t="shared" si="66"/>
        <v>0204-03</v>
      </c>
      <c r="AE117" s="85" t="str">
        <f t="shared" si="67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117" s="82" t="str">
        <f t="shared" si="68"/>
        <v>"C:\Program Files (x86)\AstroGrep\AstroGrep.exe" /spath="%USERPROFILE%\AppData\Local\Temp\OnboardLogs" /stypes="app*4032*20170204*" /stext=" 01:.+((SYSTEM_STATE.+slice.+state.+changed )|(ment ac)|(multiple cpu faults)|(system.+state.+changed )|(\[timeout)|(PRM\|1\|D)|(kpr)|(kdp)|(\|lc)|(penalty))" /e /r /s</v>
      </c>
      <c r="AG117" s="1" t="str">
        <f t="shared" si="69"/>
        <v>EC</v>
      </c>
      <c r="AH117" s="86" t="str">
        <f t="shared" si="70"/>
        <v>"%USERPROFILE%\Documents\GitHub\eaglep3\Utilities\RefineRTDCRunTimes.py" --tripid 204-03 --locoid 4032 --swversion DE.1.0.8.0 --startMP 204:232987 --initTime 2017-02-03T17:21:32 --startdatetime 2017-02-03T17:26:25 --delay 1 --endMP 204:152 --enddatetime 2017-02-03T18:06:11 --enforcementcount 0 &gt;&gt;C:\Users\stu\Documents\GitHub\eaglep3-reporting\EC\2017-02-03-refined-times.txt</v>
      </c>
      <c r="AI117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{"issue":{"subject":"","project_id":79,"tracker_id":40,"status_id":1,"priority_id":2,"assigned_to_id":23,"start_date":"2017-02-03","description":"","custom_fields":[{"id":1,"name":"Subdivision","value":"EC"},{"id":4,"name":"Milepost","value":"0.0152"},{"id":17,"name":"Train ID","value":"204-03"},{"id":16,"name":"Locomotive ID","value":"4032"},{"id":130,"name":"Impact","value":""},{"id":150,"name":"Time of Event (Mountain Time)","value":"18:06:11"},{"id":151,"name":"Denver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8" t="str">
        <f t="shared" si="72"/>
        <v>start /low /b %USERPROFILE%\Documents\GitHub\eaglep3\Utilities\DownloadLogsFromS3.py --loco 4032 --day 2017-02-03</v>
      </c>
      <c r="AN117" s="167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"%USERPROFILE%\AppData\Local\Temp\OnboardLogs"\RTDC4032\*4032*20170204* | grep -SE "(Enforcement Action)|(\[TIMEOUT)|(CHR.+\|PRM\|1\|D.+(SWITCH|SIGNAL).+UNKNOWN)" - &gt;&gt; 2017-02-03-UncaughtWiMAX.txt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698</v>
      </c>
      <c r="B118" s="7">
        <v>4022</v>
      </c>
      <c r="C118" s="21" t="s">
        <v>193</v>
      </c>
      <c r="D118" s="21" t="s">
        <v>813</v>
      </c>
      <c r="E118" s="13">
        <v>42769.694085648145</v>
      </c>
      <c r="F118" s="13">
        <v>42769.698113425926</v>
      </c>
      <c r="G118" s="7">
        <v>1</v>
      </c>
      <c r="H118" s="21" t="s">
        <v>289</v>
      </c>
      <c r="I118" s="13">
        <v>42769.724097222221</v>
      </c>
      <c r="J118" s="7">
        <v>0</v>
      </c>
      <c r="K118" s="98" t="str">
        <f t="shared" si="55"/>
        <v>4021/4022</v>
      </c>
      <c r="L118" s="21" t="str">
        <f>VLOOKUP(A118,'Trips&amp;Operators'!$C$1:$G$99999,5,FALSE)</f>
        <v>CLARK KATHLEEN</v>
      </c>
      <c r="M118" s="6">
        <f t="shared" si="56"/>
        <v>2.5983796294895001E-2</v>
      </c>
      <c r="N118" s="7">
        <f t="shared" si="57"/>
        <v>37.416666664648801</v>
      </c>
      <c r="O118" s="7"/>
      <c r="P118" s="7"/>
      <c r="Q118" s="22"/>
      <c r="R118" s="22"/>
      <c r="S118" s="31">
        <f t="shared" si="58"/>
        <v>1</v>
      </c>
      <c r="T118" s="46" t="str">
        <f t="shared" si="59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60"/>
        <v>https://d0f6bd738d7f1b3e5a7ca70fe4ff75f0.us-east-1.aws.found.io/app/kibana#/discover/Steve-Slow-Train-Analysis-(2080s-and-2083s)?_g=(refreshInterval:(display:Off,pause:!f,section:0,value:0),time:(from:'2017-02-03T15:39:29-0700',mode:absolute,to:'2017-02-03T18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8" s="192" t="str">
        <f t="shared" si="61"/>
        <v>N</v>
      </c>
      <c r="X118" s="192">
        <f t="shared" si="62"/>
        <v>1</v>
      </c>
      <c r="Y118" s="62">
        <f t="shared" si="63"/>
        <v>5.11E-2</v>
      </c>
      <c r="Z118" s="62">
        <f t="shared" si="64"/>
        <v>23.3307</v>
      </c>
      <c r="AA118" s="62">
        <f t="shared" si="65"/>
        <v>23.279599999999999</v>
      </c>
      <c r="AB118" s="59" t="e">
        <f>VLOOKUP(A118,Enforcements!$C$7:$K$16,8,0)</f>
        <v>#N/A</v>
      </c>
      <c r="AC118" s="55" t="e">
        <f>VLOOKUP(A118,Enforcements!$C$7:$E$16,3,0)</f>
        <v>#N/A</v>
      </c>
      <c r="AD118" s="56" t="str">
        <f t="shared" si="66"/>
        <v>0205-03</v>
      </c>
      <c r="AE118" s="85" t="str">
        <f t="shared" si="67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118" s="82" t="str">
        <f t="shared" si="68"/>
        <v>"C:\Program Files (x86)\AstroGrep\AstroGrep.exe" /spath="%USERPROFILE%\AppData\Local\Temp\OnboardLogs" /stypes="app*4022*20170204*" /stext=" 00:.+((SYSTEM_STATE.+slice.+state.+changed )|(ment ac)|(multiple cpu faults)|(system.+state.+changed )|(\[timeout)|(PRM\|1\|D)|(kpr)|(kdp)|(\|lc)|(penalty))" /e /r /s</v>
      </c>
      <c r="AG118" s="1" t="str">
        <f t="shared" si="69"/>
        <v>EC</v>
      </c>
      <c r="AH118" s="86" t="str">
        <f t="shared" si="70"/>
        <v>"%USERPROFILE%\Documents\GitHub\eaglep3\Utilities\RefineRTDCRunTimes.py" --tripid 205-03 --locoid 4022 --swversion DE.1.0.8.0 --startMP 204:511 --initTime 2017-02-03T16:39:29 --startdatetime 2017-02-03T16:45:17 --delay 1 --endMP 204:233307 --enddatetime 2017-02-03T17:22:42 --enforcementcount 0 &gt;&gt;C:\Users\stu\Documents\GitHub\eaglep3-reporting\EC\2017-02-03-refined-times.txt</v>
      </c>
      <c r="AI118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{"issue":{"subject":"","project_id":79,"tracker_id":40,"status_id":1,"priority_id":2,"assigned_to_id":23,"start_date":"2017-02-03","description":"","custom_fields":[{"id":1,"name":"Subdivision","value":"EC"},{"id":4,"name":"Milepost","value":"23.3307"},{"id":17,"name":"Train ID","value":"205-03"},{"id":16,"name":"Locomotive ID","value":"4022"},{"id":130,"name":"Impact","value":""},{"id":150,"name":"Time of Event (Mountain Time)","value":"17:22:42"},{"id":151,"name":"Denver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8" t="str">
        <f t="shared" si="72"/>
        <v>start /low /b %USERPROFILE%\Documents\GitHub\eaglep3\Utilities\DownloadLogsFromS3.py --loco 4022 --day 2017-02-03</v>
      </c>
      <c r="AN118" s="167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"%USERPROFILE%\AppData\Local\Temp\OnboardLogs"\RTDC4022\*4022*20170204* | grep -SE "(Enforcement Action)|(\[TIMEOUT)|(CHR.+\|PRM\|1\|D.+(SWITCH|SIGNAL).+UNKNOWN)" - &gt;&gt; 2017-02-03-UncaughtWiMAX.txt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706</v>
      </c>
      <c r="B119" s="7">
        <v>4021</v>
      </c>
      <c r="C119" s="21" t="s">
        <v>193</v>
      </c>
      <c r="D119" s="21" t="s">
        <v>369</v>
      </c>
      <c r="E119" s="13">
        <v>42769.729710648149</v>
      </c>
      <c r="F119" s="13">
        <v>42769.73704861111</v>
      </c>
      <c r="G119" s="7">
        <v>1</v>
      </c>
      <c r="H119" s="21" t="s">
        <v>789</v>
      </c>
      <c r="I119" s="13">
        <v>42769.769490740742</v>
      </c>
      <c r="J119" s="7">
        <v>0</v>
      </c>
      <c r="K119" s="98" t="str">
        <f t="shared" si="55"/>
        <v>4021/4022</v>
      </c>
      <c r="L119" s="21" t="str">
        <f>VLOOKUP(A119,'Trips&amp;Operators'!$C$1:$G$99999,5,FALSE)</f>
        <v>CLARK KATHLEEN</v>
      </c>
      <c r="M119" s="6">
        <f t="shared" si="56"/>
        <v>3.2442129631817807E-2</v>
      </c>
      <c r="N119" s="7">
        <f t="shared" si="57"/>
        <v>46.716666669817641</v>
      </c>
      <c r="O119" s="7"/>
      <c r="P119" s="7"/>
      <c r="Q119" s="22"/>
      <c r="R119" s="22"/>
      <c r="S119" s="31">
        <f t="shared" si="58"/>
        <v>1</v>
      </c>
      <c r="T119" s="46" t="str">
        <f t="shared" si="59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60"/>
        <v>https://d0f6bd738d7f1b3e5a7ca70fe4ff75f0.us-east-1.aws.found.io/app/kibana#/discover/Steve-Slow-Train-Analysis-(2080s-and-2083s)?_g=(refreshInterval:(display:Off,pause:!f,section:0,value:0),time:(from:'2017-02-03T16:30:47-0700',mode:absolute,to:'2017-02-03T19:28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9" s="192" t="str">
        <f t="shared" si="61"/>
        <v>N</v>
      </c>
      <c r="X119" s="192">
        <f t="shared" si="62"/>
        <v>1</v>
      </c>
      <c r="Y119" s="62">
        <f t="shared" si="63"/>
        <v>23.297999999999998</v>
      </c>
      <c r="Z119" s="62">
        <f t="shared" si="64"/>
        <v>1.61E-2</v>
      </c>
      <c r="AA119" s="62">
        <f t="shared" si="65"/>
        <v>23.281899999999997</v>
      </c>
      <c r="AB119" s="59" t="e">
        <f>VLOOKUP(A119,Enforcements!$C$7:$K$16,8,0)</f>
        <v>#N/A</v>
      </c>
      <c r="AC119" s="55" t="e">
        <f>VLOOKUP(A119,Enforcements!$C$7:$E$16,3,0)</f>
        <v>#N/A</v>
      </c>
      <c r="AD119" s="56" t="str">
        <f t="shared" si="66"/>
        <v>0206-03</v>
      </c>
      <c r="AE119" s="85" t="str">
        <f t="shared" si="67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119" s="82" t="str">
        <f t="shared" si="68"/>
        <v>"C:\Program Files (x86)\AstroGrep\AstroGrep.exe" /spath="%USERPROFILE%\AppData\Local\Temp\OnboardLogs" /stypes="app*4021*20170204*" /stext=" 01:.+((SYSTEM_STATE.+slice.+state.+changed )|(ment ac)|(multiple cpu faults)|(system.+state.+changed )|(\[timeout)|(PRM\|1\|D)|(kpr)|(kdp)|(\|lc)|(penalty))" /e /r /s</v>
      </c>
      <c r="AG119" s="1" t="str">
        <f t="shared" si="69"/>
        <v>EC</v>
      </c>
      <c r="AH119" s="86" t="str">
        <f t="shared" si="70"/>
        <v>"%USERPROFILE%\Documents\GitHub\eaglep3\Utilities\RefineRTDCRunTimes.py" --tripid 206-03 --locoid 4021 --swversion DE.1.0.8.0 --startMP 204:232980 --initTime 2017-02-03T17:30:47 --startdatetime 2017-02-03T17:41:21 --delay 1 --endMP 204:161 --enddatetime 2017-02-03T18:28:04 --enforcementcount 0 &gt;&gt;C:\Users\stu\Documents\GitHub\eaglep3-reporting\EC\2017-02-03-refined-times.txt</v>
      </c>
      <c r="AI119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{"issue":{"subject":"","project_id":79,"tracker_id":40,"status_id":1,"priority_id":2,"assigned_to_id":23,"start_date":"2017-02-03","description":"","custom_fields":[{"id":1,"name":"Subdivision","value":"EC"},{"id":4,"name":"Milepost","value":"0.0161"},{"id":17,"name":"Train ID","value":"206-03"},{"id":16,"name":"Locomotive ID","value":"4021"},{"id":130,"name":"Impact","value":""},{"id":150,"name":"Time of Event (Mountain Time)","value":"18:28:04"},{"id":151,"name":"Denver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8" t="str">
        <f t="shared" si="72"/>
        <v>start /low /b %USERPROFILE%\Documents\GitHub\eaglep3\Utilities\DownloadLogsFromS3.py --loco 4021 --day 2017-02-03</v>
      </c>
      <c r="AN119" s="167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"%USERPROFILE%\AppData\Local\Temp\OnboardLogs"\RTDC4021\*4021*20170204* | grep -SE "(Enforcement Action)|(\[TIMEOUT)|(CHR.+\|PRM\|1\|D.+(SWITCH|SIGNAL).+UNKNOWN)" - &gt;&gt; 2017-02-03-UncaughtWiMAX.txt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699</v>
      </c>
      <c r="B120" s="7">
        <v>4040</v>
      </c>
      <c r="C120" s="21" t="s">
        <v>193</v>
      </c>
      <c r="D120" s="21" t="s">
        <v>371</v>
      </c>
      <c r="E120" s="13">
        <v>42769.703055555554</v>
      </c>
      <c r="F120" s="13">
        <v>42769.708738425928</v>
      </c>
      <c r="G120" s="7">
        <v>2</v>
      </c>
      <c r="H120" s="21" t="s">
        <v>426</v>
      </c>
      <c r="I120" s="13">
        <v>42769.733344907407</v>
      </c>
      <c r="J120" s="7">
        <v>0</v>
      </c>
      <c r="K120" s="98" t="str">
        <f t="shared" si="55"/>
        <v>4039/4040</v>
      </c>
      <c r="L120" s="21" t="str">
        <f>VLOOKUP(A120,'Trips&amp;Operators'!$C$1:$G$99999,5,FALSE)</f>
        <v>BRUDER RICHARD</v>
      </c>
      <c r="M120" s="6">
        <f t="shared" si="56"/>
        <v>2.4606481478258502E-2</v>
      </c>
      <c r="N120" s="7">
        <f t="shared" si="57"/>
        <v>35.433333328692243</v>
      </c>
      <c r="O120" s="7"/>
      <c r="P120" s="7"/>
      <c r="Q120" s="22"/>
      <c r="R120" s="22"/>
      <c r="S120" s="31">
        <f t="shared" si="58"/>
        <v>1</v>
      </c>
      <c r="T120" s="46" t="str">
        <f t="shared" si="59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60"/>
        <v>https://d0f6bd738d7f1b3e5a7ca70fe4ff75f0.us-east-1.aws.found.io/app/kibana#/discover/Steve-Slow-Train-Analysis-(2080s-and-2083s)?_g=(refreshInterval:(display:Off,pause:!f,section:0,value:0),time:(from:'2017-02-03T15:52:24-0700',mode:absolute,to:'2017-02-03T18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192" t="str">
        <f t="shared" si="61"/>
        <v>N</v>
      </c>
      <c r="X120" s="192">
        <f t="shared" si="62"/>
        <v>1</v>
      </c>
      <c r="Y120" s="62">
        <f t="shared" si="63"/>
        <v>4.4400000000000002E-2</v>
      </c>
      <c r="Z120" s="62">
        <f t="shared" si="64"/>
        <v>23.331399999999999</v>
      </c>
      <c r="AA120" s="62">
        <f t="shared" si="65"/>
        <v>23.286999999999999</v>
      </c>
      <c r="AB120" s="59" t="e">
        <f>VLOOKUP(A120,Enforcements!$C$7:$K$16,8,0)</f>
        <v>#N/A</v>
      </c>
      <c r="AC120" s="55" t="e">
        <f>VLOOKUP(A120,Enforcements!$C$7:$E$16,3,0)</f>
        <v>#N/A</v>
      </c>
      <c r="AD120" s="56" t="str">
        <f t="shared" si="66"/>
        <v>0207-03</v>
      </c>
      <c r="AE120" s="85" t="str">
        <f t="shared" si="67"/>
        <v>aws s3 cp s3://rtdc.mdm.uploadarchive.raw/RTDC4040/ "%USERPROFILE%\AppData\Local\Temp\OnboardLogs"\RTDC4040\2017-02-03 --exclude "*" --recursive --include "*20170203*" &amp; "%USERPROFILE%\Documents\GitHub\mrs-test-scripts\Headless Mode &amp; Sideloading\WalkAndUnGZ.bat" "%USERPROFILE%\AppData\Local\Temp\OnboardLogs"\RTDC4040\2017-02-03 &amp; 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</v>
      </c>
      <c r="AF120" s="82" t="str">
        <f t="shared" si="68"/>
        <v>"C:\Program Files (x86)\AstroGrep\AstroGrep.exe" /spath="%USERPROFILE%\AppData\Local\Temp\OnboardLogs" /stypes="app*4040*20170204*" /stext=" 00:.+((SYSTEM_STATE.+slice.+state.+changed )|(ment ac)|(multiple cpu faults)|(system.+state.+changed )|(\[timeout)|(PRM\|1\|D)|(kpr)|(kdp)|(\|lc)|(penalty))" /e /r /s</v>
      </c>
      <c r="AG120" s="1" t="str">
        <f t="shared" si="69"/>
        <v>EC</v>
      </c>
      <c r="AH120" s="86" t="str">
        <f t="shared" si="70"/>
        <v>"%USERPROFILE%\Documents\GitHub\eaglep3\Utilities\RefineRTDCRunTimes.py" --tripid 207-03 --locoid 4040 --swversion DE.1.0.8.0 --startMP 204:444 --initTime 2017-02-03T16:52:24 --startdatetime 2017-02-03T17:00:35 --delay 2 --endMP 204:233314 --enddatetime 2017-02-03T17:36:01 --enforcementcount 0 &gt;&gt;C:\Users\stu\Documents\GitHub\eaglep3-reporting\EC\2017-02-03-refined-times.txt</v>
      </c>
      <c r="AI120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{"issue":{"subject":"","project_id":79,"tracker_id":40,"status_id":1,"priority_id":2,"assigned_to_id":23,"start_date":"2017-02-03","description":"","custom_fields":[{"id":1,"name":"Subdivision","value":"EC"},{"id":4,"name":"Milepost","value":"23.3314"},{"id":17,"name":"Train ID","value":"207-03"},{"id":16,"name":"Locomotive ID","value":"4040"},{"id":130,"name":"Impact","value":""},{"id":150,"name":"Time of Event (Mountain Time)","value":"17:36:01"},{"id":151,"name":"Denver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8" t="str">
        <f t="shared" si="72"/>
        <v>start /low /b %USERPROFILE%\Documents\GitHub\eaglep3\Utilities\DownloadLogsFromS3.py --loco 4040 --day 2017-02-03</v>
      </c>
      <c r="AN120" s="167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716</v>
      </c>
      <c r="B121" s="7">
        <v>4039</v>
      </c>
      <c r="C121" s="21" t="s">
        <v>193</v>
      </c>
      <c r="D121" s="21" t="s">
        <v>309</v>
      </c>
      <c r="E121" s="13">
        <v>42769.741863425923</v>
      </c>
      <c r="F121" s="13">
        <v>42769.747465277775</v>
      </c>
      <c r="G121" s="7">
        <v>1</v>
      </c>
      <c r="H121" s="21" t="s">
        <v>212</v>
      </c>
      <c r="I121" s="13">
        <v>42769.779189814813</v>
      </c>
      <c r="J121" s="7">
        <v>0</v>
      </c>
      <c r="K121" s="98" t="str">
        <f t="shared" si="55"/>
        <v>4039/4040</v>
      </c>
      <c r="L121" s="21" t="str">
        <f>VLOOKUP(A121,'Trips&amp;Operators'!$C$1:$G$99999,5,FALSE)</f>
        <v>BRUDER RICHARD</v>
      </c>
      <c r="M121" s="6">
        <f t="shared" si="56"/>
        <v>3.1724537038826384E-2</v>
      </c>
      <c r="N121" s="7">
        <f t="shared" si="57"/>
        <v>45.683333335909992</v>
      </c>
      <c r="O121" s="7"/>
      <c r="P121" s="7"/>
      <c r="Q121" s="22"/>
      <c r="R121" s="22"/>
      <c r="S121" s="31">
        <f t="shared" si="58"/>
        <v>1</v>
      </c>
      <c r="T121" s="46" t="str">
        <f t="shared" si="59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60"/>
        <v>https://d0f6bd738d7f1b3e5a7ca70fe4ff75f0.us-east-1.aws.found.io/app/kibana#/discover/Steve-Slow-Train-Analysis-(2080s-and-2083s)?_g=(refreshInterval:(display:Off,pause:!f,section:0,value:0),time:(from:'2017-02-03T16:48:17-0700',mode:absolute,to:'2017-02-03T19:42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192" t="str">
        <f t="shared" si="61"/>
        <v>N</v>
      </c>
      <c r="X121" s="192">
        <f t="shared" si="62"/>
        <v>1</v>
      </c>
      <c r="Y121" s="62">
        <f t="shared" si="63"/>
        <v>23.299800000000001</v>
      </c>
      <c r="Z121" s="62">
        <f t="shared" si="64"/>
        <v>1.52E-2</v>
      </c>
      <c r="AA121" s="62">
        <f t="shared" si="65"/>
        <v>23.284600000000001</v>
      </c>
      <c r="AB121" s="59" t="e">
        <f>VLOOKUP(A121,Enforcements!$C$7:$K$16,8,0)</f>
        <v>#N/A</v>
      </c>
      <c r="AC121" s="55" t="e">
        <f>VLOOKUP(A121,Enforcements!$C$7:$E$16,3,0)</f>
        <v>#N/A</v>
      </c>
      <c r="AD121" s="56" t="str">
        <f t="shared" si="66"/>
        <v>0208-03</v>
      </c>
      <c r="AE121" s="85" t="str">
        <f t="shared" si="67"/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AF121" s="82" t="str">
        <f t="shared" si="68"/>
        <v>"C:\Program Files (x86)\AstroGrep\AstroGrep.exe" /spath="%USERPROFILE%\AppData\Local\Temp\OnboardLogs" /stypes="app*4039*20170204*" /stext=" 01:.+((SYSTEM_STATE.+slice.+state.+changed )|(ment ac)|(multiple cpu faults)|(system.+state.+changed )|(\[timeout)|(PRM\|1\|D)|(kpr)|(kdp)|(\|lc)|(penalty))" /e /r /s</v>
      </c>
      <c r="AG121" s="1" t="str">
        <f t="shared" si="69"/>
        <v>EC</v>
      </c>
      <c r="AH121" s="86" t="str">
        <f t="shared" si="70"/>
        <v>"%USERPROFILE%\Documents\GitHub\eaglep3\Utilities\RefineRTDCRunTimes.py" --tripid 208-03 --locoid 4039 --swversion DE.1.0.8.0 --startMP 204:232998 --initTime 2017-02-03T17:48:17 --startdatetime 2017-02-03T17:56:21 --delay 1 --endMP 204:152 --enddatetime 2017-02-03T18:42:02 --enforcementcount 0 &gt;&gt;C:\Users\stu\Documents\GitHub\eaglep3-reporting\EC\2017-02-03-refined-times.txt</v>
      </c>
      <c r="AI121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{"issue":{"subject":"","project_id":79,"tracker_id":40,"status_id":1,"priority_id":2,"assigned_to_id":23,"start_date":"2017-02-03","description":"","custom_fields":[{"id":1,"name":"Subdivision","value":"EC"},{"id":4,"name":"Milepost","value":"0.0152"},{"id":17,"name":"Train ID","value":"208-03"},{"id":16,"name":"Locomotive ID","value":"4039"},{"id":130,"name":"Impact","value":""},{"id":150,"name":"Time of Event (Mountain Time)","value":"18:42:02"},{"id":151,"name":"Denver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8" t="str">
        <f t="shared" si="72"/>
        <v>start /low /b %USERPROFILE%\Documents\GitHub\eaglep3\Utilities\DownloadLogsFromS3.py --loco 4039 --day 2017-02-03</v>
      </c>
      <c r="AN121" s="167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701</v>
      </c>
      <c r="B122" s="7">
        <v>4044</v>
      </c>
      <c r="C122" s="21" t="s">
        <v>193</v>
      </c>
      <c r="D122" s="21" t="s">
        <v>287</v>
      </c>
      <c r="E122" s="13">
        <v>42769.714178240742</v>
      </c>
      <c r="F122" s="13">
        <v>42769.720034722224</v>
      </c>
      <c r="G122" s="7">
        <v>1</v>
      </c>
      <c r="H122" s="21" t="s">
        <v>311</v>
      </c>
      <c r="I122" s="13">
        <v>42769.743993055556</v>
      </c>
      <c r="J122" s="7">
        <v>0</v>
      </c>
      <c r="K122" s="98" t="str">
        <f t="shared" si="55"/>
        <v>4043/4044</v>
      </c>
      <c r="L122" s="21" t="str">
        <f>VLOOKUP(A122,'Trips&amp;Operators'!$C$1:$G$99999,5,FALSE)</f>
        <v>HELVIE ADAM</v>
      </c>
      <c r="M122" s="6">
        <f t="shared" si="56"/>
        <v>2.3958333331393078E-2</v>
      </c>
      <c r="N122" s="7">
        <f t="shared" si="57"/>
        <v>34.499999997206032</v>
      </c>
      <c r="O122" s="7"/>
      <c r="P122" s="7"/>
      <c r="Q122" s="22"/>
      <c r="R122" s="22"/>
      <c r="S122" s="31">
        <f t="shared" si="58"/>
        <v>1</v>
      </c>
      <c r="T122" s="46" t="str">
        <f t="shared" si="59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60"/>
        <v>https://d0f6bd738d7f1b3e5a7ca70fe4ff75f0.us-east-1.aws.found.io/app/kibana#/discover/Steve-Slow-Train-Analysis-(2080s-and-2083s)?_g=(refreshInterval:(display:Off,pause:!f,section:0,value:0),time:(from:'2017-02-03T16:08:25-0700',mode:absolute,to:'2017-02-03T18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2" s="192" t="str">
        <f t="shared" si="61"/>
        <v>N</v>
      </c>
      <c r="X122" s="192">
        <f t="shared" si="62"/>
        <v>1</v>
      </c>
      <c r="Y122" s="62">
        <f t="shared" si="63"/>
        <v>4.6699999999999998E-2</v>
      </c>
      <c r="Z122" s="62">
        <f t="shared" si="64"/>
        <v>23.3278</v>
      </c>
      <c r="AA122" s="62">
        <f t="shared" si="65"/>
        <v>23.281099999999999</v>
      </c>
      <c r="AB122" s="59" t="e">
        <f>VLOOKUP(A122,Enforcements!$C$7:$K$16,8,0)</f>
        <v>#N/A</v>
      </c>
      <c r="AC122" s="55" t="e">
        <f>VLOOKUP(A122,Enforcements!$C$7:$E$16,3,0)</f>
        <v>#N/A</v>
      </c>
      <c r="AD122" s="56" t="str">
        <f t="shared" si="66"/>
        <v>0209-03</v>
      </c>
      <c r="AE122" s="85" t="str">
        <f t="shared" si="67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122" s="82" t="str">
        <f t="shared" si="68"/>
        <v>"C:\Program Files (x86)\AstroGrep\AstroGrep.exe" /spath="%USERPROFILE%\AppData\Local\Temp\OnboardLogs" /stypes="app*4044*20170204*" /stext=" 00:.+((SYSTEM_STATE.+slice.+state.+changed )|(ment ac)|(multiple cpu faults)|(system.+state.+changed )|(\[timeout)|(PRM\|1\|D)|(kpr)|(kdp)|(\|lc)|(penalty))" /e /r /s</v>
      </c>
      <c r="AG122" s="1" t="str">
        <f t="shared" si="69"/>
        <v>EC</v>
      </c>
      <c r="AH122" s="86" t="str">
        <f t="shared" si="70"/>
        <v>"%USERPROFILE%\Documents\GitHub\eaglep3\Utilities\RefineRTDCRunTimes.py" --tripid 209-03 --locoid 4044 --swversion DE.1.0.8.0 --startMP 204:467 --initTime 2017-02-03T17:08:25 --startdatetime 2017-02-03T17:16:51 --delay 1 --endMP 204:233278 --enddatetime 2017-02-03T17:51:21 --enforcementcount 0 &gt;&gt;C:\Users\stu\Documents\GitHub\eaglep3-reporting\EC\2017-02-03-refined-times.txt</v>
      </c>
      <c r="AI122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{"issue":{"subject":"","project_id":79,"tracker_id":40,"status_id":1,"priority_id":2,"assigned_to_id":23,"start_date":"2017-02-03","description":"","custom_fields":[{"id":1,"name":"Subdivision","value":"EC"},{"id":4,"name":"Milepost","value":"23.3278"},{"id":17,"name":"Train ID","value":"209-03"},{"id":16,"name":"Locomotive ID","value":"4044"},{"id":130,"name":"Impact","value":""},{"id":150,"name":"Time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8" t="str">
        <f t="shared" si="72"/>
        <v>start /low /b %USERPROFILE%\Documents\GitHub\eaglep3\Utilities\DownloadLogsFromS3.py --loco 4044 --day 2017-02-03</v>
      </c>
      <c r="AN122" s="167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"%USERPROFILE%\AppData\Local\Temp\OnboardLogs"\RTDC4044\*4044*20170204* | grep -SE "(Enforcement Action)|(\[TIMEOUT)|(CHR.+\|PRM\|1\|D.+(SWITCH|SIGNAL).+UNKNOWN)" - &gt;&gt; 2017-02-03-UncaughtWiMAX.txt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718</v>
      </c>
      <c r="B123" s="7">
        <v>4043</v>
      </c>
      <c r="C123" s="21" t="s">
        <v>193</v>
      </c>
      <c r="D123" s="21" t="s">
        <v>369</v>
      </c>
      <c r="E123" s="13">
        <v>42769.754895833335</v>
      </c>
      <c r="F123" s="13">
        <v>42769.761655092596</v>
      </c>
      <c r="G123" s="7">
        <v>1</v>
      </c>
      <c r="H123" s="21" t="s">
        <v>213</v>
      </c>
      <c r="I123" s="13">
        <v>42769.787997685184</v>
      </c>
      <c r="J123" s="7">
        <v>0</v>
      </c>
      <c r="K123" s="98" t="str">
        <f t="shared" si="55"/>
        <v>4043/4044</v>
      </c>
      <c r="L123" s="21" t="str">
        <f>VLOOKUP(A123,'Trips&amp;Operators'!$C$1:$G$99999,5,FALSE)</f>
        <v>HELVIE ADAM</v>
      </c>
      <c r="M123" s="6">
        <f t="shared" si="56"/>
        <v>2.6342592587752733E-2</v>
      </c>
      <c r="N123" s="7">
        <f t="shared" si="57"/>
        <v>37.933333326363936</v>
      </c>
      <c r="O123" s="7"/>
      <c r="P123" s="7"/>
      <c r="Q123" s="22"/>
      <c r="R123" s="22"/>
      <c r="S123" s="31">
        <f t="shared" si="58"/>
        <v>1</v>
      </c>
      <c r="T123" s="46" t="str">
        <f t="shared" si="59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60"/>
        <v>https://d0f6bd738d7f1b3e5a7ca70fe4ff75f0.us-east-1.aws.found.io/app/kibana#/discover/Steve-Slow-Train-Analysis-(2080s-and-2083s)?_g=(refreshInterval:(display:Off,pause:!f,section:0,value:0),time:(from:'2017-02-03T17:07:03-0700',mode:absolute,to:'2017-02-03T19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192" t="str">
        <f t="shared" si="61"/>
        <v>N</v>
      </c>
      <c r="X123" s="192">
        <f t="shared" si="62"/>
        <v>1</v>
      </c>
      <c r="Y123" s="62">
        <f t="shared" si="63"/>
        <v>23.297999999999998</v>
      </c>
      <c r="Z123" s="62">
        <f t="shared" si="64"/>
        <v>1.5800000000000002E-2</v>
      </c>
      <c r="AA123" s="62">
        <f t="shared" si="65"/>
        <v>23.2822</v>
      </c>
      <c r="AB123" s="59" t="e">
        <f>VLOOKUP(A123,Enforcements!$C$7:$K$16,8,0)</f>
        <v>#N/A</v>
      </c>
      <c r="AC123" s="55" t="e">
        <f>VLOOKUP(A123,Enforcements!$C$7:$E$16,3,0)</f>
        <v>#N/A</v>
      </c>
      <c r="AD123" s="56" t="str">
        <f t="shared" si="66"/>
        <v>0210-03</v>
      </c>
      <c r="AE123" s="85" t="str">
        <f t="shared" si="67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123" s="82" t="str">
        <f t="shared" si="68"/>
        <v>"C:\Program Files (x86)\AstroGrep\AstroGrep.exe" /spath="%USERPROFILE%\AppData\Local\Temp\OnboardLogs" /stypes="app*4043*20170204*" /stext=" 01:.+((SYSTEM_STATE.+slice.+state.+changed )|(ment ac)|(multiple cpu faults)|(system.+state.+changed )|(\[timeout)|(PRM\|1\|D)|(kpr)|(kdp)|(\|lc)|(penalty))" /e /r /s</v>
      </c>
      <c r="AG123" s="1" t="str">
        <f t="shared" si="69"/>
        <v>EC</v>
      </c>
      <c r="AH123" s="86" t="str">
        <f t="shared" si="70"/>
        <v>"%USERPROFILE%\Documents\GitHub\eaglep3\Utilities\RefineRTDCRunTimes.py" --tripid 210-03 --locoid 4043 --swversion DE.1.0.8.0 --startMP 204:232980 --initTime 2017-02-03T18:07:03 --startdatetime 2017-02-03T18:16:47 --delay 1 --endMP 204:158 --enddatetime 2017-02-03T18:54:43 --enforcementcount 0 &gt;&gt;C:\Users\stu\Documents\GitHub\eaglep3-reporting\EC\2017-02-03-refined-times.txt</v>
      </c>
      <c r="AI123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{"issue":{"subject":"","project_id":79,"tracker_id":40,"status_id":1,"priority_id":2,"assigned_to_id":23,"start_date":"2017-02-03","description":"","custom_fields":[{"id":1,"name":"Subdivision","value":"EC"},{"id":4,"name":"Milepost","value":"0.0158"},{"id":17,"name":"Train ID","value":"210-03"},{"id":16,"name":"Locomotive ID","value":"4043"},{"id":130,"name":"Impact","value":""},{"id":150,"name":"Time of Event (Mountain Time)","value":"18:54:43"},{"id":151,"name":"Denver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8" t="str">
        <f t="shared" si="72"/>
        <v>start /low /b %USERPROFILE%\Documents\GitHub\eaglep3\Utilities\DownloadLogsFromS3.py --loco 4043 --day 2017-02-03</v>
      </c>
      <c r="AN123" s="167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"%USERPROFILE%\AppData\Local\Temp\OnboardLogs"\RTDC4043\*4043*20170204* | grep -SE "(Enforcement Action)|(\[TIMEOUT)|(CHR.+\|PRM\|1\|D.+(SWITCH|SIGNAL).+UNKNOWN)" - &gt;&gt; 2017-02-03-UncaughtWiMAX.txt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705</v>
      </c>
      <c r="B124" s="7">
        <v>4018</v>
      </c>
      <c r="C124" s="21" t="s">
        <v>193</v>
      </c>
      <c r="D124" s="21" t="s">
        <v>291</v>
      </c>
      <c r="E124" s="13">
        <v>42769.724629629629</v>
      </c>
      <c r="F124" s="13">
        <v>42769.729456018518</v>
      </c>
      <c r="G124" s="7">
        <v>1</v>
      </c>
      <c r="H124" s="21" t="s">
        <v>814</v>
      </c>
      <c r="I124" s="13">
        <v>42769.76152777778</v>
      </c>
      <c r="J124" s="7">
        <v>0</v>
      </c>
      <c r="K124" s="98" t="str">
        <f t="shared" si="55"/>
        <v>4017/4018</v>
      </c>
      <c r="L124" s="21" t="str">
        <f>VLOOKUP(A124,'Trips&amp;Operators'!$C$1:$G$99999,5,FALSE)</f>
        <v>KILLION DAVID</v>
      </c>
      <c r="M124" s="6">
        <f t="shared" si="56"/>
        <v>3.2071759262180422E-2</v>
      </c>
      <c r="N124" s="7">
        <f t="shared" si="57"/>
        <v>46.183333337539807</v>
      </c>
      <c r="O124" s="7"/>
      <c r="P124" s="7"/>
      <c r="Q124" s="22"/>
      <c r="R124" s="22"/>
      <c r="S124" s="31">
        <f t="shared" si="58"/>
        <v>1</v>
      </c>
      <c r="T124" s="46" t="str">
        <f t="shared" si="59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60"/>
        <v>https://d0f6bd738d7f1b3e5a7ca70fe4ff75f0.us-east-1.aws.found.io/app/kibana#/discover/Steve-Slow-Train-Analysis-(2080s-and-2083s)?_g=(refreshInterval:(display:Off,pause:!f,section:0,value:0),time:(from:'2017-02-03T16:23:28-0700',mode:absolute,to:'2017-02-03T19:16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4" s="192" t="str">
        <f t="shared" si="61"/>
        <v>N</v>
      </c>
      <c r="X124" s="192">
        <f t="shared" si="62"/>
        <v>1</v>
      </c>
      <c r="Y124" s="62">
        <f t="shared" si="63"/>
        <v>4.4600000000000001E-2</v>
      </c>
      <c r="Z124" s="62">
        <f t="shared" si="64"/>
        <v>23.328700000000001</v>
      </c>
      <c r="AA124" s="62">
        <f t="shared" si="65"/>
        <v>23.284100000000002</v>
      </c>
      <c r="AB124" s="59" t="e">
        <f>VLOOKUP(A124,Enforcements!$C$7:$K$16,8,0)</f>
        <v>#N/A</v>
      </c>
      <c r="AC124" s="55" t="e">
        <f>VLOOKUP(A124,Enforcements!$C$7:$E$16,3,0)</f>
        <v>#N/A</v>
      </c>
      <c r="AD124" s="56" t="str">
        <f t="shared" si="66"/>
        <v>0211-03</v>
      </c>
      <c r="AE124" s="85" t="str">
        <f t="shared" si="67"/>
        <v>aws s3 cp s3://rtdc.mdm.uploadarchive.raw/RTDC4018/ "%USERPROFILE%\AppData\Local\Temp\OnboardLogs"\RTDC4018\2017-02-03 --exclude "*" --recursive --include "*20170203*" &amp; "%USERPROFILE%\Documents\GitHub\mrs-test-scripts\Headless Mode &amp; Sideloading\WalkAndUnGZ.bat" "%USERPROFILE%\AppData\Local\Temp\OnboardLogs"\RTDC4018\2017-02-03 &amp; aws s3 cp s3://rtdc.mdm.uploadarchive.raw/RTDC4018/ "%USERPROFILE%\AppData\Local\Temp\OnboardLogs"\RTDC4018\2017-02-04 --exclude "*" --recursive --include "*20170204*" &amp; "%USERPROFILE%\Documents\GitHub\mrs-test-scripts\Headless Mode &amp; Sideloading\WalkAndUnGZ.bat" "%USERPROFILE%\AppData\Local\Temp\OnboardLogs"\RTDC4018\2017-02-04</v>
      </c>
      <c r="AF124" s="82" t="str">
        <f t="shared" si="68"/>
        <v>"C:\Program Files (x86)\AstroGrep\AstroGrep.exe" /spath="%USERPROFILE%\AppData\Local\Temp\OnboardLogs" /stypes="app*4018*20170204*" /stext=" 01:.+((SYSTEM_STATE.+slice.+state.+changed )|(ment ac)|(multiple cpu faults)|(system.+state.+changed )|(\[timeout)|(PRM\|1\|D)|(kpr)|(kdp)|(\|lc)|(penalty))" /e /r /s</v>
      </c>
      <c r="AG124" s="1" t="str">
        <f t="shared" si="69"/>
        <v>EC</v>
      </c>
      <c r="AH124" s="86" t="str">
        <f t="shared" si="70"/>
        <v>"%USERPROFILE%\Documents\GitHub\eaglep3\Utilities\RefineRTDCRunTimes.py" --tripid 211-03 --locoid 4018 --swversion DE.1.0.8.0 --startMP 204:446 --initTime 2017-02-03T17:23:28 --startdatetime 2017-02-03T17:30:25 --delay 1 --endMP 204:233287 --enddatetime 2017-02-03T18:16:36 --enforcementcount 0 &gt;&gt;C:\Users\stu\Documents\GitHub\eaglep3-reporting\EC\2017-02-03-refined-times.txt</v>
      </c>
      <c r="AI124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{"issue":{"subject":"","project_id":79,"tracker_id":40,"status_id":1,"priority_id":2,"assigned_to_id":23,"start_date":"2017-02-03","description":"","custom_fields":[{"id":1,"name":"Subdivision","value":"EC"},{"id":4,"name":"Milepost","value":"23.3287"},{"id":17,"name":"Train ID","value":"211-03"},{"id":16,"name":"Locomotive ID","value":"4018"},{"id":130,"name":"Impact","value":""},{"id":150,"name":"Time of Event (Mountain Time)","value":"18:16:36"},{"id":151,"name":"Denver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8" t="str">
        <f t="shared" si="72"/>
        <v>start /low /b %USERPROFILE%\Documents\GitHub\eaglep3\Utilities\DownloadLogsFromS3.py --loco 4018 --day 2017-02-03</v>
      </c>
      <c r="AN124" s="167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"%USERPROFILE%\AppData\Local\Temp\OnboardLogs"\RTDC4018\*4018*20170204* | grep -SE "(Enforcement Action)|(\[TIMEOUT)|(CHR.+\|PRM\|1\|D.+(SWITCH|SIGNAL).+UNKNOWN)" - &gt;&gt; 2017-02-03-UncaughtWiMAX.txt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722</v>
      </c>
      <c r="B125" s="7">
        <v>4017</v>
      </c>
      <c r="C125" s="21" t="s">
        <v>193</v>
      </c>
      <c r="D125" s="21" t="s">
        <v>334</v>
      </c>
      <c r="E125" s="13">
        <v>42769.766898148147</v>
      </c>
      <c r="F125" s="13">
        <v>42769.76840277778</v>
      </c>
      <c r="G125" s="7">
        <v>1</v>
      </c>
      <c r="H125" s="21" t="s">
        <v>184</v>
      </c>
      <c r="I125" s="13">
        <v>42769.795624999999</v>
      </c>
      <c r="J125" s="7">
        <v>0</v>
      </c>
      <c r="K125" s="98" t="str">
        <f t="shared" si="55"/>
        <v>4017/4018</v>
      </c>
      <c r="L125" s="21" t="str">
        <f>VLOOKUP(A125,'Trips&amp;Operators'!$C$1:$G$99999,5,FALSE)</f>
        <v>KILLION DAVID</v>
      </c>
      <c r="M125" s="6">
        <f t="shared" si="56"/>
        <v>2.7222222219279502E-2</v>
      </c>
      <c r="N125" s="7">
        <f t="shared" si="57"/>
        <v>39.199999995762482</v>
      </c>
      <c r="O125" s="7"/>
      <c r="P125" s="7"/>
      <c r="Q125" s="22"/>
      <c r="R125" s="22"/>
      <c r="S125" s="31">
        <f t="shared" si="58"/>
        <v>1</v>
      </c>
      <c r="T125" s="46" t="str">
        <f t="shared" si="59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60"/>
        <v>https://d0f6bd738d7f1b3e5a7ca70fe4ff75f0.us-east-1.aws.found.io/app/kibana#/discover/Steve-Slow-Train-Analysis-(2080s-and-2083s)?_g=(refreshInterval:(display:Off,pause:!f,section:0,value:0),time:(from:'2017-02-03T17:24:20-0700',mode:absolute,to:'2017-02-03T20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5" s="192" t="str">
        <f t="shared" si="61"/>
        <v>N</v>
      </c>
      <c r="X125" s="192">
        <f t="shared" si="62"/>
        <v>1</v>
      </c>
      <c r="Y125" s="62">
        <f t="shared" si="63"/>
        <v>23.298100000000002</v>
      </c>
      <c r="Z125" s="62">
        <f t="shared" si="64"/>
        <v>1.49E-2</v>
      </c>
      <c r="AA125" s="62">
        <f t="shared" si="65"/>
        <v>23.283200000000001</v>
      </c>
      <c r="AB125" s="59" t="e">
        <f>VLOOKUP(A125,Enforcements!$C$7:$K$16,8,0)</f>
        <v>#N/A</v>
      </c>
      <c r="AC125" s="55" t="e">
        <f>VLOOKUP(A125,Enforcements!$C$7:$E$16,3,0)</f>
        <v>#N/A</v>
      </c>
      <c r="AD125" s="56" t="str">
        <f t="shared" si="66"/>
        <v>0212-03</v>
      </c>
      <c r="AE125" s="85" t="str">
        <f t="shared" si="67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125" s="82" t="str">
        <f t="shared" si="68"/>
        <v>"C:\Program Files (x86)\AstroGrep\AstroGrep.exe" /spath="%USERPROFILE%\AppData\Local\Temp\OnboardLogs" /stypes="app*4017*20170204*" /stext=" 02:.+((SYSTEM_STATE.+slice.+state.+changed )|(ment ac)|(multiple cpu faults)|(system.+state.+changed )|(\[timeout)|(PRM\|1\|D)|(kpr)|(kdp)|(\|lc)|(penalty))" /e /r /s</v>
      </c>
      <c r="AG125" s="1" t="str">
        <f t="shared" si="69"/>
        <v>EC</v>
      </c>
      <c r="AH125" s="86" t="str">
        <f t="shared" si="70"/>
        <v>"%USERPROFILE%\Documents\GitHub\eaglep3\Utilities\RefineRTDCRunTimes.py" --tripid 212-03 --locoid 4017 --swversion DE.1.0.8.0 --startMP 204:232981 --initTime 2017-02-03T18:24:20 --startdatetime 2017-02-03T18:26:30 --delay 1 --endMP 204:149 --enddatetime 2017-02-03T19:05:42 --enforcementcount 0 &gt;&gt;C:\Users\stu\Documents\GitHub\eaglep3-reporting\EC\2017-02-03-refined-times.txt</v>
      </c>
      <c r="AI125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{"issue":{"subject":"","project_id":79,"tracker_id":40,"status_id":1,"priority_id":2,"assigned_to_id":23,"start_date":"2017-02-03","description":"","custom_fields":[{"id":1,"name":"Subdivision","value":"EC"},{"id":4,"name":"Milepost","value":"0.0149"},{"id":17,"name":"Train ID","value":"212-03"},{"id":16,"name":"Locomotive ID","value":"4017"},{"id":130,"name":"Impact","value":""},{"id":150,"name":"Time of Event (Mountain Time)","value":"19:05:42"},{"id":151,"name":"Denver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8" t="str">
        <f t="shared" si="72"/>
        <v>start /low /b %USERPROFILE%\Documents\GitHub\eaglep3\Utilities\DownloadLogsFromS3.py --loco 4017 --day 2017-02-03</v>
      </c>
      <c r="AN125" s="167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"%USERPROFILE%\AppData\Local\Temp\OnboardLogs"\RTDC4017\*4017*20170204* | grep -SE "(Enforcement Action)|(\[TIMEOUT)|(CHR.+\|PRM\|1\|D.+(SWITCH|SIGNAL).+UNKNOWN)" - &gt;&gt; 2017-02-03-UncaughtWiMAX.txt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714</v>
      </c>
      <c r="B126" s="7">
        <v>4025</v>
      </c>
      <c r="C126" s="21" t="s">
        <v>193</v>
      </c>
      <c r="D126" s="21" t="s">
        <v>367</v>
      </c>
      <c r="E126" s="13">
        <v>42769.736388888887</v>
      </c>
      <c r="F126" s="13">
        <v>42769.739953703705</v>
      </c>
      <c r="G126" s="7">
        <v>1</v>
      </c>
      <c r="H126" s="21" t="s">
        <v>421</v>
      </c>
      <c r="I126" s="13">
        <v>42769.765729166669</v>
      </c>
      <c r="J126" s="7">
        <v>0</v>
      </c>
      <c r="K126" s="98" t="str">
        <f t="shared" si="55"/>
        <v>4025/4026</v>
      </c>
      <c r="L126" s="21" t="str">
        <f>VLOOKUP(A126,'Trips&amp;Operators'!$C$1:$G$99999,5,FALSE)</f>
        <v>STORY SAMANTHA</v>
      </c>
      <c r="M126" s="6">
        <f t="shared" si="56"/>
        <v>2.5775462963792961E-2</v>
      </c>
      <c r="N126" s="7">
        <f t="shared" si="57"/>
        <v>37.116666667861864</v>
      </c>
      <c r="O126" s="7"/>
      <c r="P126" s="7"/>
      <c r="Q126" s="22"/>
      <c r="R126" s="22"/>
      <c r="S126" s="31">
        <f t="shared" si="58"/>
        <v>1</v>
      </c>
      <c r="T126" s="46" t="str">
        <f t="shared" si="59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60"/>
        <v>https://d0f6bd738d7f1b3e5a7ca70fe4ff75f0.us-east-1.aws.found.io/app/kibana#/discover/Steve-Slow-Train-Analysis-(2080s-and-2083s)?_g=(refreshInterval:(display:Off,pause:!f,section:0,value:0),time:(from:'2017-02-03T16:40:24-0700',mode:absolute,to:'2017-02-03T19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6" s="192" t="str">
        <f t="shared" si="61"/>
        <v>N</v>
      </c>
      <c r="X126" s="192">
        <f t="shared" si="62"/>
        <v>1</v>
      </c>
      <c r="Y126" s="62">
        <f t="shared" si="63"/>
        <v>4.4200000000000003E-2</v>
      </c>
      <c r="Z126" s="62">
        <f t="shared" si="64"/>
        <v>23.336400000000001</v>
      </c>
      <c r="AA126" s="62">
        <f t="shared" si="65"/>
        <v>23.292200000000001</v>
      </c>
      <c r="AB126" s="59" t="e">
        <f>VLOOKUP(A126,Enforcements!$C$7:$K$16,8,0)</f>
        <v>#N/A</v>
      </c>
      <c r="AC126" s="55" t="e">
        <f>VLOOKUP(A126,Enforcements!$C$7:$E$16,3,0)</f>
        <v>#N/A</v>
      </c>
      <c r="AD126" s="56" t="str">
        <f t="shared" si="66"/>
        <v>0213-03</v>
      </c>
      <c r="AE126" s="85" t="str">
        <f t="shared" si="67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126" s="82" t="str">
        <f t="shared" si="68"/>
        <v>"C:\Program Files (x86)\AstroGrep\AstroGrep.exe" /spath="%USERPROFILE%\AppData\Local\Temp\OnboardLogs" /stypes="app*4025*20170204*" /stext=" 01:.+((SYSTEM_STATE.+slice.+state.+changed )|(ment ac)|(multiple cpu faults)|(system.+state.+changed )|(\[timeout)|(PRM\|1\|D)|(kpr)|(kdp)|(\|lc)|(penalty))" /e /r /s</v>
      </c>
      <c r="AG126" s="1" t="str">
        <f t="shared" si="69"/>
        <v>EC</v>
      </c>
      <c r="AH126" s="86" t="str">
        <f t="shared" si="70"/>
        <v>"%USERPROFILE%\Documents\GitHub\eaglep3\Utilities\RefineRTDCRunTimes.py" --tripid 213-03 --locoid 4025 --swversion DE.1.0.8.0 --startMP 204:442 --initTime 2017-02-03T17:40:24 --startdatetime 2017-02-03T17:45:32 --delay 1 --endMP 204:233364 --enddatetime 2017-02-03T18:22:39 --enforcementcount 0 &gt;&gt;C:\Users\stu\Documents\GitHub\eaglep3-reporting\EC\2017-02-03-refined-times.txt</v>
      </c>
      <c r="AI126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{"issue":{"subject":"","project_id":79,"tracker_id":40,"status_id":1,"priority_id":2,"assigned_to_id":23,"start_date":"2017-02-03","description":"","custom_fields":[{"id":1,"name":"Subdivision","value":"EC"},{"id":4,"name":"Milepost","value":"23.3364"},{"id":17,"name":"Train ID","value":"213-03"},{"id":16,"name":"Locomotive ID","value":"4025"},{"id":130,"name":"Impact","value":""},{"id":150,"name":"Time of Event (Mountain Time)","value":"18:22:39"},{"id":151,"name":"Denver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8" t="str">
        <f t="shared" si="72"/>
        <v>start /low /b %USERPROFILE%\Documents\GitHub\eaglep3\Utilities\DownloadLogsFromS3.py --loco 4025 --day 2017-02-03</v>
      </c>
      <c r="AN126" s="167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"%USERPROFILE%\AppData\Local\Temp\OnboardLogs"\RTDC4025\*4025*20170204* | grep -SE "(Enforcement Action)|(\[TIMEOUT)|(CHR.+\|PRM\|1\|D.+(SWITCH|SIGNAL).+UNKNOWN)" - &gt;&gt; 2017-02-03-UncaughtWiMAX.txt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725</v>
      </c>
      <c r="B127" s="7">
        <v>4026</v>
      </c>
      <c r="C127" s="21" t="s">
        <v>193</v>
      </c>
      <c r="D127" s="21" t="s">
        <v>800</v>
      </c>
      <c r="E127" s="13">
        <v>42769.774895833332</v>
      </c>
      <c r="F127" s="13">
        <v>42769.778807870367</v>
      </c>
      <c r="G127" s="7">
        <v>1</v>
      </c>
      <c r="H127" s="21" t="s">
        <v>812</v>
      </c>
      <c r="I127" s="13">
        <v>42769.806192129632</v>
      </c>
      <c r="J127" s="7">
        <v>0</v>
      </c>
      <c r="K127" s="98" t="str">
        <f t="shared" si="55"/>
        <v>4025/4026</v>
      </c>
      <c r="L127" s="21" t="str">
        <f>VLOOKUP(A127,'Trips&amp;Operators'!$C$1:$G$99999,5,FALSE)</f>
        <v>STORY SAMANTHA</v>
      </c>
      <c r="M127" s="6">
        <f t="shared" si="56"/>
        <v>2.7384259265090805E-2</v>
      </c>
      <c r="N127" s="7">
        <f t="shared" si="57"/>
        <v>39.433333341730759</v>
      </c>
      <c r="O127" s="7"/>
      <c r="P127" s="7"/>
      <c r="Q127" s="22"/>
      <c r="R127" s="22"/>
      <c r="S127" s="31">
        <f t="shared" si="58"/>
        <v>1</v>
      </c>
      <c r="T127" s="46" t="str">
        <f t="shared" si="59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60"/>
        <v>https://d0f6bd738d7f1b3e5a7ca70fe4ff75f0.us-east-1.aws.found.io/app/kibana#/discover/Steve-Slow-Train-Analysis-(2080s-and-2083s)?_g=(refreshInterval:(display:Off,pause:!f,section:0,value:0),time:(from:'2017-02-03T17:35:51-0700',mode:absolute,to:'2017-02-03T20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192" t="str">
        <f t="shared" si="61"/>
        <v>N</v>
      </c>
      <c r="X127" s="192">
        <f t="shared" si="62"/>
        <v>1</v>
      </c>
      <c r="Y127" s="62">
        <f t="shared" si="63"/>
        <v>23.3</v>
      </c>
      <c r="Z127" s="62">
        <f t="shared" si="64"/>
        <v>1.6299999999999999E-2</v>
      </c>
      <c r="AA127" s="62">
        <f t="shared" si="65"/>
        <v>23.2837</v>
      </c>
      <c r="AB127" s="59" t="e">
        <f>VLOOKUP(A127,Enforcements!$C$7:$K$16,8,0)</f>
        <v>#N/A</v>
      </c>
      <c r="AC127" s="55" t="e">
        <f>VLOOKUP(A127,Enforcements!$C$7:$E$16,3,0)</f>
        <v>#N/A</v>
      </c>
      <c r="AD127" s="56" t="str">
        <f t="shared" si="66"/>
        <v>0214-03</v>
      </c>
      <c r="AE127" s="85" t="str">
        <f t="shared" si="67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127" s="82" t="str">
        <f t="shared" si="68"/>
        <v>"C:\Program Files (x86)\AstroGrep\AstroGrep.exe" /spath="%USERPROFILE%\AppData\Local\Temp\OnboardLogs" /stypes="app*4026*20170204*" /stext=" 02:.+((SYSTEM_STATE.+slice.+state.+changed )|(ment ac)|(multiple cpu faults)|(system.+state.+changed )|(\[timeout)|(PRM\|1\|D)|(kpr)|(kdp)|(\|lc)|(penalty))" /e /r /s</v>
      </c>
      <c r="AG127" s="1" t="str">
        <f t="shared" si="69"/>
        <v>EC</v>
      </c>
      <c r="AH127" s="86" t="str">
        <f t="shared" si="70"/>
        <v>"%USERPROFILE%\Documents\GitHub\eaglep3\Utilities\RefineRTDCRunTimes.py" --tripid 214-03 --locoid 4026 --swversion DE.1.0.8.0 --startMP 204:233000 --initTime 2017-02-03T18:35:51 --startdatetime 2017-02-03T18:41:29 --delay 1 --endMP 204:163 --enddatetime 2017-02-03T19:20:55 --enforcementcount 0 &gt;&gt;C:\Users\stu\Documents\GitHub\eaglep3-reporting\EC\2017-02-03-refined-times.txt</v>
      </c>
      <c r="AI127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{"issue":{"subject":"","project_id":79,"tracker_id":40,"status_id":1,"priority_id":2,"assigned_to_id":23,"start_date":"2017-02-03","description":"","custom_fields":[{"id":1,"name":"Subdivision","value":"EC"},{"id":4,"name":"Milepost","value":"0.0163"},{"id":17,"name":"Train ID","value":"214-03"},{"id":16,"name":"Locomotive ID","value":"4026"},{"id":130,"name":"Impact","value":""},{"id":150,"name":"Time of Event (Mountain Time)","value":"19:20:55"},{"id":151,"name":"Denver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8" t="str">
        <f t="shared" si="72"/>
        <v>start /low /b %USERPROFILE%\Documents\GitHub\eaglep3\Utilities\DownloadLogsFromS3.py --loco 4026 --day 2017-02-03</v>
      </c>
      <c r="AN127" s="167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"%USERPROFILE%\AppData\Local\Temp\OnboardLogs"\RTDC4026\*4026*20170204* | grep -SE "(Enforcement Action)|(\[TIMEOUT)|(CHR.+\|PRM\|1\|D.+(SWITCH|SIGNAL).+UNKNOWN)" - &gt;&gt; 2017-02-03-UncaughtWiMAX.txt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717</v>
      </c>
      <c r="B128" s="7">
        <v>4003</v>
      </c>
      <c r="C128" s="21" t="s">
        <v>193</v>
      </c>
      <c r="D128" s="21" t="s">
        <v>222</v>
      </c>
      <c r="E128" s="13">
        <v>42769.744456018518</v>
      </c>
      <c r="F128" s="13">
        <v>42769.750127314815</v>
      </c>
      <c r="G128" s="7">
        <v>2</v>
      </c>
      <c r="H128" s="21" t="s">
        <v>426</v>
      </c>
      <c r="I128" s="13">
        <v>42769.776331018518</v>
      </c>
      <c r="J128" s="7">
        <v>0</v>
      </c>
      <c r="K128" s="98" t="str">
        <f t="shared" si="55"/>
        <v>4003/4004</v>
      </c>
      <c r="L128" s="21" t="str">
        <f>VLOOKUP(A128,'Trips&amp;Operators'!$C$1:$G$99999,5,FALSE)</f>
        <v>BRANNON JEFFREY</v>
      </c>
      <c r="M128" s="6">
        <f t="shared" si="56"/>
        <v>2.6203703702776693E-2</v>
      </c>
      <c r="N128" s="7">
        <f t="shared" si="57"/>
        <v>37.733333331998438</v>
      </c>
      <c r="O128" s="7"/>
      <c r="P128" s="7"/>
      <c r="Q128" s="22"/>
      <c r="R128" s="22"/>
      <c r="S128" s="31">
        <f t="shared" si="58"/>
        <v>1</v>
      </c>
      <c r="T128" s="46" t="str">
        <f t="shared" si="59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60"/>
        <v>https://d0f6bd738d7f1b3e5a7ca70fe4ff75f0.us-east-1.aws.found.io/app/kibana#/discover/Steve-Slow-Train-Analysis-(2080s-and-2083s)?_g=(refreshInterval:(display:Off,pause:!f,section:0,value:0),time:(from:'2017-02-03T16:52:01-0700',mode:absolute,to:'2017-02-03T19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8" s="192" t="str">
        <f t="shared" si="61"/>
        <v>N</v>
      </c>
      <c r="X128" s="192">
        <f t="shared" si="62"/>
        <v>1</v>
      </c>
      <c r="Y128" s="62">
        <f t="shared" si="63"/>
        <v>4.6899999999999997E-2</v>
      </c>
      <c r="Z128" s="62">
        <f t="shared" si="64"/>
        <v>23.331399999999999</v>
      </c>
      <c r="AA128" s="62">
        <f t="shared" si="65"/>
        <v>23.284499999999998</v>
      </c>
      <c r="AB128" s="59" t="e">
        <f>VLOOKUP(A128,Enforcements!$C$7:$K$16,8,0)</f>
        <v>#N/A</v>
      </c>
      <c r="AC128" s="55" t="e">
        <f>VLOOKUP(A128,Enforcements!$C$7:$E$16,3,0)</f>
        <v>#N/A</v>
      </c>
      <c r="AD128" s="56" t="str">
        <f t="shared" si="66"/>
        <v>0215-03</v>
      </c>
      <c r="AE128" s="85" t="str">
        <f t="shared" si="67"/>
        <v>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 &amp; 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</v>
      </c>
      <c r="AF128" s="82" t="str">
        <f t="shared" si="68"/>
        <v>"C:\Program Files (x86)\AstroGrep\AstroGrep.exe" /spath="%USERPROFILE%\AppData\Local\Temp\OnboardLogs" /stypes="app*4003*20170204*" /stext=" 01:.+((SYSTEM_STATE.+slice.+state.+changed )|(ment ac)|(multiple cpu faults)|(system.+state.+changed )|(\[timeout)|(PRM\|1\|D)|(kpr)|(kdp)|(\|lc)|(penalty))" /e /r /s</v>
      </c>
      <c r="AG128" s="1" t="str">
        <f t="shared" si="69"/>
        <v>EC</v>
      </c>
      <c r="AH128" s="86" t="str">
        <f t="shared" si="70"/>
        <v>"%USERPROFILE%\Documents\GitHub\eaglep3\Utilities\RefineRTDCRunTimes.py" --tripid 215-03 --locoid 4003 --swversion DE.1.0.8.0 --startMP 204:469 --initTime 2017-02-03T17:52:01 --startdatetime 2017-02-03T18:00:11 --delay 2 --endMP 204:233314 --enddatetime 2017-02-03T18:37:55 --enforcementcount 0 &gt;&gt;C:\Users\stu\Documents\GitHub\eaglep3-reporting\EC\2017-02-03-refined-times.txt</v>
      </c>
      <c r="AI128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{"issue":{"subject":"","project_id":79,"tracker_id":40,"status_id":1,"priority_id":2,"assigned_to_id":23,"start_date":"2017-02-03","description":"","custom_fields":[{"id":1,"name":"Subdivision","value":"EC"},{"id":4,"name":"Milepost","value":"23.3314"},{"id":17,"name":"Train ID","value":"215-03"},{"id":16,"name":"Locomotive ID","value":"4003"},{"id":130,"name":"Impact","value":""},{"id":150,"name":"Time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8" t="str">
        <f t="shared" si="72"/>
        <v>start /low /b %USERPROFILE%\Documents\GitHub\eaglep3\Utilities\DownloadLogsFromS3.py --loco 4003 --day 2017-02-03</v>
      </c>
      <c r="AN128" s="167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728</v>
      </c>
      <c r="B129" s="7">
        <v>4004</v>
      </c>
      <c r="C129" s="21" t="s">
        <v>193</v>
      </c>
      <c r="D129" s="21" t="s">
        <v>372</v>
      </c>
      <c r="E129" s="13">
        <v>42769.785740740743</v>
      </c>
      <c r="F129" s="13">
        <v>42769.789050925923</v>
      </c>
      <c r="G129" s="7">
        <v>1</v>
      </c>
      <c r="H129" s="21" t="s">
        <v>815</v>
      </c>
      <c r="I129" s="13">
        <v>42769.815127314818</v>
      </c>
      <c r="J129" s="7">
        <v>0</v>
      </c>
      <c r="K129" s="98" t="str">
        <f t="shared" si="55"/>
        <v>4003/4004</v>
      </c>
      <c r="L129" s="21" t="str">
        <f>VLOOKUP(A129,'Trips&amp;Operators'!$C$1:$G$99999,5,FALSE)</f>
        <v>BRANNON JEFFREY</v>
      </c>
      <c r="M129" s="6">
        <f t="shared" si="56"/>
        <v>2.6076388894580305E-2</v>
      </c>
      <c r="N129" s="7">
        <f t="shared" si="57"/>
        <v>37.550000008195639</v>
      </c>
      <c r="O129" s="7"/>
      <c r="P129" s="7"/>
      <c r="Q129" s="22"/>
      <c r="R129" s="22"/>
      <c r="S129" s="31">
        <f t="shared" si="58"/>
        <v>1</v>
      </c>
      <c r="T129" s="46" t="str">
        <f t="shared" si="59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60"/>
        <v>https://d0f6bd738d7f1b3e5a7ca70fe4ff75f0.us-east-1.aws.found.io/app/kibana#/discover/Steve-Slow-Train-Analysis-(2080s-and-2083s)?_g=(refreshInterval:(display:Off,pause:!f,section:0,value:0),time:(from:'2017-02-03T17:51:28-0700',mode:absolute,to:'2017-02-03T20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9" s="192" t="str">
        <f t="shared" si="61"/>
        <v>N</v>
      </c>
      <c r="X129" s="192">
        <f t="shared" si="62"/>
        <v>1</v>
      </c>
      <c r="Y129" s="62">
        <f t="shared" si="63"/>
        <v>23.3004</v>
      </c>
      <c r="Z129" s="62">
        <f t="shared" si="64"/>
        <v>4.4999999999999998E-2</v>
      </c>
      <c r="AA129" s="62">
        <f t="shared" si="65"/>
        <v>23.255399999999998</v>
      </c>
      <c r="AB129" s="59" t="e">
        <f>VLOOKUP(A129,Enforcements!$C$7:$K$16,8,0)</f>
        <v>#N/A</v>
      </c>
      <c r="AC129" s="55" t="e">
        <f>VLOOKUP(A129,Enforcements!$C$7:$E$16,3,0)</f>
        <v>#N/A</v>
      </c>
      <c r="AD129" s="56" t="str">
        <f t="shared" si="66"/>
        <v>0216-03</v>
      </c>
      <c r="AE129" s="85" t="str">
        <f t="shared" si="67"/>
        <v>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 &amp; 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</v>
      </c>
      <c r="AF129" s="82" t="str">
        <f t="shared" si="68"/>
        <v>"C:\Program Files (x86)\AstroGrep\AstroGrep.exe" /spath="%USERPROFILE%\AppData\Local\Temp\OnboardLogs" /stypes="app*4004*20170204*" /stext=" 02:.+((SYSTEM_STATE.+slice.+state.+changed )|(ment ac)|(multiple cpu faults)|(system.+state.+changed )|(\[timeout)|(PRM\|1\|D)|(kpr)|(kdp)|(\|lc)|(penalty))" /e /r /s</v>
      </c>
      <c r="AG129" s="1" t="str">
        <f t="shared" si="69"/>
        <v>EC</v>
      </c>
      <c r="AH129" s="86" t="str">
        <f t="shared" si="70"/>
        <v>"%USERPROFILE%\Documents\GitHub\eaglep3\Utilities\RefineRTDCRunTimes.py" --tripid 216-03 --locoid 4004 --swversion DE.1.0.8.0 --startMP 204:233004 --initTime 2017-02-03T18:51:28 --startdatetime 2017-02-03T18:56:14 --delay 1 --endMP 204:450 --enddatetime 2017-02-03T19:33:47 --enforcementcount 0 &gt;&gt;C:\Users\stu\Documents\GitHub\eaglep3-reporting\EC\2017-02-03-refined-times.txt</v>
      </c>
      <c r="AI129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{"issue":{"subject":"","project_id":79,"tracker_id":40,"status_id":1,"priority_id":2,"assigned_to_id":23,"start_date":"2017-02-03","description":"","custom_fields":[{"id":1,"name":"Subdivision","value":"EC"},{"id":4,"name":"Milepost","value":"0.045"},{"id":17,"name":"Train ID","value":"216-03"},{"id":16,"name":"Locomotive ID","value":"4004"},{"id":130,"name":"Impact","value":""},{"id":150,"name":"Time of Event (Mountain Time)","value":"19:33:47"},{"id":151,"name":"Denver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8" t="str">
        <f t="shared" si="72"/>
        <v>start /low /b %USERPROFILE%\Documents\GitHub\eaglep3\Utilities\DownloadLogsFromS3.py --loco 4004 --day 2017-02-03</v>
      </c>
      <c r="AN129" s="167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549</v>
      </c>
      <c r="B130" s="7">
        <v>4031</v>
      </c>
      <c r="C130" s="21" t="s">
        <v>193</v>
      </c>
      <c r="D130" s="21" t="s">
        <v>240</v>
      </c>
      <c r="E130" s="13">
        <v>42769.755937499998</v>
      </c>
      <c r="F130" s="13">
        <v>42769.760787037034</v>
      </c>
      <c r="G130" s="7">
        <v>1</v>
      </c>
      <c r="H130" s="21" t="s">
        <v>816</v>
      </c>
      <c r="I130" s="13">
        <v>42769.793946759259</v>
      </c>
      <c r="J130" s="7">
        <v>1</v>
      </c>
      <c r="K130" s="98" t="str">
        <f t="shared" si="55"/>
        <v>4031/4032</v>
      </c>
      <c r="L130" s="21" t="str">
        <f>VLOOKUP(A130,'Trips&amp;Operators'!$C$1:$G$99999,5,FALSE)</f>
        <v>PERKINS DARREN</v>
      </c>
      <c r="M130" s="6">
        <f t="shared" si="56"/>
        <v>3.3159722224809229E-2</v>
      </c>
      <c r="N130" s="7">
        <f t="shared" si="57"/>
        <v>47.75000000372529</v>
      </c>
      <c r="O130" s="7"/>
      <c r="P130" s="7"/>
      <c r="Q130" s="22"/>
      <c r="R130" s="22"/>
      <c r="S130" s="31">
        <f t="shared" si="58"/>
        <v>1</v>
      </c>
      <c r="T130" s="46" t="str">
        <f t="shared" si="59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60"/>
        <v>https://d0f6bd738d7f1b3e5a7ca70fe4ff75f0.us-east-1.aws.found.io/app/kibana#/discover/Steve-Slow-Train-Analysis-(2080s-and-2083s)?_g=(refreshInterval:(display:Off,pause:!f,section:0,value:0),time:(from:'2017-02-03T17:08:33-0700',mode:absolute,to:'2017-02-03T20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92" t="str">
        <f t="shared" si="61"/>
        <v>N</v>
      </c>
      <c r="X130" s="192">
        <f t="shared" si="62"/>
        <v>1</v>
      </c>
      <c r="Y130" s="62">
        <f t="shared" si="63"/>
        <v>4.5699999999999998E-2</v>
      </c>
      <c r="Z130" s="62">
        <f t="shared" si="64"/>
        <v>23.321300000000001</v>
      </c>
      <c r="AA130" s="62">
        <f t="shared" si="65"/>
        <v>23.275600000000001</v>
      </c>
      <c r="AB130" s="59" t="e">
        <f>VLOOKUP(A130,Enforcements!$C$7:$K$16,8,0)</f>
        <v>#N/A</v>
      </c>
      <c r="AC130" s="55" t="e">
        <f>VLOOKUP(A130,Enforcements!$C$7:$E$16,3,0)</f>
        <v>#N/A</v>
      </c>
      <c r="AD130" s="56" t="str">
        <f t="shared" si="66"/>
        <v>0217-03</v>
      </c>
      <c r="AE130" s="85" t="str">
        <f t="shared" si="67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130" s="82" t="str">
        <f t="shared" si="68"/>
        <v>"C:\Program Files (x86)\AstroGrep\AstroGrep.exe" /spath="%USERPROFILE%\AppData\Local\Temp\OnboardLogs" /stypes="app*4031*20170204*" /stext=" 02:.+((SYSTEM_STATE.+slice.+state.+changed )|(ment ac)|(multiple cpu faults)|(system.+state.+changed )|(\[timeout)|(PRM\|1\|D)|(kpr)|(kdp)|(\|lc)|(penalty))" /e /r /s</v>
      </c>
      <c r="AG130" s="1" t="str">
        <f t="shared" si="69"/>
        <v>EC</v>
      </c>
      <c r="AH130" s="86" t="str">
        <f t="shared" si="70"/>
        <v>"%USERPROFILE%\Documents\GitHub\eaglep3\Utilities\RefineRTDCRunTimes.py" --tripid 217-03 --locoid 4031 --swversion DE.1.0.8.0 --startMP 204:457 --initTime 2017-02-03T18:08:33 --startdatetime 2017-02-03T18:15:32 --delay 1 --endMP 204:233213 --enddatetime 2017-02-03T19:03:17 --enforcementcount 1 &gt;&gt;C:\Users\stu\Documents\GitHub\eaglep3-reporting\EC\2017-02-03-refined-times.txt</v>
      </c>
      <c r="AI130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{"issue":{"subject":"","project_id":79,"tracker_id":40,"status_id":1,"priority_id":2,"assigned_to_id":23,"start_date":"2017-02-03","description":"","custom_fields":[{"id":1,"name":"Subdivision","value":"EC"},{"id":4,"name":"Milepost","value":"23.3213"},{"id":17,"name":"Train ID","value":"217-03"},{"id":16,"name":"Locomotive ID","value":"4031"},{"id":130,"name":"Impact","value":""},{"id":150,"name":"Time of Event (Mountain Time)","value":"19:03:17"},{"id":151,"name":"Denver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8" t="str">
        <f t="shared" si="72"/>
        <v>start /low /b %USERPROFILE%\Documents\GitHub\eaglep3\Utilities\DownloadLogsFromS3.py --loco 4031 --day 2017-02-03</v>
      </c>
      <c r="AN130" s="167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"%USERPROFILE%\AppData\Local\Temp\OnboardLogs"\RTDC4031\*4031*20170204* | grep -SE "(Enforcement Action)|(\[TIMEOUT)|(CHR.+\|PRM\|1\|D.+(SWITCH|SIGNAL).+UNKNOWN)" - &gt;&gt; 2017-02-03-UncaughtWiMAX.txt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733</v>
      </c>
      <c r="B131" s="7">
        <v>4032</v>
      </c>
      <c r="C131" s="21" t="s">
        <v>193</v>
      </c>
      <c r="D131" s="21" t="s">
        <v>817</v>
      </c>
      <c r="E131" s="13">
        <v>42769.796458333331</v>
      </c>
      <c r="F131" s="13">
        <v>42769.79954861111</v>
      </c>
      <c r="G131" s="7">
        <v>1</v>
      </c>
      <c r="H131" s="21" t="s">
        <v>196</v>
      </c>
      <c r="I131" s="13">
        <v>42769.825706018521</v>
      </c>
      <c r="J131" s="7">
        <v>0</v>
      </c>
      <c r="K131" s="98" t="str">
        <f t="shared" si="55"/>
        <v>4031/4032</v>
      </c>
      <c r="L131" s="21" t="str">
        <f>VLOOKUP(A131,'Trips&amp;Operators'!$C$1:$G$99999,5,FALSE)</f>
        <v>PERKINS DARREN</v>
      </c>
      <c r="M131" s="6">
        <f t="shared" si="56"/>
        <v>2.6157407410209998E-2</v>
      </c>
      <c r="N131" s="7">
        <f t="shared" si="57"/>
        <v>37.666666670702398</v>
      </c>
      <c r="O131" s="7"/>
      <c r="P131" s="7"/>
      <c r="Q131" s="22"/>
      <c r="R131" s="22"/>
      <c r="S131" s="31">
        <f t="shared" si="58"/>
        <v>1</v>
      </c>
      <c r="T131" s="46" t="str">
        <f t="shared" si="59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60"/>
        <v>https://d0f6bd738d7f1b3e5a7ca70fe4ff75f0.us-east-1.aws.found.io/app/kibana#/discover/Steve-Slow-Train-Analysis-(2080s-and-2083s)?_g=(refreshInterval:(display:Off,pause:!f,section:0,value:0),time:(from:'2017-02-03T18:06:54-0700',mode:absolute,to:'2017-02-03T20:49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192" t="str">
        <f t="shared" si="61"/>
        <v>N</v>
      </c>
      <c r="X131" s="192">
        <f t="shared" si="62"/>
        <v>1</v>
      </c>
      <c r="Y131" s="62">
        <f t="shared" si="63"/>
        <v>23.289200000000001</v>
      </c>
      <c r="Z131" s="62">
        <f t="shared" si="64"/>
        <v>1.4999999999999999E-2</v>
      </c>
      <c r="AA131" s="62">
        <f t="shared" si="65"/>
        <v>23.2742</v>
      </c>
      <c r="AB131" s="59" t="e">
        <f>VLOOKUP(A131,Enforcements!$C$7:$K$16,8,0)</f>
        <v>#N/A</v>
      </c>
      <c r="AC131" s="55" t="e">
        <f>VLOOKUP(A131,Enforcements!$C$7:$E$16,3,0)</f>
        <v>#N/A</v>
      </c>
      <c r="AD131" s="56" t="str">
        <f t="shared" si="66"/>
        <v>0218-03</v>
      </c>
      <c r="AE131" s="85" t="str">
        <f t="shared" si="67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131" s="82" t="str">
        <f t="shared" si="68"/>
        <v>"C:\Program Files (x86)\AstroGrep\AstroGrep.exe" /spath="%USERPROFILE%\AppData\Local\Temp\OnboardLogs" /stypes="app*4032*20170204*" /stext=" 02:.+((SYSTEM_STATE.+slice.+state.+changed )|(ment ac)|(multiple cpu faults)|(system.+state.+changed )|(\[timeout)|(PRM\|1\|D)|(kpr)|(kdp)|(\|lc)|(penalty))" /e /r /s</v>
      </c>
      <c r="AG131" s="1" t="str">
        <f t="shared" si="69"/>
        <v>EC</v>
      </c>
      <c r="AH131" s="86" t="str">
        <f t="shared" si="70"/>
        <v>"%USERPROFILE%\Documents\GitHub\eaglep3\Utilities\RefineRTDCRunTimes.py" --tripid 218-03 --locoid 4032 --swversion DE.1.0.8.0 --startMP 204:232892 --initTime 2017-02-03T19:06:54 --startdatetime 2017-02-03T19:11:21 --delay 1 --endMP 204:150 --enddatetime 2017-02-03T19:49:01 --enforcementcount 0 &gt;&gt;C:\Users\stu\Documents\GitHub\eaglep3-reporting\EC\2017-02-03-refined-times.txt</v>
      </c>
      <c r="AI131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{"issue":{"subject":"","project_id":79,"tracker_id":40,"status_id":1,"priority_id":2,"assigned_to_id":23,"start_date":"2017-02-03","description":"","custom_fields":[{"id":1,"name":"Subdivision","value":"EC"},{"id":4,"name":"Milepost","value":"0.015"},{"id":17,"name":"Train ID","value":"218-03"},{"id":16,"name":"Locomotive ID","value":"4032"},{"id":130,"name":"Impact","value":""},{"id":150,"name":"Time of Event (Mountain Time)","value":"19:49:01"},{"id":151,"name":"Denver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8" t="str">
        <f t="shared" si="72"/>
        <v>start /low /b %USERPROFILE%\Documents\GitHub\eaglep3\Utilities\DownloadLogsFromS3.py --loco 4032 --day 2017-02-03</v>
      </c>
      <c r="AN131" s="167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"%USERPROFILE%\AppData\Local\Temp\OnboardLogs"\RTDC4032\*4032*20170204* | grep -SE "(Enforcement Action)|(\[TIMEOUT)|(CHR.+\|PRM\|1\|D.+(SWITCH|SIGNAL).+UNKNOWN)" - &gt;&gt; 2017-02-03-UncaughtWiMAX.txt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723</v>
      </c>
      <c r="B132" s="7">
        <v>4022</v>
      </c>
      <c r="C132" s="21" t="s">
        <v>193</v>
      </c>
      <c r="D132" s="21" t="s">
        <v>415</v>
      </c>
      <c r="E132" s="13">
        <v>42769.771053240744</v>
      </c>
      <c r="F132" s="13">
        <v>42769.776273148149</v>
      </c>
      <c r="G132" s="7">
        <v>2</v>
      </c>
      <c r="H132" s="21" t="s">
        <v>818</v>
      </c>
      <c r="I132" s="13">
        <v>42769.803865740738</v>
      </c>
      <c r="J132" s="7">
        <v>0</v>
      </c>
      <c r="K132" s="98" t="str">
        <f t="shared" si="55"/>
        <v>4021/4022</v>
      </c>
      <c r="L132" s="21" t="str">
        <f>VLOOKUP(A132,'Trips&amp;Operators'!$C$1:$G$99999,5,FALSE)</f>
        <v>HILLS DUSTIN</v>
      </c>
      <c r="M132" s="6">
        <f t="shared" si="56"/>
        <v>2.7592592588916887E-2</v>
      </c>
      <c r="N132" s="7">
        <f t="shared" si="57"/>
        <v>39.733333328040317</v>
      </c>
      <c r="O132" s="7"/>
      <c r="P132" s="7"/>
      <c r="Q132" s="22"/>
      <c r="R132" s="22"/>
      <c r="S132" s="31">
        <f t="shared" si="58"/>
        <v>1</v>
      </c>
      <c r="T132" s="46" t="str">
        <f t="shared" si="59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60"/>
        <v>https://d0f6bd738d7f1b3e5a7ca70fe4ff75f0.us-east-1.aws.found.io/app/kibana#/discover/Steve-Slow-Train-Analysis-(2080s-and-2083s)?_g=(refreshInterval:(display:Off,pause:!f,section:0,value:0),time:(from:'2017-02-03T17:30:19-0700',mode:absolute,to:'2017-02-03T20:17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2" s="192" t="str">
        <f t="shared" si="61"/>
        <v>N</v>
      </c>
      <c r="X132" s="192">
        <f t="shared" si="62"/>
        <v>1</v>
      </c>
      <c r="Y132" s="62">
        <f t="shared" si="63"/>
        <v>4.6600000000000003E-2</v>
      </c>
      <c r="Z132" s="62">
        <f t="shared" si="64"/>
        <v>23.339300000000001</v>
      </c>
      <c r="AA132" s="62">
        <f t="shared" si="65"/>
        <v>23.2927</v>
      </c>
      <c r="AB132" s="59" t="e">
        <f>VLOOKUP(A132,Enforcements!$C$7:$K$16,8,0)</f>
        <v>#N/A</v>
      </c>
      <c r="AC132" s="55" t="e">
        <f>VLOOKUP(A132,Enforcements!$C$7:$E$16,3,0)</f>
        <v>#N/A</v>
      </c>
      <c r="AD132" s="56" t="str">
        <f t="shared" si="66"/>
        <v>0219-03</v>
      </c>
      <c r="AE132" s="85" t="str">
        <f t="shared" si="67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132" s="82" t="str">
        <f t="shared" si="68"/>
        <v>"C:\Program Files (x86)\AstroGrep\AstroGrep.exe" /spath="%USERPROFILE%\AppData\Local\Temp\OnboardLogs" /stypes="app*4022*20170204*" /stext=" 02:.+((SYSTEM_STATE.+slice.+state.+changed )|(ment ac)|(multiple cpu faults)|(system.+state.+changed )|(\[timeout)|(PRM\|1\|D)|(kpr)|(kdp)|(\|lc)|(penalty))" /e /r /s</v>
      </c>
      <c r="AG132" s="1" t="str">
        <f t="shared" si="69"/>
        <v>EC</v>
      </c>
      <c r="AH132" s="86" t="str">
        <f t="shared" si="70"/>
        <v>"%USERPROFILE%\Documents\GitHub\eaglep3\Utilities\RefineRTDCRunTimes.py" --tripid 219-03 --locoid 4022 --swversion DE.1.0.8.0 --startMP 204:466 --initTime 2017-02-03T18:30:19 --startdatetime 2017-02-03T18:37:50 --delay 2 --endMP 204:233393 --enddatetime 2017-02-03T19:17:34 --enforcementcount 0 &gt;&gt;C:\Users\stu\Documents\GitHub\eaglep3-reporting\EC\2017-02-03-refined-times.txt</v>
      </c>
      <c r="AI132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{"issue":{"subject":"","project_id":79,"tracker_id":40,"status_id":1,"priority_id":2,"assigned_to_id":23,"start_date":"2017-02-03","description":"","custom_fields":[{"id":1,"name":"Subdivision","value":"EC"},{"id":4,"name":"Milepost","value":"23.3393"},{"id":17,"name":"Train ID","value":"219-03"},{"id":16,"name":"Locomotive ID","value":"4022"},{"id":130,"name":"Impact","value":""},{"id":150,"name":"Time of Event (Mountain Time)","value":"19:17:34"},{"id":151,"name":"Denver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8" t="str">
        <f t="shared" si="72"/>
        <v>start /low /b %USERPROFILE%\Documents\GitHub\eaglep3\Utilities\DownloadLogsFromS3.py --loco 4022 --day 2017-02-03</v>
      </c>
      <c r="AN132" s="167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"%USERPROFILE%\AppData\Local\Temp\OnboardLogs"\RTDC4022\*4022*20170204* | grep -SE "(Enforcement Action)|(\[TIMEOUT)|(CHR.+\|PRM\|1\|D.+(SWITCH|SIGNAL).+UNKNOWN)" - &gt;&gt; 2017-02-03-UncaughtWiMAX.txt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736</v>
      </c>
      <c r="B133" s="7">
        <v>4021</v>
      </c>
      <c r="C133" s="21" t="s">
        <v>193</v>
      </c>
      <c r="D133" s="21" t="s">
        <v>819</v>
      </c>
      <c r="E133" s="13">
        <v>42769.806423611109</v>
      </c>
      <c r="F133" s="13">
        <v>42769.811203703706</v>
      </c>
      <c r="G133" s="7">
        <v>1</v>
      </c>
      <c r="H133" s="21" t="s">
        <v>358</v>
      </c>
      <c r="I133" s="13">
        <v>42769.837314814817</v>
      </c>
      <c r="J133" s="7">
        <v>0</v>
      </c>
      <c r="K133" s="98" t="str">
        <f t="shared" si="55"/>
        <v>4021/4022</v>
      </c>
      <c r="L133" s="21" t="str">
        <f>VLOOKUP(A133,'Trips&amp;Operators'!$C$1:$G$99999,5,FALSE)</f>
        <v>HILLS DUSTIN</v>
      </c>
      <c r="M133" s="6">
        <f t="shared" si="56"/>
        <v>2.6111111110367347E-2</v>
      </c>
      <c r="N133" s="7">
        <f t="shared" si="57"/>
        <v>37.599999998928979</v>
      </c>
      <c r="O133" s="7"/>
      <c r="P133" s="7"/>
      <c r="Q133" s="22"/>
      <c r="R133" s="22"/>
      <c r="S133" s="31">
        <f t="shared" si="58"/>
        <v>1</v>
      </c>
      <c r="T133" s="46" t="str">
        <f t="shared" si="59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60"/>
        <v>https://d0f6bd738d7f1b3e5a7ca70fe4ff75f0.us-east-1.aws.found.io/app/kibana#/discover/Steve-Slow-Train-Analysis-(2080s-and-2083s)?_g=(refreshInterval:(display:Off,pause:!f,section:0,value:0),time:(from:'2017-02-03T18:21:15-0700',mode:absolute,to:'2017-02-03T21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3" s="192" t="str">
        <f t="shared" si="61"/>
        <v>N</v>
      </c>
      <c r="X133" s="192">
        <f t="shared" si="62"/>
        <v>1</v>
      </c>
      <c r="Y133" s="62">
        <f t="shared" si="63"/>
        <v>23.309100000000001</v>
      </c>
      <c r="Z133" s="62">
        <f t="shared" si="64"/>
        <v>1.29E-2</v>
      </c>
      <c r="AA133" s="62">
        <f t="shared" si="65"/>
        <v>23.296200000000002</v>
      </c>
      <c r="AB133" s="59" t="e">
        <f>VLOOKUP(A133,Enforcements!$C$7:$K$16,8,0)</f>
        <v>#N/A</v>
      </c>
      <c r="AC133" s="55" t="e">
        <f>VLOOKUP(A133,Enforcements!$C$7:$E$16,3,0)</f>
        <v>#N/A</v>
      </c>
      <c r="AD133" s="56" t="str">
        <f t="shared" si="66"/>
        <v>0220-03</v>
      </c>
      <c r="AE133" s="85" t="str">
        <f t="shared" si="67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133" s="82" t="str">
        <f t="shared" si="68"/>
        <v>"C:\Program Files (x86)\AstroGrep\AstroGrep.exe" /spath="%USERPROFILE%\AppData\Local\Temp\OnboardLogs" /stypes="app*4021*20170204*" /stext=" 03:.+((SYSTEM_STATE.+slice.+state.+changed )|(ment ac)|(multiple cpu faults)|(system.+state.+changed )|(\[timeout)|(PRM\|1\|D)|(kpr)|(kdp)|(\|lc)|(penalty))" /e /r /s</v>
      </c>
      <c r="AG133" s="1" t="str">
        <f t="shared" si="69"/>
        <v>EC</v>
      </c>
      <c r="AH133" s="86" t="str">
        <f t="shared" si="70"/>
        <v>"%USERPROFILE%\Documents\GitHub\eaglep3\Utilities\RefineRTDCRunTimes.py" --tripid 220-03 --locoid 4021 --swversion DE.1.0.8.0 --startMP 204:233091 --initTime 2017-02-03T19:21:15 --startdatetime 2017-02-03T19:28:08 --delay 1 --endMP 204:129 --enddatetime 2017-02-03T20:05:44 --enforcementcount 0 &gt;&gt;C:\Users\stu\Documents\GitHub\eaglep3-reporting\EC\2017-02-03-refined-times.txt</v>
      </c>
      <c r="AI133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{"issue":{"subject":"","project_id":79,"tracker_id":40,"status_id":1,"priority_id":2,"assigned_to_id":23,"start_date":"2017-02-03","description":"","custom_fields":[{"id":1,"name":"Subdivision","value":"EC"},{"id":4,"name":"Milepost","value":"0.0129"},{"id":17,"name":"Train ID","value":"220-03"},{"id":16,"name":"Locomotive ID","value":"4021"},{"id":130,"name":"Impact","value":""},{"id":150,"name":"Time of Event (Mountain Time)","value":"20:05:44"},{"id":151,"name":"Denver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8" t="str">
        <f t="shared" si="72"/>
        <v>start /low /b %USERPROFILE%\Documents\GitHub\eaglep3\Utilities\DownloadLogsFromS3.py --loco 4021 --day 2017-02-03</v>
      </c>
      <c r="AN133" s="167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"%USERPROFILE%\AppData\Local\Temp\OnboardLogs"\RTDC4021\*4021*20170204* | grep -SE "(Enforcement Action)|(\[TIMEOUT)|(CHR.+\|PRM\|1\|D.+(SWITCH|SIGNAL).+UNKNOWN)" - &gt;&gt; 2017-02-03-UncaughtWiMAX.txt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729</v>
      </c>
      <c r="B134" s="7">
        <v>4044</v>
      </c>
      <c r="C134" s="21" t="s">
        <v>193</v>
      </c>
      <c r="D134" s="21" t="s">
        <v>422</v>
      </c>
      <c r="E134" s="13">
        <v>42769.789803240739</v>
      </c>
      <c r="F134" s="13">
        <v>42769.791851851849</v>
      </c>
      <c r="G134" s="7">
        <v>2</v>
      </c>
      <c r="H134" s="21" t="s">
        <v>306</v>
      </c>
      <c r="I134" s="13">
        <v>42769.817187499997</v>
      </c>
      <c r="J134" s="7">
        <v>0</v>
      </c>
      <c r="K134" s="98" t="str">
        <f t="shared" si="55"/>
        <v>4043/4044</v>
      </c>
      <c r="L134" s="21" t="str">
        <f>VLOOKUP(A134,'Trips&amp;Operators'!$C$1:$G$99999,5,FALSE)</f>
        <v>BROWN JACOB</v>
      </c>
      <c r="M134" s="6">
        <f t="shared" si="56"/>
        <v>2.5335648148029577E-2</v>
      </c>
      <c r="N134" s="7">
        <f t="shared" si="57"/>
        <v>36.483333333162591</v>
      </c>
      <c r="O134" s="7"/>
      <c r="P134" s="7"/>
      <c r="Q134" s="22"/>
      <c r="R134" s="22"/>
      <c r="S134" s="31">
        <f t="shared" si="58"/>
        <v>1</v>
      </c>
      <c r="T134" s="46" t="str">
        <f t="shared" si="59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60"/>
        <v>https://d0f6bd738d7f1b3e5a7ca70fe4ff75f0.us-east-1.aws.found.io/app/kibana#/discover/Steve-Slow-Train-Analysis-(2080s-and-2083s)?_g=(refreshInterval:(display:Off,pause:!f,section:0,value:0),time:(from:'2017-02-03T17:57:19-0700',mode:absolute,to:'2017-02-03T20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192" t="str">
        <f t="shared" si="61"/>
        <v>N</v>
      </c>
      <c r="X134" s="192">
        <f t="shared" si="62"/>
        <v>1</v>
      </c>
      <c r="Y134" s="62">
        <f t="shared" si="63"/>
        <v>4.7800000000000002E-2</v>
      </c>
      <c r="Z134" s="62">
        <f t="shared" si="64"/>
        <v>23.331099999999999</v>
      </c>
      <c r="AA134" s="62">
        <f t="shared" si="65"/>
        <v>23.283300000000001</v>
      </c>
      <c r="AB134" s="59" t="e">
        <f>VLOOKUP(A134,Enforcements!$C$7:$K$16,8,0)</f>
        <v>#N/A</v>
      </c>
      <c r="AC134" s="55" t="e">
        <f>VLOOKUP(A134,Enforcements!$C$7:$E$16,3,0)</f>
        <v>#N/A</v>
      </c>
      <c r="AD134" s="56" t="str">
        <f t="shared" si="66"/>
        <v>0221-03</v>
      </c>
      <c r="AE134" s="85" t="str">
        <f t="shared" si="67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134" s="82" t="str">
        <f t="shared" si="68"/>
        <v>"C:\Program Files (x86)\AstroGrep\AstroGrep.exe" /spath="%USERPROFILE%\AppData\Local\Temp\OnboardLogs" /stypes="app*4044*20170204*" /stext=" 02:.+((SYSTEM_STATE.+slice.+state.+changed )|(ment ac)|(multiple cpu faults)|(system.+state.+changed )|(\[timeout)|(PRM\|1\|D)|(kpr)|(kdp)|(\|lc)|(penalty))" /e /r /s</v>
      </c>
      <c r="AG134" s="1" t="str">
        <f t="shared" si="69"/>
        <v>EC</v>
      </c>
      <c r="AH134" s="86" t="str">
        <f t="shared" si="70"/>
        <v>"%USERPROFILE%\Documents\GitHub\eaglep3\Utilities\RefineRTDCRunTimes.py" --tripid 221-03 --locoid 4044 --swversion DE.1.0.8.0 --startMP 204:478 --initTime 2017-02-03T18:57:19 --startdatetime 2017-02-03T19:00:16 --delay 2 --endMP 204:233311 --enddatetime 2017-02-03T19:36:45 --enforcementcount 0 &gt;&gt;C:\Users\stu\Documents\GitHub\eaglep3-reporting\EC\2017-02-03-refined-times.txt</v>
      </c>
      <c r="AI134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{"issue":{"subject":"","project_id":79,"tracker_id":40,"status_id":1,"priority_id":2,"assigned_to_id":23,"start_date":"2017-02-03","description":"","custom_fields":[{"id":1,"name":"Subdivision","value":"EC"},{"id":4,"name":"Milepost","value":"23.3311"},{"id":17,"name":"Train ID","value":"221-03"},{"id":16,"name":"Locomotive ID","value":"4044"},{"id":130,"name":"Impact","value":""},{"id":150,"name":"Time of Event (Mountain Time)","value":"19:36:45"},{"id":151,"name":"Denver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8" t="str">
        <f t="shared" si="72"/>
        <v>start /low /b %USERPROFILE%\Documents\GitHub\eaglep3\Utilities\DownloadLogsFromS3.py --loco 4044 --day 2017-02-03</v>
      </c>
      <c r="AN134" s="167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"%USERPROFILE%\AppData\Local\Temp\OnboardLogs"\RTDC4044\*4044*20170204* | grep -SE "(Enforcement Action)|(\[TIMEOUT)|(CHR.+\|PRM\|1\|D.+(SWITCH|SIGNAL).+UNKNOWN)" - &gt;&gt; 2017-02-03-UncaughtWiMAX.txt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738</v>
      </c>
      <c r="B135" s="7">
        <v>4043</v>
      </c>
      <c r="C135" s="21" t="s">
        <v>193</v>
      </c>
      <c r="D135" s="21" t="s">
        <v>333</v>
      </c>
      <c r="E135" s="13">
        <v>42769.826423611114</v>
      </c>
      <c r="F135" s="13">
        <v>42769.830775462964</v>
      </c>
      <c r="G135" s="7">
        <v>1</v>
      </c>
      <c r="H135" s="21" t="s">
        <v>283</v>
      </c>
      <c r="I135" s="13">
        <v>42769.857627314814</v>
      </c>
      <c r="J135" s="7">
        <v>0</v>
      </c>
      <c r="K135" s="98" t="str">
        <f t="shared" si="55"/>
        <v>4043/4044</v>
      </c>
      <c r="L135" s="21" t="str">
        <f>VLOOKUP(A135,'Trips&amp;Operators'!$C$1:$G$99999,5,FALSE)</f>
        <v>BROWN JACOB</v>
      </c>
      <c r="M135" s="6">
        <f t="shared" si="56"/>
        <v>2.6851851849642117E-2</v>
      </c>
      <c r="N135" s="7">
        <f t="shared" si="57"/>
        <v>38.666666663484648</v>
      </c>
      <c r="O135" s="7"/>
      <c r="P135" s="7"/>
      <c r="Q135" s="22"/>
      <c r="R135" s="22"/>
      <c r="S135" s="31">
        <f t="shared" si="58"/>
        <v>1</v>
      </c>
      <c r="T135" s="46" t="str">
        <f t="shared" si="59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60"/>
        <v>https://d0f6bd738d7f1b3e5a7ca70fe4ff75f0.us-east-1.aws.found.io/app/kibana#/discover/Steve-Slow-Train-Analysis-(2080s-and-2083s)?_g=(refreshInterval:(display:Off,pause:!f,section:0,value:0),time:(from:'2017-02-03T18:50:03-0700',mode:absolute,to:'2017-02-03T21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192" t="str">
        <f t="shared" si="61"/>
        <v>N</v>
      </c>
      <c r="X135" s="192">
        <f t="shared" si="62"/>
        <v>1</v>
      </c>
      <c r="Y135" s="62">
        <f t="shared" si="63"/>
        <v>23.2986</v>
      </c>
      <c r="Z135" s="62">
        <f t="shared" si="64"/>
        <v>1.3599999999999999E-2</v>
      </c>
      <c r="AA135" s="62">
        <f t="shared" si="65"/>
        <v>23.285</v>
      </c>
      <c r="AB135" s="59" t="e">
        <f>VLOOKUP(A135,Enforcements!$C$7:$K$16,8,0)</f>
        <v>#N/A</v>
      </c>
      <c r="AC135" s="55" t="e">
        <f>VLOOKUP(A135,Enforcements!$C$7:$E$16,3,0)</f>
        <v>#N/A</v>
      </c>
      <c r="AD135" s="56" t="str">
        <f t="shared" si="66"/>
        <v>0222-03</v>
      </c>
      <c r="AE135" s="85" t="str">
        <f t="shared" si="67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135" s="82" t="str">
        <f t="shared" si="68"/>
        <v>"C:\Program Files (x86)\AstroGrep\AstroGrep.exe" /spath="%USERPROFILE%\AppData\Local\Temp\OnboardLogs" /stypes="app*4043*20170204*" /stext=" 03:.+((SYSTEM_STATE.+slice.+state.+changed )|(ment ac)|(multiple cpu faults)|(system.+state.+changed )|(\[timeout)|(PRM\|1\|D)|(kpr)|(kdp)|(\|lc)|(penalty))" /e /r /s</v>
      </c>
      <c r="AG135" s="1" t="str">
        <f t="shared" si="69"/>
        <v>EC</v>
      </c>
      <c r="AH135" s="86" t="str">
        <f t="shared" si="70"/>
        <v>"%USERPROFILE%\Documents\GitHub\eaglep3\Utilities\RefineRTDCRunTimes.py" --tripid 222-03 --locoid 4043 --swversion DE.1.0.8.0 --startMP 204:232986 --initTime 2017-02-03T19:50:03 --startdatetime 2017-02-03T19:56:19 --delay 1 --endMP 204:136 --enddatetime 2017-02-03T20:34:59 --enforcementcount 0 &gt;&gt;C:\Users\stu\Documents\GitHub\eaglep3-reporting\EC\2017-02-03-refined-times.txt</v>
      </c>
      <c r="AI135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{"issue":{"subject":"","project_id":79,"tracker_id":40,"status_id":1,"priority_id":2,"assigned_to_id":23,"start_date":"2017-02-03","description":"","custom_fields":[{"id":1,"name":"Subdivision","value":"EC"},{"id":4,"name":"Milepost","value":"0.0136"},{"id":17,"name":"Train ID","value":"222-03"},{"id":16,"name":"Locomotive ID","value":"4043"},{"id":130,"name":"Impact","value":""},{"id":150,"name":"Time of Event (Mountain Time)","value":"20:34:59"},{"id":151,"name":"Denver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8" t="str">
        <f t="shared" si="72"/>
        <v>start /low /b %USERPROFILE%\Documents\GitHub\eaglep3\Utilities\DownloadLogsFromS3.py --loco 4043 --day 2017-02-03</v>
      </c>
      <c r="AN135" s="167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"%USERPROFILE%\AppData\Local\Temp\OnboardLogs"\RTDC4043\*4043*20170204* | grep -SE "(Enforcement Action)|(\[TIMEOUT)|(CHR.+\|PRM\|1\|D.+(SWITCH|SIGNAL).+UNKNOWN)" - &gt;&gt; 2017-02-03-UncaughtWiMAX.txt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550</v>
      </c>
      <c r="B136" s="7">
        <v>4025</v>
      </c>
      <c r="C136" s="21" t="s">
        <v>193</v>
      </c>
      <c r="D136" s="21" t="s">
        <v>276</v>
      </c>
      <c r="E136" s="13">
        <v>42769.807858796295</v>
      </c>
      <c r="F136" s="13">
        <v>42769.812835648147</v>
      </c>
      <c r="G136" s="7">
        <v>2</v>
      </c>
      <c r="H136" s="21" t="s">
        <v>307</v>
      </c>
      <c r="I136" s="13">
        <v>42769.837465277778</v>
      </c>
      <c r="J136" s="7">
        <v>1</v>
      </c>
      <c r="K136" s="98" t="str">
        <f t="shared" si="55"/>
        <v>4025/4026</v>
      </c>
      <c r="L136" s="21" t="str">
        <f>VLOOKUP(A136,'Trips&amp;Operators'!$C$1:$G$99999,5,FALSE)</f>
        <v>STORY SAMANTHA</v>
      </c>
      <c r="M136" s="6">
        <f t="shared" si="56"/>
        <v>2.4629629631817807E-2</v>
      </c>
      <c r="N136" s="7">
        <f t="shared" si="57"/>
        <v>35.466666669817641</v>
      </c>
      <c r="O136" s="7"/>
      <c r="P136" s="7"/>
      <c r="Q136" s="22"/>
      <c r="R136" s="22"/>
      <c r="S136" s="31">
        <f t="shared" si="58"/>
        <v>1</v>
      </c>
      <c r="T136" s="46" t="str">
        <f t="shared" si="59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60"/>
        <v>https://d0f6bd738d7f1b3e5a7ca70fe4ff75f0.us-east-1.aws.found.io/app/kibana#/discover/Steve-Slow-Train-Analysis-(2080s-and-2083s)?_g=(refreshInterval:(display:Off,pause:!f,section:0,value:0),time:(from:'2017-02-03T18:23:19-0700',mode:absolute,to:'2017-02-03T21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6" s="192" t="str">
        <f t="shared" si="61"/>
        <v>N</v>
      </c>
      <c r="X136" s="192">
        <f t="shared" si="62"/>
        <v>1</v>
      </c>
      <c r="Y136" s="62">
        <f t="shared" si="63"/>
        <v>4.7100000000000003E-2</v>
      </c>
      <c r="Z136" s="62">
        <f t="shared" si="64"/>
        <v>23.3308</v>
      </c>
      <c r="AA136" s="62">
        <f t="shared" si="65"/>
        <v>23.2837</v>
      </c>
      <c r="AB136" s="59" t="str">
        <f>VLOOKUP(A136,Enforcements!$C$7:$K$16,8,0)</f>
        <v>Bulletin (2)</v>
      </c>
      <c r="AC136" s="55" t="str">
        <f>VLOOKUP(A136,Enforcements!$C$7:$E$16,3,0)</f>
        <v>GRADE CROSSING</v>
      </c>
      <c r="AD136" s="56" t="str">
        <f t="shared" si="66"/>
        <v>0223-03</v>
      </c>
      <c r="AE136" s="85" t="str">
        <f t="shared" si="67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136" s="82" t="str">
        <f t="shared" si="68"/>
        <v>"C:\Program Files (x86)\AstroGrep\AstroGrep.exe" /spath="%USERPROFILE%\AppData\Local\Temp\OnboardLogs" /stypes="app*4025*20170204*" /stext=" 03:.+((SYSTEM_STATE.+slice.+state.+changed )|(ment ac)|(multiple cpu faults)|(system.+state.+changed )|(\[timeout)|(PRM\|1\|D)|(kpr)|(kdp)|(\|lc)|(penalty))" /e /r /s</v>
      </c>
      <c r="AG136" s="1" t="str">
        <f t="shared" si="69"/>
        <v>EC</v>
      </c>
      <c r="AH136" s="86" t="str">
        <f t="shared" si="70"/>
        <v>"%USERPROFILE%\Documents\GitHub\eaglep3\Utilities\RefineRTDCRunTimes.py" --tripid 223-03 --locoid 4025 --swversion DE.1.0.8.0 --startMP 204:471 --initTime 2017-02-03T19:23:19 --startdatetime 2017-02-03T19:30:29 --delay 2 --endMP 204:233308 --enddatetime 2017-02-03T20:05:57 --enforcementcount 1 &gt;&gt;C:\Users\stu\Documents\GitHub\eaglep3-reporting\EC\2017-02-03-refined-times.txt</v>
      </c>
      <c r="AI136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{"issue":{"subject":"","project_id":79,"tracker_id":40,"status_id":1,"priority_id":2,"assigned_to_id":23,"start_date":"2017-02-03","description":"","custom_fields":[{"id":1,"name":"Subdivision","value":"EC"},{"id":4,"name":"Milepost","value":"23.3308"},{"id":17,"name":"Train ID","value":"223-03"},{"id":16,"name":"Locomotive ID","value":"4025"},{"id":130,"name":"Impact","value":""},{"id":150,"name":"Time of Event (Mountain Time)","value":"20:05:57"},{"id":151,"name":"Denver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8" t="str">
        <f t="shared" si="72"/>
        <v>start /low /b %USERPROFILE%\Documents\GitHub\eaglep3\Utilities\DownloadLogsFromS3.py --loco 4025 --day 2017-02-03</v>
      </c>
      <c r="AN136" s="167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"%USERPROFILE%\AppData\Local\Temp\OnboardLogs"\RTDC4025\*4025*20170204* | grep -SE "(Enforcement Action)|(\[TIMEOUT)|(CHR.+\|PRM\|1\|D.+(SWITCH|SIGNAL).+UNKNOWN)" - &gt;&gt; 2017-02-03-UncaughtWiMAX.txt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742</v>
      </c>
      <c r="B137" s="7">
        <v>4026</v>
      </c>
      <c r="C137" s="21" t="s">
        <v>193</v>
      </c>
      <c r="D137" s="21" t="s">
        <v>429</v>
      </c>
      <c r="E137" s="13">
        <v>42769.84511574074</v>
      </c>
      <c r="F137" s="13">
        <v>42769.851747685185</v>
      </c>
      <c r="G137" s="7">
        <v>1</v>
      </c>
      <c r="H137" s="21" t="s">
        <v>208</v>
      </c>
      <c r="I137" s="13">
        <v>42769.878333333334</v>
      </c>
      <c r="J137" s="7">
        <v>0</v>
      </c>
      <c r="K137" s="98" t="str">
        <f t="shared" si="55"/>
        <v>4025/4026</v>
      </c>
      <c r="L137" s="21" t="str">
        <f>VLOOKUP(A137,'Trips&amp;Operators'!$C$1:$G$99999,5,FALSE)</f>
        <v>STORY SAMANTHA</v>
      </c>
      <c r="M137" s="6">
        <f t="shared" si="56"/>
        <v>2.658564814919373E-2</v>
      </c>
      <c r="N137" s="7">
        <f t="shared" si="57"/>
        <v>38.283333334838971</v>
      </c>
      <c r="O137" s="7"/>
      <c r="P137" s="7"/>
      <c r="Q137" s="22"/>
      <c r="R137" s="22"/>
      <c r="S137" s="31">
        <f t="shared" si="58"/>
        <v>1</v>
      </c>
      <c r="T137" s="46" t="str">
        <f t="shared" si="59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60"/>
        <v>https://d0f6bd738d7f1b3e5a7ca70fe4ff75f0.us-east-1.aws.found.io/app/kibana#/discover/Steve-Slow-Train-Analysis-(2080s-and-2083s)?_g=(refreshInterval:(display:Off,pause:!f,section:0,value:0),time:(from:'2017-02-03T19:16:58-0700',mode:absolute,to:'2017-02-03T22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192" t="str">
        <f t="shared" si="61"/>
        <v>N</v>
      </c>
      <c r="X137" s="192">
        <f t="shared" si="62"/>
        <v>1</v>
      </c>
      <c r="Y137" s="62">
        <f t="shared" si="63"/>
        <v>23.297000000000001</v>
      </c>
      <c r="Z137" s="62">
        <f t="shared" si="64"/>
        <v>1.6E-2</v>
      </c>
      <c r="AA137" s="62">
        <f t="shared" si="65"/>
        <v>23.281000000000002</v>
      </c>
      <c r="AB137" s="59" t="e">
        <f>VLOOKUP(A137,Enforcements!$C$7:$K$16,8,0)</f>
        <v>#N/A</v>
      </c>
      <c r="AC137" s="55" t="e">
        <f>VLOOKUP(A137,Enforcements!$C$7:$E$16,3,0)</f>
        <v>#N/A</v>
      </c>
      <c r="AD137" s="56" t="str">
        <f t="shared" si="66"/>
        <v>0224-03</v>
      </c>
      <c r="AE137" s="85" t="str">
        <f t="shared" si="67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137" s="82" t="str">
        <f t="shared" si="68"/>
        <v>"C:\Program Files (x86)\AstroGrep\AstroGrep.exe" /spath="%USERPROFILE%\AppData\Local\Temp\OnboardLogs" /stypes="app*4026*20170204*" /stext=" 04:.+((SYSTEM_STATE.+slice.+state.+changed )|(ment ac)|(multiple cpu faults)|(system.+state.+changed )|(\[timeout)|(PRM\|1\|D)|(kpr)|(kdp)|(\|lc)|(penalty))" /e /r /s</v>
      </c>
      <c r="AG137" s="1" t="str">
        <f t="shared" si="69"/>
        <v>EC</v>
      </c>
      <c r="AH137" s="86" t="str">
        <f t="shared" si="70"/>
        <v>"%USERPROFILE%\Documents\GitHub\eaglep3\Utilities\RefineRTDCRunTimes.py" --tripid 224-03 --locoid 4026 --swversion DE.1.0.8.0 --startMP 204:232970 --initTime 2017-02-03T20:16:58 --startdatetime 2017-02-03T20:26:31 --delay 1 --endMP 204:160 --enddatetime 2017-02-03T21:04:48 --enforcementcount 0 &gt;&gt;C:\Users\stu\Documents\GitHub\eaglep3-reporting\EC\2017-02-03-refined-times.txt</v>
      </c>
      <c r="AI137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{"issue":{"subject":"","project_id":79,"tracker_id":40,"status_id":1,"priority_id":2,"assigned_to_id":23,"start_date":"2017-02-03","description":"","custom_fields":[{"id":1,"name":"Subdivision","value":"EC"},{"id":4,"name":"Milepost","value":"0.016"},{"id":17,"name":"Train ID","value":"224-03"},{"id":16,"name":"Locomotive ID","value":"4026"},{"id":130,"name":"Impact","value":""},{"id":150,"name":"Time of Event (Mountain Time)","value":"21:04:48"},{"id":151,"name":"Denver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8" t="str">
        <f t="shared" si="72"/>
        <v>start /low /b %USERPROFILE%\Documents\GitHub\eaglep3\Utilities\DownloadLogsFromS3.py --loco 4026 --day 2017-02-03</v>
      </c>
      <c r="AN137" s="167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"%USERPROFILE%\AppData\Local\Temp\OnboardLogs"\RTDC4026\*4026*20170204* | grep -SE "(Enforcement Action)|(\[TIMEOUT)|(CHR.+\|PRM\|1\|D.+(SWITCH|SIGNAL).+UNKNOWN)" - &gt;&gt; 2017-02-03-UncaughtWiMAX.txt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739</v>
      </c>
      <c r="B138" s="7">
        <v>4031</v>
      </c>
      <c r="C138" s="21" t="s">
        <v>193</v>
      </c>
      <c r="D138" s="21" t="s">
        <v>367</v>
      </c>
      <c r="E138" s="13">
        <v>42769.827557870369</v>
      </c>
      <c r="F138" s="13">
        <v>42769.833495370367</v>
      </c>
      <c r="G138" s="7">
        <v>1</v>
      </c>
      <c r="H138" s="21" t="s">
        <v>366</v>
      </c>
      <c r="I138" s="13">
        <v>42769.858310185184</v>
      </c>
      <c r="J138" s="7">
        <v>0</v>
      </c>
      <c r="K138" s="98" t="str">
        <f t="shared" si="55"/>
        <v>4031/4032</v>
      </c>
      <c r="L138" s="21" t="str">
        <f>VLOOKUP(A138,'Trips&amp;Operators'!$C$1:$G$99999,5,FALSE)</f>
        <v>PERKINS DARREN</v>
      </c>
      <c r="M138" s="6">
        <f t="shared" si="56"/>
        <v>2.4814814816636499E-2</v>
      </c>
      <c r="N138" s="7">
        <f t="shared" si="57"/>
        <v>35.733333335956559</v>
      </c>
      <c r="O138" s="7"/>
      <c r="P138" s="7"/>
      <c r="Q138" s="22"/>
      <c r="R138" s="22"/>
      <c r="S138" s="31">
        <f t="shared" si="58"/>
        <v>1</v>
      </c>
      <c r="T138" s="46" t="str">
        <f t="shared" si="59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60"/>
        <v>https://d0f6bd738d7f1b3e5a7ca70fe4ff75f0.us-east-1.aws.found.io/app/kibana#/discover/Steve-Slow-Train-Analysis-(2080s-and-2083s)?_g=(refreshInterval:(display:Off,pause:!f,section:0,value:0),time:(from:'2017-02-03T18:51:41-0700',mode:absolute,to:'2017-02-03T21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92" t="str">
        <f t="shared" si="61"/>
        <v>N</v>
      </c>
      <c r="X138" s="192">
        <f t="shared" si="62"/>
        <v>1</v>
      </c>
      <c r="Y138" s="62">
        <f t="shared" si="63"/>
        <v>4.4200000000000003E-2</v>
      </c>
      <c r="Z138" s="62">
        <f t="shared" si="64"/>
        <v>23.3293</v>
      </c>
      <c r="AA138" s="62">
        <f t="shared" si="65"/>
        <v>23.2851</v>
      </c>
      <c r="AB138" s="59" t="e">
        <f>VLOOKUP(A138,Enforcements!$C$7:$K$16,8,0)</f>
        <v>#N/A</v>
      </c>
      <c r="AC138" s="55" t="e">
        <f>VLOOKUP(A138,Enforcements!$C$7:$E$16,3,0)</f>
        <v>#N/A</v>
      </c>
      <c r="AD138" s="56" t="str">
        <f t="shared" si="66"/>
        <v>0225-03</v>
      </c>
      <c r="AE138" s="85" t="str">
        <f t="shared" si="67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138" s="82" t="str">
        <f t="shared" si="68"/>
        <v>"C:\Program Files (x86)\AstroGrep\AstroGrep.exe" /spath="%USERPROFILE%\AppData\Local\Temp\OnboardLogs" /stypes="app*4031*20170204*" /stext=" 03:.+((SYSTEM_STATE.+slice.+state.+changed )|(ment ac)|(multiple cpu faults)|(system.+state.+changed )|(\[timeout)|(PRM\|1\|D)|(kpr)|(kdp)|(\|lc)|(penalty))" /e /r /s</v>
      </c>
      <c r="AG138" s="1" t="str">
        <f t="shared" si="69"/>
        <v>EC</v>
      </c>
      <c r="AH138" s="86" t="str">
        <f t="shared" si="70"/>
        <v>"%USERPROFILE%\Documents\GitHub\eaglep3\Utilities\RefineRTDCRunTimes.py" --tripid 225-03 --locoid 4031 --swversion DE.1.0.8.0 --startMP 204:442 --initTime 2017-02-03T19:51:41 --startdatetime 2017-02-03T20:00:14 --delay 1 --endMP 204:233293 --enddatetime 2017-02-03T20:35:58 --enforcementcount 0 &gt;&gt;C:\Users\stu\Documents\GitHub\eaglep3-reporting\EC\2017-02-03-refined-times.txt</v>
      </c>
      <c r="AI138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{"issue":{"subject":"","project_id":79,"tracker_id":40,"status_id":1,"priority_id":2,"assigned_to_id":23,"start_date":"2017-02-03","description":"","custom_fields":[{"id":1,"name":"Subdivision","value":"EC"},{"id":4,"name":"Milepost","value":"23.3293"},{"id":17,"name":"Train ID","value":"225-03"},{"id":16,"name":"Locomotive ID","value":"4031"},{"id":130,"name":"Impact","value":""},{"id":150,"name":"Time of Event (Mountain Time)","value":"20:35:58"},{"id":151,"name":"Denver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8" t="str">
        <f t="shared" si="72"/>
        <v>start /low /b %USERPROFILE%\Documents\GitHub\eaglep3\Utilities\DownloadLogsFromS3.py --loco 4031 --day 2017-02-03</v>
      </c>
      <c r="AN138" s="167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"%USERPROFILE%\AppData\Local\Temp\OnboardLogs"\RTDC4031\*4031*20170204* | grep -SE "(Enforcement Action)|(\[TIMEOUT)|(CHR.+\|PRM\|1\|D.+(SWITCH|SIGNAL).+UNKNOWN)" - &gt;&gt; 2017-02-03-UncaughtWiMAX.txt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744</v>
      </c>
      <c r="B139" s="7">
        <v>4032</v>
      </c>
      <c r="C139" s="21" t="s">
        <v>193</v>
      </c>
      <c r="D139" s="21" t="s">
        <v>800</v>
      </c>
      <c r="E139" s="13">
        <v>42769.864062499997</v>
      </c>
      <c r="F139" s="13">
        <v>42769.872731481482</v>
      </c>
      <c r="G139" s="7">
        <v>1</v>
      </c>
      <c r="H139" s="21" t="s">
        <v>212</v>
      </c>
      <c r="I139" s="13">
        <v>42769.900694444441</v>
      </c>
      <c r="J139" s="7">
        <v>0</v>
      </c>
      <c r="K139" s="98" t="str">
        <f t="shared" si="55"/>
        <v>4031/4032</v>
      </c>
      <c r="L139" s="21" t="str">
        <f>VLOOKUP(A139,'Trips&amp;Operators'!$C$1:$G$99999,5,FALSE)</f>
        <v>PERKINS DARREN</v>
      </c>
      <c r="M139" s="6">
        <f t="shared" si="56"/>
        <v>2.7962962958554272E-2</v>
      </c>
      <c r="N139" s="7">
        <f t="shared" si="57"/>
        <v>40.266666660318151</v>
      </c>
      <c r="O139" s="7"/>
      <c r="P139" s="7"/>
      <c r="Q139" s="22"/>
      <c r="R139" s="22"/>
      <c r="S139" s="31">
        <f t="shared" si="58"/>
        <v>1</v>
      </c>
      <c r="T139" s="46" t="str">
        <f t="shared" si="59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60"/>
        <v>https://d0f6bd738d7f1b3e5a7ca70fe4ff75f0.us-east-1.aws.found.io/app/kibana#/discover/Steve-Slow-Train-Analysis-(2080s-and-2083s)?_g=(refreshInterval:(display:Off,pause:!f,section:0,value:0),time:(from:'2017-02-03T19:44:15-0700',mode:absolute,to:'2017-02-03T22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192" t="str">
        <f t="shared" si="61"/>
        <v>N</v>
      </c>
      <c r="X139" s="192">
        <f t="shared" si="62"/>
        <v>1</v>
      </c>
      <c r="Y139" s="62">
        <f t="shared" si="63"/>
        <v>23.3</v>
      </c>
      <c r="Z139" s="62">
        <f t="shared" si="64"/>
        <v>1.52E-2</v>
      </c>
      <c r="AA139" s="62">
        <f t="shared" si="65"/>
        <v>23.284800000000001</v>
      </c>
      <c r="AB139" s="59" t="e">
        <f>VLOOKUP(A139,Enforcements!$C$7:$K$16,8,0)</f>
        <v>#N/A</v>
      </c>
      <c r="AC139" s="55" t="e">
        <f>VLOOKUP(A139,Enforcements!$C$7:$E$16,3,0)</f>
        <v>#N/A</v>
      </c>
      <c r="AD139" s="56" t="str">
        <f t="shared" si="66"/>
        <v>0226-03</v>
      </c>
      <c r="AE139" s="85" t="str">
        <f t="shared" si="67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139" s="82" t="str">
        <f t="shared" si="68"/>
        <v>"C:\Program Files (x86)\AstroGrep\AstroGrep.exe" /spath="%USERPROFILE%\AppData\Local\Temp\OnboardLogs" /stypes="app*4032*20170204*" /stext=" 04:.+((SYSTEM_STATE.+slice.+state.+changed )|(ment ac)|(multiple cpu faults)|(system.+state.+changed )|(\[timeout)|(PRM\|1\|D)|(kpr)|(kdp)|(\|lc)|(penalty))" /e /r /s</v>
      </c>
      <c r="AG139" s="1" t="str">
        <f t="shared" si="69"/>
        <v>EC</v>
      </c>
      <c r="AH139" s="86" t="str">
        <f t="shared" si="70"/>
        <v>"%USERPROFILE%\Documents\GitHub\eaglep3\Utilities\RefineRTDCRunTimes.py" --tripid 226-03 --locoid 4032 --swversion DE.1.0.8.0 --startMP 204:233000 --initTime 2017-02-03T20:44:15 --startdatetime 2017-02-03T20:56:44 --delay 1 --endMP 204:152 --enddatetime 2017-02-03T21:37:00 --enforcementcount 0 &gt;&gt;C:\Users\stu\Documents\GitHub\eaglep3-reporting\EC\2017-02-03-refined-times.txt</v>
      </c>
      <c r="AI139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{"issue":{"subject":"","project_id":79,"tracker_id":40,"status_id":1,"priority_id":2,"assigned_to_id":23,"start_date":"2017-02-03","description":"","custom_fields":[{"id":1,"name":"Subdivision","value":"EC"},{"id":4,"name":"Milepost","value":"0.0152"},{"id":17,"name":"Train ID","value":"226-03"},{"id":16,"name":"Locomotive ID","value":"4032"},{"id":130,"name":"Impact","value":""},{"id":150,"name":"Time of Event (Mountain Time)","value":"21:37:00"},{"id":151,"name":"Denver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8" t="str">
        <f t="shared" si="72"/>
        <v>start /low /b %USERPROFILE%\Documents\GitHub\eaglep3\Utilities\DownloadLogsFromS3.py --loco 4032 --day 2017-02-03</v>
      </c>
      <c r="AN139" s="167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"%USERPROFILE%\AppData\Local\Temp\OnboardLogs"\RTDC4032\*4032*20170204* | grep -SE "(Enforcement Action)|(\[TIMEOUT)|(CHR.+\|PRM\|1\|D.+(SWITCH|SIGNAL).+UNKNOWN)" - &gt;&gt; 2017-02-03-UncaughtWiMAX.txt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741</v>
      </c>
      <c r="B140" s="7">
        <v>4022</v>
      </c>
      <c r="C140" s="21" t="s">
        <v>193</v>
      </c>
      <c r="D140" s="21" t="s">
        <v>310</v>
      </c>
      <c r="E140" s="13">
        <v>42769.841805555552</v>
      </c>
      <c r="F140" s="13">
        <v>42769.842928240738</v>
      </c>
      <c r="G140" s="7">
        <v>1</v>
      </c>
      <c r="H140" s="21" t="s">
        <v>820</v>
      </c>
      <c r="I140" s="13">
        <v>42769.86278935185</v>
      </c>
      <c r="J140" s="7">
        <v>0</v>
      </c>
      <c r="K140" s="98" t="str">
        <f t="shared" si="55"/>
        <v>4021/4022</v>
      </c>
      <c r="L140" s="21" t="str">
        <f>VLOOKUP(A140,'Trips&amp;Operators'!$C$1:$G$99999,5,FALSE)</f>
        <v>HILLS DUSTIN</v>
      </c>
      <c r="M140" s="6">
        <f t="shared" si="56"/>
        <v>1.9861111111822538E-2</v>
      </c>
      <c r="N140" s="7"/>
      <c r="O140" s="7"/>
      <c r="P140" s="7">
        <f>24*60*SUM($M140:$M141)</f>
        <v>51.53333334135823</v>
      </c>
      <c r="Q140" s="22"/>
      <c r="R140" s="22" t="s">
        <v>926</v>
      </c>
      <c r="S140" s="31">
        <f>SUM(U140:U141)/IF(AG140="EC",12,1)</f>
        <v>0.83333333333333337</v>
      </c>
      <c r="T140" s="46" t="str">
        <f t="shared" si="59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6</v>
      </c>
      <c r="V140" s="191" t="str">
        <f t="shared" si="60"/>
        <v>https://d0f6bd738d7f1b3e5a7ca70fe4ff75f0.us-east-1.aws.found.io/app/kibana#/discover/Steve-Slow-Train-Analysis-(2080s-and-2083s)?_g=(refreshInterval:(display:Off,pause:!f,section:0,value:0),time:(from:'2017-02-03T19:12:12-0700',mode:absolute,to:'2017-02-03T21:42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0" s="192" t="str">
        <f t="shared" si="61"/>
        <v>Y</v>
      </c>
      <c r="X140" s="192">
        <f t="shared" si="62"/>
        <v>1</v>
      </c>
      <c r="Y140" s="62">
        <f t="shared" si="63"/>
        <v>4.3700000000000003E-2</v>
      </c>
      <c r="Z140" s="62">
        <v>5.7060000000000004</v>
      </c>
      <c r="AA140" s="62">
        <f t="shared" si="65"/>
        <v>5.6623000000000001</v>
      </c>
      <c r="AB140" s="59" t="e">
        <f>VLOOKUP(A140,Enforcements!$C$7:$K$16,8,0)</f>
        <v>#N/A</v>
      </c>
      <c r="AC140" s="55" t="e">
        <f>VLOOKUP(A140,Enforcements!$C$7:$E$16,3,0)</f>
        <v>#N/A</v>
      </c>
      <c r="AD140" s="56" t="str">
        <f t="shared" si="66"/>
        <v>0227-03</v>
      </c>
      <c r="AE140" s="85" t="str">
        <f t="shared" si="67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140" s="82" t="str">
        <f t="shared" si="68"/>
        <v>"C:\Program Files (x86)\AstroGrep\AstroGrep.exe" /spath="%USERPROFILE%\AppData\Local\Temp\OnboardLogs" /stypes="app*4022*20170204*" /stext=" 03:.+((SYSTEM_STATE.+slice.+state.+changed )|(ment ac)|(multiple cpu faults)|(system.+state.+changed )|(\[timeout)|(PRM\|1\|D)|(kpr)|(kdp)|(\|lc)|(penalty))" /e /r /s</v>
      </c>
      <c r="AG140" s="1" t="str">
        <f t="shared" si="69"/>
        <v>EC</v>
      </c>
      <c r="AH140" s="86" t="str">
        <f t="shared" si="70"/>
        <v>"%USERPROFILE%\Documents\GitHub\eaglep3\Utilities\RefineRTDCRunTimes.py" --tripid 227-03 --locoid 4022 --swversion DE.1.0.8.0 --startMP 204:437 --initTime 2017-02-03T20:12:12 --startdatetime 2017-02-03T20:13:49 --delay 1 --endMP 204:233395 --enddatetime 2017-02-03T20:42:25 --enforcementcount 0 &gt;&gt;C:\Users\stu\Documents\GitHub\eaglep3-reporting\EC\2017-02-03-refined-times.txt</v>
      </c>
      <c r="AI140" s="108" t="str">
        <f t="shared" si="71"/>
        <v>echo {"issue":{"subject":"Wheel tach slip, failsafe to braking due to active XING session","project_id":79,"tracker_id":40,"status_id":1,"priority_id":2,"assigned_to_id":23,"start_date":"2017-02-03","description":"","custom_fields":[{"id":1,"name":"Subdivision","value":"EC"},{"id":4,"name":"Milepost","value":"5.706"},{"id":17,"name":"Train ID","value":"227-03"},{"id":16,"name":"Locomotive ID","value":"4022"},{"id":130,"name":"Impact","value":""},{"id":150,"name":"Time of Event (Mountain Time)","value":"20:42:25"},{"id":151,"name":"Denver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8" t="str">
        <f t="shared" si="72"/>
        <v>start /low /b %USERPROFILE%\Documents\GitHub\eaglep3\Utilities\DownloadLogsFromS3.py --loco 4022 --day 2017-02-03</v>
      </c>
      <c r="AN140" s="167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"%USERPROFILE%\AppData\Local\Temp\OnboardLogs"\RTDC4022\*4022*20170204* | grep -SE "(Enforcement Action)|(\[TIMEOUT)|(CHR.+\|PRM\|1\|D.+(SWITCH|SIGNAL).+UNKNOWN)" - &gt;&gt; 2017-02-03-UncaughtWiMAX.txt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741</v>
      </c>
      <c r="B141" s="7">
        <v>4022</v>
      </c>
      <c r="C141" s="21" t="s">
        <v>193</v>
      </c>
      <c r="D141" s="21" t="s">
        <v>821</v>
      </c>
      <c r="E141" s="13">
        <v>42769.86445601852</v>
      </c>
      <c r="F141" s="13">
        <v>42769.865405092591</v>
      </c>
      <c r="G141" s="7">
        <v>1</v>
      </c>
      <c r="H141" s="21" t="s">
        <v>820</v>
      </c>
      <c r="I141" s="13">
        <v>42769.881331018521</v>
      </c>
      <c r="J141" s="7">
        <v>0</v>
      </c>
      <c r="K141" s="98" t="str">
        <f t="shared" si="55"/>
        <v>4021/4022</v>
      </c>
      <c r="L141" s="21" t="str">
        <f>VLOOKUP(A141,'Trips&amp;Operators'!$C$1:$G$99999,5,FALSE)</f>
        <v>HILLS DUSTIN</v>
      </c>
      <c r="M141" s="6">
        <f t="shared" si="56"/>
        <v>1.5925925930787344E-2</v>
      </c>
      <c r="N141" s="7"/>
      <c r="O141" s="7"/>
      <c r="P141" s="7"/>
      <c r="Q141" s="22"/>
      <c r="R141" s="22"/>
      <c r="S141" s="31"/>
      <c r="T141" s="46" t="str">
        <f t="shared" si="59"/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4</v>
      </c>
      <c r="V141" s="191" t="str">
        <f t="shared" si="60"/>
        <v>https://d0f6bd738d7f1b3e5a7ca70fe4ff75f0.us-east-1.aws.found.io/app/kibana#/discover/Steve-Slow-Train-Analysis-(2080s-and-2083s)?_g=(refreshInterval:(display:Off,pause:!f,section:0,value:0),time:(from:'2017-02-03T19:44:49-0700',mode:absolute,to:'2017-02-03T22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1" s="192" t="str">
        <f t="shared" si="61"/>
        <v>Y</v>
      </c>
      <c r="X141" s="192">
        <f t="shared" si="62"/>
        <v>0</v>
      </c>
      <c r="Y141" s="62">
        <f t="shared" si="63"/>
        <v>6.2198000000000002</v>
      </c>
      <c r="Z141" s="62">
        <f t="shared" si="64"/>
        <v>23.339500000000001</v>
      </c>
      <c r="AA141" s="62">
        <f t="shared" si="65"/>
        <v>17.119700000000002</v>
      </c>
      <c r="AB141" s="59" t="e">
        <f>VLOOKUP(A141,Enforcements!$C$7:$K$16,8,0)</f>
        <v>#N/A</v>
      </c>
      <c r="AC141" s="55" t="e">
        <f>VLOOKUP(A141,Enforcements!$C$7:$E$16,3,0)</f>
        <v>#N/A</v>
      </c>
      <c r="AD141" s="56" t="str">
        <f t="shared" si="66"/>
        <v>0227-03</v>
      </c>
      <c r="AE141" s="85" t="str">
        <f t="shared" si="67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141" s="82" t="str">
        <f t="shared" si="68"/>
        <v>"C:\Program Files (x86)\AstroGrep\AstroGrep.exe" /spath="%USERPROFILE%\AppData\Local\Temp\OnboardLogs" /stypes="app*4022*20170204*" /stext=" 04:.+((SYSTEM_STATE.+slice.+state.+changed )|(ment ac)|(multiple cpu faults)|(system.+state.+changed )|(\[timeout)|(PRM\|1\|D)|(kpr)|(kdp)|(\|lc)|(penalty))" /e /r /s</v>
      </c>
      <c r="AG141" s="1" t="str">
        <f t="shared" si="69"/>
        <v>EC</v>
      </c>
      <c r="AH141" s="86" t="str">
        <f t="shared" si="70"/>
        <v>"%USERPROFILE%\Documents\GitHub\eaglep3\Utilities\RefineRTDCRunTimes.py" --tripid 227-03 --locoid 4022 --swversion DE.1.0.8.0 --startMP 204:62198 --initTime 2017-02-03T20:44:49 --startdatetime 2017-02-03T20:46:11 --delay 1 --endMP 204:233395 --enddatetime 2017-02-03T21:09:07 --enforcementcount 0 &gt;&gt;C:\Users\stu\Documents\GitHub\eaglep3-reporting\EC\2017-02-03-refined-times.txt</v>
      </c>
      <c r="AI141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{"issue":{"subject":"","project_id":79,"tracker_id":40,"status_id":1,"priority_id":2,"assigned_to_id":23,"start_date":"2017-02-03","description":"","custom_fields":[{"id":1,"name":"Subdivision","value":"EC"},{"id":4,"name":"Milepost","value":"23.3395"},{"id":17,"name":"Train ID","value":"227-03"},{"id":16,"name":"Locomotive ID","value":"4022"},{"id":130,"name":"Impact","value":""},{"id":150,"name":"Time of Event (Mountain Time)","value":"21:09:07"},{"id":151,"name":"Denver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8" t="str">
        <f t="shared" si="72"/>
        <v>start /low /b %USERPROFILE%\Documents\GitHub\eaglep3\Utilities\DownloadLogsFromS3.py --loco 4022 --day 2017-02-03</v>
      </c>
      <c r="AN141" s="167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"%USERPROFILE%\AppData\Local\Temp\OnboardLogs"\RTDC4022\*4022*20170204* | grep -SE "(Enforcement Action)|(\[TIMEOUT)|(CHR.+\|PRM\|1\|D.+(SWITCH|SIGNAL).+UNKNOWN)" - &gt;&gt; 2017-02-03-UncaughtWiMAX.txt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552</v>
      </c>
      <c r="B142" s="7">
        <v>4021</v>
      </c>
      <c r="C142" s="21" t="s">
        <v>193</v>
      </c>
      <c r="D142" s="21" t="s">
        <v>822</v>
      </c>
      <c r="E142" s="13">
        <v>42769.882986111108</v>
      </c>
      <c r="F142" s="13">
        <v>42769.893877314818</v>
      </c>
      <c r="G142" s="7">
        <v>1</v>
      </c>
      <c r="H142" s="21" t="s">
        <v>823</v>
      </c>
      <c r="I142" s="13">
        <v>42769.919803240744</v>
      </c>
      <c r="J142" s="7">
        <v>1</v>
      </c>
      <c r="K142" s="98" t="str">
        <f t="shared" ref="K142:K204" si="73">IF(ISEVEN(B142),(B142-1)&amp;"/"&amp;B142,B142&amp;"/"&amp;(B142+1))</f>
        <v>4021/4022</v>
      </c>
      <c r="L142" s="21" t="str">
        <f>VLOOKUP(A142,'Trips&amp;Operators'!$C$1:$G$99999,5,FALSE)</f>
        <v>HILLS DUSTIN</v>
      </c>
      <c r="M142" s="6">
        <f t="shared" ref="M142:M204" si="74">I142-F142</f>
        <v>2.5925925925548654E-2</v>
      </c>
      <c r="N142" s="7">
        <f t="shared" ref="N142:N204" si="75">24*60*SUM($M142:$M142)</f>
        <v>37.333333332790062</v>
      </c>
      <c r="O142" s="7"/>
      <c r="P142" s="7"/>
      <c r="Q142" s="22"/>
      <c r="R142" s="22"/>
      <c r="S142" s="31">
        <f t="shared" ref="S142:S204" si="76">SUM(U142:U142)/IF(AG142="EC",12,1)</f>
        <v>1</v>
      </c>
      <c r="T142" s="46" t="str">
        <f t="shared" ref="T142:T204" si="77">IF(ISEVEN(LEFT(AD142,4)),"Southbound","NorthBound")</f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ref="V142:V204" si="78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-02-03T20:11:30-0700',mode:absolute,to:'2017-02-03T23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192" t="str">
        <f t="shared" ref="W142:W204" si="79">IF(AA142&lt;IF(AG142="EC",23,5.65),"Y","N")</f>
        <v>N</v>
      </c>
      <c r="X142" s="192">
        <f t="shared" ref="X142:X204" si="80">VALUE(LEFT(AD142,4))-VALUE(LEFT(AD141,4))</f>
        <v>1</v>
      </c>
      <c r="Y142" s="62">
        <f t="shared" ref="Y142:Y204" si="81">RIGHT(D142,LEN(D142)-4)/10000</f>
        <v>23.311299999999999</v>
      </c>
      <c r="Z142" s="62">
        <f t="shared" ref="Z142:Z204" si="82">RIGHT(H142,LEN(H142)-4)/10000</f>
        <v>1.18E-2</v>
      </c>
      <c r="AA142" s="62">
        <f t="shared" ref="AA142:AA204" si="83">ABS(Z142-Y142)</f>
        <v>23.299499999999998</v>
      </c>
      <c r="AB142" s="59" t="str">
        <f>VLOOKUP(A142,Enforcements!$C$7:$K$16,8,0)</f>
        <v>Speed (6)</v>
      </c>
      <c r="AC142" s="55" t="str">
        <f>VLOOKUP(A142,Enforcements!$C$7:$E$16,3,0)</f>
        <v>PERMANENT SPEED RESTRICTION</v>
      </c>
      <c r="AD142" s="56" t="str">
        <f t="shared" ref="AD142:AD204" si="84">IF(LEN(A142)=6,"0"&amp;A142,A142)</f>
        <v>0228-03</v>
      </c>
      <c r="AE142" s="85" t="str">
        <f t="shared" ref="AE142:AE204" si="85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142" s="82" t="str">
        <f t="shared" ref="AF142:AF204" si="86"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/stypes="app*4021*20170204*" /stext=" 05:.+((SYSTEM_STATE.+slice.+state.+changed )|(ment ac)|(multiple cpu faults)|(system.+state.+changed )|(\[timeout)|(PRM\|1\|D)|(kpr)|(kdp)|(\|lc)|(penalty))" /e /r /s</v>
      </c>
      <c r="AG142" s="1" t="str">
        <f t="shared" ref="AG142:AG204" si="87">IFERROR(IF(VALUE(LEFT(AD142,2))&lt;=2,"EC",IF(OR(VALUE(LEFT(AD142,2))=8,VALUE(LEFT(AD142,2))=18),"NW","Other")),"Other")</f>
        <v>EC</v>
      </c>
      <c r="AH142" s="86" t="str">
        <f t="shared" si="70"/>
        <v>"%USERPROFILE%\Documents\GitHub\eaglep3\Utilities\RefineRTDCRunTimes.py" --tripid 228-03 --locoid 4021 --swversion DE.1.0.8.0 --startMP 204:233113 --initTime 2017-02-03T21:11:30 --startdatetime 2017-02-03T21:27:11 --delay 1 --endMP 204:118 --enddatetime 2017-02-03T22:04:31 --enforcementcount 1 &gt;&gt;C:\Users\stu\Documents\GitHub\eaglep3-reporting\EC\2017-02-03-refined-times.txt</v>
      </c>
      <c r="AI142" s="108" t="str">
        <f t="shared" si="71"/>
        <v>echo {"issue":{"subject":"","project_id":79,"tracker_id":40,"status_id":1,"priority_id":2,"assigned_to_id":23,"start_date":"2017-02-03","description":"","custom_fields":[{"id":1,"name":"Subdivision","value":"EC"},{"id":4,"name":"Milepost","value":"0.0118"},{"id":17,"name":"Train ID","value":"228-03"},{"id":16,"name":"Locomotive ID","value":"4021"},{"id":130,"name":"Impact","value":""},{"id":150,"name":"Time of Event (Mountain Time)","value":"22:04:31"},{"id":151,"name":"Denver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8" t="str">
        <f t="shared" si="72"/>
        <v>start /low /b %USERPROFILE%\Documents\GitHub\eaglep3\Utilities\DownloadLogsFromS3.py --loco 4021 --day 2017-02-03</v>
      </c>
      <c r="AN142" s="167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"%USERPROFILE%\AppData\Local\Temp\OnboardLogs"\RTDC4021\*4021*20170204* | grep -SE "(Enforcement Action)|(\[TIMEOUT)|(CHR.+\|PRM\|1\|D.+(SWITCH|SIGNAL).+UNKNOWN)" - &gt;&gt; 2017-02-03-UncaughtWiMAX.txt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745</v>
      </c>
      <c r="B143" s="7">
        <v>4044</v>
      </c>
      <c r="C143" s="21" t="s">
        <v>193</v>
      </c>
      <c r="D143" s="21" t="s">
        <v>415</v>
      </c>
      <c r="E143" s="13">
        <v>42769.866805555554</v>
      </c>
      <c r="F143" s="13">
        <v>42769.875243055554</v>
      </c>
      <c r="G143" s="7">
        <v>1</v>
      </c>
      <c r="H143" s="21" t="s">
        <v>336</v>
      </c>
      <c r="I143" s="13">
        <v>42769.900405092594</v>
      </c>
      <c r="J143" s="7">
        <v>0</v>
      </c>
      <c r="K143" s="98" t="str">
        <f t="shared" si="73"/>
        <v>4043/4044</v>
      </c>
      <c r="L143" s="21" t="str">
        <f>VLOOKUP(A143,'Trips&amp;Operators'!$C$1:$G$99999,5,FALSE)</f>
        <v>BROWN JACOB</v>
      </c>
      <c r="M143" s="6">
        <f t="shared" si="74"/>
        <v>2.5162037039990537E-2</v>
      </c>
      <c r="N143" s="7">
        <f t="shared" si="75"/>
        <v>36.233333337586373</v>
      </c>
      <c r="O143" s="7"/>
      <c r="P143" s="7"/>
      <c r="Q143" s="22"/>
      <c r="R143" s="22"/>
      <c r="S143" s="31">
        <f t="shared" si="76"/>
        <v>1</v>
      </c>
      <c r="T143" s="46" t="str">
        <f t="shared" si="77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78"/>
        <v>https://d0f6bd738d7f1b3e5a7ca70fe4ff75f0.us-east-1.aws.found.io/app/kibana#/discover/Steve-Slow-Train-Analysis-(2080s-and-2083s)?_g=(refreshInterval:(display:Off,pause:!f,section:0,value:0),time:(from:'2017-02-03T19:48:12-0700',mode:absolute,to:'2017-02-03T22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192" t="str">
        <f t="shared" si="79"/>
        <v>N</v>
      </c>
      <c r="X143" s="192">
        <f t="shared" si="80"/>
        <v>1</v>
      </c>
      <c r="Y143" s="62">
        <f t="shared" si="81"/>
        <v>4.6600000000000003E-2</v>
      </c>
      <c r="Z143" s="62">
        <f t="shared" si="82"/>
        <v>23.330300000000001</v>
      </c>
      <c r="AA143" s="62">
        <f t="shared" si="83"/>
        <v>23.2837</v>
      </c>
      <c r="AB143" s="59" t="e">
        <f>VLOOKUP(A143,Enforcements!$C$7:$K$16,8,0)</f>
        <v>#N/A</v>
      </c>
      <c r="AC143" s="55" t="e">
        <f>VLOOKUP(A143,Enforcements!$C$7:$E$16,3,0)</f>
        <v>#N/A</v>
      </c>
      <c r="AD143" s="56" t="str">
        <f t="shared" si="84"/>
        <v>0229-03</v>
      </c>
      <c r="AE143" s="85" t="str">
        <f t="shared" si="85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143" s="82" t="str">
        <f t="shared" si="86"/>
        <v>"C:\Program Files (x86)\AstroGrep\AstroGrep.exe" /spath="%USERPROFILE%\AppData\Local\Temp\OnboardLogs" /stypes="app*4044*20170204*" /stext=" 04:.+((SYSTEM_STATE.+slice.+state.+changed )|(ment ac)|(multiple cpu faults)|(system.+state.+changed )|(\[timeout)|(PRM\|1\|D)|(kpr)|(kdp)|(\|lc)|(penalty))" /e /r /s</v>
      </c>
      <c r="AG143" s="1" t="str">
        <f t="shared" si="87"/>
        <v>EC</v>
      </c>
      <c r="AH143" s="86" t="str">
        <f t="shared" ref="AH143:AH205" si="88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229-03 --locoid 4044 --swversion DE.1.0.8.0 --startMP 204:466 --initTime 2017-02-03T20:48:12 --startdatetime 2017-02-03T21:00:21 --delay 1 --endMP 204:233303 --enddatetime 2017-02-03T21:36:35 --enforcementcount 0 &gt;&gt;C:\Users\stu\Documents\GitHub\eaglep3-reporting\EC\2017-02-03-refined-times.txt</v>
      </c>
      <c r="AI143" s="108" t="str">
        <f t="shared" ref="AI143:AI205" si="89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{"issue":{"subject":"","project_id":79,"tracker_id":40,"status_id":1,"priority_id":2,"assigned_to_id":23,"start_date":"2017-02-03","description":"","custom_fields":[{"id":1,"name":"Subdivision","value":"EC"},{"id":4,"name":"Milepost","value":"23.3303"},{"id":17,"name":"Train ID","value":"229-03"},{"id":16,"name":"Locomotive ID","value":"4044"},{"id":130,"name":"Impact","value":""},{"id":150,"name":"Time of Event (Mountain Time)","value":"21:36:35"},{"id":151,"name":"Denver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8" t="str">
        <f t="shared" ref="AM143:AM205" si="90">"start /low /b "&amp;dls3logs&amp;" --loco "&amp;B143&amp;" --day "&amp;TEXT(F143,"YYYY-MM-DD")</f>
        <v>start /low /b %USERPROFILE%\Documents\GitHub\eaglep3\Utilities\DownloadLogsFromS3.py --loco 4044 --day 2017-02-03</v>
      </c>
      <c r="AN143" s="167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"%USERPROFILE%\AppData\Local\Temp\OnboardLogs"\RTDC4044\*4044*20170204* | grep -SE "(Enforcement Action)|(\[TIMEOUT)|(CHR.+\|PRM\|1\|D.+(SWITCH|SIGNAL).+UNKNOWN)" - &gt;&gt; 2017-02-03-UncaughtWiMAX.txt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749</v>
      </c>
      <c r="B144" s="7">
        <v>4043</v>
      </c>
      <c r="C144" s="21" t="s">
        <v>193</v>
      </c>
      <c r="D144" s="21" t="s">
        <v>284</v>
      </c>
      <c r="E144" s="13">
        <v>42769.91</v>
      </c>
      <c r="F144" s="13">
        <v>42769.9140162037</v>
      </c>
      <c r="G144" s="7">
        <v>1</v>
      </c>
      <c r="H144" s="21" t="s">
        <v>263</v>
      </c>
      <c r="I144" s="13">
        <v>42769.942743055559</v>
      </c>
      <c r="J144" s="7">
        <v>0</v>
      </c>
      <c r="K144" s="98" t="str">
        <f t="shared" si="73"/>
        <v>4043/4044</v>
      </c>
      <c r="L144" s="21" t="str">
        <f>VLOOKUP(A144,'Trips&amp;Operators'!$C$1:$G$99999,5,FALSE)</f>
        <v>BROWN JACOB</v>
      </c>
      <c r="M144" s="6">
        <f t="shared" si="74"/>
        <v>2.8726851858664304E-2</v>
      </c>
      <c r="N144" s="7">
        <f t="shared" si="75"/>
        <v>41.366666676476598</v>
      </c>
      <c r="O144" s="7"/>
      <c r="P144" s="7"/>
      <c r="Q144" s="22"/>
      <c r="R144" s="22"/>
      <c r="S144" s="31">
        <f t="shared" si="76"/>
        <v>1</v>
      </c>
      <c r="T144" s="46" t="str">
        <f t="shared" si="77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78"/>
        <v>https://d0f6bd738d7f1b3e5a7ca70fe4ff75f0.us-east-1.aws.found.io/app/kibana#/discover/Steve-Slow-Train-Analysis-(2080s-and-2083s)?_g=(refreshInterval:(display:Off,pause:!f,section:0,value:0),time:(from:'2017-02-03T20:50:24-0700',mode:absolute,to:'2017-02-03T23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192" t="str">
        <f t="shared" si="79"/>
        <v>N</v>
      </c>
      <c r="X144" s="192">
        <f t="shared" si="80"/>
        <v>1</v>
      </c>
      <c r="Y144" s="62">
        <f t="shared" si="81"/>
        <v>23.298200000000001</v>
      </c>
      <c r="Z144" s="62">
        <f t="shared" si="82"/>
        <v>1.41E-2</v>
      </c>
      <c r="AA144" s="62">
        <f t="shared" si="83"/>
        <v>23.284100000000002</v>
      </c>
      <c r="AB144" s="59" t="e">
        <f>VLOOKUP(A144,Enforcements!$C$7:$K$16,8,0)</f>
        <v>#N/A</v>
      </c>
      <c r="AC144" s="55" t="e">
        <f>VLOOKUP(A144,Enforcements!$C$7:$E$16,3,0)</f>
        <v>#N/A</v>
      </c>
      <c r="AD144" s="56" t="str">
        <f t="shared" si="84"/>
        <v>0230-03</v>
      </c>
      <c r="AE144" s="85" t="str">
        <f t="shared" si="85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144" s="82" t="str">
        <f t="shared" si="86"/>
        <v>"C:\Program Files (x86)\AstroGrep\AstroGrep.exe" /spath="%USERPROFILE%\AppData\Local\Temp\OnboardLogs" /stypes="app*4043*20170204*" /stext=" 05:.+((SYSTEM_STATE.+slice.+state.+changed )|(ment ac)|(multiple cpu faults)|(system.+state.+changed )|(\[timeout)|(PRM\|1\|D)|(kpr)|(kdp)|(\|lc)|(penalty))" /e /r /s</v>
      </c>
      <c r="AG144" s="1" t="str">
        <f t="shared" si="87"/>
        <v>EC</v>
      </c>
      <c r="AH144" s="86" t="str">
        <f t="shared" si="88"/>
        <v>"%USERPROFILE%\Documents\GitHub\eaglep3\Utilities\RefineRTDCRunTimes.py" --tripid 230-03 --locoid 4043 --swversion DE.1.0.8.0 --startMP 204:232982 --initTime 2017-02-03T21:50:24 --startdatetime 2017-02-03T21:56:11 --delay 1 --endMP 204:141 --enddatetime 2017-02-03T22:37:33 --enforcementcount 0 &gt;&gt;C:\Users\stu\Documents\GitHub\eaglep3-reporting\EC\2017-02-03-refined-times.txt</v>
      </c>
      <c r="AI144" s="108" t="str">
        <f t="shared" si="89"/>
        <v>echo {"issue":{"subject":"","project_id":79,"tracker_id":40,"status_id":1,"priority_id":2,"assigned_to_id":23,"start_date":"2017-02-03","description":"","custom_fields":[{"id":1,"name":"Subdivision","value":"EC"},{"id":4,"name":"Milepost","value":"0.0141"},{"id":17,"name":"Train ID","value":"230-03"},{"id":16,"name":"Locomotive ID","value":"4043"},{"id":130,"name":"Impact","value":""},{"id":150,"name":"Time of Event (Mountain Time)","value":"22:37:33"},{"id":151,"name":"Denver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8" t="str">
        <f t="shared" si="90"/>
        <v>start /low /b %USERPROFILE%\Documents\GitHub\eaglep3\Utilities\DownloadLogsFromS3.py --loco 4043 --day 2017-02-03</v>
      </c>
      <c r="AN144" s="167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"%USERPROFILE%\AppData\Local\Temp\OnboardLogs"\RTDC4043\*4043*20170204* | grep -SE "(Enforcement Action)|(\[TIMEOUT)|(CHR.+\|PRM\|1\|D.+(SWITCH|SIGNAL).+UNKNOWN)" - &gt;&gt; 2017-02-03-UncaughtWiMAX.txt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746</v>
      </c>
      <c r="B145" s="7">
        <v>4025</v>
      </c>
      <c r="C145" s="21" t="s">
        <v>193</v>
      </c>
      <c r="D145" s="21" t="s">
        <v>240</v>
      </c>
      <c r="E145" s="13">
        <v>42769.887372685182</v>
      </c>
      <c r="F145" s="13">
        <v>42769.896006944444</v>
      </c>
      <c r="G145" s="7">
        <v>2</v>
      </c>
      <c r="H145" s="21" t="s">
        <v>411</v>
      </c>
      <c r="I145" s="13">
        <v>42769.923020833332</v>
      </c>
      <c r="J145" s="7">
        <v>0</v>
      </c>
      <c r="K145" s="98" t="str">
        <f t="shared" si="73"/>
        <v>4025/4026</v>
      </c>
      <c r="L145" s="21" t="str">
        <f>VLOOKUP(A145,'Trips&amp;Operators'!$C$1:$G$99999,5,FALSE)</f>
        <v>STORY SAMANTHA</v>
      </c>
      <c r="M145" s="6">
        <f t="shared" si="74"/>
        <v>2.7013888888177462E-2</v>
      </c>
      <c r="N145" s="7">
        <f t="shared" si="75"/>
        <v>38.899999998975545</v>
      </c>
      <c r="O145" s="7"/>
      <c r="P145" s="7"/>
      <c r="Q145" s="22"/>
      <c r="R145" s="22"/>
      <c r="S145" s="31">
        <f t="shared" si="76"/>
        <v>1</v>
      </c>
      <c r="T145" s="46" t="str">
        <f t="shared" si="77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78"/>
        <v>https://d0f6bd738d7f1b3e5a7ca70fe4ff75f0.us-east-1.aws.found.io/app/kibana#/discover/Steve-Slow-Train-Analysis-(2080s-and-2083s)?_g=(refreshInterval:(display:Off,pause:!f,section:0,value:0),time:(from:'2017-02-03T20:17:49-0700',mode:absolute,to:'2017-02-03T23:09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5" s="192" t="str">
        <f t="shared" si="79"/>
        <v>N</v>
      </c>
      <c r="X145" s="192">
        <f t="shared" si="80"/>
        <v>1</v>
      </c>
      <c r="Y145" s="62">
        <f t="shared" si="81"/>
        <v>4.5699999999999998E-2</v>
      </c>
      <c r="Z145" s="62">
        <f t="shared" si="82"/>
        <v>23.331499999999998</v>
      </c>
      <c r="AA145" s="62">
        <f t="shared" si="83"/>
        <v>23.285799999999998</v>
      </c>
      <c r="AB145" s="59" t="e">
        <f>VLOOKUP(A145,Enforcements!$C$7:$K$16,8,0)</f>
        <v>#N/A</v>
      </c>
      <c r="AC145" s="55" t="e">
        <f>VLOOKUP(A145,Enforcements!$C$7:$E$16,3,0)</f>
        <v>#N/A</v>
      </c>
      <c r="AD145" s="56" t="str">
        <f t="shared" si="84"/>
        <v>0231-03</v>
      </c>
      <c r="AE145" s="85" t="str">
        <f t="shared" si="85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145" s="82" t="str">
        <f t="shared" si="86"/>
        <v>"C:\Program Files (x86)\AstroGrep\AstroGrep.exe" /spath="%USERPROFILE%\AppData\Local\Temp\OnboardLogs" /stypes="app*4025*20170204*" /stext=" 05:.+((SYSTEM_STATE.+slice.+state.+changed )|(ment ac)|(multiple cpu faults)|(system.+state.+changed )|(\[timeout)|(PRM\|1\|D)|(kpr)|(kdp)|(\|lc)|(penalty))" /e /r /s</v>
      </c>
      <c r="AG145" s="1" t="str">
        <f t="shared" si="87"/>
        <v>EC</v>
      </c>
      <c r="AH145" s="86" t="str">
        <f t="shared" si="88"/>
        <v>"%USERPROFILE%\Documents\GitHub\eaglep3\Utilities\RefineRTDCRunTimes.py" --tripid 231-03 --locoid 4025 --swversion DE.1.0.8.0 --startMP 204:457 --initTime 2017-02-03T21:17:49 --startdatetime 2017-02-03T21:30:15 --delay 2 --endMP 204:233315 --enddatetime 2017-02-03T22:09:09 --enforcementcount 0 &gt;&gt;C:\Users\stu\Documents\GitHub\eaglep3-reporting\EC\2017-02-03-refined-times.txt</v>
      </c>
      <c r="AI145" s="108" t="str">
        <f t="shared" si="89"/>
        <v>echo {"issue":{"subject":"","project_id":79,"tracker_id":40,"status_id":1,"priority_id":2,"assigned_to_id":23,"start_date":"2017-02-03","description":"","custom_fields":[{"id":1,"name":"Subdivision","value":"EC"},{"id":4,"name":"Milepost","value":"23.3315"},{"id":17,"name":"Train ID","value":"231-03"},{"id":16,"name":"Locomotive ID","value":"4025"},{"id":130,"name":"Impact","value":""},{"id":150,"name":"Time of Event (Mountain Time)","value":"22:09:09"},{"id":151,"name":"Denver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8" t="str">
        <f t="shared" si="90"/>
        <v>start /low /b %USERPROFILE%\Documents\GitHub\eaglep3\Utilities\DownloadLogsFromS3.py --loco 4025 --day 2017-02-03</v>
      </c>
      <c r="AN145" s="167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"%USERPROFILE%\AppData\Local\Temp\OnboardLogs"\RTDC4025\*4025*20170204* | grep -SE "(Enforcement Action)|(\[TIMEOUT)|(CHR.+\|PRM\|1\|D.+(SWITCH|SIGNAL).+UNKNOWN)" - &gt;&gt; 2017-02-03-UncaughtWiMAX.txt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554</v>
      </c>
      <c r="B146" s="7">
        <v>4026</v>
      </c>
      <c r="C146" s="21" t="s">
        <v>193</v>
      </c>
      <c r="D146" s="21" t="s">
        <v>408</v>
      </c>
      <c r="E146" s="13">
        <v>42769.927511574075</v>
      </c>
      <c r="F146" s="13">
        <v>42769.928495370368</v>
      </c>
      <c r="G146" s="7">
        <v>1</v>
      </c>
      <c r="H146" s="21" t="s">
        <v>212</v>
      </c>
      <c r="I146" s="13">
        <v>42769.962893518517</v>
      </c>
      <c r="J146" s="7">
        <v>1</v>
      </c>
      <c r="K146" s="98" t="str">
        <f t="shared" si="73"/>
        <v>4025/4026</v>
      </c>
      <c r="L146" s="21" t="str">
        <f>VLOOKUP(A146,'Trips&amp;Operators'!$C$1:$G$99999,5,FALSE)</f>
        <v>STORY SAMANTHA</v>
      </c>
      <c r="M146" s="6">
        <f t="shared" si="74"/>
        <v>3.439814814919373E-2</v>
      </c>
      <c r="N146" s="7">
        <f t="shared" si="75"/>
        <v>49.533333334838971</v>
      </c>
      <c r="O146" s="7"/>
      <c r="P146" s="7"/>
      <c r="Q146" s="22"/>
      <c r="R146" s="22"/>
      <c r="S146" s="31">
        <f t="shared" si="76"/>
        <v>1</v>
      </c>
      <c r="T146" s="46" t="str">
        <f t="shared" si="77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78"/>
        <v>https://d0f6bd738d7f1b3e5a7ca70fe4ff75f0.us-east-1.aws.found.io/app/kibana#/discover/Steve-Slow-Train-Analysis-(2080s-and-2083s)?_g=(refreshInterval:(display:Off,pause:!f,section:0,value:0),time:(from:'2017-02-03T21:15:37-0700',mode:absolute,to:'2017-02-04T00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6" s="192" t="str">
        <f t="shared" si="79"/>
        <v>N</v>
      </c>
      <c r="X146" s="192">
        <f t="shared" si="80"/>
        <v>1</v>
      </c>
      <c r="Y146" s="62">
        <f t="shared" si="81"/>
        <v>23.3002</v>
      </c>
      <c r="Z146" s="62">
        <f t="shared" si="82"/>
        <v>1.52E-2</v>
      </c>
      <c r="AA146" s="62">
        <f t="shared" si="83"/>
        <v>23.285</v>
      </c>
      <c r="AB146" s="59" t="str">
        <f>VLOOKUP(A146,Enforcements!$C$7:$K$16,8,0)</f>
        <v>Bulletin (2)</v>
      </c>
      <c r="AC146" s="55" t="str">
        <f>VLOOKUP(A146,Enforcements!$C$7:$E$16,3,0)</f>
        <v>GRADE CROSSING</v>
      </c>
      <c r="AD146" s="56" t="str">
        <f t="shared" si="84"/>
        <v>0232-03</v>
      </c>
      <c r="AE146" s="85" t="str">
        <f t="shared" si="85"/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AF146" s="82" t="str">
        <f t="shared" si="86"/>
        <v>"C:\Program Files (x86)\AstroGrep\AstroGrep.exe" /spath="%USERPROFILE%\AppData\Local\Temp\OnboardLogs" /stypes="app*4026*20170204*" /stext=" 06:.+((SYSTEM_STATE.+slice.+state.+changed )|(ment ac)|(multiple cpu faults)|(system.+state.+changed )|(\[timeout)|(PRM\|1\|D)|(kpr)|(kdp)|(\|lc)|(penalty))" /e /r /s</v>
      </c>
      <c r="AG146" s="1" t="str">
        <f t="shared" si="87"/>
        <v>EC</v>
      </c>
      <c r="AH146" s="86" t="str">
        <f t="shared" si="88"/>
        <v>"%USERPROFILE%\Documents\GitHub\eaglep3\Utilities\RefineRTDCRunTimes.py" --tripid 232-03 --locoid 4026 --swversion DE.1.0.8.0 --startMP 204:233002 --initTime 2017-02-03T22:15:37 --startdatetime 2017-02-03T22:17:02 --delay 1 --endMP 204:152 --enddatetime 2017-02-03T23:06:34 --enforcementcount 1 &gt;&gt;C:\Users\stu\Documents\GitHub\eaglep3-reporting\EC\2017-02-03-refined-times.txt</v>
      </c>
      <c r="AI146" s="108" t="str">
        <f t="shared" si="89"/>
        <v>echo {"issue":{"subject":"","project_id":79,"tracker_id":40,"status_id":1,"priority_id":2,"assigned_to_id":23,"start_date":"2017-02-03","description":"","custom_fields":[{"id":1,"name":"Subdivision","value":"EC"},{"id":4,"name":"Milepost","value":"0.0152"},{"id":17,"name":"Train ID","value":"232-03"},{"id":16,"name":"Locomotive ID","value":"4026"},{"id":130,"name":"Impact","value":""},{"id":150,"name":"Time of Event (Mountain Time)","value":"23:06:34"},{"id":151,"name":"Denver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8" t="str">
        <f t="shared" si="90"/>
        <v>start /low /b %USERPROFILE%\Documents\GitHub\eaglep3\Utilities\DownloadLogsFromS3.py --loco 4026 --day 2017-02-03</v>
      </c>
      <c r="AN146" s="167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"%USERPROFILE%\AppData\Local\Temp\OnboardLogs"\RTDC4026\*4026*20170204* | grep -SE "(Enforcement Action)|(\[TIMEOUT)|(CHR.+\|PRM\|1\|D.+(SWITCH|SIGNAL).+UNKNOWN)" - &gt;&gt; 2017-02-03-UncaughtWiMAX.txt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748</v>
      </c>
      <c r="B147" s="7">
        <v>4031</v>
      </c>
      <c r="C147" s="21" t="s">
        <v>193</v>
      </c>
      <c r="D147" s="21" t="s">
        <v>239</v>
      </c>
      <c r="E147" s="13">
        <v>42769.904999999999</v>
      </c>
      <c r="F147" s="13">
        <v>42769.917928240742</v>
      </c>
      <c r="G147" s="7">
        <v>1</v>
      </c>
      <c r="H147" s="21" t="s">
        <v>824</v>
      </c>
      <c r="I147" s="13">
        <v>42769.942407407405</v>
      </c>
      <c r="J147" s="7">
        <v>0</v>
      </c>
      <c r="K147" s="98" t="str">
        <f t="shared" si="73"/>
        <v>4031/4032</v>
      </c>
      <c r="L147" s="21" t="str">
        <f>VLOOKUP(A147,'Trips&amp;Operators'!$C$1:$G$99999,5,FALSE)</f>
        <v>PERKINS DARREN</v>
      </c>
      <c r="M147" s="6">
        <f t="shared" si="74"/>
        <v>2.4479166662786156E-2</v>
      </c>
      <c r="N147" s="7">
        <f t="shared" si="75"/>
        <v>35.249999994412065</v>
      </c>
      <c r="O147" s="7"/>
      <c r="P147" s="7"/>
      <c r="Q147" s="22"/>
      <c r="R147" s="22"/>
      <c r="S147" s="31">
        <f t="shared" si="76"/>
        <v>1</v>
      </c>
      <c r="T147" s="46" t="str">
        <f t="shared" si="77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78"/>
        <v>https://d0f6bd738d7f1b3e5a7ca70fe4ff75f0.us-east-1.aws.found.io/app/kibana#/discover/Steve-Slow-Train-Analysis-(2080s-and-2083s)?_g=(refreshInterval:(display:Off,pause:!f,section:0,value:0),time:(from:'2017-02-03T20:43:12-0700',mode:absolute,to:'2017-02-03T23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7" s="192" t="str">
        <f t="shared" si="79"/>
        <v>N</v>
      </c>
      <c r="X147" s="192">
        <f t="shared" si="80"/>
        <v>1</v>
      </c>
      <c r="Y147" s="62">
        <f t="shared" si="81"/>
        <v>4.5100000000000001E-2</v>
      </c>
      <c r="Z147" s="62">
        <f t="shared" si="82"/>
        <v>23.334599999999998</v>
      </c>
      <c r="AA147" s="62">
        <f t="shared" si="83"/>
        <v>23.289499999999997</v>
      </c>
      <c r="AB147" s="59" t="e">
        <f>VLOOKUP(A147,Enforcements!$C$7:$K$16,8,0)</f>
        <v>#N/A</v>
      </c>
      <c r="AC147" s="55" t="e">
        <f>VLOOKUP(A147,Enforcements!$C$7:$E$16,3,0)</f>
        <v>#N/A</v>
      </c>
      <c r="AD147" s="56" t="str">
        <f t="shared" si="84"/>
        <v>0233-03</v>
      </c>
      <c r="AE147" s="85" t="str">
        <f t="shared" si="85"/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AF147" s="82" t="str">
        <f t="shared" si="86"/>
        <v>"C:\Program Files (x86)\AstroGrep\AstroGrep.exe" /spath="%USERPROFILE%\AppData\Local\Temp\OnboardLogs" /stypes="app*4031*20170204*" /stext=" 05:.+((SYSTEM_STATE.+slice.+state.+changed )|(ment ac)|(multiple cpu faults)|(system.+state.+changed )|(\[timeout)|(PRM\|1\|D)|(kpr)|(kdp)|(\|lc)|(penalty))" /e /r /s</v>
      </c>
      <c r="AG147" s="1" t="str">
        <f t="shared" si="87"/>
        <v>EC</v>
      </c>
      <c r="AH147" s="86" t="str">
        <f t="shared" si="88"/>
        <v>"%USERPROFILE%\Documents\GitHub\eaglep3\Utilities\RefineRTDCRunTimes.py" --tripid 233-03 --locoid 4031 --swversion DE.1.0.8.0 --startMP 204:451 --initTime 2017-02-03T21:43:12 --startdatetime 2017-02-03T22:01:49 --delay 1 --endMP 204:233346 --enddatetime 2017-02-03T22:37:04 --enforcementcount 0 &gt;&gt;C:\Users\stu\Documents\GitHub\eaglep3-reporting\EC\2017-02-03-refined-times.txt</v>
      </c>
      <c r="AI147" s="108" t="str">
        <f t="shared" si="89"/>
        <v>echo {"issue":{"subject":"","project_id":79,"tracker_id":40,"status_id":1,"priority_id":2,"assigned_to_id":23,"start_date":"2017-02-03","description":"","custom_fields":[{"id":1,"name":"Subdivision","value":"EC"},{"id":4,"name":"Milepost","value":"23.3346"},{"id":17,"name":"Train ID","value":"233-03"},{"id":16,"name":"Locomotive ID","value":"4031"},{"id":130,"name":"Impact","value":""},{"id":150,"name":"Time of Event (Mountain Time)","value":"22:37:04"},{"id":151,"name":"Denver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8" t="str">
        <f t="shared" si="90"/>
        <v>start /low /b %USERPROFILE%\Documents\GitHub\eaglep3\Utilities\DownloadLogsFromS3.py --loco 4031 --day 2017-02-03</v>
      </c>
      <c r="AN147" s="167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"%USERPROFILE%\AppData\Local\Temp\OnboardLogs"\RTDC4031\*4031*20170204* | grep -SE "(Enforcement Action)|(\[TIMEOUT)|(CHR.+\|PRM\|1\|D.+(SWITCH|SIGNAL).+UNKNOWN)" - &gt;&gt; 2017-02-03-UncaughtWiMAX.txt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753</v>
      </c>
      <c r="B148" s="7">
        <v>4032</v>
      </c>
      <c r="C148" s="21" t="s">
        <v>193</v>
      </c>
      <c r="D148" s="21" t="s">
        <v>286</v>
      </c>
      <c r="E148" s="13">
        <v>42769.949305555558</v>
      </c>
      <c r="F148" s="13">
        <v>42769.955787037034</v>
      </c>
      <c r="G148" s="7">
        <v>1</v>
      </c>
      <c r="H148" s="21" t="s">
        <v>283</v>
      </c>
      <c r="I148" s="13">
        <v>42769.983148148145</v>
      </c>
      <c r="J148" s="7">
        <v>0</v>
      </c>
      <c r="K148" s="98" t="str">
        <f t="shared" si="73"/>
        <v>4031/4032</v>
      </c>
      <c r="L148" s="21" t="str">
        <f>VLOOKUP(A148,'Trips&amp;Operators'!$C$1:$G$99999,5,FALSE)</f>
        <v>PERKINS DARREN</v>
      </c>
      <c r="M148" s="6">
        <f t="shared" si="74"/>
        <v>2.73611111115315E-2</v>
      </c>
      <c r="N148" s="7">
        <f t="shared" si="75"/>
        <v>39.40000000060536</v>
      </c>
      <c r="O148" s="7"/>
      <c r="P148" s="7"/>
      <c r="Q148" s="22"/>
      <c r="R148" s="22"/>
      <c r="S148" s="31">
        <f t="shared" si="76"/>
        <v>1</v>
      </c>
      <c r="T148" s="46" t="str">
        <f t="shared" si="77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78"/>
        <v>https://d0f6bd738d7f1b3e5a7ca70fe4ff75f0.us-east-1.aws.found.io/app/kibana#/discover/Steve-Slow-Train-Analysis-(2080s-and-2083s)?_g=(refreshInterval:(display:Off,pause:!f,section:0,value:0),time:(from:'2017-02-03T21:47:00-0700',mode:absolute,to:'2017-02-04T00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192" t="str">
        <f t="shared" si="79"/>
        <v>N</v>
      </c>
      <c r="X148" s="192">
        <f t="shared" si="80"/>
        <v>1</v>
      </c>
      <c r="Y148" s="62">
        <f t="shared" si="81"/>
        <v>23.299399999999999</v>
      </c>
      <c r="Z148" s="62">
        <f t="shared" si="82"/>
        <v>1.3599999999999999E-2</v>
      </c>
      <c r="AA148" s="62">
        <f t="shared" si="83"/>
        <v>23.285799999999998</v>
      </c>
      <c r="AB148" s="59" t="e">
        <f>VLOOKUP(A148,Enforcements!$C$7:$K$16,8,0)</f>
        <v>#N/A</v>
      </c>
      <c r="AC148" s="55" t="e">
        <f>VLOOKUP(A148,Enforcements!$C$7:$E$16,3,0)</f>
        <v>#N/A</v>
      </c>
      <c r="AD148" s="56" t="str">
        <f t="shared" si="84"/>
        <v>0234-03</v>
      </c>
      <c r="AE148" s="85" t="str">
        <f t="shared" si="85"/>
        <v>aws s3 cp s3://rtdc.mdm.uploadarchive.raw/RTDC4032/ "%USERPROFILE%\AppData\Local\Temp\OnboardLogs"\RTDC4032\2017-02-03 --exclude "*" --recursive --include "*20170203*" &amp; "%USERPROFILE%\Documents\GitHub\mrs-test-scripts\Headless Mode &amp; Sideloading\WalkAndUnGZ.bat" "%USERPROFILE%\AppData\Local\Temp\OnboardLogs"\RTDC4032\2017-02-03 &amp; 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</v>
      </c>
      <c r="AF148" s="82" t="str">
        <f t="shared" si="86"/>
        <v>"C:\Program Files (x86)\AstroGrep\AstroGrep.exe" /spath="%USERPROFILE%\AppData\Local\Temp\OnboardLogs" /stypes="app*4032*20170204*" /stext=" 06:.+((SYSTEM_STATE.+slice.+state.+changed )|(ment ac)|(multiple cpu faults)|(system.+state.+changed )|(\[timeout)|(PRM\|1\|D)|(kpr)|(kdp)|(\|lc)|(penalty))" /e /r /s</v>
      </c>
      <c r="AG148" s="1" t="str">
        <f t="shared" si="87"/>
        <v>EC</v>
      </c>
      <c r="AH148" s="86" t="str">
        <f t="shared" si="88"/>
        <v>"%USERPROFILE%\Documents\GitHub\eaglep3\Utilities\RefineRTDCRunTimes.py" --tripid 234-03 --locoid 4032 --swversion DE.1.0.8.0 --startMP 204:232994 --initTime 2017-02-03T22:47:00 --startdatetime 2017-02-03T22:56:20 --delay 1 --endMP 204:136 --enddatetime 2017-02-03T23:35:44 --enforcementcount 0 &gt;&gt;C:\Users\stu\Documents\GitHub\eaglep3-reporting\EC\2017-02-03-refined-times.txt</v>
      </c>
      <c r="AI148" s="108" t="str">
        <f t="shared" si="89"/>
        <v>echo {"issue":{"subject":"","project_id":79,"tracker_id":40,"status_id":1,"priority_id":2,"assigned_to_id":23,"start_date":"2017-02-03","description":"","custom_fields":[{"id":1,"name":"Subdivision","value":"EC"},{"id":4,"name":"Milepost","value":"0.0136"},{"id":17,"name":"Train ID","value":"234-03"},{"id":16,"name":"Locomotive ID","value":"4032"},{"id":130,"name":"Impact","value":""},{"id":150,"name":"Time of Event (Mountain Time)","value":"23:35:44"},{"id":151,"name":"Denver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8" t="str">
        <f t="shared" si="90"/>
        <v>start /low /b %USERPROFILE%\Documents\GitHub\eaglep3\Utilities\DownloadLogsFromS3.py --loco 4032 --day 2017-02-03</v>
      </c>
      <c r="AN148" s="167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"%USERPROFILE%\AppData\Local\Temp\OnboardLogs"\RTDC4032\*4032*20170204* | grep -SE "(Enforcement Action)|(\[TIMEOUT)|(CHR.+\|PRM\|1\|D.+(SWITCH|SIGNAL).+UNKNOWN)" - &gt;&gt; 2017-02-03-UncaughtWiMAX.txt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750</v>
      </c>
      <c r="B149" s="7">
        <v>4022</v>
      </c>
      <c r="C149" s="21" t="s">
        <v>193</v>
      </c>
      <c r="D149" s="21" t="s">
        <v>404</v>
      </c>
      <c r="E149" s="13">
        <v>42769.92150462963</v>
      </c>
      <c r="F149" s="13">
        <v>42769.937951388885</v>
      </c>
      <c r="G149" s="7">
        <v>1</v>
      </c>
      <c r="H149" s="21" t="s">
        <v>825</v>
      </c>
      <c r="I149" s="13">
        <v>42769.963530092595</v>
      </c>
      <c r="J149" s="7">
        <v>0</v>
      </c>
      <c r="K149" s="98" t="str">
        <f t="shared" si="73"/>
        <v>4021/4022</v>
      </c>
      <c r="L149" s="21" t="str">
        <f>VLOOKUP(A149,'Trips&amp;Operators'!$C$1:$G$99999,5,FALSE)</f>
        <v>HILLS DUSTIN</v>
      </c>
      <c r="M149" s="6">
        <f t="shared" si="74"/>
        <v>2.5578703709470574E-2</v>
      </c>
      <c r="N149" s="7">
        <f t="shared" si="75"/>
        <v>36.833333341637626</v>
      </c>
      <c r="O149" s="7"/>
      <c r="P149" s="7"/>
      <c r="Q149" s="22"/>
      <c r="R149" s="22"/>
      <c r="S149" s="31">
        <f t="shared" si="76"/>
        <v>1</v>
      </c>
      <c r="T149" s="46" t="str">
        <f t="shared" si="77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78"/>
        <v>https://d0f6bd738d7f1b3e5a7ca70fe4ff75f0.us-east-1.aws.found.io/app/kibana#/discover/Steve-Slow-Train-Analysis-(2080s-and-2083s)?_g=(refreshInterval:(display:Off,pause:!f,section:0,value:0),time:(from:'2017-02-03T21:06:58-0700',mode:absolute,to:'2017-02-04T00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9" s="192" t="str">
        <f t="shared" si="79"/>
        <v>N</v>
      </c>
      <c r="X149" s="192">
        <f t="shared" si="80"/>
        <v>1</v>
      </c>
      <c r="Y149" s="62">
        <f t="shared" si="81"/>
        <v>4.24E-2</v>
      </c>
      <c r="Z149" s="62">
        <f t="shared" si="82"/>
        <v>23.338699999999999</v>
      </c>
      <c r="AA149" s="62">
        <f t="shared" si="83"/>
        <v>23.296299999999999</v>
      </c>
      <c r="AB149" s="59" t="e">
        <f>VLOOKUP(A149,Enforcements!$C$7:$K$16,8,0)</f>
        <v>#N/A</v>
      </c>
      <c r="AC149" s="55" t="e">
        <f>VLOOKUP(A149,Enforcements!$C$7:$E$16,3,0)</f>
        <v>#N/A</v>
      </c>
      <c r="AD149" s="56" t="str">
        <f t="shared" si="84"/>
        <v>0235-03</v>
      </c>
      <c r="AE149" s="85" t="str">
        <f t="shared" si="85"/>
        <v>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 &amp; 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</v>
      </c>
      <c r="AF149" s="82" t="str">
        <f t="shared" si="86"/>
        <v>"C:\Program Files (x86)\AstroGrep\AstroGrep.exe" /spath="%USERPROFILE%\AppData\Local\Temp\OnboardLogs" /stypes="app*4022*20170204*" /stext=" 06:.+((SYSTEM_STATE.+slice.+state.+changed )|(ment ac)|(multiple cpu faults)|(system.+state.+changed )|(\[timeout)|(PRM\|1\|D)|(kpr)|(kdp)|(\|lc)|(penalty))" /e /r /s</v>
      </c>
      <c r="AG149" s="1" t="str">
        <f t="shared" si="87"/>
        <v>EC</v>
      </c>
      <c r="AH149" s="86" t="str">
        <f t="shared" si="88"/>
        <v>"%USERPROFILE%\Documents\GitHub\eaglep3\Utilities\RefineRTDCRunTimes.py" --tripid 235-03 --locoid 4022 --swversion DE.1.0.8.0 --startMP 204:424 --initTime 2017-02-03T22:06:58 --startdatetime 2017-02-03T22:30:39 --delay 1 --endMP 204:233387 --enddatetime 2017-02-03T23:07:29 --enforcementcount 0 &gt;&gt;C:\Users\stu\Documents\GitHub\eaglep3-reporting\EC\2017-02-03-refined-times.txt</v>
      </c>
      <c r="AI149" s="108" t="str">
        <f t="shared" si="89"/>
        <v>echo {"issue":{"subject":"","project_id":79,"tracker_id":40,"status_id":1,"priority_id":2,"assigned_to_id":23,"start_date":"2017-02-03","description":"","custom_fields":[{"id":1,"name":"Subdivision","value":"EC"},{"id":4,"name":"Milepost","value":"23.3387"},{"id":17,"name":"Train ID","value":"235-03"},{"id":16,"name":"Locomotive ID","value":"4022"},{"id":130,"name":"Impact","value":""},{"id":150,"name":"Time of Event (Mountain Time)","value":"23:07:29"},{"id":151,"name":"Denver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8" t="str">
        <f t="shared" si="90"/>
        <v>start /low /b %USERPROFILE%\Documents\GitHub\eaglep3\Utilities\DownloadLogsFromS3.py --loco 4022 --day 2017-02-03</v>
      </c>
      <c r="AN149" s="167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"%USERPROFILE%\AppData\Local\Temp\OnboardLogs"\RTDC4022\*4022*20170204* | grep -SE "(Enforcement Action)|(\[TIMEOUT)|(CHR.+\|PRM\|1\|D.+(SWITCH|SIGNAL).+UNKNOWN)" - &gt;&gt; 2017-02-03-UncaughtWiMAX.txt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755</v>
      </c>
      <c r="B150" s="7">
        <v>4021</v>
      </c>
      <c r="C150" s="21" t="s">
        <v>193</v>
      </c>
      <c r="D150" s="21" t="s">
        <v>826</v>
      </c>
      <c r="E150" s="13">
        <v>42769.966562499998</v>
      </c>
      <c r="F150" s="13">
        <v>42769.977164351854</v>
      </c>
      <c r="G150" s="7">
        <v>1</v>
      </c>
      <c r="H150" s="21" t="s">
        <v>827</v>
      </c>
      <c r="I150" s="13">
        <v>42770.002511574072</v>
      </c>
      <c r="J150" s="7">
        <v>0</v>
      </c>
      <c r="K150" s="98" t="str">
        <f t="shared" si="73"/>
        <v>4021/4022</v>
      </c>
      <c r="L150" s="21" t="str">
        <f>VLOOKUP(A150,'Trips&amp;Operators'!$C$1:$G$99999,5,FALSE)</f>
        <v>HILLS DUSTIN</v>
      </c>
      <c r="M150" s="6">
        <f t="shared" si="74"/>
        <v>2.5347222217533272E-2</v>
      </c>
      <c r="N150" s="7">
        <f t="shared" si="75"/>
        <v>36.499999993247911</v>
      </c>
      <c r="O150" s="7"/>
      <c r="P150" s="7"/>
      <c r="Q150" s="22"/>
      <c r="R150" s="22"/>
      <c r="S150" s="31">
        <f t="shared" si="76"/>
        <v>1</v>
      </c>
      <c r="T150" s="46" t="str">
        <f t="shared" si="77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78"/>
        <v>https://d0f6bd738d7f1b3e5a7ca70fe4ff75f0.us-east-1.aws.found.io/app/kibana#/discover/Steve-Slow-Train-Analysis-(2080s-and-2083s)?_g=(refreshInterval:(display:Off,pause:!f,section:0,value:0),time:(from:'2017-02-03T22:11:51-0700',mode:absolute,to:'2017-02-04T01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0" s="192" t="str">
        <f t="shared" si="79"/>
        <v>N</v>
      </c>
      <c r="X150" s="192">
        <f t="shared" si="80"/>
        <v>1</v>
      </c>
      <c r="Y150" s="62">
        <f t="shared" si="81"/>
        <v>23.310199999999998</v>
      </c>
      <c r="Z150" s="62">
        <f t="shared" si="82"/>
        <v>8.6999999999999994E-3</v>
      </c>
      <c r="AA150" s="62">
        <f t="shared" si="83"/>
        <v>23.301499999999997</v>
      </c>
      <c r="AB150" s="59" t="e">
        <f>VLOOKUP(A150,Enforcements!$C$7:$K$16,8,0)</f>
        <v>#N/A</v>
      </c>
      <c r="AC150" s="55" t="e">
        <f>VLOOKUP(A150,Enforcements!$C$7:$E$16,3,0)</f>
        <v>#N/A</v>
      </c>
      <c r="AD150" s="56" t="str">
        <f t="shared" si="84"/>
        <v>0236-03</v>
      </c>
      <c r="AE150" s="85" t="str">
        <f t="shared" si="85"/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AF150" s="82" t="str">
        <f t="shared" si="86"/>
        <v>"C:\Program Files (x86)\AstroGrep\AstroGrep.exe" /spath="%USERPROFILE%\AppData\Local\Temp\OnboardLogs" /stypes="app*4021*20170204*" /stext=" 07:.+((SYSTEM_STATE.+slice.+state.+changed )|(ment ac)|(multiple cpu faults)|(system.+state.+changed )|(\[timeout)|(PRM\|1\|D)|(kpr)|(kdp)|(\|lc)|(penalty))" /e /r /s</v>
      </c>
      <c r="AG150" s="1" t="str">
        <f t="shared" si="87"/>
        <v>EC</v>
      </c>
      <c r="AH150" s="86" t="str">
        <f t="shared" si="88"/>
        <v>"%USERPROFILE%\Documents\GitHub\eaglep3\Utilities\RefineRTDCRunTimes.py" --tripid 236-03 --locoid 4021 --swversion DE.1.0.8.0 --startMP 204:233102 --initTime 2017-02-03T23:11:51 --startdatetime 2017-02-03T23:27:07 --delay 1 --endMP 204:87 --enddatetime 2017-02-04T00:03:37 --enforcementcount 0 &gt;&gt;C:\Users\stu\Documents\GitHub\eaglep3-reporting\EC\2017-02-03-refined-times.txt</v>
      </c>
      <c r="AI150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{"issue":{"subject":"","project_id":79,"tracker_id":40,"status_id":1,"priority_id":2,"assigned_to_id":23,"start_date":"2017-02-04","description":"","custom_fields":[{"id":1,"name":"Subdivision","value":"EC"},{"id":4,"name":"Milepost","value":"0.0087"},{"id":17,"name":"Train ID","value":"236-03"},{"id":16,"name":"Locomotive ID","value":"4021"},{"id":130,"name":"Impact","value":""},{"id":150,"name":"Time of Event (Mountain Time)","value":"00:03:37"},{"id":151,"name":"Denver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8" t="str">
        <f t="shared" si="90"/>
        <v>start /low /b %USERPROFILE%\Documents\GitHub\eaglep3\Utilities\DownloadLogsFromS3.py --loco 4021 --day 2017-02-03</v>
      </c>
      <c r="AN150" s="167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"%USERPROFILE%\AppData\Local\Temp\OnboardLogs"\RTDC4021\*4021*20170204* | grep -SE "(Enforcement Action)|(\[TIMEOUT)|(CHR.+\|PRM\|1\|D.+(SWITCH|SIGNAL).+UNKNOWN)" - &gt;&gt; 2017-02-03-UncaughtWiMAX.txt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754</v>
      </c>
      <c r="B151" s="7">
        <v>4044</v>
      </c>
      <c r="C151" s="21" t="s">
        <v>193</v>
      </c>
      <c r="D151" s="21" t="s">
        <v>415</v>
      </c>
      <c r="E151" s="13">
        <v>42769.952777777777</v>
      </c>
      <c r="F151" s="13">
        <v>42769.958460648151</v>
      </c>
      <c r="G151" s="7">
        <v>1</v>
      </c>
      <c r="H151" s="21" t="s">
        <v>312</v>
      </c>
      <c r="I151" s="13">
        <v>42769.985208333332</v>
      </c>
      <c r="J151" s="7">
        <v>0</v>
      </c>
      <c r="K151" s="98" t="str">
        <f t="shared" si="73"/>
        <v>4043/4044</v>
      </c>
      <c r="L151" s="21" t="str">
        <f>VLOOKUP(A151,'Trips&amp;Operators'!$C$1:$G$99999,5,FALSE)</f>
        <v>BROWN JACOB</v>
      </c>
      <c r="M151" s="6">
        <f t="shared" si="74"/>
        <v>2.6747685180453118E-2</v>
      </c>
      <c r="N151" s="7">
        <f t="shared" si="75"/>
        <v>38.51666665985249</v>
      </c>
      <c r="O151" s="7"/>
      <c r="P151" s="7"/>
      <c r="Q151" s="22"/>
      <c r="R151" s="22"/>
      <c r="S151" s="31">
        <f t="shared" si="76"/>
        <v>1</v>
      </c>
      <c r="T151" s="46" t="str">
        <f t="shared" si="77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78"/>
        <v>https://d0f6bd738d7f1b3e5a7ca70fe4ff75f0.us-east-1.aws.found.io/app/kibana#/discover/Steve-Slow-Train-Analysis-(2080s-and-2083s)?_g=(refreshInterval:(display:Off,pause:!f,section:0,value:0),time:(from:'2017-02-03T21:52:00-0700',mode:absolute,to:'2017-02-04T00:38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1" s="192" t="str">
        <f t="shared" si="79"/>
        <v>N</v>
      </c>
      <c r="X151" s="192">
        <f t="shared" si="80"/>
        <v>1</v>
      </c>
      <c r="Y151" s="62">
        <f t="shared" si="81"/>
        <v>4.6600000000000003E-2</v>
      </c>
      <c r="Z151" s="62">
        <f t="shared" si="82"/>
        <v>23.330400000000001</v>
      </c>
      <c r="AA151" s="62">
        <f t="shared" si="83"/>
        <v>23.283799999999999</v>
      </c>
      <c r="AB151" s="59" t="e">
        <f>VLOOKUP(A151,Enforcements!$C$7:$K$16,8,0)</f>
        <v>#N/A</v>
      </c>
      <c r="AC151" s="55" t="e">
        <f>VLOOKUP(A151,Enforcements!$C$7:$E$16,3,0)</f>
        <v>#N/A</v>
      </c>
      <c r="AD151" s="56" t="str">
        <f t="shared" si="84"/>
        <v>0237-03</v>
      </c>
      <c r="AE151" s="85" t="str">
        <f t="shared" si="85"/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AF151" s="82" t="str">
        <f t="shared" si="86"/>
        <v>"C:\Program Files (x86)\AstroGrep\AstroGrep.exe" /spath="%USERPROFILE%\AppData\Local\Temp\OnboardLogs" /stypes="app*4044*20170204*" /stext=" 06:.+((SYSTEM_STATE.+slice.+state.+changed )|(ment ac)|(multiple cpu faults)|(system.+state.+changed )|(\[timeout)|(PRM\|1\|D)|(kpr)|(kdp)|(\|lc)|(penalty))" /e /r /s</v>
      </c>
      <c r="AG151" s="1" t="str">
        <f t="shared" si="87"/>
        <v>EC</v>
      </c>
      <c r="AH151" s="86" t="str">
        <f t="shared" si="88"/>
        <v>"%USERPROFILE%\Documents\GitHub\eaglep3\Utilities\RefineRTDCRunTimes.py" --tripid 237-03 --locoid 4044 --swversion DE.1.0.8.0 --startMP 204:466 --initTime 2017-02-03T22:52:00 --startdatetime 2017-02-03T23:00:11 --delay 1 --endMP 204:233304 --enddatetime 2017-02-03T23:38:42 --enforcementcount 0 &gt;&gt;C:\Users\stu\Documents\GitHub\eaglep3-reporting\EC\2017-02-03-refined-times.txt</v>
      </c>
      <c r="AI151" s="108" t="str">
        <f t="shared" si="89"/>
        <v>echo {"issue":{"subject":"","project_id":79,"tracker_id":40,"status_id":1,"priority_id":2,"assigned_to_id":23,"start_date":"2017-02-03","description":"","custom_fields":[{"id":1,"name":"Subdivision","value":"EC"},{"id":4,"name":"Milepost","value":"23.3304"},{"id":17,"name":"Train ID","value":"237-03"},{"id":16,"name":"Locomotive ID","value":"4044"},{"id":130,"name":"Impact","value":""},{"id":150,"name":"Time of Event (Mountain Time)","value":"23:38:42"},{"id":151,"name":"Denver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8" t="str">
        <f t="shared" si="90"/>
        <v>start /low /b %USERPROFILE%\Documents\GitHub\eaglep3\Utilities\DownloadLogsFromS3.py --loco 4044 --day 2017-02-03</v>
      </c>
      <c r="AN151" s="167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"%USERPROFILE%\AppData\Local\Temp\OnboardLogs"\RTDC4044\*4044*20170204* | grep -SE "(Enforcement Action)|(\[TIMEOUT)|(CHR.+\|PRM\|1\|D.+(SWITCH|SIGNAL).+UNKNOWN)" - &gt;&gt; 2017-02-03-UncaughtWiMAX.txt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758</v>
      </c>
      <c r="B152" s="7">
        <v>4043</v>
      </c>
      <c r="C152" s="21" t="s">
        <v>193</v>
      </c>
      <c r="D152" s="21" t="s">
        <v>364</v>
      </c>
      <c r="E152" s="13">
        <v>42769.99322916667</v>
      </c>
      <c r="F152" s="13">
        <v>42769.998715277776</v>
      </c>
      <c r="G152" s="7">
        <v>2</v>
      </c>
      <c r="H152" s="21" t="s">
        <v>812</v>
      </c>
      <c r="I152" s="13">
        <v>42770.025763888887</v>
      </c>
      <c r="J152" s="7">
        <v>0</v>
      </c>
      <c r="K152" s="98" t="str">
        <f t="shared" si="73"/>
        <v>4043/4044</v>
      </c>
      <c r="L152" s="21" t="str">
        <f>VLOOKUP(A152,'Trips&amp;Operators'!$C$1:$G$99999,5,FALSE)</f>
        <v>BROWN JACOB</v>
      </c>
      <c r="M152" s="6">
        <f t="shared" si="74"/>
        <v>2.7048611111240461E-2</v>
      </c>
      <c r="N152" s="7">
        <f t="shared" si="75"/>
        <v>38.950000000186265</v>
      </c>
      <c r="O152" s="7"/>
      <c r="P152" s="7"/>
      <c r="Q152" s="22"/>
      <c r="R152" s="22"/>
      <c r="S152" s="31">
        <f t="shared" si="76"/>
        <v>1</v>
      </c>
      <c r="T152" s="46" t="str">
        <f t="shared" si="77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78"/>
        <v>https://d0f6bd738d7f1b3e5a7ca70fe4ff75f0.us-east-1.aws.found.io/app/kibana#/discover/Steve-Slow-Train-Analysis-(2080s-and-2083s)?_g=(refreshInterval:(display:Off,pause:!f,section:0,value:0),time:(from:'2017-02-03T22:50:15-0700',mode:absolute,to:'2017-02-04T01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2" s="192" t="str">
        <f t="shared" si="79"/>
        <v>N</v>
      </c>
      <c r="X152" s="192">
        <f t="shared" si="80"/>
        <v>1</v>
      </c>
      <c r="Y152" s="62">
        <f t="shared" si="81"/>
        <v>23.299099999999999</v>
      </c>
      <c r="Z152" s="62">
        <f t="shared" si="82"/>
        <v>1.6299999999999999E-2</v>
      </c>
      <c r="AA152" s="62">
        <f t="shared" si="83"/>
        <v>23.282799999999998</v>
      </c>
      <c r="AB152" s="59" t="e">
        <f>VLOOKUP(A152,Enforcements!$C$7:$K$16,8,0)</f>
        <v>#N/A</v>
      </c>
      <c r="AC152" s="55" t="e">
        <f>VLOOKUP(A152,Enforcements!$C$7:$E$16,3,0)</f>
        <v>#N/A</v>
      </c>
      <c r="AD152" s="56" t="str">
        <f t="shared" si="84"/>
        <v>0238-03</v>
      </c>
      <c r="AE152" s="85" t="str">
        <f t="shared" si="85"/>
        <v>aws s3 cp s3://rtdc.mdm.uploadarchive.raw/RTDC4043/ "%USERPROFILE%\AppData\Local\Temp\OnboardLogs"\RTDC4043\2017-02-03 --exclude "*" --recursive --include "*20170203*" &amp; "%USERPROFILE%\Documents\GitHub\mrs-test-scripts\Headless Mode &amp; Sideloading\WalkAndUnGZ.bat" "%USERPROFILE%\AppData\Local\Temp\OnboardLogs"\RTDC4043\2017-02-03 &amp; 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</v>
      </c>
      <c r="AF152" s="82" t="str">
        <f t="shared" si="86"/>
        <v>"C:\Program Files (x86)\AstroGrep\AstroGrep.exe" /spath="%USERPROFILE%\AppData\Local\Temp\OnboardLogs" /stypes="app*4043*20170204*" /stext=" 07:.+((SYSTEM_STATE.+slice.+state.+changed )|(ment ac)|(multiple cpu faults)|(system.+state.+changed )|(\[timeout)|(PRM\|1\|D)|(kpr)|(kdp)|(\|lc)|(penalty))" /e /r /s</v>
      </c>
      <c r="AG152" s="1" t="str">
        <f t="shared" si="87"/>
        <v>EC</v>
      </c>
      <c r="AH152" s="86" t="str">
        <f t="shared" si="88"/>
        <v>"%USERPROFILE%\Documents\GitHub\eaglep3\Utilities\RefineRTDCRunTimes.py" --tripid 238-03 --locoid 4043 --swversion DE.1.0.8.0 --startMP 204:232991 --initTime 2017-02-03T23:50:15 --startdatetime 2017-02-03T23:58:09 --delay 2 --endMP 204:163 --enddatetime 2017-02-04T00:37:06 --enforcementcount 0 &gt;&gt;C:\Users\stu\Documents\GitHub\eaglep3-reporting\EC\2017-02-03-refined-times.txt</v>
      </c>
      <c r="AI152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{"issue":{"subject":"","project_id":79,"tracker_id":40,"status_id":1,"priority_id":2,"assigned_to_id":23,"start_date":"2017-02-04","description":"","custom_fields":[{"id":1,"name":"Subdivision","value":"EC"},{"id":4,"name":"Milepost","value":"0.0163"},{"id":17,"name":"Train ID","value":"238-03"},{"id":16,"name":"Locomotive ID","value":"4043"},{"id":130,"name":"Impact","value":""},{"id":150,"name":"Time of Event (Mountain Time)","value":"00:37:06"},{"id":151,"name":"Denver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8" t="str">
        <f t="shared" si="90"/>
        <v>start /low /b %USERPROFILE%\Documents\GitHub\eaglep3\Utilities\DownloadLogsFromS3.py --loco 4043 --day 2017-02-03</v>
      </c>
      <c r="AN152" s="167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"%USERPROFILE%\AppData\Local\Temp\OnboardLogs"\RTDC4043\*4043*20170204* | grep -SE "(Enforcement Action)|(\[TIMEOUT)|(CHR.+\|PRM\|1\|D.+(SWITCH|SIGNAL).+UNKNOWN)" - &gt;&gt; 2017-02-03-UncaughtWiMAX.txt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756</v>
      </c>
      <c r="B153" s="7">
        <v>4025</v>
      </c>
      <c r="C153" s="21" t="s">
        <v>193</v>
      </c>
      <c r="D153" s="21" t="s">
        <v>415</v>
      </c>
      <c r="E153" s="13">
        <v>42769.966203703705</v>
      </c>
      <c r="F153" s="13">
        <v>42769.979363425926</v>
      </c>
      <c r="G153" s="7">
        <v>3</v>
      </c>
      <c r="H153" s="21" t="s">
        <v>410</v>
      </c>
      <c r="I153" s="13">
        <v>42770.006168981483</v>
      </c>
      <c r="J153" s="7">
        <v>0</v>
      </c>
      <c r="K153" s="98" t="str">
        <f t="shared" si="73"/>
        <v>4025/4026</v>
      </c>
      <c r="L153" s="21" t="str">
        <f>VLOOKUP(A153,'Trips&amp;Operators'!$C$1:$G$99999,5,FALSE)</f>
        <v>STORY SAMANTHA</v>
      </c>
      <c r="M153" s="6">
        <f t="shared" si="74"/>
        <v>2.6805555557075422E-2</v>
      </c>
      <c r="N153" s="7">
        <f t="shared" si="75"/>
        <v>38.600000002188608</v>
      </c>
      <c r="O153" s="7"/>
      <c r="P153" s="7"/>
      <c r="Q153" s="22"/>
      <c r="R153" s="22"/>
      <c r="S153" s="31">
        <f t="shared" si="76"/>
        <v>1</v>
      </c>
      <c r="T153" s="46" t="str">
        <f t="shared" si="77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78"/>
        <v>https://d0f6bd738d7f1b3e5a7ca70fe4ff75f0.us-east-1.aws.found.io/app/kibana#/discover/Steve-Slow-Train-Analysis-(2080s-and-2083s)?_g=(refreshInterval:(display:Off,pause:!f,section:0,value:0),time:(from:'2017-02-03T22:11:20-0700',mode:absolute,to:'2017-02-04T01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3" s="192" t="str">
        <f t="shared" si="79"/>
        <v>N</v>
      </c>
      <c r="X153" s="192">
        <f t="shared" si="80"/>
        <v>1</v>
      </c>
      <c r="Y153" s="62">
        <f t="shared" si="81"/>
        <v>4.6600000000000003E-2</v>
      </c>
      <c r="Z153" s="62">
        <f t="shared" si="82"/>
        <v>23.331199999999999</v>
      </c>
      <c r="AA153" s="62">
        <f t="shared" si="83"/>
        <v>23.284599999999998</v>
      </c>
      <c r="AB153" s="59" t="e">
        <f>VLOOKUP(A153,Enforcements!$C$7:$K$16,8,0)</f>
        <v>#N/A</v>
      </c>
      <c r="AC153" s="55" t="e">
        <f>VLOOKUP(A153,Enforcements!$C$7:$E$16,3,0)</f>
        <v>#N/A</v>
      </c>
      <c r="AD153" s="56" t="str">
        <f t="shared" si="84"/>
        <v>0239-03</v>
      </c>
      <c r="AE153" s="85" t="str">
        <f t="shared" si="85"/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AF153" s="82" t="str">
        <f t="shared" si="86"/>
        <v>"C:\Program Files (x86)\AstroGrep\AstroGrep.exe" /spath="%USERPROFILE%\AppData\Local\Temp\OnboardLogs" /stypes="app*4025*20170204*" /stext=" 07:.+((SYSTEM_STATE.+slice.+state.+changed )|(ment ac)|(multiple cpu faults)|(system.+state.+changed )|(\[timeout)|(PRM\|1\|D)|(kpr)|(kdp)|(\|lc)|(penalty))" /e /r /s</v>
      </c>
      <c r="AG153" s="1" t="str">
        <f t="shared" si="87"/>
        <v>EC</v>
      </c>
      <c r="AH153" s="86" t="str">
        <f t="shared" si="88"/>
        <v>"%USERPROFILE%\Documents\GitHub\eaglep3\Utilities\RefineRTDCRunTimes.py" --tripid 239-03 --locoid 4025 --swversion DE.1.0.8.0 --startMP 204:466 --initTime 2017-02-03T23:11:20 --startdatetime 2017-02-03T23:30:17 --delay 3 --endMP 204:233312 --enddatetime 2017-02-04T00:08:53 --enforcementcount 0 &gt;&gt;C:\Users\stu\Documents\GitHub\eaglep3-reporting\EC\2017-02-03-refined-times.txt</v>
      </c>
      <c r="AI153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{"issue":{"subject":"","project_id":79,"tracker_id":40,"status_id":1,"priority_id":2,"assigned_to_id":23,"start_date":"2017-02-04","description":"","custom_fields":[{"id":1,"name":"Subdivision","value":"EC"},{"id":4,"name":"Milepost","value":"23.3312"},{"id":17,"name":"Train ID","value":"239-03"},{"id":16,"name":"Locomotive ID","value":"4025"},{"id":130,"name":"Impact","value":""},{"id":150,"name":"Time of Event (Mountain Time)","value":"00:08:53"},{"id":151,"name":"Denver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8" t="str">
        <f t="shared" si="90"/>
        <v>start /low /b %USERPROFILE%\Documents\GitHub\eaglep3\Utilities\DownloadLogsFromS3.py --loco 4025 --day 2017-02-03</v>
      </c>
      <c r="AN153" s="167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"%USERPROFILE%\AppData\Local\Temp\OnboardLogs"\RTDC4025\*4025*20170204* | grep -SE "(Enforcement Action)|(\[TIMEOUT)|(CHR.+\|PRM\|1\|D.+(SWITCH|SIGNAL).+UNKNOWN)" - &gt;&gt; 2017-02-03-UncaughtWiMAX.txt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760</v>
      </c>
      <c r="B154" s="7">
        <v>4026</v>
      </c>
      <c r="C154" s="21" t="s">
        <v>193</v>
      </c>
      <c r="D154" s="21" t="s">
        <v>309</v>
      </c>
      <c r="E154" s="13">
        <v>42770.013807870368</v>
      </c>
      <c r="F154" s="13">
        <v>42770.018275462964</v>
      </c>
      <c r="G154" s="7">
        <v>1</v>
      </c>
      <c r="H154" s="21" t="s">
        <v>828</v>
      </c>
      <c r="I154" s="13">
        <v>42770.045324074075</v>
      </c>
      <c r="J154" s="7">
        <v>0</v>
      </c>
      <c r="K154" s="98" t="str">
        <f t="shared" si="73"/>
        <v>4025/4026</v>
      </c>
      <c r="L154" s="21" t="str">
        <f>VLOOKUP(A154,'Trips&amp;Operators'!$C$1:$G$99999,5,FALSE)</f>
        <v>STORY SAMANTHA</v>
      </c>
      <c r="M154" s="6">
        <f t="shared" si="74"/>
        <v>2.7048611111240461E-2</v>
      </c>
      <c r="N154" s="7">
        <f t="shared" si="75"/>
        <v>38.950000000186265</v>
      </c>
      <c r="O154" s="7"/>
      <c r="P154" s="7"/>
      <c r="Q154" s="22"/>
      <c r="R154" s="22"/>
      <c r="S154" s="31">
        <f t="shared" si="76"/>
        <v>1</v>
      </c>
      <c r="T154" s="46" t="str">
        <f t="shared" si="77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78"/>
        <v>https://d0f6bd738d7f1b3e5a7ca70fe4ff75f0.us-east-1.aws.found.io/app/kibana#/discover/Steve-Slow-Train-Analysis-(2080s-and-2083s)?_g=(refreshInterval:(display:Off,pause:!f,section:0,value:0),time:(from:'2017-02-03T23:19:53-0700',mode:absolute,to:'2017-02-04T02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4" s="192" t="str">
        <f t="shared" si="79"/>
        <v>N</v>
      </c>
      <c r="X154" s="192">
        <f t="shared" si="80"/>
        <v>1</v>
      </c>
      <c r="Y154" s="62">
        <f t="shared" si="81"/>
        <v>23.299800000000001</v>
      </c>
      <c r="Z154" s="62">
        <f t="shared" si="82"/>
        <v>8.8000000000000005E-3</v>
      </c>
      <c r="AA154" s="62">
        <f t="shared" si="83"/>
        <v>23.291</v>
      </c>
      <c r="AB154" s="59" t="e">
        <f>VLOOKUP(A154,Enforcements!$C$7:$K$16,8,0)</f>
        <v>#N/A</v>
      </c>
      <c r="AC154" s="55" t="e">
        <f>VLOOKUP(A154,Enforcements!$C$7:$E$16,3,0)</f>
        <v>#N/A</v>
      </c>
      <c r="AD154" s="56" t="str">
        <f t="shared" si="84"/>
        <v>0240-03</v>
      </c>
      <c r="AE154" s="85" t="str">
        <f t="shared" si="85"/>
        <v>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 &amp; aws s3 cp s3://rtdc.mdm.uploadarchive.raw/RTDC4026/ "%USERPROFILE%\AppData\Local\Temp\OnboardLogs"\RTDC4026\2017-02-05 --exclude "*" --recursive --include "*20170205*" &amp; "%USERPROFILE%\Documents\GitHub\mrs-test-scripts\Headless Mode &amp; Sideloading\WalkAndUnGZ.bat" "%USERPROFILE%\AppData\Local\Temp\OnboardLogs"\RTDC4026\2017-02-05</v>
      </c>
      <c r="AF154" s="82" t="str">
        <f t="shared" si="86"/>
        <v>"C:\Program Files (x86)\AstroGrep\AstroGrep.exe" /spath="%USERPROFILE%\AppData\Local\Temp\OnboardLogs" /stypes="app*4026*20170204*" /stext=" 08:.+((SYSTEM_STATE.+slice.+state.+changed )|(ment ac)|(multiple cpu faults)|(system.+state.+changed )|(\[timeout)|(PRM\|1\|D)|(kpr)|(kdp)|(\|lc)|(penalty))" /e /r /s</v>
      </c>
      <c r="AG154" s="1" t="str">
        <f t="shared" si="87"/>
        <v>EC</v>
      </c>
      <c r="AH154" s="86" t="str">
        <f t="shared" si="88"/>
        <v>"%USERPROFILE%\Documents\GitHub\eaglep3\Utilities\RefineRTDCRunTimes.py" --tripid 240-03 --locoid 4026 --swversion DE.1.0.8.0 --startMP 204:232998 --initTime 2017-02-04T00:19:53 --startdatetime 2017-02-04T00:26:19 --delay 1 --endMP 204:88 --enddatetime 2017-02-04T01:05:16 --enforcementcount 0 &gt;&gt;C:\Users\stu\Documents\GitHub\eaglep3-reporting\EC\2017-02-03-refined-times.txt</v>
      </c>
      <c r="AI154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{"issue":{"subject":"","project_id":79,"tracker_id":40,"status_id":1,"priority_id":2,"assigned_to_id":23,"start_date":"2017-02-04","description":"","custom_fields":[{"id":1,"name":"Subdivision","value":"EC"},{"id":4,"name":"Milepost","value":"0.0088"},{"id":17,"name":"Train ID","value":"240-03"},{"id":16,"name":"Locomotive ID","value":"4026"},{"id":130,"name":"Impact","value":""},{"id":150,"name":"Time of Event (Mountain Time)","value":"01:05:16"},{"id":151,"name":"Denver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8" t="str">
        <f t="shared" si="90"/>
        <v>start /low /b %USERPROFILE%\Documents\GitHub\eaglep3\Utilities\DownloadLogsFromS3.py --loco 4026 --day 2017-02-04</v>
      </c>
      <c r="AN154" s="167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"%USERPROFILE%\AppData\Local\Temp\OnboardLogs"\RTDC4026\*4026*20170204* | grep -SE "(Enforcement Action)|(\[TIMEOUT)|(CHR.+\|PRM\|1\|D.+(SWITCH|SIGNAL).+UNKNOWN)" - &gt;&gt; 2017-02-03-UncaughtWiMAX.txt</v>
      </c>
    </row>
    <row r="155" spans="1:91" s="20" customFormat="1" x14ac:dyDescent="0.25">
      <c r="A155" s="33" t="s">
        <v>757</v>
      </c>
      <c r="B155" s="7">
        <v>4031</v>
      </c>
      <c r="C155" s="21" t="s">
        <v>193</v>
      </c>
      <c r="D155" s="21" t="s">
        <v>292</v>
      </c>
      <c r="E155" s="13">
        <v>42769.984259259261</v>
      </c>
      <c r="F155" s="13">
        <v>42770.000416666669</v>
      </c>
      <c r="G155" s="7">
        <v>1</v>
      </c>
      <c r="H155" s="21" t="s">
        <v>312</v>
      </c>
      <c r="I155" s="13">
        <v>42770.025590277779</v>
      </c>
      <c r="J155" s="7">
        <v>0</v>
      </c>
      <c r="K155" s="98" t="str">
        <f t="shared" si="73"/>
        <v>4031/4032</v>
      </c>
      <c r="L155" s="21" t="str">
        <f>VLOOKUP(A155,'Trips&amp;Operators'!$C$1:$G$99999,5,FALSE)</f>
        <v>PERKINS DARREN</v>
      </c>
      <c r="M155" s="6">
        <f t="shared" si="74"/>
        <v>2.5173611109494232E-2</v>
      </c>
      <c r="N155" s="7">
        <f t="shared" si="75"/>
        <v>36.249999997671694</v>
      </c>
      <c r="O155" s="7"/>
      <c r="P155" s="7"/>
      <c r="Q155" s="22"/>
      <c r="R155" s="22"/>
      <c r="S155" s="31">
        <f t="shared" si="76"/>
        <v>1</v>
      </c>
      <c r="T155" s="46" t="str">
        <f t="shared" si="77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78"/>
        <v>https://d0f6bd738d7f1b3e5a7ca70fe4ff75f0.us-east-1.aws.found.io/app/kibana#/discover/Steve-Slow-Train-Analysis-(2080s-and-2083s)?_g=(refreshInterval:(display:Off,pause:!f,section:0,value:0),time:(from:'2017-02-03T22:37:20-0700',mode:absolute,to:'2017-02-04T01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5" s="192" t="str">
        <f t="shared" si="79"/>
        <v>N</v>
      </c>
      <c r="X155" s="192">
        <f t="shared" si="80"/>
        <v>1</v>
      </c>
      <c r="Y155" s="62">
        <f t="shared" si="81"/>
        <v>4.5499999999999999E-2</v>
      </c>
      <c r="Z155" s="62">
        <f t="shared" si="82"/>
        <v>23.330400000000001</v>
      </c>
      <c r="AA155" s="62">
        <f t="shared" si="83"/>
        <v>23.2849</v>
      </c>
      <c r="AB155" s="59" t="e">
        <f>VLOOKUP(A155,Enforcements!$C$7:$K$16,8,0)</f>
        <v>#N/A</v>
      </c>
      <c r="AC155" s="55" t="e">
        <f>VLOOKUP(A155,Enforcements!$C$7:$E$16,3,0)</f>
        <v>#N/A</v>
      </c>
      <c r="AD155" s="56" t="str">
        <f t="shared" si="84"/>
        <v>0241-03</v>
      </c>
      <c r="AE155" s="85" t="str">
        <f t="shared" si="85"/>
        <v>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 &amp; aws s3 cp s3://rtdc.mdm.uploadarchive.raw/RTDC4031/ "%USERPROFILE%\AppData\Local\Temp\OnboardLogs"\RTDC4031\2017-02-05 --exclude "*" --recursive --include "*20170205*" &amp; "%USERPROFILE%\Documents\GitHub\mrs-test-scripts\Headless Mode &amp; Sideloading\WalkAndUnGZ.bat" "%USERPROFILE%\AppData\Local\Temp\OnboardLogs"\RTDC4031\2017-02-05</v>
      </c>
      <c r="AF155" s="82" t="str">
        <f t="shared" si="86"/>
        <v>"C:\Program Files (x86)\AstroGrep\AstroGrep.exe" /spath="%USERPROFILE%\AppData\Local\Temp\OnboardLogs" /stypes="app*4031*20170204*" /stext=" 07:.+((SYSTEM_STATE.+slice.+state.+changed )|(ment ac)|(multiple cpu faults)|(system.+state.+changed )|(\[timeout)|(PRM\|1\|D)|(kpr)|(kdp)|(\|lc)|(penalty))" /e /r /s</v>
      </c>
      <c r="AG155" s="1" t="str">
        <f t="shared" si="87"/>
        <v>EC</v>
      </c>
      <c r="AH155" s="86" t="str">
        <f t="shared" si="88"/>
        <v>"%USERPROFILE%\Documents\GitHub\eaglep3\Utilities\RefineRTDCRunTimes.py" --tripid 241-03 --locoid 4031 --swversion DE.1.0.8.0 --startMP 204:455 --initTime 2017-02-03T23:37:20 --startdatetime 2017-02-04T00:00:36 --delay 1 --endMP 204:233304 --enddatetime 2017-02-04T00:36:51 --enforcementcount 0 &gt;&gt;C:\Users\stu\Documents\GitHub\eaglep3-reporting\EC\2017-02-03-refined-times.txt</v>
      </c>
      <c r="AI155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{"issue":{"subject":"","project_id":79,"tracker_id":40,"status_id":1,"priority_id":2,"assigned_to_id":23,"start_date":"2017-02-04","description":"","custom_fields":[{"id":1,"name":"Subdivision","value":"EC"},{"id":4,"name":"Milepost","value":"23.3304"},{"id":17,"name":"Train ID","value":"241-03"},{"id":16,"name":"Locomotive ID","value":"4031"},{"id":130,"name":"Impact","value":""},{"id":150,"name":"Time of Event (Mountain Time)","value":"00:36:51"},{"id":151,"name":"Denver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8" t="str">
        <f t="shared" si="90"/>
        <v>start /low /b %USERPROFILE%\Documents\GitHub\eaglep3\Utilities\DownloadLogsFromS3.py --loco 4031 --day 2017-02-04</v>
      </c>
      <c r="AN155" s="167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"%USERPROFILE%\AppData\Local\Temp\OnboardLogs"\RTDC4031\*4031*20170204* | grep -SE "(Enforcement Action)|(\[TIMEOUT)|(CHR.+\|PRM\|1\|D.+(SWITCH|SIGNAL).+UNKNOWN)" - &gt;&gt; 2017-02-03-UncaughtWiMAX.txt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761</v>
      </c>
      <c r="B156" s="7">
        <v>4032</v>
      </c>
      <c r="C156" s="21" t="s">
        <v>193</v>
      </c>
      <c r="D156" s="21" t="s">
        <v>309</v>
      </c>
      <c r="E156" s="13">
        <v>42770.031493055554</v>
      </c>
      <c r="F156" s="13">
        <v>42770.039097222223</v>
      </c>
      <c r="G156" s="7">
        <v>1</v>
      </c>
      <c r="H156" s="21" t="s">
        <v>829</v>
      </c>
      <c r="I156" s="13">
        <v>42770.065659722219</v>
      </c>
      <c r="J156" s="7">
        <v>0</v>
      </c>
      <c r="K156" s="98" t="str">
        <f t="shared" si="73"/>
        <v>4031/4032</v>
      </c>
      <c r="L156" s="21" t="str">
        <f>VLOOKUP(A156,'Trips&amp;Operators'!$C$1:$G$99999,5,FALSE)</f>
        <v>PERKINS DARREN</v>
      </c>
      <c r="M156" s="6">
        <f t="shared" si="74"/>
        <v>2.6562499995634425E-2</v>
      </c>
      <c r="N156" s="7">
        <f t="shared" si="75"/>
        <v>38.249999993713573</v>
      </c>
      <c r="O156" s="7"/>
      <c r="P156" s="7"/>
      <c r="Q156" s="22"/>
      <c r="R156" s="22"/>
      <c r="S156" s="31">
        <f t="shared" si="76"/>
        <v>1</v>
      </c>
      <c r="T156" s="46" t="str">
        <f t="shared" si="77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78"/>
        <v>https://d0f6bd738d7f1b3e5a7ca70fe4ff75f0.us-east-1.aws.found.io/app/kibana#/discover/Steve-Slow-Train-Analysis-(2080s-and-2083s)?_g=(refreshInterval:(display:Off,pause:!f,section:0,value:0),time:(from:'2017-02-03T23:45:21-0700',mode:absolute,to:'2017-02-04T02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192" t="str">
        <f t="shared" si="79"/>
        <v>N</v>
      </c>
      <c r="X156" s="192">
        <f t="shared" si="80"/>
        <v>1</v>
      </c>
      <c r="Y156" s="62">
        <f t="shared" si="81"/>
        <v>23.299800000000001</v>
      </c>
      <c r="Z156" s="62">
        <f t="shared" si="82"/>
        <v>4.1500000000000002E-2</v>
      </c>
      <c r="AA156" s="62">
        <f t="shared" si="83"/>
        <v>23.258300000000002</v>
      </c>
      <c r="AB156" s="59" t="e">
        <f>VLOOKUP(A156,Enforcements!$C$7:$K$16,8,0)</f>
        <v>#N/A</v>
      </c>
      <c r="AC156" s="55" t="e">
        <f>VLOOKUP(A156,Enforcements!$C$7:$E$16,3,0)</f>
        <v>#N/A</v>
      </c>
      <c r="AD156" s="56" t="str">
        <f t="shared" si="84"/>
        <v>0242-03</v>
      </c>
      <c r="AE156" s="85" t="str">
        <f t="shared" si="85"/>
        <v>aws s3 cp s3://rtdc.mdm.uploadarchive.raw/RTDC4032/ "%USERPROFILE%\AppData\Local\Temp\OnboardLogs"\RTDC4032\2017-02-04 --exclude "*" --recursive --include "*20170204*" &amp; "%USERPROFILE%\Documents\GitHub\mrs-test-scripts\Headless Mode &amp; Sideloading\WalkAndUnGZ.bat" "%USERPROFILE%\AppData\Local\Temp\OnboardLogs"\RTDC4032\2017-02-04 &amp; aws s3 cp s3://rtdc.mdm.uploadarchive.raw/RTDC4032/ "%USERPROFILE%\AppData\Local\Temp\OnboardLogs"\RTDC4032\2017-02-05 --exclude "*" --recursive --include "*20170205*" &amp; "%USERPROFILE%\Documents\GitHub\mrs-test-scripts\Headless Mode &amp; Sideloading\WalkAndUnGZ.bat" "%USERPROFILE%\AppData\Local\Temp\OnboardLogs"\RTDC4032\2017-02-05</v>
      </c>
      <c r="AF156" s="82" t="str">
        <f t="shared" si="86"/>
        <v>"C:\Program Files (x86)\AstroGrep\AstroGrep.exe" /spath="%USERPROFILE%\AppData\Local\Temp\OnboardLogs" /stypes="app*4032*20170204*" /stext=" 08:.+((SYSTEM_STATE.+slice.+state.+changed )|(ment ac)|(multiple cpu faults)|(system.+state.+changed )|(\[timeout)|(PRM\|1\|D)|(kpr)|(kdp)|(\|lc)|(penalty))" /e /r /s</v>
      </c>
      <c r="AG156" s="1" t="str">
        <f t="shared" si="87"/>
        <v>EC</v>
      </c>
      <c r="AH156" s="86" t="str">
        <f t="shared" si="88"/>
        <v>"%USERPROFILE%\Documents\GitHub\eaglep3\Utilities\RefineRTDCRunTimes.py" --tripid 242-03 --locoid 4032 --swversion DE.1.0.8.0 --startMP 204:232998 --initTime 2017-02-04T00:45:21 --startdatetime 2017-02-04T00:56:18 --delay 1 --endMP 204:415 --enddatetime 2017-02-04T01:34:33 --enforcementcount 0 &gt;&gt;C:\Users\stu\Documents\GitHub\eaglep3-reporting\EC\2017-02-03-refined-times.txt</v>
      </c>
      <c r="AI156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{"issue":{"subject":"","project_id":79,"tracker_id":40,"status_id":1,"priority_id":2,"assigned_to_id":23,"start_date":"2017-02-04","description":"","custom_fields":[{"id":1,"name":"Subdivision","value":"EC"},{"id":4,"name":"Milepost","value":"0.0415"},{"id":17,"name":"Train ID","value":"242-03"},{"id":16,"name":"Locomotive ID","value":"4032"},{"id":130,"name":"Impact","value":""},{"id":150,"name":"Time of Event (Mountain Time)","value":"01:34:33"},{"id":151,"name":"Denver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8" t="str">
        <f t="shared" si="90"/>
        <v>start /low /b %USERPROFILE%\Documents\GitHub\eaglep3\Utilities\DownloadLogsFromS3.py --loco 4032 --day 2017-02-04</v>
      </c>
      <c r="AN156" s="167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"%USERPROFILE%\AppData\Local\Temp\OnboardLogs"\RTDC4032\*4032*20170204* | grep -SE "(Enforcement Action)|(\[TIMEOUT)|(CHR.+\|PRM\|1\|D.+(SWITCH|SIGNAL).+UNKNOWN)" - &gt;&gt; 2017-02-03-UncaughtWiMAX.txt</v>
      </c>
    </row>
    <row r="157" spans="1:91" s="20" customFormat="1" x14ac:dyDescent="0.25">
      <c r="A157" s="33" t="s">
        <v>759</v>
      </c>
      <c r="B157" s="7">
        <v>4022</v>
      </c>
      <c r="C157" s="21" t="s">
        <v>193</v>
      </c>
      <c r="D157" s="21" t="s">
        <v>830</v>
      </c>
      <c r="E157" s="13">
        <v>42770.00849537037</v>
      </c>
      <c r="F157" s="13">
        <v>42770.021087962959</v>
      </c>
      <c r="G157" s="7">
        <v>3</v>
      </c>
      <c r="H157" s="21" t="s">
        <v>424</v>
      </c>
      <c r="I157" s="13">
        <v>42770.047418981485</v>
      </c>
      <c r="J157" s="7">
        <v>0</v>
      </c>
      <c r="K157" s="98" t="str">
        <f t="shared" si="73"/>
        <v>4021/4022</v>
      </c>
      <c r="L157" s="21" t="str">
        <f>VLOOKUP(A157,'Trips&amp;Operators'!$C$1:$G$99999,5,FALSE)</f>
        <v>HILLS DUSTIN</v>
      </c>
      <c r="M157" s="6">
        <f t="shared" si="74"/>
        <v>2.6331018525524996E-2</v>
      </c>
      <c r="N157" s="7">
        <f t="shared" si="75"/>
        <v>37.916666676755995</v>
      </c>
      <c r="O157" s="7"/>
      <c r="P157" s="7"/>
      <c r="Q157" s="22"/>
      <c r="R157" s="22"/>
      <c r="S157" s="31">
        <f t="shared" si="76"/>
        <v>1</v>
      </c>
      <c r="T157" s="46" t="str">
        <f t="shared" si="77"/>
        <v>NorthBound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78"/>
        <v>https://d0f6bd738d7f1b3e5a7ca70fe4ff75f0.us-east-1.aws.found.io/app/kibana#/discover/Steve-Slow-Train-Analysis-(2080s-and-2083s)?_g=(refreshInterval:(display:Off,pause:!f,section:0,value:0),time:(from:'2017-02-03T23:12:14-0700',mode:absolute,to:'2017-02-04T02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7" s="192" t="str">
        <f t="shared" si="79"/>
        <v>N</v>
      </c>
      <c r="X157" s="192">
        <f t="shared" si="80"/>
        <v>1</v>
      </c>
      <c r="Y157" s="62">
        <f t="shared" si="81"/>
        <v>4.07E-2</v>
      </c>
      <c r="Z157" s="62">
        <f t="shared" si="82"/>
        <v>23.337199999999999</v>
      </c>
      <c r="AA157" s="62">
        <f t="shared" si="83"/>
        <v>23.296499999999998</v>
      </c>
      <c r="AB157" s="59" t="e">
        <f>VLOOKUP(A157,Enforcements!$C$7:$K$16,8,0)</f>
        <v>#N/A</v>
      </c>
      <c r="AC157" s="55" t="e">
        <f>VLOOKUP(A157,Enforcements!$C$7:$E$16,3,0)</f>
        <v>#N/A</v>
      </c>
      <c r="AD157" s="56" t="str">
        <f t="shared" si="84"/>
        <v>0243-03</v>
      </c>
      <c r="AE157" s="85" t="str">
        <f t="shared" si="85"/>
        <v>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 &amp; aws s3 cp s3://rtdc.mdm.uploadarchive.raw/RTDC4022/ "%USERPROFILE%\AppData\Local\Temp\OnboardLogs"\RTDC4022\2017-02-05 --exclude "*" --recursive --include "*20170205*" &amp; "%USERPROFILE%\Documents\GitHub\mrs-test-scripts\Headless Mode &amp; Sideloading\WalkAndUnGZ.bat" "%USERPROFILE%\AppData\Local\Temp\OnboardLogs"\RTDC4022\2017-02-05</v>
      </c>
      <c r="AF157" s="82" t="str">
        <f t="shared" si="86"/>
        <v>"C:\Program Files (x86)\AstroGrep\AstroGrep.exe" /spath="%USERPROFILE%\AppData\Local\Temp\OnboardLogs" /stypes="app*4022*20170204*" /stext=" 08:.+((SYSTEM_STATE.+slice.+state.+changed )|(ment ac)|(multiple cpu faults)|(system.+state.+changed )|(\[timeout)|(PRM\|1\|D)|(kpr)|(kdp)|(\|lc)|(penalty))" /e /r /s</v>
      </c>
      <c r="AG157" s="1" t="str">
        <f t="shared" si="87"/>
        <v>EC</v>
      </c>
      <c r="AH157" s="86" t="str">
        <f t="shared" si="88"/>
        <v>"%USERPROFILE%\Documents\GitHub\eaglep3\Utilities\RefineRTDCRunTimes.py" --tripid 243-03 --locoid 4022 --swversion DE.1.0.8.0 --startMP 204:407 --initTime 2017-02-04T00:12:14 --startdatetime 2017-02-04T00:30:22 --delay 3 --endMP 204:233372 --enddatetime 2017-02-04T01:08:17 --enforcementcount 0 &gt;&gt;C:\Users\stu\Documents\GitHub\eaglep3-reporting\EC\2017-02-03-refined-times.txt</v>
      </c>
      <c r="AI157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{"issue":{"subject":"","project_id":79,"tracker_id":40,"status_id":1,"priority_id":2,"assigned_to_id":23,"start_date":"2017-02-04","description":"","custom_fields":[{"id":1,"name":"Subdivision","value":"EC"},{"id":4,"name":"Milepost","value":"23.3372"},{"id":17,"name":"Train ID","value":"243-03"},{"id":16,"name":"Locomotive ID","value":"4022"},{"id":130,"name":"Impact","value":""},{"id":150,"name":"Time of Event (Mountain Time)","value":"01:08:17"},{"id":151,"name":"Denver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8" t="str">
        <f t="shared" si="90"/>
        <v>start /low /b %USERPROFILE%\Documents\GitHub\eaglep3\Utilities\DownloadLogsFromS3.py --loco 4022 --day 2017-02-04</v>
      </c>
      <c r="AN157" s="167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"%USERPROFILE%\AppData\Local\Temp\OnboardLogs"\RTDC4022\*4022*20170204* | grep -SE "(Enforcement Action)|(\[TIMEOUT)|(CHR.+\|PRM\|1\|D.+(SWITCH|SIGNAL).+UNKNOWN)" - &gt;&gt; 2017-02-03-UncaughtWiMAX.txt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764</v>
      </c>
      <c r="B158" s="7">
        <v>4021</v>
      </c>
      <c r="C158" s="21" t="s">
        <v>193</v>
      </c>
      <c r="D158" s="21" t="s">
        <v>831</v>
      </c>
      <c r="E158" s="13">
        <v>42770.093668981484</v>
      </c>
      <c r="F158" s="13">
        <v>42770.059907407405</v>
      </c>
      <c r="G158" s="7">
        <v>9</v>
      </c>
      <c r="H158" s="21" t="s">
        <v>832</v>
      </c>
      <c r="I158" s="13">
        <v>42770.086435185185</v>
      </c>
      <c r="J158" s="7">
        <v>0</v>
      </c>
      <c r="K158" s="98" t="str">
        <f t="shared" si="73"/>
        <v>4021/4022</v>
      </c>
      <c r="L158" s="21" t="str">
        <f>VLOOKUP(A158,'Trips&amp;Operators'!$C$1:$G$99999,5,FALSE)</f>
        <v>HILLS DUSTIN</v>
      </c>
      <c r="M158" s="6">
        <f t="shared" si="74"/>
        <v>2.6527777779847383E-2</v>
      </c>
      <c r="N158" s="7">
        <f t="shared" si="75"/>
        <v>38.200000002980232</v>
      </c>
      <c r="O158" s="7"/>
      <c r="P158" s="7"/>
      <c r="Q158" s="22"/>
      <c r="R158" s="22"/>
      <c r="S158" s="31">
        <f t="shared" si="76"/>
        <v>1</v>
      </c>
      <c r="T158" s="46" t="str">
        <f t="shared" si="77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78"/>
        <v>https://d0f6bd738d7f1b3e5a7ca70fe4ff75f0.us-east-1.aws.found.io/app/kibana#/discover/Steve-Slow-Train-Analysis-(2080s-and-2083s)?_g=(refreshInterval:(display:Off,pause:!f,section:0,value:0),time:(from:'2017-02-04T01:14:53-0700',mode:absolute,to:'2017-02-04T03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8" s="192" t="str">
        <f t="shared" si="79"/>
        <v>N</v>
      </c>
      <c r="X158" s="192">
        <f t="shared" si="80"/>
        <v>1</v>
      </c>
      <c r="Y158" s="62">
        <v>23.3</v>
      </c>
      <c r="Z158" s="62">
        <v>6.6E-3</v>
      </c>
      <c r="AA158" s="62">
        <f t="shared" si="83"/>
        <v>23.293400000000002</v>
      </c>
      <c r="AB158" s="59" t="e">
        <f>VLOOKUP(A158,Enforcements!$C$7:$K$16,8,0)</f>
        <v>#N/A</v>
      </c>
      <c r="AC158" s="55" t="e">
        <f>VLOOKUP(A158,Enforcements!$C$7:$E$16,3,0)</f>
        <v>#N/A</v>
      </c>
      <c r="AD158" s="56" t="str">
        <f t="shared" si="84"/>
        <v>0244-03</v>
      </c>
      <c r="AE158" s="85" t="str">
        <f t="shared" si="85"/>
        <v>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 &amp; aws s3 cp s3://rtdc.mdm.uploadarchive.raw/RTDC4021/ "%USERPROFILE%\AppData\Local\Temp\OnboardLogs"\RTDC4021\2017-02-05 --exclude "*" --recursive --include "*20170205*" &amp; "%USERPROFILE%\Documents\GitHub\mrs-test-scripts\Headless Mode &amp; Sideloading\WalkAndUnGZ.bat" "%USERPROFILE%\AppData\Local\Temp\OnboardLogs"\RTDC4021\2017-02-05</v>
      </c>
      <c r="AF158" s="82" t="str">
        <f t="shared" si="86"/>
        <v>"C:\Program Files (x86)\AstroGrep\AstroGrep.exe" /spath="%USERPROFILE%\AppData\Local\Temp\OnboardLogs" /stypes="app*4021*20170204*" /stext=" 09:.+((SYSTEM_STATE.+slice.+state.+changed )|(ment ac)|(multiple cpu faults)|(system.+state.+changed )|(\[timeout)|(PRM\|1\|D)|(kpr)|(kdp)|(\|lc)|(penalty))" /e /r /s</v>
      </c>
      <c r="AG158" s="1" t="str">
        <f t="shared" si="87"/>
        <v>EC</v>
      </c>
      <c r="AH158" s="86" t="str">
        <f t="shared" si="88"/>
        <v>"%USERPROFILE%\Documents\GitHub\eaglep3\Utilities\RefineRTDCRunTimes.py" --tripid 244-03 --locoid 4021 --swversion DE.1.0.8.0 --startMP 204:1025 --initTime 2017-02-04T02:14:53 --startdatetime 2017-02-04T01:26:16 --delay 9 --endMP 204:91383 --enddatetime 2017-02-04T02:04:28 --enforcementcount 0 &gt;&gt;C:\Users\stu\Documents\GitHub\eaglep3-reporting\EC\2017-02-03-refined-times.txt</v>
      </c>
      <c r="AI158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{"issue":{"subject":"","project_id":79,"tracker_id":40,"status_id":1,"priority_id":2,"assigned_to_id":23,"start_date":"2017-02-04","description":"","custom_fields":[{"id":1,"name":"Subdivision","value":"EC"},{"id":4,"name":"Milepost","value":"0.0066"},{"id":17,"name":"Train ID","value":"244-03"},{"id":16,"name":"Locomotive ID","value":"4021"},{"id":130,"name":"Impact","value":""},{"id":150,"name":"Time of Event (Mountain Time)","value":"02:04:28"},{"id":151,"name":"Denver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8" t="str">
        <f t="shared" si="90"/>
        <v>start /low /b %USERPROFILE%\Documents\GitHub\eaglep3\Utilities\DownloadLogsFromS3.py --loco 4021 --day 2017-02-04</v>
      </c>
      <c r="AN158" s="167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"%USERPROFILE%\AppData\Local\Temp\OnboardLogs"\RTDC4021\*4021*20170204* | grep -SE "(Enforcement Action)|(\[TIMEOUT)|(CHR.+\|PRM\|1\|D.+(SWITCH|SIGNAL).+UNKNOWN)" - &gt;&gt; 2017-02-03-UncaughtWiMAX.txt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762</v>
      </c>
      <c r="B159" s="7">
        <v>4044</v>
      </c>
      <c r="C159" s="21" t="s">
        <v>193</v>
      </c>
      <c r="D159" s="21" t="s">
        <v>226</v>
      </c>
      <c r="E159" s="13">
        <v>42770.037881944445</v>
      </c>
      <c r="F159" s="13">
        <v>42770.041921296295</v>
      </c>
      <c r="G159" s="7">
        <v>1</v>
      </c>
      <c r="H159" s="21" t="s">
        <v>833</v>
      </c>
      <c r="I159" s="13">
        <v>42770.069120370368</v>
      </c>
      <c r="J159" s="7">
        <v>0</v>
      </c>
      <c r="K159" s="98" t="str">
        <f t="shared" si="73"/>
        <v>4043/4044</v>
      </c>
      <c r="L159" s="21" t="str">
        <f>VLOOKUP(A159,'Trips&amp;Operators'!$C$1:$G$99999,5,FALSE)</f>
        <v>BROWN JACOB</v>
      </c>
      <c r="M159" s="6">
        <f t="shared" si="74"/>
        <v>2.7199074072996154E-2</v>
      </c>
      <c r="N159" s="7">
        <f t="shared" si="75"/>
        <v>39.166666665114462</v>
      </c>
      <c r="O159" s="7"/>
      <c r="P159" s="7"/>
      <c r="Q159" s="22"/>
      <c r="R159" s="22"/>
      <c r="S159" s="31">
        <f t="shared" si="76"/>
        <v>1</v>
      </c>
      <c r="T159" s="46" t="str">
        <f t="shared" si="77"/>
        <v>NorthBound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78"/>
        <v>https://d0f6bd738d7f1b3e5a7ca70fe4ff75f0.us-east-1.aws.found.io/app/kibana#/discover/Steve-Slow-Train-Analysis-(2080s-and-2083s)?_g=(refreshInterval:(display:Off,pause:!f,section:0,value:0),time:(from:'2017-02-03T23:54:33-0700',mode:absolute,to:'2017-02-04T02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9" s="192" t="str">
        <f t="shared" si="79"/>
        <v>N</v>
      </c>
      <c r="X159" s="192">
        <f t="shared" si="80"/>
        <v>1</v>
      </c>
      <c r="Y159" s="62">
        <f t="shared" si="81"/>
        <v>4.58E-2</v>
      </c>
      <c r="Z159" s="62">
        <f t="shared" si="82"/>
        <v>23.334399999999999</v>
      </c>
      <c r="AA159" s="62">
        <f t="shared" si="83"/>
        <v>23.288599999999999</v>
      </c>
      <c r="AB159" s="59" t="e">
        <f>VLOOKUP(A159,Enforcements!$C$7:$K$16,8,0)</f>
        <v>#N/A</v>
      </c>
      <c r="AC159" s="55" t="e">
        <f>VLOOKUP(A159,Enforcements!$C$7:$E$16,3,0)</f>
        <v>#N/A</v>
      </c>
      <c r="AD159" s="56" t="str">
        <f t="shared" si="84"/>
        <v>0245-03</v>
      </c>
      <c r="AE159" s="85" t="str">
        <f t="shared" si="85"/>
        <v>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 &amp; aws s3 cp s3://rtdc.mdm.uploadarchive.raw/RTDC4044/ "%USERPROFILE%\AppData\Local\Temp\OnboardLogs"\RTDC4044\2017-02-05 --exclude "*" --recursive --include "*20170205*" &amp; "%USERPROFILE%\Documents\GitHub\mrs-test-scripts\Headless Mode &amp; Sideloading\WalkAndUnGZ.bat" "%USERPROFILE%\AppData\Local\Temp\OnboardLogs"\RTDC4044\2017-02-05</v>
      </c>
      <c r="AF159" s="82" t="str">
        <f t="shared" si="86"/>
        <v>"C:\Program Files (x86)\AstroGrep\AstroGrep.exe" /spath="%USERPROFILE%\AppData\Local\Temp\OnboardLogs" /stypes="app*4044*20170204*" /stext=" 08:.+((SYSTEM_STATE.+slice.+state.+changed )|(ment ac)|(multiple cpu faults)|(system.+state.+changed )|(\[timeout)|(PRM\|1\|D)|(kpr)|(kdp)|(\|lc)|(penalty))" /e /r /s</v>
      </c>
      <c r="AG159" s="1" t="str">
        <f t="shared" si="87"/>
        <v>EC</v>
      </c>
      <c r="AH159" s="86" t="str">
        <f t="shared" si="88"/>
        <v>"%USERPROFILE%\Documents\GitHub\eaglep3\Utilities\RefineRTDCRunTimes.py" --tripid 245-03 --locoid 4044 --swversion DE.1.0.8.0 --startMP 204:458 --initTime 2017-02-04T00:54:33 --startdatetime 2017-02-04T01:00:22 --delay 1 --endMP 204:233344 --enddatetime 2017-02-04T01:39:32 --enforcementcount 0 &gt;&gt;C:\Users\stu\Documents\GitHub\eaglep3-reporting\EC\2017-02-03-refined-times.txt</v>
      </c>
      <c r="AI159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{"issue":{"subject":"","project_id":79,"tracker_id":40,"status_id":1,"priority_id":2,"assigned_to_id":23,"start_date":"2017-02-04","description":"","custom_fields":[{"id":1,"name":"Subdivision","value":"EC"},{"id":4,"name":"Milepost","value":"23.3344"},{"id":17,"name":"Train ID","value":"245-03"},{"id":16,"name":"Locomotive ID","value":"4044"},{"id":130,"name":"Impact","value":""},{"id":150,"name":"Time of Event (Mountain Time)","value":"01:39:32"},{"id":151,"name":"Denver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8" t="str">
        <f t="shared" si="90"/>
        <v>start /low /b %USERPROFILE%\Documents\GitHub\eaglep3\Utilities\DownloadLogsFromS3.py --loco 4044 --day 2017-02-04</v>
      </c>
      <c r="AN159" s="167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"%USERPROFILE%\AppData\Local\Temp\OnboardLogs"\RTDC4044\*4044*20170204* | grep -SE "(Enforcement Action)|(\[TIMEOUT)|(CHR.+\|PRM\|1\|D.+(SWITCH|SIGNAL).+UNKNOWN)" - &gt;&gt; 2017-02-03-UncaughtWiMAX.txt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766</v>
      </c>
      <c r="B160" s="7">
        <v>4043</v>
      </c>
      <c r="C160" s="21" t="s">
        <v>193</v>
      </c>
      <c r="D160" s="21" t="s">
        <v>286</v>
      </c>
      <c r="E160" s="13">
        <v>42770.073657407411</v>
      </c>
      <c r="F160" s="13">
        <v>42770.081354166665</v>
      </c>
      <c r="G160" s="7">
        <v>1</v>
      </c>
      <c r="H160" s="21" t="s">
        <v>834</v>
      </c>
      <c r="I160" s="13">
        <v>42770.107430555552</v>
      </c>
      <c r="J160" s="7">
        <v>0</v>
      </c>
      <c r="K160" s="98" t="str">
        <f t="shared" si="73"/>
        <v>4043/4044</v>
      </c>
      <c r="L160" s="21" t="str">
        <f>VLOOKUP(A160,'Trips&amp;Operators'!$C$1:$G$99999,5,FALSE)</f>
        <v>BROWN JACOB</v>
      </c>
      <c r="M160" s="6">
        <f t="shared" si="74"/>
        <v>2.6076388887304347E-2</v>
      </c>
      <c r="N160" s="7">
        <f t="shared" si="75"/>
        <v>37.54999999771826</v>
      </c>
      <c r="O160" s="7"/>
      <c r="P160" s="7"/>
      <c r="Q160" s="22"/>
      <c r="R160" s="22"/>
      <c r="S160" s="31">
        <f t="shared" si="76"/>
        <v>1</v>
      </c>
      <c r="T160" s="46" t="str">
        <f t="shared" si="77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1" t="str">
        <f t="shared" si="78"/>
        <v>https://d0f6bd738d7f1b3e5a7ca70fe4ff75f0.us-east-1.aws.found.io/app/kibana#/discover/Steve-Slow-Train-Analysis-(2080s-and-2083s)?_g=(refreshInterval:(display:Off,pause:!f,section:0,value:0),time:(from:'2017-02-04T00:46:04-0700',mode:absolute,to:'2017-02-04T03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192" t="str">
        <f t="shared" si="79"/>
        <v>N</v>
      </c>
      <c r="X160" s="192">
        <f t="shared" si="80"/>
        <v>1</v>
      </c>
      <c r="Y160" s="62">
        <f t="shared" si="81"/>
        <v>23.299399999999999</v>
      </c>
      <c r="Z160" s="62">
        <f t="shared" si="82"/>
        <v>3.0099999999999998E-2</v>
      </c>
      <c r="AA160" s="62">
        <f t="shared" si="83"/>
        <v>23.269299999999998</v>
      </c>
      <c r="AB160" s="59" t="e">
        <f>VLOOKUP(A160,Enforcements!$C$7:$K$16,8,0)</f>
        <v>#N/A</v>
      </c>
      <c r="AC160" s="55" t="e">
        <f>VLOOKUP(A160,Enforcements!$C$7:$E$16,3,0)</f>
        <v>#N/A</v>
      </c>
      <c r="AD160" s="56" t="str">
        <f t="shared" si="84"/>
        <v>0246-03</v>
      </c>
      <c r="AE160" s="85" t="str">
        <f t="shared" si="85"/>
        <v>aws s3 cp s3://rtdc.mdm.uploadarchive.raw/RTDC4043/ "%USERPROFILE%\AppData\Local\Temp\OnboardLogs"\RTDC4043\2017-02-04 --exclude "*" --recursive --include "*20170204*" &amp; "%USERPROFILE%\Documents\GitHub\mrs-test-scripts\Headless Mode &amp; Sideloading\WalkAndUnGZ.bat" "%USERPROFILE%\AppData\Local\Temp\OnboardLogs"\RTDC4043\2017-02-04 &amp; aws s3 cp s3://rtdc.mdm.uploadarchive.raw/RTDC4043/ "%USERPROFILE%\AppData\Local\Temp\OnboardLogs"\RTDC4043\2017-02-05 --exclude "*" --recursive --include "*20170205*" &amp; "%USERPROFILE%\Documents\GitHub\mrs-test-scripts\Headless Mode &amp; Sideloading\WalkAndUnGZ.bat" "%USERPROFILE%\AppData\Local\Temp\OnboardLogs"\RTDC4043\2017-02-05</v>
      </c>
      <c r="AF160" s="82" t="str">
        <f t="shared" si="86"/>
        <v>"C:\Program Files (x86)\AstroGrep\AstroGrep.exe" /spath="%USERPROFILE%\AppData\Local\Temp\OnboardLogs" /stypes="app*4043*20170204*" /stext=" 09:.+((SYSTEM_STATE.+slice.+state.+changed )|(ment ac)|(multiple cpu faults)|(system.+state.+changed )|(\[timeout)|(PRM\|1\|D)|(kpr)|(kdp)|(\|lc)|(penalty))" /e /r /s</v>
      </c>
      <c r="AG160" s="1" t="str">
        <f t="shared" si="87"/>
        <v>EC</v>
      </c>
      <c r="AH160" s="86" t="str">
        <f t="shared" si="88"/>
        <v>"%USERPROFILE%\Documents\GitHub\eaglep3\Utilities\RefineRTDCRunTimes.py" --tripid 246-03 --locoid 4043 --swversion DE.1.0.8.0 --startMP 204:232994 --initTime 2017-02-04T01:46:04 --startdatetime 2017-02-04T01:57:09 --delay 1 --endMP 204:301 --enddatetime 2017-02-04T02:34:42 --enforcementcount 0 &gt;&gt;C:\Users\stu\Documents\GitHub\eaglep3-reporting\EC\2017-02-03-refined-times.txt</v>
      </c>
      <c r="AI160" s="108" t="str">
        <f t="shared" si="89"/>
        <v>echo {"issue":{"subject":"","project_id":79,"tracker_id":40,"status_id":1,"priority_id":2,"assigned_to_id":23,"start_date":"2017-02-04","description":"","custom_fields":[{"id":1,"name":"Subdivision","value":"EC"},{"id":4,"name":"Milepost","value":"0.0301"},{"id":17,"name":"Train ID","value":"246-03"},{"id":16,"name":"Locomotive ID","value":"4043"},{"id":130,"name":"Impact","value":""},{"id":150,"name":"Time of Event (Mountain Time)","value":"02:34:42"},{"id":151,"name":"Denver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8" t="str">
        <f t="shared" si="90"/>
        <v>start /low /b %USERPROFILE%\Documents\GitHub\eaglep3\Utilities\DownloadLogsFromS3.py --loco 4043 --day 2017-02-04</v>
      </c>
      <c r="AN160" s="167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"%USERPROFILE%\AppData\Local\Temp\OnboardLogs"\RTDC4043\*4043*20170204* | grep -SE "(Enforcement Action)|(\[TIMEOUT)|(CHR.+\|PRM\|1\|D.+(SWITCH|SIGNAL).+UNKNOWN)" - &gt;&gt; 2017-02-03-UncaughtWiMAX.txt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567</v>
      </c>
      <c r="B161" s="7">
        <v>4030</v>
      </c>
      <c r="C161" s="21" t="s">
        <v>193</v>
      </c>
      <c r="D161" s="21" t="s">
        <v>854</v>
      </c>
      <c r="E161" s="13">
        <v>42769.215798611112</v>
      </c>
      <c r="F161" s="13">
        <v>42769.217731481483</v>
      </c>
      <c r="G161" s="7">
        <v>2</v>
      </c>
      <c r="H161" s="21" t="s">
        <v>442</v>
      </c>
      <c r="I161" s="13">
        <v>42769.226493055554</v>
      </c>
      <c r="J161" s="7">
        <v>0</v>
      </c>
      <c r="K161" s="98" t="str">
        <f t="shared" si="73"/>
        <v>4029/4030</v>
      </c>
      <c r="L161" s="21" t="str">
        <f>VLOOKUP(A161,'Trips&amp;Operators'!$C$1:$G$99999,5,FALSE)</f>
        <v>GEBRETEKLE DAGNEW</v>
      </c>
      <c r="M161" s="6">
        <f t="shared" si="74"/>
        <v>8.7615740703768097E-3</v>
      </c>
      <c r="N161" s="7">
        <f t="shared" si="75"/>
        <v>12.616666661342606</v>
      </c>
      <c r="O161" s="7"/>
      <c r="P161" s="7"/>
      <c r="Q161" s="22"/>
      <c r="R161" s="22"/>
      <c r="S161" s="31">
        <f t="shared" si="76"/>
        <v>1</v>
      </c>
      <c r="T161" s="46" t="str">
        <f t="shared" si="77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78"/>
        <v>https://d0f6bd738d7f1b3e5a7ca70fe4ff75f0.us-east-1.aws.found.io/app/kibana#/discover/Steve-Slow-Train-Analysis-(2080s-and-2083s)?_g=(refreshInterval:(display:Off,pause:!f,section:0,value:0),time:(from:'2017-02-03T04:10:45-0700',mode:absolute,to:'2017-02-03T06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1" s="192" t="str">
        <f t="shared" si="79"/>
        <v>N</v>
      </c>
      <c r="X161" s="192">
        <f t="shared" si="80"/>
        <v>554</v>
      </c>
      <c r="Y161" s="62">
        <f t="shared" si="81"/>
        <v>5.8685</v>
      </c>
      <c r="Z161" s="62">
        <f t="shared" si="82"/>
        <v>7.0499999999999993E-2</v>
      </c>
      <c r="AA161" s="62">
        <f t="shared" si="83"/>
        <v>5.798</v>
      </c>
      <c r="AB161" s="59" t="e">
        <f>VLOOKUP(A161,Enforcements!$C$7:$K$16,8,0)</f>
        <v>#N/A</v>
      </c>
      <c r="AC161" s="55" t="e">
        <f>VLOOKUP(A161,Enforcements!$C$7:$E$16,3,0)</f>
        <v>#N/A</v>
      </c>
      <c r="AD161" s="56" t="str">
        <f t="shared" si="84"/>
        <v>0800-03</v>
      </c>
      <c r="AE161" s="85" t="str">
        <f t="shared" si="85"/>
        <v>aws s3 cp s3://rtdc.mdm.uploadarchive.raw/RTDC4030/ "%USERPROFILE%\AppData\Local\Temp\OnboardLogs"\RTDC4030\2017-02-03 --exclude "*" --recursive --include "*20170203*" &amp; "%USERPROFILE%\Documents\GitHub\mrs-test-scripts\Headless Mode &amp; Sideloading\WalkAndUnGZ.bat" "%USERPROFILE%\AppData\Local\Temp\OnboardLogs"\RTDC4030\2017-02-03 &amp; 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</v>
      </c>
      <c r="AF161" s="82" t="str">
        <f t="shared" si="86"/>
        <v>"C:\Program Files (x86)\AstroGrep\AstroGrep.exe" /spath="%USERPROFILE%\AppData\Local\Temp\OnboardLogs" /stypes="app*4030*20170203*" /stext=" 12:.+((SYSTEM_STATE.+slice.+state.+changed )|(ment ac)|(multiple cpu faults)|(system.+state.+changed )|(\[timeout)|(PRM\|1\|D)|(kpr)|(kdp)|(\|lc)|(penalty))" /e /r /s</v>
      </c>
      <c r="AG161" s="1" t="str">
        <f t="shared" si="87"/>
        <v>NW</v>
      </c>
      <c r="AH161" s="86" t="str">
        <f t="shared" si="88"/>
        <v>"%USERPROFILE%\Documents\GitHub\eaglep3\Utilities\RefineRTDCRunTimes.py" --tripid 800-03 --locoid 4030 --swversion DE.1.0.8.0 --startMP 300:58685 --initTime 2017-02-03T05:10:45 --startdatetime 2017-02-03T05:13:32 --delay 2 --endMP 204:705 --enddatetime 2017-02-03T05:26:09 --enforcementcount 0 &gt;&gt;C:\Users\stu\Documents\GitHub\eaglep3-reporting\EC\2017-02-03-refined-times.txt</v>
      </c>
      <c r="AI161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{"issue":{"subject":"","project_id":79,"tracker_id":40,"status_id":1,"priority_id":2,"assigned_to_id":23,"start_date":"2017-02-03","description":"","custom_fields":[{"id":1,"name":"Subdivision","value":"NW"},{"id":4,"name":"Milepost","value":"0.0705"},{"id":17,"name":"Train ID","value":"800-03"},{"id":16,"name":"Locomotive ID","value":"4030"},{"id":130,"name":"Impact","value":""},{"id":150,"name":"Time of Event (Mountain Time)","value":"05:26:09"},{"id":151,"name":"Denver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8" t="str">
        <f t="shared" si="90"/>
        <v>start /low /b %USERPROFILE%\Documents\GitHub\eaglep3\Utilities\DownloadLogsFromS3.py --loco 4030 --day 2017-02-03</v>
      </c>
      <c r="AN161" s="167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"%USERPROFILE%\AppData\Local\Temp\OnboardLogs"\RTDC4030\*4030*20170203* | grep -SE "(Enforcement Action)|(\[TIMEOUT)|(CHR.+\|PRM\|1\|D.+(SWITCH|SIGNAL).+UNKNOWN)" - &gt;&gt; 2017-02-03-UncaughtWiMAX.txt</v>
      </c>
    </row>
    <row r="162" spans="1:91" s="20" customFormat="1" x14ac:dyDescent="0.25">
      <c r="A162" s="33" t="s">
        <v>571</v>
      </c>
      <c r="B162" s="7">
        <v>4029</v>
      </c>
      <c r="C162" s="21" t="s">
        <v>193</v>
      </c>
      <c r="D162" s="21" t="s">
        <v>435</v>
      </c>
      <c r="E162" s="13">
        <v>42769.235983796294</v>
      </c>
      <c r="F162" s="13">
        <v>42769.243958333333</v>
      </c>
      <c r="G162" s="7">
        <v>4</v>
      </c>
      <c r="H162" s="21" t="s">
        <v>433</v>
      </c>
      <c r="I162" s="13">
        <v>42769.252997685187</v>
      </c>
      <c r="J162" s="7">
        <v>0</v>
      </c>
      <c r="K162" s="98" t="str">
        <f t="shared" si="73"/>
        <v>4029/4030</v>
      </c>
      <c r="L162" s="21" t="str">
        <f>VLOOKUP(A162,'Trips&amp;Operators'!$C$1:$G$99999,5,FALSE)</f>
        <v>GEBRETEKLE DAGNEW</v>
      </c>
      <c r="M162" s="6">
        <f t="shared" si="74"/>
        <v>9.0393518548808061E-3</v>
      </c>
      <c r="N162" s="7">
        <f t="shared" si="75"/>
        <v>13.016666671028361</v>
      </c>
      <c r="O162" s="7"/>
      <c r="P162" s="7"/>
      <c r="Q162" s="22"/>
      <c r="R162" s="22"/>
      <c r="S162" s="31">
        <f t="shared" si="76"/>
        <v>1</v>
      </c>
      <c r="T162" s="46" t="str">
        <f t="shared" si="77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78"/>
        <v>https://d0f6bd738d7f1b3e5a7ca70fe4ff75f0.us-east-1.aws.found.io/app/kibana#/discover/Steve-Slow-Train-Analysis-(2080s-and-2083s)?_g=(refreshInterval:(display:Off,pause:!f,section:0,value:0),time:(from:'2017-02-03T04:39:49-0700',mode:absolute,to:'2017-02-03T07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2" s="192" t="str">
        <f t="shared" si="79"/>
        <v>N</v>
      </c>
      <c r="X162" s="192">
        <f t="shared" si="80"/>
        <v>1</v>
      </c>
      <c r="Y162" s="62">
        <f t="shared" si="81"/>
        <v>9.9000000000000005E-2</v>
      </c>
      <c r="Z162" s="62">
        <f t="shared" si="82"/>
        <v>5.8987999999999996</v>
      </c>
      <c r="AA162" s="62">
        <f t="shared" si="83"/>
        <v>5.7997999999999994</v>
      </c>
      <c r="AB162" s="59" t="e">
        <f>VLOOKUP(A162,Enforcements!$C$7:$K$16,8,0)</f>
        <v>#N/A</v>
      </c>
      <c r="AC162" s="55" t="e">
        <f>VLOOKUP(A162,Enforcements!$C$7:$E$16,3,0)</f>
        <v>#N/A</v>
      </c>
      <c r="AD162" s="56" t="str">
        <f t="shared" si="84"/>
        <v>0801-03</v>
      </c>
      <c r="AE162" s="85" t="str">
        <f t="shared" si="85"/>
        <v>aws s3 cp s3://rtdc.mdm.uploadarchive.raw/RTDC4029/ "%USERPROFILE%\AppData\Local\Temp\OnboardLogs"\RTDC4029\2017-02-03 --exclude "*" --recursive --include "*20170203*" &amp; "%USERPROFILE%\Documents\GitHub\mrs-test-scripts\Headless Mode &amp; Sideloading\WalkAndUnGZ.bat" "%USERPROFILE%\AppData\Local\Temp\OnboardLogs"\RTDC4029\2017-02-03 &amp; 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</v>
      </c>
      <c r="AF162" s="82" t="str">
        <f t="shared" si="86"/>
        <v>"C:\Program Files (x86)\AstroGrep\AstroGrep.exe" /spath="%USERPROFILE%\AppData\Local\Temp\OnboardLogs" /stypes="app*4029*20170203*" /stext=" 13:.+((SYSTEM_STATE.+slice.+state.+changed )|(ment ac)|(multiple cpu faults)|(system.+state.+changed )|(\[timeout)|(PRM\|1\|D)|(kpr)|(kdp)|(\|lc)|(penalty))" /e /r /s</v>
      </c>
      <c r="AG162" s="1" t="str">
        <f t="shared" si="87"/>
        <v>NW</v>
      </c>
      <c r="AH162" s="86" t="str">
        <f t="shared" si="88"/>
        <v>"%USERPROFILE%\Documents\GitHub\eaglep3\Utilities\RefineRTDCRunTimes.py" --tripid 801-03 --locoid 4029 --swversion DE.1.0.8.0 --startMP 204:990 --initTime 2017-02-03T05:39:49 --startdatetime 2017-02-03T05:51:18 --delay 4 --endMP 300:58988 --enddatetime 2017-02-03T06:04:19 --enforcementcount 0 &gt;&gt;C:\Users\stu\Documents\GitHub\eaglep3-reporting\EC\2017-02-03-refined-times.txt</v>
      </c>
      <c r="AI162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{"issue":{"subject":"","project_id":79,"tracker_id":40,"status_id":1,"priority_id":2,"assigned_to_id":23,"start_date":"2017-02-03","description":"","custom_fields":[{"id":1,"name":"Subdivision","value":"NW"},{"id":4,"name":"Milepost","value":"5.8988"},{"id":17,"name":"Train ID","value":"801-03"},{"id":16,"name":"Locomotive ID","value":"4029"},{"id":130,"name":"Impact","value":""},{"id":150,"name":"Time of Event (Mountain Time)","value":"06:04:19"},{"id":151,"name":"Denver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8" t="str">
        <f t="shared" si="90"/>
        <v>start /low /b %USERPROFILE%\Documents\GitHub\eaglep3\Utilities\DownloadLogsFromS3.py --loco 4029 --day 2017-02-03</v>
      </c>
      <c r="AN162" s="167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"%USERPROFILE%\AppData\Local\Temp\OnboardLogs"\RTDC4029\*4029*20170203* | grep -SE "(Enforcement Action)|(\[TIMEOUT)|(CHR.+\|PRM\|1\|D.+(SWITCH|SIGNAL).+UNKNOWN)" - &gt;&gt; 2017-02-03-UncaughtWiMAX.txt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578</v>
      </c>
      <c r="B163" s="7">
        <v>4030</v>
      </c>
      <c r="C163" s="21" t="s">
        <v>193</v>
      </c>
      <c r="D163" s="21" t="s">
        <v>855</v>
      </c>
      <c r="E163" s="13">
        <v>42769.254212962966</v>
      </c>
      <c r="F163" s="13">
        <v>42769.256597222222</v>
      </c>
      <c r="G163" s="7">
        <v>1</v>
      </c>
      <c r="H163" s="21" t="s">
        <v>856</v>
      </c>
      <c r="I163" s="13">
        <v>42769.26730324074</v>
      </c>
      <c r="J163" s="7">
        <v>0</v>
      </c>
      <c r="K163" s="98" t="str">
        <f t="shared" si="73"/>
        <v>4029/4030</v>
      </c>
      <c r="L163" s="21" t="str">
        <f>VLOOKUP(A163,'Trips&amp;Operators'!$C$1:$G$99999,5,FALSE)</f>
        <v>GEBRETEKLE DAGNEW</v>
      </c>
      <c r="M163" s="6">
        <f t="shared" si="74"/>
        <v>1.0706018518249039E-2</v>
      </c>
      <c r="N163" s="7">
        <f t="shared" si="75"/>
        <v>15.416666666278616</v>
      </c>
      <c r="O163" s="7"/>
      <c r="P163" s="7"/>
      <c r="Q163" s="22"/>
      <c r="R163" s="22"/>
      <c r="S163" s="31">
        <f t="shared" si="76"/>
        <v>1</v>
      </c>
      <c r="T163" s="46" t="str">
        <f t="shared" si="77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78"/>
        <v>https://d0f6bd738d7f1b3e5a7ca70fe4ff75f0.us-east-1.aws.found.io/app/kibana#/discover/Steve-Slow-Train-Analysis-(2080s-and-2083s)?_g=(refreshInterval:(display:Off,pause:!f,section:0,value:0),time:(from:'2017-02-03T05:06:04-0700',mode:absolute,to:'2017-02-03T07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3" s="192" t="str">
        <f t="shared" si="79"/>
        <v>N</v>
      </c>
      <c r="X163" s="192">
        <f t="shared" si="80"/>
        <v>1</v>
      </c>
      <c r="Y163" s="62">
        <f t="shared" si="81"/>
        <v>5.8677000000000001</v>
      </c>
      <c r="Z163" s="62">
        <f t="shared" si="82"/>
        <v>6.7299999999999999E-2</v>
      </c>
      <c r="AA163" s="62">
        <f t="shared" si="83"/>
        <v>5.8003999999999998</v>
      </c>
      <c r="AB163" s="59" t="e">
        <f>VLOOKUP(A163,Enforcements!$C$7:$K$16,8,0)</f>
        <v>#N/A</v>
      </c>
      <c r="AC163" s="55" t="e">
        <f>VLOOKUP(A163,Enforcements!$C$7:$E$16,3,0)</f>
        <v>#N/A</v>
      </c>
      <c r="AD163" s="56" t="str">
        <f t="shared" si="84"/>
        <v>0802-03</v>
      </c>
      <c r="AE163" s="85" t="str">
        <f t="shared" si="85"/>
        <v>aws s3 cp s3://rtdc.mdm.uploadarchive.raw/RTDC4030/ "%USERPROFILE%\AppData\Local\Temp\OnboardLogs"\RTDC4030\2017-02-03 --exclude "*" --recursive --include "*20170203*" &amp; "%USERPROFILE%\Documents\GitHub\mrs-test-scripts\Headless Mode &amp; Sideloading\WalkAndUnGZ.bat" "%USERPROFILE%\AppData\Local\Temp\OnboardLogs"\RTDC4030\2017-02-03 &amp; 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</v>
      </c>
      <c r="AF163" s="82" t="str">
        <f t="shared" si="86"/>
        <v>"C:\Program Files (x86)\AstroGrep\AstroGrep.exe" /spath="%USERPROFILE%\AppData\Local\Temp\OnboardLogs" /stypes="app*4030*20170203*" /stext=" 13:.+((SYSTEM_STATE.+slice.+state.+changed )|(ment ac)|(multiple cpu faults)|(system.+state.+changed )|(\[timeout)|(PRM\|1\|D)|(kpr)|(kdp)|(\|lc)|(penalty))" /e /r /s</v>
      </c>
      <c r="AG163" s="1" t="str">
        <f t="shared" si="87"/>
        <v>NW</v>
      </c>
      <c r="AH163" s="86" t="str">
        <f t="shared" si="88"/>
        <v>"%USERPROFILE%\Documents\GitHub\eaglep3\Utilities\RefineRTDCRunTimes.py" --tripid 802-03 --locoid 4030 --swversion DE.1.0.8.0 --startMP 300:58677 --initTime 2017-02-03T06:06:04 --startdatetime 2017-02-03T06:09:30 --delay 1 --endMP 204:673 --enddatetime 2017-02-03T06:24:55 --enforcementcount 0 &gt;&gt;C:\Users\stu\Documents\GitHub\eaglep3-reporting\EC\2017-02-03-refined-times.txt</v>
      </c>
      <c r="AI163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{"issue":{"subject":"","project_id":79,"tracker_id":40,"status_id":1,"priority_id":2,"assigned_to_id":23,"start_date":"2017-02-03","description":"","custom_fields":[{"id":1,"name":"Subdivision","value":"NW"},{"id":4,"name":"Milepost","value":"0.0673"},{"id":17,"name":"Train ID","value":"802-03"},{"id":16,"name":"Locomotive ID","value":"4030"},{"id":130,"name":"Impact","value":""},{"id":150,"name":"Time of Event (Mountain Time)","value":"06:24:55"},{"id":151,"name":"Denver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8" t="str">
        <f t="shared" si="90"/>
        <v>start /low /b %USERPROFILE%\Documents\GitHub\eaglep3\Utilities\DownloadLogsFromS3.py --loco 4030 --day 2017-02-03</v>
      </c>
      <c r="AN163" s="167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"%USERPROFILE%\AppData\Local\Temp\OnboardLogs"\RTDC4030\*4030*20170203* | grep -SE "(Enforcement Action)|(\[TIMEOUT)|(CHR.+\|PRM\|1\|D.+(SWITCH|SIGNAL).+UNKNOWN)" - &gt;&gt; 2017-02-03-UncaughtWiMAX.txt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581</v>
      </c>
      <c r="B164" s="7">
        <v>4020</v>
      </c>
      <c r="C164" s="21" t="s">
        <v>193</v>
      </c>
      <c r="D164" s="21" t="s">
        <v>857</v>
      </c>
      <c r="E164" s="13">
        <v>42769.257465277777</v>
      </c>
      <c r="F164" s="13">
        <v>42769.264780092592</v>
      </c>
      <c r="G164" s="7">
        <v>2</v>
      </c>
      <c r="H164" s="21" t="s">
        <v>344</v>
      </c>
      <c r="I164" s="13">
        <v>42769.273923611108</v>
      </c>
      <c r="J164" s="7">
        <v>0</v>
      </c>
      <c r="K164" s="98" t="str">
        <f t="shared" si="73"/>
        <v>4019/4020</v>
      </c>
      <c r="L164" s="21" t="str">
        <f>VLOOKUP(A164,'Trips&amp;Operators'!$C$1:$G$99999,5,FALSE)</f>
        <v>BEAM ROSS</v>
      </c>
      <c r="M164" s="6">
        <f t="shared" si="74"/>
        <v>9.1435185167938471E-3</v>
      </c>
      <c r="N164" s="7">
        <f t="shared" si="75"/>
        <v>13.16666666418314</v>
      </c>
      <c r="O164" s="7"/>
      <c r="P164" s="7"/>
      <c r="Q164" s="22"/>
      <c r="R164" s="22"/>
      <c r="S164" s="31">
        <f t="shared" si="76"/>
        <v>1</v>
      </c>
      <c r="T164" s="46" t="str">
        <f t="shared" si="77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78"/>
        <v>https://d0f6bd738d7f1b3e5a7ca70fe4ff75f0.us-east-1.aws.found.io/app/kibana#/discover/Steve-Slow-Train-Analysis-(2080s-and-2083s)?_g=(refreshInterval:(display:Off,pause:!f,section:0,value:0),time:(from:'2017-02-03T05:10:45-0700',mode:absolute,to:'2017-02-03T07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192" t="str">
        <f t="shared" si="79"/>
        <v>N</v>
      </c>
      <c r="X164" s="192">
        <f t="shared" si="80"/>
        <v>1</v>
      </c>
      <c r="Y164" s="62">
        <f t="shared" si="81"/>
        <v>0.1042</v>
      </c>
      <c r="Z164" s="62">
        <f t="shared" si="82"/>
        <v>5.8975</v>
      </c>
      <c r="AA164" s="62">
        <f t="shared" si="83"/>
        <v>5.7933000000000003</v>
      </c>
      <c r="AB164" s="59" t="e">
        <f>VLOOKUP(A164,Enforcements!$C$7:$K$16,8,0)</f>
        <v>#N/A</v>
      </c>
      <c r="AC164" s="55" t="e">
        <f>VLOOKUP(A164,Enforcements!$C$7:$E$16,3,0)</f>
        <v>#N/A</v>
      </c>
      <c r="AD164" s="56" t="str">
        <f t="shared" si="84"/>
        <v>0803-03</v>
      </c>
      <c r="AE164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64" s="82" t="str">
        <f t="shared" si="86"/>
        <v>"C:\Program Files (x86)\AstroGrep\AstroGrep.exe" /spath="%USERPROFILE%\AppData\Local\Temp\OnboardLogs" /stypes="app*4020*20170203*" /stext=" 13:.+((SYSTEM_STATE.+slice.+state.+changed )|(ment ac)|(multiple cpu faults)|(system.+state.+changed )|(\[timeout)|(PRM\|1\|D)|(kpr)|(kdp)|(\|lc)|(penalty))" /e /r /s</v>
      </c>
      <c r="AG164" s="1" t="str">
        <f t="shared" si="87"/>
        <v>NW</v>
      </c>
      <c r="AH164" s="86" t="str">
        <f t="shared" si="88"/>
        <v>"%USERPROFILE%\Documents\GitHub\eaglep3\Utilities\RefineRTDCRunTimes.py" --tripid 803-03 --locoid 4020 --swversion DE.1.0.8.0 --startMP 204:1042 --initTime 2017-02-03T06:10:45 --startdatetime 2017-02-03T06:21:17 --delay 2 --endMP 300:58975 --enddatetime 2017-02-03T06:34:27 --enforcementcount 0 &gt;&gt;C:\Users\stu\Documents\GitHub\eaglep3-reporting\EC\2017-02-03-refined-times.txt</v>
      </c>
      <c r="AI164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{"issue":{"subject":"","project_id":79,"tracker_id":40,"status_id":1,"priority_id":2,"assigned_to_id":23,"start_date":"2017-02-03","description":"","custom_fields":[{"id":1,"name":"Subdivision","value":"NW"},{"id":4,"name":"Milepost","value":"5.8975"},{"id":17,"name":"Train ID","value":"803-03"},{"id":16,"name":"Locomotive ID","value":"4020"},{"id":130,"name":"Impact","value":""},{"id":150,"name":"Time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8" t="str">
        <f t="shared" si="90"/>
        <v>start /low /b %USERPROFILE%\Documents\GitHub\eaglep3\Utilities\DownloadLogsFromS3.py --loco 4020 --day 2017-02-03</v>
      </c>
      <c r="AN164" s="167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584</v>
      </c>
      <c r="B165" s="7">
        <v>4019</v>
      </c>
      <c r="C165" s="21" t="s">
        <v>193</v>
      </c>
      <c r="D165" s="21" t="s">
        <v>858</v>
      </c>
      <c r="E165" s="13">
        <v>42769.274687500001</v>
      </c>
      <c r="F165" s="13">
        <v>42769.276076388887</v>
      </c>
      <c r="G165" s="7">
        <v>1</v>
      </c>
      <c r="H165" s="21" t="s">
        <v>779</v>
      </c>
      <c r="I165" s="13">
        <v>42769.288368055553</v>
      </c>
      <c r="J165" s="7">
        <v>0</v>
      </c>
      <c r="K165" s="98" t="str">
        <f t="shared" si="73"/>
        <v>4019/4020</v>
      </c>
      <c r="L165" s="21" t="str">
        <f>VLOOKUP(A165,'Trips&amp;Operators'!$C$1:$G$99999,5,FALSE)</f>
        <v>BEAM ROSS</v>
      </c>
      <c r="M165" s="6">
        <f t="shared" si="74"/>
        <v>1.2291666665987577E-2</v>
      </c>
      <c r="N165" s="7">
        <f t="shared" si="75"/>
        <v>17.699999999022111</v>
      </c>
      <c r="O165" s="7"/>
      <c r="P165" s="7"/>
      <c r="Q165" s="22"/>
      <c r="R165" s="22"/>
      <c r="S165" s="31">
        <f t="shared" si="76"/>
        <v>1</v>
      </c>
      <c r="T165" s="46" t="str">
        <f t="shared" si="77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78"/>
        <v>https://d0f6bd738d7f1b3e5a7ca70fe4ff75f0.us-east-1.aws.found.io/app/kibana#/discover/Steve-Slow-Train-Analysis-(2080s-and-2083s)?_g=(refreshInterval:(display:Off,pause:!f,section:0,value:0),time:(from:'2017-02-03T05:35:33-0700',mode:absolute,to:'2017-02-03T07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192" t="str">
        <f t="shared" si="79"/>
        <v>N</v>
      </c>
      <c r="X165" s="192">
        <f t="shared" si="80"/>
        <v>1</v>
      </c>
      <c r="Y165" s="62">
        <f t="shared" si="81"/>
        <v>5.8659999999999997</v>
      </c>
      <c r="Z165" s="62">
        <f t="shared" si="82"/>
        <v>7.5200000000000003E-2</v>
      </c>
      <c r="AA165" s="62">
        <f t="shared" si="83"/>
        <v>5.7907999999999999</v>
      </c>
      <c r="AB165" s="59" t="e">
        <f>VLOOKUP(A165,Enforcements!$C$7:$K$16,8,0)</f>
        <v>#N/A</v>
      </c>
      <c r="AC165" s="55" t="e">
        <f>VLOOKUP(A165,Enforcements!$C$7:$E$16,3,0)</f>
        <v>#N/A</v>
      </c>
      <c r="AD165" s="56" t="str">
        <f t="shared" si="84"/>
        <v>0804-03</v>
      </c>
      <c r="AE165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65" s="82" t="str">
        <f t="shared" si="86"/>
        <v>"C:\Program Files (x86)\AstroGrep\AstroGrep.exe" /spath="%USERPROFILE%\AppData\Local\Temp\OnboardLogs" /stypes="app*4019*20170203*" /stext=" 13:.+((SYSTEM_STATE.+slice.+state.+changed )|(ment ac)|(multiple cpu faults)|(system.+state.+changed )|(\[timeout)|(PRM\|1\|D)|(kpr)|(kdp)|(\|lc)|(penalty))" /e /r /s</v>
      </c>
      <c r="AG165" s="1" t="str">
        <f t="shared" si="87"/>
        <v>NW</v>
      </c>
      <c r="AH165" s="86" t="str">
        <f t="shared" si="88"/>
        <v>"%USERPROFILE%\Documents\GitHub\eaglep3\Utilities\RefineRTDCRunTimes.py" --tripid 804-03 --locoid 4019 --swversion DE.1.0.8.0 --startMP 300:58660 --initTime 2017-02-03T06:35:33 --startdatetime 2017-02-03T06:37:33 --delay 1 --endMP 204:752 --enddatetime 2017-02-03T06:55:15 --enforcementcount 0 &gt;&gt;C:\Users\stu\Documents\GitHub\eaglep3-reporting\EC\2017-02-03-refined-times.txt</v>
      </c>
      <c r="AI165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{"issue":{"subject":"","project_id":79,"tracker_id":40,"status_id":1,"priority_id":2,"assigned_to_id":23,"start_date":"2017-02-03","description":"","custom_fields":[{"id":1,"name":"Subdivision","value":"NW"},{"id":4,"name":"Milepost","value":"0.0752"},{"id":17,"name":"Train ID","value":"804-03"},{"id":16,"name":"Locomotive ID","value":"4019"},{"id":130,"name":"Impact","value":""},{"id":150,"name":"Time of Event (Mountain Time)","value":"06:55:15"},{"id":151,"name":"Denver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8" t="str">
        <f t="shared" si="90"/>
        <v>start /low /b %USERPROFILE%\Documents\GitHub\eaglep3\Utilities\DownloadLogsFromS3.py --loco 4019 --day 2017-02-03</v>
      </c>
      <c r="AN165" s="167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3" t="s">
        <v>531</v>
      </c>
      <c r="B166" s="7">
        <v>4029</v>
      </c>
      <c r="C166" s="21" t="s">
        <v>193</v>
      </c>
      <c r="D166" s="21" t="s">
        <v>859</v>
      </c>
      <c r="E166" s="13">
        <v>42769.275879629633</v>
      </c>
      <c r="F166" s="13">
        <v>42769.285601851851</v>
      </c>
      <c r="G166" s="7">
        <v>1</v>
      </c>
      <c r="H166" s="21" t="s">
        <v>860</v>
      </c>
      <c r="I166" s="13">
        <v>42769.294328703705</v>
      </c>
      <c r="J166" s="7">
        <v>1</v>
      </c>
      <c r="K166" s="98" t="str">
        <f t="shared" si="73"/>
        <v>4029/4030</v>
      </c>
      <c r="L166" s="21" t="str">
        <f>VLOOKUP(A166,'Trips&amp;Operators'!$C$1:$G$99999,5,FALSE)</f>
        <v>GEBRETEKLE DAGNEW</v>
      </c>
      <c r="M166" s="6">
        <f t="shared" si="74"/>
        <v>8.7268518545897678E-3</v>
      </c>
      <c r="N166" s="7">
        <f t="shared" si="75"/>
        <v>12.566666670609266</v>
      </c>
      <c r="O166" s="7"/>
      <c r="P166" s="7"/>
      <c r="Q166" s="22"/>
      <c r="R166" s="22"/>
      <c r="S166" s="31">
        <f t="shared" si="76"/>
        <v>1</v>
      </c>
      <c r="T166" s="46" t="str">
        <f t="shared" si="77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78"/>
        <v>https://d0f6bd738d7f1b3e5a7ca70fe4ff75f0.us-east-1.aws.found.io/app/kibana#/discover/Steve-Slow-Train-Analysis-(2080s-and-2083s)?_g=(refreshInterval:(display:Off,pause:!f,section:0,value:0),time:(from:'2017-02-03T05:37:16-0700',mode:absolute,to:'2017-02-03T08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192" t="str">
        <f t="shared" si="79"/>
        <v>N</v>
      </c>
      <c r="X166" s="192">
        <f t="shared" si="80"/>
        <v>1</v>
      </c>
      <c r="Y166" s="62">
        <f t="shared" si="81"/>
        <v>9.8299999999999998E-2</v>
      </c>
      <c r="Z166" s="62">
        <f t="shared" si="82"/>
        <v>5.8943000000000003</v>
      </c>
      <c r="AA166" s="62">
        <f t="shared" si="83"/>
        <v>5.7960000000000003</v>
      </c>
      <c r="AB166" s="59" t="e">
        <f>VLOOKUP(A166,Enforcements!$C$7:$K$16,8,0)</f>
        <v>#N/A</v>
      </c>
      <c r="AC166" s="55" t="e">
        <f>VLOOKUP(A166,Enforcements!$C$7:$E$16,3,0)</f>
        <v>#N/A</v>
      </c>
      <c r="AD166" s="56" t="str">
        <f t="shared" si="84"/>
        <v>0805-03</v>
      </c>
      <c r="AE166" s="85" t="str">
        <f t="shared" si="85"/>
        <v>aws s3 cp s3://rtdc.mdm.uploadarchive.raw/RTDC4029/ "%USERPROFILE%\AppData\Local\Temp\OnboardLogs"\RTDC4029\2017-02-03 --exclude "*" --recursive --include "*20170203*" &amp; "%USERPROFILE%\Documents\GitHub\mrs-test-scripts\Headless Mode &amp; Sideloading\WalkAndUnGZ.bat" "%USERPROFILE%\AppData\Local\Temp\OnboardLogs"\RTDC4029\2017-02-03 &amp; 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</v>
      </c>
      <c r="AF166" s="82" t="str">
        <f t="shared" si="86"/>
        <v>"C:\Program Files (x86)\AstroGrep\AstroGrep.exe" /spath="%USERPROFILE%\AppData\Local\Temp\OnboardLogs" /stypes="app*4029*20170203*" /stext=" 14:.+((SYSTEM_STATE.+slice.+state.+changed )|(ment ac)|(multiple cpu faults)|(system.+state.+changed )|(\[timeout)|(PRM\|1\|D)|(kpr)|(kdp)|(\|lc)|(penalty))" /e /r /s</v>
      </c>
      <c r="AG166" s="1" t="str">
        <f t="shared" si="87"/>
        <v>NW</v>
      </c>
      <c r="AH166" s="86" t="str">
        <f t="shared" si="88"/>
        <v>"%USERPROFILE%\Documents\GitHub\eaglep3\Utilities\RefineRTDCRunTimes.py" --tripid 805-03 --locoid 4029 --swversion DE.1.0.8.0 --startMP 204:983 --initTime 2017-02-03T06:37:16 --startdatetime 2017-02-03T06:51:16 --delay 1 --endMP 300:58943 --enddatetime 2017-02-03T07:03:50 --enforcementcount 1 &gt;&gt;C:\Users\stu\Documents\GitHub\eaglep3-reporting\EC\2017-02-03-refined-times.txt</v>
      </c>
      <c r="AI166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{"issue":{"subject":"","project_id":79,"tracker_id":40,"status_id":1,"priority_id":2,"assigned_to_id":23,"start_date":"2017-02-03","description":"","custom_fields":[{"id":1,"name":"Subdivision","value":"NW"},{"id":4,"name":"Milepost","value":"5.8943"},{"id":17,"name":"Train ID","value":"805-03"},{"id":16,"name":"Locomotive ID","value":"4029"},{"id":130,"name":"Impact","value":""},{"id":150,"name":"Time of Event (Mountain Time)","value":"07:03:50"},{"id":151,"name":"Denver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8" t="str">
        <f t="shared" si="90"/>
        <v>start /low /b %USERPROFILE%\Documents\GitHub\eaglep3\Utilities\DownloadLogsFromS3.py --loco 4029 --day 2017-02-03</v>
      </c>
      <c r="AN166" s="167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"%USERPROFILE%\AppData\Local\Temp\OnboardLogs"\RTDC4029\*4029*20170203* | grep -SE "(Enforcement Action)|(\[TIMEOUT)|(CHR.+\|PRM\|1\|D.+(SWITCH|SIGNAL).+UNKNOWN)" - &gt;&gt; 2017-02-03-UncaughtWiMAX.txt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3" t="s">
        <v>589</v>
      </c>
      <c r="B167" s="7">
        <v>4030</v>
      </c>
      <c r="C167" s="21" t="s">
        <v>193</v>
      </c>
      <c r="D167" s="21" t="s">
        <v>861</v>
      </c>
      <c r="E167" s="13">
        <v>42769.295682870368</v>
      </c>
      <c r="F167" s="13">
        <v>42769.297303240739</v>
      </c>
      <c r="G167" s="7">
        <v>1</v>
      </c>
      <c r="H167" s="21" t="s">
        <v>405</v>
      </c>
      <c r="I167" s="13">
        <v>42769.308935185189</v>
      </c>
      <c r="J167" s="7">
        <v>0</v>
      </c>
      <c r="K167" s="98" t="str">
        <f t="shared" si="73"/>
        <v>4029/4030</v>
      </c>
      <c r="L167" s="21" t="str">
        <f>VLOOKUP(A167,'Trips&amp;Operators'!$C$1:$G$99999,5,FALSE)</f>
        <v>GEBRETEKLE DAGNEW</v>
      </c>
      <c r="M167" s="6">
        <f t="shared" si="74"/>
        <v>1.1631944449618459E-2</v>
      </c>
      <c r="N167" s="7">
        <f t="shared" si="75"/>
        <v>16.750000007450581</v>
      </c>
      <c r="O167" s="7"/>
      <c r="P167" s="7"/>
      <c r="Q167" s="22"/>
      <c r="R167" s="22"/>
      <c r="S167" s="31">
        <f t="shared" si="76"/>
        <v>1</v>
      </c>
      <c r="T167" s="46" t="str">
        <f t="shared" si="77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78"/>
        <v>https://d0f6bd738d7f1b3e5a7ca70fe4ff75f0.us-east-1.aws.found.io/app/kibana#/discover/Steve-Slow-Train-Analysis-(2080s-and-2083s)?_g=(refreshInterval:(display:Off,pause:!f,section:0,value:0),time:(from:'2017-02-03T06:05:47-0700',mode:absolute,to:'2017-02-03T08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7" s="192" t="str">
        <f t="shared" si="79"/>
        <v>N</v>
      </c>
      <c r="X167" s="192">
        <f t="shared" si="80"/>
        <v>1</v>
      </c>
      <c r="Y167" s="62">
        <f t="shared" si="81"/>
        <v>5.8625999999999996</v>
      </c>
      <c r="Z167" s="62">
        <f t="shared" si="82"/>
        <v>7.0300000000000001E-2</v>
      </c>
      <c r="AA167" s="62">
        <f t="shared" si="83"/>
        <v>5.7923</v>
      </c>
      <c r="AB167" s="59" t="e">
        <f>VLOOKUP(A167,Enforcements!$C$7:$K$16,8,0)</f>
        <v>#N/A</v>
      </c>
      <c r="AC167" s="55" t="e">
        <f>VLOOKUP(A167,Enforcements!$C$7:$E$16,3,0)</f>
        <v>#N/A</v>
      </c>
      <c r="AD167" s="56" t="str">
        <f t="shared" si="84"/>
        <v>0806-03</v>
      </c>
      <c r="AE167" s="85" t="str">
        <f t="shared" si="85"/>
        <v>aws s3 cp s3://rtdc.mdm.uploadarchive.raw/RTDC4030/ "%USERPROFILE%\AppData\Local\Temp\OnboardLogs"\RTDC4030\2017-02-03 --exclude "*" --recursive --include "*20170203*" &amp; "%USERPROFILE%\Documents\GitHub\mrs-test-scripts\Headless Mode &amp; Sideloading\WalkAndUnGZ.bat" "%USERPROFILE%\AppData\Local\Temp\OnboardLogs"\RTDC4030\2017-02-03 &amp; 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</v>
      </c>
      <c r="AF167" s="82" t="str">
        <f t="shared" si="86"/>
        <v>"C:\Program Files (x86)\AstroGrep\AstroGrep.exe" /spath="%USERPROFILE%\AppData\Local\Temp\OnboardLogs" /stypes="app*4030*20170203*" /stext=" 14:.+((SYSTEM_STATE.+slice.+state.+changed )|(ment ac)|(multiple cpu faults)|(system.+state.+changed )|(\[timeout)|(PRM\|1\|D)|(kpr)|(kdp)|(\|lc)|(penalty))" /e /r /s</v>
      </c>
      <c r="AG167" s="1" t="str">
        <f t="shared" si="87"/>
        <v>NW</v>
      </c>
      <c r="AH167" s="86" t="str">
        <f t="shared" si="88"/>
        <v>"%USERPROFILE%\Documents\GitHub\eaglep3\Utilities\RefineRTDCRunTimes.py" --tripid 806-03 --locoid 4030 --swversion DE.1.0.8.0 --startMP 300:58626 --initTime 2017-02-03T07:05:47 --startdatetime 2017-02-03T07:08:07 --delay 1 --endMP 204:703 --enddatetime 2017-02-03T07:24:52 --enforcementcount 0 &gt;&gt;C:\Users\stu\Documents\GitHub\eaglep3-reporting\EC\2017-02-03-refined-times.txt</v>
      </c>
      <c r="AI167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{"issue":{"subject":"","project_id":79,"tracker_id":40,"status_id":1,"priority_id":2,"assigned_to_id":23,"start_date":"2017-02-03","description":"","custom_fields":[{"id":1,"name":"Subdivision","value":"NW"},{"id":4,"name":"Milepost","value":"0.0703"},{"id":17,"name":"Train ID","value":"806-03"},{"id":16,"name":"Locomotive ID","value":"4030"},{"id":130,"name":"Impact","value":""},{"id":150,"name":"Time of Event (Mountain Time)","value":"07:24:52"},{"id":151,"name":"Denver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8" t="str">
        <f t="shared" si="90"/>
        <v>start /low /b %USERPROFILE%\Documents\GitHub\eaglep3\Utilities\DownloadLogsFromS3.py --loco 4030 --day 2017-02-03</v>
      </c>
      <c r="AN167" s="167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"%USERPROFILE%\AppData\Local\Temp\OnboardLogs"\RTDC4030\*4030*20170203* | grep -SE "(Enforcement Action)|(\[TIMEOUT)|(CHR.+\|PRM\|1\|D.+(SWITCH|SIGNAL).+UNKNOWN)" - &gt;&gt; 2017-02-03-UncaughtWiMAX.txt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590</v>
      </c>
      <c r="B168" s="7">
        <v>4020</v>
      </c>
      <c r="C168" s="21" t="s">
        <v>193</v>
      </c>
      <c r="D168" s="21" t="s">
        <v>862</v>
      </c>
      <c r="E168" s="13">
        <v>42769.297986111109</v>
      </c>
      <c r="F168" s="13">
        <v>42769.306446759256</v>
      </c>
      <c r="G168" s="7">
        <v>2</v>
      </c>
      <c r="H168" s="21" t="s">
        <v>863</v>
      </c>
      <c r="I168" s="13">
        <v>42769.31521990741</v>
      </c>
      <c r="J168" s="7">
        <v>0</v>
      </c>
      <c r="K168" s="98" t="str">
        <f t="shared" si="73"/>
        <v>4019/4020</v>
      </c>
      <c r="L168" s="21" t="str">
        <f>VLOOKUP(A168,'Trips&amp;Operators'!$C$1:$G$99999,5,FALSE)</f>
        <v>YANAI IAN</v>
      </c>
      <c r="M168" s="6">
        <f t="shared" si="74"/>
        <v>8.7731481544324197E-3</v>
      </c>
      <c r="N168" s="7">
        <f t="shared" si="75"/>
        <v>12.633333342382684</v>
      </c>
      <c r="O168" s="7"/>
      <c r="P168" s="7"/>
      <c r="Q168" s="22"/>
      <c r="R168" s="22"/>
      <c r="S168" s="31">
        <f t="shared" si="76"/>
        <v>1</v>
      </c>
      <c r="T168" s="46" t="str">
        <f t="shared" si="77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78"/>
        <v>https://d0f6bd738d7f1b3e5a7ca70fe4ff75f0.us-east-1.aws.found.io/app/kibana#/discover/Steve-Slow-Train-Analysis-(2080s-and-2083s)?_g=(refreshInterval:(display:Off,pause:!f,section:0,value:0),time:(from:'2017-02-03T06:09:06-0700',mode:absolute,to:'2017-02-03T08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192" t="str">
        <f t="shared" si="79"/>
        <v>N</v>
      </c>
      <c r="X168" s="192">
        <f t="shared" si="80"/>
        <v>1</v>
      </c>
      <c r="Y168" s="62">
        <f t="shared" si="81"/>
        <v>0.10340000000000001</v>
      </c>
      <c r="Z168" s="62">
        <f t="shared" si="82"/>
        <v>5.8933</v>
      </c>
      <c r="AA168" s="62">
        <f t="shared" si="83"/>
        <v>5.7899000000000003</v>
      </c>
      <c r="AB168" s="59" t="e">
        <f>VLOOKUP(A168,Enforcements!$C$7:$K$16,8,0)</f>
        <v>#N/A</v>
      </c>
      <c r="AC168" s="55" t="e">
        <f>VLOOKUP(A168,Enforcements!$C$7:$E$16,3,0)</f>
        <v>#N/A</v>
      </c>
      <c r="AD168" s="56" t="str">
        <f t="shared" si="84"/>
        <v>0807-03</v>
      </c>
      <c r="AE168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68" s="82" t="str">
        <f t="shared" si="86"/>
        <v>"C:\Program Files (x86)\AstroGrep\AstroGrep.exe" /spath="%USERPROFILE%\AppData\Local\Temp\OnboardLogs" /stypes="app*4020*20170203*" /stext=" 14:.+((SYSTEM_STATE.+slice.+state.+changed )|(ment ac)|(multiple cpu faults)|(system.+state.+changed )|(\[timeout)|(PRM\|1\|D)|(kpr)|(kdp)|(\|lc)|(penalty))" /e /r /s</v>
      </c>
      <c r="AG168" s="1" t="str">
        <f t="shared" si="87"/>
        <v>NW</v>
      </c>
      <c r="AH168" s="86" t="str">
        <f t="shared" si="88"/>
        <v>"%USERPROFILE%\Documents\GitHub\eaglep3\Utilities\RefineRTDCRunTimes.py" --tripid 807-03 --locoid 4020 --swversion DE.1.0.8.0 --startMP 204:1034 --initTime 2017-02-03T07:09:06 --startdatetime 2017-02-03T07:21:17 --delay 2 --endMP 300:58933 --enddatetime 2017-02-03T07:33:55 --enforcementcount 0 &gt;&gt;C:\Users\stu\Documents\GitHub\eaglep3-reporting\EC\2017-02-03-refined-times.txt</v>
      </c>
      <c r="AI168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{"issue":{"subject":"","project_id":79,"tracker_id":40,"status_id":1,"priority_id":2,"assigned_to_id":23,"start_date":"2017-02-03","description":"","custom_fields":[{"id":1,"name":"Subdivision","value":"NW"},{"id":4,"name":"Milepost","value":"5.8933"},{"id":17,"name":"Train ID","value":"807-03"},{"id":16,"name":"Locomotive ID","value":"4020"},{"id":130,"name":"Impact","value":""},{"id":150,"name":"Time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8" t="str">
        <f t="shared" si="90"/>
        <v>start /low /b %USERPROFILE%\Documents\GitHub\eaglep3\Utilities\DownloadLogsFromS3.py --loco 4020 --day 2017-02-03</v>
      </c>
      <c r="AN168" s="167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597</v>
      </c>
      <c r="B169" s="7">
        <v>4019</v>
      </c>
      <c r="C169" s="21" t="s">
        <v>193</v>
      </c>
      <c r="D169" s="21" t="s">
        <v>864</v>
      </c>
      <c r="E169" s="13">
        <v>42769.31627314815</v>
      </c>
      <c r="F169" s="13">
        <v>42769.317615740743</v>
      </c>
      <c r="G169" s="7">
        <v>1</v>
      </c>
      <c r="H169" s="21" t="s">
        <v>865</v>
      </c>
      <c r="I169" s="13">
        <v>42769.330949074072</v>
      </c>
      <c r="J169" s="7">
        <v>0</v>
      </c>
      <c r="K169" s="98" t="str">
        <f t="shared" si="73"/>
        <v>4019/4020</v>
      </c>
      <c r="L169" s="21" t="str">
        <f>VLOOKUP(A169,'Trips&amp;Operators'!$C$1:$G$99999,5,FALSE)</f>
        <v>YANAI IAN</v>
      </c>
      <c r="M169" s="6">
        <f t="shared" si="74"/>
        <v>1.3333333328773733E-2</v>
      </c>
      <c r="N169" s="7">
        <f t="shared" si="75"/>
        <v>19.199999993434176</v>
      </c>
      <c r="O169" s="7"/>
      <c r="P169" s="7"/>
      <c r="Q169" s="22"/>
      <c r="R169" s="22"/>
      <c r="S169" s="31">
        <f t="shared" si="76"/>
        <v>1</v>
      </c>
      <c r="T169" s="46" t="str">
        <f t="shared" si="77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78"/>
        <v>https://d0f6bd738d7f1b3e5a7ca70fe4ff75f0.us-east-1.aws.found.io/app/kibana#/discover/Steve-Slow-Train-Analysis-(2080s-and-2083s)?_g=(refreshInterval:(display:Off,pause:!f,section:0,value:0),time:(from:'2017-02-03T06:35:26-0700',mode:absolute,to:'2017-02-03T08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192" t="str">
        <f t="shared" si="79"/>
        <v>N</v>
      </c>
      <c r="X169" s="192">
        <f t="shared" si="80"/>
        <v>1</v>
      </c>
      <c r="Y169" s="62">
        <f t="shared" si="81"/>
        <v>5.8615000000000004</v>
      </c>
      <c r="Z169" s="62">
        <f t="shared" si="82"/>
        <v>6.7100000000000007E-2</v>
      </c>
      <c r="AA169" s="62">
        <f t="shared" si="83"/>
        <v>5.7944000000000004</v>
      </c>
      <c r="AB169" s="59" t="e">
        <f>VLOOKUP(A169,Enforcements!$C$7:$K$16,8,0)</f>
        <v>#N/A</v>
      </c>
      <c r="AC169" s="55" t="e">
        <f>VLOOKUP(A169,Enforcements!$C$7:$E$16,3,0)</f>
        <v>#N/A</v>
      </c>
      <c r="AD169" s="56" t="str">
        <f t="shared" si="84"/>
        <v>0808-03</v>
      </c>
      <c r="AE169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69" s="82" t="str">
        <f t="shared" si="86"/>
        <v>"C:\Program Files (x86)\AstroGrep\AstroGrep.exe" /spath="%USERPROFILE%\AppData\Local\Temp\OnboardLogs" /stypes="app*4019*20170203*" /stext=" 14:.+((SYSTEM_STATE.+slice.+state.+changed )|(ment ac)|(multiple cpu faults)|(system.+state.+changed )|(\[timeout)|(PRM\|1\|D)|(kpr)|(kdp)|(\|lc)|(penalty))" /e /r /s</v>
      </c>
      <c r="AG169" s="1" t="str">
        <f t="shared" si="87"/>
        <v>NW</v>
      </c>
      <c r="AH169" s="86" t="str">
        <f t="shared" si="88"/>
        <v>"%USERPROFILE%\Documents\GitHub\eaglep3\Utilities\RefineRTDCRunTimes.py" --tripid 808-03 --locoid 4019 --swversion DE.1.0.8.0 --startMP 300:58615 --initTime 2017-02-03T07:35:26 --startdatetime 2017-02-03T07:37:22 --delay 1 --endMP 204:671 --enddatetime 2017-02-03T07:56:34 --enforcementcount 0 &gt;&gt;C:\Users\stu\Documents\GitHub\eaglep3-reporting\EC\2017-02-03-refined-times.txt</v>
      </c>
      <c r="AI169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{"issue":{"subject":"","project_id":79,"tracker_id":40,"status_id":1,"priority_id":2,"assigned_to_id":23,"start_date":"2017-02-03","description":"","custom_fields":[{"id":1,"name":"Subdivision","value":"NW"},{"id":4,"name":"Milepost","value":"0.0671"},{"id":17,"name":"Train ID","value":"808-03"},{"id":16,"name":"Locomotive ID","value":"4019"},{"id":130,"name":"Impact","value":""},{"id":150,"name":"Time of Event (Mountain Time)","value":"07:56:34"},{"id":151,"name":"Denver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8" t="str">
        <f t="shared" si="90"/>
        <v>start /low /b %USERPROFILE%\Documents\GitHub\eaglep3\Utilities\DownloadLogsFromS3.py --loco 4019 --day 2017-02-03</v>
      </c>
      <c r="AN169" s="167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599</v>
      </c>
      <c r="B170" s="7">
        <v>4029</v>
      </c>
      <c r="C170" s="21" t="s">
        <v>193</v>
      </c>
      <c r="D170" s="21" t="s">
        <v>859</v>
      </c>
      <c r="E170" s="13">
        <v>42769.31826388889</v>
      </c>
      <c r="F170" s="13">
        <v>42769.327349537038</v>
      </c>
      <c r="G170" s="7">
        <v>1</v>
      </c>
      <c r="H170" s="21" t="s">
        <v>866</v>
      </c>
      <c r="I170" s="13">
        <v>42769.337465277778</v>
      </c>
      <c r="J170" s="7">
        <v>0</v>
      </c>
      <c r="K170" s="98" t="str">
        <f t="shared" si="73"/>
        <v>4029/4030</v>
      </c>
      <c r="L170" s="21" t="str">
        <f>VLOOKUP(A170,'Trips&amp;Operators'!$C$1:$G$99999,5,FALSE)</f>
        <v>CUSHING HARRY</v>
      </c>
      <c r="M170" s="6">
        <f t="shared" si="74"/>
        <v>1.0115740740729962E-2</v>
      </c>
      <c r="N170" s="7">
        <f t="shared" si="75"/>
        <v>14.566666666651145</v>
      </c>
      <c r="O170" s="7"/>
      <c r="P170" s="7"/>
      <c r="Q170" s="22"/>
      <c r="R170" s="22"/>
      <c r="S170" s="31">
        <f t="shared" si="76"/>
        <v>1</v>
      </c>
      <c r="T170" s="46" t="str">
        <f t="shared" si="77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78"/>
        <v>https://d0f6bd738d7f1b3e5a7ca70fe4ff75f0.us-east-1.aws.found.io/app/kibana#/discover/Steve-Slow-Train-Analysis-(2080s-and-2083s)?_g=(refreshInterval:(display:Off,pause:!f,section:0,value:0),time:(from:'2017-02-03T06:38:18-0700',mode:absolute,to:'2017-02-03T09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192" t="str">
        <f t="shared" si="79"/>
        <v>N</v>
      </c>
      <c r="X170" s="192">
        <f t="shared" si="80"/>
        <v>1</v>
      </c>
      <c r="Y170" s="62">
        <f t="shared" si="81"/>
        <v>9.8299999999999998E-2</v>
      </c>
      <c r="Z170" s="62">
        <f t="shared" si="82"/>
        <v>5.8992000000000004</v>
      </c>
      <c r="AA170" s="62">
        <f t="shared" si="83"/>
        <v>5.8009000000000004</v>
      </c>
      <c r="AB170" s="59" t="e">
        <f>VLOOKUP(A170,Enforcements!$C$7:$K$16,8,0)</f>
        <v>#N/A</v>
      </c>
      <c r="AC170" s="55" t="e">
        <f>VLOOKUP(A170,Enforcements!$C$7:$E$16,3,0)</f>
        <v>#N/A</v>
      </c>
      <c r="AD170" s="56" t="str">
        <f t="shared" si="84"/>
        <v>0809-03</v>
      </c>
      <c r="AE170" s="85" t="str">
        <f t="shared" si="85"/>
        <v>aws s3 cp s3://rtdc.mdm.uploadarchive.raw/RTDC4029/ "%USERPROFILE%\AppData\Local\Temp\OnboardLogs"\RTDC4029\2017-02-03 --exclude "*" --recursive --include "*20170203*" &amp; "%USERPROFILE%\Documents\GitHub\mrs-test-scripts\Headless Mode &amp; Sideloading\WalkAndUnGZ.bat" "%USERPROFILE%\AppData\Local\Temp\OnboardLogs"\RTDC4029\2017-02-03 &amp; 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</v>
      </c>
      <c r="AF170" s="82" t="str">
        <f t="shared" si="86"/>
        <v>"C:\Program Files (x86)\AstroGrep\AstroGrep.exe" /spath="%USERPROFILE%\AppData\Local\Temp\OnboardLogs" /stypes="app*4029*20170203*" /stext=" 15:.+((SYSTEM_STATE.+slice.+state.+changed )|(ment ac)|(multiple cpu faults)|(system.+state.+changed )|(\[timeout)|(PRM\|1\|D)|(kpr)|(kdp)|(\|lc)|(penalty))" /e /r /s</v>
      </c>
      <c r="AG170" s="1" t="str">
        <f t="shared" si="87"/>
        <v>NW</v>
      </c>
      <c r="AH170" s="86" t="str">
        <f t="shared" si="88"/>
        <v>"%USERPROFILE%\Documents\GitHub\eaglep3\Utilities\RefineRTDCRunTimes.py" --tripid 809-03 --locoid 4029 --swversion DE.1.0.8.0 --startMP 204:983 --initTime 2017-02-03T07:38:18 --startdatetime 2017-02-03T07:51:23 --delay 1 --endMP 300:58992 --enddatetime 2017-02-03T08:05:57 --enforcementcount 0 &gt;&gt;C:\Users\stu\Documents\GitHub\eaglep3-reporting\EC\2017-02-03-refined-times.txt</v>
      </c>
      <c r="AI170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{"issue":{"subject":"","project_id":79,"tracker_id":40,"status_id":1,"priority_id":2,"assigned_to_id":23,"start_date":"2017-02-03","description":"","custom_fields":[{"id":1,"name":"Subdivision","value":"NW"},{"id":4,"name":"Milepost","value":"5.8992"},{"id":17,"name":"Train ID","value":"809-03"},{"id":16,"name":"Locomotive ID","value":"4029"},{"id":130,"name":"Impact","value":""},{"id":150,"name":"Time of Event (Mountain Time)","value":"08:05:57"},{"id":151,"name":"Denver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8" t="str">
        <f t="shared" si="90"/>
        <v>start /low /b %USERPROFILE%\Documents\GitHub\eaglep3\Utilities\DownloadLogsFromS3.py --loco 4029 --day 2017-02-03</v>
      </c>
      <c r="AN170" s="167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"%USERPROFILE%\AppData\Local\Temp\OnboardLogs"\RTDC4029\*4029*20170203* | grep -SE "(Enforcement Action)|(\[TIMEOUT)|(CHR.+\|PRM\|1\|D.+(SWITCH|SIGNAL).+UNKNOWN)" - &gt;&gt; 2017-02-03-UncaughtWiMAX.txt</v>
      </c>
    </row>
    <row r="171" spans="1:91" x14ac:dyDescent="0.25">
      <c r="A171" s="33" t="s">
        <v>604</v>
      </c>
      <c r="B171" s="7">
        <v>4030</v>
      </c>
      <c r="C171" s="21" t="s">
        <v>193</v>
      </c>
      <c r="D171" s="21" t="s">
        <v>867</v>
      </c>
      <c r="E171" s="13">
        <v>42769.339768518519</v>
      </c>
      <c r="F171" s="13">
        <v>42769.340868055559</v>
      </c>
      <c r="G171" s="7">
        <v>1</v>
      </c>
      <c r="H171" s="21" t="s">
        <v>868</v>
      </c>
      <c r="I171" s="13">
        <v>42769.352430555555</v>
      </c>
      <c r="J171" s="7">
        <v>0</v>
      </c>
      <c r="K171" s="98" t="str">
        <f t="shared" si="73"/>
        <v>4029/4030</v>
      </c>
      <c r="L171" s="21" t="str">
        <f>VLOOKUP(A171,'Trips&amp;Operators'!$C$1:$G$99999,5,FALSE)</f>
        <v>CUSHING HARRY</v>
      </c>
      <c r="M171" s="6">
        <f t="shared" si="74"/>
        <v>1.1562499996216502E-2</v>
      </c>
      <c r="N171" s="7">
        <f t="shared" si="75"/>
        <v>16.649999994551763</v>
      </c>
      <c r="O171" s="7"/>
      <c r="P171" s="7"/>
      <c r="Q171" s="22"/>
      <c r="R171" s="22"/>
      <c r="S171" s="31">
        <f t="shared" si="76"/>
        <v>1</v>
      </c>
      <c r="T171" s="46" t="str">
        <f t="shared" si="77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78"/>
        <v>https://d0f6bd738d7f1b3e5a7ca70fe4ff75f0.us-east-1.aws.found.io/app/kibana#/discover/Steve-Slow-Train-Analysis-(2080s-and-2083s)?_g=(refreshInterval:(display:Off,pause:!f,section:0,value:0),time:(from:'2017-02-03T07:09:16-0700',mode:absolute,to:'2017-02-03T09:27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1" s="192" t="str">
        <f t="shared" si="79"/>
        <v>N</v>
      </c>
      <c r="X171" s="192">
        <f t="shared" si="80"/>
        <v>1</v>
      </c>
      <c r="Y171" s="62">
        <f t="shared" si="81"/>
        <v>5.7975000000000003</v>
      </c>
      <c r="Z171" s="62">
        <f t="shared" si="82"/>
        <v>1.35E-2</v>
      </c>
      <c r="AA171" s="62">
        <f t="shared" si="83"/>
        <v>5.7840000000000007</v>
      </c>
      <c r="AB171" s="59" t="e">
        <f>VLOOKUP(A171,Enforcements!$C$7:$K$16,8,0)</f>
        <v>#N/A</v>
      </c>
      <c r="AC171" s="55" t="e">
        <f>VLOOKUP(A171,Enforcements!$C$7:$E$16,3,0)</f>
        <v>#N/A</v>
      </c>
      <c r="AD171" s="56" t="str">
        <f t="shared" si="84"/>
        <v>0810-03</v>
      </c>
      <c r="AE171" s="85" t="str">
        <f t="shared" si="85"/>
        <v>aws s3 cp s3://rtdc.mdm.uploadarchive.raw/RTDC4030/ "%USERPROFILE%\AppData\Local\Temp\OnboardLogs"\RTDC4030\2017-02-03 --exclude "*" --recursive --include "*20170203*" &amp; "%USERPROFILE%\Documents\GitHub\mrs-test-scripts\Headless Mode &amp; Sideloading\WalkAndUnGZ.bat" "%USERPROFILE%\AppData\Local\Temp\OnboardLogs"\RTDC4030\2017-02-03 &amp; 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</v>
      </c>
      <c r="AF171" s="82" t="str">
        <f t="shared" si="86"/>
        <v>"C:\Program Files (x86)\AstroGrep\AstroGrep.exe" /spath="%USERPROFILE%\AppData\Local\Temp\OnboardLogs" /stypes="app*4030*20170203*" /stext=" 15:.+((SYSTEM_STATE.+slice.+state.+changed )|(ment ac)|(multiple cpu faults)|(system.+state.+changed )|(\[timeout)|(PRM\|1\|D)|(kpr)|(kdp)|(\|lc)|(penalty))" /e /r /s</v>
      </c>
      <c r="AG171" s="1" t="str">
        <f t="shared" si="87"/>
        <v>NW</v>
      </c>
      <c r="AH171" s="86" t="str">
        <f t="shared" si="88"/>
        <v>"%USERPROFILE%\Documents\GitHub\eaglep3\Utilities\RefineRTDCRunTimes.py" --tripid 810-03 --locoid 4030 --swversion DE.1.0.8.0 --startMP 300:57975 --initTime 2017-02-03T08:09:16 --startdatetime 2017-02-03T08:10:51 --delay 1 --endMP 204:135 --enddatetime 2017-02-03T08:27:30 --enforcementcount 0 &gt;&gt;C:\Users\stu\Documents\GitHub\eaglep3-reporting\EC\2017-02-03-refined-times.txt</v>
      </c>
      <c r="AI171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{"issue":{"subject":"","project_id":79,"tracker_id":40,"status_id":1,"priority_id":2,"assigned_to_id":23,"start_date":"2017-02-03","description":"","custom_fields":[{"id":1,"name":"Subdivision","value":"NW"},{"id":4,"name":"Milepost","value":"0.0135"},{"id":17,"name":"Train ID","value":"810-03"},{"id":16,"name":"Locomotive ID","value":"4030"},{"id":130,"name":"Impact","value":""},{"id":150,"name":"Time of Event (Mountain Time)","value":"08:27:30"},{"id":151,"name":"Denver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8" t="str">
        <f t="shared" si="90"/>
        <v>start /low /b %USERPROFILE%\Documents\GitHub\eaglep3\Utilities\DownloadLogsFromS3.py --loco 4030 --day 2017-02-03</v>
      </c>
      <c r="AN171" s="167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"%USERPROFILE%\AppData\Local\Temp\OnboardLogs"\RTDC4030\*4030*20170203* | grep -SE "(Enforcement Action)|(\[TIMEOUT)|(CHR.+\|PRM\|1\|D.+(SWITCH|SIGNAL).+UNKNOWN)" - &gt;&gt; 2017-02-03-UncaughtWiMAX.txt</v>
      </c>
    </row>
    <row r="172" spans="1:91" x14ac:dyDescent="0.25">
      <c r="A172" s="33" t="s">
        <v>534</v>
      </c>
      <c r="B172" s="7">
        <v>4020</v>
      </c>
      <c r="C172" s="21" t="s">
        <v>193</v>
      </c>
      <c r="D172" s="21" t="s">
        <v>869</v>
      </c>
      <c r="E172" s="13">
        <v>42769.332083333335</v>
      </c>
      <c r="F172" s="13">
        <v>42769.348101851851</v>
      </c>
      <c r="G172" s="7">
        <v>1</v>
      </c>
      <c r="H172" s="21" t="s">
        <v>870</v>
      </c>
      <c r="I172" s="13">
        <v>42769.356736111113</v>
      </c>
      <c r="J172" s="7">
        <v>0</v>
      </c>
      <c r="K172" s="98" t="str">
        <f t="shared" si="73"/>
        <v>4019/4020</v>
      </c>
      <c r="L172" s="21" t="str">
        <f>VLOOKUP(A172,'Trips&amp;Operators'!$C$1:$G$99999,5,FALSE)</f>
        <v>YANAI IAN</v>
      </c>
      <c r="M172" s="6">
        <f t="shared" si="74"/>
        <v>8.6342592621804215E-3</v>
      </c>
      <c r="N172" s="7">
        <f t="shared" si="75"/>
        <v>12.433333337539807</v>
      </c>
      <c r="O172" s="7"/>
      <c r="P172" s="7"/>
      <c r="Q172" s="22"/>
      <c r="R172" s="22"/>
      <c r="S172" s="31">
        <f t="shared" si="76"/>
        <v>1</v>
      </c>
      <c r="T172" s="46" t="str">
        <f t="shared" si="77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78"/>
        <v>https://d0f6bd738d7f1b3e5a7ca70fe4ff75f0.us-east-1.aws.found.io/app/kibana#/discover/Steve-Slow-Train-Analysis-(2080s-and-2083s)?_g=(refreshInterval:(display:Off,pause:!f,section:0,value:0),time:(from:'2017-02-03T06:58:12-0700',mode:absolute,to:'2017-02-03T09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92" t="str">
        <f t="shared" si="79"/>
        <v>N</v>
      </c>
      <c r="X172" s="192">
        <f t="shared" si="80"/>
        <v>1</v>
      </c>
      <c r="Y172" s="62">
        <f t="shared" si="81"/>
        <v>9.3600000000000003E-2</v>
      </c>
      <c r="Z172" s="62">
        <f t="shared" si="82"/>
        <v>5.8978000000000002</v>
      </c>
      <c r="AA172" s="62">
        <f t="shared" si="83"/>
        <v>5.8041999999999998</v>
      </c>
      <c r="AB172" s="59" t="e">
        <f>VLOOKUP(A172,Enforcements!$C$7:$K$16,8,0)</f>
        <v>#N/A</v>
      </c>
      <c r="AC172" s="55" t="e">
        <f>VLOOKUP(A172,Enforcements!$C$7:$E$16,3,0)</f>
        <v>#N/A</v>
      </c>
      <c r="AD172" s="56" t="str">
        <f t="shared" si="84"/>
        <v>0811-03</v>
      </c>
      <c r="AE172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72" s="82" t="str">
        <f t="shared" si="86"/>
        <v>"C:\Program Files (x86)\AstroGrep\AstroGrep.exe" /spath="%USERPROFILE%\AppData\Local\Temp\OnboardLogs" /stypes="app*4020*20170203*" /stext=" 15:.+((SYSTEM_STATE.+slice.+state.+changed )|(ment ac)|(multiple cpu faults)|(system.+state.+changed )|(\[timeout)|(PRM\|1\|D)|(kpr)|(kdp)|(\|lc)|(penalty))" /e /r /s</v>
      </c>
      <c r="AG172" s="1" t="str">
        <f t="shared" si="87"/>
        <v>NW</v>
      </c>
      <c r="AH172" s="86" t="str">
        <f t="shared" si="88"/>
        <v>"%USERPROFILE%\Documents\GitHub\eaglep3\Utilities\RefineRTDCRunTimes.py" --tripid 811-03 --locoid 4020 --swversion DE.1.0.8.0 --startMP 204:936 --initTime 2017-02-03T07:58:12 --startdatetime 2017-02-03T08:21:16 --delay 1 --endMP 300:58978 --enddatetime 2017-02-03T08:33:42 --enforcementcount 0 &gt;&gt;C:\Users\stu\Documents\GitHub\eaglep3-reporting\EC\2017-02-03-refined-times.txt</v>
      </c>
      <c r="AI172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{"issue":{"subject":"","project_id":79,"tracker_id":40,"status_id":1,"priority_id":2,"assigned_to_id":23,"start_date":"2017-02-03","description":"","custom_fields":[{"id":1,"name":"Subdivision","value":"NW"},{"id":4,"name":"Milepost","value":"5.8978"},{"id":17,"name":"Train ID","value":"811-03"},{"id":16,"name":"Locomotive ID","value":"4020"},{"id":130,"name":"Impact","value":""},{"id":150,"name":"Time of Event (Mountain Time)","value":"08:33:42"},{"id":151,"name":"Denver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8" t="str">
        <f t="shared" si="90"/>
        <v>start /low /b %USERPROFILE%\Documents\GitHub\eaglep3\Utilities\DownloadLogsFromS3.py --loco 4020 --day 2017-02-03</v>
      </c>
      <c r="AN172" s="167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</row>
    <row r="173" spans="1:91" x14ac:dyDescent="0.25">
      <c r="A173" s="33" t="s">
        <v>609</v>
      </c>
      <c r="B173" s="7">
        <v>4019</v>
      </c>
      <c r="C173" s="21" t="s">
        <v>193</v>
      </c>
      <c r="D173" s="21" t="s">
        <v>871</v>
      </c>
      <c r="E173" s="13">
        <v>42769.358078703706</v>
      </c>
      <c r="F173" s="13">
        <v>42769.359409722223</v>
      </c>
      <c r="G173" s="7">
        <v>1</v>
      </c>
      <c r="H173" s="21" t="s">
        <v>448</v>
      </c>
      <c r="I173" s="13">
        <v>42769.371192129627</v>
      </c>
      <c r="J173" s="7">
        <v>0</v>
      </c>
      <c r="K173" s="98" t="str">
        <f t="shared" si="73"/>
        <v>4019/4020</v>
      </c>
      <c r="L173" s="21" t="str">
        <f>VLOOKUP(A173,'Trips&amp;Operators'!$C$1:$G$99999,5,FALSE)</f>
        <v>YANAI IAN</v>
      </c>
      <c r="M173" s="6">
        <f t="shared" si="74"/>
        <v>1.1782407404098194E-2</v>
      </c>
      <c r="N173" s="7">
        <f t="shared" si="75"/>
        <v>16.966666661901399</v>
      </c>
      <c r="O173" s="7"/>
      <c r="P173" s="7"/>
      <c r="Q173" s="22"/>
      <c r="R173" s="22"/>
      <c r="S173" s="31">
        <f t="shared" si="76"/>
        <v>1</v>
      </c>
      <c r="T173" s="46" t="str">
        <f t="shared" si="77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78"/>
        <v>https://d0f6bd738d7f1b3e5a7ca70fe4ff75f0.us-east-1.aws.found.io/app/kibana#/discover/Steve-Slow-Train-Analysis-(2080s-and-2083s)?_g=(refreshInterval:(display:Off,pause:!f,section:0,value:0),time:(from:'2017-02-03T07:35:38-0700',mode:absolute,to:'2017-02-03T09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92" t="str">
        <f t="shared" si="79"/>
        <v>N</v>
      </c>
      <c r="X173" s="192">
        <f t="shared" si="80"/>
        <v>1</v>
      </c>
      <c r="Y173" s="62">
        <f t="shared" si="81"/>
        <v>5.8658000000000001</v>
      </c>
      <c r="Z173" s="62">
        <f t="shared" si="82"/>
        <v>6.5000000000000002E-2</v>
      </c>
      <c r="AA173" s="62">
        <f t="shared" si="83"/>
        <v>5.8007999999999997</v>
      </c>
      <c r="AB173" s="59" t="e">
        <f>VLOOKUP(A173,Enforcements!$C$7:$K$16,8,0)</f>
        <v>#N/A</v>
      </c>
      <c r="AC173" s="55" t="e">
        <f>VLOOKUP(A173,Enforcements!$C$7:$E$16,3,0)</f>
        <v>#N/A</v>
      </c>
      <c r="AD173" s="56" t="str">
        <f t="shared" si="84"/>
        <v>0812-03</v>
      </c>
      <c r="AE173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73" s="82" t="str">
        <f t="shared" si="86"/>
        <v>"C:\Program Files (x86)\AstroGrep\AstroGrep.exe" /spath="%USERPROFILE%\AppData\Local\Temp\OnboardLogs" /stypes="app*4019*20170203*" /stext=" 15:.+((SYSTEM_STATE.+slice.+state.+changed )|(ment ac)|(multiple cpu faults)|(system.+state.+changed )|(\[timeout)|(PRM\|1\|D)|(kpr)|(kdp)|(\|lc)|(penalty))" /e /r /s</v>
      </c>
      <c r="AG173" s="1" t="str">
        <f t="shared" si="87"/>
        <v>NW</v>
      </c>
      <c r="AH173" s="86" t="str">
        <f t="shared" si="88"/>
        <v>"%USERPROFILE%\Documents\GitHub\eaglep3\Utilities\RefineRTDCRunTimes.py" --tripid 812-03 --locoid 4019 --swversion DE.1.0.8.0 --startMP 300:58658 --initTime 2017-02-03T08:35:38 --startdatetime 2017-02-03T08:37:33 --delay 1 --endMP 204:650 --enddatetime 2017-02-03T08:54:31 --enforcementcount 0 &gt;&gt;C:\Users\stu\Documents\GitHub\eaglep3-reporting\EC\2017-02-03-refined-times.txt</v>
      </c>
      <c r="AI173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{"issue":{"subject":"","project_id":79,"tracker_id":40,"status_id":1,"priority_id":2,"assigned_to_id":23,"start_date":"2017-02-03","description":"","custom_fields":[{"id":1,"name":"Subdivision","value":"NW"},{"id":4,"name":"Milepost","value":"0.065"},{"id":17,"name":"Train ID","value":"812-03"},{"id":16,"name":"Locomotive ID","value":"4019"},{"id":130,"name":"Impact","value":""},{"id":150,"name":"Time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8" t="str">
        <f t="shared" si="90"/>
        <v>start /low /b %USERPROFILE%\Documents\GitHub\eaglep3\Utilities\DownloadLogsFromS3.py --loco 4019 --day 2017-02-03</v>
      </c>
      <c r="AN173" s="167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174" spans="1:91" s="20" customFormat="1" x14ac:dyDescent="0.25">
      <c r="A174" s="33" t="s">
        <v>613</v>
      </c>
      <c r="B174" s="7">
        <v>4020</v>
      </c>
      <c r="C174" s="21" t="s">
        <v>193</v>
      </c>
      <c r="D174" s="21" t="s">
        <v>872</v>
      </c>
      <c r="E174" s="13">
        <v>42769.376793981479</v>
      </c>
      <c r="F174" s="13">
        <v>42769.389791666668</v>
      </c>
      <c r="G174" s="7">
        <v>1</v>
      </c>
      <c r="H174" s="21" t="s">
        <v>873</v>
      </c>
      <c r="I174" s="13">
        <v>42769.398796296293</v>
      </c>
      <c r="J174" s="7">
        <v>0</v>
      </c>
      <c r="K174" s="98" t="str">
        <f t="shared" si="73"/>
        <v>4019/4020</v>
      </c>
      <c r="L174" s="21" t="str">
        <f>VLOOKUP(A174,'Trips&amp;Operators'!$C$1:$G$99999,5,FALSE)</f>
        <v>BEAM ROSS</v>
      </c>
      <c r="M174" s="6">
        <f t="shared" si="74"/>
        <v>9.0046296245418489E-3</v>
      </c>
      <c r="N174" s="7">
        <f t="shared" si="75"/>
        <v>12.966666659340262</v>
      </c>
      <c r="O174" s="7"/>
      <c r="P174" s="7"/>
      <c r="Q174" s="22"/>
      <c r="R174" s="22"/>
      <c r="S174" s="31">
        <f t="shared" si="76"/>
        <v>1</v>
      </c>
      <c r="T174" s="46" t="str">
        <f t="shared" si="77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78"/>
        <v>https://d0f6bd738d7f1b3e5a7ca70fe4ff75f0.us-east-1.aws.found.io/app/kibana#/discover/Steve-Slow-Train-Analysis-(2080s-and-2083s)?_g=(refreshInterval:(display:Off,pause:!f,section:0,value:0),time:(from:'2017-02-03T08:02:35-0700',mode:absolute,to:'2017-02-03T10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92" t="str">
        <f t="shared" si="79"/>
        <v>N</v>
      </c>
      <c r="X174" s="192">
        <f t="shared" si="80"/>
        <v>1</v>
      </c>
      <c r="Y174" s="62">
        <f t="shared" si="81"/>
        <v>9.2700000000000005E-2</v>
      </c>
      <c r="Z174" s="62">
        <f t="shared" si="82"/>
        <v>5.8960999999999997</v>
      </c>
      <c r="AA174" s="62">
        <f t="shared" si="83"/>
        <v>5.8033999999999999</v>
      </c>
      <c r="AB174" s="59" t="e">
        <f>VLOOKUP(A174,Enforcements!$C$7:$K$16,8,0)</f>
        <v>#N/A</v>
      </c>
      <c r="AC174" s="55" t="e">
        <f>VLOOKUP(A174,Enforcements!$C$7:$E$16,3,0)</f>
        <v>#N/A</v>
      </c>
      <c r="AD174" s="56" t="str">
        <f t="shared" si="84"/>
        <v>0813-03</v>
      </c>
      <c r="AE174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74" s="82" t="str">
        <f t="shared" si="86"/>
        <v>"C:\Program Files (x86)\AstroGrep\AstroGrep.exe" /spath="%USERPROFILE%\AppData\Local\Temp\OnboardLogs" /stypes="app*4020*20170203*" /stext=" 16:.+((SYSTEM_STATE.+slice.+state.+changed )|(ment ac)|(multiple cpu faults)|(system.+state.+changed )|(\[timeout)|(PRM\|1\|D)|(kpr)|(kdp)|(\|lc)|(penalty))" /e /r /s</v>
      </c>
      <c r="AG174" s="1" t="str">
        <f t="shared" si="87"/>
        <v>NW</v>
      </c>
      <c r="AH174" s="86" t="str">
        <f t="shared" si="88"/>
        <v>"%USERPROFILE%\Documents\GitHub\eaglep3\Utilities\RefineRTDCRunTimes.py" --tripid 813-03 --locoid 4020 --swversion DE.1.0.8.0 --startMP 204:927 --initTime 2017-02-03T09:02:35 --startdatetime 2017-02-03T09:21:18 --delay 1 --endMP 300:58961 --enddatetime 2017-02-03T09:34:16 --enforcementcount 0 &gt;&gt;C:\Users\stu\Documents\GitHub\eaglep3-reporting\EC\2017-02-03-refined-times.txt</v>
      </c>
      <c r="AI174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{"issue":{"subject":"","project_id":79,"tracker_id":40,"status_id":1,"priority_id":2,"assigned_to_id":23,"start_date":"2017-02-03","description":"","custom_fields":[{"id":1,"name":"Subdivision","value":"NW"},{"id":4,"name":"Milepost","value":"5.8961"},{"id":17,"name":"Train ID","value":"813-03"},{"id":16,"name":"Locomotive ID","value":"4020"},{"id":130,"name":"Impact","value":""},{"id":150,"name":"Time of Event (Mountain Time)","value":"09:34:16"},{"id":151,"name":"Denver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8" t="str">
        <f t="shared" si="90"/>
        <v>start /low /b %USERPROFILE%\Documents\GitHub\eaglep3\Utilities\DownloadLogsFromS3.py --loco 4020 --day 2017-02-03</v>
      </c>
      <c r="AN174" s="167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617</v>
      </c>
      <c r="B175" s="7">
        <v>4019</v>
      </c>
      <c r="C175" s="21" t="s">
        <v>193</v>
      </c>
      <c r="D175" s="21" t="s">
        <v>341</v>
      </c>
      <c r="E175" s="13">
        <v>42769.399502314816</v>
      </c>
      <c r="F175" s="13">
        <v>42769.400682870371</v>
      </c>
      <c r="G175" s="7">
        <v>1</v>
      </c>
      <c r="H175" s="21" t="s">
        <v>441</v>
      </c>
      <c r="I175" s="13">
        <v>42769.412858796299</v>
      </c>
      <c r="J175" s="7">
        <v>0</v>
      </c>
      <c r="K175" s="98" t="str">
        <f t="shared" si="73"/>
        <v>4019/4020</v>
      </c>
      <c r="L175" s="21" t="str">
        <f>VLOOKUP(A175,'Trips&amp;Operators'!$C$1:$G$99999,5,FALSE)</f>
        <v>BEAM ROSS</v>
      </c>
      <c r="M175" s="6">
        <f t="shared" si="74"/>
        <v>1.2175925927294884E-2</v>
      </c>
      <c r="N175" s="7">
        <f t="shared" si="75"/>
        <v>17.533333335304633</v>
      </c>
      <c r="O175" s="7"/>
      <c r="P175" s="7"/>
      <c r="Q175" s="22"/>
      <c r="R175" s="22"/>
      <c r="S175" s="31">
        <f t="shared" si="76"/>
        <v>1</v>
      </c>
      <c r="T175" s="46" t="str">
        <f t="shared" si="77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78"/>
        <v>https://d0f6bd738d7f1b3e5a7ca70fe4ff75f0.us-east-1.aws.found.io/app/kibana#/discover/Steve-Slow-Train-Analysis-(2080s-and-2083s)?_g=(refreshInterval:(display:Off,pause:!f,section:0,value:0),time:(from:'2017-02-03T08:35:17-0700',mode:absolute,to:'2017-02-03T10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92" t="str">
        <f t="shared" si="79"/>
        <v>N</v>
      </c>
      <c r="X175" s="192">
        <f t="shared" si="80"/>
        <v>1</v>
      </c>
      <c r="Y175" s="62">
        <f t="shared" si="81"/>
        <v>5.8648999999999996</v>
      </c>
      <c r="Z175" s="62">
        <f t="shared" si="82"/>
        <v>6.7000000000000004E-2</v>
      </c>
      <c r="AA175" s="62">
        <f t="shared" si="83"/>
        <v>5.7978999999999994</v>
      </c>
      <c r="AB175" s="59" t="e">
        <f>VLOOKUP(A175,Enforcements!$C$7:$K$16,8,0)</f>
        <v>#N/A</v>
      </c>
      <c r="AC175" s="55" t="e">
        <f>VLOOKUP(A175,Enforcements!$C$7:$E$16,3,0)</f>
        <v>#N/A</v>
      </c>
      <c r="AD175" s="56" t="str">
        <f t="shared" si="84"/>
        <v>0814-03</v>
      </c>
      <c r="AE175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75" s="82" t="str">
        <f t="shared" si="86"/>
        <v>"C:\Program Files (x86)\AstroGrep\AstroGrep.exe" /spath="%USERPROFILE%\AppData\Local\Temp\OnboardLogs" /stypes="app*4019*20170203*" /stext=" 16:.+((SYSTEM_STATE.+slice.+state.+changed )|(ment ac)|(multiple cpu faults)|(system.+state.+changed )|(\[timeout)|(PRM\|1\|D)|(kpr)|(kdp)|(\|lc)|(penalty))" /e /r /s</v>
      </c>
      <c r="AG175" s="1" t="str">
        <f t="shared" si="87"/>
        <v>NW</v>
      </c>
      <c r="AH175" s="86" t="str">
        <f t="shared" si="88"/>
        <v>"%USERPROFILE%\Documents\GitHub\eaglep3\Utilities\RefineRTDCRunTimes.py" --tripid 814-03 --locoid 4019 --swversion DE.1.0.8.0 --startMP 300:58649 --initTime 2017-02-03T09:35:17 --startdatetime 2017-02-03T09:36:59 --delay 1 --endMP 204:670 --enddatetime 2017-02-03T09:54:31 --enforcementcount 0 &gt;&gt;C:\Users\stu\Documents\GitHub\eaglep3-reporting\EC\2017-02-03-refined-times.txt</v>
      </c>
      <c r="AI175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{"issue":{"subject":"","project_id":79,"tracker_id":40,"status_id":1,"priority_id":2,"assigned_to_id":23,"start_date":"2017-02-03","description":"","custom_fields":[{"id":1,"name":"Subdivision","value":"NW"},{"id":4,"name":"Milepost","value":"0.067"},{"id":17,"name":"Train ID","value":"814-03"},{"id":16,"name":"Locomotive ID","value":"4019"},{"id":130,"name":"Impact","value":""},{"id":150,"name":"Time of Event (Mountain Time)","value":"09:54:31"},{"id":151,"name":"Denver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8" t="str">
        <f t="shared" si="90"/>
        <v>start /low /b %USERPROFILE%\Documents\GitHub\eaglep3\Utilities\DownloadLogsFromS3.py --loco 4019 --day 2017-02-03</v>
      </c>
      <c r="AN175" s="167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176" spans="1:91" x14ac:dyDescent="0.25">
      <c r="A176" s="33" t="s">
        <v>623</v>
      </c>
      <c r="B176" s="7">
        <v>4020</v>
      </c>
      <c r="C176" s="21" t="s">
        <v>193</v>
      </c>
      <c r="D176" s="21" t="s">
        <v>874</v>
      </c>
      <c r="E176" s="13">
        <v>42769.429363425923</v>
      </c>
      <c r="F176" s="13">
        <v>42769.431446759256</v>
      </c>
      <c r="G176" s="7">
        <v>1</v>
      </c>
      <c r="H176" s="21" t="s">
        <v>875</v>
      </c>
      <c r="I176" s="13">
        <v>42769.440393518518</v>
      </c>
      <c r="J176" s="7">
        <v>0</v>
      </c>
      <c r="K176" s="98" t="str">
        <f t="shared" si="73"/>
        <v>4019/4020</v>
      </c>
      <c r="L176" s="21" t="str">
        <f>VLOOKUP(A176,'Trips&amp;Operators'!$C$1:$G$99999,5,FALSE)</f>
        <v>BEAM ROSS</v>
      </c>
      <c r="M176" s="6">
        <f t="shared" si="74"/>
        <v>8.9467592624714598E-3</v>
      </c>
      <c r="N176" s="7">
        <f t="shared" si="75"/>
        <v>12.883333337958902</v>
      </c>
      <c r="O176" s="7"/>
      <c r="P176" s="7"/>
      <c r="Q176" s="22"/>
      <c r="R176" s="22"/>
      <c r="S176" s="31">
        <f t="shared" si="76"/>
        <v>1</v>
      </c>
      <c r="T176" s="46" t="str">
        <f t="shared" si="77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78"/>
        <v>https://d0f6bd738d7f1b3e5a7ca70fe4ff75f0.us-east-1.aws.found.io/app/kibana#/discover/Steve-Slow-Train-Analysis-(2080s-and-2083s)?_g=(refreshInterval:(display:Off,pause:!f,section:0,value:0),time:(from:'2017-02-03T09:18:17-0700',mode:absolute,to:'2017-02-03T11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92" t="str">
        <f t="shared" si="79"/>
        <v>N</v>
      </c>
      <c r="X176" s="192">
        <f t="shared" si="80"/>
        <v>1</v>
      </c>
      <c r="Y176" s="62">
        <f t="shared" si="81"/>
        <v>9.4100000000000003E-2</v>
      </c>
      <c r="Z176" s="62">
        <f t="shared" si="82"/>
        <v>5.8936999999999999</v>
      </c>
      <c r="AA176" s="62">
        <f t="shared" si="83"/>
        <v>5.7995999999999999</v>
      </c>
      <c r="AB176" s="59" t="e">
        <f>VLOOKUP(A176,Enforcements!$C$7:$K$16,8,0)</f>
        <v>#N/A</v>
      </c>
      <c r="AC176" s="55" t="e">
        <f>VLOOKUP(A176,Enforcements!$C$7:$E$16,3,0)</f>
        <v>#N/A</v>
      </c>
      <c r="AD176" s="56" t="str">
        <f t="shared" si="84"/>
        <v>0815-03</v>
      </c>
      <c r="AE176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76" s="82" t="str">
        <f t="shared" si="86"/>
        <v>"C:\Program Files (x86)\AstroGrep\AstroGrep.exe" /spath="%USERPROFILE%\AppData\Local\Temp\OnboardLogs" /stypes="app*4020*20170203*" /stext=" 17:.+((SYSTEM_STATE.+slice.+state.+changed )|(ment ac)|(multiple cpu faults)|(system.+state.+changed )|(\[timeout)|(PRM\|1\|D)|(kpr)|(kdp)|(\|lc)|(penalty))" /e /r /s</v>
      </c>
      <c r="AG176" s="1" t="str">
        <f t="shared" si="87"/>
        <v>NW</v>
      </c>
      <c r="AH176" s="86" t="str">
        <f t="shared" si="88"/>
        <v>"%USERPROFILE%\Documents\GitHub\eaglep3\Utilities\RefineRTDCRunTimes.py" --tripid 815-03 --locoid 4020 --swversion DE.1.0.8.0 --startMP 204:941 --initTime 2017-02-03T10:18:17 --startdatetime 2017-02-03T10:21:17 --delay 1 --endMP 300:58937 --enddatetime 2017-02-03T10:34:10 --enforcementcount 0 &gt;&gt;C:\Users\stu\Documents\GitHub\eaglep3-reporting\EC\2017-02-03-refined-times.txt</v>
      </c>
      <c r="AI176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{"issue":{"subject":"","project_id":79,"tracker_id":40,"status_id":1,"priority_id":2,"assigned_to_id":23,"start_date":"2017-02-03","description":"","custom_fields":[{"id":1,"name":"Subdivision","value":"NW"},{"id":4,"name":"Milepost","value":"5.8937"},{"id":17,"name":"Train ID","value":"815-03"},{"id":16,"name":"Locomotive ID","value":"4020"},{"id":130,"name":"Impact","value":""},{"id":150,"name":"Time of Event (Mountain Time)","value":"10:34:10"},{"id":151,"name":"Denver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8" t="str">
        <f t="shared" si="90"/>
        <v>start /low /b %USERPROFILE%\Documents\GitHub\eaglep3\Utilities\DownloadLogsFromS3.py --loco 4020 --day 2017-02-03</v>
      </c>
      <c r="AN176" s="167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</row>
    <row r="177" spans="1:91" x14ac:dyDescent="0.25">
      <c r="A177" s="33" t="s">
        <v>542</v>
      </c>
      <c r="B177" s="7">
        <v>4019</v>
      </c>
      <c r="C177" s="21" t="s">
        <v>193</v>
      </c>
      <c r="D177" s="21" t="s">
        <v>343</v>
      </c>
      <c r="E177" s="13">
        <v>42769.441076388888</v>
      </c>
      <c r="F177" s="13">
        <v>42769.442233796297</v>
      </c>
      <c r="G177" s="7">
        <v>0</v>
      </c>
      <c r="H177" s="21" t="s">
        <v>876</v>
      </c>
      <c r="I177" s="13">
        <v>42769.455092592594</v>
      </c>
      <c r="J177" s="7">
        <v>1</v>
      </c>
      <c r="K177" s="98" t="str">
        <f t="shared" si="73"/>
        <v>4019/4020</v>
      </c>
      <c r="L177" s="21" t="str">
        <f>VLOOKUP(A177,'Trips&amp;Operators'!$C$1:$G$99999,5,FALSE)</f>
        <v>BEAM ROSS</v>
      </c>
      <c r="M177" s="6">
        <f t="shared" si="74"/>
        <v>1.2858796297223307E-2</v>
      </c>
      <c r="N177" s="7">
        <f t="shared" si="75"/>
        <v>18.516666668001562</v>
      </c>
      <c r="O177" s="7"/>
      <c r="P177" s="7"/>
      <c r="Q177" s="22"/>
      <c r="R177" s="22"/>
      <c r="S177" s="31">
        <f t="shared" si="76"/>
        <v>1</v>
      </c>
      <c r="T177" s="46" t="str">
        <f t="shared" si="77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78"/>
        <v>https://d0f6bd738d7f1b3e5a7ca70fe4ff75f0.us-east-1.aws.found.io/app/kibana#/discover/Steve-Slow-Train-Analysis-(2080s-and-2083s)?_g=(refreshInterval:(display:Off,pause:!f,section:0,value:0),time:(from:'2017-02-03T09:35:09-0700',mode:absolute,to:'2017-02-03T11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92" t="str">
        <f t="shared" si="79"/>
        <v>N</v>
      </c>
      <c r="X177" s="192">
        <f t="shared" si="80"/>
        <v>1</v>
      </c>
      <c r="Y177" s="62">
        <f t="shared" si="81"/>
        <v>5.8624000000000001</v>
      </c>
      <c r="Z177" s="62">
        <f t="shared" si="82"/>
        <v>7.3099999999999998E-2</v>
      </c>
      <c r="AA177" s="62">
        <f t="shared" si="83"/>
        <v>5.7892999999999999</v>
      </c>
      <c r="AB177" s="59" t="e">
        <f>VLOOKUP(A177,Enforcements!$C$7:$K$16,8,0)</f>
        <v>#N/A</v>
      </c>
      <c r="AC177" s="55" t="e">
        <f>VLOOKUP(A177,Enforcements!$C$7:$E$16,3,0)</f>
        <v>#N/A</v>
      </c>
      <c r="AD177" s="56" t="str">
        <f t="shared" si="84"/>
        <v>0816-03</v>
      </c>
      <c r="AE177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77" s="82" t="str">
        <f t="shared" si="86"/>
        <v>"C:\Program Files (x86)\AstroGrep\AstroGrep.exe" /spath="%USERPROFILE%\AppData\Local\Temp\OnboardLogs" /stypes="app*4019*20170203*" /stext=" 17:.+((SYSTEM_STATE.+slice.+state.+changed )|(ment ac)|(multiple cpu faults)|(system.+state.+changed )|(\[timeout)|(PRM\|1\|D)|(kpr)|(kdp)|(\|lc)|(penalty))" /e /r /s</v>
      </c>
      <c r="AG177" s="1" t="str">
        <f t="shared" si="87"/>
        <v>NW</v>
      </c>
      <c r="AH177" s="86" t="str">
        <f t="shared" si="88"/>
        <v>"%USERPROFILE%\Documents\GitHub\eaglep3\Utilities\RefineRTDCRunTimes.py" --tripid 816-03 --locoid 4019 --swversion DE.1.0.8.0 --startMP 300:58624 --initTime 2017-02-03T10:35:09 --startdatetime 2017-02-03T10:36:49 --delay 0 --endMP 204:731 --enddatetime 2017-02-03T10:55:20 --enforcementcount 1 &gt;&gt;C:\Users\stu\Documents\GitHub\eaglep3-reporting\EC\2017-02-03-refined-times.txt</v>
      </c>
      <c r="AI177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{"issue":{"subject":"","project_id":79,"tracker_id":40,"status_id":1,"priority_id":2,"assigned_to_id":23,"start_date":"2017-02-03","description":"","custom_fields":[{"id":1,"name":"Subdivision","value":"NW"},{"id":4,"name":"Milepost","value":"0.0731"},{"id":17,"name":"Train ID","value":"816-03"},{"id":16,"name":"Locomotive ID","value":"4019"},{"id":130,"name":"Impact","value":""},{"id":150,"name":"Time of Event (Mountain Time)","value":"10:55:20"},{"id":151,"name":"Denver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8" t="str">
        <f t="shared" si="90"/>
        <v>start /low /b %USERPROFILE%\Documents\GitHub\eaglep3\Utilities\DownloadLogsFromS3.py --loco 4019 --day 2017-02-03</v>
      </c>
      <c r="AN177" s="167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178" spans="1:91" x14ac:dyDescent="0.25">
      <c r="A178" s="33" t="s">
        <v>638</v>
      </c>
      <c r="B178" s="7">
        <v>4020</v>
      </c>
      <c r="C178" s="21" t="s">
        <v>193</v>
      </c>
      <c r="D178" s="21" t="s">
        <v>877</v>
      </c>
      <c r="E178" s="13">
        <v>42769.469560185185</v>
      </c>
      <c r="F178" s="13">
        <v>42769.473090277781</v>
      </c>
      <c r="G178" s="7">
        <v>1</v>
      </c>
      <c r="H178" s="21" t="s">
        <v>381</v>
      </c>
      <c r="I178" s="13">
        <v>42769.48228009259</v>
      </c>
      <c r="J178" s="7">
        <v>0</v>
      </c>
      <c r="K178" s="98" t="str">
        <f t="shared" si="73"/>
        <v>4019/4020</v>
      </c>
      <c r="L178" s="21" t="str">
        <f>VLOOKUP(A178,'Trips&amp;Operators'!$C$1:$G$99999,5,FALSE)</f>
        <v>BEAM ROSS</v>
      </c>
      <c r="M178" s="6">
        <f t="shared" si="74"/>
        <v>9.1898148093605414E-3</v>
      </c>
      <c r="N178" s="7">
        <f t="shared" si="75"/>
        <v>13.23333332547918</v>
      </c>
      <c r="O178" s="7"/>
      <c r="P178" s="7"/>
      <c r="Q178" s="22"/>
      <c r="R178" s="22"/>
      <c r="S178" s="31">
        <f t="shared" si="76"/>
        <v>1</v>
      </c>
      <c r="T178" s="46" t="str">
        <f t="shared" si="77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78"/>
        <v>https://d0f6bd738d7f1b3e5a7ca70fe4ff75f0.us-east-1.aws.found.io/app/kibana#/discover/Steve-Slow-Train-Analysis-(2080s-and-2083s)?_g=(refreshInterval:(display:Off,pause:!f,section:0,value:0),time:(from:'2017-02-03T10:16:10-0700',mode:absolute,to:'2017-02-03T12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92" t="str">
        <f t="shared" si="79"/>
        <v>N</v>
      </c>
      <c r="X178" s="192">
        <f t="shared" si="80"/>
        <v>1</v>
      </c>
      <c r="Y178" s="62">
        <f t="shared" si="81"/>
        <v>0.10199999999999999</v>
      </c>
      <c r="Z178" s="62">
        <f t="shared" si="82"/>
        <v>5.8948</v>
      </c>
      <c r="AA178" s="62">
        <f t="shared" si="83"/>
        <v>5.7927999999999997</v>
      </c>
      <c r="AB178" s="59" t="e">
        <f>VLOOKUP(A178,Enforcements!$C$7:$K$16,8,0)</f>
        <v>#N/A</v>
      </c>
      <c r="AC178" s="55" t="e">
        <f>VLOOKUP(A178,Enforcements!$C$7:$E$16,3,0)</f>
        <v>#N/A</v>
      </c>
      <c r="AD178" s="56" t="str">
        <f t="shared" si="84"/>
        <v>0817-03</v>
      </c>
      <c r="AE178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78" s="82" t="str">
        <f t="shared" si="86"/>
        <v>"C:\Program Files (x86)\AstroGrep\AstroGrep.exe" /spath="%USERPROFILE%\AppData\Local\Temp\OnboardLogs" /stypes="app*4020*20170203*" /stext=" 18:.+((SYSTEM_STATE.+slice.+state.+changed )|(ment ac)|(multiple cpu faults)|(system.+state.+changed )|(\[timeout)|(PRM\|1\|D)|(kpr)|(kdp)|(\|lc)|(penalty))" /e /r /s</v>
      </c>
      <c r="AG178" s="1" t="str">
        <f t="shared" si="87"/>
        <v>NW</v>
      </c>
      <c r="AH178" s="86" t="str">
        <f t="shared" si="88"/>
        <v>"%USERPROFILE%\Documents\GitHub\eaglep3\Utilities\RefineRTDCRunTimes.py" --tripid 817-03 --locoid 4020 --swversion DE.1.0.8.0 --startMP 204:1020 --initTime 2017-02-03T11:16:10 --startdatetime 2017-02-03T11:21:15 --delay 1 --endMP 300:58948 --enddatetime 2017-02-03T11:34:29 --enforcementcount 0 &gt;&gt;C:\Users\stu\Documents\GitHub\eaglep3-reporting\EC\2017-02-03-refined-times.txt</v>
      </c>
      <c r="AI178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{"issue":{"subject":"","project_id":79,"tracker_id":40,"status_id":1,"priority_id":2,"assigned_to_id":23,"start_date":"2017-02-03","description":"","custom_fields":[{"id":1,"name":"Subdivision","value":"NW"},{"id":4,"name":"Milepost","value":"5.8948"},{"id":17,"name":"Train ID","value":"817-03"},{"id":16,"name":"Locomotive ID","value":"4020"},{"id":130,"name":"Impact","value":""},{"id":150,"name":"Time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8" t="str">
        <f t="shared" si="90"/>
        <v>start /low /b %USERPROFILE%\Documents\GitHub\eaglep3\Utilities\DownloadLogsFromS3.py --loco 4020 --day 2017-02-03</v>
      </c>
      <c r="AN178" s="167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</row>
    <row r="179" spans="1:91" x14ac:dyDescent="0.25">
      <c r="A179" s="33" t="s">
        <v>641</v>
      </c>
      <c r="B179" s="7">
        <v>4019</v>
      </c>
      <c r="C179" s="21" t="s">
        <v>193</v>
      </c>
      <c r="D179" s="21" t="s">
        <v>878</v>
      </c>
      <c r="E179" s="13">
        <v>42769.48300925926</v>
      </c>
      <c r="F179" s="13">
        <v>42769.485254629632</v>
      </c>
      <c r="G179" s="7">
        <v>1</v>
      </c>
      <c r="H179" s="21" t="s">
        <v>444</v>
      </c>
      <c r="I179" s="13">
        <v>42769.497372685182</v>
      </c>
      <c r="J179" s="7">
        <v>0</v>
      </c>
      <c r="K179" s="98" t="str">
        <f t="shared" si="73"/>
        <v>4019/4020</v>
      </c>
      <c r="L179" s="21" t="str">
        <f>VLOOKUP(A179,'Trips&amp;Operators'!$C$1:$G$99999,5,FALSE)</f>
        <v>BEAM ROSS</v>
      </c>
      <c r="M179" s="6">
        <f t="shared" si="74"/>
        <v>1.211805555067258E-2</v>
      </c>
      <c r="N179" s="7">
        <f t="shared" si="75"/>
        <v>17.449999992968515</v>
      </c>
      <c r="O179" s="7"/>
      <c r="P179" s="7"/>
      <c r="Q179" s="22"/>
      <c r="R179" s="22"/>
      <c r="S179" s="31">
        <f t="shared" si="76"/>
        <v>1</v>
      </c>
      <c r="T179" s="46" t="str">
        <f t="shared" si="77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78"/>
        <v>https://d0f6bd738d7f1b3e5a7ca70fe4ff75f0.us-east-1.aws.found.io/app/kibana#/discover/Steve-Slow-Train-Analysis-(2080s-and-2083s)?_g=(refreshInterval:(display:Off,pause:!f,section:0,value:0),time:(from:'2017-02-03T10:35:32-0700',mode:absolute,to:'2017-02-03T12:56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92" t="str">
        <f t="shared" si="79"/>
        <v>N</v>
      </c>
      <c r="X179" s="192">
        <f t="shared" si="80"/>
        <v>1</v>
      </c>
      <c r="Y179" s="62">
        <f t="shared" si="81"/>
        <v>5.8632</v>
      </c>
      <c r="Z179" s="62">
        <f t="shared" si="82"/>
        <v>7.2700000000000001E-2</v>
      </c>
      <c r="AA179" s="62">
        <f t="shared" si="83"/>
        <v>5.7904999999999998</v>
      </c>
      <c r="AB179" s="59" t="e">
        <f>VLOOKUP(A179,Enforcements!$C$7:$K$16,8,0)</f>
        <v>#N/A</v>
      </c>
      <c r="AC179" s="55" t="e">
        <f>VLOOKUP(A179,Enforcements!$C$7:$E$16,3,0)</f>
        <v>#N/A</v>
      </c>
      <c r="AD179" s="56" t="str">
        <f t="shared" si="84"/>
        <v>0818-03</v>
      </c>
      <c r="AE179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79" s="82" t="str">
        <f t="shared" si="86"/>
        <v>"C:\Program Files (x86)\AstroGrep\AstroGrep.exe" /spath="%USERPROFILE%\AppData\Local\Temp\OnboardLogs" /stypes="app*4019*20170203*" /stext=" 18:.+((SYSTEM_STATE.+slice.+state.+changed )|(ment ac)|(multiple cpu faults)|(system.+state.+changed )|(\[timeout)|(PRM\|1\|D)|(kpr)|(kdp)|(\|lc)|(penalty))" /e /r /s</v>
      </c>
      <c r="AG179" s="1" t="str">
        <f t="shared" si="87"/>
        <v>NW</v>
      </c>
      <c r="AH179" s="86" t="str">
        <f t="shared" si="88"/>
        <v>"%USERPROFILE%\Documents\GitHub\eaglep3\Utilities\RefineRTDCRunTimes.py" --tripid 818-03 --locoid 4019 --swversion DE.1.0.8.0 --startMP 300:58632 --initTime 2017-02-03T11:35:32 --startdatetime 2017-02-03T11:38:46 --delay 1 --endMP 204:727 --enddatetime 2017-02-03T11:56:13 --enforcementcount 0 &gt;&gt;C:\Users\stu\Documents\GitHub\eaglep3-reporting\EC\2017-02-03-refined-times.txt</v>
      </c>
      <c r="AI179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{"issue":{"subject":"","project_id":79,"tracker_id":40,"status_id":1,"priority_id":2,"assigned_to_id":23,"start_date":"2017-02-03","description":"","custom_fields":[{"id":1,"name":"Subdivision","value":"NW"},{"id":4,"name":"Milepost","value":"0.0727"},{"id":17,"name":"Train ID","value":"818-03"},{"id":16,"name":"Locomotive ID","value":"4019"},{"id":130,"name":"Impact","value":""},{"id":150,"name":"Time of Event (Mountain Time)","value":"11:56:13"},{"id":151,"name":"Denver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8" t="str">
        <f t="shared" si="90"/>
        <v>start /low /b %USERPROFILE%\Documents\GitHub\eaglep3\Utilities\DownloadLogsFromS3.py --loco 4019 --day 2017-02-03</v>
      </c>
      <c r="AN179" s="167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180" spans="1:91" s="20" customFormat="1" x14ac:dyDescent="0.25">
      <c r="A180" s="33" t="s">
        <v>651</v>
      </c>
      <c r="B180" s="7">
        <v>4020</v>
      </c>
      <c r="C180" s="21" t="s">
        <v>193</v>
      </c>
      <c r="D180" s="21" t="s">
        <v>879</v>
      </c>
      <c r="E180" s="13">
        <v>42769.507650462961</v>
      </c>
      <c r="F180" s="13">
        <v>42769.514756944445</v>
      </c>
      <c r="G180" s="7">
        <v>1</v>
      </c>
      <c r="H180" s="21" t="s">
        <v>880</v>
      </c>
      <c r="I180" s="13">
        <v>42769.523831018516</v>
      </c>
      <c r="J180" s="7">
        <v>0</v>
      </c>
      <c r="K180" s="98" t="str">
        <f t="shared" si="73"/>
        <v>4019/4020</v>
      </c>
      <c r="L180" s="21" t="str">
        <f>VLOOKUP(A180,'Trips&amp;Operators'!$C$1:$G$99999,5,FALSE)</f>
        <v>BEAM ROSS</v>
      </c>
      <c r="M180" s="6">
        <f t="shared" si="74"/>
        <v>9.074074070667848E-3</v>
      </c>
      <c r="N180" s="7">
        <f t="shared" si="75"/>
        <v>13.066666661761701</v>
      </c>
      <c r="O180" s="7"/>
      <c r="P180" s="7"/>
      <c r="Q180" s="22"/>
      <c r="R180" s="22"/>
      <c r="S180" s="31">
        <f t="shared" si="76"/>
        <v>1</v>
      </c>
      <c r="T180" s="46" t="str">
        <f t="shared" si="77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78"/>
        <v>https://d0f6bd738d7f1b3e5a7ca70fe4ff75f0.us-east-1.aws.found.io/app/kibana#/discover/Steve-Slow-Train-Analysis-(2080s-and-2083s)?_g=(refreshInterval:(display:Off,pause:!f,section:0,value:0),time:(from:'2017-02-03T11:11:01-0700',mode:absolute,to:'2017-02-03T13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92" t="str">
        <f t="shared" si="79"/>
        <v>N</v>
      </c>
      <c r="X180" s="192">
        <f t="shared" si="80"/>
        <v>1</v>
      </c>
      <c r="Y180" s="62">
        <f t="shared" si="81"/>
        <v>0.1018</v>
      </c>
      <c r="Z180" s="62">
        <f t="shared" si="82"/>
        <v>5.8968999999999996</v>
      </c>
      <c r="AA180" s="62">
        <f t="shared" si="83"/>
        <v>5.7950999999999997</v>
      </c>
      <c r="AB180" s="59" t="e">
        <f>VLOOKUP(A180,Enforcements!$C$7:$K$16,8,0)</f>
        <v>#N/A</v>
      </c>
      <c r="AC180" s="55" t="e">
        <f>VLOOKUP(A180,Enforcements!$C$7:$E$16,3,0)</f>
        <v>#N/A</v>
      </c>
      <c r="AD180" s="56" t="str">
        <f t="shared" si="84"/>
        <v>0819-03</v>
      </c>
      <c r="AE180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80" s="82" t="str">
        <f t="shared" si="86"/>
        <v>"C:\Program Files (x86)\AstroGrep\AstroGrep.exe" /spath="%USERPROFILE%\AppData\Local\Temp\OnboardLogs" /stypes="app*4020*20170203*" /stext=" 19:.+((SYSTEM_STATE.+slice.+state.+changed )|(ment ac)|(multiple cpu faults)|(system.+state.+changed )|(\[timeout)|(PRM\|1\|D)|(kpr)|(kdp)|(\|lc)|(penalty))" /e /r /s</v>
      </c>
      <c r="AG180" s="1" t="str">
        <f t="shared" si="87"/>
        <v>NW</v>
      </c>
      <c r="AH180" s="86" t="str">
        <f t="shared" si="88"/>
        <v>"%USERPROFILE%\Documents\GitHub\eaglep3\Utilities\RefineRTDCRunTimes.py" --tripid 819-03 --locoid 4020 --swversion DE.1.0.8.0 --startMP 204:1018 --initTime 2017-02-03T12:11:01 --startdatetime 2017-02-03T12:21:15 --delay 1 --endMP 300:58969 --enddatetime 2017-02-03T12:34:19 --enforcementcount 0 &gt;&gt;C:\Users\stu\Documents\GitHub\eaglep3-reporting\EC\2017-02-03-refined-times.txt</v>
      </c>
      <c r="AI180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{"issue":{"subject":"","project_id":79,"tracker_id":40,"status_id":1,"priority_id":2,"assigned_to_id":23,"start_date":"2017-02-03","description":"","custom_fields":[{"id":1,"name":"Subdivision","value":"NW"},{"id":4,"name":"Milepost","value":"5.8969"},{"id":17,"name":"Train ID","value":"819-03"},{"id":16,"name":"Locomotive ID","value":"4020"},{"id":130,"name":"Impact","value":""},{"id":150,"name":"Time of Event (Mountain Time)","value":"12:34:19"},{"id":151,"name":"Denver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8" t="str">
        <f t="shared" si="90"/>
        <v>start /low /b %USERPROFILE%\Documents\GitHub\eaglep3\Utilities\DownloadLogsFromS3.py --loco 4020 --day 2017-02-03</v>
      </c>
      <c r="AN180" s="167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653</v>
      </c>
      <c r="B181" s="7">
        <v>4019</v>
      </c>
      <c r="C181" s="21" t="s">
        <v>193</v>
      </c>
      <c r="D181" s="21" t="s">
        <v>432</v>
      </c>
      <c r="E181" s="13">
        <v>42769.524687500001</v>
      </c>
      <c r="F181" s="13">
        <v>42769.525810185187</v>
      </c>
      <c r="G181" s="7">
        <v>0</v>
      </c>
      <c r="H181" s="21" t="s">
        <v>881</v>
      </c>
      <c r="I181" s="13">
        <v>42769.537939814814</v>
      </c>
      <c r="J181" s="7">
        <v>0</v>
      </c>
      <c r="K181" s="98" t="str">
        <f t="shared" si="73"/>
        <v>4019/4020</v>
      </c>
      <c r="L181" s="21" t="str">
        <f>VLOOKUP(A181,'Trips&amp;Operators'!$C$1:$G$99999,5,FALSE)</f>
        <v>BEAM ROSS</v>
      </c>
      <c r="M181" s="6">
        <f t="shared" si="74"/>
        <v>1.2129629627452232E-2</v>
      </c>
      <c r="N181" s="7">
        <f t="shared" si="75"/>
        <v>17.466666663531214</v>
      </c>
      <c r="O181" s="7"/>
      <c r="P181" s="7"/>
      <c r="Q181" s="22"/>
      <c r="R181" s="22"/>
      <c r="S181" s="31">
        <f t="shared" si="76"/>
        <v>1</v>
      </c>
      <c r="T181" s="46" t="str">
        <f t="shared" si="77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78"/>
        <v>https://d0f6bd738d7f1b3e5a7ca70fe4ff75f0.us-east-1.aws.found.io/app/kibana#/discover/Steve-Slow-Train-Analysis-(2080s-and-2083s)?_g=(refreshInterval:(display:Off,pause:!f,section:0,value:0),time:(from:'2017-02-03T11:35:33-0700',mode:absolute,to:'2017-02-03T13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92" t="str">
        <f t="shared" si="79"/>
        <v>N</v>
      </c>
      <c r="X181" s="192">
        <f t="shared" si="80"/>
        <v>1</v>
      </c>
      <c r="Y181" s="62">
        <f t="shared" si="81"/>
        <v>5.8655999999999997</v>
      </c>
      <c r="Z181" s="62">
        <f t="shared" si="82"/>
        <v>7.1900000000000006E-2</v>
      </c>
      <c r="AA181" s="62">
        <f t="shared" si="83"/>
        <v>5.7936999999999994</v>
      </c>
      <c r="AB181" s="59" t="e">
        <f>VLOOKUP(A181,Enforcements!$C$7:$K$16,8,0)</f>
        <v>#N/A</v>
      </c>
      <c r="AC181" s="55" t="e">
        <f>VLOOKUP(A181,Enforcements!$C$7:$E$16,3,0)</f>
        <v>#N/A</v>
      </c>
      <c r="AD181" s="56" t="str">
        <f t="shared" si="84"/>
        <v>0820-03</v>
      </c>
      <c r="AE181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81" s="82" t="str">
        <f t="shared" si="86"/>
        <v>"C:\Program Files (x86)\AstroGrep\AstroGrep.exe" /spath="%USERPROFILE%\AppData\Local\Temp\OnboardLogs" /stypes="app*4019*20170203*" /stext=" 19:.+((SYSTEM_STATE.+slice.+state.+changed )|(ment ac)|(multiple cpu faults)|(system.+state.+changed )|(\[timeout)|(PRM\|1\|D)|(kpr)|(kdp)|(\|lc)|(penalty))" /e /r /s</v>
      </c>
      <c r="AG181" s="1" t="str">
        <f t="shared" si="87"/>
        <v>NW</v>
      </c>
      <c r="AH181" s="86" t="str">
        <f t="shared" si="88"/>
        <v>"%USERPROFILE%\Documents\GitHub\eaglep3\Utilities\RefineRTDCRunTimes.py" --tripid 820-03 --locoid 4019 --swversion DE.1.0.8.0 --startMP 300:58656 --initTime 2017-02-03T12:35:33 --startdatetime 2017-02-03T12:37:10 --delay 0 --endMP 204:719 --enddatetime 2017-02-03T12:54:38 --enforcementcount 0 &gt;&gt;C:\Users\stu\Documents\GitHub\eaglep3-reporting\EC\2017-02-03-refined-times.txt</v>
      </c>
      <c r="AI181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{"issue":{"subject":"","project_id":79,"tracker_id":40,"status_id":1,"priority_id":2,"assigned_to_id":23,"start_date":"2017-02-03","description":"","custom_fields":[{"id":1,"name":"Subdivision","value":"NW"},{"id":4,"name":"Milepost","value":"0.0719"},{"id":17,"name":"Train ID","value":"820-03"},{"id":16,"name":"Locomotive ID","value":"4019"},{"id":130,"name":"Impact","value":""},{"id":150,"name":"Time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8" t="str">
        <f t="shared" si="90"/>
        <v>start /low /b %USERPROFILE%\Documents\GitHub\eaglep3\Utilities\DownloadLogsFromS3.py --loco 4019 --day 2017-02-03</v>
      </c>
      <c r="AN181" s="167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182" spans="1:91" x14ac:dyDescent="0.25">
      <c r="A182" s="33" t="s">
        <v>544</v>
      </c>
      <c r="B182" s="7">
        <v>4020</v>
      </c>
      <c r="C182" s="21" t="s">
        <v>193</v>
      </c>
      <c r="D182" s="21" t="s">
        <v>882</v>
      </c>
      <c r="E182" s="13">
        <v>42769.543645833335</v>
      </c>
      <c r="F182" s="13">
        <v>42769.556446759256</v>
      </c>
      <c r="G182" s="7">
        <v>1</v>
      </c>
      <c r="H182" s="21" t="s">
        <v>447</v>
      </c>
      <c r="I182" s="13">
        <v>42769.567314814813</v>
      </c>
      <c r="J182" s="7">
        <v>1</v>
      </c>
      <c r="K182" s="98" t="str">
        <f t="shared" si="73"/>
        <v>4019/4020</v>
      </c>
      <c r="L182" s="21" t="str">
        <f>VLOOKUP(A182,'Trips&amp;Operators'!$C$1:$G$99999,5,FALSE)</f>
        <v>LEVERE CRAIG</v>
      </c>
      <c r="M182" s="6">
        <f t="shared" si="74"/>
        <v>1.0868055556784384E-2</v>
      </c>
      <c r="N182" s="7">
        <f t="shared" si="75"/>
        <v>15.650000001769513</v>
      </c>
      <c r="O182" s="7"/>
      <c r="P182" s="7"/>
      <c r="Q182" s="22"/>
      <c r="R182" s="22"/>
      <c r="S182" s="31">
        <f t="shared" si="76"/>
        <v>1</v>
      </c>
      <c r="T182" s="46" t="str">
        <f t="shared" si="77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78"/>
        <v>https://d0f6bd738d7f1b3e5a7ca70fe4ff75f0.us-east-1.aws.found.io/app/kibana#/discover/Steve-Slow-Train-Analysis-(2080s-and-2083s)?_g=(refreshInterval:(display:Off,pause:!f,section:0,value:0),time:(from:'2017-02-03T12:02:51-0700',mode:absolute,to:'2017-02-03T14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92" t="str">
        <f t="shared" si="79"/>
        <v>N</v>
      </c>
      <c r="X182" s="192">
        <f t="shared" si="80"/>
        <v>1</v>
      </c>
      <c r="Y182" s="62">
        <f t="shared" si="81"/>
        <v>0.10059999999999999</v>
      </c>
      <c r="Z182" s="62">
        <f t="shared" si="82"/>
        <v>5.8958000000000004</v>
      </c>
      <c r="AA182" s="62">
        <f t="shared" si="83"/>
        <v>5.7952000000000004</v>
      </c>
      <c r="AB182" s="59" t="e">
        <f>VLOOKUP(A182,Enforcements!$C$7:$K$16,8,0)</f>
        <v>#N/A</v>
      </c>
      <c r="AC182" s="55" t="e">
        <f>VLOOKUP(A182,Enforcements!$C$7:$E$16,3,0)</f>
        <v>#N/A</v>
      </c>
      <c r="AD182" s="56" t="str">
        <f t="shared" si="84"/>
        <v>0821-03</v>
      </c>
      <c r="AE182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82" s="82" t="str">
        <f t="shared" si="86"/>
        <v>"C:\Program Files (x86)\AstroGrep\AstroGrep.exe" /spath="%USERPROFILE%\AppData\Local\Temp\OnboardLogs" /stypes="app*4020*20170203*" /stext=" 20:.+((SYSTEM_STATE.+slice.+state.+changed )|(ment ac)|(multiple cpu faults)|(system.+state.+changed )|(\[timeout)|(PRM\|1\|D)|(kpr)|(kdp)|(\|lc)|(penalty))" /e /r /s</v>
      </c>
      <c r="AG182" s="1" t="str">
        <f t="shared" si="87"/>
        <v>NW</v>
      </c>
      <c r="AH182" s="86" t="str">
        <f t="shared" si="88"/>
        <v>"%USERPROFILE%\Documents\GitHub\eaglep3\Utilities\RefineRTDCRunTimes.py" --tripid 821-03 --locoid 4020 --swversion DE.1.0.8.0 --startMP 204:1006 --initTime 2017-02-03T13:02:51 --startdatetime 2017-02-03T13:21:17 --delay 1 --endMP 300:58958 --enddatetime 2017-02-03T13:36:56 --enforcementcount 1 &gt;&gt;C:\Users\stu\Documents\GitHub\eaglep3-reporting\EC\2017-02-03-refined-times.txt</v>
      </c>
      <c r="AI182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{"issue":{"subject":"","project_id":79,"tracker_id":40,"status_id":1,"priority_id":2,"assigned_to_id":23,"start_date":"2017-02-03","description":"","custom_fields":[{"id":1,"name":"Subdivision","value":"NW"},{"id":4,"name":"Milepost","value":"5.8958"},{"id":17,"name":"Train ID","value":"821-03"},{"id":16,"name":"Locomotive ID","value":"4020"},{"id":130,"name":"Impact","value":""},{"id":150,"name":"Time of Event (Mountain Time)","value":"13:36:56"},{"id":151,"name":"Denver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8" t="str">
        <f t="shared" si="90"/>
        <v>start /low /b %USERPROFILE%\Documents\GitHub\eaglep3\Utilities\DownloadLogsFromS3.py --loco 4020 --day 2017-02-03</v>
      </c>
      <c r="AN182" s="167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</row>
    <row r="183" spans="1:91" x14ac:dyDescent="0.25">
      <c r="A183" s="33" t="s">
        <v>662</v>
      </c>
      <c r="B183" s="7">
        <v>4019</v>
      </c>
      <c r="C183" s="21" t="s">
        <v>193</v>
      </c>
      <c r="D183" s="21" t="s">
        <v>445</v>
      </c>
      <c r="E183" s="13">
        <v>42769.568414351852</v>
      </c>
      <c r="F183" s="13">
        <v>42769.569849537038</v>
      </c>
      <c r="G183" s="7">
        <v>1</v>
      </c>
      <c r="H183" s="21" t="s">
        <v>883</v>
      </c>
      <c r="I183" s="13">
        <v>42769.58021990741</v>
      </c>
      <c r="J183" s="7">
        <v>0</v>
      </c>
      <c r="K183" s="98" t="str">
        <f t="shared" si="73"/>
        <v>4019/4020</v>
      </c>
      <c r="L183" s="21" t="str">
        <f>VLOOKUP(A183,'Trips&amp;Operators'!$C$1:$G$99999,5,FALSE)</f>
        <v>LEVERE CRAIG</v>
      </c>
      <c r="M183" s="6">
        <f t="shared" si="74"/>
        <v>1.0370370371674653E-2</v>
      </c>
      <c r="N183" s="7">
        <f t="shared" si="75"/>
        <v>14.933333335211501</v>
      </c>
      <c r="O183" s="7"/>
      <c r="P183" s="7"/>
      <c r="Q183" s="22"/>
      <c r="R183" s="22"/>
      <c r="S183" s="31">
        <f t="shared" si="76"/>
        <v>1</v>
      </c>
      <c r="T183" s="46" t="str">
        <f t="shared" si="77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78"/>
        <v>https://d0f6bd738d7f1b3e5a7ca70fe4ff75f0.us-east-1.aws.found.io/app/kibana#/discover/Steve-Slow-Train-Analysis-(2080s-and-2083s)?_g=(refreshInterval:(display:Off,pause:!f,section:0,value:0),time:(from:'2017-02-03T12:38:31-0700',mode:absolute,to:'2017-02-03T14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92" t="str">
        <f t="shared" si="79"/>
        <v>N</v>
      </c>
      <c r="X183" s="192">
        <f t="shared" si="80"/>
        <v>1</v>
      </c>
      <c r="Y183" s="62">
        <f t="shared" si="81"/>
        <v>5.8639999999999999</v>
      </c>
      <c r="Z183" s="62">
        <f t="shared" si="82"/>
        <v>6.9199999999999998E-2</v>
      </c>
      <c r="AA183" s="62">
        <f t="shared" si="83"/>
        <v>5.7947999999999995</v>
      </c>
      <c r="AB183" s="59" t="e">
        <f>VLOOKUP(A183,Enforcements!$C$7:$K$16,8,0)</f>
        <v>#N/A</v>
      </c>
      <c r="AC183" s="55" t="e">
        <f>VLOOKUP(A183,Enforcements!$C$7:$E$16,3,0)</f>
        <v>#N/A</v>
      </c>
      <c r="AD183" s="56" t="str">
        <f t="shared" si="84"/>
        <v>0822-03</v>
      </c>
      <c r="AE183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83" s="82" t="str">
        <f t="shared" si="86"/>
        <v>"C:\Program Files (x86)\AstroGrep\AstroGrep.exe" /spath="%USERPROFILE%\AppData\Local\Temp\OnboardLogs" /stypes="app*4019*20170203*" /stext=" 20:.+((SYSTEM_STATE.+slice.+state.+changed )|(ment ac)|(multiple cpu faults)|(system.+state.+changed )|(\[timeout)|(PRM\|1\|D)|(kpr)|(kdp)|(\|lc)|(penalty))" /e /r /s</v>
      </c>
      <c r="AG183" s="1" t="str">
        <f t="shared" si="87"/>
        <v>NW</v>
      </c>
      <c r="AH183" s="86" t="str">
        <f t="shared" si="88"/>
        <v>"%USERPROFILE%\Documents\GitHub\eaglep3\Utilities\RefineRTDCRunTimes.py" --tripid 822-03 --locoid 4019 --swversion DE.1.0.8.0 --startMP 300:58640 --initTime 2017-02-03T13:38:31 --startdatetime 2017-02-03T13:40:35 --delay 1 --endMP 204:692 --enddatetime 2017-02-03T13:55:31 --enforcementcount 0 &gt;&gt;C:\Users\stu\Documents\GitHub\eaglep3-reporting\EC\2017-02-03-refined-times.txt</v>
      </c>
      <c r="AI183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{"issue":{"subject":"","project_id":79,"tracker_id":40,"status_id":1,"priority_id":2,"assigned_to_id":23,"start_date":"2017-02-03","description":"","custom_fields":[{"id":1,"name":"Subdivision","value":"NW"},{"id":4,"name":"Milepost","value":"0.0692"},{"id":17,"name":"Train ID","value":"822-03"},{"id":16,"name":"Locomotive ID","value":"4019"},{"id":130,"name":"Impact","value":""},{"id":150,"name":"Time of Event (Mountain Time)","value":"13:55:31"},{"id":151,"name":"Denver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8" t="str">
        <f t="shared" si="90"/>
        <v>start /low /b %USERPROFILE%\Documents\GitHub\eaglep3\Utilities\DownloadLogsFromS3.py --loco 4019 --day 2017-02-03</v>
      </c>
      <c r="AN183" s="167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184" spans="1:91" s="20" customFormat="1" x14ac:dyDescent="0.25">
      <c r="A184" s="33" t="s">
        <v>668</v>
      </c>
      <c r="B184" s="7">
        <v>4020</v>
      </c>
      <c r="C184" s="21" t="s">
        <v>193</v>
      </c>
      <c r="D184" s="21" t="s">
        <v>446</v>
      </c>
      <c r="E184" s="13">
        <v>42769.590324074074</v>
      </c>
      <c r="F184" s="13">
        <v>42769.598240740743</v>
      </c>
      <c r="G184" s="7">
        <v>1</v>
      </c>
      <c r="H184" s="21" t="s">
        <v>447</v>
      </c>
      <c r="I184" s="13">
        <v>42769.607557870368</v>
      </c>
      <c r="J184" s="7">
        <v>0</v>
      </c>
      <c r="K184" s="98" t="str">
        <f t="shared" si="73"/>
        <v>4019/4020</v>
      </c>
      <c r="L184" s="21" t="str">
        <f>VLOOKUP(A184,'Trips&amp;Operators'!$C$1:$G$99999,5,FALSE)</f>
        <v>LEVERE CRAIG</v>
      </c>
      <c r="M184" s="6">
        <f t="shared" si="74"/>
        <v>9.3171296248328872E-3</v>
      </c>
      <c r="N184" s="7">
        <f t="shared" si="75"/>
        <v>13.416666659759358</v>
      </c>
      <c r="O184" s="7"/>
      <c r="P184" s="7"/>
      <c r="Q184" s="22"/>
      <c r="R184" s="22"/>
      <c r="S184" s="31">
        <f t="shared" si="76"/>
        <v>1</v>
      </c>
      <c r="T184" s="46" t="str">
        <f t="shared" si="77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78"/>
        <v>https://d0f6bd738d7f1b3e5a7ca70fe4ff75f0.us-east-1.aws.found.io/app/kibana#/discover/Steve-Slow-Train-Analysis-(2080s-and-2083s)?_g=(refreshInterval:(display:Off,pause:!f,section:0,value:0),time:(from:'2017-02-03T13:10:04-0700',mode:absolute,to:'2017-02-03T15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92" t="str">
        <f t="shared" si="79"/>
        <v>N</v>
      </c>
      <c r="X184" s="192">
        <f t="shared" si="80"/>
        <v>1</v>
      </c>
      <c r="Y184" s="62">
        <f t="shared" si="81"/>
        <v>9.8500000000000004E-2</v>
      </c>
      <c r="Z184" s="62">
        <f t="shared" si="82"/>
        <v>5.8958000000000004</v>
      </c>
      <c r="AA184" s="62">
        <f t="shared" si="83"/>
        <v>5.7973000000000008</v>
      </c>
      <c r="AB184" s="59" t="e">
        <f>VLOOKUP(A184,Enforcements!$C$7:$K$16,8,0)</f>
        <v>#N/A</v>
      </c>
      <c r="AC184" s="55" t="e">
        <f>VLOOKUP(A184,Enforcements!$C$7:$E$16,3,0)</f>
        <v>#N/A</v>
      </c>
      <c r="AD184" s="56" t="str">
        <f t="shared" si="84"/>
        <v>0823-03</v>
      </c>
      <c r="AE184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84" s="82" t="str">
        <f t="shared" si="86"/>
        <v>"C:\Program Files (x86)\AstroGrep\AstroGrep.exe" /spath="%USERPROFILE%\AppData\Local\Temp\OnboardLogs" /stypes="app*4020*20170203*" /stext=" 21:.+((SYSTEM_STATE.+slice.+state.+changed )|(ment ac)|(multiple cpu faults)|(system.+state.+changed )|(\[timeout)|(PRM\|1\|D)|(kpr)|(kdp)|(\|lc)|(penalty))" /e /r /s</v>
      </c>
      <c r="AG184" s="1" t="str">
        <f t="shared" si="87"/>
        <v>NW</v>
      </c>
      <c r="AH184" s="86" t="str">
        <f t="shared" si="88"/>
        <v>"%USERPROFILE%\Documents\GitHub\eaglep3\Utilities\RefineRTDCRunTimes.py" --tripid 823-03 --locoid 4020 --swversion DE.1.0.8.0 --startMP 204:985 --initTime 2017-02-03T14:10:04 --startdatetime 2017-02-03T14:21:28 --delay 1 --endMP 300:58958 --enddatetime 2017-02-03T14:34:53 --enforcementcount 0 &gt;&gt;C:\Users\stu\Documents\GitHub\eaglep3-reporting\EC\2017-02-03-refined-times.txt</v>
      </c>
      <c r="AI184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{"issue":{"subject":"","project_id":79,"tracker_id":40,"status_id":1,"priority_id":2,"assigned_to_id":23,"start_date":"2017-02-03","description":"","custom_fields":[{"id":1,"name":"Subdivision","value":"NW"},{"id":4,"name":"Milepost","value":"5.8958"},{"id":17,"name":"Train ID","value":"823-03"},{"id":16,"name":"Locomotive ID","value":"4020"},{"id":130,"name":"Impact","value":""},{"id":150,"name":"Time of Event (Mountain Time)","value":"14:34:53"},{"id":151,"name":"Denver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8" t="str">
        <f t="shared" si="90"/>
        <v>start /low /b %USERPROFILE%\Documents\GitHub\eaglep3\Utilities\DownloadLogsFromS3.py --loco 4020 --day 2017-02-03</v>
      </c>
      <c r="AN184" s="167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670</v>
      </c>
      <c r="B185" s="7">
        <v>4019</v>
      </c>
      <c r="C185" s="21" t="s">
        <v>193</v>
      </c>
      <c r="D185" s="21" t="s">
        <v>884</v>
      </c>
      <c r="E185" s="13">
        <v>42769.608564814815</v>
      </c>
      <c r="F185" s="13">
        <v>42769.609918981485</v>
      </c>
      <c r="G185" s="7">
        <v>1</v>
      </c>
      <c r="H185" s="21" t="s">
        <v>856</v>
      </c>
      <c r="I185" s="13">
        <v>42769.621770833335</v>
      </c>
      <c r="J185" s="7">
        <v>0</v>
      </c>
      <c r="K185" s="98" t="str">
        <f t="shared" si="73"/>
        <v>4019/4020</v>
      </c>
      <c r="L185" s="21" t="str">
        <f>VLOOKUP(A185,'Trips&amp;Operators'!$C$1:$G$99999,5,FALSE)</f>
        <v>LEVERE CRAIG</v>
      </c>
      <c r="M185" s="6">
        <f t="shared" si="74"/>
        <v>1.1851851850224193E-2</v>
      </c>
      <c r="N185" s="7">
        <f t="shared" si="75"/>
        <v>17.066666664322838</v>
      </c>
      <c r="O185" s="7"/>
      <c r="P185" s="7"/>
      <c r="Q185" s="22"/>
      <c r="R185" s="22"/>
      <c r="S185" s="31">
        <f t="shared" si="76"/>
        <v>1</v>
      </c>
      <c r="T185" s="46" t="str">
        <f t="shared" si="77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78"/>
        <v>https://d0f6bd738d7f1b3e5a7ca70fe4ff75f0.us-east-1.aws.found.io/app/kibana#/discover/Steve-Slow-Train-Analysis-(2080s-and-2083s)?_g=(refreshInterval:(display:Off,pause:!f,section:0,value:0),time:(from:'2017-02-03T13:36:20-0700',mode:absolute,to:'2017-02-03T15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92" t="str">
        <f t="shared" si="79"/>
        <v>N</v>
      </c>
      <c r="X185" s="192">
        <f t="shared" si="80"/>
        <v>1</v>
      </c>
      <c r="Y185" s="62">
        <f t="shared" si="81"/>
        <v>5.8640999999999996</v>
      </c>
      <c r="Z185" s="62">
        <f t="shared" si="82"/>
        <v>6.7299999999999999E-2</v>
      </c>
      <c r="AA185" s="62">
        <f t="shared" si="83"/>
        <v>5.7967999999999993</v>
      </c>
      <c r="AB185" s="59" t="e">
        <f>VLOOKUP(A185,Enforcements!$C$7:$K$16,8,0)</f>
        <v>#N/A</v>
      </c>
      <c r="AC185" s="55" t="e">
        <f>VLOOKUP(A185,Enforcements!$C$7:$E$16,3,0)</f>
        <v>#N/A</v>
      </c>
      <c r="AD185" s="56" t="str">
        <f t="shared" si="84"/>
        <v>0824-03</v>
      </c>
      <c r="AE185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85" s="82" t="str">
        <f t="shared" si="86"/>
        <v>"C:\Program Files (x86)\AstroGrep\AstroGrep.exe" /spath="%USERPROFILE%\AppData\Local\Temp\OnboardLogs" /stypes="app*4019*20170203*" /stext=" 21:.+((SYSTEM_STATE.+slice.+state.+changed )|(ment ac)|(multiple cpu faults)|(system.+state.+changed )|(\[timeout)|(PRM\|1\|D)|(kpr)|(kdp)|(\|lc)|(penalty))" /e /r /s</v>
      </c>
      <c r="AG185" s="1" t="str">
        <f t="shared" si="87"/>
        <v>NW</v>
      </c>
      <c r="AH185" s="86" t="str">
        <f t="shared" si="88"/>
        <v>"%USERPROFILE%\Documents\GitHub\eaglep3\Utilities\RefineRTDCRunTimes.py" --tripid 824-03 --locoid 4019 --swversion DE.1.0.8.0 --startMP 300:58641 --initTime 2017-02-03T14:36:20 --startdatetime 2017-02-03T14:38:17 --delay 1 --endMP 204:673 --enddatetime 2017-02-03T14:55:21 --enforcementcount 0 &gt;&gt;C:\Users\stu\Documents\GitHub\eaglep3-reporting\EC\2017-02-03-refined-times.txt</v>
      </c>
      <c r="AI185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{"issue":{"subject":"","project_id":79,"tracker_id":40,"status_id":1,"priority_id":2,"assigned_to_id":23,"start_date":"2017-02-03","description":"","custom_fields":[{"id":1,"name":"Subdivision","value":"NW"},{"id":4,"name":"Milepost","value":"0.0673"},{"id":17,"name":"Train ID","value":"824-03"},{"id":16,"name":"Locomotive ID","value":"4019"},{"id":130,"name":"Impact","value":""},{"id":150,"name":"Time of Event (Mountain Time)","value":"14:55:21"},{"id":151,"name":"Denver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8" t="str">
        <f t="shared" si="90"/>
        <v>start /low /b %USERPROFILE%\Documents\GitHub\eaglep3\Utilities\DownloadLogsFromS3.py --loco 4019 --day 2017-02-03</v>
      </c>
      <c r="AN185" s="167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186" spans="1:91" x14ac:dyDescent="0.25">
      <c r="A186" s="33" t="s">
        <v>676</v>
      </c>
      <c r="B186" s="7">
        <v>4020</v>
      </c>
      <c r="C186" s="21" t="s">
        <v>193</v>
      </c>
      <c r="D186" s="21" t="s">
        <v>885</v>
      </c>
      <c r="E186" s="13">
        <v>42769.629305555558</v>
      </c>
      <c r="F186" s="13">
        <v>42769.639780092592</v>
      </c>
      <c r="G186" s="7">
        <v>1</v>
      </c>
      <c r="H186" s="21" t="s">
        <v>380</v>
      </c>
      <c r="I186" s="13">
        <v>42769.649224537039</v>
      </c>
      <c r="J186" s="7">
        <v>0</v>
      </c>
      <c r="K186" s="98" t="str">
        <f t="shared" si="73"/>
        <v>4019/4020</v>
      </c>
      <c r="L186" s="21" t="str">
        <f>VLOOKUP(A186,'Trips&amp;Operators'!$C$1:$G$99999,5,FALSE)</f>
        <v>LEVERE CRAIG</v>
      </c>
      <c r="M186" s="6">
        <f t="shared" si="74"/>
        <v>9.4444444475811906E-3</v>
      </c>
      <c r="N186" s="7">
        <f t="shared" si="75"/>
        <v>13.600000004516914</v>
      </c>
      <c r="O186" s="7"/>
      <c r="P186" s="7"/>
      <c r="Q186" s="22"/>
      <c r="R186" s="22"/>
      <c r="S186" s="31">
        <f t="shared" si="76"/>
        <v>1</v>
      </c>
      <c r="T186" s="46" t="str">
        <f t="shared" si="77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78"/>
        <v>https://d0f6bd738d7f1b3e5a7ca70fe4ff75f0.us-east-1.aws.found.io/app/kibana#/discover/Steve-Slow-Train-Analysis-(2080s-and-2083s)?_g=(refreshInterval:(display:Off,pause:!f,section:0,value:0),time:(from:'2017-02-03T14:06:12-0700',mode:absolute,to:'2017-02-03T16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6" s="192" t="str">
        <f t="shared" si="79"/>
        <v>N</v>
      </c>
      <c r="X186" s="192">
        <f t="shared" si="80"/>
        <v>1</v>
      </c>
      <c r="Y186" s="62">
        <f t="shared" si="81"/>
        <v>9.8799999999999999E-2</v>
      </c>
      <c r="Z186" s="62">
        <f t="shared" si="82"/>
        <v>5.8954000000000004</v>
      </c>
      <c r="AA186" s="62">
        <f t="shared" si="83"/>
        <v>5.7966000000000006</v>
      </c>
      <c r="AB186" s="59" t="e">
        <f>VLOOKUP(A186,Enforcements!$C$7:$K$16,8,0)</f>
        <v>#N/A</v>
      </c>
      <c r="AC186" s="55" t="e">
        <f>VLOOKUP(A186,Enforcements!$C$7:$E$16,3,0)</f>
        <v>#N/A</v>
      </c>
      <c r="AD186" s="56" t="str">
        <f t="shared" si="84"/>
        <v>0825-03</v>
      </c>
      <c r="AE186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86" s="82" t="str">
        <f t="shared" si="86"/>
        <v>"C:\Program Files (x86)\AstroGrep\AstroGrep.exe" /spath="%USERPROFILE%\AppData\Local\Temp\OnboardLogs" /stypes="app*4020*20170203*" /stext=" 22:.+((SYSTEM_STATE.+slice.+state.+changed )|(ment ac)|(multiple cpu faults)|(system.+state.+changed )|(\[timeout)|(PRM\|1\|D)|(kpr)|(kdp)|(\|lc)|(penalty))" /e /r /s</v>
      </c>
      <c r="AG186" s="1" t="str">
        <f t="shared" si="87"/>
        <v>NW</v>
      </c>
      <c r="AH186" s="86" t="str">
        <f t="shared" si="88"/>
        <v>"%USERPROFILE%\Documents\GitHub\eaglep3\Utilities\RefineRTDCRunTimes.py" --tripid 825-03 --locoid 4020 --swversion DE.1.0.8.0 --startMP 204:988 --initTime 2017-02-03T15:06:12 --startdatetime 2017-02-03T15:21:17 --delay 1 --endMP 300:58954 --enddatetime 2017-02-03T15:34:53 --enforcementcount 0 &gt;&gt;C:\Users\stu\Documents\GitHub\eaglep3-reporting\EC\2017-02-03-refined-times.txt</v>
      </c>
      <c r="AI186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{"issue":{"subject":"","project_id":79,"tracker_id":40,"status_id":1,"priority_id":2,"assigned_to_id":23,"start_date":"2017-02-03","description":"","custom_fields":[{"id":1,"name":"Subdivision","value":"NW"},{"id":4,"name":"Milepost","value":"5.8954"},{"id":17,"name":"Train ID","value":"825-03"},{"id":16,"name":"Locomotive ID","value":"4020"},{"id":130,"name":"Impact","value":""},{"id":150,"name":"Time of Event (Mountain Time)","value":"15:34:53"},{"id":151,"name":"Denver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8" t="str">
        <f t="shared" si="90"/>
        <v>start /low /b %USERPROFILE%\Documents\GitHub\eaglep3\Utilities\DownloadLogsFromS3.py --loco 4020 --day 2017-02-03</v>
      </c>
      <c r="AN186" s="167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</row>
    <row r="187" spans="1:91" x14ac:dyDescent="0.25">
      <c r="A187" s="33" t="s">
        <v>685</v>
      </c>
      <c r="B187" s="7">
        <v>4019</v>
      </c>
      <c r="C187" s="21" t="s">
        <v>193</v>
      </c>
      <c r="D187" s="21" t="s">
        <v>436</v>
      </c>
      <c r="E187" s="13">
        <v>42769.650358796294</v>
      </c>
      <c r="F187" s="13">
        <v>42769.651689814818</v>
      </c>
      <c r="G187" s="7">
        <v>1</v>
      </c>
      <c r="H187" s="21" t="s">
        <v>886</v>
      </c>
      <c r="I187" s="13">
        <v>42769.664236111108</v>
      </c>
      <c r="J187" s="7">
        <v>0</v>
      </c>
      <c r="K187" s="98" t="str">
        <f t="shared" si="73"/>
        <v>4019/4020</v>
      </c>
      <c r="L187" s="21" t="str">
        <f>VLOOKUP(A187,'Trips&amp;Operators'!$C$1:$G$99999,5,FALSE)</f>
        <v>LEVERE CRAIG</v>
      </c>
      <c r="M187" s="6">
        <f t="shared" si="74"/>
        <v>1.2546296289656311E-2</v>
      </c>
      <c r="N187" s="7">
        <f t="shared" si="75"/>
        <v>18.066666657105088</v>
      </c>
      <c r="O187" s="7"/>
      <c r="P187" s="7"/>
      <c r="Q187" s="22"/>
      <c r="R187" s="22"/>
      <c r="S187" s="31">
        <f t="shared" si="76"/>
        <v>1</v>
      </c>
      <c r="T187" s="46" t="str">
        <f t="shared" si="77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78"/>
        <v>https://d0f6bd738d7f1b3e5a7ca70fe4ff75f0.us-east-1.aws.found.io/app/kibana#/discover/Steve-Slow-Train-Analysis-(2080s-and-2083s)?_g=(refreshInterval:(display:Off,pause:!f,section:0,value:0),time:(from:'2017-02-03T14:36:31-0700',mode:absolute,to:'2017-02-03T16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7" s="192" t="str">
        <f t="shared" si="79"/>
        <v>N</v>
      </c>
      <c r="X187" s="192">
        <f t="shared" si="80"/>
        <v>1</v>
      </c>
      <c r="Y187" s="62">
        <f t="shared" si="81"/>
        <v>5.8635999999999999</v>
      </c>
      <c r="Z187" s="62">
        <f t="shared" si="82"/>
        <v>6.8500000000000005E-2</v>
      </c>
      <c r="AA187" s="62">
        <f t="shared" si="83"/>
        <v>5.7950999999999997</v>
      </c>
      <c r="AB187" s="59" t="e">
        <f>VLOOKUP(A187,Enforcements!$C$7:$K$16,8,0)</f>
        <v>#N/A</v>
      </c>
      <c r="AC187" s="55" t="e">
        <f>VLOOKUP(A187,Enforcements!$C$7:$E$16,3,0)</f>
        <v>#N/A</v>
      </c>
      <c r="AD187" s="56" t="str">
        <f t="shared" si="84"/>
        <v>0826-03</v>
      </c>
      <c r="AE187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87" s="82" t="str">
        <f t="shared" si="86"/>
        <v>"C:\Program Files (x86)\AstroGrep\AstroGrep.exe" /spath="%USERPROFILE%\AppData\Local\Temp\OnboardLogs" /stypes="app*4019*20170203*" /stext=" 22:.+((SYSTEM_STATE.+slice.+state.+changed )|(ment ac)|(multiple cpu faults)|(system.+state.+changed )|(\[timeout)|(PRM\|1\|D)|(kpr)|(kdp)|(\|lc)|(penalty))" /e /r /s</v>
      </c>
      <c r="AG187" s="1" t="str">
        <f t="shared" si="87"/>
        <v>NW</v>
      </c>
      <c r="AH187" s="86" t="str">
        <f t="shared" si="88"/>
        <v>"%USERPROFILE%\Documents\GitHub\eaglep3\Utilities\RefineRTDCRunTimes.py" --tripid 826-03 --locoid 4019 --swversion DE.1.0.8.0 --startMP 300:58636 --initTime 2017-02-03T15:36:31 --startdatetime 2017-02-03T15:38:26 --delay 1 --endMP 204:685 --enddatetime 2017-02-03T15:56:30 --enforcementcount 0 &gt;&gt;C:\Users\stu\Documents\GitHub\eaglep3-reporting\EC\2017-02-03-refined-times.txt</v>
      </c>
      <c r="AI187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{"issue":{"subject":"","project_id":79,"tracker_id":40,"status_id":1,"priority_id":2,"assigned_to_id":23,"start_date":"2017-02-03","description":"","custom_fields":[{"id":1,"name":"Subdivision","value":"NW"},{"id":4,"name":"Milepost","value":"0.0685"},{"id":17,"name":"Train ID","value":"826-03"},{"id":16,"name":"Locomotive ID","value":"4019"},{"id":130,"name":"Impact","value":""},{"id":150,"name":"Time of Event (Mountain Time)","value":"15:56:30"},{"id":151,"name":"Denver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8" t="str">
        <f t="shared" si="90"/>
        <v>start /low /b %USERPROFILE%\Documents\GitHub\eaglep3\Utilities\DownloadLogsFromS3.py --loco 4019 --day 2017-02-03</v>
      </c>
      <c r="AN187" s="167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188" spans="1:91" s="20" customFormat="1" x14ac:dyDescent="0.25">
      <c r="A188" s="33" t="s">
        <v>682</v>
      </c>
      <c r="B188" s="7">
        <v>4029</v>
      </c>
      <c r="C188" s="21" t="s">
        <v>193</v>
      </c>
      <c r="D188" s="21" t="s">
        <v>859</v>
      </c>
      <c r="E188" s="13">
        <v>42769.648506944446</v>
      </c>
      <c r="F188" s="13">
        <v>42769.660671296297</v>
      </c>
      <c r="G188" s="7">
        <v>1</v>
      </c>
      <c r="H188" s="21" t="s">
        <v>875</v>
      </c>
      <c r="I188" s="13">
        <v>42769.67019675926</v>
      </c>
      <c r="J188" s="7">
        <v>0</v>
      </c>
      <c r="K188" s="98" t="str">
        <f t="shared" si="73"/>
        <v>4029/4030</v>
      </c>
      <c r="L188" s="21" t="str">
        <f>VLOOKUP(A188,'Trips&amp;Operators'!$C$1:$G$99999,5,FALSE)</f>
        <v>HOLCOMB KAMDEN</v>
      </c>
      <c r="M188" s="6">
        <f t="shared" si="74"/>
        <v>9.5254629632108845E-3</v>
      </c>
      <c r="N188" s="7">
        <f t="shared" si="75"/>
        <v>13.716666667023674</v>
      </c>
      <c r="O188" s="7"/>
      <c r="P188" s="7"/>
      <c r="Q188" s="22"/>
      <c r="R188" s="22"/>
      <c r="S188" s="31">
        <f t="shared" si="76"/>
        <v>1</v>
      </c>
      <c r="T188" s="46" t="str">
        <f t="shared" si="77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78"/>
        <v>https://d0f6bd738d7f1b3e5a7ca70fe4ff75f0.us-east-1.aws.found.io/app/kibana#/discover/Steve-Slow-Train-Analysis-(2080s-and-2083s)?_g=(refreshInterval:(display:Off,pause:!f,section:0,value:0),time:(from:'2017-02-03T14:33:51-0700',mode:absolute,to:'2017-02-03T17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8" s="192" t="str">
        <f t="shared" si="79"/>
        <v>N</v>
      </c>
      <c r="X188" s="192">
        <f t="shared" si="80"/>
        <v>1</v>
      </c>
      <c r="Y188" s="62">
        <f t="shared" si="81"/>
        <v>9.8299999999999998E-2</v>
      </c>
      <c r="Z188" s="62">
        <f t="shared" si="82"/>
        <v>5.8936999999999999</v>
      </c>
      <c r="AA188" s="62">
        <f t="shared" si="83"/>
        <v>5.7953999999999999</v>
      </c>
      <c r="AB188" s="59" t="e">
        <f>VLOOKUP(A188,Enforcements!$C$7:$K$16,8,0)</f>
        <v>#N/A</v>
      </c>
      <c r="AC188" s="55" t="e">
        <f>VLOOKUP(A188,Enforcements!$C$7:$E$16,3,0)</f>
        <v>#N/A</v>
      </c>
      <c r="AD188" s="56" t="str">
        <f t="shared" si="84"/>
        <v>0827-03</v>
      </c>
      <c r="AE188" s="85" t="str">
        <f t="shared" si="85"/>
        <v>aws s3 cp s3://rtdc.mdm.uploadarchive.raw/RTDC4029/ "%USERPROFILE%\AppData\Local\Temp\OnboardLogs"\RTDC4029\2017-02-03 --exclude "*" --recursive --include "*20170203*" &amp; "%USERPROFILE%\Documents\GitHub\mrs-test-scripts\Headless Mode &amp; Sideloading\WalkAndUnGZ.bat" "%USERPROFILE%\AppData\Local\Temp\OnboardLogs"\RTDC4029\2017-02-03 &amp; 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</v>
      </c>
      <c r="AF188" s="82" t="str">
        <f t="shared" si="86"/>
        <v>"C:\Program Files (x86)\AstroGrep\AstroGrep.exe" /spath="%USERPROFILE%\AppData\Local\Temp\OnboardLogs" /stypes="app*4029*20170203*" /stext=" 23:.+((SYSTEM_STATE.+slice.+state.+changed )|(ment ac)|(multiple cpu faults)|(system.+state.+changed )|(\[timeout)|(PRM\|1\|D)|(kpr)|(kdp)|(\|lc)|(penalty))" /e /r /s</v>
      </c>
      <c r="AG188" s="1" t="str">
        <f t="shared" si="87"/>
        <v>NW</v>
      </c>
      <c r="AH188" s="86" t="str">
        <f t="shared" si="88"/>
        <v>"%USERPROFILE%\Documents\GitHub\eaglep3\Utilities\RefineRTDCRunTimes.py" --tripid 827-03 --locoid 4029 --swversion DE.1.0.8.0 --startMP 204:983 --initTime 2017-02-03T15:33:51 --startdatetime 2017-02-03T15:51:22 --delay 1 --endMP 300:58937 --enddatetime 2017-02-03T16:05:05 --enforcementcount 0 &gt;&gt;C:\Users\stu\Documents\GitHub\eaglep3-reporting\EC\2017-02-03-refined-times.txt</v>
      </c>
      <c r="AI188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{"issue":{"subject":"","project_id":79,"tracker_id":40,"status_id":1,"priority_id":2,"assigned_to_id":23,"start_date":"2017-02-03","description":"","custom_fields":[{"id":1,"name":"Subdivision","value":"NW"},{"id":4,"name":"Milepost","value":"5.8937"},{"id":17,"name":"Train ID","value":"827-03"},{"id":16,"name":"Locomotive ID","value":"4029"},{"id":130,"name":"Impact","value":""},{"id":150,"name":"Time of Event (Mountain Time)","value":"16:05:05"},{"id":151,"name":"Denver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8" t="str">
        <f t="shared" si="90"/>
        <v>start /low /b %USERPROFILE%\Documents\GitHub\eaglep3\Utilities\DownloadLogsFromS3.py --loco 4029 --day 2017-02-03</v>
      </c>
      <c r="AN188" s="167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"%USERPROFILE%\AppData\Local\Temp\OnboardLogs"\RTDC4029\*4029*20170203* | grep -SE "(Enforcement Action)|(\[TIMEOUT)|(CHR.+\|PRM\|1\|D.+(SWITCH|SIGNAL).+UNKNOWN)" - &gt;&gt; 2017-02-03-UncaughtWiMAX.txt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690</v>
      </c>
      <c r="B189" s="7">
        <v>4030</v>
      </c>
      <c r="C189" s="21" t="s">
        <v>193</v>
      </c>
      <c r="D189" s="21" t="s">
        <v>383</v>
      </c>
      <c r="E189" s="13">
        <v>42769.67114583333</v>
      </c>
      <c r="F189" s="13">
        <v>42769.673483796294</v>
      </c>
      <c r="G189" s="7">
        <v>1</v>
      </c>
      <c r="H189" s="21" t="s">
        <v>431</v>
      </c>
      <c r="I189" s="13">
        <v>42769.684259259258</v>
      </c>
      <c r="J189" s="7">
        <v>0</v>
      </c>
      <c r="K189" s="98" t="str">
        <f t="shared" si="73"/>
        <v>4029/4030</v>
      </c>
      <c r="L189" s="21" t="str">
        <f>VLOOKUP(A189,'Trips&amp;Operators'!$C$1:$G$99999,5,FALSE)</f>
        <v>HOLCOMB KAMDEN</v>
      </c>
      <c r="M189" s="6">
        <f t="shared" si="74"/>
        <v>1.0775462964375038E-2</v>
      </c>
      <c r="N189" s="7">
        <f t="shared" si="75"/>
        <v>15.516666668700054</v>
      </c>
      <c r="O189" s="7"/>
      <c r="P189" s="7"/>
      <c r="Q189" s="22"/>
      <c r="R189" s="22"/>
      <c r="S189" s="31">
        <f t="shared" si="76"/>
        <v>1</v>
      </c>
      <c r="T189" s="46" t="str">
        <f t="shared" si="77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78"/>
        <v>https://d0f6bd738d7f1b3e5a7ca70fe4ff75f0.us-east-1.aws.found.io/app/kibana#/discover/Steve-Slow-Train-Analysis-(2080s-and-2083s)?_g=(refreshInterval:(display:Off,pause:!f,section:0,value:0),time:(from:'2017-02-03T15:06:27-0700',mode:absolute,to:'2017-02-03T17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192" t="str">
        <f t="shared" si="79"/>
        <v>N</v>
      </c>
      <c r="X189" s="192">
        <f t="shared" si="80"/>
        <v>1</v>
      </c>
      <c r="Y189" s="62">
        <f t="shared" si="81"/>
        <v>5.8619000000000003</v>
      </c>
      <c r="Z189" s="62">
        <f t="shared" si="82"/>
        <v>7.3800000000000004E-2</v>
      </c>
      <c r="AA189" s="62">
        <f t="shared" si="83"/>
        <v>5.7881</v>
      </c>
      <c r="AB189" s="59" t="e">
        <f>VLOOKUP(A189,Enforcements!$C$7:$K$16,8,0)</f>
        <v>#N/A</v>
      </c>
      <c r="AC189" s="55" t="e">
        <f>VLOOKUP(A189,Enforcements!$C$7:$E$16,3,0)</f>
        <v>#N/A</v>
      </c>
      <c r="AD189" s="56" t="str">
        <f t="shared" si="84"/>
        <v>0828-03</v>
      </c>
      <c r="AE189" s="85" t="str">
        <f t="shared" si="85"/>
        <v>aws s3 cp s3://rtdc.mdm.uploadarchive.raw/RTDC4030/ "%USERPROFILE%\AppData\Local\Temp\OnboardLogs"\RTDC4030\2017-02-03 --exclude "*" --recursive --include "*20170203*" &amp; "%USERPROFILE%\Documents\GitHub\mrs-test-scripts\Headless Mode &amp; Sideloading\WalkAndUnGZ.bat" "%USERPROFILE%\AppData\Local\Temp\OnboardLogs"\RTDC4030\2017-02-03 &amp; 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</v>
      </c>
      <c r="AF189" s="82" t="str">
        <f t="shared" si="86"/>
        <v>"C:\Program Files (x86)\AstroGrep\AstroGrep.exe" /spath="%USERPROFILE%\AppData\Local\Temp\OnboardLogs" /stypes="app*4030*20170203*" /stext=" 23:.+((SYSTEM_STATE.+slice.+state.+changed )|(ment ac)|(multiple cpu faults)|(system.+state.+changed )|(\[timeout)|(PRM\|1\|D)|(kpr)|(kdp)|(\|lc)|(penalty))" /e /r /s</v>
      </c>
      <c r="AG189" s="1" t="str">
        <f t="shared" si="87"/>
        <v>NW</v>
      </c>
      <c r="AH189" s="86" t="str">
        <f t="shared" si="88"/>
        <v>"%USERPROFILE%\Documents\GitHub\eaglep3\Utilities\RefineRTDCRunTimes.py" --tripid 828-03 --locoid 4030 --swversion DE.1.0.8.0 --startMP 300:58619 --initTime 2017-02-03T16:06:27 --startdatetime 2017-02-03T16:09:49 --delay 1 --endMP 204:738 --enddatetime 2017-02-03T16:25:20 --enforcementcount 0 &gt;&gt;C:\Users\stu\Documents\GitHub\eaglep3-reporting\EC\2017-02-03-refined-times.txt</v>
      </c>
      <c r="AI189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{"issue":{"subject":"","project_id":79,"tracker_id":40,"status_id":1,"priority_id":2,"assigned_to_id":23,"start_date":"2017-02-03","description":"","custom_fields":[{"id":1,"name":"Subdivision","value":"NW"},{"id":4,"name":"Milepost","value":"0.0738"},{"id":17,"name":"Train ID","value":"828-03"},{"id":16,"name":"Locomotive ID","value":"4030"},{"id":130,"name":"Impact","value":""},{"id":150,"name":"Time of Event (Mountain Time)","value":"16:25:20"},{"id":151,"name":"Denver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8" t="str">
        <f t="shared" si="90"/>
        <v>start /low /b %USERPROFILE%\Documents\GitHub\eaglep3\Utilities\DownloadLogsFromS3.py --loco 4030 --day 2017-02-03</v>
      </c>
      <c r="AN189" s="167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"%USERPROFILE%\AppData\Local\Temp\OnboardLogs"\RTDC4030\*4030*20170203* | grep -SE "(Enforcement Action)|(\[TIMEOUT)|(CHR.+\|PRM\|1\|D.+(SWITCH|SIGNAL).+UNKNOWN)" - &gt;&gt; 2017-02-03-UncaughtWiMAX.txt</v>
      </c>
    </row>
    <row r="190" spans="1:91" s="20" customFormat="1" x14ac:dyDescent="0.25">
      <c r="A190" s="33" t="s">
        <v>692</v>
      </c>
      <c r="B190" s="7">
        <v>4020</v>
      </c>
      <c r="C190" s="21" t="s">
        <v>193</v>
      </c>
      <c r="D190" s="21" t="s">
        <v>443</v>
      </c>
      <c r="E190" s="13">
        <v>42769.676307870373</v>
      </c>
      <c r="F190" s="13">
        <v>42769.681446759256</v>
      </c>
      <c r="G190" s="7">
        <v>1</v>
      </c>
      <c r="H190" s="21" t="s">
        <v>437</v>
      </c>
      <c r="I190" s="13">
        <v>42769.690891203703</v>
      </c>
      <c r="J190" s="7">
        <v>0</v>
      </c>
      <c r="K190" s="98" t="str">
        <f t="shared" si="73"/>
        <v>4019/4020</v>
      </c>
      <c r="L190" s="21" t="str">
        <f>VLOOKUP(A190,'Trips&amp;Operators'!$C$1:$G$99999,5,FALSE)</f>
        <v>LEVERE CRAIG</v>
      </c>
      <c r="M190" s="6">
        <f t="shared" si="74"/>
        <v>9.4444444475811906E-3</v>
      </c>
      <c r="N190" s="7">
        <f t="shared" si="75"/>
        <v>13.600000004516914</v>
      </c>
      <c r="O190" s="7"/>
      <c r="P190" s="7"/>
      <c r="Q190" s="22"/>
      <c r="R190" s="22"/>
      <c r="S190" s="31">
        <f t="shared" si="76"/>
        <v>1</v>
      </c>
      <c r="T190" s="46" t="str">
        <f t="shared" si="77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78"/>
        <v>https://d0f6bd738d7f1b3e5a7ca70fe4ff75f0.us-east-1.aws.found.io/app/kibana#/discover/Steve-Slow-Train-Analysis-(2080s-and-2083s)?_g=(refreshInterval:(display:Off,pause:!f,section:0,value:0),time:(from:'2017-02-03T15:13:53-0700',mode:absolute,to:'2017-02-03T17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0" s="192" t="str">
        <f t="shared" si="79"/>
        <v>N</v>
      </c>
      <c r="X190" s="192">
        <f t="shared" si="80"/>
        <v>1</v>
      </c>
      <c r="Y190" s="62">
        <f t="shared" si="81"/>
        <v>9.8100000000000007E-2</v>
      </c>
      <c r="Z190" s="62">
        <f t="shared" si="82"/>
        <v>5.8959999999999999</v>
      </c>
      <c r="AA190" s="62">
        <f t="shared" si="83"/>
        <v>5.7979000000000003</v>
      </c>
      <c r="AB190" s="59" t="e">
        <f>VLOOKUP(A190,Enforcements!$C$7:$K$16,8,0)</f>
        <v>#N/A</v>
      </c>
      <c r="AC190" s="55" t="e">
        <f>VLOOKUP(A190,Enforcements!$C$7:$E$16,3,0)</f>
        <v>#N/A</v>
      </c>
      <c r="AD190" s="56" t="str">
        <f t="shared" si="84"/>
        <v>0829-03</v>
      </c>
      <c r="AE190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90" s="82" t="str">
        <f t="shared" si="86"/>
        <v>"C:\Program Files (x86)\AstroGrep\AstroGrep.exe" /spath="%USERPROFILE%\AppData\Local\Temp\OnboardLogs" /stypes="app*4020*20170203*" /stext=" 23:.+((SYSTEM_STATE.+slice.+state.+changed )|(ment ac)|(multiple cpu faults)|(system.+state.+changed )|(\[timeout)|(PRM\|1\|D)|(kpr)|(kdp)|(\|lc)|(penalty))" /e /r /s</v>
      </c>
      <c r="AG190" s="1" t="str">
        <f t="shared" si="87"/>
        <v>NW</v>
      </c>
      <c r="AH190" s="86" t="str">
        <f t="shared" si="88"/>
        <v>"%USERPROFILE%\Documents\GitHub\eaglep3\Utilities\RefineRTDCRunTimes.py" --tripid 829-03 --locoid 4020 --swversion DE.1.0.8.0 --startMP 204:981 --initTime 2017-02-03T16:13:53 --startdatetime 2017-02-03T16:21:17 --delay 1 --endMP 300:58960 --enddatetime 2017-02-03T16:34:53 --enforcementcount 0 &gt;&gt;C:\Users\stu\Documents\GitHub\eaglep3-reporting\EC\2017-02-03-refined-times.txt</v>
      </c>
      <c r="AI190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{"issue":{"subject":"","project_id":79,"tracker_id":40,"status_id":1,"priority_id":2,"assigned_to_id":23,"start_date":"2017-02-03","description":"","custom_fields":[{"id":1,"name":"Subdivision","value":"NW"},{"id":4,"name":"Milepost","value":"5.896"},{"id":17,"name":"Train ID","value":"829-03"},{"id":16,"name":"Locomotive ID","value":"4020"},{"id":130,"name":"Impact","value":""},{"id":150,"name":"Time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8" t="str">
        <f t="shared" si="90"/>
        <v>start /low /b %USERPROFILE%\Documents\GitHub\eaglep3\Utilities\DownloadLogsFromS3.py --loco 4020 --day 2017-02-03</v>
      </c>
      <c r="AN190" s="167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2017-02-03-UncaughtWiMAX.txt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697</v>
      </c>
      <c r="B191" s="7">
        <v>4019</v>
      </c>
      <c r="C191" s="21" t="s">
        <v>193</v>
      </c>
      <c r="D191" s="21" t="s">
        <v>878</v>
      </c>
      <c r="E191" s="13">
        <v>42769.69195601852</v>
      </c>
      <c r="F191" s="13">
        <v>42769.693437499998</v>
      </c>
      <c r="G191" s="7">
        <v>1</v>
      </c>
      <c r="H191" s="21" t="s">
        <v>439</v>
      </c>
      <c r="I191" s="13">
        <v>42769.706307870372</v>
      </c>
      <c r="J191" s="7">
        <v>0</v>
      </c>
      <c r="K191" s="98" t="str">
        <f t="shared" si="73"/>
        <v>4019/4020</v>
      </c>
      <c r="L191" s="21" t="str">
        <f>VLOOKUP(A191,'Trips&amp;Operators'!$C$1:$G$99999,5,FALSE)</f>
        <v>LEVERE CRAIG</v>
      </c>
      <c r="M191" s="6">
        <f t="shared" si="74"/>
        <v>1.287037037400296E-2</v>
      </c>
      <c r="N191" s="7">
        <f t="shared" si="75"/>
        <v>18.533333338564262</v>
      </c>
      <c r="O191" s="7"/>
      <c r="P191" s="7"/>
      <c r="Q191" s="22"/>
      <c r="R191" s="22"/>
      <c r="S191" s="31">
        <f t="shared" si="76"/>
        <v>1</v>
      </c>
      <c r="T191" s="46" t="str">
        <f t="shared" si="77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78"/>
        <v>https://d0f6bd738d7f1b3e5a7ca70fe4ff75f0.us-east-1.aws.found.io/app/kibana#/discover/Steve-Slow-Train-Analysis-(2080s-and-2083s)?_g=(refreshInterval:(display:Off,pause:!f,section:0,value:0),time:(from:'2017-02-03T15:36:25-0700',mode:absolute,to:'2017-02-03T17:57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1" s="192" t="str">
        <f t="shared" si="79"/>
        <v>N</v>
      </c>
      <c r="X191" s="192">
        <f t="shared" si="80"/>
        <v>1</v>
      </c>
      <c r="Y191" s="62">
        <f t="shared" si="81"/>
        <v>5.8632</v>
      </c>
      <c r="Z191" s="62">
        <f t="shared" si="82"/>
        <v>6.8900000000000003E-2</v>
      </c>
      <c r="AA191" s="62">
        <f t="shared" si="83"/>
        <v>5.7942999999999998</v>
      </c>
      <c r="AB191" s="59" t="e">
        <f>VLOOKUP(A191,Enforcements!$C$7:$K$16,8,0)</f>
        <v>#N/A</v>
      </c>
      <c r="AC191" s="55" t="e">
        <f>VLOOKUP(A191,Enforcements!$C$7:$E$16,3,0)</f>
        <v>#N/A</v>
      </c>
      <c r="AD191" s="56" t="str">
        <f t="shared" si="84"/>
        <v>0830-03</v>
      </c>
      <c r="AE191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91" s="82" t="str">
        <f t="shared" si="86"/>
        <v>"C:\Program Files (x86)\AstroGrep\AstroGrep.exe" /spath="%USERPROFILE%\AppData\Local\Temp\OnboardLogs" /stypes="app*4019*20170203*" /stext=" 23:.+((SYSTEM_STATE.+slice.+state.+changed )|(ment ac)|(multiple cpu faults)|(system.+state.+changed )|(\[timeout)|(PRM\|1\|D)|(kpr)|(kdp)|(\|lc)|(penalty))" /e /r /s</v>
      </c>
      <c r="AG191" s="1" t="str">
        <f t="shared" si="87"/>
        <v>NW</v>
      </c>
      <c r="AH191" s="86" t="str">
        <f t="shared" si="88"/>
        <v>"%USERPROFILE%\Documents\GitHub\eaglep3\Utilities\RefineRTDCRunTimes.py" --tripid 830-03 --locoid 4019 --swversion DE.1.0.8.0 --startMP 300:58632 --initTime 2017-02-03T16:36:25 --startdatetime 2017-02-03T16:38:33 --delay 1 --endMP 204:689 --enddatetime 2017-02-03T16:57:05 --enforcementcount 0 &gt;&gt;C:\Users\stu\Documents\GitHub\eaglep3-reporting\EC\2017-02-03-refined-times.txt</v>
      </c>
      <c r="AI191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{"issue":{"subject":"","project_id":79,"tracker_id":40,"status_id":1,"priority_id":2,"assigned_to_id":23,"start_date":"2017-02-03","description":"","custom_fields":[{"id":1,"name":"Subdivision","value":"NW"},{"id":4,"name":"Milepost","value":"0.0689"},{"id":17,"name":"Train ID","value":"830-03"},{"id":16,"name":"Locomotive ID","value":"4019"},{"id":130,"name":"Impact","value":""},{"id":150,"name":"Time of Event (Mountain Time)","value":"16:57:05"},{"id":151,"name":"Denver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8" t="str">
        <f t="shared" si="90"/>
        <v>start /low /b %USERPROFILE%\Documents\GitHub\eaglep3\Utilities\DownloadLogsFromS3.py --loco 4019 --day 2017-02-03</v>
      </c>
      <c r="AN191" s="167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192" spans="1:91" x14ac:dyDescent="0.25">
      <c r="A192" s="33" t="s">
        <v>695</v>
      </c>
      <c r="B192" s="7">
        <v>4029</v>
      </c>
      <c r="C192" s="21" t="s">
        <v>193</v>
      </c>
      <c r="D192" s="21" t="s">
        <v>887</v>
      </c>
      <c r="E192" s="13">
        <v>42769.686180555553</v>
      </c>
      <c r="F192" s="13">
        <v>42769.703101851854</v>
      </c>
      <c r="G192" s="7">
        <v>1</v>
      </c>
      <c r="H192" s="21" t="s">
        <v>888</v>
      </c>
      <c r="I192" s="13">
        <v>42769.713217592594</v>
      </c>
      <c r="J192" s="7">
        <v>0</v>
      </c>
      <c r="K192" s="98" t="str">
        <f t="shared" si="73"/>
        <v>4029/4030</v>
      </c>
      <c r="L192" s="21" t="str">
        <f>VLOOKUP(A192,'Trips&amp;Operators'!$C$1:$G$99999,5,FALSE)</f>
        <v>MCREYNOLDS KYLE</v>
      </c>
      <c r="M192" s="6">
        <f t="shared" si="74"/>
        <v>1.0115740740729962E-2</v>
      </c>
      <c r="N192" s="7">
        <f t="shared" si="75"/>
        <v>14.566666666651145</v>
      </c>
      <c r="O192" s="7"/>
      <c r="P192" s="7"/>
      <c r="Q192" s="22"/>
      <c r="R192" s="22"/>
      <c r="S192" s="31">
        <f t="shared" si="76"/>
        <v>1</v>
      </c>
      <c r="T192" s="46" t="str">
        <f t="shared" si="77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78"/>
        <v>https://d0f6bd738d7f1b3e5a7ca70fe4ff75f0.us-east-1.aws.found.io/app/kibana#/discover/Steve-Slow-Train-Analysis-(2080s-and-2083s)?_g=(refreshInterval:(display:Off,pause:!f,section:0,value:0),time:(from:'2017-02-03T15:28:06-0700',mode:absolute,to:'2017-02-03T18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2" s="192" t="str">
        <f t="shared" si="79"/>
        <v>N</v>
      </c>
      <c r="X192" s="192">
        <f t="shared" si="80"/>
        <v>1</v>
      </c>
      <c r="Y192" s="62">
        <f t="shared" si="81"/>
        <v>0.10390000000000001</v>
      </c>
      <c r="Z192" s="62">
        <f t="shared" si="82"/>
        <v>5.8929</v>
      </c>
      <c r="AA192" s="62">
        <f t="shared" si="83"/>
        <v>5.7889999999999997</v>
      </c>
      <c r="AB192" s="59" t="e">
        <f>VLOOKUP(A192,Enforcements!$C$7:$K$16,8,0)</f>
        <v>#N/A</v>
      </c>
      <c r="AC192" s="55" t="e">
        <f>VLOOKUP(A192,Enforcements!$C$7:$E$16,3,0)</f>
        <v>#N/A</v>
      </c>
      <c r="AD192" s="56" t="str">
        <f t="shared" si="84"/>
        <v>0831-03</v>
      </c>
      <c r="AE192" s="85" t="str">
        <f t="shared" si="85"/>
        <v>aws s3 cp s3://rtdc.mdm.uploadarchive.raw/RTDC4029/ "%USERPROFILE%\AppData\Local\Temp\OnboardLogs"\RTDC4029\2017-02-03 --exclude "*" --recursive --include "*20170203*" &amp; "%USERPROFILE%\Documents\GitHub\mrs-test-scripts\Headless Mode &amp; Sideloading\WalkAndUnGZ.bat" "%USERPROFILE%\AppData\Local\Temp\OnboardLogs"\RTDC4029\2017-02-03 &amp; 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</v>
      </c>
      <c r="AF192" s="82" t="str">
        <f t="shared" si="86"/>
        <v>"C:\Program Files (x86)\AstroGrep\AstroGrep.exe" /spath="%USERPROFILE%\AppData\Local\Temp\OnboardLogs" /stypes="app*4029*20170204*" /stext=" 00:.+((SYSTEM_STATE.+slice.+state.+changed )|(ment ac)|(multiple cpu faults)|(system.+state.+changed )|(\[timeout)|(PRM\|1\|D)|(kpr)|(kdp)|(\|lc)|(penalty))" /e /r /s</v>
      </c>
      <c r="AG192" s="1" t="str">
        <f t="shared" si="87"/>
        <v>NW</v>
      </c>
      <c r="AH192" s="86" t="str">
        <f t="shared" si="88"/>
        <v>"%USERPROFILE%\Documents\GitHub\eaglep3\Utilities\RefineRTDCRunTimes.py" --tripid 831-03 --locoid 4029 --swversion DE.1.0.8.0 --startMP 204:1039 --initTime 2017-02-03T16:28:06 --startdatetime 2017-02-03T16:52:28 --delay 1 --endMP 300:58929 --enddatetime 2017-02-03T17:07:02 --enforcementcount 0 &gt;&gt;C:\Users\stu\Documents\GitHub\eaglep3-reporting\EC\2017-02-03-refined-times.txt</v>
      </c>
      <c r="AI192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{"issue":{"subject":"","project_id":79,"tracker_id":40,"status_id":1,"priority_id":2,"assigned_to_id":23,"start_date":"2017-02-03","description":"","custom_fields":[{"id":1,"name":"Subdivision","value":"NW"},{"id":4,"name":"Milepost","value":"5.8929"},{"id":17,"name":"Train ID","value":"831-03"},{"id":16,"name":"Locomotive ID","value":"4029"},{"id":130,"name":"Impact","value":""},{"id":150,"name":"Time of Event (Mountain Time)","value":"17:07:02"},{"id":151,"name":"Denver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8" t="str">
        <f t="shared" si="90"/>
        <v>start /low /b %USERPROFILE%\Documents\GitHub\eaglep3\Utilities\DownloadLogsFromS3.py --loco 4029 --day 2017-02-03</v>
      </c>
      <c r="AN192" s="167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"%USERPROFILE%\AppData\Local\Temp\OnboardLogs"\RTDC4029\*4029*20170203* | grep -SE "(Enforcement Action)|(\[TIMEOUT)|(CHR.+\|PRM\|1\|D.+(SWITCH|SIGNAL).+UNKNOWN)" - &gt;&gt; 2017-02-03-UncaughtWiMAX.txt</v>
      </c>
    </row>
    <row r="193" spans="1:91" s="20" customFormat="1" x14ac:dyDescent="0.25">
      <c r="A193" s="33" t="s">
        <v>702</v>
      </c>
      <c r="B193" s="7">
        <v>4030</v>
      </c>
      <c r="C193" s="21" t="s">
        <v>193</v>
      </c>
      <c r="D193" s="21" t="s">
        <v>889</v>
      </c>
      <c r="E193" s="13">
        <v>42769.714398148149</v>
      </c>
      <c r="F193" s="13">
        <v>42769.716111111113</v>
      </c>
      <c r="G193" s="7">
        <v>1</v>
      </c>
      <c r="H193" s="21" t="s">
        <v>442</v>
      </c>
      <c r="I193" s="13">
        <v>42769.726412037038</v>
      </c>
      <c r="J193" s="7">
        <v>0</v>
      </c>
      <c r="K193" s="98" t="str">
        <f t="shared" si="73"/>
        <v>4029/4030</v>
      </c>
      <c r="L193" s="21" t="str">
        <f>VLOOKUP(A193,'Trips&amp;Operators'!$C$1:$G$99999,5,FALSE)</f>
        <v>MCREYNOLDS KYLE</v>
      </c>
      <c r="M193" s="6">
        <f t="shared" si="74"/>
        <v>1.0300925925548654E-2</v>
      </c>
      <c r="N193" s="7">
        <f t="shared" si="75"/>
        <v>14.833333332790062</v>
      </c>
      <c r="O193" s="7"/>
      <c r="P193" s="7"/>
      <c r="Q193" s="22"/>
      <c r="R193" s="22"/>
      <c r="S193" s="31">
        <f t="shared" si="76"/>
        <v>1</v>
      </c>
      <c r="T193" s="46" t="str">
        <f t="shared" si="77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78"/>
        <v>https://d0f6bd738d7f1b3e5a7ca70fe4ff75f0.us-east-1.aws.found.io/app/kibana#/discover/Steve-Slow-Train-Analysis-(2080s-and-2083s)?_g=(refreshInterval:(display:Off,pause:!f,section:0,value:0),time:(from:'2017-02-03T16:08:44-0700',mode:absolute,to:'2017-02-03T18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192" t="str">
        <f t="shared" si="79"/>
        <v>N</v>
      </c>
      <c r="X193" s="192">
        <f t="shared" si="80"/>
        <v>1</v>
      </c>
      <c r="Y193" s="62">
        <f t="shared" si="81"/>
        <v>5.8616999999999999</v>
      </c>
      <c r="Z193" s="62">
        <f t="shared" si="82"/>
        <v>7.0499999999999993E-2</v>
      </c>
      <c r="AA193" s="62">
        <f t="shared" si="83"/>
        <v>5.7911999999999999</v>
      </c>
      <c r="AB193" s="59" t="e">
        <f>VLOOKUP(A193,Enforcements!$C$7:$K$16,8,0)</f>
        <v>#N/A</v>
      </c>
      <c r="AC193" s="55" t="e">
        <f>VLOOKUP(A193,Enforcements!$C$7:$E$16,3,0)</f>
        <v>#N/A</v>
      </c>
      <c r="AD193" s="56" t="str">
        <f t="shared" si="84"/>
        <v>0832-03</v>
      </c>
      <c r="AE193" s="85" t="str">
        <f t="shared" si="85"/>
        <v>aws s3 cp s3://rtdc.mdm.uploadarchive.raw/RTDC4030/ "%USERPROFILE%\AppData\Local\Temp\OnboardLogs"\RTDC4030\2017-02-03 --exclude "*" --recursive --include "*20170203*" &amp; "%USERPROFILE%\Documents\GitHub\mrs-test-scripts\Headless Mode &amp; Sideloading\WalkAndUnGZ.bat" "%USERPROFILE%\AppData\Local\Temp\OnboardLogs"\RTDC4030\2017-02-03 &amp; 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</v>
      </c>
      <c r="AF193" s="82" t="str">
        <f t="shared" si="86"/>
        <v>"C:\Program Files (x86)\AstroGrep\AstroGrep.exe" /spath="%USERPROFILE%\AppData\Local\Temp\OnboardLogs" /stypes="app*4030*20170204*" /stext=" 00:.+((SYSTEM_STATE.+slice.+state.+changed )|(ment ac)|(multiple cpu faults)|(system.+state.+changed )|(\[timeout)|(PRM\|1\|D)|(kpr)|(kdp)|(\|lc)|(penalty))" /e /r /s</v>
      </c>
      <c r="AG193" s="1" t="str">
        <f t="shared" si="87"/>
        <v>NW</v>
      </c>
      <c r="AH193" s="86" t="str">
        <f t="shared" si="88"/>
        <v>"%USERPROFILE%\Documents\GitHub\eaglep3\Utilities\RefineRTDCRunTimes.py" --tripid 832-03 --locoid 4030 --swversion DE.1.0.8.0 --startMP 300:58617 --initTime 2017-02-03T17:08:44 --startdatetime 2017-02-03T17:11:12 --delay 1 --endMP 204:705 --enddatetime 2017-02-03T17:26:02 --enforcementcount 0 &gt;&gt;C:\Users\stu\Documents\GitHub\eaglep3-reporting\EC\2017-02-03-refined-times.txt</v>
      </c>
      <c r="AI193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{"issue":{"subject":"","project_id":79,"tracker_id":40,"status_id":1,"priority_id":2,"assigned_to_id":23,"start_date":"2017-02-03","description":"","custom_fields":[{"id":1,"name":"Subdivision","value":"NW"},{"id":4,"name":"Milepost","value":"0.0705"},{"id":17,"name":"Train ID","value":"832-03"},{"id":16,"name":"Locomotive ID","value":"4030"},{"id":130,"name":"Impact","value":""},{"id":150,"name":"Time of Event (Mountain Time)","value":"17:26:02"},{"id":151,"name":"Denver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8" t="str">
        <f t="shared" si="90"/>
        <v>start /low /b %USERPROFILE%\Documents\GitHub\eaglep3\Utilities\DownloadLogsFromS3.py --loco 4030 --day 2017-02-03</v>
      </c>
      <c r="AN193" s="167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2017-02-03-UncaughtWiMAX.txt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3" t="s">
        <v>703</v>
      </c>
      <c r="B194" s="7">
        <v>4020</v>
      </c>
      <c r="C194" s="21" t="s">
        <v>193</v>
      </c>
      <c r="D194" s="21" t="s">
        <v>384</v>
      </c>
      <c r="E194" s="13">
        <v>42769.716851851852</v>
      </c>
      <c r="F194" s="13">
        <v>42769.723113425927</v>
      </c>
      <c r="G194" s="7">
        <v>1</v>
      </c>
      <c r="H194" s="21" t="s">
        <v>342</v>
      </c>
      <c r="I194" s="13">
        <v>42769.732523148145</v>
      </c>
      <c r="J194" s="7">
        <v>0</v>
      </c>
      <c r="K194" s="98" t="str">
        <f t="shared" si="73"/>
        <v>4019/4020</v>
      </c>
      <c r="L194" s="21" t="str">
        <f>VLOOKUP(A194,'Trips&amp;Operators'!$C$1:$G$99999,5,FALSE)</f>
        <v>LEVERE CRAIG</v>
      </c>
      <c r="M194" s="6">
        <f t="shared" si="74"/>
        <v>9.4097222172422335E-3</v>
      </c>
      <c r="N194" s="7">
        <f t="shared" si="75"/>
        <v>13.549999992828816</v>
      </c>
      <c r="O194" s="7"/>
      <c r="P194" s="7"/>
      <c r="Q194" s="22"/>
      <c r="R194" s="22"/>
      <c r="S194" s="31">
        <f t="shared" si="76"/>
        <v>1</v>
      </c>
      <c r="T194" s="46" t="str">
        <f t="shared" si="77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78"/>
        <v>https://d0f6bd738d7f1b3e5a7ca70fe4ff75f0.us-east-1.aws.found.io/app/kibana#/discover/Steve-Slow-Train-Analysis-(2080s-and-2083s)?_g=(refreshInterval:(display:Off,pause:!f,section:0,value:0),time:(from:'2017-02-03T16:12:16-0700',mode:absolute,to:'2017-02-03T18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4" s="192" t="str">
        <f t="shared" si="79"/>
        <v>N</v>
      </c>
      <c r="X194" s="192">
        <f t="shared" si="80"/>
        <v>1</v>
      </c>
      <c r="Y194" s="62">
        <f t="shared" si="81"/>
        <v>9.7799999999999998E-2</v>
      </c>
      <c r="Z194" s="62">
        <f t="shared" si="82"/>
        <v>5.8949999999999996</v>
      </c>
      <c r="AA194" s="62">
        <f t="shared" si="83"/>
        <v>5.7971999999999992</v>
      </c>
      <c r="AB194" s="59" t="e">
        <f>VLOOKUP(A194,Enforcements!$C$7:$K$16,8,0)</f>
        <v>#N/A</v>
      </c>
      <c r="AC194" s="55" t="e">
        <f>VLOOKUP(A194,Enforcements!$C$7:$E$16,3,0)</f>
        <v>#N/A</v>
      </c>
      <c r="AD194" s="56" t="str">
        <f t="shared" si="84"/>
        <v>0833-03</v>
      </c>
      <c r="AE194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94" s="82" t="str">
        <f t="shared" si="86"/>
        <v>"C:\Program Files (x86)\AstroGrep\AstroGrep.exe" /spath="%USERPROFILE%\AppData\Local\Temp\OnboardLogs" /stypes="app*4020*20170204*" /stext=" 00:.+((SYSTEM_STATE.+slice.+state.+changed )|(ment ac)|(multiple cpu faults)|(system.+state.+changed )|(\[timeout)|(PRM\|1\|D)|(kpr)|(kdp)|(\|lc)|(penalty))" /e /r /s</v>
      </c>
      <c r="AG194" s="1" t="str">
        <f t="shared" si="87"/>
        <v>NW</v>
      </c>
      <c r="AH194" s="86" t="str">
        <f t="shared" si="88"/>
        <v>"%USERPROFILE%\Documents\GitHub\eaglep3\Utilities\RefineRTDCRunTimes.py" --tripid 833-03 --locoid 4020 --swversion DE.1.0.8.0 --startMP 204:978 --initTime 2017-02-03T17:12:16 --startdatetime 2017-02-03T17:21:17 --delay 1 --endMP 300:58950 --enddatetime 2017-02-03T17:34:50 --enforcementcount 0 &gt;&gt;C:\Users\stu\Documents\GitHub\eaglep3-reporting\EC\2017-02-03-refined-times.txt</v>
      </c>
      <c r="AI194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{"issue":{"subject":"","project_id":79,"tracker_id":40,"status_id":1,"priority_id":2,"assigned_to_id":23,"start_date":"2017-02-03","description":"","custom_fields":[{"id":1,"name":"Subdivision","value":"NW"},{"id":4,"name":"Milepost","value":"5.895"},{"id":17,"name":"Train ID","value":"833-03"},{"id":16,"name":"Locomotive ID","value":"4020"},{"id":130,"name":"Impact","value":""},{"id":150,"name":"Time of Event (Mountain Time)","value":"17:34:50"},{"id":151,"name":"Denver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8" t="str">
        <f t="shared" si="90"/>
        <v>start /low /b %USERPROFILE%\Documents\GitHub\eaglep3\Utilities\DownloadLogsFromS3.py --loco 4020 --day 2017-02-03</v>
      </c>
      <c r="AN194" s="167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2017-02-03-UncaughtWiMAX.txt</v>
      </c>
    </row>
    <row r="195" spans="1:91" s="20" customFormat="1" x14ac:dyDescent="0.25">
      <c r="A195" s="33" t="s">
        <v>710</v>
      </c>
      <c r="B195" s="7">
        <v>4019</v>
      </c>
      <c r="C195" s="21" t="s">
        <v>193</v>
      </c>
      <c r="D195" s="21" t="s">
        <v>438</v>
      </c>
      <c r="E195" s="13">
        <v>42769.733657407407</v>
      </c>
      <c r="F195" s="13">
        <v>42769.735138888886</v>
      </c>
      <c r="G195" s="7">
        <v>1</v>
      </c>
      <c r="H195" s="21" t="s">
        <v>890</v>
      </c>
      <c r="I195" s="13">
        <v>42769.747847222221</v>
      </c>
      <c r="J195" s="7">
        <v>0</v>
      </c>
      <c r="K195" s="98" t="str">
        <f t="shared" si="73"/>
        <v>4019/4020</v>
      </c>
      <c r="L195" s="21" t="str">
        <f>VLOOKUP(A195,'Trips&amp;Operators'!$C$1:$G$99999,5,FALSE)</f>
        <v>LEVERE CRAIG</v>
      </c>
      <c r="M195" s="6">
        <f t="shared" si="74"/>
        <v>1.2708333335467614E-2</v>
      </c>
      <c r="N195" s="7">
        <f t="shared" si="75"/>
        <v>18.300000003073364</v>
      </c>
      <c r="O195" s="7"/>
      <c r="P195" s="7"/>
      <c r="Q195" s="22"/>
      <c r="R195" s="22"/>
      <c r="S195" s="31">
        <f t="shared" si="76"/>
        <v>1</v>
      </c>
      <c r="T195" s="46" t="str">
        <f t="shared" si="77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78"/>
        <v>https://d0f6bd738d7f1b3e5a7ca70fe4ff75f0.us-east-1.aws.found.io/app/kibana#/discover/Steve-Slow-Train-Analysis-(2080s-and-2083s)?_g=(refreshInterval:(display:Off,pause:!f,section:0,value:0),time:(from:'2017-02-03T16:36:28-0700',mode:absolute,to:'2017-02-03T18:56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192" t="str">
        <f t="shared" si="79"/>
        <v>N</v>
      </c>
      <c r="X195" s="192">
        <f t="shared" si="80"/>
        <v>1</v>
      </c>
      <c r="Y195" s="62">
        <f t="shared" si="81"/>
        <v>5.8644999999999996</v>
      </c>
      <c r="Z195" s="62">
        <f t="shared" si="82"/>
        <v>7.0099999999999996E-2</v>
      </c>
      <c r="AA195" s="62">
        <f t="shared" si="83"/>
        <v>5.7943999999999996</v>
      </c>
      <c r="AB195" s="59" t="e">
        <f>VLOOKUP(A195,Enforcements!$C$7:$K$16,8,0)</f>
        <v>#N/A</v>
      </c>
      <c r="AC195" s="55" t="e">
        <f>VLOOKUP(A195,Enforcements!$C$7:$E$16,3,0)</f>
        <v>#N/A</v>
      </c>
      <c r="AD195" s="56" t="str">
        <f t="shared" si="84"/>
        <v>0834-03</v>
      </c>
      <c r="AE195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95" s="82" t="str">
        <f t="shared" si="86"/>
        <v>"C:\Program Files (x86)\AstroGrep\AstroGrep.exe" /spath="%USERPROFILE%\AppData\Local\Temp\OnboardLogs" /stypes="app*4019*20170204*" /stext=" 00:.+((SYSTEM_STATE.+slice.+state.+changed )|(ment ac)|(multiple cpu faults)|(system.+state.+changed )|(\[timeout)|(PRM\|1\|D)|(kpr)|(kdp)|(\|lc)|(penalty))" /e /r /s</v>
      </c>
      <c r="AG195" s="1" t="str">
        <f t="shared" si="87"/>
        <v>NW</v>
      </c>
      <c r="AH195" s="86" t="str">
        <f t="shared" si="88"/>
        <v>"%USERPROFILE%\Documents\GitHub\eaglep3\Utilities\RefineRTDCRunTimes.py" --tripid 834-03 --locoid 4019 --swversion DE.1.0.8.0 --startMP 300:58645 --initTime 2017-02-03T17:36:28 --startdatetime 2017-02-03T17:38:36 --delay 1 --endMP 204:701 --enddatetime 2017-02-03T17:56:54 --enforcementcount 0 &gt;&gt;C:\Users\stu\Documents\GitHub\eaglep3-reporting\EC\2017-02-03-refined-times.txt</v>
      </c>
      <c r="AI195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{"issue":{"subject":"","project_id":79,"tracker_id":40,"status_id":1,"priority_id":2,"assigned_to_id":23,"start_date":"2017-02-03","description":"","custom_fields":[{"id":1,"name":"Subdivision","value":"NW"},{"id":4,"name":"Milepost","value":"0.0701"},{"id":17,"name":"Train ID","value":"834-03"},{"id":16,"name":"Locomotive ID","value":"4019"},{"id":130,"name":"Impact","value":""},{"id":150,"name":"Time of Event (Mountain Time)","value":"17:56:54"},{"id":151,"name":"Denver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8" t="str">
        <f t="shared" si="90"/>
        <v>start /low /b %USERPROFILE%\Documents\GitHub\eaglep3\Utilities\DownloadLogsFromS3.py --loco 4019 --day 2017-02-03</v>
      </c>
      <c r="AN195" s="167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2017-02-03-UncaughtWiMAX.txt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3" t="s">
        <v>715</v>
      </c>
      <c r="B196" s="7">
        <v>4029</v>
      </c>
      <c r="C196" s="21" t="s">
        <v>193</v>
      </c>
      <c r="D196" s="21" t="s">
        <v>435</v>
      </c>
      <c r="E196" s="13">
        <v>42769.739606481482</v>
      </c>
      <c r="F196" s="13">
        <v>42769.744004629632</v>
      </c>
      <c r="G196" s="7">
        <v>3</v>
      </c>
      <c r="H196" s="21" t="s">
        <v>891</v>
      </c>
      <c r="I196" s="13">
        <v>42769.75440972222</v>
      </c>
      <c r="J196" s="7">
        <v>0</v>
      </c>
      <c r="K196" s="98" t="str">
        <f t="shared" si="73"/>
        <v>4029/4030</v>
      </c>
      <c r="L196" s="21" t="str">
        <f>VLOOKUP(A196,'Trips&amp;Operators'!$C$1:$G$99999,5,FALSE)</f>
        <v>MCREYNOLDS KYLE</v>
      </c>
      <c r="M196" s="6">
        <f t="shared" si="74"/>
        <v>1.0405092587461695E-2</v>
      </c>
      <c r="N196" s="7">
        <f t="shared" si="75"/>
        <v>14.983333325944841</v>
      </c>
      <c r="O196" s="7"/>
      <c r="P196" s="7"/>
      <c r="Q196" s="22"/>
      <c r="R196" s="22"/>
      <c r="S196" s="31">
        <f t="shared" si="76"/>
        <v>1</v>
      </c>
      <c r="T196" s="46" t="str">
        <f t="shared" si="77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78"/>
        <v>https://d0f6bd738d7f1b3e5a7ca70fe4ff75f0.us-east-1.aws.found.io/app/kibana#/discover/Steve-Slow-Train-Analysis-(2080s-and-2083s)?_g=(refreshInterval:(display:Off,pause:!f,section:0,value:0),time:(from:'2017-02-03T16:45:02-0700',mode:absolute,to:'2017-02-03T19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6" s="192" t="str">
        <f t="shared" si="79"/>
        <v>N</v>
      </c>
      <c r="X196" s="192">
        <f t="shared" si="80"/>
        <v>1</v>
      </c>
      <c r="Y196" s="62">
        <f t="shared" si="81"/>
        <v>9.9000000000000005E-2</v>
      </c>
      <c r="Z196" s="62">
        <f t="shared" si="82"/>
        <v>5.8930999999999996</v>
      </c>
      <c r="AA196" s="62">
        <f t="shared" si="83"/>
        <v>5.7940999999999994</v>
      </c>
      <c r="AB196" s="59" t="e">
        <f>VLOOKUP(A196,Enforcements!$C$7:$K$16,8,0)</f>
        <v>#N/A</v>
      </c>
      <c r="AC196" s="55" t="e">
        <f>VLOOKUP(A196,Enforcements!$C$7:$E$16,3,0)</f>
        <v>#N/A</v>
      </c>
      <c r="AD196" s="56" t="str">
        <f t="shared" si="84"/>
        <v>0835-03</v>
      </c>
      <c r="AE196" s="85" t="str">
        <f t="shared" si="85"/>
        <v>aws s3 cp s3://rtdc.mdm.uploadarchive.raw/RTDC4029/ "%USERPROFILE%\AppData\Local\Temp\OnboardLogs"\RTDC4029\2017-02-03 --exclude "*" --recursive --include "*20170203*" &amp; "%USERPROFILE%\Documents\GitHub\mrs-test-scripts\Headless Mode &amp; Sideloading\WalkAndUnGZ.bat" "%USERPROFILE%\AppData\Local\Temp\OnboardLogs"\RTDC4029\2017-02-03 &amp; 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</v>
      </c>
      <c r="AF196" s="82" t="str">
        <f t="shared" si="86"/>
        <v>"C:\Program Files (x86)\AstroGrep\AstroGrep.exe" /spath="%USERPROFILE%\AppData\Local\Temp\OnboardLogs" /stypes="app*4029*20170204*" /stext=" 01:.+((SYSTEM_STATE.+slice.+state.+changed )|(ment ac)|(multiple cpu faults)|(system.+state.+changed )|(\[timeout)|(PRM\|1\|D)|(kpr)|(kdp)|(\|lc)|(penalty))" /e /r /s</v>
      </c>
      <c r="AG196" s="1" t="str">
        <f t="shared" si="87"/>
        <v>NW</v>
      </c>
      <c r="AH196" s="86" t="str">
        <f t="shared" si="88"/>
        <v>"%USERPROFILE%\Documents\GitHub\eaglep3\Utilities\RefineRTDCRunTimes.py" --tripid 835-03 --locoid 4029 --swversion DE.1.0.8.0 --startMP 204:990 --initTime 2017-02-03T17:45:02 --startdatetime 2017-02-03T17:51:22 --delay 3 --endMP 300:58931 --enddatetime 2017-02-03T18:06:21 --enforcementcount 0 &gt;&gt;C:\Users\stu\Documents\GitHub\eaglep3-reporting\EC\2017-02-03-refined-times.txt</v>
      </c>
      <c r="AI196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{"issue":{"subject":"","project_id":79,"tracker_id":40,"status_id":1,"priority_id":2,"assigned_to_id":23,"start_date":"2017-02-03","description":"","custom_fields":[{"id":1,"name":"Subdivision","value":"NW"},{"id":4,"name":"Milepost","value":"5.8931"},{"id":17,"name":"Train ID","value":"835-03"},{"id":16,"name":"Locomotive ID","value":"4029"},{"id":130,"name":"Impact","value":""},{"id":150,"name":"Time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8" t="str">
        <f t="shared" si="90"/>
        <v>start /low /b %USERPROFILE%\Documents\GitHub\eaglep3\Utilities\DownloadLogsFromS3.py --loco 4029 --day 2017-02-03</v>
      </c>
      <c r="AN196" s="167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"%USERPROFILE%\AppData\Local\Temp\OnboardLogs"\RTDC4029\*4029*20170204* | grep -SE "(Enforcement Action)|(\[TIMEOUT)|(CHR.+\|PRM\|1\|D.+(SWITCH|SIGNAL).+UNKNOWN)" - &gt;&gt; 2017-02-03-UncaughtWiMAX.txt</v>
      </c>
    </row>
    <row r="197" spans="1:91" x14ac:dyDescent="0.25">
      <c r="A197" s="33" t="s">
        <v>719</v>
      </c>
      <c r="B197" s="7">
        <v>4030</v>
      </c>
      <c r="C197" s="21" t="s">
        <v>193</v>
      </c>
      <c r="D197" s="21" t="s">
        <v>383</v>
      </c>
      <c r="E197" s="13">
        <v>42769.756319444445</v>
      </c>
      <c r="F197" s="13">
        <v>42769.758206018516</v>
      </c>
      <c r="G197" s="7">
        <v>1</v>
      </c>
      <c r="H197" s="21" t="s">
        <v>892</v>
      </c>
      <c r="I197" s="13">
        <v>42769.76834490741</v>
      </c>
      <c r="J197" s="7">
        <v>0</v>
      </c>
      <c r="K197" s="98" t="str">
        <f t="shared" si="73"/>
        <v>4029/4030</v>
      </c>
      <c r="L197" s="21" t="str">
        <f>VLOOKUP(A197,'Trips&amp;Operators'!$C$1:$G$99999,5,FALSE)</f>
        <v>MCREYNOLDS KYLE</v>
      </c>
      <c r="M197" s="6">
        <f t="shared" si="74"/>
        <v>1.0138888894289266E-2</v>
      </c>
      <c r="N197" s="7">
        <f t="shared" si="75"/>
        <v>14.600000007776543</v>
      </c>
      <c r="O197" s="7"/>
      <c r="P197" s="7"/>
      <c r="Q197" s="22"/>
      <c r="R197" s="22"/>
      <c r="S197" s="31">
        <f t="shared" si="76"/>
        <v>1</v>
      </c>
      <c r="T197" s="46" t="str">
        <f t="shared" si="77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78"/>
        <v>https://d0f6bd738d7f1b3e5a7ca70fe4ff75f0.us-east-1.aws.found.io/app/kibana#/discover/Steve-Slow-Train-Analysis-(2080s-and-2083s)?_g=(refreshInterval:(display:Off,pause:!f,section:0,value:0),time:(from:'2017-02-03T17:09:06-0700',mode:absolute,to:'2017-02-03T19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192" t="str">
        <f t="shared" si="79"/>
        <v>N</v>
      </c>
      <c r="X197" s="192">
        <f t="shared" si="80"/>
        <v>1</v>
      </c>
      <c r="Y197" s="62">
        <f t="shared" si="81"/>
        <v>5.8619000000000003</v>
      </c>
      <c r="Z197" s="62">
        <f t="shared" si="82"/>
        <v>7.0999999999999994E-2</v>
      </c>
      <c r="AA197" s="62">
        <f t="shared" si="83"/>
        <v>5.7909000000000006</v>
      </c>
      <c r="AB197" s="59" t="e">
        <f>VLOOKUP(A197,Enforcements!$C$7:$K$16,8,0)</f>
        <v>#N/A</v>
      </c>
      <c r="AC197" s="55" t="e">
        <f>VLOOKUP(A197,Enforcements!$C$7:$E$16,3,0)</f>
        <v>#N/A</v>
      </c>
      <c r="AD197" s="56" t="str">
        <f t="shared" si="84"/>
        <v>0836-03</v>
      </c>
      <c r="AE197" s="85" t="str">
        <f t="shared" si="85"/>
        <v>aws s3 cp s3://rtdc.mdm.uploadarchive.raw/RTDC4030/ "%USERPROFILE%\AppData\Local\Temp\OnboardLogs"\RTDC4030\2017-02-03 --exclude "*" --recursive --include "*20170203*" &amp; "%USERPROFILE%\Documents\GitHub\mrs-test-scripts\Headless Mode &amp; Sideloading\WalkAndUnGZ.bat" "%USERPROFILE%\AppData\Local\Temp\OnboardLogs"\RTDC4030\2017-02-03 &amp; 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</v>
      </c>
      <c r="AF197" s="82" t="str">
        <f t="shared" si="86"/>
        <v>"C:\Program Files (x86)\AstroGrep\AstroGrep.exe" /spath="%USERPROFILE%\AppData\Local\Temp\OnboardLogs" /stypes="app*4030*20170204*" /stext=" 01:.+((SYSTEM_STATE.+slice.+state.+changed )|(ment ac)|(multiple cpu faults)|(system.+state.+changed )|(\[timeout)|(PRM\|1\|D)|(kpr)|(kdp)|(\|lc)|(penalty))" /e /r /s</v>
      </c>
      <c r="AG197" s="1" t="str">
        <f t="shared" si="87"/>
        <v>NW</v>
      </c>
      <c r="AH197" s="86" t="str">
        <f t="shared" si="88"/>
        <v>"%USERPROFILE%\Documents\GitHub\eaglep3\Utilities\RefineRTDCRunTimes.py" --tripid 836-03 --locoid 4030 --swversion DE.1.0.8.0 --startMP 300:58619 --initTime 2017-02-03T18:09:06 --startdatetime 2017-02-03T18:11:49 --delay 1 --endMP 204:710 --enddatetime 2017-02-03T18:26:25 --enforcementcount 0 &gt;&gt;C:\Users\stu\Documents\GitHub\eaglep3-reporting\EC\2017-02-03-refined-times.txt</v>
      </c>
      <c r="AI197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{"issue":{"subject":"","project_id":79,"tracker_id":40,"status_id":1,"priority_id":2,"assigned_to_id":23,"start_date":"2017-02-03","description":"","custom_fields":[{"id":1,"name":"Subdivision","value":"NW"},{"id":4,"name":"Milepost","value":"0.071"},{"id":17,"name":"Train ID","value":"836-03"},{"id":16,"name":"Locomotive ID","value":"4030"},{"id":130,"name":"Impact","value":""},{"id":150,"name":"Time of Event (Mountain Time)","value":"18:26:25"},{"id":151,"name":"Denver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8" t="str">
        <f t="shared" si="90"/>
        <v>start /low /b %USERPROFILE%\Documents\GitHub\eaglep3\Utilities\DownloadLogsFromS3.py --loco 4030 --day 2017-02-03</v>
      </c>
      <c r="AN197" s="167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2017-02-03-UncaughtWiMAX.txt</v>
      </c>
    </row>
    <row r="198" spans="1:91" x14ac:dyDescent="0.25">
      <c r="A198" s="33" t="s">
        <v>720</v>
      </c>
      <c r="B198" s="7">
        <v>4020</v>
      </c>
      <c r="C198" s="21" t="s">
        <v>193</v>
      </c>
      <c r="D198" s="21" t="s">
        <v>859</v>
      </c>
      <c r="E198" s="13">
        <v>42769.757222222222</v>
      </c>
      <c r="F198" s="13">
        <v>42769.764791666668</v>
      </c>
      <c r="G198" s="7">
        <v>1</v>
      </c>
      <c r="H198" s="21" t="s">
        <v>380</v>
      </c>
      <c r="I198" s="13">
        <v>42769.774525462963</v>
      </c>
      <c r="J198" s="7">
        <v>0</v>
      </c>
      <c r="K198" s="98" t="str">
        <f t="shared" si="73"/>
        <v>4019/4020</v>
      </c>
      <c r="L198" s="21" t="str">
        <f>VLOOKUP(A198,'Trips&amp;Operators'!$C$1:$G$99999,5,FALSE)</f>
        <v>LEVERE CRAIG</v>
      </c>
      <c r="M198" s="6">
        <f t="shared" si="74"/>
        <v>9.7337962943129241E-3</v>
      </c>
      <c r="N198" s="7">
        <f t="shared" si="75"/>
        <v>14.016666663810611</v>
      </c>
      <c r="O198" s="7"/>
      <c r="P198" s="7"/>
      <c r="Q198" s="22"/>
      <c r="R198" s="22"/>
      <c r="S198" s="31">
        <f t="shared" si="76"/>
        <v>1</v>
      </c>
      <c r="T198" s="46" t="str">
        <f t="shared" si="77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78"/>
        <v>https://d0f6bd738d7f1b3e5a7ca70fe4ff75f0.us-east-1.aws.found.io/app/kibana#/discover/Steve-Slow-Train-Analysis-(2080s-and-2083s)?_g=(refreshInterval:(display:Off,pause:!f,section:0,value:0),time:(from:'2017-02-03T17:10:24-0700',mode:absolute,to:'2017-02-03T19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8" s="192" t="str">
        <f t="shared" si="79"/>
        <v>N</v>
      </c>
      <c r="X198" s="192">
        <f t="shared" si="80"/>
        <v>1</v>
      </c>
      <c r="Y198" s="62">
        <f t="shared" si="81"/>
        <v>9.8299999999999998E-2</v>
      </c>
      <c r="Z198" s="62">
        <f t="shared" si="82"/>
        <v>5.8954000000000004</v>
      </c>
      <c r="AA198" s="62">
        <f t="shared" si="83"/>
        <v>5.7971000000000004</v>
      </c>
      <c r="AB198" s="59" t="e">
        <f>VLOOKUP(A198,Enforcements!$C$7:$K$16,8,0)</f>
        <v>#N/A</v>
      </c>
      <c r="AC198" s="55" t="e">
        <f>VLOOKUP(A198,Enforcements!$C$7:$E$16,3,0)</f>
        <v>#N/A</v>
      </c>
      <c r="AD198" s="56" t="str">
        <f t="shared" si="84"/>
        <v>0837-03</v>
      </c>
      <c r="AE198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198" s="82" t="str">
        <f t="shared" si="86"/>
        <v>"C:\Program Files (x86)\AstroGrep\AstroGrep.exe" /spath="%USERPROFILE%\AppData\Local\Temp\OnboardLogs" /stypes="app*4020*20170204*" /stext=" 01:.+((SYSTEM_STATE.+slice.+state.+changed )|(ment ac)|(multiple cpu faults)|(system.+state.+changed )|(\[timeout)|(PRM\|1\|D)|(kpr)|(kdp)|(\|lc)|(penalty))" /e /r /s</v>
      </c>
      <c r="AG198" s="1" t="str">
        <f t="shared" si="87"/>
        <v>NW</v>
      </c>
      <c r="AH198" s="86" t="str">
        <f t="shared" si="88"/>
        <v>"%USERPROFILE%\Documents\GitHub\eaglep3\Utilities\RefineRTDCRunTimes.py" --tripid 837-03 --locoid 4020 --swversion DE.1.0.8.0 --startMP 204:983 --initTime 2017-02-03T18:10:24 --startdatetime 2017-02-03T18:21:18 --delay 1 --endMP 300:58954 --enddatetime 2017-02-03T18:35:19 --enforcementcount 0 &gt;&gt;C:\Users\stu\Documents\GitHub\eaglep3-reporting\EC\2017-02-03-refined-times.txt</v>
      </c>
      <c r="AI198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{"issue":{"subject":"","project_id":79,"tracker_id":40,"status_id":1,"priority_id":2,"assigned_to_id":23,"start_date":"2017-02-03","description":"","custom_fields":[{"id":1,"name":"Subdivision","value":"NW"},{"id":4,"name":"Milepost","value":"5.8954"},{"id":17,"name":"Train ID","value":"837-03"},{"id":16,"name":"Locomotive ID","value":"4020"},{"id":130,"name":"Impact","value":""},{"id":150,"name":"Time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8" t="str">
        <f t="shared" si="90"/>
        <v>start /low /b %USERPROFILE%\Documents\GitHub\eaglep3\Utilities\DownloadLogsFromS3.py --loco 4020 --day 2017-02-03</v>
      </c>
      <c r="AN198" s="167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2017-02-03-UncaughtWiMAX.txt</v>
      </c>
    </row>
    <row r="199" spans="1:91" s="20" customFormat="1" x14ac:dyDescent="0.25">
      <c r="A199" s="33" t="s">
        <v>726</v>
      </c>
      <c r="B199" s="7">
        <v>4019</v>
      </c>
      <c r="C199" s="21" t="s">
        <v>193</v>
      </c>
      <c r="D199" s="21" t="s">
        <v>440</v>
      </c>
      <c r="E199" s="13">
        <v>42769.775590277779</v>
      </c>
      <c r="F199" s="13">
        <v>42769.777002314811</v>
      </c>
      <c r="G199" s="7">
        <v>1</v>
      </c>
      <c r="H199" s="21" t="s">
        <v>886</v>
      </c>
      <c r="I199" s="13">
        <v>42769.789895833332</v>
      </c>
      <c r="J199" s="7">
        <v>0</v>
      </c>
      <c r="K199" s="98" t="str">
        <f t="shared" si="73"/>
        <v>4019/4020</v>
      </c>
      <c r="L199" s="21" t="str">
        <f>VLOOKUP(A199,'Trips&amp;Operators'!$C$1:$G$99999,5,FALSE)</f>
        <v>LEVERE CRAIG</v>
      </c>
      <c r="M199" s="6">
        <f t="shared" si="74"/>
        <v>1.2893518520286307E-2</v>
      </c>
      <c r="N199" s="7">
        <f t="shared" si="75"/>
        <v>18.566666669212282</v>
      </c>
      <c r="O199" s="7"/>
      <c r="P199" s="7"/>
      <c r="Q199" s="22"/>
      <c r="R199" s="22"/>
      <c r="S199" s="31">
        <f t="shared" si="76"/>
        <v>1</v>
      </c>
      <c r="T199" s="46" t="str">
        <f t="shared" si="77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78"/>
        <v>https://d0f6bd738d7f1b3e5a7ca70fe4ff75f0.us-east-1.aws.found.io/app/kibana#/discover/Steve-Slow-Train-Analysis-(2080s-and-2083s)?_g=(refreshInterval:(display:Off,pause:!f,section:0,value:0),time:(from:'2017-02-03T17:36:51-0700',mode:absolute,to:'2017-02-03T19:57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92" t="str">
        <f t="shared" si="79"/>
        <v>N</v>
      </c>
      <c r="X199" s="192">
        <f t="shared" si="80"/>
        <v>1</v>
      </c>
      <c r="Y199" s="62">
        <f t="shared" si="81"/>
        <v>5.8651</v>
      </c>
      <c r="Z199" s="62">
        <f t="shared" si="82"/>
        <v>6.8500000000000005E-2</v>
      </c>
      <c r="AA199" s="62">
        <f t="shared" si="83"/>
        <v>5.7965999999999998</v>
      </c>
      <c r="AB199" s="59" t="e">
        <f>VLOOKUP(A199,Enforcements!$C$7:$K$16,8,0)</f>
        <v>#N/A</v>
      </c>
      <c r="AC199" s="55" t="e">
        <f>VLOOKUP(A199,Enforcements!$C$7:$E$16,3,0)</f>
        <v>#N/A</v>
      </c>
      <c r="AD199" s="56" t="str">
        <f t="shared" si="84"/>
        <v>0838-03</v>
      </c>
      <c r="AE199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199" s="82" t="str">
        <f t="shared" si="86"/>
        <v>"C:\Program Files (x86)\AstroGrep\AstroGrep.exe" /spath="%USERPROFILE%\AppData\Local\Temp\OnboardLogs" /stypes="app*4019*20170204*" /stext=" 01:.+((SYSTEM_STATE.+slice.+state.+changed )|(ment ac)|(multiple cpu faults)|(system.+state.+changed )|(\[timeout)|(PRM\|1\|D)|(kpr)|(kdp)|(\|lc)|(penalty))" /e /r /s</v>
      </c>
      <c r="AG199" s="1" t="str">
        <f t="shared" si="87"/>
        <v>NW</v>
      </c>
      <c r="AH199" s="86" t="str">
        <f t="shared" si="88"/>
        <v>"%USERPROFILE%\Documents\GitHub\eaglep3\Utilities\RefineRTDCRunTimes.py" --tripid 838-03 --locoid 4019 --swversion DE.1.0.8.0 --startMP 300:58651 --initTime 2017-02-03T18:36:51 --startdatetime 2017-02-03T18:38:53 --delay 1 --endMP 204:685 --enddatetime 2017-02-03T18:57:27 --enforcementcount 0 &gt;&gt;C:\Users\stu\Documents\GitHub\eaglep3-reporting\EC\2017-02-03-refined-times.txt</v>
      </c>
      <c r="AI199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{"issue":{"subject":"","project_id":79,"tracker_id":40,"status_id":1,"priority_id":2,"assigned_to_id":23,"start_date":"2017-02-03","description":"","custom_fields":[{"id":1,"name":"Subdivision","value":"NW"},{"id":4,"name":"Milepost","value":"0.0685"},{"id":17,"name":"Train ID","value":"838-03"},{"id":16,"name":"Locomotive ID","value":"4019"},{"id":130,"name":"Impact","value":""},{"id":150,"name":"Time of Event (Mountain Time)","value":"18:57:27"},{"id":151,"name":"Denver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8" t="str">
        <f t="shared" si="90"/>
        <v>start /low /b %USERPROFILE%\Documents\GitHub\eaglep3\Utilities\DownloadLogsFromS3.py --loco 4019 --day 2017-02-03</v>
      </c>
      <c r="AN199" s="167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2017-02-03-UncaughtWiMAX.txt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3" t="s">
        <v>724</v>
      </c>
      <c r="B200" s="7">
        <v>4029</v>
      </c>
      <c r="C200" s="21" t="s">
        <v>193</v>
      </c>
      <c r="D200" s="21" t="s">
        <v>446</v>
      </c>
      <c r="E200" s="13">
        <v>42769.772314814814</v>
      </c>
      <c r="F200" s="13">
        <v>42769.785671296297</v>
      </c>
      <c r="G200" s="7">
        <v>1</v>
      </c>
      <c r="H200" s="21" t="s">
        <v>860</v>
      </c>
      <c r="I200" s="13">
        <v>42769.795949074076</v>
      </c>
      <c r="J200" s="7">
        <v>0</v>
      </c>
      <c r="K200" s="98" t="str">
        <f t="shared" si="73"/>
        <v>4029/4030</v>
      </c>
      <c r="L200" s="21" t="str">
        <f>VLOOKUP(A200,'Trips&amp;Operators'!$C$1:$G$99999,5,FALSE)</f>
        <v>MCREYNOLDS KYLE</v>
      </c>
      <c r="M200" s="6">
        <f t="shared" si="74"/>
        <v>1.0277777779265307E-2</v>
      </c>
      <c r="N200" s="7">
        <f t="shared" si="75"/>
        <v>14.800000002142042</v>
      </c>
      <c r="O200" s="7"/>
      <c r="P200" s="7"/>
      <c r="Q200" s="22"/>
      <c r="R200" s="22"/>
      <c r="S200" s="31">
        <f t="shared" si="76"/>
        <v>1</v>
      </c>
      <c r="T200" s="46" t="str">
        <f t="shared" si="77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78"/>
        <v>https://d0f6bd738d7f1b3e5a7ca70fe4ff75f0.us-east-1.aws.found.io/app/kibana#/discover/Steve-Slow-Train-Analysis-(2080s-and-2083s)?_g=(refreshInterval:(display:Off,pause:!f,section:0,value:0),time:(from:'2017-02-03T17:32:08-0700',mode:absolute,to:'2017-02-03T20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0" s="192" t="str">
        <f t="shared" si="79"/>
        <v>N</v>
      </c>
      <c r="X200" s="192">
        <f t="shared" si="80"/>
        <v>1</v>
      </c>
      <c r="Y200" s="62">
        <f t="shared" si="81"/>
        <v>9.8500000000000004E-2</v>
      </c>
      <c r="Z200" s="62">
        <f t="shared" si="82"/>
        <v>5.8943000000000003</v>
      </c>
      <c r="AA200" s="62">
        <f t="shared" si="83"/>
        <v>5.7958000000000007</v>
      </c>
      <c r="AB200" s="59" t="e">
        <f>VLOOKUP(A200,Enforcements!$C$7:$K$16,8,0)</f>
        <v>#N/A</v>
      </c>
      <c r="AC200" s="55" t="e">
        <f>VLOOKUP(A200,Enforcements!$C$7:$E$16,3,0)</f>
        <v>#N/A</v>
      </c>
      <c r="AD200" s="56" t="str">
        <f t="shared" si="84"/>
        <v>0839-03</v>
      </c>
      <c r="AE200" s="85" t="str">
        <f t="shared" si="85"/>
        <v>aws s3 cp s3://rtdc.mdm.uploadarchive.raw/RTDC4029/ "%USERPROFILE%\AppData\Local\Temp\OnboardLogs"\RTDC4029\2017-02-03 --exclude "*" --recursive --include "*20170203*" &amp; "%USERPROFILE%\Documents\GitHub\mrs-test-scripts\Headless Mode &amp; Sideloading\WalkAndUnGZ.bat" "%USERPROFILE%\AppData\Local\Temp\OnboardLogs"\RTDC4029\2017-02-03 &amp; 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</v>
      </c>
      <c r="AF200" s="82" t="str">
        <f t="shared" si="86"/>
        <v>"C:\Program Files (x86)\AstroGrep\AstroGrep.exe" /spath="%USERPROFILE%\AppData\Local\Temp\OnboardLogs" /stypes="app*4029*20170204*" /stext=" 02:.+((SYSTEM_STATE.+slice.+state.+changed )|(ment ac)|(multiple cpu faults)|(system.+state.+changed )|(\[timeout)|(PRM\|1\|D)|(kpr)|(kdp)|(\|lc)|(penalty))" /e /r /s</v>
      </c>
      <c r="AG200" s="1" t="str">
        <f t="shared" si="87"/>
        <v>NW</v>
      </c>
      <c r="AH200" s="86" t="str">
        <f t="shared" si="88"/>
        <v>"%USERPROFILE%\Documents\GitHub\eaglep3\Utilities\RefineRTDCRunTimes.py" --tripid 839-03 --locoid 4029 --swversion DE.1.0.8.0 --startMP 204:985 --initTime 2017-02-03T18:32:08 --startdatetime 2017-02-03T18:51:22 --delay 1 --endMP 300:58943 --enddatetime 2017-02-03T19:06:10 --enforcementcount 0 &gt;&gt;C:\Users\stu\Documents\GitHub\eaglep3-reporting\EC\2017-02-03-refined-times.txt</v>
      </c>
      <c r="AI200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{"issue":{"subject":"","project_id":79,"tracker_id":40,"status_id":1,"priority_id":2,"assigned_to_id":23,"start_date":"2017-02-03","description":"","custom_fields":[{"id":1,"name":"Subdivision","value":"NW"},{"id":4,"name":"Milepost","value":"5.8943"},{"id":17,"name":"Train ID","value":"839-03"},{"id":16,"name":"Locomotive ID","value":"4029"},{"id":130,"name":"Impact","value":""},{"id":150,"name":"Time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8" t="str">
        <f t="shared" si="90"/>
        <v>start /low /b %USERPROFILE%\Documents\GitHub\eaglep3\Utilities\DownloadLogsFromS3.py --loco 4029 --day 2017-02-03</v>
      </c>
      <c r="AN200" s="167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"%USERPROFILE%\AppData\Local\Temp\OnboardLogs"\RTDC4029\*4029*20170204* | grep -SE "(Enforcement Action)|(\[TIMEOUT)|(CHR.+\|PRM\|1\|D.+(SWITCH|SIGNAL).+UNKNOWN)" - &gt;&gt; 2017-02-03-UncaughtWiMAX.txt</v>
      </c>
    </row>
    <row r="201" spans="1:91" s="20" customFormat="1" x14ac:dyDescent="0.25">
      <c r="A201" s="33" t="s">
        <v>737</v>
      </c>
      <c r="B201" s="7">
        <v>4019</v>
      </c>
      <c r="C201" s="21" t="s">
        <v>193</v>
      </c>
      <c r="D201" s="21" t="s">
        <v>893</v>
      </c>
      <c r="E201" s="13">
        <v>42769.817384259259</v>
      </c>
      <c r="F201" s="13">
        <v>42769.81894675926</v>
      </c>
      <c r="G201" s="7">
        <v>1</v>
      </c>
      <c r="H201" s="21" t="s">
        <v>439</v>
      </c>
      <c r="I201" s="13">
        <v>42769.83116898148</v>
      </c>
      <c r="J201" s="7">
        <v>0</v>
      </c>
      <c r="K201" s="98" t="str">
        <f t="shared" si="73"/>
        <v>4019/4020</v>
      </c>
      <c r="L201" s="21" t="str">
        <f>VLOOKUP(A201,'Trips&amp;Operators'!$C$1:$G$99999,5,FALSE)</f>
        <v>LEVERE CRAIG</v>
      </c>
      <c r="M201" s="6">
        <f t="shared" si="74"/>
        <v>1.2222222219861578E-2</v>
      </c>
      <c r="N201" s="7">
        <f t="shared" si="75"/>
        <v>17.599999996600673</v>
      </c>
      <c r="O201" s="7"/>
      <c r="P201" s="7"/>
      <c r="Q201" s="22"/>
      <c r="R201" s="22"/>
      <c r="S201" s="31">
        <f t="shared" si="76"/>
        <v>1</v>
      </c>
      <c r="T201" s="46" t="str">
        <f t="shared" si="77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78"/>
        <v>https://d0f6bd738d7f1b3e5a7ca70fe4ff75f0.us-east-1.aws.found.io/app/kibana#/discover/Steve-Slow-Train-Analysis-(2080s-and-2083s)?_g=(refreshInterval:(display:Off,pause:!f,section:0,value:0),time:(from:'2017-02-03T18:37:02-0700',mode:absolute,to:'2017-02-03T20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92" t="str">
        <f t="shared" si="79"/>
        <v>N</v>
      </c>
      <c r="X201" s="192">
        <f t="shared" si="80"/>
        <v>1</v>
      </c>
      <c r="Y201" s="62">
        <f t="shared" si="81"/>
        <v>5.8628</v>
      </c>
      <c r="Z201" s="62">
        <f t="shared" si="82"/>
        <v>6.8900000000000003E-2</v>
      </c>
      <c r="AA201" s="62">
        <f t="shared" si="83"/>
        <v>5.7938999999999998</v>
      </c>
      <c r="AB201" s="59" t="e">
        <f>VLOOKUP(A201,Enforcements!$C$7:$K$16,8,0)</f>
        <v>#N/A</v>
      </c>
      <c r="AC201" s="55" t="e">
        <f>VLOOKUP(A201,Enforcements!$C$7:$E$16,3,0)</f>
        <v>#N/A</v>
      </c>
      <c r="AD201" s="56" t="str">
        <f t="shared" si="84"/>
        <v>0840-03</v>
      </c>
      <c r="AE201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201" s="82" t="str">
        <f t="shared" si="86"/>
        <v>"C:\Program Files (x86)\AstroGrep\AstroGrep.exe" /spath="%USERPROFILE%\AppData\Local\Temp\OnboardLogs" /stypes="app*4019*20170204*" /stext=" 02:.+((SYSTEM_STATE.+slice.+state.+changed )|(ment ac)|(multiple cpu faults)|(system.+state.+changed )|(\[timeout)|(PRM\|1\|D)|(kpr)|(kdp)|(\|lc)|(penalty))" /e /r /s</v>
      </c>
      <c r="AG201" s="1" t="str">
        <f t="shared" si="87"/>
        <v>NW</v>
      </c>
      <c r="AH201" s="86" t="str">
        <f t="shared" si="88"/>
        <v>"%USERPROFILE%\Documents\GitHub\eaglep3\Utilities\RefineRTDCRunTimes.py" --tripid 840-03 --locoid 4019 --swversion DE.1.0.8.0 --startMP 300:58628 --initTime 2017-02-03T19:37:02 --startdatetime 2017-02-03T19:39:17 --delay 1 --endMP 204:689 --enddatetime 2017-02-03T19:56:53 --enforcementcount 0 &gt;&gt;C:\Users\stu\Documents\GitHub\eaglep3-reporting\EC\2017-02-03-refined-times.txt</v>
      </c>
      <c r="AI201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{"issue":{"subject":"","project_id":79,"tracker_id":40,"status_id":1,"priority_id":2,"assigned_to_id":23,"start_date":"2017-02-03","description":"","custom_fields":[{"id":1,"name":"Subdivision","value":"NW"},{"id":4,"name":"Milepost","value":"0.0689"},{"id":17,"name":"Train ID","value":"840-03"},{"id":16,"name":"Locomotive ID","value":"4019"},{"id":130,"name":"Impact","value":""},{"id":150,"name":"Time of Event (Mountain Time)","value":"19:56:53"},{"id":151,"name":"Denver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8" t="str">
        <f t="shared" si="90"/>
        <v>start /low /b %USERPROFILE%\Documents\GitHub\eaglep3\Utilities\DownloadLogsFromS3.py --loco 4019 --day 2017-02-03</v>
      </c>
      <c r="AN201" s="167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2017-02-03-UncaughtWiMAX.txt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3" t="s">
        <v>735</v>
      </c>
      <c r="B202" s="7">
        <v>4020</v>
      </c>
      <c r="C202" s="21" t="s">
        <v>193</v>
      </c>
      <c r="D202" s="21" t="s">
        <v>382</v>
      </c>
      <c r="E202" s="13">
        <v>42769.801342592589</v>
      </c>
      <c r="F202" s="13">
        <v>42769.806435185186</v>
      </c>
      <c r="G202" s="7">
        <v>1</v>
      </c>
      <c r="H202" s="21" t="s">
        <v>381</v>
      </c>
      <c r="I202" s="13">
        <v>42769.816192129627</v>
      </c>
      <c r="J202" s="7">
        <v>0</v>
      </c>
      <c r="K202" s="98" t="str">
        <f t="shared" si="73"/>
        <v>4019/4020</v>
      </c>
      <c r="L202" s="21" t="str">
        <f>VLOOKUP(A202,'Trips&amp;Operators'!$C$1:$G$99999,5,FALSE)</f>
        <v>LEVERE CRAIG</v>
      </c>
      <c r="M202" s="6">
        <f t="shared" si="74"/>
        <v>9.7569444405962713E-3</v>
      </c>
      <c r="N202" s="7">
        <f t="shared" si="75"/>
        <v>14.049999994458631</v>
      </c>
      <c r="O202" s="7"/>
      <c r="P202" s="7"/>
      <c r="Q202" s="22"/>
      <c r="R202" s="22"/>
      <c r="S202" s="31">
        <f t="shared" si="76"/>
        <v>1</v>
      </c>
      <c r="T202" s="46" t="str">
        <f t="shared" si="77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78"/>
        <v>https://d0f6bd738d7f1b3e5a7ca70fe4ff75f0.us-east-1.aws.found.io/app/kibana#/discover/Steve-Slow-Train-Analysis-(2080s-and-2083s)?_g=(refreshInterval:(display:Off,pause:!f,section:0,value:0),time:(from:'2017-02-03T18:13:56-0700',mode:absolute,to:'2017-02-03T20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92" t="str">
        <f t="shared" si="79"/>
        <v>N</v>
      </c>
      <c r="X202" s="192">
        <f t="shared" si="80"/>
        <v>1</v>
      </c>
      <c r="Y202" s="62">
        <f t="shared" si="81"/>
        <v>9.7900000000000001E-2</v>
      </c>
      <c r="Z202" s="62">
        <f t="shared" si="82"/>
        <v>5.8948</v>
      </c>
      <c r="AA202" s="62">
        <f t="shared" si="83"/>
        <v>5.7968999999999999</v>
      </c>
      <c r="AB202" s="59" t="e">
        <f>VLOOKUP(A202,Enforcements!$C$7:$K$16,8,0)</f>
        <v>#N/A</v>
      </c>
      <c r="AC202" s="55" t="e">
        <f>VLOOKUP(A202,Enforcements!$C$7:$E$16,3,0)</f>
        <v>#N/A</v>
      </c>
      <c r="AD202" s="56" t="str">
        <f t="shared" si="84"/>
        <v>0841-03</v>
      </c>
      <c r="AE202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202" s="82" t="str">
        <f t="shared" si="86"/>
        <v>"C:\Program Files (x86)\AstroGrep\AstroGrep.exe" /spath="%USERPROFILE%\AppData\Local\Temp\OnboardLogs" /stypes="app*4020*20170204*" /stext=" 02:.+((SYSTEM_STATE.+slice.+state.+changed )|(ment ac)|(multiple cpu faults)|(system.+state.+changed )|(\[timeout)|(PRM\|1\|D)|(kpr)|(kdp)|(\|lc)|(penalty))" /e /r /s</v>
      </c>
      <c r="AG202" s="1" t="str">
        <f t="shared" si="87"/>
        <v>NW</v>
      </c>
      <c r="AH202" s="86" t="str">
        <f t="shared" si="88"/>
        <v>"%USERPROFILE%\Documents\GitHub\eaglep3\Utilities\RefineRTDCRunTimes.py" --tripid 841-03 --locoid 4020 --swversion DE.1.0.8.0 --startMP 204:979 --initTime 2017-02-03T19:13:56 --startdatetime 2017-02-03T19:21:16 --delay 1 --endMP 300:58948 --enddatetime 2017-02-03T19:35:19 --enforcementcount 0 &gt;&gt;C:\Users\stu\Documents\GitHub\eaglep3-reporting\EC\2017-02-03-refined-times.txt</v>
      </c>
      <c r="AI202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{"issue":{"subject":"","project_id":79,"tracker_id":40,"status_id":1,"priority_id":2,"assigned_to_id":23,"start_date":"2017-02-03","description":"","custom_fields":[{"id":1,"name":"Subdivision","value":"NW"},{"id":4,"name":"Milepost","value":"5.8948"},{"id":17,"name":"Train ID","value":"841-03"},{"id":16,"name":"Locomotive ID","value":"4020"},{"id":130,"name":"Impact","value":""},{"id":150,"name":"Time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8" t="str">
        <f t="shared" si="90"/>
        <v>start /low /b %USERPROFILE%\Documents\GitHub\eaglep3\Utilities\DownloadLogsFromS3.py --loco 4020 --day 2017-02-03</v>
      </c>
      <c r="AN202" s="167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2017-02-03-UncaughtWiMAX.txt</v>
      </c>
    </row>
    <row r="203" spans="1:91" x14ac:dyDescent="0.25">
      <c r="A203" s="33" t="s">
        <v>743</v>
      </c>
      <c r="B203" s="7">
        <v>4019</v>
      </c>
      <c r="C203" s="21" t="s">
        <v>193</v>
      </c>
      <c r="D203" s="21" t="s">
        <v>341</v>
      </c>
      <c r="E203" s="13">
        <v>42769.859444444446</v>
      </c>
      <c r="F203" s="13">
        <v>42769.861435185187</v>
      </c>
      <c r="G203" s="7">
        <v>1</v>
      </c>
      <c r="H203" s="21" t="s">
        <v>439</v>
      </c>
      <c r="I203" s="13">
        <v>42769.873078703706</v>
      </c>
      <c r="J203" s="7">
        <v>0</v>
      </c>
      <c r="K203" s="98" t="str">
        <f t="shared" si="73"/>
        <v>4019/4020</v>
      </c>
      <c r="L203" s="21" t="str">
        <f>VLOOKUP(A203,'Trips&amp;Operators'!$C$1:$G$99999,5,FALSE)</f>
        <v>LEVERE CRAIG</v>
      </c>
      <c r="M203" s="6">
        <f t="shared" si="74"/>
        <v>1.1643518519122154E-2</v>
      </c>
      <c r="N203" s="7">
        <f t="shared" si="75"/>
        <v>16.766666667535901</v>
      </c>
      <c r="O203" s="7"/>
      <c r="P203" s="7"/>
      <c r="Q203" s="22"/>
      <c r="R203" s="22"/>
      <c r="S203" s="31">
        <f t="shared" si="76"/>
        <v>1</v>
      </c>
      <c r="T203" s="46" t="str">
        <f t="shared" si="77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78"/>
        <v>https://d0f6bd738d7f1b3e5a7ca70fe4ff75f0.us-east-1.aws.found.io/app/kibana#/discover/Steve-Slow-Train-Analysis-(2080s-and-2083s)?_g=(refreshInterval:(display:Off,pause:!f,section:0,value:0),time:(from:'2017-02-03T19:37:36-0700',mode:absolute,to:'2017-02-03T21:57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192" t="str">
        <f t="shared" si="79"/>
        <v>N</v>
      </c>
      <c r="X203" s="192">
        <f t="shared" si="80"/>
        <v>1</v>
      </c>
      <c r="Y203" s="62">
        <f t="shared" si="81"/>
        <v>5.8648999999999996</v>
      </c>
      <c r="Z203" s="62">
        <f t="shared" si="82"/>
        <v>6.8900000000000003E-2</v>
      </c>
      <c r="AA203" s="62">
        <f t="shared" si="83"/>
        <v>5.7959999999999994</v>
      </c>
      <c r="AB203" s="59" t="e">
        <f>VLOOKUP(A203,Enforcements!$C$7:$K$16,8,0)</f>
        <v>#N/A</v>
      </c>
      <c r="AC203" s="55" t="e">
        <f>VLOOKUP(A203,Enforcements!$C$7:$E$16,3,0)</f>
        <v>#N/A</v>
      </c>
      <c r="AD203" s="56" t="str">
        <f t="shared" si="84"/>
        <v>0842-03</v>
      </c>
      <c r="AE203" s="85" t="str">
        <f t="shared" si="85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203" s="82" t="str">
        <f t="shared" si="86"/>
        <v>"C:\Program Files (x86)\AstroGrep\AstroGrep.exe" /spath="%USERPROFILE%\AppData\Local\Temp\OnboardLogs" /stypes="app*4019*20170204*" /stext=" 03:.+((SYSTEM_STATE.+slice.+state.+changed )|(ment ac)|(multiple cpu faults)|(system.+state.+changed )|(\[timeout)|(PRM\|1\|D)|(kpr)|(kdp)|(\|lc)|(penalty))" /e /r /s</v>
      </c>
      <c r="AG203" s="1" t="str">
        <f t="shared" si="87"/>
        <v>NW</v>
      </c>
      <c r="AH203" s="86" t="str">
        <f t="shared" si="88"/>
        <v>"%USERPROFILE%\Documents\GitHub\eaglep3\Utilities\RefineRTDCRunTimes.py" --tripid 842-03 --locoid 4019 --swversion DE.1.0.8.0 --startMP 300:58649 --initTime 2017-02-03T20:37:36 --startdatetime 2017-02-03T20:40:28 --delay 1 --endMP 204:689 --enddatetime 2017-02-03T20:57:14 --enforcementcount 0 &gt;&gt;C:\Users\stu\Documents\GitHub\eaglep3-reporting\EC\2017-02-03-refined-times.txt</v>
      </c>
      <c r="AI203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{"issue":{"subject":"","project_id":79,"tracker_id":40,"status_id":1,"priority_id":2,"assigned_to_id":23,"start_date":"2017-02-03","description":"","custom_fields":[{"id":1,"name":"Subdivision","value":"NW"},{"id":4,"name":"Milepost","value":"0.0689"},{"id":17,"name":"Train ID","value":"842-03"},{"id":16,"name":"Locomotive ID","value":"4019"},{"id":130,"name":"Impact","value":""},{"id":150,"name":"Time of Event (Mountain Time)","value":"20:57:14"},{"id":151,"name":"Denver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8" t="str">
        <f t="shared" si="90"/>
        <v>start /low /b %USERPROFILE%\Documents\GitHub\eaglep3\Utilities\DownloadLogsFromS3.py --loco 4019 --day 2017-02-03</v>
      </c>
      <c r="AN203" s="167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2017-02-03-UncaughtWiMAX.txt</v>
      </c>
    </row>
    <row r="204" spans="1:91" x14ac:dyDescent="0.25">
      <c r="A204" s="33" t="s">
        <v>740</v>
      </c>
      <c r="B204" s="7">
        <v>4020</v>
      </c>
      <c r="C204" s="21" t="s">
        <v>193</v>
      </c>
      <c r="D204" s="21" t="s">
        <v>443</v>
      </c>
      <c r="E204" s="13">
        <v>42769.840185185189</v>
      </c>
      <c r="F204" s="13">
        <v>42769.848541666666</v>
      </c>
      <c r="G204" s="7">
        <v>1</v>
      </c>
      <c r="H204" s="21" t="s">
        <v>894</v>
      </c>
      <c r="I204" s="13">
        <v>42769.858067129629</v>
      </c>
      <c r="J204" s="7">
        <v>0</v>
      </c>
      <c r="K204" s="98" t="str">
        <f t="shared" si="73"/>
        <v>4019/4020</v>
      </c>
      <c r="L204" s="21" t="str">
        <f>VLOOKUP(A204,'Trips&amp;Operators'!$C$1:$G$99999,5,FALSE)</f>
        <v>LEVERE CRAIG</v>
      </c>
      <c r="M204" s="6">
        <f t="shared" si="74"/>
        <v>9.5254629632108845E-3</v>
      </c>
      <c r="N204" s="7">
        <f t="shared" si="75"/>
        <v>13.716666667023674</v>
      </c>
      <c r="O204" s="7"/>
      <c r="P204" s="7"/>
      <c r="Q204" s="22"/>
      <c r="R204" s="22"/>
      <c r="S204" s="31">
        <f t="shared" si="76"/>
        <v>1</v>
      </c>
      <c r="T204" s="46" t="str">
        <f t="shared" si="77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78"/>
        <v>https://d0f6bd738d7f1b3e5a7ca70fe4ff75f0.us-east-1.aws.found.io/app/kibana#/discover/Steve-Slow-Train-Analysis-(2080s-and-2083s)?_g=(refreshInterval:(display:Off,pause:!f,section:0,value:0),time:(from:'2017-02-03T19:09:52-0700',mode:absolute,to:'2017-02-03T21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92" t="str">
        <f t="shared" si="79"/>
        <v>N</v>
      </c>
      <c r="X204" s="192">
        <f t="shared" si="80"/>
        <v>1</v>
      </c>
      <c r="Y204" s="62">
        <f t="shared" si="81"/>
        <v>9.8100000000000007E-2</v>
      </c>
      <c r="Z204" s="62">
        <f t="shared" si="82"/>
        <v>5.8956</v>
      </c>
      <c r="AA204" s="62">
        <f t="shared" si="83"/>
        <v>5.7975000000000003</v>
      </c>
      <c r="AB204" s="59" t="e">
        <f>VLOOKUP(A204,Enforcements!$C$7:$K$16,8,0)</f>
        <v>#N/A</v>
      </c>
      <c r="AC204" s="55" t="e">
        <f>VLOOKUP(A204,Enforcements!$C$7:$E$16,3,0)</f>
        <v>#N/A</v>
      </c>
      <c r="AD204" s="56" t="str">
        <f t="shared" si="84"/>
        <v>0843-03</v>
      </c>
      <c r="AE204" s="85" t="str">
        <f t="shared" si="85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204" s="82" t="str">
        <f t="shared" si="86"/>
        <v>"C:\Program Files (x86)\AstroGrep\AstroGrep.exe" /spath="%USERPROFILE%\AppData\Local\Temp\OnboardLogs" /stypes="app*4020*20170204*" /stext=" 03:.+((SYSTEM_STATE.+slice.+state.+changed )|(ment ac)|(multiple cpu faults)|(system.+state.+changed )|(\[timeout)|(PRM\|1\|D)|(kpr)|(kdp)|(\|lc)|(penalty))" /e /r /s</v>
      </c>
      <c r="AG204" s="1" t="str">
        <f t="shared" si="87"/>
        <v>NW</v>
      </c>
      <c r="AH204" s="86" t="str">
        <f t="shared" si="88"/>
        <v>"%USERPROFILE%\Documents\GitHub\eaglep3\Utilities\RefineRTDCRunTimes.py" --tripid 843-03 --locoid 4020 --swversion DE.1.0.8.0 --startMP 204:981 --initTime 2017-02-03T20:09:52 --startdatetime 2017-02-03T20:21:54 --delay 1 --endMP 300:58956 --enddatetime 2017-02-03T20:35:37 --enforcementcount 0 &gt;&gt;C:\Users\stu\Documents\GitHub\eaglep3-reporting\EC\2017-02-03-refined-times.txt</v>
      </c>
      <c r="AI204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{"issue":{"subject":"","project_id":79,"tracker_id":40,"status_id":1,"priority_id":2,"assigned_to_id":23,"start_date":"2017-02-03","description":"","custom_fields":[{"id":1,"name":"Subdivision","value":"NW"},{"id":4,"name":"Milepost","value":"5.8956"},{"id":17,"name":"Train ID","value":"843-03"},{"id":16,"name":"Locomotive ID","value":"4020"},{"id":130,"name":"Impact","value":""},{"id":150,"name":"Time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8" t="str">
        <f t="shared" si="90"/>
        <v>start /low /b %USERPROFILE%\Documents\GitHub\eaglep3\Utilities\DownloadLogsFromS3.py --loco 4020 --day 2017-02-03</v>
      </c>
      <c r="AN204" s="167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2017-02-03-UncaughtWiMAX.txt</v>
      </c>
    </row>
    <row r="205" spans="1:91" x14ac:dyDescent="0.25">
      <c r="A205" s="33" t="s">
        <v>747</v>
      </c>
      <c r="B205" s="7">
        <v>4019</v>
      </c>
      <c r="C205" s="21" t="s">
        <v>193</v>
      </c>
      <c r="D205" s="21" t="s">
        <v>864</v>
      </c>
      <c r="E205" s="13">
        <v>42769.90152777778</v>
      </c>
      <c r="F205" s="13">
        <v>42769.902592592596</v>
      </c>
      <c r="G205" s="7">
        <v>1</v>
      </c>
      <c r="H205" s="21" t="s">
        <v>442</v>
      </c>
      <c r="I205" s="13">
        <v>42769.9141087963</v>
      </c>
      <c r="J205" s="7">
        <v>0</v>
      </c>
      <c r="K205" s="98" t="str">
        <f t="shared" ref="K205:K226" si="91">IF(ISEVEN(B205),(B205-1)&amp;"/"&amp;B205,B205&amp;"/"&amp;(B205+1))</f>
        <v>4019/4020</v>
      </c>
      <c r="L205" s="21" t="str">
        <f>VLOOKUP(A205,'Trips&amp;Operators'!$C$1:$G$99999,5,FALSE)</f>
        <v>MCREYNOLDS KYLE</v>
      </c>
      <c r="M205" s="6">
        <f t="shared" ref="M205:M226" si="92">I205-F205</f>
        <v>1.1516203703649808E-2</v>
      </c>
      <c r="N205" s="7">
        <f t="shared" ref="N205:N226" si="93">24*60*SUM($M205:$M205)</f>
        <v>16.583333333255723</v>
      </c>
      <c r="O205" s="7"/>
      <c r="P205" s="7"/>
      <c r="Q205" s="22"/>
      <c r="R205" s="22"/>
      <c r="S205" s="31">
        <f t="shared" ref="S205:S226" si="94">SUM(U205:U205)/IF(AG205="EC",12,1)</f>
        <v>1</v>
      </c>
      <c r="T205" s="46" t="str">
        <f t="shared" ref="T205:T226" si="95"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26" si="9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-03T20:38:12-0700',mode:absolute,to:'2017-02-03T22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5" s="192" t="str">
        <f t="shared" ref="W205:W226" si="97">IF(AA205&lt;IF(AG205="EC",23,5.65),"Y","N")</f>
        <v>N</v>
      </c>
      <c r="X205" s="192">
        <f t="shared" ref="X205:X226" si="98">VALUE(LEFT(AD205,4))-VALUE(LEFT(AD204,4))</f>
        <v>1</v>
      </c>
      <c r="Y205" s="62">
        <f t="shared" ref="Y205:Y226" si="99">RIGHT(D205,LEN(D205)-4)/10000</f>
        <v>5.8615000000000004</v>
      </c>
      <c r="Z205" s="62">
        <f t="shared" ref="Z205:Z226" si="100">RIGHT(H205,LEN(H205)-4)/10000</f>
        <v>7.0499999999999993E-2</v>
      </c>
      <c r="AA205" s="62">
        <f t="shared" ref="AA205:AA226" si="101">ABS(Z205-Y205)</f>
        <v>5.7910000000000004</v>
      </c>
      <c r="AB205" s="59" t="e">
        <f>VLOOKUP(A205,Enforcements!$C$7:$K$16,8,0)</f>
        <v>#N/A</v>
      </c>
      <c r="AC205" s="55" t="e">
        <f>VLOOKUP(A205,Enforcements!$C$7:$E$16,3,0)</f>
        <v>#N/A</v>
      </c>
      <c r="AD205" s="56" t="str">
        <f t="shared" ref="AD205:AD226" si="102">IF(LEN(A205)=6,"0"&amp;A205,A205)</f>
        <v>0844-03</v>
      </c>
      <c r="AE205" s="85" t="str">
        <f t="shared" ref="AE205:AE226" si="10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205" s="82" t="str">
        <f t="shared" ref="AF205:AF226" si="10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/stypes="app*4019*20170204*" /stext=" 04:.+((SYSTEM_STATE.+slice.+state.+changed )|(ment ac)|(multiple cpu faults)|(system.+state.+changed )|(\[timeout)|(PRM\|1\|D)|(kpr)|(kdp)|(\|lc)|(penalty))" /e /r /s</v>
      </c>
      <c r="AG205" s="1" t="str">
        <f t="shared" ref="AG205:AG226" si="105">IFERROR(IF(VALUE(LEFT(AD205,2))&lt;=2,"EC",IF(OR(VALUE(LEFT(AD205,2))=8,VALUE(LEFT(AD205,2))=18),"NW","Other")),"Other")</f>
        <v>NW</v>
      </c>
      <c r="AH205" s="86" t="str">
        <f t="shared" si="88"/>
        <v>"%USERPROFILE%\Documents\GitHub\eaglep3\Utilities\RefineRTDCRunTimes.py" --tripid 844-03 --locoid 4019 --swversion DE.1.0.8.0 --startMP 300:58615 --initTime 2017-02-03T21:38:12 --startdatetime 2017-02-03T21:39:44 --delay 1 --endMP 204:705 --enddatetime 2017-02-03T21:56:19 --enforcementcount 0 &gt;&gt;C:\Users\stu\Documents\GitHub\eaglep3-reporting\EC\2017-02-03-refined-times.txt</v>
      </c>
      <c r="AI205" s="108" t="str">
        <f t="shared" si="89"/>
        <v>echo {"issue":{"subject":"","project_id":79,"tracker_id":40,"status_id":1,"priority_id":2,"assigned_to_id":23,"start_date":"2017-02-03","description":"","custom_fields":[{"id":1,"name":"Subdivision","value":"NW"},{"id":4,"name":"Milepost","value":"0.0705"},{"id":17,"name":"Train ID","value":"844-03"},{"id":16,"name":"Locomotive ID","value":"4019"},{"id":130,"name":"Impact","value":""},{"id":150,"name":"Time of Event (Mountain Time)","value":"21:56:19"},{"id":151,"name":"Denver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8" t="str">
        <f t="shared" si="90"/>
        <v>start /low /b %USERPROFILE%\Documents\GitHub\eaglep3\Utilities\DownloadLogsFromS3.py --loco 4019 --day 2017-02-03</v>
      </c>
      <c r="AN205" s="167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2017-02-03-UncaughtWiMAX.txt</v>
      </c>
    </row>
    <row r="206" spans="1:91" x14ac:dyDescent="0.25">
      <c r="A206" s="33" t="s">
        <v>553</v>
      </c>
      <c r="B206" s="7">
        <v>4020</v>
      </c>
      <c r="C206" s="21" t="s">
        <v>193</v>
      </c>
      <c r="D206" s="21" t="s">
        <v>434</v>
      </c>
      <c r="E206" s="13">
        <v>42769.878703703704</v>
      </c>
      <c r="F206" s="13">
        <v>42769.889837962961</v>
      </c>
      <c r="G206" s="7">
        <v>2</v>
      </c>
      <c r="H206" s="21" t="s">
        <v>895</v>
      </c>
      <c r="I206" s="13">
        <v>42769.900439814817</v>
      </c>
      <c r="J206" s="7">
        <v>1</v>
      </c>
      <c r="K206" s="98" t="str">
        <f t="shared" si="91"/>
        <v>4019/4020</v>
      </c>
      <c r="L206" s="21" t="str">
        <f>VLOOKUP(A206,'Trips&amp;Operators'!$C$1:$G$99999,5,FALSE)</f>
        <v>MCREYNOLDS KYLE</v>
      </c>
      <c r="M206" s="6">
        <f t="shared" si="92"/>
        <v>1.0601851856335998E-2</v>
      </c>
      <c r="N206" s="7">
        <f t="shared" si="93"/>
        <v>15.266666673123837</v>
      </c>
      <c r="O206" s="7"/>
      <c r="P206" s="7"/>
      <c r="Q206" s="22"/>
      <c r="R206" s="22"/>
      <c r="S206" s="31">
        <f t="shared" si="94"/>
        <v>1</v>
      </c>
      <c r="T206" s="46" t="str">
        <f t="shared" si="95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96"/>
        <v>https://d0f6bd738d7f1b3e5a7ca70fe4ff75f0.us-east-1.aws.found.io/app/kibana#/discover/Steve-Slow-Train-Analysis-(2080s-and-2083s)?_g=(refreshInterval:(display:Off,pause:!f,section:0,value:0),time:(from:'2017-02-03T20:05:20-0700',mode:absolute,to:'2017-02-03T22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6" s="192" t="str">
        <f t="shared" si="97"/>
        <v>N</v>
      </c>
      <c r="X206" s="192">
        <f t="shared" si="98"/>
        <v>1</v>
      </c>
      <c r="Y206" s="62">
        <f t="shared" si="99"/>
        <v>9.7199999999999995E-2</v>
      </c>
      <c r="Z206" s="62">
        <f t="shared" si="100"/>
        <v>5.8921999999999999</v>
      </c>
      <c r="AA206" s="62">
        <f t="shared" si="101"/>
        <v>5.7949999999999999</v>
      </c>
      <c r="AB206" s="59" t="e">
        <f>VLOOKUP(A206,Enforcements!$C$7:$K$16,8,0)</f>
        <v>#N/A</v>
      </c>
      <c r="AC206" s="55" t="e">
        <f>VLOOKUP(A206,Enforcements!$C$7:$E$16,3,0)</f>
        <v>#N/A</v>
      </c>
      <c r="AD206" s="56" t="str">
        <f t="shared" si="102"/>
        <v>0845-03</v>
      </c>
      <c r="AE206" s="85" t="str">
        <f t="shared" si="103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206" s="82" t="str">
        <f t="shared" si="104"/>
        <v>"C:\Program Files (x86)\AstroGrep\AstroGrep.exe" /spath="%USERPROFILE%\AppData\Local\Temp\OnboardLogs" /stypes="app*4020*20170204*" /stext=" 04:.+((SYSTEM_STATE.+slice.+state.+changed )|(ment ac)|(multiple cpu faults)|(system.+state.+changed )|(\[timeout)|(PRM\|1\|D)|(kpr)|(kdp)|(\|lc)|(penalty))" /e /r /s</v>
      </c>
      <c r="AG206" s="1" t="str">
        <f t="shared" si="105"/>
        <v>NW</v>
      </c>
      <c r="AH206" s="86" t="str">
        <f t="shared" ref="AH206:AH226" si="10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845-03 --locoid 4020 --swversion DE.1.0.8.0 --startMP 204:972 --initTime 2017-02-03T21:05:20 --startdatetime 2017-02-03T21:21:22 --delay 2 --endMP 300:58922 --enddatetime 2017-02-03T21:36:38 --enforcementcount 1 &gt;&gt;C:\Users\stu\Documents\GitHub\eaglep3-reporting\EC\2017-02-03-refined-times.txt</v>
      </c>
      <c r="AI206" s="108" t="str">
        <f t="shared" ref="AI206:AI226" si="10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{"issue":{"subject":"","project_id":79,"tracker_id":40,"status_id":1,"priority_id":2,"assigned_to_id":23,"start_date":"2017-02-03","description":"","custom_fields":[{"id":1,"name":"Subdivision","value":"NW"},{"id":4,"name":"Milepost","value":"5.8922"},{"id":17,"name":"Train ID","value":"845-03"},{"id":16,"name":"Locomotive ID","value":"4020"},{"id":130,"name":"Impact","value":""},{"id":150,"name":"Time of Event (Mountain Time)","value":"21:36:38"},{"id":151,"name":"Denver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8" t="str">
        <f t="shared" ref="AM206:AM226" si="108">"start /low /b "&amp;dls3logs&amp;" --loco "&amp;B206&amp;" --day "&amp;TEXT(F206,"YYYY-MM-DD")</f>
        <v>start /low /b %USERPROFILE%\Documents\GitHub\eaglep3\Utilities\DownloadLogsFromS3.py --loco 4020 --day 2017-02-03</v>
      </c>
      <c r="AN206" s="167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2017-02-03-UncaughtWiMAX.txt</v>
      </c>
    </row>
    <row r="207" spans="1:91" x14ac:dyDescent="0.25">
      <c r="A207" s="33" t="s">
        <v>751</v>
      </c>
      <c r="B207" s="7">
        <v>4020</v>
      </c>
      <c r="C207" s="21" t="s">
        <v>193</v>
      </c>
      <c r="D207" s="21" t="s">
        <v>384</v>
      </c>
      <c r="E207" s="13">
        <v>42769.921701388892</v>
      </c>
      <c r="F207" s="13">
        <v>42769.931574074071</v>
      </c>
      <c r="G207" s="7">
        <v>1</v>
      </c>
      <c r="H207" s="21" t="s">
        <v>896</v>
      </c>
      <c r="I207" s="13">
        <v>42769.942118055558</v>
      </c>
      <c r="J207" s="7">
        <v>0</v>
      </c>
      <c r="K207" s="98" t="str">
        <f t="shared" si="91"/>
        <v>4019/4020</v>
      </c>
      <c r="L207" s="21" t="str">
        <f>VLOOKUP(A207,'Trips&amp;Operators'!$C$1:$G$99999,5,FALSE)</f>
        <v>MCREYNOLDS KYLE</v>
      </c>
      <c r="M207" s="6">
        <f t="shared" si="92"/>
        <v>1.0543981486989651E-2</v>
      </c>
      <c r="N207" s="7">
        <f t="shared" si="93"/>
        <v>15.183333341265097</v>
      </c>
      <c r="O207" s="7"/>
      <c r="P207" s="7"/>
      <c r="Q207" s="22"/>
      <c r="R207" s="22"/>
      <c r="S207" s="31">
        <f t="shared" si="94"/>
        <v>1</v>
      </c>
      <c r="T207" s="46" t="str">
        <f t="shared" si="95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96"/>
        <v>https://d0f6bd738d7f1b3e5a7ca70fe4ff75f0.us-east-1.aws.found.io/app/kibana#/discover/Steve-Slow-Train-Analysis-(2080s-and-2083s)?_g=(refreshInterval:(display:Off,pause:!f,section:0,value:0),time:(from:'2017-02-03T21:07:15-0700',mode:absolute,to:'2017-02-03T23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192" t="str">
        <f t="shared" si="97"/>
        <v>N</v>
      </c>
      <c r="X207" s="192">
        <f t="shared" si="98"/>
        <v>2</v>
      </c>
      <c r="Y207" s="62">
        <f t="shared" si="99"/>
        <v>9.7799999999999998E-2</v>
      </c>
      <c r="Z207" s="62">
        <f t="shared" si="100"/>
        <v>5.8928000000000003</v>
      </c>
      <c r="AA207" s="62">
        <f t="shared" si="101"/>
        <v>5.7949999999999999</v>
      </c>
      <c r="AB207" s="59" t="e">
        <f>VLOOKUP(A207,Enforcements!$C$7:$K$16,8,0)</f>
        <v>#N/A</v>
      </c>
      <c r="AC207" s="55" t="e">
        <f>VLOOKUP(A207,Enforcements!$C$7:$E$16,3,0)</f>
        <v>#N/A</v>
      </c>
      <c r="AD207" s="56" t="str">
        <f t="shared" si="102"/>
        <v>0847-03</v>
      </c>
      <c r="AE207" s="85" t="str">
        <f t="shared" si="103"/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AF207" s="82" t="str">
        <f t="shared" si="104"/>
        <v>"C:\Program Files (x86)\AstroGrep\AstroGrep.exe" /spath="%USERPROFILE%\AppData\Local\Temp\OnboardLogs" /stypes="app*4020*20170204*" /stext=" 05:.+((SYSTEM_STATE.+slice.+state.+changed )|(ment ac)|(multiple cpu faults)|(system.+state.+changed )|(\[timeout)|(PRM\|1\|D)|(kpr)|(kdp)|(\|lc)|(penalty))" /e /r /s</v>
      </c>
      <c r="AG207" s="1" t="str">
        <f t="shared" si="105"/>
        <v>NW</v>
      </c>
      <c r="AH207" s="86" t="str">
        <f t="shared" si="106"/>
        <v>"%USERPROFILE%\Documents\GitHub\eaglep3\Utilities\RefineRTDCRunTimes.py" --tripid 847-03 --locoid 4020 --swversion DE.1.0.8.0 --startMP 204:978 --initTime 2017-02-03T22:07:15 --startdatetime 2017-02-03T22:21:28 --delay 1 --endMP 300:58928 --enddatetime 2017-02-03T22:36:39 --enforcementcount 0 &gt;&gt;C:\Users\stu\Documents\GitHub\eaglep3-reporting\EC\2017-02-03-refined-times.txt</v>
      </c>
      <c r="AI207" s="108" t="str">
        <f t="shared" si="107"/>
        <v>echo {"issue":{"subject":"","project_id":79,"tracker_id":40,"status_id":1,"priority_id":2,"assigned_to_id":23,"start_date":"2017-02-03","description":"","custom_fields":[{"id":1,"name":"Subdivision","value":"NW"},{"id":4,"name":"Milepost","value":"5.8928"},{"id":17,"name":"Train ID","value":"847-03"},{"id":16,"name":"Locomotive ID","value":"4020"},{"id":130,"name":"Impact","value":""},{"id":150,"name":"Time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8" t="str">
        <f t="shared" si="108"/>
        <v>start /low /b %USERPROFILE%\Documents\GitHub\eaglep3\Utilities\DownloadLogsFromS3.py --loco 4020 --day 2017-02-03</v>
      </c>
      <c r="AN207" s="167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2017-02-03-UncaughtWiMAX.txt</v>
      </c>
    </row>
    <row r="208" spans="1:91" x14ac:dyDescent="0.25">
      <c r="A208" s="33" t="s">
        <v>555</v>
      </c>
      <c r="B208" s="7">
        <v>4017</v>
      </c>
      <c r="C208" s="21" t="s">
        <v>193</v>
      </c>
      <c r="D208" s="21" t="s">
        <v>835</v>
      </c>
      <c r="E208" s="13">
        <v>42769.123032407406</v>
      </c>
      <c r="F208" s="13">
        <v>42769.124039351853</v>
      </c>
      <c r="G208" s="7">
        <v>1</v>
      </c>
      <c r="H208" s="21" t="s">
        <v>332</v>
      </c>
      <c r="I208" s="13">
        <v>42769.131273148145</v>
      </c>
      <c r="J208" s="7">
        <v>0</v>
      </c>
      <c r="K208" s="98" t="str">
        <f t="shared" si="91"/>
        <v>4017/4018</v>
      </c>
      <c r="L208" s="21" t="str">
        <f>VLOOKUP(A208,'Trips&amp;Operators'!$C$1:$G$99999,5,FALSE)</f>
        <v>BADERTSCHER DIANE</v>
      </c>
      <c r="M208" s="6">
        <f t="shared" si="92"/>
        <v>7.2337962919846177E-3</v>
      </c>
      <c r="N208" s="7">
        <f t="shared" si="93"/>
        <v>10.41666666045785</v>
      </c>
      <c r="O208" s="7"/>
      <c r="P208" s="7"/>
      <c r="Q208" s="22"/>
      <c r="R208" s="22"/>
      <c r="S208" s="31">
        <f t="shared" si="94"/>
        <v>1</v>
      </c>
      <c r="T208" s="46" t="str">
        <f t="shared" si="95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96"/>
        <v>https://d0f6bd738d7f1b3e5a7ca70fe4ff75f0.us-east-1.aws.found.io/app/kibana#/discover/Steve-Slow-Train-Analysis-(2080s-and-2083s)?_g=(refreshInterval:(display:Off,pause:!f,section:0,value:0),time:(from:'2017-02-03T01:57:10-0700',mode:absolute,to:'2017-02-03T04:09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8" s="192" t="str">
        <f t="shared" si="97"/>
        <v>Y</v>
      </c>
      <c r="X208" s="192">
        <f t="shared" si="98"/>
        <v>-545</v>
      </c>
      <c r="Y208" s="62">
        <f t="shared" si="99"/>
        <v>2.3148</v>
      </c>
      <c r="Z208" s="62">
        <f t="shared" si="100"/>
        <v>1.38E-2</v>
      </c>
      <c r="AA208" s="62">
        <f t="shared" si="101"/>
        <v>2.3010000000000002</v>
      </c>
      <c r="AB208" s="59" t="e">
        <f>VLOOKUP(A208,Enforcements!$C$7:$K$16,8,0)</f>
        <v>#N/A</v>
      </c>
      <c r="AC208" s="55" t="e">
        <f>VLOOKUP(A208,Enforcements!$C$7:$E$16,3,0)</f>
        <v>#N/A</v>
      </c>
      <c r="AD208" s="56" t="str">
        <f t="shared" si="102"/>
        <v>0302-03</v>
      </c>
      <c r="AE208" s="85" t="str">
        <f t="shared" si="103"/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AF208" s="82" t="str">
        <f t="shared" si="104"/>
        <v>"C:\Program Files (x86)\AstroGrep\AstroGrep.exe" /spath="%USERPROFILE%\AppData\Local\Temp\OnboardLogs" /stypes="app*4017*20170203*" /stext=" 10:.+((SYSTEM_STATE.+slice.+state.+changed )|(ment ac)|(multiple cpu faults)|(system.+state.+changed )|(\[timeout)|(PRM\|1\|D)|(kpr)|(kdp)|(\|lc)|(penalty))" /e /r /s</v>
      </c>
      <c r="AG208" s="1" t="str">
        <f t="shared" si="105"/>
        <v>Other</v>
      </c>
      <c r="AH208" s="86" t="str">
        <f t="shared" si="106"/>
        <v>"%USERPROFILE%\Documents\GitHub\eaglep3\Utilities\RefineRTDCRunTimes.py" --tripid 302-03 --locoid 4017 --swversion DE.1.0.8.0 --startMP 300:23148 --initTime 2017-02-03T02:57:10 --startdatetime 2017-02-03T02:58:37 --delay 1 --endMP 204:138 --enddatetime 2017-02-03T03:09:02 --enforcementcount 0 &gt;&gt;C:\Users\stu\Documents\GitHub\eaglep3-reporting\EC\2017-02-03-refined-times.txt</v>
      </c>
      <c r="AI208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{"issue":{"subject":"","project_id":79,"tracker_id":40,"status_id":1,"priority_id":2,"assigned_to_id":23,"start_date":"2017-02-03","description":"","custom_fields":[{"id":1,"name":"Subdivision","value":"Other"},{"id":4,"name":"Milepost","value":"0.0138"},{"id":17,"name":"Train ID","value":"302-03"},{"id":16,"name":"Locomotive ID","value":"4017"},{"id":130,"name":"Impact","value":""},{"id":150,"name":"Time of Event (Mountain Time)","value":"03:09:02"},{"id":151,"name":"Denver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8" t="str">
        <f t="shared" si="108"/>
        <v>start /low /b %USERPROFILE%\Documents\GitHub\eaglep3\Utilities\DownloadLogsFromS3.py --loco 4017 --day 2017-02-03</v>
      </c>
      <c r="AN208" s="167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"%USERPROFILE%\AppData\Local\Temp\OnboardLogs"\RTDC4017\*4017*20170203* | grep -SE "(Enforcement Action)|(\[TIMEOUT)|(CHR.+\|PRM\|1\|D.+(SWITCH|SIGNAL).+UNKNOWN)" - &gt;&gt; 2017-02-03-UncaughtWiMAX.txt</v>
      </c>
    </row>
    <row r="209" spans="1:40" x14ac:dyDescent="0.25">
      <c r="A209" s="33" t="s">
        <v>727</v>
      </c>
      <c r="B209" s="7">
        <v>4040</v>
      </c>
      <c r="C209" s="21" t="s">
        <v>193</v>
      </c>
      <c r="D209" s="21" t="s">
        <v>209</v>
      </c>
      <c r="E209" s="13">
        <v>42769.781365740739</v>
      </c>
      <c r="F209" s="13">
        <v>42769.782465277778</v>
      </c>
      <c r="G209" s="7">
        <v>1</v>
      </c>
      <c r="H209" s="21" t="s">
        <v>836</v>
      </c>
      <c r="I209" s="13">
        <v>42769.795347222222</v>
      </c>
      <c r="J209" s="7">
        <v>0</v>
      </c>
      <c r="K209" s="98" t="str">
        <f t="shared" si="91"/>
        <v>4039/4040</v>
      </c>
      <c r="L209" s="21" t="str">
        <f>VLOOKUP(A209,'Trips&amp;Operators'!$C$1:$G$99999,5,FALSE)</f>
        <v>BRUDER RICHARD</v>
      </c>
      <c r="M209" s="6">
        <f t="shared" si="92"/>
        <v>1.2881944443506654E-2</v>
      </c>
      <c r="N209" s="7">
        <f t="shared" si="93"/>
        <v>18.549999998649582</v>
      </c>
      <c r="O209" s="7"/>
      <c r="P209" s="7"/>
      <c r="Q209" s="22"/>
      <c r="R209" s="22"/>
      <c r="S209" s="31">
        <f t="shared" si="94"/>
        <v>1</v>
      </c>
      <c r="T209" s="46" t="str">
        <f t="shared" si="95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96"/>
        <v>https://d0f6bd738d7f1b3e5a7ca70fe4ff75f0.us-east-1.aws.found.io/app/kibana#/discover/Steve-Slow-Train-Analysis-(2080s-and-2083s)?_g=(refreshInterval:(display:Off,pause:!f,section:0,value:0),time:(from:'2017-02-03T17:45:10-0700',mode:absolute,to:'2017-02-03T20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9" s="192" t="str">
        <f t="shared" si="97"/>
        <v>Y</v>
      </c>
      <c r="X209" s="192">
        <f t="shared" si="98"/>
        <v>1</v>
      </c>
      <c r="Y209" s="62">
        <f t="shared" si="99"/>
        <v>4.6199999999999998E-2</v>
      </c>
      <c r="Z209" s="62">
        <f t="shared" si="100"/>
        <v>2.4222000000000001</v>
      </c>
      <c r="AA209" s="62">
        <f t="shared" si="101"/>
        <v>2.3760000000000003</v>
      </c>
      <c r="AB209" s="59" t="e">
        <f>VLOOKUP(A209,Enforcements!$C$7:$K$16,8,0)</f>
        <v>#N/A</v>
      </c>
      <c r="AC209" s="55" t="e">
        <f>VLOOKUP(A209,Enforcements!$C$7:$E$16,3,0)</f>
        <v>#N/A</v>
      </c>
      <c r="AD209" s="56" t="str">
        <f t="shared" si="102"/>
        <v>0303-03</v>
      </c>
      <c r="AE209" s="85" t="str">
        <f t="shared" si="103"/>
        <v>aws s3 cp s3://rtdc.mdm.uploadarchive.raw/RTDC4040/ "%USERPROFILE%\AppData\Local\Temp\OnboardLogs"\RTDC4040\2017-02-03 --exclude "*" --recursive --include "*20170203*" &amp; "%USERPROFILE%\Documents\GitHub\mrs-test-scripts\Headless Mode &amp; Sideloading\WalkAndUnGZ.bat" "%USERPROFILE%\AppData\Local\Temp\OnboardLogs"\RTDC4040\2017-02-03 &amp; 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</v>
      </c>
      <c r="AF209" s="82" t="str">
        <f t="shared" si="104"/>
        <v>"C:\Program Files (x86)\AstroGrep\AstroGrep.exe" /spath="%USERPROFILE%\AppData\Local\Temp\OnboardLogs" /stypes="app*4040*20170204*" /stext=" 02:.+((SYSTEM_STATE.+slice.+state.+changed )|(ment ac)|(multiple cpu faults)|(system.+state.+changed )|(\[timeout)|(PRM\|1\|D)|(kpr)|(kdp)|(\|lc)|(penalty))" /e /r /s</v>
      </c>
      <c r="AG209" s="1" t="str">
        <f t="shared" si="105"/>
        <v>Other</v>
      </c>
      <c r="AH209" s="86" t="str">
        <f t="shared" si="106"/>
        <v>"%USERPROFILE%\Documents\GitHub\eaglep3\Utilities\RefineRTDCRunTimes.py" --tripid 303-03 --locoid 4040 --swversion DE.1.0.8.0 --startMP 204:462 --initTime 2017-02-03T18:45:10 --startdatetime 2017-02-03T18:46:45 --delay 1 --endMP 300:24222 --enddatetime 2017-02-03T19:05:18 --enforcementcount 0 &gt;&gt;C:\Users\stu\Documents\GitHub\eaglep3-reporting\EC\2017-02-03-refined-times.txt</v>
      </c>
      <c r="AI209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{"issue":{"subject":"","project_id":79,"tracker_id":40,"status_id":1,"priority_id":2,"assigned_to_id":23,"start_date":"2017-02-03","description":"","custom_fields":[{"id":1,"name":"Subdivision","value":"Other"},{"id":4,"name":"Milepost","value":"2.4222"},{"id":17,"name":"Train ID","value":"303-03"},{"id":16,"name":"Locomotive ID","value":"4040"},{"id":130,"name":"Impact","value":""},{"id":150,"name":"Time of Event (Mountain Time)","value":"19:05:18"},{"id":151,"name":"Denver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8" t="str">
        <f t="shared" si="108"/>
        <v>start /low /b %USERPROFILE%\Documents\GitHub\eaglep3\Utilities\DownloadLogsFromS3.py --loco 4040 --day 2017-02-03</v>
      </c>
      <c r="AN209" s="167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2017-02-03-UncaughtWiMAX.txt</v>
      </c>
    </row>
    <row r="210" spans="1:40" x14ac:dyDescent="0.25">
      <c r="A210" s="33" t="s">
        <v>557</v>
      </c>
      <c r="B210" s="7">
        <v>4039</v>
      </c>
      <c r="C210" s="21" t="s">
        <v>193</v>
      </c>
      <c r="D210" s="21" t="s">
        <v>837</v>
      </c>
      <c r="E210" s="13">
        <v>42769.15488425926</v>
      </c>
      <c r="F210" s="13">
        <v>42769.157627314817</v>
      </c>
      <c r="G210" s="7">
        <v>3</v>
      </c>
      <c r="H210" s="21" t="s">
        <v>838</v>
      </c>
      <c r="I210" s="13">
        <v>42769.163541666669</v>
      </c>
      <c r="J210" s="7">
        <v>0</v>
      </c>
      <c r="K210" s="98" t="str">
        <f t="shared" si="91"/>
        <v>4039/4040</v>
      </c>
      <c r="L210" s="21" t="str">
        <f>VLOOKUP(A210,'Trips&amp;Operators'!$C$1:$G$99999,5,FALSE)</f>
        <v>ROBINSON KADDIBA</v>
      </c>
      <c r="M210" s="6">
        <f t="shared" si="92"/>
        <v>5.914351851970423E-3</v>
      </c>
      <c r="N210" s="7">
        <f t="shared" si="93"/>
        <v>8.5166666668374091</v>
      </c>
      <c r="O210" s="7"/>
      <c r="P210" s="7"/>
      <c r="Q210" s="22"/>
      <c r="R210" s="22"/>
      <c r="S210" s="31">
        <f t="shared" si="94"/>
        <v>1</v>
      </c>
      <c r="T210" s="46" t="str">
        <f t="shared" si="95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96"/>
        <v>https://d0f6bd738d7f1b3e5a7ca70fe4ff75f0.us-east-1.aws.found.io/app/kibana#/discover/Steve-Slow-Train-Analysis-(2080s-and-2083s)?_g=(refreshInterval:(display:Off,pause:!f,section:0,value:0),time:(from:'2017-02-03T02:43:02-0700',mode:absolute,to:'2017-02-03T04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192" t="str">
        <f t="shared" si="97"/>
        <v>Y</v>
      </c>
      <c r="X210" s="192">
        <f t="shared" si="98"/>
        <v>3</v>
      </c>
      <c r="Y210" s="62">
        <f t="shared" si="99"/>
        <v>2.2155</v>
      </c>
      <c r="Z210" s="62">
        <f t="shared" si="100"/>
        <v>8.9999999999999993E-3</v>
      </c>
      <c r="AA210" s="62">
        <f t="shared" si="101"/>
        <v>2.2065000000000001</v>
      </c>
      <c r="AB210" s="59" t="e">
        <f>VLOOKUP(A210,Enforcements!$C$7:$K$16,8,0)</f>
        <v>#N/A</v>
      </c>
      <c r="AC210" s="55" t="e">
        <f>VLOOKUP(A210,Enforcements!$C$7:$E$16,3,0)</f>
        <v>#N/A</v>
      </c>
      <c r="AD210" s="56" t="str">
        <f t="shared" si="102"/>
        <v>0306-03</v>
      </c>
      <c r="AE210" s="85" t="str">
        <f t="shared" si="103"/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AF210" s="82" t="str">
        <f t="shared" si="104"/>
        <v>"C:\Program Files (x86)\AstroGrep\AstroGrep.exe" /spath="%USERPROFILE%\AppData\Local\Temp\OnboardLogs" /stypes="app*4039*20170203*" /stext=" 10:.+((SYSTEM_STATE.+slice.+state.+changed )|(ment ac)|(multiple cpu faults)|(system.+state.+changed )|(\[timeout)|(PRM\|1\|D)|(kpr)|(kdp)|(\|lc)|(penalty))" /e /r /s</v>
      </c>
      <c r="AG210" s="1" t="str">
        <f t="shared" si="105"/>
        <v>Other</v>
      </c>
      <c r="AH210" s="86" t="str">
        <f t="shared" si="106"/>
        <v>"%USERPROFILE%\Documents\GitHub\eaglep3\Utilities\RefineRTDCRunTimes.py" --tripid 306-03 --locoid 4039 --swversion DE.1.0.8.0 --startMP 300:22155 --initTime 2017-02-03T03:43:02 --startdatetime 2017-02-03T03:46:59 --delay 3 --endMP 204:90 --enddatetime 2017-02-03T03:55:30 --enforcementcount 0 &gt;&gt;C:\Users\stu\Documents\GitHub\eaglep3-reporting\EC\2017-02-03-refined-times.txt</v>
      </c>
      <c r="AI210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{"issue":{"subject":"","project_id":79,"tracker_id":40,"status_id":1,"priority_id":2,"assigned_to_id":23,"start_date":"2017-02-03","description":"","custom_fields":[{"id":1,"name":"Subdivision","value":"Other"},{"id":4,"name":"Milepost","value":"0.009"},{"id":17,"name":"Train ID","value":"306-03"},{"id":16,"name":"Locomotive ID","value":"4039"},{"id":130,"name":"Impact","value":""},{"id":150,"name":"Time of Event (Mountain Time)","value":"03:55:30"},{"id":151,"name":"Denver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8" t="str">
        <f t="shared" si="108"/>
        <v>start /low /b %USERPROFILE%\Documents\GitHub\eaglep3\Utilities\DownloadLogsFromS3.py --loco 4039 --day 2017-02-03</v>
      </c>
      <c r="AN210" s="167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"%USERPROFILE%\AppData\Local\Temp\OnboardLogs"\RTDC4039\*4039*20170203* | grep -SE "(Enforcement Action)|(\[TIMEOUT)|(CHR.+\|PRM\|1\|D.+(SWITCH|SIGNAL).+UNKNOWN)" - &gt;&gt; 2017-02-03-UncaughtWiMAX.txt</v>
      </c>
    </row>
    <row r="211" spans="1:40" x14ac:dyDescent="0.25">
      <c r="A211" s="33" t="s">
        <v>551</v>
      </c>
      <c r="B211" s="7">
        <v>4003</v>
      </c>
      <c r="C211" s="21" t="s">
        <v>193</v>
      </c>
      <c r="D211" s="21" t="s">
        <v>839</v>
      </c>
      <c r="E211" s="13">
        <v>42769.81695601852</v>
      </c>
      <c r="F211" s="13">
        <v>42769.81821759259</v>
      </c>
      <c r="G211" s="7">
        <v>1</v>
      </c>
      <c r="H211" s="21" t="s">
        <v>840</v>
      </c>
      <c r="I211" s="13">
        <v>42769.828101851854</v>
      </c>
      <c r="J211" s="7">
        <v>0</v>
      </c>
      <c r="K211" s="98" t="str">
        <f t="shared" si="91"/>
        <v>4003/4004</v>
      </c>
      <c r="L211" s="21" t="str">
        <f>VLOOKUP(A211,'Trips&amp;Operators'!$C$1:$G$99999,5,FALSE)</f>
        <v>BRANNON JEFFREY</v>
      </c>
      <c r="M211" s="6">
        <f t="shared" si="92"/>
        <v>9.8842592633445747E-3</v>
      </c>
      <c r="N211" s="7">
        <f t="shared" si="93"/>
        <v>14.233333339216188</v>
      </c>
      <c r="O211" s="7"/>
      <c r="P211" s="7"/>
      <c r="Q211" s="22"/>
      <c r="R211" s="22"/>
      <c r="S211" s="31">
        <f t="shared" si="94"/>
        <v>1</v>
      </c>
      <c r="T211" s="46" t="str">
        <f t="shared" si="95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96"/>
        <v>https://d0f6bd738d7f1b3e5a7ca70fe4ff75f0.us-east-1.aws.found.io/app/kibana#/discover/Steve-Slow-Train-Analysis-(2080s-and-2083s)?_g=(refreshInterval:(display:Off,pause:!f,section:0,value:0),time:(from:'2017-02-03T18:36:25-0700',mode:absolute,to:'2017-02-03T20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1" s="192" t="str">
        <f t="shared" si="97"/>
        <v>Y</v>
      </c>
      <c r="X211" s="192">
        <f t="shared" si="98"/>
        <v>1</v>
      </c>
      <c r="Y211" s="62">
        <f t="shared" si="99"/>
        <v>7.2300000000000003E-2</v>
      </c>
      <c r="Z211" s="62">
        <f t="shared" si="100"/>
        <v>2.5459000000000001</v>
      </c>
      <c r="AA211" s="62">
        <f t="shared" si="101"/>
        <v>2.4736000000000002</v>
      </c>
      <c r="AB211" s="59" t="e">
        <f>VLOOKUP(A211,Enforcements!$C$7:$K$16,8,0)</f>
        <v>#N/A</v>
      </c>
      <c r="AC211" s="55" t="e">
        <f>VLOOKUP(A211,Enforcements!$C$7:$E$16,3,0)</f>
        <v>#N/A</v>
      </c>
      <c r="AD211" s="56" t="str">
        <f t="shared" si="102"/>
        <v>0307-03</v>
      </c>
      <c r="AE211" s="85" t="str">
        <f t="shared" si="103"/>
        <v>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 &amp; 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</v>
      </c>
      <c r="AF211" s="82" t="str">
        <f t="shared" si="104"/>
        <v>"C:\Program Files (x86)\AstroGrep\AstroGrep.exe" /spath="%USERPROFILE%\AppData\Local\Temp\OnboardLogs" /stypes="app*4003*20170204*" /stext=" 02:.+((SYSTEM_STATE.+slice.+state.+changed )|(ment ac)|(multiple cpu faults)|(system.+state.+changed )|(\[timeout)|(PRM\|1\|D)|(kpr)|(kdp)|(\|lc)|(penalty))" /e /r /s</v>
      </c>
      <c r="AG211" s="1" t="str">
        <f t="shared" si="105"/>
        <v>Other</v>
      </c>
      <c r="AH211" s="86" t="str">
        <f t="shared" si="106"/>
        <v>"%USERPROFILE%\Documents\GitHub\eaglep3\Utilities\RefineRTDCRunTimes.py" --tripid 307-03 --locoid 4003 --swversion DE.1.0.8.0 --startMP 204:723 --initTime 2017-02-03T19:36:25 --startdatetime 2017-02-03T19:38:14 --delay 1 --endMP 300:25459 --enddatetime 2017-02-03T19:52:28 --enforcementcount 0 &gt;&gt;C:\Users\stu\Documents\GitHub\eaglep3-reporting\EC\2017-02-03-refined-times.txt</v>
      </c>
      <c r="AI211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{"issue":{"subject":"","project_id":79,"tracker_id":40,"status_id":1,"priority_id":2,"assigned_to_id":23,"start_date":"2017-02-03","description":"","custom_fields":[{"id":1,"name":"Subdivision","value":"Other"},{"id":4,"name":"Milepost","value":"2.5459"},{"id":17,"name":"Train ID","value":"307-03"},{"id":16,"name":"Locomotive ID","value":"4003"},{"id":130,"name":"Impact","value":""},{"id":150,"name":"Time of Event (Mountain Time)","value":"19:52:28"},{"id":151,"name":"Denver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8" t="str">
        <f t="shared" si="108"/>
        <v>start /low /b %USERPROFILE%\Documents\GitHub\eaglep3\Utilities\DownloadLogsFromS3.py --loco 4003 --day 2017-02-03</v>
      </c>
      <c r="AN211" s="167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2017-02-03-UncaughtWiMAX.txt</v>
      </c>
    </row>
    <row r="212" spans="1:40" x14ac:dyDescent="0.25">
      <c r="A212" s="33" t="s">
        <v>560</v>
      </c>
      <c r="B212" s="7">
        <v>4004</v>
      </c>
      <c r="C212" s="21" t="s">
        <v>193</v>
      </c>
      <c r="D212" s="21" t="s">
        <v>841</v>
      </c>
      <c r="E212" s="13">
        <v>42769.182650462964</v>
      </c>
      <c r="F212" s="13">
        <v>42769.187418981484</v>
      </c>
      <c r="G212" s="7">
        <v>6</v>
      </c>
      <c r="H212" s="21" t="s">
        <v>206</v>
      </c>
      <c r="I212" s="13">
        <v>42769.194444444445</v>
      </c>
      <c r="J212" s="7">
        <v>0</v>
      </c>
      <c r="K212" s="98" t="str">
        <f t="shared" si="91"/>
        <v>4003/4004</v>
      </c>
      <c r="L212" s="21" t="str">
        <f>VLOOKUP(A212,'Trips&amp;Operators'!$C$1:$G$99999,5,FALSE)</f>
        <v>LOZA FIDEL</v>
      </c>
      <c r="M212" s="6">
        <f t="shared" si="92"/>
        <v>7.025462960882578E-3</v>
      </c>
      <c r="N212" s="7">
        <f t="shared" si="93"/>
        <v>10.116666663670912</v>
      </c>
      <c r="O212" s="7"/>
      <c r="P212" s="7"/>
      <c r="Q212" s="22"/>
      <c r="R212" s="22"/>
      <c r="S212" s="31">
        <f t="shared" si="94"/>
        <v>1</v>
      </c>
      <c r="T212" s="46" t="str">
        <f t="shared" si="95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96"/>
        <v>https://d0f6bd738d7f1b3e5a7ca70fe4ff75f0.us-east-1.aws.found.io/app/kibana#/discover/Steve-Slow-Train-Analysis-(2080s-and-2083s)?_g=(refreshInterval:(display:Off,pause:!f,section:0,value:0),time:(from:'2017-02-03T03:23:01-0700',mode:absolute,to:'2017-02-03T05:40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2" s="192" t="str">
        <f t="shared" si="97"/>
        <v>Y</v>
      </c>
      <c r="X212" s="192">
        <f t="shared" si="98"/>
        <v>3</v>
      </c>
      <c r="Y212" s="62">
        <f t="shared" si="99"/>
        <v>2.3357000000000001</v>
      </c>
      <c r="Z212" s="62">
        <f t="shared" si="100"/>
        <v>1.47E-2</v>
      </c>
      <c r="AA212" s="62">
        <f t="shared" si="101"/>
        <v>2.3210000000000002</v>
      </c>
      <c r="AB212" s="59" t="e">
        <f>VLOOKUP(A212,Enforcements!$C$7:$K$16,8,0)</f>
        <v>#N/A</v>
      </c>
      <c r="AC212" s="55" t="e">
        <f>VLOOKUP(A212,Enforcements!$C$7:$E$16,3,0)</f>
        <v>#N/A</v>
      </c>
      <c r="AD212" s="56" t="str">
        <f t="shared" si="102"/>
        <v>0310-03</v>
      </c>
      <c r="AE212" s="85" t="str">
        <f t="shared" si="103"/>
        <v>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 &amp; 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</v>
      </c>
      <c r="AF212" s="82" t="str">
        <f t="shared" si="104"/>
        <v>"C:\Program Files (x86)\AstroGrep\AstroGrep.exe" /spath="%USERPROFILE%\AppData\Local\Temp\OnboardLogs" /stypes="app*4004*20170203*" /stext=" 11:.+((SYSTEM_STATE.+slice.+state.+changed )|(ment ac)|(multiple cpu faults)|(system.+state.+changed )|(\[timeout)|(PRM\|1\|D)|(kpr)|(kdp)|(\|lc)|(penalty))" /e /r /s</v>
      </c>
      <c r="AG212" s="1" t="str">
        <f t="shared" si="105"/>
        <v>Other</v>
      </c>
      <c r="AH212" s="86" t="str">
        <f t="shared" si="106"/>
        <v>"%USERPROFILE%\Documents\GitHub\eaglep3\Utilities\RefineRTDCRunTimes.py" --tripid 310-03 --locoid 4004 --swversion DE.1.0.8.0 --startMP 300:23357 --initTime 2017-02-03T04:23:01 --startdatetime 2017-02-03T04:29:53 --delay 6 --endMP 204:147 --enddatetime 2017-02-03T04:40:00 --enforcementcount 0 &gt;&gt;C:\Users\stu\Documents\GitHub\eaglep3-reporting\EC\2017-02-03-refined-times.txt</v>
      </c>
      <c r="AI212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{"issue":{"subject":"","project_id":79,"tracker_id":40,"status_id":1,"priority_id":2,"assigned_to_id":23,"start_date":"2017-02-03","description":"","custom_fields":[{"id":1,"name":"Subdivision","value":"Other"},{"id":4,"name":"Milepost","value":"0.0147"},{"id":17,"name":"Train ID","value":"310-03"},{"id":16,"name":"Locomotive ID","value":"4004"},{"id":130,"name":"Impact","value":""},{"id":150,"name":"Time of Event (Mountain Time)","value":"04:40:00"},{"id":151,"name":"Denver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8" t="str">
        <f t="shared" si="108"/>
        <v>start /low /b %USERPROFILE%\Documents\GitHub\eaglep3\Utilities\DownloadLogsFromS3.py --loco 4004 --day 2017-02-03</v>
      </c>
      <c r="AN212" s="167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2017-02-03-UncaughtWiMAX.txt</v>
      </c>
    </row>
    <row r="213" spans="1:40" x14ac:dyDescent="0.25">
      <c r="A213" s="33" t="s">
        <v>765</v>
      </c>
      <c r="B213" s="7">
        <v>4031</v>
      </c>
      <c r="C213" s="21" t="s">
        <v>193</v>
      </c>
      <c r="D213" s="21" t="s">
        <v>842</v>
      </c>
      <c r="E213" s="13">
        <v>42770.070451388892</v>
      </c>
      <c r="F213" s="13">
        <v>42770.071469907409</v>
      </c>
      <c r="G213" s="7">
        <v>1</v>
      </c>
      <c r="H213" s="21" t="s">
        <v>843</v>
      </c>
      <c r="I213" s="13">
        <v>42770.075636574074</v>
      </c>
      <c r="J213" s="7">
        <v>0</v>
      </c>
      <c r="K213" s="98" t="str">
        <f t="shared" si="91"/>
        <v>4031/4032</v>
      </c>
      <c r="L213" s="21" t="str">
        <f>VLOOKUP(A213,'Trips&amp;Operators'!$C$1:$G$99999,5,FALSE)</f>
        <v>PERKINS DARREN</v>
      </c>
      <c r="M213" s="6">
        <f t="shared" si="92"/>
        <v>4.166666665696539E-3</v>
      </c>
      <c r="N213" s="7">
        <f t="shared" si="93"/>
        <v>5.9999999986030161</v>
      </c>
      <c r="O213" s="7"/>
      <c r="P213" s="7"/>
      <c r="Q213" s="22"/>
      <c r="R213" s="22"/>
      <c r="S213" s="31">
        <f t="shared" si="94"/>
        <v>1</v>
      </c>
      <c r="T213" s="46" t="str">
        <f t="shared" si="95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96"/>
        <v>https://d0f6bd738d7f1b3e5a7ca70fe4ff75f0.us-east-1.aws.found.io/app/kibana#/discover/Steve-Slow-Train-Analysis-(2080s-and-2083s)?_g=(refreshInterval:(display:Off,pause:!f,section:0,value:0),time:(from:'2017-02-04T00:41:27-0700',mode:absolute,to:'2017-02-04T02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192" t="str">
        <f t="shared" si="97"/>
        <v>Y</v>
      </c>
      <c r="X213" s="192">
        <f t="shared" si="98"/>
        <v>1</v>
      </c>
      <c r="Y213" s="62">
        <f t="shared" si="99"/>
        <v>6.7599999999999993E-2</v>
      </c>
      <c r="Z213" s="62">
        <f t="shared" si="100"/>
        <v>1.2678</v>
      </c>
      <c r="AA213" s="62">
        <f t="shared" si="101"/>
        <v>1.2002000000000002</v>
      </c>
      <c r="AB213" s="59" t="e">
        <f>VLOOKUP(A213,Enforcements!$C$7:$K$16,8,0)</f>
        <v>#N/A</v>
      </c>
      <c r="AC213" s="55" t="e">
        <f>VLOOKUP(A213,Enforcements!$C$7:$E$16,3,0)</f>
        <v>#N/A</v>
      </c>
      <c r="AD213" s="56" t="str">
        <f t="shared" si="102"/>
        <v>0311-03</v>
      </c>
      <c r="AE213" s="85" t="str">
        <f t="shared" si="103"/>
        <v>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 &amp; aws s3 cp s3://rtdc.mdm.uploadarchive.raw/RTDC4031/ "%USERPROFILE%\AppData\Local\Temp\OnboardLogs"\RTDC4031\2017-02-05 --exclude "*" --recursive --include "*20170205*" &amp; "%USERPROFILE%\Documents\GitHub\mrs-test-scripts\Headless Mode &amp; Sideloading\WalkAndUnGZ.bat" "%USERPROFILE%\AppData\Local\Temp\OnboardLogs"\RTDC4031\2017-02-05</v>
      </c>
      <c r="AF213" s="82" t="str">
        <f t="shared" si="104"/>
        <v>"C:\Program Files (x86)\AstroGrep\AstroGrep.exe" /spath="%USERPROFILE%\AppData\Local\Temp\OnboardLogs" /stypes="app*4031*20170204*" /stext=" 08:.+((SYSTEM_STATE.+slice.+state.+changed )|(ment ac)|(multiple cpu faults)|(system.+state.+changed )|(\[timeout)|(PRM\|1\|D)|(kpr)|(kdp)|(\|lc)|(penalty))" /e /r /s</v>
      </c>
      <c r="AG213" s="1" t="str">
        <f t="shared" si="105"/>
        <v>Other</v>
      </c>
      <c r="AH213" s="86" t="str">
        <f t="shared" si="106"/>
        <v>"%USERPROFILE%\Documents\GitHub\eaglep3\Utilities\RefineRTDCRunTimes.py" --tripid 311-03 --locoid 4031 --swversion DE.1.0.8.0 --startMP 204:676 --initTime 2017-02-04T01:41:27 --startdatetime 2017-02-04T01:42:55 --delay 1 --endMP 300:12678 --enddatetime 2017-02-04T01:48:55 --enforcementcount 0 &gt;&gt;C:\Users\stu\Documents\GitHub\eaglep3-reporting\EC\2017-02-03-refined-times.txt</v>
      </c>
      <c r="AI213" s="108" t="str">
        <f t="shared" si="107"/>
        <v>echo {"issue":{"subject":"","project_id":79,"tracker_id":40,"status_id":1,"priority_id":2,"assigned_to_id":23,"start_date":"2017-02-04","description":"","custom_fields":[{"id":1,"name":"Subdivision","value":"Other"},{"id":4,"name":"Milepost","value":"1.2678"},{"id":17,"name":"Train ID","value":"311-03"},{"id":16,"name":"Locomotive ID","value":"4031"},{"id":130,"name":"Impact","value":""},{"id":150,"name":"Time of Event (Mountain Time)","value":"01:48:55"},{"id":151,"name":"Denver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8" t="str">
        <f t="shared" si="108"/>
        <v>start /low /b %USERPROFILE%\Documents\GitHub\eaglep3\Utilities\DownloadLogsFromS3.py --loco 4031 --day 2017-02-04</v>
      </c>
      <c r="AN213" s="167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"%USERPROFILE%\AppData\Local\Temp\OnboardLogs"\RTDC4031\*4031*20170204* | grep -SE "(Enforcement Action)|(\[TIMEOUT)|(CHR.+\|PRM\|1\|D.+(SWITCH|SIGNAL).+UNKNOWN)" - &gt;&gt; 2017-02-03-UncaughtWiMAX.txt</v>
      </c>
    </row>
    <row r="214" spans="1:40" x14ac:dyDescent="0.25">
      <c r="A214" s="33" t="s">
        <v>767</v>
      </c>
      <c r="B214" s="7">
        <v>4022</v>
      </c>
      <c r="C214" s="21" t="s">
        <v>193</v>
      </c>
      <c r="D214" s="21" t="s">
        <v>844</v>
      </c>
      <c r="E214" s="13">
        <v>42770.088321759256</v>
      </c>
      <c r="F214" s="13">
        <v>42770.089317129627</v>
      </c>
      <c r="G214" s="7">
        <v>1</v>
      </c>
      <c r="H214" s="21" t="s">
        <v>845</v>
      </c>
      <c r="I214" s="13">
        <v>42770.092164351852</v>
      </c>
      <c r="J214" s="7">
        <v>0</v>
      </c>
      <c r="K214" s="98" t="str">
        <f t="shared" si="91"/>
        <v>4021/4022</v>
      </c>
      <c r="L214" s="21" t="str">
        <f>VLOOKUP(A214,'Trips&amp;Operators'!$C$1:$G$99999,5,FALSE)</f>
        <v>HILLS DUSTIN</v>
      </c>
      <c r="M214" s="6">
        <f t="shared" si="92"/>
        <v>2.8472222256823443E-3</v>
      </c>
      <c r="N214" s="7">
        <f t="shared" si="93"/>
        <v>4.1000000049825758</v>
      </c>
      <c r="O214" s="7"/>
      <c r="P214" s="7"/>
      <c r="Q214" s="22"/>
      <c r="R214" s="22"/>
      <c r="S214" s="31">
        <f t="shared" si="94"/>
        <v>0</v>
      </c>
      <c r="T214" s="46" t="str">
        <f t="shared" si="95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96"/>
        <v>https://d0f6bd738d7f1b3e5a7ca70fe4ff75f0.us-east-1.aws.found.io/app/kibana#/discover/Steve-Slow-Train-Analysis-(2080s-and-2083s)?_g=(refreshInterval:(display:Off,pause:!f,section:0,value:0),time:(from:'2017-02-04T01:07:11-0700',mode:absolute,to:'2017-02-04T03:12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4" s="192" t="str">
        <f t="shared" si="97"/>
        <v>Y</v>
      </c>
      <c r="X214" s="192">
        <f t="shared" si="98"/>
        <v>2</v>
      </c>
      <c r="Y214" s="62">
        <f t="shared" si="99"/>
        <v>3.6299999999999999E-2</v>
      </c>
      <c r="Z214" s="62">
        <f t="shared" si="100"/>
        <v>0.13339999999999999</v>
      </c>
      <c r="AA214" s="62">
        <f t="shared" si="101"/>
        <v>9.7099999999999992E-2</v>
      </c>
      <c r="AB214" s="59" t="e">
        <f>VLOOKUP(A214,Enforcements!$C$7:$K$16,8,0)</f>
        <v>#N/A</v>
      </c>
      <c r="AC214" s="55" t="e">
        <f>VLOOKUP(A214,Enforcements!$C$7:$E$16,3,0)</f>
        <v>#N/A</v>
      </c>
      <c r="AD214" s="56" t="str">
        <f t="shared" si="102"/>
        <v>0313-03</v>
      </c>
      <c r="AE214" s="85" t="str">
        <f t="shared" si="103"/>
        <v>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 &amp; aws s3 cp s3://rtdc.mdm.uploadarchive.raw/RTDC4022/ "%USERPROFILE%\AppData\Local\Temp\OnboardLogs"\RTDC4022\2017-02-05 --exclude "*" --recursive --include "*20170205*" &amp; "%USERPROFILE%\Documents\GitHub\mrs-test-scripts\Headless Mode &amp; Sideloading\WalkAndUnGZ.bat" "%USERPROFILE%\AppData\Local\Temp\OnboardLogs"\RTDC4022\2017-02-05</v>
      </c>
      <c r="AF214" s="82" t="str">
        <f t="shared" si="104"/>
        <v>"C:\Program Files (x86)\AstroGrep\AstroGrep.exe" /spath="%USERPROFILE%\AppData\Local\Temp\OnboardLogs" /stypes="app*4022*20170204*" /stext=" 09:.+((SYSTEM_STATE.+slice.+state.+changed )|(ment ac)|(multiple cpu faults)|(system.+state.+changed )|(\[timeout)|(PRM\|1\|D)|(kpr)|(kdp)|(\|lc)|(penalty))" /e /r /s</v>
      </c>
      <c r="AG214" s="1" t="str">
        <f t="shared" si="105"/>
        <v>Other</v>
      </c>
      <c r="AH214" s="86" t="str">
        <f t="shared" si="106"/>
        <v>"%USERPROFILE%\Documents\GitHub\eaglep3\Utilities\RefineRTDCRunTimes.py" --tripid 313-03 --locoid 4022 --swversion DE.1.0.8.0 --startMP 204:363 --initTime 2017-02-04T02:07:11 --startdatetime 2017-02-04T02:08:37 --delay 1 --endMP 204:1334 --enddatetime 2017-02-04T02:12:43 --enforcementcount 0 &gt;&gt;C:\Users\stu\Documents\GitHub\eaglep3-reporting\EC\2017-02-03-refined-times.txt</v>
      </c>
      <c r="AI214" s="108" t="str">
        <f t="shared" si="107"/>
        <v>echo {"issue":{"subject":"","project_id":79,"tracker_id":40,"status_id":1,"priority_id":2,"assigned_to_id":23,"start_date":"2017-02-04","description":"","custom_fields":[{"id":1,"name":"Subdivision","value":"Other"},{"id":4,"name":"Milepost","value":"0.1334"},{"id":17,"name":"Train ID","value":"313-03"},{"id":16,"name":"Locomotive ID","value":"4022"},{"id":130,"name":"Impact","value":""},{"id":150,"name":"Time of Event (Mountain Time)","value":"02:12:43"},{"id":151,"name":"Denver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8" t="str">
        <f t="shared" si="108"/>
        <v>start /low /b %USERPROFILE%\Documents\GitHub\eaglep3\Utilities\DownloadLogsFromS3.py --loco 4022 --day 2017-02-04</v>
      </c>
      <c r="AN214" s="167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"%USERPROFILE%\AppData\Local\Temp\OnboardLogs"\RTDC4022\*4022*20170204* | grep -SE "(Enforcement Action)|(\[TIMEOUT)|(CHR.+\|PRM\|1\|D.+(SWITCH|SIGNAL).+UNKNOWN)" - &gt;&gt; 2017-02-03-UncaughtWiMAX.txt</v>
      </c>
    </row>
    <row r="215" spans="1:40" x14ac:dyDescent="0.25">
      <c r="A215" s="33" t="s">
        <v>402</v>
      </c>
      <c r="B215" s="7">
        <v>4051</v>
      </c>
      <c r="C215" s="21" t="s">
        <v>193</v>
      </c>
      <c r="D215" s="21" t="s">
        <v>310</v>
      </c>
      <c r="E215" s="13">
        <v>42769.087083333332</v>
      </c>
      <c r="F215" s="13">
        <v>42769.088194444441</v>
      </c>
      <c r="G215" s="7">
        <v>1</v>
      </c>
      <c r="H215" s="21" t="s">
        <v>430</v>
      </c>
      <c r="I215" s="13">
        <v>42769.094212962962</v>
      </c>
      <c r="J215" s="7">
        <v>0</v>
      </c>
      <c r="K215" s="98" t="str">
        <f t="shared" si="91"/>
        <v>4051/4052</v>
      </c>
      <c r="L215" s="21" t="str">
        <f>VLOOKUP(A215,'Trips&amp;Operators'!$C$1:$G$99999,5,FALSE)</f>
        <v>HILLS DUSTIN</v>
      </c>
      <c r="M215" s="6">
        <f t="shared" si="92"/>
        <v>6.0185185211594217E-3</v>
      </c>
      <c r="N215" s="7">
        <f t="shared" si="93"/>
        <v>8.6666666704695672</v>
      </c>
      <c r="O215" s="7"/>
      <c r="P215" s="7"/>
      <c r="Q215" s="22"/>
      <c r="R215" s="22"/>
      <c r="S215" s="31">
        <f t="shared" si="94"/>
        <v>1</v>
      </c>
      <c r="T215" s="46" t="str">
        <f t="shared" si="95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96"/>
        <v>https://d0f6bd738d7f1b3e5a7ca70fe4ff75f0.us-east-1.aws.found.io/app/kibana#/discover/Steve-Slow-Train-Analysis-(2080s-and-2083s)?_g=(refreshInterval:(display:Off,pause:!f,section:0,value:0),time:(from:'2017-02-03T01:05:24-0700',mode:absolute,to:'2017-02-03T03:15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5" s="192" t="str">
        <f t="shared" si="97"/>
        <v>Y</v>
      </c>
      <c r="X215" s="192">
        <f t="shared" si="98"/>
        <v>2</v>
      </c>
      <c r="Y215" s="62">
        <f t="shared" si="99"/>
        <v>4.3700000000000003E-2</v>
      </c>
      <c r="Z215" s="62">
        <f t="shared" si="100"/>
        <v>2.3319999999999999</v>
      </c>
      <c r="AA215" s="62">
        <f t="shared" si="101"/>
        <v>2.2883</v>
      </c>
      <c r="AB215" s="59" t="e">
        <f>VLOOKUP(A215,Enforcements!$C$7:$K$16,8,0)</f>
        <v>#N/A</v>
      </c>
      <c r="AC215" s="55" t="e">
        <f>VLOOKUP(A215,Enforcements!$C$7:$E$16,3,0)</f>
        <v>#N/A</v>
      </c>
      <c r="AD215" s="56" t="str">
        <f t="shared" si="102"/>
        <v>0315-02</v>
      </c>
      <c r="AE215" s="85" t="str">
        <f t="shared" si="103"/>
        <v>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 &amp; 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</v>
      </c>
      <c r="AF215" s="82" t="str">
        <f t="shared" si="104"/>
        <v>"C:\Program Files (x86)\AstroGrep\AstroGrep.exe" /spath="%USERPROFILE%\AppData\Local\Temp\OnboardLogs" /stypes="app*4051*20170203*" /stext=" 09:.+((SYSTEM_STATE.+slice.+state.+changed )|(ment ac)|(multiple cpu faults)|(system.+state.+changed )|(\[timeout)|(PRM\|1\|D)|(kpr)|(kdp)|(\|lc)|(penalty))" /e /r /s</v>
      </c>
      <c r="AG215" s="1" t="str">
        <f t="shared" si="105"/>
        <v>Other</v>
      </c>
      <c r="AH215" s="86" t="str">
        <f t="shared" si="106"/>
        <v>"%USERPROFILE%\Documents\GitHub\eaglep3\Utilities\RefineRTDCRunTimes.py" --tripid 315-02 --locoid 4051 --swversion DE.1.0.8.0 --startMP 204:437 --initTime 2017-02-03T02:05:24 --startdatetime 2017-02-03T02:07:00 --delay 1 --endMP 300:23320 --enddatetime 2017-02-03T02:15:40 --enforcementcount 0 &gt;&gt;C:\Users\stu\Documents\GitHub\eaglep3-reporting\EC\2017-02-03-refined-times.txt</v>
      </c>
      <c r="AI215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{"issue":{"subject":"","project_id":79,"tracker_id":40,"status_id":1,"priority_id":2,"assigned_to_id":23,"start_date":"2017-02-03","description":"","custom_fields":[{"id":1,"name":"Subdivision","value":"Other"},{"id":4,"name":"Milepost","value":"2.332"},{"id":17,"name":"Train ID","value":"315-02"},{"id":16,"name":"Locomotive ID","value":"4051"},{"id":130,"name":"Impact","value":""},{"id":150,"name":"Time of Event (Mountain Time)","value":"02:15:40"},{"id":151,"name":"Denver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8" t="str">
        <f t="shared" si="108"/>
        <v>start /low /b %USERPROFILE%\Documents\GitHub\eaglep3\Utilities\DownloadLogsFromS3.py --loco 4051 --day 2017-02-03</v>
      </c>
      <c r="AN215" s="167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2017-02-03-UncaughtWiMAX.txt</v>
      </c>
    </row>
    <row r="216" spans="1:40" x14ac:dyDescent="0.25">
      <c r="A216" s="33" t="s">
        <v>768</v>
      </c>
      <c r="B216" s="7">
        <v>4044</v>
      </c>
      <c r="C216" s="21" t="s">
        <v>193</v>
      </c>
      <c r="D216" s="21" t="s">
        <v>448</v>
      </c>
      <c r="E216" s="13">
        <v>42770.111631944441</v>
      </c>
      <c r="F216" s="13">
        <v>42770.113206018519</v>
      </c>
      <c r="G216" s="7">
        <v>2</v>
      </c>
      <c r="H216" s="21" t="s">
        <v>846</v>
      </c>
      <c r="I216" s="13">
        <v>42770.120520833334</v>
      </c>
      <c r="J216" s="7">
        <v>0</v>
      </c>
      <c r="K216" s="98" t="str">
        <f t="shared" si="91"/>
        <v>4043/4044</v>
      </c>
      <c r="L216" s="21" t="str">
        <f>VLOOKUP(A216,'Trips&amp;Operators'!$C$1:$G$99999,5,FALSE)</f>
        <v>BROWN JACOB</v>
      </c>
      <c r="M216" s="6">
        <f t="shared" si="92"/>
        <v>7.3148148148902692E-3</v>
      </c>
      <c r="N216" s="7">
        <f t="shared" si="93"/>
        <v>10.533333333441988</v>
      </c>
      <c r="O216" s="7"/>
      <c r="P216" s="7"/>
      <c r="Q216" s="22"/>
      <c r="R216" s="22"/>
      <c r="S216" s="31">
        <f t="shared" si="94"/>
        <v>0</v>
      </c>
      <c r="T216" s="46" t="str">
        <f t="shared" si="95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96"/>
        <v>https://d0f6bd738d7f1b3e5a7ca70fe4ff75f0.us-east-1.aws.found.io/app/kibana#/discover/Steve-Slow-Train-Analysis-(2080s-and-2083s)?_g=(refreshInterval:(display:Off,pause:!f,section:0,value:0),time:(from:'2017-02-04T01:40:45-0700',mode:absolute,to:'2017-02-04T03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192" t="str">
        <f t="shared" si="97"/>
        <v>Y</v>
      </c>
      <c r="X216" s="192">
        <f t="shared" si="98"/>
        <v>0</v>
      </c>
      <c r="Y216" s="62">
        <f t="shared" si="99"/>
        <v>6.5000000000000002E-2</v>
      </c>
      <c r="Z216" s="62">
        <f t="shared" si="100"/>
        <v>0.13869999999999999</v>
      </c>
      <c r="AA216" s="62">
        <f t="shared" si="101"/>
        <v>7.3699999999999988E-2</v>
      </c>
      <c r="AB216" s="59" t="e">
        <f>VLOOKUP(A216,Enforcements!$C$7:$K$16,8,0)</f>
        <v>#N/A</v>
      </c>
      <c r="AC216" s="55" t="e">
        <f>VLOOKUP(A216,Enforcements!$C$7:$E$16,3,0)</f>
        <v>#N/A</v>
      </c>
      <c r="AD216" s="56" t="str">
        <f t="shared" si="102"/>
        <v>0315-03</v>
      </c>
      <c r="AE216" s="85" t="str">
        <f t="shared" si="103"/>
        <v>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 &amp; aws s3 cp s3://rtdc.mdm.uploadarchive.raw/RTDC4044/ "%USERPROFILE%\AppData\Local\Temp\OnboardLogs"\RTDC4044\2017-02-05 --exclude "*" --recursive --include "*20170205*" &amp; "%USERPROFILE%\Documents\GitHub\mrs-test-scripts\Headless Mode &amp; Sideloading\WalkAndUnGZ.bat" "%USERPROFILE%\AppData\Local\Temp\OnboardLogs"\RTDC4044\2017-02-05</v>
      </c>
      <c r="AF216" s="82" t="str">
        <f t="shared" si="104"/>
        <v>"C:\Program Files (x86)\AstroGrep\AstroGrep.exe" /spath="%USERPROFILE%\AppData\Local\Temp\OnboardLogs" /stypes="app*4044*20170204*" /stext=" 09:.+((SYSTEM_STATE.+slice.+state.+changed )|(ment ac)|(multiple cpu faults)|(system.+state.+changed )|(\[timeout)|(PRM\|1\|D)|(kpr)|(kdp)|(\|lc)|(penalty))" /e /r /s</v>
      </c>
      <c r="AG216" s="1" t="str">
        <f t="shared" si="105"/>
        <v>Other</v>
      </c>
      <c r="AH216" s="86" t="str">
        <f t="shared" si="106"/>
        <v>"%USERPROFILE%\Documents\GitHub\eaglep3\Utilities\RefineRTDCRunTimes.py" --tripid 315-03 --locoid 4044 --swversion DE.1.0.8.0 --startMP 204:650 --initTime 2017-02-04T02:40:45 --startdatetime 2017-02-04T02:43:01 --delay 2 --endMP 204:1387 --enddatetime 2017-02-04T02:53:33 --enforcementcount 0 &gt;&gt;C:\Users\stu\Documents\GitHub\eaglep3-reporting\EC\2017-02-03-refined-times.txt</v>
      </c>
      <c r="AI216" s="108" t="str">
        <f t="shared" si="107"/>
        <v>echo {"issue":{"subject":"","project_id":79,"tracker_id":40,"status_id":1,"priority_id":2,"assigned_to_id":23,"start_date":"2017-02-04","description":"","custom_fields":[{"id":1,"name":"Subdivision","value":"Other"},{"id":4,"name":"Milepost","value":"0.1387"},{"id":17,"name":"Train ID","value":"315-03"},{"id":16,"name":"Locomotive ID","value":"4044"},{"id":130,"name":"Impact","value":""},{"id":150,"name":"Time of Event (Mountain Time)","value":"02:53:33"},{"id":151,"name":"Denver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8" t="str">
        <f t="shared" si="108"/>
        <v>start /low /b %USERPROFILE%\Documents\GitHub\eaglep3\Utilities\DownloadLogsFromS3.py --loco 4044 --day 2017-02-04</v>
      </c>
      <c r="AN216" s="167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"%USERPROFILE%\AppData\Local\Temp\OnboardLogs"\RTDC4044\*4044*20170204* | grep -SE "(Enforcement Action)|(\[TIMEOUT)|(CHR.+\|PRM\|1\|D.+(SWITCH|SIGNAL).+UNKNOWN)" - &gt;&gt; 2017-02-03-UncaughtWiMAX.txt</v>
      </c>
    </row>
    <row r="217" spans="1:40" x14ac:dyDescent="0.25">
      <c r="A217" s="33" t="s">
        <v>575</v>
      </c>
      <c r="B217" s="7">
        <v>4019</v>
      </c>
      <c r="C217" s="21" t="s">
        <v>193</v>
      </c>
      <c r="D217" s="21" t="s">
        <v>897</v>
      </c>
      <c r="E217" s="13">
        <v>42769.247430555559</v>
      </c>
      <c r="F217" s="13">
        <v>42769.2499537037</v>
      </c>
      <c r="G217" s="7">
        <v>3</v>
      </c>
      <c r="H217" s="21" t="s">
        <v>898</v>
      </c>
      <c r="I217" s="13">
        <v>42769.254074074073</v>
      </c>
      <c r="J217" s="7">
        <v>0</v>
      </c>
      <c r="K217" s="98" t="str">
        <f t="shared" si="91"/>
        <v>4019/4020</v>
      </c>
      <c r="L217" s="21" t="str">
        <f>VLOOKUP(A217,'Trips&amp;Operators'!$C$1:$G$99999,5,FALSE)</f>
        <v>BEAM ROSS</v>
      </c>
      <c r="M217" s="6">
        <f t="shared" si="92"/>
        <v>4.1203703731298447E-3</v>
      </c>
      <c r="N217" s="7">
        <f t="shared" si="93"/>
        <v>5.9333333373069763</v>
      </c>
      <c r="O217" s="7"/>
      <c r="P217" s="7"/>
      <c r="Q217" s="22"/>
      <c r="R217" s="22"/>
      <c r="S217" s="31">
        <f t="shared" si="94"/>
        <v>1</v>
      </c>
      <c r="T217" s="46" t="str">
        <f t="shared" si="95"/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96"/>
        <v>https://d0f6bd738d7f1b3e5a7ca70fe4ff75f0.us-east-1.aws.found.io/app/kibana#/discover/Steve-Slow-Train-Analysis-(2080s-and-2083s)?_g=(refreshInterval:(display:Off,pause:!f,section:0,value:0),time:(from:'2017-02-03T04:56:18-0700',mode:absolute,to:'2017-02-03T07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7" s="192" t="str">
        <f t="shared" si="97"/>
        <v>Y</v>
      </c>
      <c r="X217" s="192">
        <f t="shared" si="98"/>
        <v>587</v>
      </c>
      <c r="Y217" s="62">
        <f t="shared" si="99"/>
        <v>1.9530000000000001</v>
      </c>
      <c r="Z217" s="62">
        <f t="shared" si="100"/>
        <v>7.6799999999999993E-2</v>
      </c>
      <c r="AA217" s="62">
        <f t="shared" si="101"/>
        <v>1.8762000000000001</v>
      </c>
      <c r="AB217" s="59" t="e">
        <f>VLOOKUP(A217,Enforcements!$C$7:$K$16,8,0)</f>
        <v>#N/A</v>
      </c>
      <c r="AC217" s="55" t="e">
        <f>VLOOKUP(A217,Enforcements!$C$7:$E$16,3,0)</f>
        <v>#N/A</v>
      </c>
      <c r="AD217" s="56" t="str">
        <f t="shared" si="102"/>
        <v>0902-03</v>
      </c>
      <c r="AE217" s="85" t="str">
        <f t="shared" si="103"/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AF217" s="82" t="str">
        <f t="shared" si="104"/>
        <v>"C:\Program Files (x86)\AstroGrep\AstroGrep.exe" /spath="%USERPROFILE%\AppData\Local\Temp\OnboardLogs" /stypes="app*4019*20170203*" /stext=" 13:.+((SYSTEM_STATE.+slice.+state.+changed )|(ment ac)|(multiple cpu faults)|(system.+state.+changed )|(\[timeout)|(PRM\|1\|D)|(kpr)|(kdp)|(\|lc)|(penalty))" /e /r /s</v>
      </c>
      <c r="AG217" s="1" t="str">
        <f t="shared" si="105"/>
        <v>Other</v>
      </c>
      <c r="AH217" s="86" t="str">
        <f t="shared" si="106"/>
        <v>"%USERPROFILE%\Documents\GitHub\eaglep3\Utilities\RefineRTDCRunTimes.py" --tripid 902-03 --locoid 4019 --swversion DE.1.0.8.0 --startMP 300:19530 --initTime 2017-02-03T05:56:18 --startdatetime 2017-02-03T05:59:56 --delay 3 --endMP 204:768 --enddatetime 2017-02-03T06:05:52 --enforcementcount 0 &gt;&gt;C:\Users\stu\Documents\GitHub\eaglep3-reporting\EC\2017-02-03-refined-times.txt</v>
      </c>
      <c r="AI217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{"issue":{"subject":"","project_id":79,"tracker_id":40,"status_id":1,"priority_id":2,"assigned_to_id":23,"start_date":"2017-02-03","description":"","custom_fields":[{"id":1,"name":"Subdivision","value":"Other"},{"id":4,"name":"Milepost","value":"0.0768"},{"id":17,"name":"Train ID","value":"902-03"},{"id":16,"name":"Locomotive ID","value":"4019"},{"id":130,"name":"Impact","value":""},{"id":150,"name":"Time of Event (Mountain Time)","value":"06:05:52"},{"id":151,"name":"Denver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8" t="str">
        <f t="shared" si="108"/>
        <v>start /low /b %USERPROFILE%\Documents\GitHub\eaglep3\Utilities\DownloadLogsFromS3.py --loco 4019 --day 2017-02-03</v>
      </c>
      <c r="AN217" s="167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2017-02-03-UncaughtWiMAX.txt</v>
      </c>
    </row>
    <row r="218" spans="1:40" x14ac:dyDescent="0.25">
      <c r="A218" s="33" t="s">
        <v>608</v>
      </c>
      <c r="B218" s="7">
        <v>4029</v>
      </c>
      <c r="C218" s="21" t="s">
        <v>193</v>
      </c>
      <c r="D218" s="21" t="s">
        <v>371</v>
      </c>
      <c r="E218" s="13">
        <v>42769.356435185182</v>
      </c>
      <c r="F218" s="13">
        <v>42769.357418981483</v>
      </c>
      <c r="G218" s="7">
        <v>1</v>
      </c>
      <c r="H218" s="21" t="s">
        <v>899</v>
      </c>
      <c r="I218" s="13">
        <v>42769.363993055558</v>
      </c>
      <c r="J218" s="7">
        <v>0</v>
      </c>
      <c r="K218" s="98" t="str">
        <f t="shared" si="91"/>
        <v>4029/4030</v>
      </c>
      <c r="L218" s="21" t="str">
        <f>VLOOKUP(A218,'Trips&amp;Operators'!$C$1:$G$99999,5,FALSE)</f>
        <v>GEBRETEKLE DAGNEW</v>
      </c>
      <c r="M218" s="6">
        <f t="shared" si="92"/>
        <v>6.5740740756154992E-3</v>
      </c>
      <c r="N218" s="7">
        <f t="shared" si="93"/>
        <v>9.4666666688863188</v>
      </c>
      <c r="O218" s="7"/>
      <c r="P218" s="7"/>
      <c r="Q218" s="22"/>
      <c r="R218" s="22"/>
      <c r="S218" s="31">
        <f t="shared" si="94"/>
        <v>1</v>
      </c>
      <c r="T218" s="46" t="str">
        <f t="shared" si="95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96"/>
        <v>https://d0f6bd738d7f1b3e5a7ca70fe4ff75f0.us-east-1.aws.found.io/app/kibana#/discover/Steve-Slow-Train-Analysis-(2080s-and-2083s)?_g=(refreshInterval:(display:Off,pause:!f,section:0,value:0),time:(from:'2017-02-03T07:33:16-0700',mode:absolute,to:'2017-02-03T09:44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8" s="192" t="str">
        <f t="shared" si="97"/>
        <v>Y</v>
      </c>
      <c r="X218" s="192">
        <f t="shared" si="98"/>
        <v>1</v>
      </c>
      <c r="Y218" s="62">
        <f t="shared" si="99"/>
        <v>4.4400000000000002E-2</v>
      </c>
      <c r="Z218" s="62">
        <f t="shared" si="100"/>
        <v>2.4243999999999999</v>
      </c>
      <c r="AA218" s="62">
        <f t="shared" si="101"/>
        <v>2.38</v>
      </c>
      <c r="AB218" s="59" t="e">
        <f>VLOOKUP(A218,Enforcements!$C$7:$K$16,8,0)</f>
        <v>#N/A</v>
      </c>
      <c r="AC218" s="55" t="e">
        <f>VLOOKUP(A218,Enforcements!$C$7:$E$16,3,0)</f>
        <v>#N/A</v>
      </c>
      <c r="AD218" s="56" t="str">
        <f t="shared" si="102"/>
        <v>0903-03</v>
      </c>
      <c r="AE218" s="85" t="str">
        <f t="shared" si="103"/>
        <v>aws s3 cp s3://rtdc.mdm.uploadarchive.raw/RTDC4029/ "%USERPROFILE%\AppData\Local\Temp\OnboardLogs"\RTDC4029\2017-02-03 --exclude "*" --recursive --include "*20170203*" &amp; "%USERPROFILE%\Documents\GitHub\mrs-test-scripts\Headless Mode &amp; Sideloading\WalkAndUnGZ.bat" "%USERPROFILE%\AppData\Local\Temp\OnboardLogs"\RTDC4029\2017-02-03 &amp; 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</v>
      </c>
      <c r="AF218" s="82" t="str">
        <f t="shared" si="104"/>
        <v>"C:\Program Files (x86)\AstroGrep\AstroGrep.exe" /spath="%USERPROFILE%\AppData\Local\Temp\OnboardLogs" /stypes="app*4029*20170203*" /stext=" 15:.+((SYSTEM_STATE.+slice.+state.+changed )|(ment ac)|(multiple cpu faults)|(system.+state.+changed )|(\[timeout)|(PRM\|1\|D)|(kpr)|(kdp)|(\|lc)|(penalty))" /e /r /s</v>
      </c>
      <c r="AG218" s="1" t="str">
        <f t="shared" si="105"/>
        <v>Other</v>
      </c>
      <c r="AH218" s="86" t="str">
        <f t="shared" si="106"/>
        <v>"%USERPROFILE%\Documents\GitHub\eaglep3\Utilities\RefineRTDCRunTimes.py" --tripid 903-03 --locoid 4029 --swversion DE.1.0.8.0 --startMP 204:444 --initTime 2017-02-03T08:33:16 --startdatetime 2017-02-03T08:34:41 --delay 1 --endMP 300:24244 --enddatetime 2017-02-03T08:44:09 --enforcementcount 0 &gt;&gt;C:\Users\stu\Documents\GitHub\eaglep3-reporting\EC\2017-02-03-refined-times.txt</v>
      </c>
      <c r="AI218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{"issue":{"subject":"","project_id":79,"tracker_id":40,"status_id":1,"priority_id":2,"assigned_to_id":23,"start_date":"2017-02-03","description":"","custom_fields":[{"id":1,"name":"Subdivision","value":"Other"},{"id":4,"name":"Milepost","value":"2.4244"},{"id":17,"name":"Train ID","value":"903-03"},{"id":16,"name":"Locomotive ID","value":"4029"},{"id":130,"name":"Impact","value":""},{"id":150,"name":"Time of Event (Mountain Time)","value":"08:44:09"},{"id":151,"name":"Denver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8" t="str">
        <f t="shared" si="108"/>
        <v>start /low /b %USERPROFILE%\Documents\GitHub\eaglep3\Utilities\DownloadLogsFromS3.py --loco 4029 --day 2017-02-03</v>
      </c>
      <c r="AN218" s="167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"%USERPROFILE%\AppData\Local\Temp\OnboardLogs"\RTDC4029\*4029*20170203* | grep -SE "(Enforcement Action)|(\[TIMEOUT)|(CHR.+\|PRM\|1\|D.+(SWITCH|SIGNAL).+UNKNOWN)" - &gt;&gt; 2017-02-03-UncaughtWiMAX.txt</v>
      </c>
    </row>
    <row r="219" spans="1:40" x14ac:dyDescent="0.25">
      <c r="A219" s="33" t="s">
        <v>680</v>
      </c>
      <c r="B219" s="7">
        <v>4030</v>
      </c>
      <c r="C219" s="21" t="s">
        <v>193</v>
      </c>
      <c r="D219" s="21" t="s">
        <v>900</v>
      </c>
      <c r="E219" s="13">
        <v>42769.641458333332</v>
      </c>
      <c r="F219" s="13">
        <v>42769.642395833333</v>
      </c>
      <c r="G219" s="7">
        <v>1</v>
      </c>
      <c r="H219" s="21" t="s">
        <v>379</v>
      </c>
      <c r="I219" s="13">
        <v>42769.648263888892</v>
      </c>
      <c r="J219" s="7">
        <v>0</v>
      </c>
      <c r="K219" s="98" t="str">
        <f t="shared" si="91"/>
        <v>4029/4030</v>
      </c>
      <c r="L219" s="21" t="str">
        <f>VLOOKUP(A219,'Trips&amp;Operators'!$C$1:$G$99999,5,FALSE)</f>
        <v>MCREYNOLDS KYLE</v>
      </c>
      <c r="M219" s="6">
        <f t="shared" si="92"/>
        <v>5.8680555594037287E-3</v>
      </c>
      <c r="N219" s="7">
        <f t="shared" si="93"/>
        <v>8.4500000055413693</v>
      </c>
      <c r="O219" s="7"/>
      <c r="P219" s="7"/>
      <c r="Q219" s="22"/>
      <c r="R219" s="22"/>
      <c r="S219" s="31">
        <f t="shared" si="94"/>
        <v>1</v>
      </c>
      <c r="T219" s="46" t="str">
        <f t="shared" si="95"/>
        <v>Southbound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96"/>
        <v>https://d0f6bd738d7f1b3e5a7ca70fe4ff75f0.us-east-1.aws.found.io/app/kibana#/discover/Steve-Slow-Train-Analysis-(2080s-and-2083s)?_g=(refreshInterval:(display:Off,pause:!f,section:0,value:0),time:(from:'2017-02-03T14:23:42-0700',mode:absolute,to:'2017-02-03T16:33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192" t="str">
        <f t="shared" si="97"/>
        <v>Y</v>
      </c>
      <c r="X219" s="192">
        <f t="shared" si="98"/>
        <v>1</v>
      </c>
      <c r="Y219" s="62">
        <f t="shared" si="99"/>
        <v>2.3250000000000002</v>
      </c>
      <c r="Z219" s="62">
        <f t="shared" si="100"/>
        <v>6.8699999999999997E-2</v>
      </c>
      <c r="AA219" s="62">
        <f t="shared" si="101"/>
        <v>2.2563</v>
      </c>
      <c r="AB219" s="59" t="e">
        <f>VLOOKUP(A219,Enforcements!$C$7:$K$16,8,0)</f>
        <v>#N/A</v>
      </c>
      <c r="AC219" s="55" t="e">
        <f>VLOOKUP(A219,Enforcements!$C$7:$E$16,3,0)</f>
        <v>#N/A</v>
      </c>
      <c r="AD219" s="56" t="str">
        <f t="shared" si="102"/>
        <v>0904-03</v>
      </c>
      <c r="AE219" s="85" t="str">
        <f t="shared" si="103"/>
        <v>aws s3 cp s3://rtdc.mdm.uploadarchive.raw/RTDC4030/ "%USERPROFILE%\AppData\Local\Temp\OnboardLogs"\RTDC4030\2017-02-03 --exclude "*" --recursive --include "*20170203*" &amp; "%USERPROFILE%\Documents\GitHub\mrs-test-scripts\Headless Mode &amp; Sideloading\WalkAndUnGZ.bat" "%USERPROFILE%\AppData\Local\Temp\OnboardLogs"\RTDC4030\2017-02-03 &amp; 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</v>
      </c>
      <c r="AF219" s="82" t="str">
        <f t="shared" si="104"/>
        <v>"C:\Program Files (x86)\AstroGrep\AstroGrep.exe" /spath="%USERPROFILE%\AppData\Local\Temp\OnboardLogs" /stypes="app*4030*20170203*" /stext=" 22:.+((SYSTEM_STATE.+slice.+state.+changed )|(ment ac)|(multiple cpu faults)|(system.+state.+changed )|(\[timeout)|(PRM\|1\|D)|(kpr)|(kdp)|(\|lc)|(penalty))" /e /r /s</v>
      </c>
      <c r="AG219" s="1" t="str">
        <f t="shared" si="105"/>
        <v>Other</v>
      </c>
      <c r="AH219" s="86" t="str">
        <f t="shared" si="106"/>
        <v>"%USERPROFILE%\Documents\GitHub\eaglep3\Utilities\RefineRTDCRunTimes.py" --tripid 904-03 --locoid 4030 --swversion DE.1.0.8.0 --startMP 300:23250 --initTime 2017-02-03T15:23:42 --startdatetime 2017-02-03T15:25:03 --delay 1 --endMP 204:687 --enddatetime 2017-02-03T15:33:30 --enforcementcount 0 &gt;&gt;C:\Users\stu\Documents\GitHub\eaglep3-reporting\EC\2017-02-03-refined-times.txt</v>
      </c>
      <c r="AI219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{"issue":{"subject":"","project_id":79,"tracker_id":40,"status_id":1,"priority_id":2,"assigned_to_id":23,"start_date":"2017-02-03","description":"","custom_fields":[{"id":1,"name":"Subdivision","value":"Other"},{"id":4,"name":"Milepost","value":"0.0687"},{"id":17,"name":"Train ID","value":"904-03"},{"id":16,"name":"Locomotive ID","value":"4030"},{"id":130,"name":"Impact","value":""},{"id":150,"name":"Time of Event (Mountain Time)","value":"15:33:30"},{"id":151,"name":"Denver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8" t="str">
        <f t="shared" si="108"/>
        <v>start /low /b %USERPROFILE%\Documents\GitHub\eaglep3\Utilities\DownloadLogsFromS3.py --loco 4030 --day 2017-02-03</v>
      </c>
      <c r="AN219" s="167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"%USERPROFILE%\AppData\Local\Temp\OnboardLogs"\RTDC4030\*4030*20170203* | grep -SE "(Enforcement Action)|(\[TIMEOUT)|(CHR.+\|PRM\|1\|D.+(SWITCH|SIGNAL).+UNKNOWN)" - &gt;&gt; 2017-02-03-UncaughtWiMAX.txt</v>
      </c>
    </row>
    <row r="220" spans="1:40" x14ac:dyDescent="0.25">
      <c r="A220" s="33" t="s">
        <v>629</v>
      </c>
      <c r="B220" s="7">
        <v>4037</v>
      </c>
      <c r="C220" s="21" t="s">
        <v>193</v>
      </c>
      <c r="D220" s="21" t="s">
        <v>847</v>
      </c>
      <c r="E220" s="13">
        <v>42769.454733796294</v>
      </c>
      <c r="F220" s="13">
        <v>42769.455752314818</v>
      </c>
      <c r="G220" s="7">
        <v>1</v>
      </c>
      <c r="H220" s="21" t="s">
        <v>848</v>
      </c>
      <c r="I220" s="13">
        <v>42769.461597222224</v>
      </c>
      <c r="J220" s="7">
        <v>0</v>
      </c>
      <c r="K220" s="98" t="str">
        <f t="shared" si="91"/>
        <v>4037/4038</v>
      </c>
      <c r="L220" s="21" t="str">
        <f>VLOOKUP(A220,'Trips&amp;Operators'!$C$1:$G$99999,5,FALSE)</f>
        <v>BRANDNER MELINDA</v>
      </c>
      <c r="M220" s="6">
        <f t="shared" si="92"/>
        <v>5.8449074058444239E-3</v>
      </c>
      <c r="N220" s="7">
        <f t="shared" si="93"/>
        <v>8.4166666644159704</v>
      </c>
      <c r="O220" s="7"/>
      <c r="P220" s="7"/>
      <c r="Q220" s="22"/>
      <c r="R220" s="22"/>
      <c r="S220" s="31">
        <f t="shared" si="94"/>
        <v>0</v>
      </c>
      <c r="T220" s="46" t="e">
        <f t="shared" si="95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96"/>
        <v>https://d0f6bd738d7f1b3e5a7ca70fe4ff75f0.us-east-1.aws.found.io/app/kibana#/discover/Steve-Slow-Train-Analysis-(2080s-and-2083s)?_g=(refreshInterval:(display:Off,pause:!f,section:0,value:0),time:(from:'2017-02-03T09:54:49-0700',mode:absolute,to:'2017-02-03T12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0" s="192" t="str">
        <f t="shared" si="97"/>
        <v>Y</v>
      </c>
      <c r="X220" s="192" t="e">
        <f t="shared" si="98"/>
        <v>#VALUE!</v>
      </c>
      <c r="Y220" s="62">
        <f t="shared" si="99"/>
        <v>2.1949999999999998</v>
      </c>
      <c r="Z220" s="62">
        <f t="shared" si="100"/>
        <v>8.8499999999999995E-2</v>
      </c>
      <c r="AA220" s="62">
        <f t="shared" si="101"/>
        <v>2.1065</v>
      </c>
      <c r="AB220" s="59" t="e">
        <f>VLOOKUP(A220,Enforcements!$C$7:$K$16,8,0)</f>
        <v>#N/A</v>
      </c>
      <c r="AC220" s="55" t="e">
        <f>VLOOKUP(A220,Enforcements!$C$7:$E$16,3,0)</f>
        <v>#N/A</v>
      </c>
      <c r="AD220" s="56" t="str">
        <f t="shared" si="102"/>
        <v>50-03</v>
      </c>
      <c r="AE220" s="85" t="str">
        <f t="shared" si="103"/>
        <v>aws s3 cp s3://rtdc.mdm.uploadarchive.raw/RTDC4037/ "%USERPROFILE%\AppData\Local\Temp\OnboardLogs"\RTDC4037\2017-02-03 --exclude "*" --recursive --include "*20170203*" &amp; "%USERPROFILE%\Documents\GitHub\mrs-test-scripts\Headless Mode &amp; Sideloading\WalkAndUnGZ.bat" "%USERPROFILE%\AppData\Local\Temp\OnboardLogs"\RTDC4037\2017-02-03 &amp; aws s3 cp s3://rtdc.mdm.uploadarchive.raw/RTDC4037/ "%USERPROFILE%\AppData\Local\Temp\OnboardLogs"\RTDC4037\2017-02-04 --exclude "*" --recursive --include "*20170204*" &amp; "%USERPROFILE%\Documents\GitHub\mrs-test-scripts\Headless Mode &amp; Sideloading\WalkAndUnGZ.bat" "%USERPROFILE%\AppData\Local\Temp\OnboardLogs"\RTDC4037\2017-02-04</v>
      </c>
      <c r="AF220" s="82" t="str">
        <f t="shared" si="104"/>
        <v>"C:\Program Files (x86)\AstroGrep\AstroGrep.exe" /spath="%USERPROFILE%\AppData\Local\Temp\OnboardLogs" /stypes="app*4037*20170203*" /stext=" 18:.+((SYSTEM_STATE.+slice.+state.+changed )|(ment ac)|(multiple cpu faults)|(system.+state.+changed )|(\[timeout)|(PRM\|1\|D)|(kpr)|(kdp)|(\|lc)|(penalty))" /e /r /s</v>
      </c>
      <c r="AG220" s="1" t="str">
        <f t="shared" si="105"/>
        <v>Other</v>
      </c>
      <c r="AH220" s="86" t="str">
        <f t="shared" si="106"/>
        <v>"%USERPROFILE%\Documents\GitHub\eaglep3\Utilities\RefineRTDCRunTimes.py" --tripid 50-03 --locoid 4037 --swversion DE.1.0.8.0 --startMP 300:21950 --initTime 2017-02-03T10:54:49 --startdatetime 2017-02-03T10:56:17 --delay 1 --endMP 204:885 --enddatetime 2017-02-03T11:04:42 --enforcementcount 0 &gt;&gt;C:\Users\stu\Documents\GitHub\eaglep3-reporting\EC\2017-02-03-refined-times.txt</v>
      </c>
      <c r="AI220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{"issue":{"subject":"","project_id":79,"tracker_id":40,"status_id":1,"priority_id":2,"assigned_to_id":23,"start_date":"2017-02-03","description":"","custom_fields":[{"id":1,"name":"Subdivision","value":"Other"},{"id":4,"name":"Milepost","value":"0.0885"},{"id":17,"name":"Train ID","value":"50-03"},{"id":16,"name":"Locomotive ID","value":"4037"},{"id":130,"name":"Impact","value":""},{"id":150,"name":"Time of Event (Mountain Time)","value":"11:04:42"},{"id":151,"name":"Denver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8" t="str">
        <f t="shared" si="108"/>
        <v>start /low /b %USERPROFILE%\Documents\GitHub\eaglep3\Utilities\DownloadLogsFromS3.py --loco 4037 --day 2017-02-03</v>
      </c>
      <c r="AN220" s="167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"%USERPROFILE%\AppData\Local\Temp\OnboardLogs"\RTDC4037\*4037*20170203* | grep -SE "(Enforcement Action)|(\[TIMEOUT)|(CHR.+\|PRM\|1\|D.+(SWITCH|SIGNAL).+UNKNOWN)" - &gt;&gt; 2017-02-03-UncaughtWiMAX.txt</v>
      </c>
    </row>
    <row r="221" spans="1:40" x14ac:dyDescent="0.25">
      <c r="A221" s="33" t="s">
        <v>711</v>
      </c>
      <c r="B221" s="7">
        <v>4012</v>
      </c>
      <c r="C221" s="21" t="s">
        <v>193</v>
      </c>
      <c r="D221" s="21" t="s">
        <v>849</v>
      </c>
      <c r="E221" s="13">
        <v>42769.73678240741</v>
      </c>
      <c r="F221" s="13">
        <v>42769.737557870372</v>
      </c>
      <c r="G221" s="7">
        <v>1</v>
      </c>
      <c r="H221" s="21" t="s">
        <v>850</v>
      </c>
      <c r="I221" s="13">
        <v>42769.744849537034</v>
      </c>
      <c r="J221" s="7">
        <v>0</v>
      </c>
      <c r="K221" s="98" t="str">
        <f t="shared" si="91"/>
        <v>4011/4012</v>
      </c>
      <c r="L221" s="21" t="str">
        <f>VLOOKUP(A221,'Trips&amp;Operators'!$C$1:$G$99999,5,FALSE)</f>
        <v>PERKINS DARREN</v>
      </c>
      <c r="M221" s="6">
        <f t="shared" si="92"/>
        <v>7.2916666613309644E-3</v>
      </c>
      <c r="N221" s="7">
        <f t="shared" si="93"/>
        <v>10.499999992316589</v>
      </c>
      <c r="O221" s="7"/>
      <c r="P221" s="7"/>
      <c r="Q221" s="22"/>
      <c r="R221" s="22"/>
      <c r="S221" s="31">
        <f t="shared" si="94"/>
        <v>0</v>
      </c>
      <c r="T221" s="46" t="e">
        <f t="shared" si="95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96"/>
        <v>https://d0f6bd738d7f1b3e5a7ca70fe4ff75f0.us-east-1.aws.found.io/app/kibana#/discover/Steve-Slow-Train-Analysis-(2080s-and-2083s)?_g=(refreshInterval:(display:Off,pause:!f,section:0,value:0),time:(from:'2017-02-03T16:40:58-0700',mode:absolute,to:'2017-02-03T18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192" t="str">
        <f t="shared" si="97"/>
        <v>Y</v>
      </c>
      <c r="X221" s="192" t="e">
        <f t="shared" si="98"/>
        <v>#VALUE!</v>
      </c>
      <c r="Y221" s="62">
        <f t="shared" si="99"/>
        <v>2.2017000000000002</v>
      </c>
      <c r="Z221" s="62">
        <f t="shared" si="100"/>
        <v>1.04E-2</v>
      </c>
      <c r="AA221" s="62">
        <f t="shared" si="101"/>
        <v>2.1913</v>
      </c>
      <c r="AB221" s="59" t="e">
        <f>VLOOKUP(A221,Enforcements!$C$7:$K$16,8,0)</f>
        <v>#N/A</v>
      </c>
      <c r="AC221" s="55" t="e">
        <f>VLOOKUP(A221,Enforcements!$C$7:$E$16,3,0)</f>
        <v>#N/A</v>
      </c>
      <c r="AD221" s="56" t="str">
        <f t="shared" si="102"/>
        <v>70-03</v>
      </c>
      <c r="AE221" s="85" t="str">
        <f t="shared" si="103"/>
        <v>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 &amp; 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</v>
      </c>
      <c r="AF221" s="82" t="str">
        <f t="shared" si="104"/>
        <v>"C:\Program Files (x86)\AstroGrep\AstroGrep.exe" /spath="%USERPROFILE%\AppData\Local\Temp\OnboardLogs" /stypes="app*4012*20170204*" /stext=" 00:.+((SYSTEM_STATE.+slice.+state.+changed )|(ment ac)|(multiple cpu faults)|(system.+state.+changed )|(\[timeout)|(PRM\|1\|D)|(kpr)|(kdp)|(\|lc)|(penalty))" /e /r /s</v>
      </c>
      <c r="AG221" s="1" t="str">
        <f t="shared" si="105"/>
        <v>Other</v>
      </c>
      <c r="AH221" s="86" t="str">
        <f t="shared" si="106"/>
        <v>"%USERPROFILE%\Documents\GitHub\eaglep3\Utilities\RefineRTDCRunTimes.py" --tripid 70-03 --locoid 4012 --swversion DE.1.0.8.0 --startMP 300:22017 --initTime 2017-02-03T17:40:58 --startdatetime 2017-02-03T17:42:05 --delay 1 --endMP 204:104 --enddatetime 2017-02-03T17:52:35 --enforcementcount 0 &gt;&gt;C:\Users\stu\Documents\GitHub\eaglep3-reporting\EC\2017-02-03-refined-times.txt</v>
      </c>
      <c r="AI221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{"issue":{"subject":"","project_id":79,"tracker_id":40,"status_id":1,"priority_id":2,"assigned_to_id":23,"start_date":"2017-02-03","description":"","custom_fields":[{"id":1,"name":"Subdivision","value":"Other"},{"id":4,"name":"Milepost","value":"0.0104"},{"id":17,"name":"Train ID","value":"70-03"},{"id":16,"name":"Locomotive ID","value":"4012"},{"id":130,"name":"Impact","value":""},{"id":150,"name":"Time of Event (Mountain Time)","value":"17:52:35"},{"id":151,"name":"Denver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8" t="str">
        <f t="shared" si="108"/>
        <v>start /low /b %USERPROFILE%\Documents\GitHub\eaglep3\Utilities\DownloadLogsFromS3.py --loco 4012 --day 2017-02-03</v>
      </c>
      <c r="AN221" s="167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2017-02-03-UncaughtWiMAX.txt</v>
      </c>
    </row>
    <row r="222" spans="1:40" x14ac:dyDescent="0.25">
      <c r="A222" s="33" t="s">
        <v>721</v>
      </c>
      <c r="B222" s="7">
        <v>4011</v>
      </c>
      <c r="C222" s="21" t="s">
        <v>193</v>
      </c>
      <c r="D222" s="21" t="s">
        <v>851</v>
      </c>
      <c r="E222" s="13">
        <v>42769.759583333333</v>
      </c>
      <c r="F222" s="13">
        <v>42769.761365740742</v>
      </c>
      <c r="G222" s="7">
        <v>2</v>
      </c>
      <c r="H222" s="21" t="s">
        <v>340</v>
      </c>
      <c r="I222" s="13">
        <v>42769.785555555558</v>
      </c>
      <c r="J222" s="7">
        <v>0</v>
      </c>
      <c r="K222" s="98" t="str">
        <f t="shared" si="91"/>
        <v>4011/4012</v>
      </c>
      <c r="L222" s="21" t="str">
        <f>VLOOKUP(A222,'Trips&amp;Operators'!$C$1:$G$99999,5,FALSE)</f>
        <v>DE LA ROSA ALEX</v>
      </c>
      <c r="M222" s="6">
        <f t="shared" si="92"/>
        <v>2.4189814816054422E-2</v>
      </c>
      <c r="N222" s="7">
        <f t="shared" si="93"/>
        <v>34.833333335118368</v>
      </c>
      <c r="O222" s="7"/>
      <c r="P222" s="7"/>
      <c r="Q222" s="22"/>
      <c r="R222" s="22"/>
      <c r="S222" s="31">
        <f t="shared" si="94"/>
        <v>0</v>
      </c>
      <c r="T222" s="46" t="e">
        <f t="shared" si="95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96"/>
        <v>https://d0f6bd738d7f1b3e5a7ca70fe4ff75f0.us-east-1.aws.found.io/app/kibana#/discover/Steve-Slow-Train-Analysis-(2080s-and-2083s)?_g=(refreshInterval:(display:Off,pause:!f,section:0,value:0),time:(from:'2017-02-03T17:13:48-0700',mode:absolute,to:'2017-02-03T19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2" s="192" t="str">
        <f t="shared" si="97"/>
        <v>Y</v>
      </c>
      <c r="X222" s="192" t="e">
        <f t="shared" si="98"/>
        <v>#VALUE!</v>
      </c>
      <c r="Y222" s="62">
        <f t="shared" si="99"/>
        <v>4.0399999999999998E-2</v>
      </c>
      <c r="Z222" s="62">
        <f t="shared" si="100"/>
        <v>2.3346</v>
      </c>
      <c r="AA222" s="62">
        <f t="shared" si="101"/>
        <v>2.2942</v>
      </c>
      <c r="AB222" s="59" t="e">
        <f>VLOOKUP(A222,Enforcements!$C$7:$K$16,8,0)</f>
        <v>#N/A</v>
      </c>
      <c r="AC222" s="55" t="e">
        <f>VLOOKUP(A222,Enforcements!$C$7:$E$16,3,0)</f>
        <v>#N/A</v>
      </c>
      <c r="AD222" s="56" t="str">
        <f t="shared" si="102"/>
        <v>71-03</v>
      </c>
      <c r="AE222" s="85" t="str">
        <f t="shared" si="103"/>
        <v>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 &amp; 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</v>
      </c>
      <c r="AF222" s="82" t="str">
        <f t="shared" si="104"/>
        <v>"C:\Program Files (x86)\AstroGrep\AstroGrep.exe" /spath="%USERPROFILE%\AppData\Local\Temp\OnboardLogs" /stypes="app*4011*20170204*" /stext=" 01:.+((SYSTEM_STATE.+slice.+state.+changed )|(ment ac)|(multiple cpu faults)|(system.+state.+changed )|(\[timeout)|(PRM\|1\|D)|(kpr)|(kdp)|(\|lc)|(penalty))" /e /r /s</v>
      </c>
      <c r="AG222" s="1" t="str">
        <f t="shared" si="105"/>
        <v>Other</v>
      </c>
      <c r="AH222" s="86" t="str">
        <f t="shared" si="106"/>
        <v>"%USERPROFILE%\Documents\GitHub\eaglep3\Utilities\RefineRTDCRunTimes.py" --tripid 71-03 --locoid 4011 --swversion DE.1.0.8.0 --startMP 204:404 --initTime 2017-02-03T18:13:48 --startdatetime 2017-02-03T18:16:22 --delay 2 --endMP 300:23346 --enddatetime 2017-02-03T18:51:12 --enforcementcount 0 &gt;&gt;C:\Users\stu\Documents\GitHub\eaglep3-reporting\EC\2017-02-03-refined-times.txt</v>
      </c>
      <c r="AI222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{"issue":{"subject":"","project_id":79,"tracker_id":40,"status_id":1,"priority_id":2,"assigned_to_id":23,"start_date":"2017-02-03","description":"","custom_fields":[{"id":1,"name":"Subdivision","value":"Other"},{"id":4,"name":"Milepost","value":"2.3346"},{"id":17,"name":"Train ID","value":"71-03"},{"id":16,"name":"Locomotive ID","value":"4011"},{"id":130,"name":"Impact","value":""},{"id":150,"name":"Time of Event (Mountain Time)","value":"18:51:12"},{"id":151,"name":"Denver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8" t="str">
        <f t="shared" si="108"/>
        <v>start /low /b %USERPROFILE%\Documents\GitHub\eaglep3\Utilities\DownloadLogsFromS3.py --loco 4011 --day 2017-02-03</v>
      </c>
      <c r="AN222" s="167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2017-02-03-UncaughtWiMAX.txt</v>
      </c>
    </row>
    <row r="223" spans="1:40" x14ac:dyDescent="0.25">
      <c r="A223" s="33" t="s">
        <v>730</v>
      </c>
      <c r="B223" s="7">
        <v>4010</v>
      </c>
      <c r="C223" s="21" t="s">
        <v>193</v>
      </c>
      <c r="D223" s="21" t="s">
        <v>852</v>
      </c>
      <c r="E223" s="13">
        <v>42769.757777777777</v>
      </c>
      <c r="F223" s="13">
        <v>42769.791747685187</v>
      </c>
      <c r="G223" s="7">
        <v>48</v>
      </c>
      <c r="H223" s="21" t="s">
        <v>853</v>
      </c>
      <c r="I223" s="13">
        <v>42769.802291666667</v>
      </c>
      <c r="J223" s="7">
        <v>0</v>
      </c>
      <c r="K223" s="98" t="str">
        <f t="shared" si="91"/>
        <v>4009/4010</v>
      </c>
      <c r="L223" s="21" t="str">
        <f>VLOOKUP(A223,'Trips&amp;Operators'!$C$1:$G$99999,5,FALSE)</f>
        <v>DUNCAN SHEILA</v>
      </c>
      <c r="M223" s="6">
        <f t="shared" si="92"/>
        <v>1.0543981479713693E-2</v>
      </c>
      <c r="N223" s="7">
        <f t="shared" si="93"/>
        <v>15.183333330787718</v>
      </c>
      <c r="O223" s="7"/>
      <c r="P223" s="7"/>
      <c r="Q223" s="22"/>
      <c r="R223" s="22"/>
      <c r="S223" s="31">
        <f t="shared" si="94"/>
        <v>0</v>
      </c>
      <c r="T223" s="46" t="e">
        <f t="shared" si="95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96"/>
        <v>https://d0f6bd738d7f1b3e5a7ca70fe4ff75f0.us-east-1.aws.found.io/app/kibana#/discover/Steve-Slow-Train-Analysis-(2080s-and-2083s)?_g=(refreshInterval:(display:Off,pause:!f,section:0,value:0),time:(from:'2017-02-03T17:11:12-0700',mode:absolute,to:'2017-02-03T20:15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3" s="192" t="str">
        <f t="shared" si="97"/>
        <v>Y</v>
      </c>
      <c r="X223" s="192" t="e">
        <f t="shared" si="98"/>
        <v>#VALUE!</v>
      </c>
      <c r="Y223" s="62">
        <f t="shared" si="99"/>
        <v>2.1764999999999999</v>
      </c>
      <c r="Z223" s="62">
        <f t="shared" si="100"/>
        <v>0.1764</v>
      </c>
      <c r="AA223" s="62">
        <f t="shared" si="101"/>
        <v>2.0000999999999998</v>
      </c>
      <c r="AB223" s="59" t="e">
        <f>VLOOKUP(A223,Enforcements!$C$7:$K$16,8,0)</f>
        <v>#N/A</v>
      </c>
      <c r="AC223" s="55" t="e">
        <f>VLOOKUP(A223,Enforcements!$C$7:$E$16,3,0)</f>
        <v>#N/A</v>
      </c>
      <c r="AD223" s="56" t="str">
        <f t="shared" si="102"/>
        <v>72-03</v>
      </c>
      <c r="AE223" s="85" t="str">
        <f t="shared" si="103"/>
        <v>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 &amp; aws s3 cp s3://rtdc.mdm.uploadarchive.raw/RTDC4010/ "%USERPROFILE%\AppData\Local\Temp\OnboardLogs"\RTDC4010\2017-02-04 --exclude "*" --recursive --include "*20170204*" &amp; "%USERPROFILE%\Documents\GitHub\mrs-test-scripts\Headless Mode &amp; Sideloading\WalkAndUnGZ.bat" "%USERPROFILE%\AppData\Local\Temp\OnboardLogs"\RTDC4010\2017-02-04</v>
      </c>
      <c r="AF223" s="82" t="str">
        <f t="shared" si="104"/>
        <v>"C:\Program Files (x86)\AstroGrep\AstroGrep.exe" /spath="%USERPROFILE%\AppData\Local\Temp\OnboardLogs" /stypes="app*4010*20170204*" /stext=" 02:.+((SYSTEM_STATE.+slice.+state.+changed )|(ment ac)|(multiple cpu faults)|(system.+state.+changed )|(\[timeout)|(PRM\|1\|D)|(kpr)|(kdp)|(\|lc)|(penalty))" /e /r /s</v>
      </c>
      <c r="AG223" s="1" t="str">
        <f t="shared" si="105"/>
        <v>Other</v>
      </c>
      <c r="AH223" s="86" t="str">
        <f t="shared" si="106"/>
        <v>"%USERPROFILE%\Documents\GitHub\eaglep3\Utilities\RefineRTDCRunTimes.py" --tripid 72-03 --locoid 4010 --swversion DE.1.0.8.0 --startMP 300:21765 --initTime 2017-02-03T18:11:12 --startdatetime 2017-02-03T19:00:07 --delay 48 --endMP 204:1764 --enddatetime 2017-02-03T19:15:18 --enforcementcount 0 &gt;&gt;C:\Users\stu\Documents\GitHub\eaglep3-reporting\EC\2017-02-03-refined-times.txt</v>
      </c>
      <c r="AI223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{"issue":{"subject":"","project_id":79,"tracker_id":40,"status_id":1,"priority_id":2,"assigned_to_id":23,"start_date":"2017-02-03","description":"","custom_fields":[{"id":1,"name":"Subdivision","value":"Other"},{"id":4,"name":"Milepost","value":"0.1764"},{"id":17,"name":"Train ID","value":"72-03"},{"id":16,"name":"Locomotive ID","value":"4010"},{"id":130,"name":"Impact","value":""},{"id":150,"name":"Time of Event (Mountain Time)","value":"19:15:18"},{"id":151,"name":"Denver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8" t="str">
        <f t="shared" si="108"/>
        <v>start /low /b %USERPROFILE%\Documents\GitHub\eaglep3\Utilities\DownloadLogsFromS3.py --loco 4010 --day 2017-02-03</v>
      </c>
      <c r="AN223" s="167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"%USERPROFILE%\AppData\Local\Temp\OnboardLogs"\RTDC4010\*4010*20170204* | grep -SE "(Enforcement Action)|(\[TIMEOUT)|(CHR.+\|PRM\|1\|D.+(SWITCH|SIGNAL).+UNKNOWN)" - &gt;&gt; 2017-02-03-UncaughtWiMAX.txt</v>
      </c>
    </row>
    <row r="224" spans="1:40" x14ac:dyDescent="0.25">
      <c r="A224" s="33" t="s">
        <v>397</v>
      </c>
      <c r="B224" s="7">
        <v>4055</v>
      </c>
      <c r="C224" s="21" t="s">
        <v>193</v>
      </c>
      <c r="D224" s="21" t="s">
        <v>901</v>
      </c>
      <c r="E224" s="13">
        <v>42769.127638888887</v>
      </c>
      <c r="F224" s="13">
        <v>42769.128576388888</v>
      </c>
      <c r="G224" s="7">
        <v>1</v>
      </c>
      <c r="H224" s="21" t="s">
        <v>411</v>
      </c>
      <c r="I224" s="13">
        <v>42769.140694444446</v>
      </c>
      <c r="J224" s="7">
        <v>0</v>
      </c>
      <c r="K224" s="98" t="str">
        <f t="shared" si="91"/>
        <v>4055/4056</v>
      </c>
      <c r="L224" s="21" t="str">
        <f>VLOOKUP(A224,'Trips&amp;Operators'!$C$1:$G$99999,5,FALSE)</f>
        <v>SIMMONS SHYHESHA</v>
      </c>
      <c r="M224" s="6">
        <f t="shared" si="92"/>
        <v>1.2118055557948537E-2</v>
      </c>
      <c r="N224" s="7">
        <f t="shared" si="93"/>
        <v>17.450000003445894</v>
      </c>
      <c r="O224" s="7"/>
      <c r="P224" s="7"/>
      <c r="Q224" s="22"/>
      <c r="R224" s="22"/>
      <c r="S224" s="31">
        <f t="shared" si="94"/>
        <v>0</v>
      </c>
      <c r="T224" s="46" t="e">
        <f t="shared" si="95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96"/>
        <v>https://d0f6bd738d7f1b3e5a7ca70fe4ff75f0.us-east-1.aws.found.io/app/kibana#/discover/Steve-Slow-Train-Analysis-(2080s-and-2083s)?_g=(refreshInterval:(display:Off,pause:!f,section:0,value:0),time:(from:'2017-02-03T02:03:48-0700',mode:absolute,to:'2017-02-03T04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4" s="192" t="str">
        <f t="shared" si="97"/>
        <v>N</v>
      </c>
      <c r="X224" s="192" t="e">
        <f t="shared" si="98"/>
        <v>#VALUE!</v>
      </c>
      <c r="Y224" s="62">
        <f t="shared" si="99"/>
        <v>12.608000000000001</v>
      </c>
      <c r="Z224" s="62">
        <f t="shared" si="100"/>
        <v>23.331499999999998</v>
      </c>
      <c r="AA224" s="62">
        <f t="shared" si="101"/>
        <v>10.723499999999998</v>
      </c>
      <c r="AB224" s="59" t="e">
        <f>VLOOKUP(A224,Enforcements!$C$7:$K$16,8,0)</f>
        <v>#N/A</v>
      </c>
      <c r="AC224" s="55" t="e">
        <f>VLOOKUP(A224,Enforcements!$C$7:$E$16,3,0)</f>
        <v>#N/A</v>
      </c>
      <c r="AD224" s="56" t="str">
        <f t="shared" si="102"/>
        <v>NORTH55-02</v>
      </c>
      <c r="AE224" s="85" t="str">
        <f t="shared" si="103"/>
        <v>aws s3 cp s3://rtdc.mdm.uploadarchive.raw/RTDC4055/ "%USERPROFILE%\AppData\Local\Temp\OnboardLogs"\RTDC4055\2017-02-03 --exclude "*" --recursive --include "*20170203*" &amp; "%USERPROFILE%\Documents\GitHub\mrs-test-scripts\Headless Mode &amp; Sideloading\WalkAndUnGZ.bat" "%USERPROFILE%\AppData\Local\Temp\OnboardLogs"\RTDC4055\2017-02-03 &amp; 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</v>
      </c>
      <c r="AF224" s="82" t="str">
        <f t="shared" si="104"/>
        <v>"C:\Program Files (x86)\AstroGrep\AstroGrep.exe" /spath="%USERPROFILE%\AppData\Local\Temp\OnboardLogs" /stypes="app*4055*20170203*" /stext=" 10:.+((SYSTEM_STATE.+slice.+state.+changed )|(ment ac)|(multiple cpu faults)|(system.+state.+changed )|(\[timeout)|(PRM\|1\|D)|(kpr)|(kdp)|(\|lc)|(penalty))" /e /r /s</v>
      </c>
      <c r="AG224" s="1" t="str">
        <f t="shared" si="105"/>
        <v>Other</v>
      </c>
      <c r="AH224" s="86" t="str">
        <f t="shared" si="106"/>
        <v>"%USERPROFILE%\Documents\GitHub\eaglep3\Utilities\RefineRTDCRunTimes.py" --tripid NORTH55-02 --locoid 4055 --swversion DE.1.0.8.0 --startMP 204:126080 --initTime 2017-02-03T03:03:48 --startdatetime 2017-02-03T03:05:09 --delay 1 --endMP 204:233315 --enddatetime 2017-02-03T03:22:36 --enforcementcount 0 &gt;&gt;C:\Users\stu\Documents\GitHub\eaglep3-reporting\EC\2017-02-03-refined-times.txt</v>
      </c>
      <c r="AI224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{"issue":{"subject":"","project_id":79,"tracker_id":40,"status_id":1,"priority_id":2,"assigned_to_id":23,"start_date":"2017-02-03","description":"","custom_fields":[{"id":1,"name":"Subdivision","value":"Other"},{"id":4,"name":"Milepost","value":"23.3315"},{"id":17,"name":"Train ID","value":"NORTH55-02"},{"id":16,"name":"Locomotive ID","value":"4055"},{"id":130,"name":"Impact","value":""},{"id":150,"name":"Time of Event (Mountain Time)","value":"03:22:36"},{"id":151,"name":"Denver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8" t="str">
        <f t="shared" si="108"/>
        <v>start /low /b %USERPROFILE%\Documents\GitHub\eaglep3\Utilities\DownloadLogsFromS3.py --loco 4055 --day 2017-02-03</v>
      </c>
      <c r="AN224" s="167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"%USERPROFILE%\AppData\Local\Temp\OnboardLogs"\RTDC4055\*4055*20170203* | grep -SE "(Enforcement Action)|(\[TIMEOUT)|(CHR.+\|PRM\|1\|D.+(SWITCH|SIGNAL).+UNKNOWN)" - &gt;&gt; 2017-02-03-UncaughtWiMAX.txt</v>
      </c>
    </row>
    <row r="225" spans="1:40" x14ac:dyDescent="0.25">
      <c r="A225" s="33" t="s">
        <v>386</v>
      </c>
      <c r="B225" s="7">
        <v>4057</v>
      </c>
      <c r="C225" s="21" t="s">
        <v>193</v>
      </c>
      <c r="D225" s="21" t="s">
        <v>902</v>
      </c>
      <c r="E225" s="13">
        <v>42769.143611111111</v>
      </c>
      <c r="F225" s="13">
        <v>42769.144444444442</v>
      </c>
      <c r="G225" s="7">
        <v>1</v>
      </c>
      <c r="H225" s="21">
        <v>8.5270833333333336</v>
      </c>
      <c r="I225" s="13">
        <v>42769.170347222222</v>
      </c>
      <c r="J225" s="7">
        <v>0</v>
      </c>
      <c r="K225" s="98" t="str">
        <f t="shared" si="91"/>
        <v>4057/4058</v>
      </c>
      <c r="L225" s="21" t="str">
        <f>VLOOKUP(A225,'Trips&amp;Operators'!$C$1:$G$99999,5,FALSE)</f>
        <v>SIMMONS SHYHESHA</v>
      </c>
      <c r="M225" s="6">
        <f t="shared" si="92"/>
        <v>2.5902777779265307E-2</v>
      </c>
      <c r="N225" s="7">
        <f t="shared" si="93"/>
        <v>37.300000002142042</v>
      </c>
      <c r="O225" s="7"/>
      <c r="P225" s="7"/>
      <c r="Q225" s="22"/>
      <c r="R225" s="22"/>
      <c r="S225" s="31">
        <f t="shared" si="94"/>
        <v>0</v>
      </c>
      <c r="T225" s="46" t="e">
        <f t="shared" si="95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96"/>
        <v>https://d0f6bd738d7f1b3e5a7ca70fe4ff75f0.us-east-1.aws.found.io/app/kibana#/discover/Steve-Slow-Train-Analysis-(2080s-and-2083s)?_g=(refreshInterval:(display:Off,pause:!f,section:0,value:0),time:(from:'2017-02-03T02:26:48-0700',mode:absolute,to:'2017-02-03T05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5" s="192" t="str">
        <f t="shared" si="97"/>
        <v>N</v>
      </c>
      <c r="X225" s="192" t="e">
        <f t="shared" si="98"/>
        <v>#VALUE!</v>
      </c>
      <c r="Y225" s="62">
        <f t="shared" si="99"/>
        <v>23.266999999999999</v>
      </c>
      <c r="Z225" s="62">
        <f t="shared" si="100"/>
        <v>70833333.333299994</v>
      </c>
      <c r="AA225" s="62">
        <f t="shared" si="101"/>
        <v>70833310.06629999</v>
      </c>
      <c r="AB225" s="59" t="e">
        <f>VLOOKUP(A225,Enforcements!$C$7:$K$16,8,0)</f>
        <v>#N/A</v>
      </c>
      <c r="AC225" s="55" t="e">
        <f>VLOOKUP(A225,Enforcements!$C$7:$E$16,3,0)</f>
        <v>#N/A</v>
      </c>
      <c r="AD225" s="56" t="str">
        <f t="shared" si="102"/>
        <v>SOUTH57-02</v>
      </c>
      <c r="AE225" s="85" t="str">
        <f t="shared" si="103"/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AF225" s="82" t="str">
        <f t="shared" si="104"/>
        <v>"C:\Program Files (x86)\AstroGrep\AstroGrep.exe" /spath="%USERPROFILE%\AppData\Local\Temp\OnboardLogs" /stypes="app*4057*20170203*" /stext=" 11:.+((SYSTEM_STATE.+slice.+state.+changed )|(ment ac)|(multiple cpu faults)|(system.+state.+changed )|(\[timeout)|(PRM\|1\|D)|(kpr)|(kdp)|(\|lc)|(penalty))" /e /r /s</v>
      </c>
      <c r="AG225" s="1" t="str">
        <f t="shared" si="105"/>
        <v>Other</v>
      </c>
      <c r="AH225" s="86" t="str">
        <f t="shared" si="106"/>
        <v>"%USERPROFILE%\Documents\GitHub\eaglep3\Utilities\RefineRTDCRunTimes.py" --tripid SOUTH57-02 --locoid 4057 --swversion DE.1.0.8.0 --startMP 204:232670 --initTime 2017-02-03T03:26:48 --startdatetime 2017-02-03T03:28:00 --delay 1 --endMP 8.52708333333333 --enddatetime 2017-02-03T04:05:18 --enforcementcount 0 &gt;&gt;C:\Users\stu\Documents\GitHub\eaglep3-reporting\EC\2017-02-03-refined-times.txt</v>
      </c>
      <c r="AI225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70833333.3333"},{"id":17,"name":"Train ID","value":"SOUTH57-02"},{"id":16,"name":"Locomotive ID","value":"4057"},{"id":130,"name":"Impact","value":""},{"id":150,"name":"Time of Event (Mountain Time)","value":"04:05:18"},{"id":151,"name":"Denver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8" t="str">
        <f t="shared" si="108"/>
        <v>start /low /b %USERPROFILE%\Documents\GitHub\eaglep3\Utilities\DownloadLogsFromS3.py --loco 4057 --day 2017-02-03</v>
      </c>
      <c r="AN225" s="167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2017-02-03-UncaughtWiMAX.txt</v>
      </c>
    </row>
    <row r="226" spans="1:40" x14ac:dyDescent="0.25">
      <c r="A226" s="33" t="s">
        <v>386</v>
      </c>
      <c r="B226" s="7">
        <v>4057</v>
      </c>
      <c r="C226" s="21" t="s">
        <v>193</v>
      </c>
      <c r="D226" s="21" t="s">
        <v>359</v>
      </c>
      <c r="E226" s="13">
        <v>42769.103668981479</v>
      </c>
      <c r="F226" s="13">
        <v>42769.104444444441</v>
      </c>
      <c r="G226" s="7">
        <v>1</v>
      </c>
      <c r="H226" s="21" t="s">
        <v>449</v>
      </c>
      <c r="I226" s="13">
        <v>42769.124409722222</v>
      </c>
      <c r="J226" s="7">
        <v>0</v>
      </c>
      <c r="K226" s="98" t="str">
        <f t="shared" si="91"/>
        <v>4057/4058</v>
      </c>
      <c r="L226" s="21" t="str">
        <f>VLOOKUP(A226,'Trips&amp;Operators'!$C$1:$G$99999,5,FALSE)</f>
        <v>SIMMONS SHYHESHA</v>
      </c>
      <c r="M226" s="6">
        <f t="shared" si="92"/>
        <v>1.9965277781011537E-2</v>
      </c>
      <c r="N226" s="7">
        <f t="shared" si="93"/>
        <v>28.750000004656613</v>
      </c>
      <c r="O226" s="7"/>
      <c r="P226" s="7"/>
      <c r="Q226" s="22"/>
      <c r="R226" s="22"/>
      <c r="S226" s="31">
        <f t="shared" si="94"/>
        <v>0</v>
      </c>
      <c r="T226" s="46" t="e">
        <f t="shared" si="95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96"/>
        <v>https://d0f6bd738d7f1b3e5a7ca70fe4ff75f0.us-east-1.aws.found.io/app/kibana#/discover/Steve-Slow-Train-Analysis-(2080s-and-2083s)?_g=(refreshInterval:(display:Off,pause:!f,section:0,value:0),time:(from:'2017-02-03T01:29:17-0700',mode:absolute,to:'2017-02-03T03:59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6" s="192" t="str">
        <f t="shared" si="97"/>
        <v>N</v>
      </c>
      <c r="X226" s="192" t="e">
        <f t="shared" si="98"/>
        <v>#VALUE!</v>
      </c>
      <c r="Y226" s="62">
        <f t="shared" si="99"/>
        <v>23.267700000000001</v>
      </c>
      <c r="Z226" s="62">
        <f t="shared" si="100"/>
        <v>12.5434</v>
      </c>
      <c r="AA226" s="62">
        <f t="shared" si="101"/>
        <v>10.724300000000001</v>
      </c>
      <c r="AB226" s="59" t="e">
        <f>VLOOKUP(A226,Enforcements!$C$7:$K$16,8,0)</f>
        <v>#N/A</v>
      </c>
      <c r="AC226" s="55" t="e">
        <f>VLOOKUP(A226,Enforcements!$C$7:$E$16,3,0)</f>
        <v>#N/A</v>
      </c>
      <c r="AD226" s="56" t="str">
        <f t="shared" si="102"/>
        <v>SOUTH57-02</v>
      </c>
      <c r="AE226" s="85" t="str">
        <f t="shared" si="103"/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AF226" s="82" t="str">
        <f t="shared" si="104"/>
        <v>"C:\Program Files (x86)\AstroGrep\AstroGrep.exe" /spath="%USERPROFILE%\AppData\Local\Temp\OnboardLogs" /stypes="app*4057*20170203*" /stext=" 09:.+((SYSTEM_STATE.+slice.+state.+changed )|(ment ac)|(multiple cpu faults)|(system.+state.+changed )|(\[timeout)|(PRM\|1\|D)|(kpr)|(kdp)|(\|lc)|(penalty))" /e /r /s</v>
      </c>
      <c r="AG226" s="1" t="str">
        <f t="shared" si="105"/>
        <v>Other</v>
      </c>
      <c r="AH226" s="86" t="str">
        <f t="shared" si="106"/>
        <v>"%USERPROFILE%\Documents\GitHub\eaglep3\Utilities\RefineRTDCRunTimes.py" --tripid SOUTH57-02 --locoid 4057 --swversion DE.1.0.8.0 --startMP 204:232677 --initTime 2017-02-03T02:29:17 --startdatetime 2017-02-03T02:30:24 --delay 1 --endMP 204:125434 --enddatetime 2017-02-03T02:59:09 --enforcementcount 0 &gt;&gt;C:\Users\stu\Documents\GitHub\eaglep3-reporting\EC\2017-02-03-refined-times.txt</v>
      </c>
      <c r="AI226" s="108" t="str">
        <f t="shared" si="107"/>
        <v>echo {"issue":{"subject":"","project_id":79,"tracker_id":40,"status_id":1,"priority_id":2,"assigned_to_id":23,"start_date":"2017-02-03","description":"","custom_fields":[{"id":1,"name":"Subdivision","value":"Other"},{"id":4,"name":"Milepost","value":"12.5434"},{"id":17,"name":"Train ID","value":"SOUTH57-02"},{"id":16,"name":"Locomotive ID","value":"4057"},{"id":130,"name":"Impact","value":""},{"id":150,"name":"Time of Event (Mountain Time)","value":"02:59:09"},{"id":151,"name":"Denver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8" t="str">
        <f t="shared" si="108"/>
        <v>start /low /b %USERPROFILE%\Documents\GitHub\eaglep3\Utilities\DownloadLogsFromS3.py --loco 4057 --day 2017-02-03</v>
      </c>
      <c r="AN226" s="167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2017-02-03-UncaughtWiMAX.txt</v>
      </c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33">
    <sortState ref="A13:AG233">
      <sortCondition ref="AG13:AG226"/>
      <sortCondition ref="AD13:AD226"/>
    </sortState>
  </autoFilter>
  <sortState ref="A13:AH200">
    <sortCondition ref="AG13:AG200"/>
    <sortCondition ref="AD13:AD200"/>
  </sortState>
  <mergeCells count="1">
    <mergeCell ref="A11:P11"/>
  </mergeCells>
  <conditionalFormatting sqref="W11:W12 W263:X1048576 W13:X226">
    <cfRule type="cellIs" dxfId="10" priority="356" operator="equal">
      <formula>"Y"</formula>
    </cfRule>
  </conditionalFormatting>
  <conditionalFormatting sqref="X263:X1048576 X13:X226">
    <cfRule type="cellIs" dxfId="9" priority="339" operator="greaterThan">
      <formula>1</formula>
    </cfRule>
  </conditionalFormatting>
  <conditionalFormatting sqref="X263:X1048576 X12:X226">
    <cfRule type="cellIs" dxfId="8" priority="336" operator="equal">
      <formula>0</formula>
    </cfRule>
  </conditionalFormatting>
  <conditionalFormatting sqref="A13:S226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8.570312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52" customWidth="1"/>
    <col min="16" max="16" width="33.425781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21.42578125" style="44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27" customWidth="1"/>
    <col min="31" max="31" width="9.140625" style="158"/>
  </cols>
  <sheetData>
    <row r="1" spans="1:31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52"/>
      <c r="P1" s="125"/>
      <c r="R1" s="83"/>
      <c r="S1" s="90"/>
      <c r="T1" s="80"/>
      <c r="V1" s="44"/>
      <c r="AC1" s="127"/>
      <c r="AE1" s="158"/>
    </row>
    <row r="2" spans="1:31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54">
        <f>COUNTIF($O$7:$O$319,"=Y")</f>
        <v>3</v>
      </c>
      <c r="P2" s="122"/>
      <c r="R2" s="83"/>
      <c r="S2" s="90"/>
      <c r="T2" s="80"/>
      <c r="V2" s="44"/>
      <c r="AC2" s="128"/>
      <c r="AE2" s="158"/>
    </row>
    <row r="3" spans="1:31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55">
        <f>COUNTA($O$7:$O$319)-O2</f>
        <v>23</v>
      </c>
      <c r="P3" s="122"/>
      <c r="R3" s="83"/>
      <c r="S3" s="90"/>
      <c r="T3" s="80"/>
      <c r="V3" s="44"/>
      <c r="AC3" s="128"/>
      <c r="AE3" s="158"/>
    </row>
    <row r="4" spans="1:31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52"/>
      <c r="P4" s="125"/>
      <c r="R4" s="83"/>
      <c r="S4" s="90"/>
      <c r="T4" s="80"/>
      <c r="V4" s="44"/>
      <c r="AC4" s="128"/>
      <c r="AE4" s="158"/>
    </row>
    <row r="5" spans="1:31" s="10" customFormat="1" ht="15" customHeight="1" x14ac:dyDescent="0.25">
      <c r="A5" s="195" t="str">
        <f>"Eagle P3 Braking Events - "&amp;TEXT(Variables!$A$2,"YYYY-mm-dd")</f>
        <v>Eagle P3 Braking Events - 2017-02-03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60"/>
    </row>
    <row r="6" spans="1:31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56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199</v>
      </c>
      <c r="AE6" s="159" t="s">
        <v>215</v>
      </c>
    </row>
    <row r="7" spans="1:31" s="1" customFormat="1" x14ac:dyDescent="0.25">
      <c r="A7" s="32">
        <v>42769.817106481481</v>
      </c>
      <c r="B7" s="30" t="s">
        <v>247</v>
      </c>
      <c r="C7" s="30" t="s">
        <v>550</v>
      </c>
      <c r="D7" s="30" t="s">
        <v>49</v>
      </c>
      <c r="E7" s="30" t="s">
        <v>201</v>
      </c>
      <c r="F7" s="43">
        <v>140</v>
      </c>
      <c r="G7" s="43">
        <v>273</v>
      </c>
      <c r="H7" s="43">
        <v>26568</v>
      </c>
      <c r="I7" s="43">
        <v>27070</v>
      </c>
      <c r="J7" s="30" t="s">
        <v>202</v>
      </c>
      <c r="K7" s="43">
        <v>27053</v>
      </c>
      <c r="L7" s="143" t="s">
        <v>50</v>
      </c>
      <c r="M7" s="144">
        <f t="shared" ref="M7:M32" si="0">CONVERT((I7-K7)/10000,"mi","ft")*IF(L7="Increasing Mileposts (1)",-1,1)</f>
        <v>-8.9760000000000009</v>
      </c>
      <c r="N7" s="145" t="str">
        <f>VLOOKUP(C7,'Trips&amp;Operators'!$C$1:$G$99999,5,FALSE)</f>
        <v>STORY SAMANTHA</v>
      </c>
      <c r="O7" s="157" t="s">
        <v>185</v>
      </c>
      <c r="P7" s="146" t="s">
        <v>929</v>
      </c>
      <c r="Q7" s="30"/>
      <c r="R7" s="89" t="str">
        <f>VLOOKUP(C7,'Train Runs'!$A$13:$AE$9967,31,0)</f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S7" s="92" t="str">
        <f>VLOOKUP(C7,'Train Runs'!$A$13:$AE$9967,22,0)</f>
        <v>https://d0f6bd738d7f1b3e5a7ca70fe4ff75f0.us-east-1.aws.found.io/app/kibana#/discover/Steve-Slow-Train-Analysis-(2080s-and-2083s)?_g=(refreshInterval:(display:Off,pause:!f,section:0,value:0),time:(from:'2017-02-03T18:23:19-0700',mode:absolute,to:'2017-02-03T21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94" t="str">
        <f t="shared" ref="T7:T32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/stypes="*4025*201702040*" /stext=" 02:.+((SYSTEM_STATE.+slice.+state.+changed )|(ment ac)|(multiple cpu faults)|(system.+state.+changed )|(\[timeout)|(PRM\|1\|D)|(kpr)|(kdp)|(\|lc)|(penalty))" /e /r /s</v>
      </c>
      <c r="U7" s="9" t="str">
        <f t="shared" ref="U7:U32" si="2">MID(B7,13,4)</f>
        <v>4025</v>
      </c>
      <c r="V7" s="32">
        <f t="shared" ref="V7:V32" si="3">A7-utc_offset/24</f>
        <v>42770.108773148146</v>
      </c>
      <c r="W7" s="46" t="str">
        <f t="shared" ref="W7:W32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2" si="5">IF(AND(E7="TRACK WARRANT AUTHORITY",G7&lt;10),"OMIT","KEEP")</f>
        <v>KEEP</v>
      </c>
      <c r="Y7" s="108" t="str">
        <f t="shared" ref="Y7:Y3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arrival","project_id":79,"tracker_id":40,"status_id":1,"priority_id":2,"assigned_to_id":23,"start_date":"2017-02-03","description":"","custom_fields":[{"id":1,"name":"Subdivision","value":"EC"},{"id":4,"name":"Milepost","value":"2.7053"},{"id":17,"name":"Train ID","value":"223-03"},{"id":16,"name":"Locomotive ID","value":"4025"},{"id":130,"name":"Impact","value":""},{"id":150,"name":"Time of Event (Mountain Time)","value":"19:36:38"},{"id":151,"name":"Denver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2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"%USERPROFILE%\AppData\Local\Temp\OnboardLogs"\RTDC4025\*4025*201702040*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"%USERPROFILE%\AppData\Local\Temp\OnboardLogs"\RTDC4025\*4025*201702040* &gt;&gt; 2017-02-03-SliceDisagreementCheck.txt</v>
      </c>
      <c r="AE7" s="161" t="str">
        <f t="shared" ref="AE7" si="8">"start /low /b "&amp;dls3logs&amp;" --loco "&amp;U7&amp;" --day "&amp;TEXT(V7,"YYYY-MM-DD")</f>
        <v>start /low /b %USERPROFILE%\Documents\GitHub\eaglep3\Utilities\DownloadLogsFromS3.py --loco 4025 --day 2017-02-04</v>
      </c>
    </row>
    <row r="8" spans="1:31" s="1" customFormat="1" x14ac:dyDescent="0.25">
      <c r="A8" s="32">
        <v>42769.249456018515</v>
      </c>
      <c r="B8" s="30" t="s">
        <v>231</v>
      </c>
      <c r="C8" s="30" t="s">
        <v>530</v>
      </c>
      <c r="D8" s="30" t="s">
        <v>49</v>
      </c>
      <c r="E8" s="30" t="s">
        <v>201</v>
      </c>
      <c r="F8" s="43">
        <v>0</v>
      </c>
      <c r="G8" s="43">
        <v>178</v>
      </c>
      <c r="H8" s="43">
        <v>27426</v>
      </c>
      <c r="I8" s="43">
        <v>27194</v>
      </c>
      <c r="J8" s="30" t="s">
        <v>202</v>
      </c>
      <c r="K8" s="43">
        <v>27350</v>
      </c>
      <c r="L8" s="143" t="s">
        <v>51</v>
      </c>
      <c r="M8" s="144">
        <f t="shared" si="0"/>
        <v>-82.367999999999995</v>
      </c>
      <c r="N8" s="145" t="str">
        <f>VLOOKUP(C8,'Trips&amp;Operators'!$C$1:$G$99999,5,FALSE)</f>
        <v>STARKS ANGELINA</v>
      </c>
      <c r="O8" s="157" t="s">
        <v>185</v>
      </c>
      <c r="P8" s="146" t="s">
        <v>929</v>
      </c>
      <c r="Q8" s="30"/>
      <c r="R8" s="89" t="str">
        <f>VLOOKUP(C8,'Train Runs'!$A$13:$AE$9967,31,0)</f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S8" s="92" t="str">
        <f>VLOOKUP(C8,'Train Runs'!$A$13:$AE$9967,22,0)</f>
        <v>https://d0f6bd738d7f1b3e5a7ca70fe4ff75f0.us-east-1.aws.found.io/app/kibana#/discover/Steve-Slow-Train-Analysis-(2080s-and-2083s)?_g=(refreshInterval:(display:Off,pause:!f,section:0,value:0),time:(from:'2017-02-03T04:23:36-0700',mode:absolute,to:'2017-02-03T07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8" s="94" t="str">
        <f t="shared" si="1"/>
        <v>"C:\Program Files (x86)\AstroGrep\AstroGrep.exe" /spath="%USERPROFILE%\AppData\Local\Temp\OnboardLogs" /stypes="*4021*201702031*" /stext=" 12:.+((SYSTEM_STATE.+slice.+state.+changed )|(ment ac)|(multiple cpu faults)|(system.+state.+changed )|(\[timeout)|(PRM\|1\|D)|(kpr)|(kdp)|(\|lc)|(penalty))" /e /r /s</v>
      </c>
      <c r="U8" s="9" t="str">
        <f t="shared" si="2"/>
        <v>4021</v>
      </c>
      <c r="V8" s="32">
        <f t="shared" si="3"/>
        <v>42769.541122685179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arrival","project_id":79,"tracker_id":40,"status_id":1,"priority_id":2,"assigned_to_id":23,"start_date":"2017-02-03","description":"","custom_fields":[{"id":1,"name":"Subdivision","value":"EC"},{"id":4,"name":"Milepost","value":"2.735"},{"id":17,"name":"Train ID","value":"108-03"},{"id":16,"name":"Locomotive ID","value":"4021"},{"id":130,"name":"Impact","value":""},{"id":150,"name":"Time of Event (Mountain Time)","value":"05:59:13"},{"id":151,"name":"Denver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"%USERPROFILE%\AppData\Local\Temp\OnboardLogs"\RTDC4021\*4021*201702031*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"%USERPROFILE%\AppData\Local\Temp\OnboardLogs"\RTDC4021\*4021*201702031* &gt;&gt; 2017-02-03-SliceDisagreementCheck.txt</v>
      </c>
      <c r="AE8" s="161" t="str">
        <f t="shared" ref="AE8:AE32" si="9">"start /low /b "&amp;dls3logs&amp;" --loco "&amp;U8&amp;" --day "&amp;TEXT(V8,"YYYY-MM-DD")</f>
        <v>start /low /b %USERPROFILE%\Documents\GitHub\eaglep3\Utilities\DownloadLogsFromS3.py --loco 4021 --day 2017-02-03</v>
      </c>
    </row>
    <row r="9" spans="1:31" s="1" customFormat="1" x14ac:dyDescent="0.25">
      <c r="A9" s="32">
        <v>42769.956620370373</v>
      </c>
      <c r="B9" s="30" t="s">
        <v>224</v>
      </c>
      <c r="C9" s="30" t="s">
        <v>554</v>
      </c>
      <c r="D9" s="30" t="s">
        <v>49</v>
      </c>
      <c r="E9" s="30" t="s">
        <v>201</v>
      </c>
      <c r="F9" s="43">
        <v>0</v>
      </c>
      <c r="G9" s="43">
        <v>99</v>
      </c>
      <c r="H9" s="43">
        <v>27355</v>
      </c>
      <c r="I9" s="43">
        <v>27246</v>
      </c>
      <c r="J9" s="30" t="s">
        <v>202</v>
      </c>
      <c r="K9" s="43">
        <v>27350</v>
      </c>
      <c r="L9" s="143" t="s">
        <v>51</v>
      </c>
      <c r="M9" s="144">
        <f t="shared" si="0"/>
        <v>-54.911999999999999</v>
      </c>
      <c r="N9" s="145" t="str">
        <f>VLOOKUP(C9,'Trips&amp;Operators'!$C$1:$G$99999,5,FALSE)</f>
        <v>STORY SAMANTHA</v>
      </c>
      <c r="O9" s="157" t="s">
        <v>185</v>
      </c>
      <c r="P9" s="146" t="s">
        <v>929</v>
      </c>
      <c r="Q9" s="30"/>
      <c r="R9" s="89" t="str">
        <f>VLOOKUP(C9,'Train Runs'!$A$13:$AE$9967,31,0)</f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S9" s="92" t="str">
        <f>VLOOKUP(C9,'Train Runs'!$A$13:$AE$9967,22,0)</f>
        <v>https://d0f6bd738d7f1b3e5a7ca70fe4ff75f0.us-east-1.aws.found.io/app/kibana#/discover/Steve-Slow-Train-Analysis-(2080s-and-2083s)?_g=(refreshInterval:(display:Off,pause:!f,section:0,value:0),time:(from:'2017-02-03T21:15:37-0700',mode:absolute,to:'2017-02-04T00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94" t="str">
        <f t="shared" si="1"/>
        <v>"C:\Program Files (x86)\AstroGrep\AstroGrep.exe" /spath="%USERPROFILE%\AppData\Local\Temp\OnboardLogs" /stypes="*4026*201702040*" /stext=" 05:.+((SYSTEM_STATE.+slice.+state.+changed )|(ment ac)|(multiple cpu faults)|(system.+state.+changed )|(\[timeout)|(PRM\|1\|D)|(kpr)|(kdp)|(\|lc)|(penalty))" /e /r /s</v>
      </c>
      <c r="U9" s="9" t="str">
        <f t="shared" si="2"/>
        <v>4026</v>
      </c>
      <c r="V9" s="32">
        <f t="shared" si="3"/>
        <v>42770.248287037037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arrival","project_id":79,"tracker_id":40,"status_id":1,"priority_id":2,"assigned_to_id":23,"start_date":"2017-02-03","description":"","custom_fields":[{"id":1,"name":"Subdivision","value":"EC"},{"id":4,"name":"Milepost","value":"2.735"},{"id":17,"name":"Train ID","value":"232-03"},{"id":16,"name":"Locomotive ID","value":"4026"},{"id":130,"name":"Impact","value":""},{"id":150,"name":"Time of Event (Mountain Time)","value":"22:57:32"},{"id":151,"name":"Denver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"%USERPROFILE%\AppData\Local\Temp\OnboardLogs"\RTDC4026\*4026*201702040*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"%USERPROFILE%\AppData\Local\Temp\OnboardLogs"\RTDC4026\*4026*201702040* &gt;&gt; 2017-02-03-SliceDisagreementCheck.txt</v>
      </c>
      <c r="AE9" s="161" t="str">
        <f t="shared" si="9"/>
        <v>start /low /b %USERPROFILE%\Documents\GitHub\eaglep3\Utilities\DownloadLogsFromS3.py --loco 4026 --day 2017-02-04</v>
      </c>
    </row>
    <row r="10" spans="1:31" s="1" customFormat="1" x14ac:dyDescent="0.25">
      <c r="A10" s="32">
        <v>42769.320787037039</v>
      </c>
      <c r="B10" s="30" t="s">
        <v>231</v>
      </c>
      <c r="C10" s="30" t="s">
        <v>533</v>
      </c>
      <c r="D10" s="30" t="s">
        <v>49</v>
      </c>
      <c r="E10" s="30" t="s">
        <v>201</v>
      </c>
      <c r="F10" s="43">
        <v>0</v>
      </c>
      <c r="G10" s="43">
        <v>188</v>
      </c>
      <c r="H10" s="43">
        <v>33293</v>
      </c>
      <c r="I10" s="43">
        <v>33144</v>
      </c>
      <c r="J10" s="30" t="s">
        <v>202</v>
      </c>
      <c r="K10" s="43">
        <v>33257</v>
      </c>
      <c r="L10" s="143" t="s">
        <v>51</v>
      </c>
      <c r="M10" s="144">
        <f t="shared" si="0"/>
        <v>-59.664000000000001</v>
      </c>
      <c r="N10" s="145" t="str">
        <f>VLOOKUP(C10,'Trips&amp;Operators'!$C$1:$G$99999,5,FALSE)</f>
        <v>STARKS ANGELINA</v>
      </c>
      <c r="O10" s="157" t="s">
        <v>185</v>
      </c>
      <c r="P10" s="146" t="s">
        <v>929</v>
      </c>
      <c r="Q10" s="30"/>
      <c r="R10" s="89" t="str">
        <f>VLOOKUP(C10,'Train Runs'!$A$13:$AE$9967,31,0)</f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S10" s="92" t="str">
        <f>VLOOKUP(C10,'Train Runs'!$A$13:$AE$9967,22,0)</f>
        <v>https://d0f6bd738d7f1b3e5a7ca70fe4ff75f0.us-east-1.aws.found.io/app/kibana#/discover/Steve-Slow-Train-Analysis-(2080s-and-2083s)?_g=(refreshInterval:(display:Off,pause:!f,section:0,value:0),time:(from:'2017-02-03T06:07:11-0700',mode:absolute,to:'2017-02-03T08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94" t="str">
        <f t="shared" si="1"/>
        <v>"C:\Program Files (x86)\AstroGrep\AstroGrep.exe" /spath="%USERPROFILE%\AppData\Local\Temp\OnboardLogs" /stypes="*4021*201702031*" /stext=" 14:.+((SYSTEM_STATE.+slice.+state.+changed )|(ment ac)|(multiple cpu faults)|(system.+state.+changed )|(\[timeout)|(PRM\|1\|D)|(kpr)|(kdp)|(\|lc)|(penalty))" /e /r /s</v>
      </c>
      <c r="U10" s="9" t="str">
        <f t="shared" si="2"/>
        <v>4021</v>
      </c>
      <c r="V10" s="32">
        <f t="shared" si="3"/>
        <v>42769.612453703703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arrival","project_id":79,"tracker_id":40,"status_id":1,"priority_id":2,"assigned_to_id":23,"start_date":"2017-02-03","description":"","custom_fields":[{"id":1,"name":"Subdivision","value":"EC"},{"id":4,"name":"Milepost","value":"3.3257"},{"id":17,"name":"Train ID","value":"122-03"},{"id":16,"name":"Locomotive ID","value":"4021"},{"id":130,"name":"Impact","value":""},{"id":150,"name":"Time of Event (Mountain Time)","value":"07:41:56"},{"id":151,"name":"Denver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"%USERPROFILE%\AppData\Local\Temp\OnboardLogs"\RTDC4021\*4021*201702031*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"%USERPROFILE%\AppData\Local\Temp\OnboardLogs"\RTDC4021\*4021*201702031* &gt;&gt; 2017-02-03-SliceDisagreementCheck.txt</v>
      </c>
      <c r="AE10" s="161" t="str">
        <f t="shared" si="9"/>
        <v>start /low /b %USERPROFILE%\Documents\GitHub\eaglep3\Utilities\DownloadLogsFromS3.py --loco 4021 --day 2017-02-03</v>
      </c>
    </row>
    <row r="11" spans="1:31" s="1" customFormat="1" x14ac:dyDescent="0.25">
      <c r="A11" s="32">
        <v>42769.580347222225</v>
      </c>
      <c r="B11" s="30" t="s">
        <v>224</v>
      </c>
      <c r="C11" s="30" t="s">
        <v>545</v>
      </c>
      <c r="D11" s="30" t="s">
        <v>49</v>
      </c>
      <c r="E11" s="30" t="s">
        <v>201</v>
      </c>
      <c r="F11" s="43">
        <v>0</v>
      </c>
      <c r="G11" s="43">
        <v>228</v>
      </c>
      <c r="H11" s="43">
        <v>33485</v>
      </c>
      <c r="I11" s="43">
        <v>33162</v>
      </c>
      <c r="J11" s="30" t="s">
        <v>202</v>
      </c>
      <c r="K11" s="43">
        <v>33257</v>
      </c>
      <c r="L11" s="143" t="s">
        <v>51</v>
      </c>
      <c r="M11" s="144">
        <f t="shared" si="0"/>
        <v>-50.16</v>
      </c>
      <c r="N11" s="145" t="str">
        <f>VLOOKUP(C11,'Trips&amp;Operators'!$C$1:$G$99999,5,FALSE)</f>
        <v>BRANNON JEFFREY</v>
      </c>
      <c r="O11" s="157" t="s">
        <v>185</v>
      </c>
      <c r="P11" s="146" t="s">
        <v>929</v>
      </c>
      <c r="Q11" s="30"/>
      <c r="R11" s="89" t="str">
        <f>VLOOKUP(C11,'Train Runs'!$A$13:$AE$9967,31,0)</f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S11" s="92" t="str">
        <f>VLOOKUP(C11,'Train Runs'!$A$13:$AE$9967,22,0)</f>
        <v>https://d0f6bd738d7f1b3e5a7ca70fe4ff75f0.us-east-1.aws.found.io/app/kibana#/discover/Steve-Slow-Train-Analysis-(2080s-and-2083s)?_g=(refreshInterval:(display:Off,pause:!f,section:0,value:0),time:(from:'2017-02-03T12:12:55-0700',mode:absolute,to:'2017-02-03T15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1" s="94" t="str">
        <f t="shared" si="1"/>
        <v>"C:\Program Files (x86)\AstroGrep\AstroGrep.exe" /spath="%USERPROFILE%\AppData\Local\Temp\OnboardLogs" /stypes="*4026*201702032*" /stext=" 20:.+((SYSTEM_STATE.+slice.+state.+changed )|(ment ac)|(multiple cpu faults)|(system.+state.+changed )|(\[timeout)|(PRM\|1\|D)|(kpr)|(kdp)|(\|lc)|(penalty))" /e /r /s</v>
      </c>
      <c r="U11" s="9" t="str">
        <f t="shared" si="2"/>
        <v>4026</v>
      </c>
      <c r="V11" s="32">
        <f t="shared" si="3"/>
        <v>42769.872013888889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arrival","project_id":79,"tracker_id":40,"status_id":1,"priority_id":2,"assigned_to_id":23,"start_date":"2017-02-03","description":"","custom_fields":[{"id":1,"name":"Subdivision","value":"EC"},{"id":4,"name":"Milepost","value":"3.3257"},{"id":17,"name":"Train ID","value":"172-03"},{"id":16,"name":"Locomotive ID","value":"4026"},{"id":130,"name":"Impact","value":""},{"id":150,"name":"Time of Event (Mountain Time)","value":"13:55:42"},{"id":151,"name":"Denver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"%USERPROFILE%\AppData\Local\Temp\OnboardLogs"\RTDC4026\*4026*201702032*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"%USERPROFILE%\AppData\Local\Temp\OnboardLogs"\RTDC4026\*4026*201702032* &gt;&gt; 2017-02-03-SliceDisagreementCheck.txt</v>
      </c>
      <c r="AE11" s="161" t="str">
        <f t="shared" si="9"/>
        <v>start /low /b %USERPROFILE%\Documents\GitHub\eaglep3\Utilities\DownloadLogsFromS3.py --loco 4026 --day 2017-02-03</v>
      </c>
    </row>
    <row r="12" spans="1:31" s="1" customFormat="1" x14ac:dyDescent="0.25">
      <c r="A12" s="32">
        <v>42769.725821759261</v>
      </c>
      <c r="B12" s="30" t="s">
        <v>224</v>
      </c>
      <c r="C12" s="30" t="s">
        <v>547</v>
      </c>
      <c r="D12" s="30" t="s">
        <v>98</v>
      </c>
      <c r="E12" s="30" t="s">
        <v>201</v>
      </c>
      <c r="F12" s="43">
        <v>0</v>
      </c>
      <c r="G12" s="43">
        <v>267</v>
      </c>
      <c r="H12" s="43">
        <v>33249</v>
      </c>
      <c r="I12" s="43">
        <v>32808</v>
      </c>
      <c r="J12" s="30" t="s">
        <v>202</v>
      </c>
      <c r="K12" s="43">
        <v>33257</v>
      </c>
      <c r="L12" s="143" t="s">
        <v>51</v>
      </c>
      <c r="M12" s="144">
        <f t="shared" si="0"/>
        <v>-237.072</v>
      </c>
      <c r="N12" s="145" t="str">
        <f>VLOOKUP(C12,'Trips&amp;Operators'!$C$1:$G$99999,5,FALSE)</f>
        <v>BRANNON JEFFREY</v>
      </c>
      <c r="O12" s="157" t="s">
        <v>185</v>
      </c>
      <c r="P12" s="146" t="s">
        <v>929</v>
      </c>
      <c r="Q12" s="30"/>
      <c r="R12" s="89" t="str">
        <f>VLOOKUP(C12,'Train Runs'!$A$13:$AE$9967,31,0)</f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S12" s="92" t="str">
        <f>VLOOKUP(C12,'Train Runs'!$A$13:$AE$9967,22,0)</f>
        <v>https://d0f6bd738d7f1b3e5a7ca70fe4ff75f0.us-east-1.aws.found.io/app/kibana#/discover/Steve-Slow-Train-Analysis-(2080s-and-2083s)?_g=(refreshInterval:(display:Off,pause:!f,section:0,value:0),time:(from:'2017-02-03T15:37:25-0700',mode:absolute,to:'2017-02-03T18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2" s="94" t="str">
        <f t="shared" si="1"/>
        <v>"C:\Program Files (x86)\AstroGrep\AstroGrep.exe" /spath="%USERPROFILE%\AppData\Local\Temp\OnboardLogs" /stypes="*4026*201702040*" /stext=" 00:.+((SYSTEM_STATE.+slice.+state.+changed )|(ment ac)|(multiple cpu faults)|(system.+state.+changed )|(\[timeout)|(PRM\|1\|D)|(kpr)|(kdp)|(\|lc)|(penalty))" /e /r /s</v>
      </c>
      <c r="U12" s="9" t="str">
        <f t="shared" si="2"/>
        <v>4026</v>
      </c>
      <c r="V12" s="32">
        <f t="shared" si="3"/>
        <v>42770.017488425925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arrival","project_id":79,"tracker_id":40,"status_id":1,"priority_id":2,"assigned_to_id":23,"start_date":"2017-02-03","description":"","custom_fields":[{"id":1,"name":"Subdivision","value":"EC"},{"id":4,"name":"Milepost","value":"3.3257"},{"id":17,"name":"Train ID","value":"200-03"},{"id":16,"name":"Locomotive ID","value":"4026"},{"id":130,"name":"Impact","value":""},{"id":150,"name":"Time of Event (Mountain Time)","value":"17:25:11"},{"id":151,"name":"Denver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"%USERPROFILE%\AppData\Local\Temp\OnboardLogs"\RTDC4026\*4026*201702040*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"%USERPROFILE%\AppData\Local\Temp\OnboardLogs"\RTDC4026\*4026*201702040* &gt;&gt; 2017-02-03-SliceDisagreementCheck.txt</v>
      </c>
      <c r="AE12" s="161" t="str">
        <f t="shared" si="9"/>
        <v>start /low /b %USERPROFILE%\Documents\GitHub\eaglep3\Utilities\DownloadLogsFromS3.py --loco 4026 --day 2017-02-04</v>
      </c>
    </row>
    <row r="13" spans="1:31" s="1" customFormat="1" x14ac:dyDescent="0.25">
      <c r="A13" s="32">
        <v>42769.577800925923</v>
      </c>
      <c r="B13" s="30" t="s">
        <v>224</v>
      </c>
      <c r="C13" s="30" t="s">
        <v>545</v>
      </c>
      <c r="D13" s="30" t="s">
        <v>49</v>
      </c>
      <c r="E13" s="30" t="s">
        <v>201</v>
      </c>
      <c r="F13" s="43">
        <v>550</v>
      </c>
      <c r="G13" s="43">
        <v>633</v>
      </c>
      <c r="H13" s="43">
        <v>49670</v>
      </c>
      <c r="I13" s="43">
        <v>46971</v>
      </c>
      <c r="J13" s="30" t="s">
        <v>202</v>
      </c>
      <c r="K13" s="43">
        <v>48048</v>
      </c>
      <c r="L13" s="143" t="s">
        <v>51</v>
      </c>
      <c r="M13" s="144">
        <f t="shared" si="0"/>
        <v>-568.65599999999995</v>
      </c>
      <c r="N13" s="145" t="str">
        <f>VLOOKUP(C13,'Trips&amp;Operators'!$C$1:$G$99999,5,FALSE)</f>
        <v>BRANNON JEFFREY</v>
      </c>
      <c r="O13" s="157" t="s">
        <v>185</v>
      </c>
      <c r="P13" s="146" t="s">
        <v>929</v>
      </c>
      <c r="Q13" s="30"/>
      <c r="R13" s="89" t="str">
        <f>VLOOKUP(C13,'Train Runs'!$A$13:$AE$9967,31,0)</f>
        <v>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 &amp; aws s3 cp s3://rtdc.mdm.uploadarchive.raw/RTDC4026/ "%USERPROFILE%\AppData\Local\Temp\OnboardLogs"\RTDC4026\2017-02-04 --exclude "*" --recursive --include "*20170204*" &amp; "%USERPROFILE%\Documents\GitHub\mrs-test-scripts\Headless Mode &amp; Sideloading\WalkAndUnGZ.bat" "%USERPROFILE%\AppData\Local\Temp\OnboardLogs"\RTDC4026\2017-02-04</v>
      </c>
      <c r="S13" s="92" t="str">
        <f>VLOOKUP(C13,'Train Runs'!$A$13:$AE$9967,22,0)</f>
        <v>https://d0f6bd738d7f1b3e5a7ca70fe4ff75f0.us-east-1.aws.found.io/app/kibana#/discover/Steve-Slow-Train-Analysis-(2080s-and-2083s)?_g=(refreshInterval:(display:Off,pause:!f,section:0,value:0),time:(from:'2017-02-03T12:12:55-0700',mode:absolute,to:'2017-02-03T15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94" t="str">
        <f t="shared" si="1"/>
        <v>"C:\Program Files (x86)\AstroGrep\AstroGrep.exe" /spath="%USERPROFILE%\AppData\Local\Temp\OnboardLogs" /stypes="*4026*201702032*" /stext=" 20:.+((SYSTEM_STATE.+slice.+state.+changed )|(ment ac)|(multiple cpu faults)|(system.+state.+changed )|(\[timeout)|(PRM\|1\|D)|(kpr)|(kdp)|(\|lc)|(penalty))" /e /r /s</v>
      </c>
      <c r="U13" s="9" t="str">
        <f t="shared" si="2"/>
        <v>4026</v>
      </c>
      <c r="V13" s="32">
        <f t="shared" si="3"/>
        <v>42769.869467592587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arrival","project_id":79,"tracker_id":40,"status_id":1,"priority_id":2,"assigned_to_id":23,"start_date":"2017-02-03","description":"","custom_fields":[{"id":1,"name":"Subdivision","value":"EC"},{"id":4,"name":"Milepost","value":"4.8048"},{"id":17,"name":"Train ID","value":"172-03"},{"id":16,"name":"Locomotive ID","value":"4026"},{"id":130,"name":"Impact","value":""},{"id":150,"name":"Time of Event (Mountain Time)","value":"13:52:02"},{"id":151,"name":"Denver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"%USERPROFILE%\AppData\Local\Temp\OnboardLogs"\RTDC4026\*4026*201702032*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"%USERPROFILE%\AppData\Local\Temp\OnboardLogs"\RTDC4026\*4026*201702032* &gt;&gt; 2017-02-03-SliceDisagreementCheck.txt</v>
      </c>
      <c r="AE13" s="161" t="str">
        <f t="shared" si="9"/>
        <v>start /low /b %USERPROFILE%\Documents\GitHub\eaglep3\Utilities\DownloadLogsFromS3.py --loco 4026 --day 2017-02-03</v>
      </c>
    </row>
    <row r="14" spans="1:31" s="1" customFormat="1" x14ac:dyDescent="0.25">
      <c r="A14" s="32">
        <v>42769.238645833335</v>
      </c>
      <c r="B14" s="30" t="s">
        <v>527</v>
      </c>
      <c r="C14" s="30" t="s">
        <v>528</v>
      </c>
      <c r="D14" s="30" t="s">
        <v>49</v>
      </c>
      <c r="E14" s="30" t="s">
        <v>219</v>
      </c>
      <c r="F14" s="43">
        <v>300</v>
      </c>
      <c r="G14" s="43">
        <v>484</v>
      </c>
      <c r="H14" s="43">
        <v>24754</v>
      </c>
      <c r="I14" s="43">
        <v>23340</v>
      </c>
      <c r="J14" s="30" t="s">
        <v>220</v>
      </c>
      <c r="K14" s="43">
        <v>21848</v>
      </c>
      <c r="L14" s="143" t="s">
        <v>51</v>
      </c>
      <c r="M14" s="144">
        <f t="shared" si="0"/>
        <v>787.77599999999995</v>
      </c>
      <c r="N14" s="145" t="str">
        <f>VLOOKUP(C14,'Trips&amp;Operators'!$C$1:$G$99999,5,FALSE)</f>
        <v>ROBINSON KADDIBA</v>
      </c>
      <c r="O14" s="157" t="s">
        <v>185</v>
      </c>
      <c r="P14" s="146"/>
      <c r="Q14" s="30"/>
      <c r="R14" s="89" t="str">
        <f>VLOOKUP(C14,'Train Runs'!$A$13:$AE$9967,31,0)</f>
        <v>aws s3 cp s3://rtdc.mdm.uploadarchive.raw/RTDC4039/ "%USERPROFILE%\AppData\Local\Temp\OnboardLogs"\RTDC4039\2017-02-03 --exclude "*" --recursive --include "*20170203*" &amp; "%USERPROFILE%\Documents\GitHub\mrs-test-scripts\Headless Mode &amp; Sideloading\WalkAndUnGZ.bat" "%USERPROFILE%\AppData\Local\Temp\OnboardLogs"\RTDC4039\2017-02-03 &amp; 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</v>
      </c>
      <c r="S14" s="92" t="str">
        <f>VLOOKUP(C14,'Train Runs'!$A$13:$AE$9967,22,0)</f>
        <v>https://d0f6bd738d7f1b3e5a7ca70fe4ff75f0.us-east-1.aws.found.io/app/kibana#/discover/Steve-Slow-Train-Analysis-(2080s-and-2083s)?_g=(refreshInterval:(display:Off,pause:!f,section:0,value:0),time:(from:'2017-02-03T03:58:59-0700',mode:absolute,to:'2017-02-03T06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94" t="str">
        <f t="shared" si="1"/>
        <v>"C:\Program Files (x86)\AstroGrep\AstroGrep.exe" /spath="%USERPROFILE%\AppData\Local\Temp\OnboardLogs" /stypes="*4039*201702031*" /stext=" 12:.+((SYSTEM_STATE.+slice.+state.+changed )|(ment ac)|(multiple cpu faults)|(system.+state.+changed )|(\[timeout)|(PRM\|1\|D)|(kpr)|(kdp)|(\|lc)|(penalty))" /e /r /s</v>
      </c>
      <c r="U14" s="9" t="str">
        <f t="shared" si="2"/>
        <v>4039</v>
      </c>
      <c r="V14" s="32">
        <f t="shared" si="3"/>
        <v>42769.530312499999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{"issue":{"subject":"","project_id":79,"tracker_id":40,"status_id":1,"priority_id":2,"assigned_to_id":23,"start_date":"2017-02-03","description":"","custom_fields":[{"id":1,"name":"Subdivision","value":"EC"},{"id":4,"name":"Milepost","value":"2.1848"},{"id":17,"name":"Train ID","value":"106-03"},{"id":16,"name":"Locomotive ID","value":"4039"},{"id":130,"name":"Impact","value":""},{"id":150,"name":"Time of Event (Mountain Time)","value":"05:43:39"},{"id":151,"name":"Denver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"%USERPROFILE%\AppData\Local\Temp\OnboardLogs"\RTDC4039\*4039*201702031*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"%USERPROFILE%\AppData\Local\Temp\OnboardLogs"\RTDC4039\*4039*201702031* &gt;&gt; 2017-02-03-SliceDisagreementCheck.txt</v>
      </c>
      <c r="AE14" s="161" t="str">
        <f t="shared" si="9"/>
        <v>start /low /b %USERPROFILE%\Documents\GitHub\eaglep3\Utilities\DownloadLogsFromS3.py --loco 4039 --day 2017-02-03</v>
      </c>
    </row>
    <row r="15" spans="1:31" s="1" customFormat="1" x14ac:dyDescent="0.25">
      <c r="A15" s="32">
        <v>42769.399965277778</v>
      </c>
      <c r="B15" s="30" t="s">
        <v>288</v>
      </c>
      <c r="C15" s="30" t="s">
        <v>538</v>
      </c>
      <c r="D15" s="30" t="s">
        <v>98</v>
      </c>
      <c r="E15" s="30" t="s">
        <v>219</v>
      </c>
      <c r="F15" s="43">
        <v>400</v>
      </c>
      <c r="G15" s="43">
        <v>450</v>
      </c>
      <c r="H15" s="43">
        <v>119020</v>
      </c>
      <c r="I15" s="43">
        <v>120221</v>
      </c>
      <c r="J15" s="30" t="s">
        <v>220</v>
      </c>
      <c r="K15" s="43">
        <v>116838</v>
      </c>
      <c r="L15" s="143" t="s">
        <v>50</v>
      </c>
      <c r="M15" s="144">
        <f t="shared" si="0"/>
        <v>-1786.2239999999999</v>
      </c>
      <c r="N15" s="145" t="str">
        <f>VLOOKUP(C15,'Trips&amp;Operators'!$C$1:$G$99999,5,FALSE)</f>
        <v>DAVIS WENDY</v>
      </c>
      <c r="O15" s="157" t="s">
        <v>185</v>
      </c>
      <c r="P15" s="146"/>
      <c r="Q15" s="30"/>
      <c r="R15" s="89" t="str">
        <f>VLOOKUP(C15,'Train Runs'!$A$13:$AE$9967,31,0)</f>
        <v>aws s3 cp s3://rtdc.mdm.uploadarchive.raw/RTDC4002/ "%USERPROFILE%\AppData\Local\Temp\OnboardLogs"\RTDC4002\2017-02-03 --exclude "*" --recursive --include "*20170203*" &amp; "%USERPROFILE%\Documents\GitHub\mrs-test-scripts\Headless Mode &amp; Sideloading\WalkAndUnGZ.bat" "%USERPROFILE%\AppData\Local\Temp\OnboardLogs"\RTDC4002\2017-02-03 &amp; aws s3 cp s3://rtdc.mdm.uploadarchive.raw/RTDC4002/ "%USERPROFILE%\AppData\Local\Temp\OnboardLogs"\RTDC4002\2017-02-04 --exclude "*" --recursive --include "*20170204*" &amp; "%USERPROFILE%\Documents\GitHub\mrs-test-scripts\Headless Mode &amp; Sideloading\WalkAndUnGZ.bat" "%USERPROFILE%\AppData\Local\Temp\OnboardLogs"\RTDC4002\2017-02-04</v>
      </c>
      <c r="S15" s="92" t="str">
        <f>VLOOKUP(C15,'Train Runs'!$A$13:$AE$9967,22,0)</f>
        <v>https://d0f6bd738d7f1b3e5a7ca70fe4ff75f0.us-east-1.aws.found.io/app/kibana#/discover/Steve-Slow-Train-Analysis-(2080s-and-2083s)?_g=(refreshInterval:(display:Off,pause:!f,section:0,value:0),time:(from:'2017-02-03T08:07:57-0700',mode:absolute,to:'2017-02-03T10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5" s="94" t="str">
        <f t="shared" si="1"/>
        <v>"C:\Program Files (x86)\AstroGrep\AstroGrep.exe" /spath="%USERPROFILE%\AppData\Local\Temp\OnboardLogs" /stypes="*4002*201702031*" /stext=" 16:.+((SYSTEM_STATE.+slice.+state.+changed )|(ment ac)|(multiple cpu faults)|(system.+state.+changed )|(\[timeout)|(PRM\|1\|D)|(kpr)|(kdp)|(\|lc)|(penalty))" /e /r /s</v>
      </c>
      <c r="U15" s="9" t="str">
        <f t="shared" si="2"/>
        <v>4002</v>
      </c>
      <c r="V15" s="32">
        <f t="shared" si="3"/>
        <v>42769.691631944443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{"issue":{"subject":"","project_id":79,"tracker_id":40,"status_id":1,"priority_id":2,"assigned_to_id":23,"start_date":"2017-02-03","description":"","custom_fields":[{"id":1,"name":"Subdivision","value":"EC"},{"id":4,"name":"Milepost","value":"11.6838"},{"id":17,"name":"Train ID","value":"145-03"},{"id":16,"name":"Locomotive ID","value":"4002"},{"id":130,"name":"Impact","value":""},{"id":150,"name":"Time of Event (Mountain Time)","value":"09:35:57"},{"id":151,"name":"Denver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"%USERPROFILE%\AppData\Local\Temp\OnboardLogs"\RTDC4002\*4002*201702031*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"%USERPROFILE%\AppData\Local\Temp\OnboardLogs"\RTDC4002\*4002*201702031* &gt;&gt; 2017-02-03-SliceDisagreementCheck.txt</v>
      </c>
      <c r="AE15" s="161" t="str">
        <f t="shared" si="9"/>
        <v>start /low /b %USERPROFILE%\Documents\GitHub\eaglep3\Utilities\DownloadLogsFromS3.py --loco 4002 --day 2017-02-03</v>
      </c>
    </row>
    <row r="16" spans="1:31" s="1" customFormat="1" x14ac:dyDescent="0.25">
      <c r="A16" s="32">
        <v>42769.8981712963</v>
      </c>
      <c r="B16" s="30" t="s">
        <v>231</v>
      </c>
      <c r="C16" s="30" t="s">
        <v>552</v>
      </c>
      <c r="D16" s="30" t="s">
        <v>98</v>
      </c>
      <c r="E16" s="30" t="s">
        <v>219</v>
      </c>
      <c r="F16" s="43">
        <v>600</v>
      </c>
      <c r="G16" s="43">
        <v>652</v>
      </c>
      <c r="H16" s="43">
        <v>184419</v>
      </c>
      <c r="I16" s="43">
        <v>181277</v>
      </c>
      <c r="J16" s="30" t="s">
        <v>220</v>
      </c>
      <c r="K16" s="43">
        <v>190834</v>
      </c>
      <c r="L16" s="143" t="s">
        <v>51</v>
      </c>
      <c r="M16" s="144">
        <f t="shared" si="0"/>
        <v>-5046.0959999999995</v>
      </c>
      <c r="N16" s="145" t="str">
        <f>VLOOKUP(C16,'Trips&amp;Operators'!$C$1:$G$99999,5,FALSE)</f>
        <v>HILLS DUSTIN</v>
      </c>
      <c r="O16" s="157" t="s">
        <v>185</v>
      </c>
      <c r="P16" s="146"/>
      <c r="Q16" s="30"/>
      <c r="R16" s="89" t="str">
        <f>VLOOKUP(C16,'Train Runs'!$A$13:$AE$9967,31,0)</f>
        <v>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 &amp; aws s3 cp s3://rtdc.mdm.uploadarchive.raw/RTDC4021/ "%USERPROFILE%\AppData\Local\Temp\OnboardLogs"\RTDC4021\2017-02-04 --exclude "*" --recursive --include "*20170204*" &amp; "%USERPROFILE%\Documents\GitHub\mrs-test-scripts\Headless Mode &amp; Sideloading\WalkAndUnGZ.bat" "%USERPROFILE%\AppData\Local\Temp\OnboardLogs"\RTDC4021\2017-02-04</v>
      </c>
      <c r="S16" s="92" t="str">
        <f>VLOOKUP(C16,'Train Runs'!$A$13:$AE$9967,22,0)</f>
        <v>https://d0f6bd738d7f1b3e5a7ca70fe4ff75f0.us-east-1.aws.found.io/app/kibana#/discover/Steve-Slow-Train-Analysis-(2080s-and-2083s)?_g=(refreshInterval:(display:Off,pause:!f,section:0,value:0),time:(from:'2017-02-03T20:11:30-0700',mode:absolute,to:'2017-02-03T23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94" t="str">
        <f t="shared" si="1"/>
        <v>"C:\Program Files (x86)\AstroGrep\AstroGrep.exe" /spath="%USERPROFILE%\AppData\Local\Temp\OnboardLogs" /stypes="*4021*201702040*" /stext=" 04:.+((SYSTEM_STATE.+slice.+state.+changed )|(ment ac)|(multiple cpu faults)|(system.+state.+changed )|(\[timeout)|(PRM\|1\|D)|(kpr)|(kdp)|(\|lc)|(penalty))" /e /r /s</v>
      </c>
      <c r="U16" s="9" t="str">
        <f t="shared" si="2"/>
        <v>4021</v>
      </c>
      <c r="V16" s="32">
        <f t="shared" si="3"/>
        <v>42770.189837962964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{"issue":{"subject":"","project_id":79,"tracker_id":40,"status_id":1,"priority_id":2,"assigned_to_id":23,"start_date":"2017-02-03","description":"","custom_fields":[{"id":1,"name":"Subdivision","value":"EC"},{"id":4,"name":"Milepost","value":"19.0834"},{"id":17,"name":"Train ID","value":"228-03"},{"id":16,"name":"Locomotive ID","value":"4021"},{"id":130,"name":"Impact","value":""},{"id":150,"name":"Time of Event (Mountain Time)","value":"21:33:22"},{"id":151,"name":"Denver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"%USERPROFILE%\AppData\Local\Temp\OnboardLogs"\RTDC4021\*4021*201702040*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"%USERPROFILE%\AppData\Local\Temp\OnboardLogs"\RTDC4021\*4021*201702040* &gt;&gt; 2017-02-03-SliceDisagreementCheck.txt</v>
      </c>
      <c r="AE16" s="161" t="str">
        <f t="shared" si="9"/>
        <v>start /low /b %USERPROFILE%\Documents\GitHub\eaglep3\Utilities\DownloadLogsFromS3.py --loco 4021 --day 2017-02-04</v>
      </c>
    </row>
    <row r="17" spans="1:32" x14ac:dyDescent="0.25">
      <c r="A17" s="32">
        <v>42769.604571759257</v>
      </c>
      <c r="B17" s="30" t="s">
        <v>277</v>
      </c>
      <c r="C17" s="30" t="s">
        <v>546</v>
      </c>
      <c r="D17" s="30" t="s">
        <v>98</v>
      </c>
      <c r="E17" s="30" t="s">
        <v>186</v>
      </c>
      <c r="F17" s="43">
        <v>0</v>
      </c>
      <c r="G17" s="43">
        <v>65</v>
      </c>
      <c r="H17" s="43">
        <v>1843</v>
      </c>
      <c r="I17" s="43">
        <v>1991</v>
      </c>
      <c r="J17" s="30" t="s">
        <v>187</v>
      </c>
      <c r="K17" s="43">
        <v>1692</v>
      </c>
      <c r="L17" s="143" t="s">
        <v>50</v>
      </c>
      <c r="M17" s="144">
        <f t="shared" si="0"/>
        <v>-157.87200000000001</v>
      </c>
      <c r="N17" s="145" t="str">
        <f>VLOOKUP(C17,'Trips&amp;Operators'!$C$1:$G$99999,5,FALSE)</f>
        <v>STEWART MICHAEL</v>
      </c>
      <c r="O17" s="157" t="s">
        <v>221</v>
      </c>
      <c r="P17" s="146" t="s">
        <v>925</v>
      </c>
      <c r="Q17" s="30"/>
      <c r="R17" s="89" t="str">
        <f>VLOOKUP(C17,'Train Runs'!$A$13:$AE$9967,31,0)</f>
        <v>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 &amp; 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</v>
      </c>
      <c r="S17" s="92" t="str">
        <f>VLOOKUP(C17,'Train Runs'!$A$13:$AE$9967,22,0)</f>
        <v>https://d0f6bd738d7f1b3e5a7ca70fe4ff75f0.us-east-1.aws.found.io/app/kibana#/discover/Steve-Slow-Train-Analysis-(2080s-and-2083s)?_g=(refreshInterval:(display:Off,pause:!f,section:0,value:0),time:(from:'2017-02-03T13:22:59-0700',mode:absolute,to:'2017-02-03T15:31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94" t="str">
        <f t="shared" si="1"/>
        <v>"C:\Program Files (x86)\AstroGrep\AstroGrep.exe" /spath="%USERPROFILE%\AppData\Local\Temp\OnboardLogs" /stypes="*4003*201702032*" /stext=" 21:.+((SYSTEM_STATE.+slice.+state.+changed )|(ment ac)|(multiple cpu faults)|(system.+state.+changed )|(\[timeout)|(PRM\|1\|D)|(kpr)|(kdp)|(\|lc)|(penalty))" /e /r /s</v>
      </c>
      <c r="U17" s="9" t="str">
        <f t="shared" si="2"/>
        <v>4003</v>
      </c>
      <c r="V17" s="32">
        <f t="shared" si="3"/>
        <v>42769.896238425921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{"issue":{"subject":"Main 3 departure","project_id":79,"tracker_id":40,"status_id":1,"priority_id":2,"assigned_to_id":23,"start_date":"2017-02-03","description":"","custom_fields":[{"id":1,"name":"Subdivision","value":"EC"},{"id":4,"name":"Milepost","value":"0.1692"},{"id":17,"name":"Train ID","value":"187-03"},{"id":16,"name":"Locomotive ID","value":"4003"},{"id":130,"name":"Impact","value":""},{"id":150,"name":"Time of Event (Mountain Time)","value":"14:30:35"},{"id":151,"name":"Denver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"%USERPROFILE%\AppData\Local\Temp\OnboardLogs"\RTDC4003\*4003*201702032*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"%USERPROFILE%\AppData\Local\Temp\OnboardLogs"\RTDC4003\*4003*201702032* &gt;&gt; 2017-02-03-SliceDisagreementCheck.txt</v>
      </c>
      <c r="AE17" s="161" t="str">
        <f t="shared" si="9"/>
        <v>start /low /b %USERPROFILE%\Documents\GitHub\eaglep3\Utilities\DownloadLogsFromS3.py --loco 4003 --day 2017-02-03</v>
      </c>
      <c r="AF17" s="1"/>
    </row>
    <row r="18" spans="1:32" x14ac:dyDescent="0.25">
      <c r="A18" s="32">
        <v>42769.529085648152</v>
      </c>
      <c r="B18" s="30" t="s">
        <v>247</v>
      </c>
      <c r="C18" s="30" t="s">
        <v>543</v>
      </c>
      <c r="D18" s="30" t="s">
        <v>49</v>
      </c>
      <c r="E18" s="30" t="s">
        <v>186</v>
      </c>
      <c r="F18" s="43">
        <v>0</v>
      </c>
      <c r="G18" s="43">
        <v>519</v>
      </c>
      <c r="H18" s="43">
        <v>49784</v>
      </c>
      <c r="I18" s="43">
        <v>51445</v>
      </c>
      <c r="J18" s="30" t="s">
        <v>187</v>
      </c>
      <c r="K18" s="43">
        <v>50746</v>
      </c>
      <c r="L18" s="143" t="s">
        <v>50</v>
      </c>
      <c r="M18" s="144">
        <f t="shared" si="0"/>
        <v>-369.072</v>
      </c>
      <c r="N18" s="145" t="str">
        <f>VLOOKUP(C18,'Trips&amp;Operators'!$C$1:$G$99999,5,FALSE)</f>
        <v>BRANNON JEFFREY</v>
      </c>
      <c r="O18" s="157" t="s">
        <v>221</v>
      </c>
      <c r="P18" s="146" t="s">
        <v>923</v>
      </c>
      <c r="Q18" s="30"/>
      <c r="R18" s="89" t="str">
        <f>VLOOKUP(C18,'Train Runs'!$A$13:$AE$9967,31,0)</f>
        <v>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 &amp; aws s3 cp s3://rtdc.mdm.uploadarchive.raw/RTDC4025/ "%USERPROFILE%\AppData\Local\Temp\OnboardLogs"\RTDC4025\2017-02-04 --exclude "*" --recursive --include "*20170204*" &amp; "%USERPROFILE%\Documents\GitHub\mrs-test-scripts\Headless Mode &amp; Sideloading\WalkAndUnGZ.bat" "%USERPROFILE%\AppData\Local\Temp\OnboardLogs"\RTDC4025\2017-02-04</v>
      </c>
      <c r="S18" s="92" t="str">
        <f>VLOOKUP(C18,'Train Runs'!$A$13:$AE$9967,22,0)</f>
        <v>https://d0f6bd738d7f1b3e5a7ca70fe4ff75f0.us-east-1.aws.found.io/app/kibana#/discover/Steve-Slow-Train-Analysis-(2080s-and-2083s)?_g=(refreshInterval:(display:Off,pause:!f,section:0,value:0),time:(from:'2017-02-03T11:21:46-0700',mode:absolute,to:'2017-02-03T14:09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94" t="str">
        <f t="shared" si="1"/>
        <v>"C:\Program Files (x86)\AstroGrep\AstroGrep.exe" /spath="%USERPROFILE%\AppData\Local\Temp\OnboardLogs" /stypes="*4025*201702031*" /stext=" 19:.+((SYSTEM_STATE.+slice.+state.+changed )|(ment ac)|(multiple cpu faults)|(system.+state.+changed )|(\[timeout)|(PRM\|1\|D)|(kpr)|(kdp)|(\|lc)|(penalty))" /e /r /s</v>
      </c>
      <c r="U18" s="9" t="str">
        <f t="shared" si="2"/>
        <v>4025</v>
      </c>
      <c r="V18" s="32">
        <f t="shared" si="3"/>
        <v>42769.820752314816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{"issue":{"subject":"Wi-MAX data drop","project_id":79,"tracker_id":40,"status_id":1,"priority_id":2,"assigned_to_id":23,"start_date":"2017-02-03","description":"","custom_fields":[{"id":1,"name":"Subdivision","value":"EC"},{"id":4,"name":"Milepost","value":"5.0746"},{"id":17,"name":"Train ID","value":"171-03"},{"id":16,"name":"Locomotive ID","value":"4025"},{"id":130,"name":"Impact","value":""},{"id":150,"name":"Time of Event (Mountain Time)","value":"12:41:53"},{"id":151,"name":"Denver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"%USERPROFILE%\AppData\Local\Temp\OnboardLogs"\RTDC4025\*4025*201702031*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"%USERPROFILE%\AppData\Local\Temp\OnboardLogs"\RTDC4025\*4025*201702031* &gt;&gt; 2017-02-03-SliceDisagreementCheck.txt</v>
      </c>
      <c r="AE18" s="161" t="str">
        <f t="shared" si="9"/>
        <v>start /low /b %USERPROFILE%\Documents\GitHub\eaglep3\Utilities\DownloadLogsFromS3.py --loco 4025 --day 2017-02-03</v>
      </c>
      <c r="AF18" s="1"/>
    </row>
    <row r="19" spans="1:32" x14ac:dyDescent="0.25">
      <c r="A19" s="32">
        <v>42769.244664351849</v>
      </c>
      <c r="B19" s="30" t="s">
        <v>392</v>
      </c>
      <c r="C19" s="30" t="s">
        <v>529</v>
      </c>
      <c r="D19" s="30" t="s">
        <v>49</v>
      </c>
      <c r="E19" s="30" t="s">
        <v>186</v>
      </c>
      <c r="F19" s="43">
        <v>0</v>
      </c>
      <c r="G19" s="43">
        <v>568</v>
      </c>
      <c r="H19" s="43">
        <v>144812</v>
      </c>
      <c r="I19" s="43">
        <v>147092</v>
      </c>
      <c r="J19" s="30" t="s">
        <v>187</v>
      </c>
      <c r="K19" s="43">
        <v>149694</v>
      </c>
      <c r="L19" s="143" t="s">
        <v>50</v>
      </c>
      <c r="M19" s="144">
        <f t="shared" si="0"/>
        <v>1373.856</v>
      </c>
      <c r="N19" s="145" t="str">
        <f>VLOOKUP(C19,'Trips&amp;Operators'!$C$1:$G$99999,5,FALSE)</f>
        <v>BADERTSCHER DIANE</v>
      </c>
      <c r="O19" s="157" t="s">
        <v>221</v>
      </c>
      <c r="P19" s="146" t="s">
        <v>923</v>
      </c>
      <c r="Q19" s="30"/>
      <c r="R19" s="89" t="str">
        <f>VLOOKUP(C19,'Train Runs'!$A$13:$AE$9967,31,0)</f>
        <v>aws s3 cp s3://rtdc.mdm.uploadarchive.raw/RTDC4018/ "%USERPROFILE%\AppData\Local\Temp\OnboardLogs"\RTDC4018\2017-02-03 --exclude "*" --recursive --include "*20170203*" &amp; "%USERPROFILE%\Documents\GitHub\mrs-test-scripts\Headless Mode &amp; Sideloading\WalkAndUnGZ.bat" "%USERPROFILE%\AppData\Local\Temp\OnboardLogs"\RTDC4018\2017-02-03 &amp; aws s3 cp s3://rtdc.mdm.uploadarchive.raw/RTDC4018/ "%USERPROFILE%\AppData\Local\Temp\OnboardLogs"\RTDC4018\2017-02-04 --exclude "*" --recursive --include "*20170204*" &amp; "%USERPROFILE%\Documents\GitHub\mrs-test-scripts\Headless Mode &amp; Sideloading\WalkAndUnGZ.bat" "%USERPROFILE%\AppData\Local\Temp\OnboardLogs"\RTDC4018\2017-02-04</v>
      </c>
      <c r="S19" s="92" t="str">
        <f>VLOOKUP(C19,'Train Runs'!$A$13:$AE$9967,22,0)</f>
        <v>https://d0f6bd738d7f1b3e5a7ca70fe4ff75f0.us-east-1.aws.found.io/app/kibana#/discover/Steve-Slow-Train-Analysis-(2080s-and-2083s)?_g=(refreshInterval:(display:Off,pause:!f,section:0,value:0),time:(from:'2017-02-03T04:19:39-0700',mode:absolute,to:'2017-02-03T06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9" s="94" t="str">
        <f t="shared" si="1"/>
        <v>"C:\Program Files (x86)\AstroGrep\AstroGrep.exe" /spath="%USERPROFILE%\AppData\Local\Temp\OnboardLogs" /stypes="*4018*201702031*" /stext=" 12:.+((SYSTEM_STATE.+slice.+state.+changed )|(ment ac)|(multiple cpu faults)|(system.+state.+changed )|(\[timeout)|(PRM\|1\|D)|(kpr)|(kdp)|(\|lc)|(penalty))" /e /r /s</v>
      </c>
      <c r="U19" s="9" t="str">
        <f t="shared" si="2"/>
        <v>4018</v>
      </c>
      <c r="V19" s="32">
        <f t="shared" si="3"/>
        <v>42769.536331018513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{"issue":{"subject":"Wi-MAX data drop","project_id":79,"tracker_id":40,"status_id":1,"priority_id":2,"assigned_to_id":23,"start_date":"2017-02-03","description":"","custom_fields":[{"id":1,"name":"Subdivision","value":"EC"},{"id":4,"name":"Milepost","value":"14.9694"},{"id":17,"name":"Train ID","value":"113-03"},{"id":16,"name":"Locomotive ID","value":"4018"},{"id":130,"name":"Impact","value":""},{"id":150,"name":"Time of Event (Mountain Time)","value":"05:52:19"},{"id":151,"name":"Denver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"%USERPROFILE%\AppData\Local\Temp\OnboardLogs"\RTDC4018\*4018*201702031*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"%USERPROFILE%\AppData\Local\Temp\OnboardLogs"\RTDC4018\*4018*201702031* &gt;&gt; 2017-02-03-SliceDisagreementCheck.txt</v>
      </c>
      <c r="AE19" s="161" t="str">
        <f t="shared" si="9"/>
        <v>start /low /b %USERPROFILE%\Documents\GitHub\eaglep3\Utilities\DownloadLogsFromS3.py --loco 4018 --day 2017-02-03</v>
      </c>
      <c r="AF19" s="1"/>
    </row>
    <row r="20" spans="1:32" x14ac:dyDescent="0.25">
      <c r="A20" s="32">
        <v>42769.204155092593</v>
      </c>
      <c r="B20" s="30" t="s">
        <v>387</v>
      </c>
      <c r="C20" s="30" t="s">
        <v>526</v>
      </c>
      <c r="D20" s="30" t="s">
        <v>49</v>
      </c>
      <c r="E20" s="30" t="s">
        <v>188</v>
      </c>
      <c r="F20" s="43">
        <v>0</v>
      </c>
      <c r="G20" s="43">
        <v>29</v>
      </c>
      <c r="H20" s="43">
        <v>119</v>
      </c>
      <c r="I20" s="43">
        <v>98</v>
      </c>
      <c r="J20" s="30" t="s">
        <v>189</v>
      </c>
      <c r="K20" s="43">
        <v>1</v>
      </c>
      <c r="L20" s="143" t="s">
        <v>51</v>
      </c>
      <c r="M20" s="144">
        <f t="shared" si="0"/>
        <v>51.216000000000001</v>
      </c>
      <c r="N20" s="145" t="str">
        <f>VLOOKUP(C20,'Trips&amp;Operators'!$C$1:$G$99999,5,FALSE)</f>
        <v>BADERTSCHER DIANE</v>
      </c>
      <c r="O20" s="157" t="s">
        <v>185</v>
      </c>
      <c r="P20" s="146"/>
      <c r="Q20" s="30"/>
      <c r="R20" s="89" t="str">
        <f>VLOOKUP(C20,'Train Runs'!$A$13:$AE$9967,31,0)</f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S20" s="92" t="str">
        <f>VLOOKUP(C20,'Train Runs'!$A$13:$AE$9967,22,0)</f>
        <v>https://d0f6bd738d7f1b3e5a7ca70fe4ff75f0.us-east-1.aws.found.io/app/kibana#/discover/Steve-Slow-Train-Analysis-(2080s-and-2083s)?_g=(refreshInterval:(display:Off,pause:!f,section:0,value:0),time:(from:'2017-02-03T02:59:22-0700',mode:absolute,to:'2017-02-03T05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0" s="94" t="str">
        <f t="shared" si="1"/>
        <v>"C:\Program Files (x86)\AstroGrep\AstroGrep.exe" /spath="%USERPROFILE%\AppData\Local\Temp\OnboardLogs" /stypes="*4017*201702031*" /stext=" 11:.+((SYSTEM_STATE.+slice.+state.+changed )|(ment ac)|(multiple cpu faults)|(system.+state.+changed )|(\[timeout)|(PRM\|1\|D)|(kpr)|(kdp)|(\|lc)|(penalty))" /e /r /s</v>
      </c>
      <c r="U20" s="9" t="str">
        <f t="shared" si="2"/>
        <v>4017</v>
      </c>
      <c r="V20" s="32">
        <f t="shared" si="3"/>
        <v>42769.495821759258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{"issue":{"subject":"","project_id":79,"tracker_id":40,"status_id":1,"priority_id":2,"assigned_to_id":23,"start_date":"2017-02-03","description":"","custom_fields":[{"id":1,"name":"Subdivision","value":"EC"},{"id":4,"name":"Milepost","value":"0.0001"},{"id":17,"name":"Train ID","value":"102-03"},{"id":16,"name":"Locomotive ID","value":"4017"},{"id":130,"name":"Impact","value":""},{"id":150,"name":"Time of Event (Mountain Time)","value":"04:53:59"},{"id":151,"name":"Denver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"%USERPROFILE%\AppData\Local\Temp\OnboardLogs"\RTDC4017\*4017*201702031*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"%USERPROFILE%\AppData\Local\Temp\OnboardLogs"\RTDC4017\*4017*201702031* &gt;&gt; 2017-02-03-SliceDisagreementCheck.txt</v>
      </c>
      <c r="AE20" s="161" t="str">
        <f t="shared" si="9"/>
        <v>start /low /b %USERPROFILE%\Documents\GitHub\eaglep3\Utilities\DownloadLogsFromS3.py --loco 4017 --day 2017-02-03</v>
      </c>
      <c r="AF20" s="1"/>
    </row>
    <row r="21" spans="1:32" x14ac:dyDescent="0.25">
      <c r="A21" s="32">
        <v>42769.307141203702</v>
      </c>
      <c r="B21" s="30" t="s">
        <v>391</v>
      </c>
      <c r="C21" s="30" t="s">
        <v>532</v>
      </c>
      <c r="D21" s="30" t="s">
        <v>49</v>
      </c>
      <c r="E21" s="30" t="s">
        <v>188</v>
      </c>
      <c r="F21" s="43">
        <v>0</v>
      </c>
      <c r="G21" s="43">
        <v>119</v>
      </c>
      <c r="H21" s="43">
        <v>458</v>
      </c>
      <c r="I21" s="43">
        <v>324</v>
      </c>
      <c r="J21" s="30" t="s">
        <v>189</v>
      </c>
      <c r="K21" s="43">
        <v>1</v>
      </c>
      <c r="L21" s="143" t="s">
        <v>51</v>
      </c>
      <c r="M21" s="144">
        <f t="shared" si="0"/>
        <v>170.54400000000001</v>
      </c>
      <c r="N21" s="145" t="str">
        <f>VLOOKUP(C21,'Trips&amp;Operators'!$C$1:$G$99999,5,FALSE)</f>
        <v>DAVIS WENDY</v>
      </c>
      <c r="O21" s="157" t="s">
        <v>185</v>
      </c>
      <c r="P21" s="146"/>
      <c r="Q21" s="30"/>
      <c r="R21" s="89" t="str">
        <f>VLOOKUP(C21,'Train Runs'!$A$13:$AE$9967,31,0)</f>
        <v>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 &amp; aws s3 cp s3://rtdc.mdm.uploadarchive.raw/RTDC4001/ "%USERPROFILE%\AppData\Local\Temp\OnboardLogs"\RTDC4001\2017-02-04 --exclude "*" --recursive --include "*20170204*" &amp; "%USERPROFILE%\Documents\GitHub\mrs-test-scripts\Headless Mode &amp; Sideloading\WalkAndUnGZ.bat" "%USERPROFILE%\AppData\Local\Temp\OnboardLogs"\RTDC4001\2017-02-04</v>
      </c>
      <c r="S21" s="92" t="str">
        <f>VLOOKUP(C21,'Train Runs'!$A$13:$AE$9967,22,0)</f>
        <v>https://d0f6bd738d7f1b3e5a7ca70fe4ff75f0.us-east-1.aws.found.io/app/kibana#/discover/Steve-Slow-Train-Analysis-(2080s-and-2083s)?_g=(refreshInterval:(display:Off,pause:!f,section:0,value:0),time:(from:'2017-02-03T05:34:50-0700',mode:absolute,to:'2017-02-03T08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1" s="94" t="str">
        <f t="shared" si="1"/>
        <v>"C:\Program Files (x86)\AstroGrep\AstroGrep.exe" /spath="%USERPROFILE%\AppData\Local\Temp\OnboardLogs" /stypes="*4001*201702031*" /stext=" 14:.+((SYSTEM_STATE.+slice.+state.+changed )|(ment ac)|(multiple cpu faults)|(system.+state.+changed )|(\[timeout)|(PRM\|1\|D)|(kpr)|(kdp)|(\|lc)|(penalty))" /e /r /s</v>
      </c>
      <c r="U21" s="9" t="str">
        <f t="shared" si="2"/>
        <v>4001</v>
      </c>
      <c r="V21" s="32">
        <f t="shared" si="3"/>
        <v>42769.598807870367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{"issue":{"subject":"","project_id":79,"tracker_id":40,"status_id":1,"priority_id":2,"assigned_to_id":23,"start_date":"2017-02-03","description":"","custom_fields":[{"id":1,"name":"Subdivision","value":"EC"},{"id":4,"name":"Milepost","value":"0.0001"},{"id":17,"name":"Train ID","value":"118-03"},{"id":16,"name":"Locomotive ID","value":"4001"},{"id":130,"name":"Impact","value":""},{"id":150,"name":"Time of Event (Mountain Time)","value":"07:22:17"},{"id":151,"name":"Denver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"%USERPROFILE%\AppData\Local\Temp\OnboardLogs"\RTDC4001\*4001*201702031*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"%USERPROFILE%\AppData\Local\Temp\OnboardLogs"\RTDC4001\*4001*201702031* &gt;&gt; 2017-02-03-SliceDisagreementCheck.txt</v>
      </c>
      <c r="AE21" s="161" t="str">
        <f t="shared" si="9"/>
        <v>start /low /b %USERPROFILE%\Documents\GitHub\eaglep3\Utilities\DownloadLogsFromS3.py --loco 4001 --day 2017-02-03</v>
      </c>
      <c r="AF21" s="1"/>
    </row>
    <row r="22" spans="1:32" x14ac:dyDescent="0.25">
      <c r="A22" s="32">
        <v>42769.378530092596</v>
      </c>
      <c r="B22" s="30" t="s">
        <v>391</v>
      </c>
      <c r="C22" s="30" t="s">
        <v>535</v>
      </c>
      <c r="D22" s="30" t="s">
        <v>49</v>
      </c>
      <c r="E22" s="30" t="s">
        <v>188</v>
      </c>
      <c r="F22" s="43">
        <v>0</v>
      </c>
      <c r="G22" s="43">
        <v>100</v>
      </c>
      <c r="H22" s="43">
        <v>396</v>
      </c>
      <c r="I22" s="43">
        <v>269</v>
      </c>
      <c r="J22" s="30" t="s">
        <v>189</v>
      </c>
      <c r="K22" s="43">
        <v>1</v>
      </c>
      <c r="L22" s="143" t="s">
        <v>51</v>
      </c>
      <c r="M22" s="144">
        <f t="shared" si="0"/>
        <v>141.50399999999999</v>
      </c>
      <c r="N22" s="145" t="str">
        <f>VLOOKUP(C22,'Trips&amp;Operators'!$C$1:$G$99999,5,FALSE)</f>
        <v>DAVIS WENDY</v>
      </c>
      <c r="O22" s="157" t="s">
        <v>185</v>
      </c>
      <c r="P22" s="146"/>
      <c r="Q22" s="30"/>
      <c r="R22" s="89" t="str">
        <f>VLOOKUP(C22,'Train Runs'!$A$13:$AE$9967,31,0)</f>
        <v>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 &amp; aws s3 cp s3://rtdc.mdm.uploadarchive.raw/RTDC4001/ "%USERPROFILE%\AppData\Local\Temp\OnboardLogs"\RTDC4001\2017-02-04 --exclude "*" --recursive --include "*20170204*" &amp; "%USERPROFILE%\Documents\GitHub\mrs-test-scripts\Headless Mode &amp; Sideloading\WalkAndUnGZ.bat" "%USERPROFILE%\AppData\Local\Temp\OnboardLogs"\RTDC4001\2017-02-04</v>
      </c>
      <c r="S22" s="92" t="str">
        <f>VLOOKUP(C22,'Train Runs'!$A$13:$AE$9967,22,0)</f>
        <v>https://d0f6bd738d7f1b3e5a7ca70fe4ff75f0.us-east-1.aws.found.io/app/kibana#/discover/Steve-Slow-Train-Analysis-(2080s-and-2083s)?_g=(refreshInterval:(display:Off,pause:!f,section:0,value:0),time:(from:'2017-02-03T07:22:03-0700',mode:absolute,to:'2017-02-03T10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94" t="str">
        <f t="shared" si="1"/>
        <v>"C:\Program Files (x86)\AstroGrep\AstroGrep.exe" /spath="%USERPROFILE%\AppData\Local\Temp\OnboardLogs" /stypes="*4001*201702031*" /stext=" 16:.+((SYSTEM_STATE.+slice.+state.+changed )|(ment ac)|(multiple cpu faults)|(system.+state.+changed )|(\[timeout)|(PRM\|1\|D)|(kpr)|(kdp)|(\|lc)|(penalty))" /e /r /s</v>
      </c>
      <c r="U22" s="9" t="str">
        <f t="shared" si="2"/>
        <v>4001</v>
      </c>
      <c r="V22" s="32">
        <f t="shared" si="3"/>
        <v>42769.67019675926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{"issue":{"subject":"","project_id":79,"tracker_id":40,"status_id":1,"priority_id":2,"assigned_to_id":23,"start_date":"2017-02-03","description":"","custom_fields":[{"id":1,"name":"Subdivision","value":"EC"},{"id":4,"name":"Milepost","value":"0.0001"},{"id":17,"name":"Train ID","value":"132-03"},{"id":16,"name":"Locomotive ID","value":"4001"},{"id":130,"name":"Impact","value":""},{"id":150,"name":"Time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"%USERPROFILE%\AppData\Local\Temp\OnboardLogs"\RTDC4001\*4001*201702031*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"%USERPROFILE%\AppData\Local\Temp\OnboardLogs"\RTDC4001\*4001*201702031* &gt;&gt; 2017-02-03-SliceDisagreementCheck.txt</v>
      </c>
      <c r="AE22" s="161" t="str">
        <f t="shared" si="9"/>
        <v>start /low /b %USERPROFILE%\Documents\GitHub\eaglep3\Utilities\DownloadLogsFromS3.py --loco 4001 --day 2017-02-03</v>
      </c>
      <c r="AF22" s="1"/>
    </row>
    <row r="23" spans="1:32" x14ac:dyDescent="0.25">
      <c r="A23" s="32">
        <v>42769.430763888886</v>
      </c>
      <c r="B23" s="30" t="s">
        <v>387</v>
      </c>
      <c r="C23" s="30" t="s">
        <v>539</v>
      </c>
      <c r="D23" s="30" t="s">
        <v>49</v>
      </c>
      <c r="E23" s="30" t="s">
        <v>188</v>
      </c>
      <c r="F23" s="43">
        <v>0</v>
      </c>
      <c r="G23" s="43">
        <v>80</v>
      </c>
      <c r="H23" s="43">
        <v>296</v>
      </c>
      <c r="I23" s="43">
        <v>209</v>
      </c>
      <c r="J23" s="30" t="s">
        <v>189</v>
      </c>
      <c r="K23" s="43">
        <v>1</v>
      </c>
      <c r="L23" s="143" t="s">
        <v>51</v>
      </c>
      <c r="M23" s="144">
        <f t="shared" si="0"/>
        <v>109.824</v>
      </c>
      <c r="N23" s="145" t="str">
        <f>VLOOKUP(C23,'Trips&amp;Operators'!$C$1:$G$99999,5,FALSE)</f>
        <v>BADERTSCHER DIANE</v>
      </c>
      <c r="O23" s="157" t="s">
        <v>185</v>
      </c>
      <c r="P23" s="146"/>
      <c r="Q23" s="30"/>
      <c r="R23" s="89" t="str">
        <f>VLOOKUP(C23,'Train Runs'!$A$13:$AE$9967,31,0)</f>
        <v>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 &amp; 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</v>
      </c>
      <c r="S23" s="92" t="str">
        <f>VLOOKUP(C23,'Train Runs'!$A$13:$AE$9967,22,0)</f>
        <v>https://d0f6bd738d7f1b3e5a7ca70fe4ff75f0.us-east-1.aws.found.io/app/kibana#/discover/Steve-Slow-Train-Analysis-(2080s-and-2083s)?_g=(refreshInterval:(display:Off,pause:!f,section:0,value:0),time:(from:'2017-02-03T08:26:50-0700',mode:absolute,to:'2017-02-03T11:20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3" s="94" t="str">
        <f t="shared" si="1"/>
        <v>"C:\Program Files (x86)\AstroGrep\AstroGrep.exe" /spath="%USERPROFILE%\AppData\Local\Temp\OnboardLogs" /stypes="*4017*201702031*" /stext=" 17:.+((SYSTEM_STATE.+slice.+state.+changed )|(ment ac)|(multiple cpu faults)|(system.+state.+changed )|(\[timeout)|(PRM\|1\|D)|(kpr)|(kdp)|(\|lc)|(penalty))" /e /r /s</v>
      </c>
      <c r="U23" s="9" t="str">
        <f t="shared" si="2"/>
        <v>4017</v>
      </c>
      <c r="V23" s="32">
        <f t="shared" si="3"/>
        <v>42769.72243055555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{"issue":{"subject":"","project_id":79,"tracker_id":40,"status_id":1,"priority_id":2,"assigned_to_id":23,"start_date":"2017-02-03","description":"","custom_fields":[{"id":1,"name":"Subdivision","value":"EC"},{"id":4,"name":"Milepost","value":"0.0001"},{"id":17,"name":"Train ID","value":"142-03"},{"id":16,"name":"Locomotive ID","value":"4017"},{"id":130,"name":"Impact","value":""},{"id":150,"name":"Time of Event (Mountain Time)","value":"10:20:18"},{"id":151,"name":"Denver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"%USERPROFILE%\AppData\Local\Temp\OnboardLogs"\RTDC4017\*4017*201702031*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"%USERPROFILE%\AppData\Local\Temp\OnboardLogs"\RTDC4017\*4017*201702031* &gt;&gt; 2017-02-03-SliceDisagreementCheck.txt</v>
      </c>
      <c r="AE23" s="161" t="str">
        <f t="shared" si="9"/>
        <v>start /low /b %USERPROFILE%\Documents\GitHub\eaglep3\Utilities\DownloadLogsFromS3.py --loco 4017 --day 2017-02-03</v>
      </c>
      <c r="AF23" s="1"/>
    </row>
    <row r="24" spans="1:32" x14ac:dyDescent="0.25">
      <c r="A24" s="32">
        <v>42769.381273148145</v>
      </c>
      <c r="B24" s="30" t="s">
        <v>536</v>
      </c>
      <c r="C24" s="30" t="s">
        <v>537</v>
      </c>
      <c r="D24" s="30" t="s">
        <v>49</v>
      </c>
      <c r="E24" s="30" t="s">
        <v>188</v>
      </c>
      <c r="F24" s="43">
        <v>0</v>
      </c>
      <c r="G24" s="43">
        <v>142</v>
      </c>
      <c r="H24" s="43">
        <v>232496</v>
      </c>
      <c r="I24" s="43">
        <v>232717</v>
      </c>
      <c r="J24" s="30" t="s">
        <v>189</v>
      </c>
      <c r="K24" s="43">
        <v>233491</v>
      </c>
      <c r="L24" s="143" t="s">
        <v>50</v>
      </c>
      <c r="M24" s="144">
        <f t="shared" si="0"/>
        <v>408.67200000000003</v>
      </c>
      <c r="N24" s="145" t="str">
        <f>VLOOKUP(C24,'Trips&amp;Operators'!$C$1:$G$99999,5,FALSE)</f>
        <v>BONDS REYNALDO</v>
      </c>
      <c r="O24" s="157" t="s">
        <v>185</v>
      </c>
      <c r="P24" s="146"/>
      <c r="Q24" s="30"/>
      <c r="R24" s="89" t="str">
        <f>VLOOKUP(C24,'Train Runs'!$A$13:$AE$9967,31,0)</f>
        <v>aws s3 cp s3://rtdc.mdm.uploadarchive.raw/RTDC4044/ "%USERPROFILE%\AppData\Local\Temp\OnboardLogs"\RTDC4044\2017-02-03 --exclude "*" --recursive --include "*20170203*" &amp; "%USERPROFILE%\Documents\GitHub\mrs-test-scripts\Headless Mode &amp; Sideloading\WalkAndUnGZ.bat" "%USERPROFILE%\AppData\Local\Temp\OnboardLogs"\RTDC4044\2017-02-03 &amp; 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</v>
      </c>
      <c r="S24" s="92" t="str">
        <f>VLOOKUP(C24,'Train Runs'!$A$13:$AE$9967,22,0)</f>
        <v>https://d0f6bd738d7f1b3e5a7ca70fe4ff75f0.us-east-1.aws.found.io/app/kibana#/discover/Steve-Slow-Train-Analysis-(2080s-and-2083s)?_g=(refreshInterval:(display:Off,pause:!f,section:0,value:0),time:(from:'2017-02-03T07:23:28-0700',mode:absolute,to:'2017-02-03T10:09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94" t="str">
        <f t="shared" si="1"/>
        <v>"C:\Program Files (x86)\AstroGrep\AstroGrep.exe" /spath="%USERPROFILE%\AppData\Local\Temp\OnboardLogs" /stypes="*4044*201702031*" /stext=" 16:.+((SYSTEM_STATE.+slice.+state.+changed )|(ment ac)|(multiple cpu faults)|(system.+state.+changed )|(\[timeout)|(PRM\|1\|D)|(kpr)|(kdp)|(\|lc)|(penalty))" /e /r /s</v>
      </c>
      <c r="U24" s="9" t="str">
        <f t="shared" si="2"/>
        <v>4044</v>
      </c>
      <c r="V24" s="32">
        <f t="shared" si="3"/>
        <v>42769.672939814809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{"issue":{"subject":"","project_id":79,"tracker_id":40,"status_id":1,"priority_id":2,"assigned_to_id":23,"start_date":"2017-02-03","description":"","custom_fields":[{"id":1,"name":"Subdivision","value":"EC"},{"id":4,"name":"Milepost","value":"23.3491"},{"id":17,"name":"Train ID","value":"139-03"},{"id":16,"name":"Locomotive ID","value":"4044"},{"id":130,"name":"Impact","value":""},{"id":150,"name":"Time of Event (Mountain Time)","value":"09:09:02"},{"id":151,"name":"Denver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"%USERPROFILE%\AppData\Local\Temp\OnboardLogs"\RTDC4044\*4044*201702031*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"%USERPROFILE%\AppData\Local\Temp\OnboardLogs"\RTDC4044\*4044*201702031* &gt;&gt; 2017-02-03-SliceDisagreementCheck.txt</v>
      </c>
      <c r="AE24" s="161" t="str">
        <f t="shared" si="9"/>
        <v>start /low /b %USERPROFILE%\Documents\GitHub\eaglep3\Utilities\DownloadLogsFromS3.py --loco 4044 --day 2017-02-03</v>
      </c>
      <c r="AF24" s="1"/>
    </row>
    <row r="25" spans="1:32" x14ac:dyDescent="0.25">
      <c r="A25" s="32">
        <v>42769.442303240743</v>
      </c>
      <c r="B25" s="30" t="s">
        <v>540</v>
      </c>
      <c r="C25" s="30" t="s">
        <v>541</v>
      </c>
      <c r="D25" s="30" t="s">
        <v>49</v>
      </c>
      <c r="E25" s="30" t="s">
        <v>188</v>
      </c>
      <c r="F25" s="43">
        <v>0</v>
      </c>
      <c r="G25" s="43">
        <v>148</v>
      </c>
      <c r="H25" s="43">
        <v>232492</v>
      </c>
      <c r="I25" s="43">
        <v>232677</v>
      </c>
      <c r="J25" s="30" t="s">
        <v>189</v>
      </c>
      <c r="K25" s="43">
        <v>233491</v>
      </c>
      <c r="L25" s="143" t="s">
        <v>50</v>
      </c>
      <c r="M25" s="144">
        <f t="shared" si="0"/>
        <v>429.79199999999997</v>
      </c>
      <c r="N25" s="145" t="str">
        <f>VLOOKUP(C25,'Trips&amp;Operators'!$C$1:$G$99999,5,FALSE)</f>
        <v>LOZA FIDEL</v>
      </c>
      <c r="O25" s="157" t="s">
        <v>185</v>
      </c>
      <c r="P25" s="146"/>
      <c r="Q25" s="30"/>
      <c r="R25" s="89" t="str">
        <f>VLOOKUP(C25,'Train Runs'!$A$13:$AE$9967,31,0)</f>
        <v>aws s3 cp s3://rtdc.mdm.uploadarchive.raw/RTDC4040/ "%USERPROFILE%\AppData\Local\Temp\OnboardLogs"\RTDC4040\2017-02-03 --exclude "*" --recursive --include "*20170203*" &amp; "%USERPROFILE%\Documents\GitHub\mrs-test-scripts\Headless Mode &amp; Sideloading\WalkAndUnGZ.bat" "%USERPROFILE%\AppData\Local\Temp\OnboardLogs"\RTDC4040\2017-02-03 &amp; 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</v>
      </c>
      <c r="S25" s="92" t="str">
        <f>VLOOKUP(C25,'Train Runs'!$A$13:$AE$9967,22,0)</f>
        <v>https://d0f6bd738d7f1b3e5a7ca70fe4ff75f0.us-east-1.aws.found.io/app/kibana#/discover/Steve-Slow-Train-Analysis-(2080s-and-2083s)?_g=(refreshInterval:(display:Off,pause:!f,section:0,value:0),time:(from:'2017-02-03T08:52:18-0700',mode:absolute,to:'2017-02-03T11:38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94" t="str">
        <f t="shared" si="1"/>
        <v>"C:\Program Files (x86)\AstroGrep\AstroGrep.exe" /spath="%USERPROFILE%\AppData\Local\Temp\OnboardLogs" /stypes="*4040*201702031*" /stext=" 17:.+((SYSTEM_STATE.+slice.+state.+changed )|(ment ac)|(multiple cpu faults)|(system.+state.+changed )|(\[timeout)|(PRM\|1\|D)|(kpr)|(kdp)|(\|lc)|(penalty))" /e /r /s</v>
      </c>
      <c r="U25" s="9" t="str">
        <f t="shared" si="2"/>
        <v>4040</v>
      </c>
      <c r="V25" s="32">
        <f t="shared" si="3"/>
        <v>42769.733969907407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{"issue":{"subject":"","project_id":79,"tracker_id":40,"status_id":1,"priority_id":2,"assigned_to_id":23,"start_date":"2017-02-03","description":"","custom_fields":[{"id":1,"name":"Subdivision","value":"EC"},{"id":4,"name":"Milepost","value":"23.3491"},{"id":17,"name":"Train ID","value":"151-03"},{"id":16,"name":"Locomotive ID","value":"4040"},{"id":130,"name":"Impact","value":""},{"id":150,"name":"Time of Event (Mountain Time)","value":"10:36:55"},{"id":151,"name":"Denver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"%USERPROFILE%\AppData\Local\Temp\OnboardLogs"\RTDC4040\*4040*201702031*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"%USERPROFILE%\AppData\Local\Temp\OnboardLogs"\RTDC4040\*4040*201702031* &gt;&gt; 2017-02-03-SliceDisagreementCheck.txt</v>
      </c>
      <c r="AE25" s="161" t="str">
        <f t="shared" si="9"/>
        <v>start /low /b %USERPROFILE%\Documents\GitHub\eaglep3\Utilities\DownloadLogsFromS3.py --loco 4040 --day 2017-02-03</v>
      </c>
      <c r="AF25" s="1"/>
    </row>
    <row r="26" spans="1:32" x14ac:dyDescent="0.25">
      <c r="A26" s="32">
        <v>42769.793935185182</v>
      </c>
      <c r="B26" s="30" t="s">
        <v>548</v>
      </c>
      <c r="C26" s="30" t="s">
        <v>549</v>
      </c>
      <c r="D26" s="30" t="s">
        <v>49</v>
      </c>
      <c r="E26" s="30" t="s">
        <v>188</v>
      </c>
      <c r="F26" s="43">
        <v>0</v>
      </c>
      <c r="G26" s="43">
        <v>100</v>
      </c>
      <c r="H26" s="43">
        <v>233119</v>
      </c>
      <c r="I26" s="43">
        <v>233247</v>
      </c>
      <c r="J26" s="30" t="s">
        <v>189</v>
      </c>
      <c r="K26" s="43">
        <v>233491</v>
      </c>
      <c r="L26" s="143" t="s">
        <v>50</v>
      </c>
      <c r="M26" s="144">
        <f t="shared" si="0"/>
        <v>128.83199999999999</v>
      </c>
      <c r="N26" s="145" t="str">
        <f>VLOOKUP(C26,'Trips&amp;Operators'!$C$1:$G$99999,5,FALSE)</f>
        <v>PERKINS DARREN</v>
      </c>
      <c r="O26" s="157" t="s">
        <v>185</v>
      </c>
      <c r="P26" s="146"/>
      <c r="Q26" s="30"/>
      <c r="R26" s="89" t="str">
        <f>VLOOKUP(C26,'Train Runs'!$A$13:$AE$9967,31,0)</f>
        <v>aws s3 cp s3://rtdc.mdm.uploadarchive.raw/RTDC4031/ "%USERPROFILE%\AppData\Local\Temp\OnboardLogs"\RTDC4031\2017-02-03 --exclude "*" --recursive --include "*20170203*" &amp; "%USERPROFILE%\Documents\GitHub\mrs-test-scripts\Headless Mode &amp; Sideloading\WalkAndUnGZ.bat" "%USERPROFILE%\AppData\Local\Temp\OnboardLogs"\RTDC4031\2017-02-03 &amp; aws s3 cp s3://rtdc.mdm.uploadarchive.raw/RTDC4031/ "%USERPROFILE%\AppData\Local\Temp\OnboardLogs"\RTDC4031\2017-02-04 --exclude "*" --recursive --include "*20170204*" &amp; "%USERPROFILE%\Documents\GitHub\mrs-test-scripts\Headless Mode &amp; Sideloading\WalkAndUnGZ.bat" "%USERPROFILE%\AppData\Local\Temp\OnboardLogs"\RTDC4031\2017-02-04</v>
      </c>
      <c r="S26" s="92" t="str">
        <f>VLOOKUP(C26,'Train Runs'!$A$13:$AE$9967,22,0)</f>
        <v>https://d0f6bd738d7f1b3e5a7ca70fe4ff75f0.us-east-1.aws.found.io/app/kibana#/discover/Steve-Slow-Train-Analysis-(2080s-and-2083s)?_g=(refreshInterval:(display:Off,pause:!f,section:0,value:0),time:(from:'2017-02-03T17:08:33-0700',mode:absolute,to:'2017-02-03T20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94" t="str">
        <f t="shared" si="1"/>
        <v>"C:\Program Files (x86)\AstroGrep\AstroGrep.exe" /spath="%USERPROFILE%\AppData\Local\Temp\OnboardLogs" /stypes="*4031*201702040*" /stext=" 02:.+((SYSTEM_STATE.+slice.+state.+changed )|(ment ac)|(multiple cpu faults)|(system.+state.+changed )|(\[timeout)|(PRM\|1\|D)|(kpr)|(kdp)|(\|lc)|(penalty))" /e /r /s</v>
      </c>
      <c r="U26" s="9" t="str">
        <f t="shared" si="2"/>
        <v>4031</v>
      </c>
      <c r="V26" s="32">
        <f t="shared" si="3"/>
        <v>42770.085601851846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{"issue":{"subject":"","project_id":79,"tracker_id":40,"status_id":1,"priority_id":2,"assigned_to_id":23,"start_date":"2017-02-03","description":"","custom_fields":[{"id":1,"name":"Subdivision","value":"EC"},{"id":4,"name":"Milepost","value":"23.3491"},{"id":17,"name":"Train ID","value":"217-03"},{"id":16,"name":"Locomotive ID","value":"4031"},{"id":130,"name":"Impact","value":""},{"id":150,"name":"Time of Event (Mountain Time)","value":"19:03:16"},{"id":151,"name":"Denver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"%USERPROFILE%\AppData\Local\Temp\OnboardLogs"\RTDC4031\*4031*201702040*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"%USERPROFILE%\AppData\Local\Temp\OnboardLogs"\RTDC4031\*4031*201702040* &gt;&gt; 2017-02-03-SliceDisagreementCheck.txt</v>
      </c>
      <c r="AE26" s="161" t="str">
        <f t="shared" si="9"/>
        <v>start /low /b %USERPROFILE%\Documents\GitHub\eaglep3\Utilities\DownloadLogsFromS3.py --loco 4031 --day 2017-02-04</v>
      </c>
      <c r="AF26" s="1"/>
    </row>
    <row r="27" spans="1:32" x14ac:dyDescent="0.25">
      <c r="A27" s="32">
        <v>42769.558912037035</v>
      </c>
      <c r="B27" s="30" t="s">
        <v>390</v>
      </c>
      <c r="C27" s="30" t="s">
        <v>544</v>
      </c>
      <c r="D27" s="30" t="s">
        <v>98</v>
      </c>
      <c r="E27" s="30" t="s">
        <v>219</v>
      </c>
      <c r="F27" s="43">
        <v>200</v>
      </c>
      <c r="G27" s="43">
        <v>253</v>
      </c>
      <c r="H27" s="43">
        <v>6303</v>
      </c>
      <c r="I27" s="43">
        <v>6762</v>
      </c>
      <c r="J27" s="30" t="s">
        <v>220</v>
      </c>
      <c r="K27" s="43">
        <v>5315</v>
      </c>
      <c r="L27" s="143" t="s">
        <v>50</v>
      </c>
      <c r="M27" s="144">
        <f t="shared" si="0"/>
        <v>-764.01599999999996</v>
      </c>
      <c r="N27" s="145" t="str">
        <f>VLOOKUP(C27,'Trips&amp;Operators'!$C$1:$G$99999,5,FALSE)</f>
        <v>LEVERE CRAIG</v>
      </c>
      <c r="O27" s="157" t="s">
        <v>185</v>
      </c>
      <c r="P27" s="146"/>
      <c r="Q27" s="30"/>
      <c r="R27" s="89" t="str">
        <f>VLOOKUP(C27,'Train Runs'!$A$13:$AE$9967,31,0)</f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S27" s="92" t="str">
        <f>VLOOKUP(C27,'Train Runs'!$A$13:$AE$9967,22,0)</f>
        <v>https://d0f6bd738d7f1b3e5a7ca70fe4ff75f0.us-east-1.aws.found.io/app/kibana#/discover/Steve-Slow-Train-Analysis-(2080s-and-2083s)?_g=(refreshInterval:(display:Off,pause:!f,section:0,value:0),time:(from:'2017-02-03T12:02:51-0700',mode:absolute,to:'2017-02-03T14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7" s="94" t="str">
        <f t="shared" si="1"/>
        <v>"C:\Program Files (x86)\AstroGrep\AstroGrep.exe" /spath="%USERPROFILE%\AppData\Local\Temp\OnboardLogs" /stypes="*4020*201702032*" /stext=" 20:.+((SYSTEM_STATE.+slice.+state.+changed )|(ment ac)|(multiple cpu faults)|(system.+state.+changed )|(\[timeout)|(PRM\|1\|D)|(kpr)|(kdp)|(\|lc)|(penalty))" /e /r /s</v>
      </c>
      <c r="U27" s="9" t="str">
        <f t="shared" si="2"/>
        <v>4020</v>
      </c>
      <c r="V27" s="32">
        <f t="shared" si="3"/>
        <v>42769.850578703699</v>
      </c>
      <c r="W27" s="46" t="str">
        <f t="shared" si="4"/>
        <v>NW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{"issue":{"subject":"","project_id":79,"tracker_id":40,"status_id":1,"priority_id":2,"assigned_to_id":23,"start_date":"2017-02-03","description":"","custom_fields":[{"id":1,"name":"Subdivision","value":"NW"},{"id":4,"name":"Milepost","value":"0.5315"},{"id":17,"name":"Train ID","value":"821-03"},{"id":16,"name":"Locomotive ID","value":"4020"},{"id":130,"name":"Impact","value":""},{"id":150,"name":"Time of Event (Mountain Time)","value":"13:24:50"},{"id":151,"name":"Denver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"%USERPROFILE%\AppData\Local\Temp\OnboardLogs"\RTDC4020\*4020*201702032*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"%USERPROFILE%\AppData\Local\Temp\OnboardLogs"\RTDC4020\*4020*201702032* &gt;&gt; 2017-02-03-SliceDisagreementCheck.txt</v>
      </c>
      <c r="AE27" s="161" t="str">
        <f t="shared" si="9"/>
        <v>start /low /b %USERPROFILE%\Documents\GitHub\eaglep3\Utilities\DownloadLogsFromS3.py --loco 4020 --day 2017-02-03</v>
      </c>
      <c r="AF27" s="1"/>
    </row>
    <row r="28" spans="1:32" x14ac:dyDescent="0.25">
      <c r="A28" s="32">
        <v>42769.449120370373</v>
      </c>
      <c r="B28" s="30" t="s">
        <v>385</v>
      </c>
      <c r="C28" s="30" t="s">
        <v>542</v>
      </c>
      <c r="D28" s="30" t="s">
        <v>98</v>
      </c>
      <c r="E28" s="30" t="s">
        <v>219</v>
      </c>
      <c r="F28" s="43">
        <v>400</v>
      </c>
      <c r="G28" s="43">
        <v>450</v>
      </c>
      <c r="H28" s="43">
        <v>39258</v>
      </c>
      <c r="I28" s="43">
        <v>37894</v>
      </c>
      <c r="J28" s="30" t="s">
        <v>220</v>
      </c>
      <c r="K28" s="43">
        <v>40977</v>
      </c>
      <c r="L28" s="143" t="s">
        <v>51</v>
      </c>
      <c r="M28" s="144">
        <f t="shared" si="0"/>
        <v>-1627.8240000000001</v>
      </c>
      <c r="N28" s="145" t="str">
        <f>VLOOKUP(C28,'Trips&amp;Operators'!$C$1:$G$99999,5,FALSE)</f>
        <v>BEAM ROSS</v>
      </c>
      <c r="O28" s="157" t="s">
        <v>185</v>
      </c>
      <c r="P28" s="146"/>
      <c r="Q28" s="30"/>
      <c r="R28" s="89" t="str">
        <f>VLOOKUP(C28,'Train Runs'!$A$13:$AE$9967,31,0)</f>
        <v>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 &amp; 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</v>
      </c>
      <c r="S28" s="92" t="str">
        <f>VLOOKUP(C28,'Train Runs'!$A$13:$AE$9967,22,0)</f>
        <v>https://d0f6bd738d7f1b3e5a7ca70fe4ff75f0.us-east-1.aws.found.io/app/kibana#/discover/Steve-Slow-Train-Analysis-(2080s-and-2083s)?_g=(refreshInterval:(display:Off,pause:!f,section:0,value:0),time:(from:'2017-02-03T09:35:09-0700',mode:absolute,to:'2017-02-03T11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94" t="str">
        <f t="shared" si="1"/>
        <v>"C:\Program Files (x86)\AstroGrep\AstroGrep.exe" /spath="%USERPROFILE%\AppData\Local\Temp\OnboardLogs" /stypes="*4019*201702031*" /stext=" 17:.+((SYSTEM_STATE.+slice.+state.+changed )|(ment ac)|(multiple cpu faults)|(system.+state.+changed )|(\[timeout)|(PRM\|1\|D)|(kpr)|(kdp)|(\|lc)|(penalty))" /e /r /s</v>
      </c>
      <c r="U28" s="9" t="str">
        <f t="shared" si="2"/>
        <v>4019</v>
      </c>
      <c r="V28" s="32">
        <f t="shared" si="3"/>
        <v>42769.740787037037</v>
      </c>
      <c r="W28" s="46" t="str">
        <f t="shared" si="4"/>
        <v>NW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{"issue":{"subject":"","project_id":79,"tracker_id":40,"status_id":1,"priority_id":2,"assigned_to_id":23,"start_date":"2017-02-03","description":"","custom_fields":[{"id":1,"name":"Subdivision","value":"NW"},{"id":4,"name":"Milepost","value":"4.0977"},{"id":17,"name":"Train ID","value":"816-03"},{"id":16,"name":"Locomotive ID","value":"4019"},{"id":130,"name":"Impact","value":""},{"id":150,"name":"Time of Event (Mountain Time)","value":"10:46:44"},{"id":151,"name":"Denver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"%USERPROFILE%\AppData\Local\Temp\OnboardLogs"\RTDC4019\*4019*201702031*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"%USERPROFILE%\AppData\Local\Temp\OnboardLogs"\RTDC4019\*4019*201702031* &gt;&gt; 2017-02-03-SliceDisagreementCheck.txt</v>
      </c>
      <c r="AE28" s="161" t="str">
        <f t="shared" si="9"/>
        <v>start /low /b %USERPROFILE%\Documents\GitHub\eaglep3\Utilities\DownloadLogsFromS3.py --loco 4019 --day 2017-02-03</v>
      </c>
      <c r="AF28" s="1"/>
    </row>
    <row r="29" spans="1:32" x14ac:dyDescent="0.25">
      <c r="A29" s="32">
        <v>42769.294328703705</v>
      </c>
      <c r="B29" s="30" t="s">
        <v>238</v>
      </c>
      <c r="C29" s="30" t="s">
        <v>531</v>
      </c>
      <c r="D29" s="30" t="s">
        <v>49</v>
      </c>
      <c r="E29" s="30" t="s">
        <v>188</v>
      </c>
      <c r="F29" s="43">
        <v>0</v>
      </c>
      <c r="G29" s="43">
        <v>33</v>
      </c>
      <c r="H29" s="43">
        <v>58946</v>
      </c>
      <c r="I29" s="43">
        <v>58975</v>
      </c>
      <c r="J29" s="30" t="s">
        <v>189</v>
      </c>
      <c r="K29" s="43">
        <v>59048</v>
      </c>
      <c r="L29" s="143" t="s">
        <v>50</v>
      </c>
      <c r="M29" s="144">
        <f t="shared" si="0"/>
        <v>38.543999999999997</v>
      </c>
      <c r="N29" s="145" t="str">
        <f>VLOOKUP(C29,'Trips&amp;Operators'!$C$1:$G$99999,5,FALSE)</f>
        <v>GEBRETEKLE DAGNEW</v>
      </c>
      <c r="O29" s="157" t="s">
        <v>185</v>
      </c>
      <c r="P29" s="146"/>
      <c r="Q29" s="30"/>
      <c r="R29" s="89" t="str">
        <f>VLOOKUP(C29,'Train Runs'!$A$13:$AE$9967,31,0)</f>
        <v>aws s3 cp s3://rtdc.mdm.uploadarchive.raw/RTDC4029/ "%USERPROFILE%\AppData\Local\Temp\OnboardLogs"\RTDC4029\2017-02-03 --exclude "*" --recursive --include "*20170203*" &amp; "%USERPROFILE%\Documents\GitHub\mrs-test-scripts\Headless Mode &amp; Sideloading\WalkAndUnGZ.bat" "%USERPROFILE%\AppData\Local\Temp\OnboardLogs"\RTDC4029\2017-02-03 &amp; 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</v>
      </c>
      <c r="S29" s="92" t="str">
        <f>VLOOKUP(C29,'Train Runs'!$A$13:$AE$9967,22,0)</f>
        <v>https://d0f6bd738d7f1b3e5a7ca70fe4ff75f0.us-east-1.aws.found.io/app/kibana#/discover/Steve-Slow-Train-Analysis-(2080s-and-2083s)?_g=(refreshInterval:(display:Off,pause:!f,section:0,value:0),time:(from:'2017-02-03T05:37:16-0700',mode:absolute,to:'2017-02-03T08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9" s="94" t="str">
        <f t="shared" si="1"/>
        <v>"C:\Program Files (x86)\AstroGrep\AstroGrep.exe" /spath="%USERPROFILE%\AppData\Local\Temp\OnboardLogs" /stypes="*4029*201702031*" /stext=" 14:.+((SYSTEM_STATE.+slice.+state.+changed )|(ment ac)|(multiple cpu faults)|(system.+state.+changed )|(\[timeout)|(PRM\|1\|D)|(kpr)|(kdp)|(\|lc)|(penalty))" /e /r /s</v>
      </c>
      <c r="U29" s="9" t="str">
        <f t="shared" si="2"/>
        <v>4029</v>
      </c>
      <c r="V29" s="32">
        <f t="shared" si="3"/>
        <v>42769.585995370369</v>
      </c>
      <c r="W29" s="46" t="str">
        <f t="shared" si="4"/>
        <v>NW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{"issue":{"subject":"","project_id":79,"tracker_id":40,"status_id":1,"priority_id":2,"assigned_to_id":23,"start_date":"2017-02-03","description":"","custom_fields":[{"id":1,"name":"Subdivision","value":"NW"},{"id":4,"name":"Milepost","value":"5.9048"},{"id":17,"name":"Train ID","value":"805-03"},{"id":16,"name":"Locomotive ID","value":"4029"},{"id":130,"name":"Impact","value":""},{"id":150,"name":"Time of Event (Mountain Time)","value":"07:03:50"},{"id":151,"name":"Denver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"%USERPROFILE%\AppData\Local\Temp\OnboardLogs"\RTDC4029\*4029*201702031*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"%USERPROFILE%\AppData\Local\Temp\OnboardLogs"\RTDC4029\*4029*201702031* &gt;&gt; 2017-02-03-SliceDisagreementCheck.txt</v>
      </c>
      <c r="AE29" s="161" t="str">
        <f t="shared" si="9"/>
        <v>start /low /b %USERPROFILE%\Documents\GitHub\eaglep3\Utilities\DownloadLogsFromS3.py --loco 4029 --day 2017-02-03</v>
      </c>
      <c r="AF29" s="1"/>
    </row>
    <row r="30" spans="1:32" x14ac:dyDescent="0.25">
      <c r="A30" s="32">
        <v>42769.356724537036</v>
      </c>
      <c r="B30" s="30" t="s">
        <v>390</v>
      </c>
      <c r="C30" s="30" t="s">
        <v>534</v>
      </c>
      <c r="D30" s="30" t="s">
        <v>49</v>
      </c>
      <c r="E30" s="30" t="s">
        <v>188</v>
      </c>
      <c r="F30" s="43">
        <v>0</v>
      </c>
      <c r="G30" s="43">
        <v>24</v>
      </c>
      <c r="H30" s="43">
        <v>58999</v>
      </c>
      <c r="I30" s="43">
        <v>59010</v>
      </c>
      <c r="J30" s="30" t="s">
        <v>189</v>
      </c>
      <c r="K30" s="43">
        <v>59048</v>
      </c>
      <c r="L30" s="143" t="s">
        <v>50</v>
      </c>
      <c r="M30" s="144">
        <f t="shared" si="0"/>
        <v>20.064</v>
      </c>
      <c r="N30" s="145" t="str">
        <f>VLOOKUP(C30,'Trips&amp;Operators'!$C$1:$G$99999,5,FALSE)</f>
        <v>YANAI IAN</v>
      </c>
      <c r="O30" s="157" t="s">
        <v>185</v>
      </c>
      <c r="P30" s="146"/>
      <c r="Q30" s="30"/>
      <c r="R30" s="89" t="str">
        <f>VLOOKUP(C30,'Train Runs'!$A$13:$AE$9967,31,0)</f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S30" s="92" t="str">
        <f>VLOOKUP(C30,'Train Runs'!$A$13:$AE$9967,22,0)</f>
        <v>https://d0f6bd738d7f1b3e5a7ca70fe4ff75f0.us-east-1.aws.found.io/app/kibana#/discover/Steve-Slow-Train-Analysis-(2080s-and-2083s)?_g=(refreshInterval:(display:Off,pause:!f,section:0,value:0),time:(from:'2017-02-03T06:58:12-0700',mode:absolute,to:'2017-02-03T09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0" s="94" t="str">
        <f t="shared" si="1"/>
        <v>"C:\Program Files (x86)\AstroGrep\AstroGrep.exe" /spath="%USERPROFILE%\AppData\Local\Temp\OnboardLogs" /stypes="*4020*201702031*" /stext=" 15:.+((SYSTEM_STATE.+slice.+state.+changed )|(ment ac)|(multiple cpu faults)|(system.+state.+changed )|(\[timeout)|(PRM\|1\|D)|(kpr)|(kdp)|(\|lc)|(penalty))" /e /r /s</v>
      </c>
      <c r="U30" s="9" t="str">
        <f t="shared" si="2"/>
        <v>4020</v>
      </c>
      <c r="V30" s="32">
        <f t="shared" si="3"/>
        <v>42769.6483912037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{"issue":{"subject":"","project_id":79,"tracker_id":40,"status_id":1,"priority_id":2,"assigned_to_id":23,"start_date":"2017-02-03","description":"","custom_fields":[{"id":1,"name":"Subdivision","value":"NW"},{"id":4,"name":"Milepost","value":"5.9048"},{"id":17,"name":"Train ID","value":"811-03"},{"id":16,"name":"Locomotive ID","value":"4020"},{"id":130,"name":"Impact","value":""},{"id":150,"name":"Time of Event (Mountain Time)","value":"08:33:41"},{"id":151,"name":"Denver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"%USERPROFILE%\AppData\Local\Temp\OnboardLogs"\RTDC4020\*4020*201702031*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"%USERPROFILE%\AppData\Local\Temp\OnboardLogs"\RTDC4020\*4020*201702031* &gt;&gt; 2017-02-03-SliceDisagreementCheck.txt</v>
      </c>
      <c r="AE30" s="161" t="str">
        <f t="shared" si="9"/>
        <v>start /low /b %USERPROFILE%\Documents\GitHub\eaglep3\Utilities\DownloadLogsFromS3.py --loco 4020 --day 2017-02-03</v>
      </c>
      <c r="AF30" s="1"/>
    </row>
    <row r="31" spans="1:32" x14ac:dyDescent="0.25">
      <c r="A31" s="32">
        <v>42769.899641203701</v>
      </c>
      <c r="B31" s="30" t="s">
        <v>390</v>
      </c>
      <c r="C31" s="30" t="s">
        <v>553</v>
      </c>
      <c r="D31" s="30" t="s">
        <v>49</v>
      </c>
      <c r="E31" s="30" t="s">
        <v>188</v>
      </c>
      <c r="F31" s="43">
        <v>0</v>
      </c>
      <c r="G31" s="43">
        <v>59</v>
      </c>
      <c r="H31" s="43">
        <v>58813</v>
      </c>
      <c r="I31" s="43">
        <v>58852</v>
      </c>
      <c r="J31" s="30" t="s">
        <v>189</v>
      </c>
      <c r="K31" s="43">
        <v>59048</v>
      </c>
      <c r="L31" s="143" t="s">
        <v>50</v>
      </c>
      <c r="M31" s="144">
        <f t="shared" si="0"/>
        <v>103.488</v>
      </c>
      <c r="N31" s="145" t="str">
        <f>VLOOKUP(C31,'Trips&amp;Operators'!$C$1:$G$99999,5,FALSE)</f>
        <v>MCREYNOLDS KYLE</v>
      </c>
      <c r="O31" s="157" t="s">
        <v>185</v>
      </c>
      <c r="P31" s="146"/>
      <c r="Q31" s="30"/>
      <c r="R31" s="89" t="str">
        <f>VLOOKUP(C31,'Train Runs'!$A$13:$AE$9967,31,0)</f>
        <v>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 &amp; 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</v>
      </c>
      <c r="S31" s="92" t="str">
        <f>VLOOKUP(C31,'Train Runs'!$A$13:$AE$9967,22,0)</f>
        <v>https://d0f6bd738d7f1b3e5a7ca70fe4ff75f0.us-east-1.aws.found.io/app/kibana#/discover/Steve-Slow-Train-Analysis-(2080s-and-2083s)?_g=(refreshInterval:(display:Off,pause:!f,section:0,value:0),time:(from:'2017-02-03T20:05:20-0700',mode:absolute,to:'2017-02-03T22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1" s="94" t="str">
        <f t="shared" si="1"/>
        <v>"C:\Program Files (x86)\AstroGrep\AstroGrep.exe" /spath="%USERPROFILE%\AppData\Local\Temp\OnboardLogs" /stypes="*4020*201702040*" /stext=" 04:.+((SYSTEM_STATE.+slice.+state.+changed )|(ment ac)|(multiple cpu faults)|(system.+state.+changed )|(\[timeout)|(PRM\|1\|D)|(kpr)|(kdp)|(\|lc)|(penalty))" /e /r /s</v>
      </c>
      <c r="U31" s="9" t="str">
        <f t="shared" si="2"/>
        <v>4020</v>
      </c>
      <c r="V31" s="32">
        <f t="shared" si="3"/>
        <v>42770.191307870366</v>
      </c>
      <c r="W31" s="46" t="str">
        <f t="shared" si="4"/>
        <v>NW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{"issue":{"subject":"","project_id":79,"tracker_id":40,"status_id":1,"priority_id":2,"assigned_to_id":23,"start_date":"2017-02-03","description":"","custom_fields":[{"id":1,"name":"Subdivision","value":"NW"},{"id":4,"name":"Milepost","value":"5.9048"},{"id":17,"name":"Train ID","value":"845-03"},{"id":16,"name":"Locomotive ID","value":"4020"},{"id":130,"name":"Impact","value":""},{"id":150,"name":"Time of Event (Mountain Time)","value":"21:35:29"},{"id":151,"name":"Denver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"%USERPROFILE%\AppData\Local\Temp\OnboardLogs"\RTDC4020\*4020*201702040*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"%USERPROFILE%\AppData\Local\Temp\OnboardLogs"\RTDC4020\*4020*201702040* &gt;&gt; 2017-02-03-SliceDisagreementCheck.txt</v>
      </c>
      <c r="AE31" s="161" t="str">
        <f t="shared" si="9"/>
        <v>start /low /b %USERPROFILE%\Documents\GitHub\eaglep3\Utilities\DownloadLogsFromS3.py --loco 4020 --day 2017-02-04</v>
      </c>
      <c r="AF31" s="1"/>
    </row>
    <row r="32" spans="1:32" x14ac:dyDescent="0.25">
      <c r="A32" s="32">
        <v>42769.827905092592</v>
      </c>
      <c r="B32" s="30" t="s">
        <v>277</v>
      </c>
      <c r="C32" s="30" t="s">
        <v>551</v>
      </c>
      <c r="D32" s="30" t="s">
        <v>49</v>
      </c>
      <c r="E32" s="30" t="s">
        <v>186</v>
      </c>
      <c r="F32" s="43">
        <v>0</v>
      </c>
      <c r="G32" s="43">
        <v>69</v>
      </c>
      <c r="H32" s="43">
        <v>25400</v>
      </c>
      <c r="I32" s="43">
        <v>25493</v>
      </c>
      <c r="J32" s="30" t="s">
        <v>187</v>
      </c>
      <c r="K32" s="43">
        <v>25696</v>
      </c>
      <c r="L32" s="143" t="s">
        <v>50</v>
      </c>
      <c r="M32" s="144">
        <f t="shared" si="0"/>
        <v>107.184</v>
      </c>
      <c r="N32" s="145" t="str">
        <f>VLOOKUP(C32,'Trips&amp;Operators'!$C$1:$G$99999,5,FALSE)</f>
        <v>BRANNON JEFFREY</v>
      </c>
      <c r="O32" s="157" t="s">
        <v>185</v>
      </c>
      <c r="P32" s="146"/>
      <c r="Q32" s="30"/>
      <c r="R32" s="89" t="str">
        <f>VLOOKUP(C32,'Train Runs'!$A$13:$AE$9967,31,0)</f>
        <v>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 &amp; 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</v>
      </c>
      <c r="S32" s="92" t="str">
        <f>VLOOKUP(C32,'Train Runs'!$A$13:$AE$9967,22,0)</f>
        <v>https://d0f6bd738d7f1b3e5a7ca70fe4ff75f0.us-east-1.aws.found.io/app/kibana#/discover/Steve-Slow-Train-Analysis-(2080s-and-2083s)?_g=(refreshInterval:(display:Off,pause:!f,section:0,value:0),time:(from:'2017-02-03T18:36:25-0700',mode:absolute,to:'2017-02-03T20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94" t="str">
        <f t="shared" si="1"/>
        <v>"C:\Program Files (x86)\AstroGrep\AstroGrep.exe" /spath="%USERPROFILE%\AppData\Local\Temp\OnboardLogs" /stypes="*4003*201702040*" /stext=" 02:.+((SYSTEM_STATE.+slice.+state.+changed )|(ment ac)|(multiple cpu faults)|(system.+state.+changed )|(\[timeout)|(PRM\|1\|D)|(kpr)|(kdp)|(\|lc)|(penalty))" /e /r /s</v>
      </c>
      <c r="U32" s="9" t="str">
        <f t="shared" si="2"/>
        <v>4003</v>
      </c>
      <c r="V32" s="32">
        <f t="shared" si="3"/>
        <v>42770.119571759256</v>
      </c>
      <c r="W32" s="46" t="str">
        <f t="shared" si="4"/>
        <v>Other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{"issue":{"subject":"","project_id":79,"tracker_id":40,"status_id":1,"priority_id":2,"assigned_to_id":23,"start_date":"2017-02-03","description":"","custom_fields":[{"id":1,"name":"Subdivision","value":"Other"},{"id":4,"name":"Milepost","value":"2.5696"},{"id":17,"name":"Train ID","value":"307-03"},{"id":16,"name":"Locomotive ID","value":"4003"},{"id":130,"name":"Impact","value":""},{"id":150,"name":"Time of Event (Mountain Time)","value":"19:52:11"},{"id":151,"name":"Denver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"%USERPROFILE%\AppData\Local\Temp\OnboardLogs"\RTDC4003\*4003*201702040*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"%USERPROFILE%\AppData\Local\Temp\OnboardLogs"\RTDC4003\*4003*201702040* &gt;&gt; 2017-02-03-SliceDisagreementCheck.txt</v>
      </c>
      <c r="AE32" s="161" t="str">
        <f t="shared" si="9"/>
        <v>start /low /b %USERPROFILE%\Documents\GitHub\eaglep3\Utilities\DownloadLogsFromS3.py --loco 4003 --day 2017-02-04</v>
      </c>
      <c r="AF32" s="1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</sheetData>
  <autoFilter ref="A6:AC33">
    <sortState ref="A7:AC35">
      <sortCondition ref="W7:W34"/>
      <sortCondition ref="E7:E34"/>
      <sortCondition ref="K7:K34"/>
      <sortCondition ref="F7:F34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1:O1048576 O7:O3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2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"/>
    </sheetView>
  </sheetViews>
  <sheetFormatPr defaultRowHeight="15" x14ac:dyDescent="0.25"/>
  <cols>
    <col min="1" max="1" width="9.140625" style="171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1"/>
      <c r="B1" s="196" t="str">
        <f>"Trips that did not appear in PTC Data "&amp;TEXT(Variables!$A$2,"YYYY-mm-dd")</f>
        <v>Trips that did not appear in PTC Data 2017-02-03</v>
      </c>
      <c r="C1" s="196"/>
      <c r="D1" s="196"/>
      <c r="E1" s="196"/>
      <c r="F1" s="196"/>
    </row>
    <row r="2" spans="1:10" s="23" customFormat="1" ht="45" x14ac:dyDescent="0.25">
      <c r="A2" s="194" t="s">
        <v>152</v>
      </c>
      <c r="B2" s="99" t="s">
        <v>58</v>
      </c>
      <c r="C2" s="96" t="s">
        <v>59</v>
      </c>
      <c r="D2" s="168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3" t="str">
        <f>A3&amp;"-"&amp;IF(DAY(Variables!$A$2)&lt;10,0,"")&amp;DAY(Variables!$A$2)</f>
        <v>-03</v>
      </c>
      <c r="C3" s="147"/>
      <c r="D3" s="169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" s="30" t="e">
        <f>VLOOKUP(B3,'Train Runs'!$A$13:$A$99964,1,FALSE)</f>
        <v>#N/A</v>
      </c>
    </row>
    <row r="4" spans="1:10" x14ac:dyDescent="0.25">
      <c r="A4" s="190"/>
      <c r="B4" s="43" t="str">
        <f>A4&amp;"-"&amp;IF(DAY(Variables!$A$2)&lt;10,0,"")&amp;DAY(Variables!$A$2)</f>
        <v>-03</v>
      </c>
      <c r="C4" s="147"/>
      <c r="D4" s="169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Runs'!$A$13:$A$99964,1,FALSE)</f>
        <v>#N/A</v>
      </c>
    </row>
    <row r="5" spans="1:10" x14ac:dyDescent="0.25">
      <c r="A5" s="190"/>
      <c r="B5" s="43" t="str">
        <f>A5&amp;"-"&amp;IF(DAY(Variables!$A$2)&lt;10,0,"")&amp;DAY(Variables!$A$2)</f>
        <v>-03</v>
      </c>
      <c r="C5" s="147"/>
      <c r="D5" s="169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Runs'!$A$13:$A$99964,1,FALSE)</f>
        <v>#N/A</v>
      </c>
    </row>
    <row r="6" spans="1:10" x14ac:dyDescent="0.25">
      <c r="A6" s="190"/>
      <c r="B6" s="43" t="str">
        <f>A6&amp;"-"&amp;IF(DAY(Variables!$A$2)&lt;10,0,"")&amp;DAY(Variables!$A$2)</f>
        <v>-03</v>
      </c>
      <c r="C6" s="147"/>
      <c r="D6" s="169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Runs'!$A$13:$A$99964,1,FALSE)</f>
        <v>#N/A</v>
      </c>
    </row>
    <row r="7" spans="1:10" x14ac:dyDescent="0.25">
      <c r="A7" s="190"/>
      <c r="B7" s="43" t="str">
        <f>A7&amp;"-"&amp;IF(DAY(Variables!$A$2)&lt;10,0,"")&amp;DAY(Variables!$A$2)</f>
        <v>-03</v>
      </c>
      <c r="C7" s="147"/>
      <c r="D7" s="169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Runs'!$A$13:$A$99964,1,FALSE)</f>
        <v>#N/A</v>
      </c>
    </row>
    <row r="8" spans="1:10" x14ac:dyDescent="0.25">
      <c r="A8" s="190"/>
      <c r="B8" s="43" t="str">
        <f>A8&amp;"-"&amp;IF(DAY(Variables!$A$2)&lt;10,0,"")&amp;DAY(Variables!$A$2)</f>
        <v>-03</v>
      </c>
      <c r="C8" s="147"/>
      <c r="D8" s="169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Runs'!$A$13:$A$99964,1,FALSE)</f>
        <v>#N/A</v>
      </c>
    </row>
    <row r="9" spans="1:10" x14ac:dyDescent="0.25">
      <c r="A9" s="190"/>
      <c r="B9" s="43" t="str">
        <f>A9&amp;"-"&amp;IF(DAY(Variables!$A$2)&lt;10,0,"")&amp;DAY(Variables!$A$2)</f>
        <v>-03</v>
      </c>
      <c r="C9" s="147"/>
      <c r="D9" s="169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Runs'!$A$13:$A$99964,1,FALSE)</f>
        <v>#N/A</v>
      </c>
    </row>
    <row r="10" spans="1:10" x14ac:dyDescent="0.25">
      <c r="A10" s="190"/>
      <c r="B10" s="43" t="str">
        <f>A10&amp;"-"&amp;IF(DAY(Variables!$A$2)&lt;10,0,"")&amp;DAY(Variables!$A$2)</f>
        <v>-03</v>
      </c>
      <c r="C10" s="147"/>
      <c r="D10" s="169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Runs'!$A$13:$A$99964,1,FALSE)</f>
        <v>#N/A</v>
      </c>
    </row>
    <row r="11" spans="1:10" x14ac:dyDescent="0.25">
      <c r="A11" s="190"/>
      <c r="B11" s="43" t="str">
        <f>A11&amp;"-"&amp;IF(DAY(Variables!$A$2)&lt;10,0,"")&amp;DAY(Variables!$A$2)</f>
        <v>-03</v>
      </c>
      <c r="C11" s="147"/>
      <c r="D11" s="169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Runs'!$A$13:$A$99964,1,FALSE)</f>
        <v>#N/A</v>
      </c>
    </row>
    <row r="12" spans="1:10" x14ac:dyDescent="0.25">
      <c r="A12" s="190"/>
      <c r="B12" s="43" t="str">
        <f>A12&amp;"-"&amp;IF(DAY(Variables!$A$2)&lt;10,0,"")&amp;DAY(Variables!$A$2)</f>
        <v>-03</v>
      </c>
      <c r="C12" s="147"/>
      <c r="D12" s="169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Runs'!$A$13:$A$99964,1,FALSE)</f>
        <v>#N/A</v>
      </c>
    </row>
    <row r="13" spans="1:10" x14ac:dyDescent="0.25">
      <c r="A13" s="190"/>
      <c r="B13" s="43" t="str">
        <f>A13&amp;"-"&amp;IF(DAY(Variables!$A$2)&lt;10,0,"")&amp;DAY(Variables!$A$2)</f>
        <v>-03</v>
      </c>
      <c r="C13" s="147"/>
      <c r="D13" s="169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Runs'!$A$13:$A$99964,1,FALSE)</f>
        <v>#N/A</v>
      </c>
    </row>
    <row r="14" spans="1:10" x14ac:dyDescent="0.25">
      <c r="A14" s="190"/>
      <c r="B14" s="43" t="str">
        <f>A14&amp;"-"&amp;IF(DAY(Variables!$A$2)&lt;10,0,"")&amp;DAY(Variables!$A$2)</f>
        <v>-03</v>
      </c>
      <c r="C14" s="147"/>
      <c r="D14" s="169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Runs'!$A$13:$A$99964,1,FALSE)</f>
        <v>#N/A</v>
      </c>
    </row>
    <row r="15" spans="1:10" x14ac:dyDescent="0.25">
      <c r="A15" s="190"/>
      <c r="B15" s="43" t="str">
        <f>A15&amp;"-"&amp;IF(DAY(Variables!$A$2)&lt;10,0,"")&amp;DAY(Variables!$A$2)</f>
        <v>-03</v>
      </c>
      <c r="C15" s="147"/>
      <c r="D15" s="169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Runs'!$A$13:$A$99964,1,FALSE)</f>
        <v>#N/A</v>
      </c>
    </row>
    <row r="16" spans="1:10" x14ac:dyDescent="0.25">
      <c r="A16" s="190"/>
      <c r="B16" s="43" t="str">
        <f>A16&amp;"-"&amp;IF(DAY(Variables!$A$2)&lt;10,0,"")&amp;DAY(Variables!$A$2)</f>
        <v>-03</v>
      </c>
      <c r="C16" s="147"/>
      <c r="D16" s="169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Runs'!$A$13:$A$99964,1,FALSE)</f>
        <v>#N/A</v>
      </c>
    </row>
    <row r="17" spans="1:10" x14ac:dyDescent="0.25">
      <c r="A17" s="190"/>
      <c r="B17" s="43" t="str">
        <f>A17&amp;"-"&amp;IF(DAY(Variables!$A$2)&lt;10,0,"")&amp;DAY(Variables!$A$2)</f>
        <v>-03</v>
      </c>
      <c r="C17" s="147"/>
      <c r="D17" s="169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Runs'!$A$13:$A$99964,1,FALSE)</f>
        <v>#N/A</v>
      </c>
    </row>
    <row r="18" spans="1:10" x14ac:dyDescent="0.25">
      <c r="A18" s="190"/>
      <c r="B18" s="43" t="str">
        <f>A18&amp;"-"&amp;IF(DAY(Variables!$A$2)&lt;10,0,"")&amp;DAY(Variables!$A$2)</f>
        <v>-03</v>
      </c>
      <c r="C18" s="147"/>
      <c r="D18" s="169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Runs'!$A$13:$A$99964,1,FALSE)</f>
        <v>#N/A</v>
      </c>
    </row>
    <row r="19" spans="1:10" x14ac:dyDescent="0.25">
      <c r="A19" s="190"/>
      <c r="B19" s="43" t="str">
        <f>A19&amp;"-"&amp;IF(DAY(Variables!$A$2)&lt;10,0,"")&amp;DAY(Variables!$A$2)</f>
        <v>-03</v>
      </c>
      <c r="C19" s="147"/>
      <c r="D19" s="169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9" s="30" t="e">
        <f>VLOOKUP(B19,'Train Runs'!$A$13:$A$99964,1,FALSE)</f>
        <v>#N/A</v>
      </c>
    </row>
    <row r="20" spans="1:10" x14ac:dyDescent="0.25">
      <c r="A20" s="190"/>
      <c r="B20" s="43" t="str">
        <f>A20&amp;"-"&amp;IF(DAY(Variables!$A$2)&lt;10,0,"")&amp;DAY(Variables!$A$2)</f>
        <v>-03</v>
      </c>
      <c r="C20" s="147"/>
      <c r="D20" s="169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0" s="30" t="e">
        <f>VLOOKUP(B20,'Train Runs'!$A$13:$A$99964,1,FALSE)</f>
        <v>#N/A</v>
      </c>
    </row>
    <row r="21" spans="1:10" x14ac:dyDescent="0.25">
      <c r="A21" s="190"/>
      <c r="B21" s="43" t="str">
        <f>A21&amp;"-"&amp;IF(DAY(Variables!$A$2)&lt;10,0,"")&amp;DAY(Variables!$A$2)</f>
        <v>-03</v>
      </c>
      <c r="C21" s="147"/>
      <c r="D21" s="169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1" s="30" t="e">
        <f>VLOOKUP(B21,'Train Runs'!$A$13:$A$99964,1,FALSE)</f>
        <v>#N/A</v>
      </c>
    </row>
    <row r="22" spans="1:10" x14ac:dyDescent="0.25">
      <c r="A22" s="190"/>
      <c r="B22" s="43" t="str">
        <f>A22&amp;"-"&amp;IF(DAY(Variables!$A$2)&lt;10,0,"")&amp;DAY(Variables!$A$2)</f>
        <v>-03</v>
      </c>
      <c r="C22" s="147"/>
      <c r="D22" s="169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2" s="30" t="e">
        <f>VLOOKUP(B22,'Train Runs'!$A$13:$A$99964,1,FALSE)</f>
        <v>#N/A</v>
      </c>
    </row>
    <row r="23" spans="1:10" x14ac:dyDescent="0.25">
      <c r="A23" s="190"/>
      <c r="B23" s="43" t="str">
        <f>A23&amp;"-"&amp;IF(DAY(Variables!$A$2)&lt;10,0,"")&amp;DAY(Variables!$A$2)</f>
        <v>-03</v>
      </c>
      <c r="C23" s="147"/>
      <c r="D23" s="169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3" s="30" t="e">
        <f>VLOOKUP(B23,'Train Runs'!$A$13:$A$99964,1,FALSE)</f>
        <v>#N/A</v>
      </c>
    </row>
    <row r="24" spans="1:10" x14ac:dyDescent="0.25">
      <c r="A24" s="190"/>
      <c r="B24" s="43" t="str">
        <f>A24&amp;"-"&amp;IF(DAY(Variables!$A$2)&lt;10,0,"")&amp;DAY(Variables!$A$2)</f>
        <v>-03</v>
      </c>
      <c r="C24" s="147"/>
      <c r="D24" s="169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4" s="30" t="e">
        <f>VLOOKUP(B24,'Train Runs'!$A$13:$A$99964,1,FALSE)</f>
        <v>#N/A</v>
      </c>
    </row>
    <row r="25" spans="1:10" x14ac:dyDescent="0.25">
      <c r="A25" s="190"/>
      <c r="B25" s="43" t="str">
        <f>A25&amp;"-"&amp;IF(DAY(Variables!$A$2)&lt;10,0,"")&amp;DAY(Variables!$A$2)</f>
        <v>-03</v>
      </c>
      <c r="C25" s="147"/>
      <c r="D25" s="169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5" s="30" t="e">
        <f>VLOOKUP(B25,'Train Runs'!$A$13:$A$99964,1,FALSE)</f>
        <v>#N/A</v>
      </c>
    </row>
    <row r="26" spans="1:10" x14ac:dyDescent="0.25">
      <c r="A26" s="190"/>
      <c r="B26" s="43" t="str">
        <f>A26&amp;"-"&amp;IF(DAY(Variables!$A$2)&lt;10,0,"")&amp;DAY(Variables!$A$2)</f>
        <v>-03</v>
      </c>
      <c r="C26" s="147"/>
      <c r="D26" s="169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6" s="30" t="e">
        <f>VLOOKUP(B26,'Train Runs'!$A$13:$A$99964,1,FALSE)</f>
        <v>#N/A</v>
      </c>
    </row>
    <row r="27" spans="1:10" x14ac:dyDescent="0.25">
      <c r="A27" s="190"/>
      <c r="B27" s="43" t="str">
        <f>A27&amp;"-"&amp;IF(DAY(Variables!$A$2)&lt;10,0,"")&amp;DAY(Variables!$A$2)</f>
        <v>-03</v>
      </c>
      <c r="C27" s="147"/>
      <c r="D27" s="169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7" s="30" t="e">
        <f>VLOOKUP(B27,'Train Runs'!$A$13:$A$99964,1,FALSE)</f>
        <v>#N/A</v>
      </c>
    </row>
    <row r="28" spans="1:10" x14ac:dyDescent="0.25">
      <c r="A28" s="190"/>
      <c r="B28" s="43" t="str">
        <f>A28&amp;"-"&amp;IF(DAY(Variables!$A$2)&lt;10,0,"")&amp;DAY(Variables!$A$2)</f>
        <v>-03</v>
      </c>
      <c r="C28" s="147"/>
      <c r="D28" s="169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8" s="30" t="e">
        <f>VLOOKUP(B28,'Train Runs'!$A$13:$A$99964,1,FALSE)</f>
        <v>#N/A</v>
      </c>
    </row>
    <row r="29" spans="1:10" x14ac:dyDescent="0.25">
      <c r="A29" s="190"/>
      <c r="B29" s="43" t="str">
        <f>A29&amp;"-"&amp;IF(DAY(Variables!$A$2)&lt;10,0,"")&amp;DAY(Variables!$A$2)</f>
        <v>-03</v>
      </c>
      <c r="C29" s="147"/>
      <c r="D29" s="169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9" s="30" t="e">
        <f>VLOOKUP(B29,'Train Runs'!$A$13:$A$99964,1,FALSE)</f>
        <v>#N/A</v>
      </c>
    </row>
    <row r="30" spans="1:10" x14ac:dyDescent="0.25">
      <c r="A30" s="190"/>
      <c r="B30" s="43" t="str">
        <f>A30&amp;"-"&amp;IF(DAY(Variables!$A$2)&lt;10,0,"")&amp;DAY(Variables!$A$2)</f>
        <v>-03</v>
      </c>
      <c r="C30" s="147"/>
      <c r="D30" s="169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0" s="30" t="e">
        <f>VLOOKUP(B30,'Train Runs'!$A$13:$A$99964,1,FALSE)</f>
        <v>#N/A</v>
      </c>
    </row>
    <row r="31" spans="1:10" x14ac:dyDescent="0.25">
      <c r="A31" s="190"/>
      <c r="B31" s="43" t="str">
        <f>A31&amp;"-"&amp;IF(DAY(Variables!$A$2)&lt;10,0,"")&amp;DAY(Variables!$A$2)</f>
        <v>-03</v>
      </c>
      <c r="C31" s="147"/>
      <c r="D31" s="169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1" s="30" t="e">
        <f>VLOOKUP(B31,'Train Runs'!$A$13:$A$99964,1,FALSE)</f>
        <v>#N/A</v>
      </c>
    </row>
    <row r="32" spans="1:10" x14ac:dyDescent="0.25">
      <c r="A32" s="190"/>
      <c r="B32" s="43" t="str">
        <f>A32&amp;"-"&amp;IF(DAY(Variables!$A$2)&lt;10,0,"")&amp;DAY(Variables!$A$2)</f>
        <v>-03</v>
      </c>
      <c r="C32" s="147"/>
      <c r="D32" s="169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2" s="30" t="e">
        <f>VLOOKUP(B32,'Train Runs'!$A$13:$A$99964,1,FALSE)</f>
        <v>#N/A</v>
      </c>
    </row>
    <row r="33" spans="1:10" x14ac:dyDescent="0.25">
      <c r="A33" s="190"/>
      <c r="B33" s="43" t="str">
        <f>A33&amp;"-"&amp;IF(DAY(Variables!$A$2)&lt;10,0,"")&amp;DAY(Variables!$A$2)</f>
        <v>-03</v>
      </c>
      <c r="C33" s="147"/>
      <c r="D33" s="169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3" s="30" t="e">
        <f>VLOOKUP(B33,'Train Runs'!$A$13:$A$99964,1,FALSE)</f>
        <v>#N/A</v>
      </c>
    </row>
    <row r="34" spans="1:10" x14ac:dyDescent="0.25">
      <c r="A34" s="190"/>
      <c r="B34" s="43" t="str">
        <f>A34&amp;"-"&amp;IF(DAY(Variables!$A$2)&lt;10,0,"")&amp;DAY(Variables!$A$2)</f>
        <v>-03</v>
      </c>
      <c r="C34" s="147"/>
      <c r="D34" s="169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4" s="30" t="e">
        <f>VLOOKUP(B34,'Train Runs'!$A$13:$A$99964,1,FALSE)</f>
        <v>#N/A</v>
      </c>
    </row>
    <row r="35" spans="1:10" x14ac:dyDescent="0.25">
      <c r="A35" s="190"/>
      <c r="B35" s="43" t="str">
        <f>A35&amp;"-"&amp;IF(DAY(Variables!$A$2)&lt;10,0,"")&amp;DAY(Variables!$A$2)</f>
        <v>-03</v>
      </c>
      <c r="C35" s="147"/>
      <c r="D35" s="169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5" s="30" t="e">
        <f>VLOOKUP(B35,'Train Runs'!$A$13:$A$99964,1,FALSE)</f>
        <v>#N/A</v>
      </c>
    </row>
    <row r="36" spans="1:10" x14ac:dyDescent="0.25">
      <c r="A36" s="190"/>
      <c r="B36" s="43" t="str">
        <f>A36&amp;"-"&amp;IF(DAY(Variables!$A$2)&lt;10,0,"")&amp;DAY(Variables!$A$2)</f>
        <v>-03</v>
      </c>
      <c r="C36" s="147"/>
      <c r="D36" s="169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6" s="30" t="e">
        <f>VLOOKUP(B36,'Train Runs'!$A$13:$A$99964,1,FALSE)</f>
        <v>#N/A</v>
      </c>
    </row>
    <row r="37" spans="1:10" x14ac:dyDescent="0.25">
      <c r="A37" s="190"/>
      <c r="B37" s="43" t="str">
        <f>A37&amp;"-"&amp;IF(DAY(Variables!$A$2)&lt;10,0,"")&amp;DAY(Variables!$A$2)</f>
        <v>-03</v>
      </c>
      <c r="C37" s="147"/>
      <c r="D37" s="169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7" s="30" t="e">
        <f>VLOOKUP(B37,'Train Runs'!$A$13:$A$99964,1,FALSE)</f>
        <v>#N/A</v>
      </c>
    </row>
    <row r="38" spans="1:10" x14ac:dyDescent="0.25">
      <c r="A38" s="190"/>
      <c r="B38" s="43" t="str">
        <f>A38&amp;"-"&amp;IF(DAY(Variables!$A$2)&lt;10,0,"")&amp;DAY(Variables!$A$2)</f>
        <v>-03</v>
      </c>
      <c r="C38" s="147"/>
      <c r="D38" s="169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8" s="30" t="e">
        <f>VLOOKUP(B38,'Train Runs'!$A$13:$A$99964,1,FALSE)</f>
        <v>#N/A</v>
      </c>
    </row>
    <row r="39" spans="1:10" x14ac:dyDescent="0.25">
      <c r="A39" s="190"/>
      <c r="B39" s="43" t="str">
        <f>A39&amp;"-"&amp;IF(DAY(Variables!$A$2)&lt;10,0,"")&amp;DAY(Variables!$A$2)</f>
        <v>-03</v>
      </c>
      <c r="C39" s="147"/>
      <c r="D39" s="169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9" s="30" t="e">
        <f>VLOOKUP(B39,'Train Runs'!$A$13:$A$99964,1,FALSE)</f>
        <v>#N/A</v>
      </c>
    </row>
    <row r="40" spans="1:10" x14ac:dyDescent="0.25">
      <c r="A40" s="190"/>
      <c r="B40" s="43" t="str">
        <f>A40&amp;"-"&amp;IF(DAY(Variables!$A$2)&lt;10,0,"")&amp;DAY(Variables!$A$2)</f>
        <v>-03</v>
      </c>
      <c r="C40" s="147"/>
      <c r="D40" s="169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0" s="30" t="e">
        <f>VLOOKUP(B40,'Train Runs'!$A$13:$A$99964,1,FALSE)</f>
        <v>#N/A</v>
      </c>
    </row>
    <row r="41" spans="1:10" x14ac:dyDescent="0.25">
      <c r="A41" s="190"/>
      <c r="B41" s="43" t="str">
        <f>A41&amp;"-"&amp;IF(DAY(Variables!$A$2)&lt;10,0,"")&amp;DAY(Variables!$A$2)</f>
        <v>-03</v>
      </c>
      <c r="C41" s="147"/>
      <c r="D41" s="169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1" s="30" t="e">
        <f>VLOOKUP(B41,'Train Runs'!$A$13:$A$99964,1,FALSE)</f>
        <v>#N/A</v>
      </c>
    </row>
    <row r="42" spans="1:10" x14ac:dyDescent="0.25">
      <c r="A42" s="190"/>
      <c r="B42" s="43" t="str">
        <f>A42&amp;"-"&amp;IF(DAY(Variables!$A$2)&lt;10,0,"")&amp;DAY(Variables!$A$2)</f>
        <v>-03</v>
      </c>
      <c r="C42" s="147"/>
      <c r="D42" s="169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2" s="30" t="e">
        <f>VLOOKUP(B42,'Train Runs'!$A$13:$A$99964,1,FALSE)</f>
        <v>#N/A</v>
      </c>
    </row>
    <row r="43" spans="1:10" x14ac:dyDescent="0.25">
      <c r="A43" s="190"/>
      <c r="B43" s="43" t="str">
        <f>A43&amp;"-"&amp;IF(DAY(Variables!$A$2)&lt;10,0,"")&amp;DAY(Variables!$A$2)</f>
        <v>-03</v>
      </c>
      <c r="C43" s="147"/>
      <c r="D43" s="169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3" s="30" t="e">
        <f>VLOOKUP(B43,'Train Runs'!$A$13:$A$99964,1,FALSE)</f>
        <v>#N/A</v>
      </c>
    </row>
    <row r="44" spans="1:10" x14ac:dyDescent="0.25">
      <c r="A44" s="190"/>
      <c r="B44" s="43" t="str">
        <f>A44&amp;"-"&amp;IF(DAY(Variables!$A$2)&lt;10,0,"")&amp;DAY(Variables!$A$2)</f>
        <v>-03</v>
      </c>
      <c r="C44" s="147"/>
      <c r="D44" s="169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4" s="30" t="e">
        <f>VLOOKUP(B44,'Train Runs'!$A$13:$A$99964,1,FALSE)</f>
        <v>#N/A</v>
      </c>
    </row>
    <row r="45" spans="1:10" x14ac:dyDescent="0.25">
      <c r="A45" s="190"/>
      <c r="B45" s="43" t="str">
        <f>A45&amp;"-"&amp;IF(DAY(Variables!$A$2)&lt;10,0,"")&amp;DAY(Variables!$A$2)</f>
        <v>-03</v>
      </c>
      <c r="C45" s="147"/>
      <c r="D45" s="169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5" s="30" t="e">
        <f>VLOOKUP(B45,'Train Runs'!$A$13:$A$99964,1,FALSE)</f>
        <v>#N/A</v>
      </c>
    </row>
    <row r="46" spans="1:10" x14ac:dyDescent="0.25">
      <c r="A46" s="190"/>
      <c r="B46" s="43" t="str">
        <f>A46&amp;"-"&amp;IF(DAY(Variables!$A$2)&lt;10,0,"")&amp;DAY(Variables!$A$2)</f>
        <v>-03</v>
      </c>
      <c r="C46" s="147"/>
      <c r="D46" s="169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6" s="30" t="e">
        <f>VLOOKUP(B46,'Train Runs'!$A$13:$A$99964,1,FALSE)</f>
        <v>#N/A</v>
      </c>
    </row>
    <row r="47" spans="1:10" x14ac:dyDescent="0.25">
      <c r="A47" s="190"/>
      <c r="B47" s="43" t="str">
        <f>A47&amp;"-"&amp;IF(DAY(Variables!$A$2)&lt;10,0,"")&amp;DAY(Variables!$A$2)</f>
        <v>-03</v>
      </c>
      <c r="C47" s="147"/>
      <c r="D47" s="169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7" s="30" t="e">
        <f>VLOOKUP(B47,'Train Runs'!$A$13:$A$99964,1,FALSE)</f>
        <v>#N/A</v>
      </c>
    </row>
    <row r="48" spans="1:10" x14ac:dyDescent="0.25">
      <c r="A48" s="190"/>
      <c r="B48" s="43" t="str">
        <f>A48&amp;"-"&amp;IF(DAY(Variables!$A$2)&lt;10,0,"")&amp;DAY(Variables!$A$2)</f>
        <v>-03</v>
      </c>
      <c r="C48" s="147"/>
      <c r="D48" s="169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8" s="30" t="e">
        <f>VLOOKUP(B48,'Train Runs'!$A$13:$A$99964,1,FALSE)</f>
        <v>#N/A</v>
      </c>
    </row>
    <row r="49" spans="1:10" x14ac:dyDescent="0.25">
      <c r="A49" s="190"/>
      <c r="B49" s="43" t="str">
        <f>A49&amp;"-"&amp;IF(DAY(Variables!$A$2)&lt;10,0,"")&amp;DAY(Variables!$A$2)</f>
        <v>-03</v>
      </c>
      <c r="C49" s="147"/>
      <c r="D49" s="169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9" s="30" t="e">
        <f>VLOOKUP(B49,'Train Runs'!$A$13:$A$99964,1,FALSE)</f>
        <v>#N/A</v>
      </c>
    </row>
    <row r="50" spans="1:10" x14ac:dyDescent="0.25">
      <c r="A50" s="190"/>
      <c r="B50" s="43" t="str">
        <f>A50&amp;"-"&amp;IF(DAY(Variables!$A$2)&lt;10,0,"")&amp;DAY(Variables!$A$2)</f>
        <v>-03</v>
      </c>
      <c r="C50" s="147"/>
      <c r="D50" s="169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0" s="30" t="e">
        <f>VLOOKUP(B50,'Train Runs'!$A$13:$A$99964,1,FALSE)</f>
        <v>#N/A</v>
      </c>
    </row>
    <row r="51" spans="1:10" x14ac:dyDescent="0.25">
      <c r="A51" s="190"/>
      <c r="B51" s="43" t="str">
        <f>A51&amp;"-"&amp;IF(DAY(Variables!$A$2)&lt;10,0,"")&amp;DAY(Variables!$A$2)</f>
        <v>-03</v>
      </c>
      <c r="C51" s="147"/>
      <c r="D51" s="169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1" s="30" t="e">
        <f>VLOOKUP(B51,'Train Runs'!$A$13:$A$99964,1,FALSE)</f>
        <v>#N/A</v>
      </c>
    </row>
    <row r="52" spans="1:10" x14ac:dyDescent="0.25">
      <c r="A52" s="190"/>
      <c r="B52" s="43" t="str">
        <f>A52&amp;"-"&amp;IF(DAY(Variables!$A$2)&lt;10,0,"")&amp;DAY(Variables!$A$2)</f>
        <v>-03</v>
      </c>
      <c r="C52" s="147"/>
      <c r="D52" s="169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2" s="30" t="e">
        <f>VLOOKUP(B52,'Train Runs'!$A$13:$A$99964,1,FALSE)</f>
        <v>#N/A</v>
      </c>
    </row>
    <row r="53" spans="1:10" x14ac:dyDescent="0.25">
      <c r="A53" s="190"/>
      <c r="B53" s="43" t="str">
        <f>A53&amp;"-"&amp;IF(DAY(Variables!$A$2)&lt;10,0,"")&amp;DAY(Variables!$A$2)</f>
        <v>-03</v>
      </c>
      <c r="C53" s="147"/>
      <c r="D53" s="169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3" s="30" t="e">
        <f>VLOOKUP(B53,'Train Runs'!$A$13:$A$99964,1,FALSE)</f>
        <v>#N/A</v>
      </c>
    </row>
    <row r="54" spans="1:10" x14ac:dyDescent="0.25">
      <c r="A54" s="190"/>
      <c r="B54" s="43" t="str">
        <f>A54&amp;"-"&amp;IF(DAY(Variables!$A$2)&lt;10,0,"")&amp;DAY(Variables!$A$2)</f>
        <v>-03</v>
      </c>
      <c r="C54" s="147"/>
      <c r="D54" s="169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4" s="30" t="e">
        <f>VLOOKUP(B54,'Train Runs'!$A$13:$A$99964,1,FALSE)</f>
        <v>#N/A</v>
      </c>
    </row>
    <row r="55" spans="1:10" x14ac:dyDescent="0.25">
      <c r="A55" s="190"/>
      <c r="B55" s="43" t="str">
        <f>A55&amp;"-"&amp;IF(DAY(Variables!$A$2)&lt;10,0,"")&amp;DAY(Variables!$A$2)</f>
        <v>-03</v>
      </c>
      <c r="C55" s="147"/>
      <c r="D55" s="169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5" s="30" t="e">
        <f>VLOOKUP(B55,'Train Runs'!$A$13:$A$99964,1,FALSE)</f>
        <v>#N/A</v>
      </c>
    </row>
    <row r="56" spans="1:10" x14ac:dyDescent="0.25">
      <c r="A56" s="190"/>
      <c r="B56" s="43" t="str">
        <f>A56&amp;"-"&amp;IF(DAY(Variables!$A$2)&lt;10,0,"")&amp;DAY(Variables!$A$2)</f>
        <v>-03</v>
      </c>
      <c r="C56" s="147"/>
      <c r="D56" s="169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6" s="30" t="e">
        <f>VLOOKUP(B56,'Train Runs'!$A$13:$A$99964,1,FALSE)</f>
        <v>#N/A</v>
      </c>
    </row>
    <row r="57" spans="1:10" x14ac:dyDescent="0.25">
      <c r="A57" s="190"/>
      <c r="B57" s="43" t="str">
        <f>A57&amp;"-"&amp;IF(DAY(Variables!$A$2)&lt;10,0,"")&amp;DAY(Variables!$A$2)</f>
        <v>-03</v>
      </c>
      <c r="C57" s="147"/>
      <c r="D57" s="169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7" s="30" t="e">
        <f>VLOOKUP(B57,'Train Runs'!$A$13:$A$99964,1,FALSE)</f>
        <v>#N/A</v>
      </c>
    </row>
    <row r="58" spans="1:10" x14ac:dyDescent="0.25">
      <c r="A58" s="190"/>
      <c r="B58" s="43" t="str">
        <f>A58&amp;"-"&amp;IF(DAY(Variables!$A$2)&lt;10,0,"")&amp;DAY(Variables!$A$2)</f>
        <v>-03</v>
      </c>
      <c r="C58" s="147"/>
      <c r="D58" s="169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8" s="30" t="e">
        <f>VLOOKUP(B58,'Train Runs'!$A$13:$A$99964,1,FALSE)</f>
        <v>#N/A</v>
      </c>
    </row>
    <row r="59" spans="1:10" x14ac:dyDescent="0.25">
      <c r="A59" s="190"/>
      <c r="B59" s="43" t="str">
        <f>A59&amp;"-"&amp;IF(DAY(Variables!$A$2)&lt;10,0,"")&amp;DAY(Variables!$A$2)</f>
        <v>-03</v>
      </c>
      <c r="C59" s="147"/>
      <c r="D59" s="169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9" s="30" t="e">
        <f>VLOOKUP(B59,'Train Runs'!$A$13:$A$99964,1,FALSE)</f>
        <v>#N/A</v>
      </c>
    </row>
    <row r="60" spans="1:10" x14ac:dyDescent="0.25">
      <c r="A60" s="190"/>
      <c r="B60" s="43" t="str">
        <f>A60&amp;"-"&amp;IF(DAY(Variables!$A$2)&lt;10,0,"")&amp;DAY(Variables!$A$2)</f>
        <v>-03</v>
      </c>
      <c r="C60" s="147"/>
      <c r="D60" s="169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0" s="30" t="e">
        <f>VLOOKUP(B60,'Train Runs'!$A$13:$A$99964,1,FALSE)</f>
        <v>#N/A</v>
      </c>
    </row>
    <row r="61" spans="1:10" x14ac:dyDescent="0.25">
      <c r="A61" s="190"/>
      <c r="B61" s="43" t="str">
        <f>A61&amp;"-"&amp;IF(DAY(Variables!$A$2)&lt;10,0,"")&amp;DAY(Variables!$A$2)</f>
        <v>-03</v>
      </c>
      <c r="C61" s="147"/>
      <c r="D61" s="169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1" s="30" t="e">
        <f>VLOOKUP(B61,'Train Runs'!$A$13:$A$99964,1,FALSE)</f>
        <v>#N/A</v>
      </c>
    </row>
    <row r="62" spans="1:10" x14ac:dyDescent="0.25">
      <c r="A62" s="190"/>
      <c r="B62" s="43" t="str">
        <f>A62&amp;"-"&amp;IF(DAY(Variables!$A$2)&lt;10,0,"")&amp;DAY(Variables!$A$2)</f>
        <v>-03</v>
      </c>
      <c r="C62" s="147"/>
      <c r="D62" s="169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2" s="30" t="e">
        <f>VLOOKUP(B62,'Train Runs'!$A$13:$A$99964,1,FALSE)</f>
        <v>#N/A</v>
      </c>
    </row>
    <row r="63" spans="1:10" x14ac:dyDescent="0.25">
      <c r="A63" s="190"/>
      <c r="B63" s="43" t="str">
        <f>A63&amp;"-"&amp;IF(DAY(Variables!$A$2)&lt;10,0,"")&amp;DAY(Variables!$A$2)</f>
        <v>-03</v>
      </c>
      <c r="C63" s="147"/>
      <c r="D63" s="169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3" s="30" t="e">
        <f>VLOOKUP(B63,'Train Runs'!$A$13:$A$99964,1,FALSE)</f>
        <v>#N/A</v>
      </c>
    </row>
    <row r="64" spans="1:10" x14ac:dyDescent="0.25">
      <c r="A64" s="190"/>
      <c r="B64" s="43" t="str">
        <f>A64&amp;"-"&amp;IF(DAY(Variables!$A$2)&lt;10,0,"")&amp;DAY(Variables!$A$2)</f>
        <v>-03</v>
      </c>
      <c r="C64" s="147"/>
      <c r="D64" s="169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4" s="30" t="e">
        <f>VLOOKUP(B64,'Train Runs'!$A$13:$A$99964,1,FALSE)</f>
        <v>#N/A</v>
      </c>
    </row>
    <row r="65" spans="1:10" x14ac:dyDescent="0.25">
      <c r="A65" s="190"/>
      <c r="B65" s="43" t="str">
        <f>A65&amp;"-"&amp;IF(DAY(Variables!$A$2)&lt;10,0,"")&amp;DAY(Variables!$A$2)</f>
        <v>-03</v>
      </c>
      <c r="C65" s="147"/>
      <c r="D65" s="169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5" s="30" t="e">
        <f>VLOOKUP(B65,'Train Runs'!$A$13:$A$99964,1,FALSE)</f>
        <v>#N/A</v>
      </c>
    </row>
    <row r="66" spans="1:10" x14ac:dyDescent="0.25">
      <c r="A66" s="190"/>
      <c r="B66" s="43" t="str">
        <f>A66&amp;"-"&amp;IF(DAY(Variables!$A$2)&lt;10,0,"")&amp;DAY(Variables!$A$2)</f>
        <v>-03</v>
      </c>
      <c r="C66" s="147"/>
      <c r="D66" s="169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6" s="30" t="e">
        <f>VLOOKUP(B66,'Train Runs'!$A$13:$A$99964,1,FALSE)</f>
        <v>#N/A</v>
      </c>
    </row>
    <row r="67" spans="1:10" x14ac:dyDescent="0.25">
      <c r="A67" s="190"/>
      <c r="B67" s="43" t="str">
        <f>A67&amp;"-"&amp;IF(DAY(Variables!$A$2)&lt;10,0,"")&amp;DAY(Variables!$A$2)</f>
        <v>-03</v>
      </c>
      <c r="C67" s="147"/>
      <c r="D67" s="169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7" s="30" t="e">
        <f>VLOOKUP(B67,'Train Runs'!$A$13:$A$99964,1,FALSE)</f>
        <v>#N/A</v>
      </c>
    </row>
    <row r="68" spans="1:10" x14ac:dyDescent="0.25">
      <c r="A68" s="190"/>
      <c r="B68" s="43" t="str">
        <f>A68&amp;"-"&amp;IF(DAY(Variables!$A$2)&lt;10,0,"")&amp;DAY(Variables!$A$2)</f>
        <v>-03</v>
      </c>
      <c r="C68" s="147"/>
      <c r="D68" s="169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8" s="30" t="e">
        <f>VLOOKUP(B68,'Train Runs'!$A$13:$A$99964,1,FALSE)</f>
        <v>#N/A</v>
      </c>
    </row>
    <row r="69" spans="1:10" x14ac:dyDescent="0.25">
      <c r="A69" s="190"/>
      <c r="B69" s="43" t="str">
        <f>A69&amp;"-"&amp;IF(DAY(Variables!$A$2)&lt;10,0,"")&amp;DAY(Variables!$A$2)</f>
        <v>-03</v>
      </c>
      <c r="C69" s="147"/>
      <c r="D69" s="169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9" s="30" t="e">
        <f>VLOOKUP(B69,'Train Runs'!$A$13:$A$99964,1,FALSE)</f>
        <v>#N/A</v>
      </c>
    </row>
    <row r="70" spans="1:10" x14ac:dyDescent="0.25">
      <c r="A70" s="190"/>
      <c r="B70" s="43" t="str">
        <f>A70&amp;"-"&amp;IF(DAY(Variables!$A$2)&lt;10,0,"")&amp;DAY(Variables!$A$2)</f>
        <v>-03</v>
      </c>
      <c r="C70" s="147"/>
      <c r="D70" s="169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0" s="30" t="e">
        <f>VLOOKUP(B70,'Train Runs'!$A$13:$A$99964,1,FALSE)</f>
        <v>#N/A</v>
      </c>
    </row>
    <row r="71" spans="1:10" x14ac:dyDescent="0.25">
      <c r="A71" s="190"/>
      <c r="B71" s="43" t="str">
        <f>A71&amp;"-"&amp;IF(DAY(Variables!$A$2)&lt;10,0,"")&amp;DAY(Variables!$A$2)</f>
        <v>-03</v>
      </c>
      <c r="C71" s="147"/>
      <c r="D71" s="169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1" s="30" t="e">
        <f>VLOOKUP(B71,'Train Runs'!$A$13:$A$99964,1,FALSE)</f>
        <v>#N/A</v>
      </c>
    </row>
    <row r="72" spans="1:10" x14ac:dyDescent="0.25">
      <c r="A72" s="190"/>
      <c r="B72" s="43" t="str">
        <f>A72&amp;"-"&amp;IF(DAY(Variables!$A$2)&lt;10,0,"")&amp;DAY(Variables!$A$2)</f>
        <v>-03</v>
      </c>
      <c r="C72" s="147"/>
      <c r="D72" s="169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2" s="30" t="e">
        <f>VLOOKUP(B72,'Train Runs'!$A$13:$A$99964,1,FALSE)</f>
        <v>#N/A</v>
      </c>
    </row>
    <row r="73" spans="1:10" x14ac:dyDescent="0.25">
      <c r="A73" s="190"/>
      <c r="B73" s="43" t="str">
        <f>A73&amp;"-"&amp;IF(DAY(Variables!$A$2)&lt;10,0,"")&amp;DAY(Variables!$A$2)</f>
        <v>-03</v>
      </c>
      <c r="C73" s="147"/>
      <c r="D73" s="169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3" s="30" t="e">
        <f>VLOOKUP(B73,'Train Runs'!$A$13:$A$99964,1,FALSE)</f>
        <v>#N/A</v>
      </c>
    </row>
    <row r="74" spans="1:10" x14ac:dyDescent="0.25">
      <c r="A74" s="190"/>
      <c r="B74" s="43" t="str">
        <f>A74&amp;"-"&amp;IF(DAY(Variables!$A$2)&lt;10,0,"")&amp;DAY(Variables!$A$2)</f>
        <v>-03</v>
      </c>
      <c r="C74" s="147"/>
      <c r="D74" s="169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4" s="30" t="e">
        <f>VLOOKUP(B74,'Train Runs'!$A$13:$A$99964,1,FALSE)</f>
        <v>#N/A</v>
      </c>
    </row>
    <row r="75" spans="1:10" x14ac:dyDescent="0.25">
      <c r="A75" s="190"/>
      <c r="B75" s="43" t="str">
        <f>A75&amp;"-"&amp;IF(DAY(Variables!$A$2)&lt;10,0,"")&amp;DAY(Variables!$A$2)</f>
        <v>-03</v>
      </c>
      <c r="C75" s="147"/>
      <c r="D75" s="169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5" s="30" t="e">
        <f>VLOOKUP(B75,'Train Runs'!$A$13:$A$99964,1,FALSE)</f>
        <v>#N/A</v>
      </c>
    </row>
    <row r="76" spans="1:10" x14ac:dyDescent="0.25">
      <c r="A76" s="190"/>
      <c r="B76" s="43" t="str">
        <f>A76&amp;"-"&amp;IF(DAY(Variables!$A$2)&lt;10,0,"")&amp;DAY(Variables!$A$2)</f>
        <v>-03</v>
      </c>
      <c r="C76" s="147"/>
      <c r="D76" s="169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6" s="30" t="e">
        <f>VLOOKUP(B76,'Train Runs'!$A$13:$A$99964,1,FALSE)</f>
        <v>#N/A</v>
      </c>
    </row>
    <row r="77" spans="1:10" x14ac:dyDescent="0.25">
      <c r="A77" s="190"/>
      <c r="B77" s="43" t="str">
        <f>A77&amp;"-"&amp;IF(DAY(Variables!$A$2)&lt;10,0,"")&amp;DAY(Variables!$A$2)</f>
        <v>-03</v>
      </c>
      <c r="C77" s="147"/>
      <c r="D77" s="169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7" s="30" t="e">
        <f>VLOOKUP(B77,'Train Runs'!$A$13:$A$99964,1,FALSE)</f>
        <v>#N/A</v>
      </c>
    </row>
    <row r="78" spans="1:10" x14ac:dyDescent="0.25">
      <c r="A78" s="190"/>
      <c r="B78" s="43" t="str">
        <f>A78&amp;"-"&amp;IF(DAY(Variables!$A$2)&lt;10,0,"")&amp;DAY(Variables!$A$2)</f>
        <v>-03</v>
      </c>
      <c r="C78" s="147"/>
      <c r="D78" s="169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8" s="30" t="e">
        <f>VLOOKUP(B78,'Train Runs'!$A$13:$A$99964,1,FALSE)</f>
        <v>#N/A</v>
      </c>
    </row>
    <row r="79" spans="1:10" x14ac:dyDescent="0.25">
      <c r="A79" s="190"/>
      <c r="B79" s="43" t="str">
        <f>A79&amp;"-"&amp;IF(DAY(Variables!$A$2)&lt;10,0,"")&amp;DAY(Variables!$A$2)</f>
        <v>-03</v>
      </c>
      <c r="C79" s="147"/>
      <c r="D79" s="169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9" s="30" t="e">
        <f>VLOOKUP(B79,'Train Runs'!$A$13:$A$99964,1,FALSE)</f>
        <v>#N/A</v>
      </c>
    </row>
    <row r="80" spans="1:10" x14ac:dyDescent="0.25">
      <c r="A80" s="190"/>
      <c r="B80" s="43" t="str">
        <f>A80&amp;"-"&amp;IF(DAY(Variables!$A$2)&lt;10,0,"")&amp;DAY(Variables!$A$2)</f>
        <v>-03</v>
      </c>
      <c r="C80" s="147"/>
      <c r="D80" s="169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0" s="30" t="e">
        <f>VLOOKUP(B80,'Train Runs'!$A$13:$A$99964,1,FALSE)</f>
        <v>#N/A</v>
      </c>
    </row>
    <row r="81" spans="1:10" x14ac:dyDescent="0.25">
      <c r="A81" s="190"/>
      <c r="B81" s="43" t="str">
        <f>A81&amp;"-"&amp;IF(DAY(Variables!$A$2)&lt;10,0,"")&amp;DAY(Variables!$A$2)</f>
        <v>-03</v>
      </c>
      <c r="C81" s="147"/>
      <c r="D81" s="169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1" s="30" t="e">
        <f>VLOOKUP(B81,'Train Runs'!$A$13:$A$99964,1,FALSE)</f>
        <v>#N/A</v>
      </c>
    </row>
    <row r="82" spans="1:10" x14ac:dyDescent="0.25">
      <c r="A82" s="190"/>
      <c r="B82" s="43" t="str">
        <f>A82&amp;"-"&amp;IF(DAY(Variables!$A$2)&lt;10,0,"")&amp;DAY(Variables!$A$2)</f>
        <v>-03</v>
      </c>
      <c r="C82" s="147"/>
      <c r="D82" s="169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2" s="30" t="e">
        <f>VLOOKUP(B82,'Train Runs'!$A$13:$A$99964,1,FALSE)</f>
        <v>#N/A</v>
      </c>
    </row>
    <row r="83" spans="1:10" x14ac:dyDescent="0.25">
      <c r="A83" s="190"/>
      <c r="B83" s="43" t="str">
        <f>A83&amp;"-"&amp;IF(DAY(Variables!$A$2)&lt;10,0,"")&amp;DAY(Variables!$A$2)</f>
        <v>-03</v>
      </c>
      <c r="C83" s="147"/>
      <c r="D83" s="169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3" s="30" t="e">
        <f>VLOOKUP(B83,'Train Runs'!$A$13:$A$99964,1,FALSE)</f>
        <v>#N/A</v>
      </c>
    </row>
    <row r="84" spans="1:10" x14ac:dyDescent="0.25">
      <c r="A84" s="190"/>
      <c r="B84" s="43" t="str">
        <f>A84&amp;"-"&amp;IF(DAY(Variables!$A$2)&lt;10,0,"")&amp;DAY(Variables!$A$2)</f>
        <v>-03</v>
      </c>
      <c r="C84" s="147"/>
      <c r="D84" s="169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4" s="30" t="e">
        <f>VLOOKUP(B84,'Train Runs'!$A$13:$A$99964,1,FALSE)</f>
        <v>#N/A</v>
      </c>
    </row>
    <row r="85" spans="1:10" x14ac:dyDescent="0.25">
      <c r="A85" s="190"/>
      <c r="B85" s="43" t="str">
        <f>A85&amp;"-"&amp;IF(DAY(Variables!$A$2)&lt;10,0,"")&amp;DAY(Variables!$A$2)</f>
        <v>-03</v>
      </c>
      <c r="C85" s="147"/>
      <c r="D85" s="169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5" s="30" t="e">
        <f>VLOOKUP(B85,'Train Runs'!$A$13:$A$99964,1,FALSE)</f>
        <v>#N/A</v>
      </c>
    </row>
    <row r="86" spans="1:10" x14ac:dyDescent="0.25">
      <c r="A86" s="190"/>
      <c r="B86" s="43" t="str">
        <f>A86&amp;"-"&amp;IF(DAY(Variables!$A$2)&lt;10,0,"")&amp;DAY(Variables!$A$2)</f>
        <v>-03</v>
      </c>
      <c r="C86" s="147"/>
      <c r="D86" s="169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6" s="30" t="e">
        <f>VLOOKUP(B86,'Train Runs'!$A$13:$A$99964,1,FALSE)</f>
        <v>#N/A</v>
      </c>
    </row>
    <row r="87" spans="1:10" x14ac:dyDescent="0.25">
      <c r="A87" s="190"/>
      <c r="B87" s="43" t="str">
        <f>A87&amp;"-"&amp;IF(DAY(Variables!$A$2)&lt;10,0,"")&amp;DAY(Variables!$A$2)</f>
        <v>-03</v>
      </c>
      <c r="C87" s="147"/>
      <c r="D87" s="169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7" s="30" t="e">
        <f>VLOOKUP(B87,'Train Runs'!$A$13:$A$99964,1,FALSE)</f>
        <v>#N/A</v>
      </c>
    </row>
    <row r="88" spans="1:10" x14ac:dyDescent="0.25">
      <c r="A88" s="190"/>
      <c r="B88" s="43" t="str">
        <f>A88&amp;"-"&amp;IF(DAY(Variables!$A$2)&lt;10,0,"")&amp;DAY(Variables!$A$2)</f>
        <v>-03</v>
      </c>
      <c r="C88" s="147"/>
      <c r="D88" s="169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8" s="30" t="e">
        <f>VLOOKUP(B88,'Train Runs'!$A$13:$A$99964,1,FALSE)</f>
        <v>#N/A</v>
      </c>
    </row>
    <row r="89" spans="1:10" x14ac:dyDescent="0.25">
      <c r="A89" s="190"/>
      <c r="B89" s="43" t="str">
        <f>A89&amp;"-"&amp;IF(DAY(Variables!$A$2)&lt;10,0,"")&amp;DAY(Variables!$A$2)</f>
        <v>-03</v>
      </c>
      <c r="C89" s="147"/>
      <c r="D89" s="169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9" s="30" t="e">
        <f>VLOOKUP(B89,'Train Runs'!$A$13:$A$99964,1,FALSE)</f>
        <v>#N/A</v>
      </c>
    </row>
    <row r="90" spans="1:10" x14ac:dyDescent="0.25">
      <c r="A90" s="190"/>
      <c r="B90" s="43" t="str">
        <f>A90&amp;"-"&amp;IF(DAY(Variables!$A$2)&lt;10,0,"")&amp;DAY(Variables!$A$2)</f>
        <v>-03</v>
      </c>
      <c r="C90" s="147"/>
      <c r="D90" s="169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0" s="30" t="e">
        <f>VLOOKUP(B90,'Train Runs'!$A$13:$A$99964,1,FALSE)</f>
        <v>#N/A</v>
      </c>
    </row>
    <row r="91" spans="1:10" x14ac:dyDescent="0.25">
      <c r="A91" s="190"/>
      <c r="B91" s="43" t="str">
        <f>A91&amp;"-"&amp;IF(DAY(Variables!$A$2)&lt;10,0,"")&amp;DAY(Variables!$A$2)</f>
        <v>-03</v>
      </c>
      <c r="C91" s="147"/>
      <c r="D91" s="169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1" s="30" t="e">
        <f>VLOOKUP(B91,'Train Runs'!$A$13:$A$99964,1,FALSE)</f>
        <v>#N/A</v>
      </c>
    </row>
    <row r="92" spans="1:10" x14ac:dyDescent="0.25">
      <c r="A92" s="190"/>
      <c r="B92" s="43" t="str">
        <f>A92&amp;"-"&amp;IF(DAY(Variables!$A$2)&lt;10,0,"")&amp;DAY(Variables!$A$2)</f>
        <v>-03</v>
      </c>
      <c r="C92" s="147"/>
      <c r="D92" s="169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2" s="30" t="e">
        <f>VLOOKUP(B92,'Train Runs'!$A$13:$A$99964,1,FALSE)</f>
        <v>#N/A</v>
      </c>
    </row>
    <row r="93" spans="1:10" x14ac:dyDescent="0.25">
      <c r="A93" s="190"/>
      <c r="B93" s="43" t="str">
        <f>A93&amp;"-"&amp;IF(DAY(Variables!$A$2)&lt;10,0,"")&amp;DAY(Variables!$A$2)</f>
        <v>-03</v>
      </c>
      <c r="C93" s="147"/>
      <c r="D93" s="169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3" s="30" t="e">
        <f>VLOOKUP(B93,'Train Runs'!$A$13:$A$99964,1,FALSE)</f>
        <v>#N/A</v>
      </c>
    </row>
    <row r="94" spans="1:10" x14ac:dyDescent="0.25">
      <c r="A94" s="190"/>
      <c r="B94" s="43" t="str">
        <f>A94&amp;"-"&amp;IF(DAY(Variables!$A$2)&lt;10,0,"")&amp;DAY(Variables!$A$2)</f>
        <v>-03</v>
      </c>
      <c r="C94" s="147"/>
      <c r="D94" s="169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4" s="30" t="e">
        <f>VLOOKUP(B94,'Train Runs'!$A$13:$A$99964,1,FALSE)</f>
        <v>#N/A</v>
      </c>
    </row>
    <row r="95" spans="1:10" x14ac:dyDescent="0.25">
      <c r="A95" s="190"/>
      <c r="B95" s="43" t="str">
        <f>A95&amp;"-"&amp;IF(DAY(Variables!$A$2)&lt;10,0,"")&amp;DAY(Variables!$A$2)</f>
        <v>-03</v>
      </c>
      <c r="C95" s="147"/>
      <c r="D95" s="169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5" s="30" t="e">
        <f>VLOOKUP(B95,'Train Runs'!$A$13:$A$99964,1,FALSE)</f>
        <v>#N/A</v>
      </c>
    </row>
    <row r="96" spans="1:10" x14ac:dyDescent="0.25">
      <c r="A96" s="190"/>
      <c r="B96" s="43" t="str">
        <f>A96&amp;"-"&amp;IF(DAY(Variables!$A$2)&lt;10,0,"")&amp;DAY(Variables!$A$2)</f>
        <v>-03</v>
      </c>
      <c r="C96" s="147"/>
      <c r="D96" s="169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6" s="30" t="e">
        <f>VLOOKUP(B96,'Train Runs'!$A$13:$A$99964,1,FALSE)</f>
        <v>#N/A</v>
      </c>
    </row>
    <row r="97" spans="1:10" x14ac:dyDescent="0.25">
      <c r="A97" s="190"/>
      <c r="B97" s="43" t="str">
        <f>A97&amp;"-"&amp;IF(DAY(Variables!$A$2)&lt;10,0,"")&amp;DAY(Variables!$A$2)</f>
        <v>-03</v>
      </c>
      <c r="C97" s="147"/>
      <c r="D97" s="169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7" s="30" t="e">
        <f>VLOOKUP(B97,'Train Runs'!$A$13:$A$99964,1,FALSE)</f>
        <v>#N/A</v>
      </c>
    </row>
    <row r="98" spans="1:10" x14ac:dyDescent="0.25">
      <c r="A98" s="190"/>
      <c r="B98" s="43" t="str">
        <f>A98&amp;"-"&amp;IF(DAY(Variables!$A$2)&lt;10,0,"")&amp;DAY(Variables!$A$2)</f>
        <v>-03</v>
      </c>
      <c r="C98" s="147"/>
      <c r="D98" s="169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8" s="30" t="e">
        <f>VLOOKUP(B98,'Train Runs'!$A$13:$A$99964,1,FALSE)</f>
        <v>#N/A</v>
      </c>
    </row>
    <row r="99" spans="1:10" x14ac:dyDescent="0.25">
      <c r="A99" s="190"/>
      <c r="B99" s="43" t="str">
        <f>A99&amp;"-"&amp;IF(DAY(Variables!$A$2)&lt;10,0,"")&amp;DAY(Variables!$A$2)</f>
        <v>-03</v>
      </c>
      <c r="C99" s="147"/>
      <c r="D99" s="169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9" s="30" t="e">
        <f>VLOOKUP(B99,'Train Runs'!$A$13:$A$99964,1,FALSE)</f>
        <v>#N/A</v>
      </c>
    </row>
    <row r="100" spans="1:10" x14ac:dyDescent="0.25">
      <c r="A100" s="190"/>
      <c r="B100" s="43" t="str">
        <f>A100&amp;"-"&amp;IF(DAY(Variables!$A$2)&lt;10,0,"")&amp;DAY(Variables!$A$2)</f>
        <v>-03</v>
      </c>
      <c r="C100" s="147"/>
      <c r="D100" s="169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0" s="30" t="e">
        <f>VLOOKUP(B100,'Train Runs'!$A$13:$A$99964,1,FALSE)</f>
        <v>#N/A</v>
      </c>
    </row>
    <row r="101" spans="1:10" x14ac:dyDescent="0.25">
      <c r="A101" s="190"/>
      <c r="B101" s="43" t="str">
        <f>A101&amp;"-"&amp;IF(DAY(Variables!$A$2)&lt;10,0,"")&amp;DAY(Variables!$A$2)</f>
        <v>-03</v>
      </c>
      <c r="C101" s="147"/>
      <c r="D101" s="169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1" s="30" t="e">
        <f>VLOOKUP(B101,'Train Runs'!$A$13:$A$99964,1,FALSE)</f>
        <v>#N/A</v>
      </c>
    </row>
    <row r="102" spans="1:10" x14ac:dyDescent="0.25">
      <c r="A102" s="190"/>
      <c r="B102" s="43" t="str">
        <f>A102&amp;"-"&amp;IF(DAY(Variables!$A$2)&lt;10,0,"")&amp;DAY(Variables!$A$2)</f>
        <v>-03</v>
      </c>
      <c r="C102" s="147"/>
      <c r="D102" s="169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2" s="30" t="e">
        <f>VLOOKUP(B102,'Train Runs'!$A$13:$A$99964,1,FALSE)</f>
        <v>#N/A</v>
      </c>
    </row>
    <row r="103" spans="1:10" x14ac:dyDescent="0.25">
      <c r="A103" s="190"/>
      <c r="B103" s="43" t="str">
        <f>A103&amp;"-"&amp;IF(DAY(Variables!$A$2)&lt;10,0,"")&amp;DAY(Variables!$A$2)</f>
        <v>-03</v>
      </c>
      <c r="C103" s="147"/>
      <c r="D103" s="169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3" s="30" t="e">
        <f>VLOOKUP(B103,'Train Runs'!$A$13:$A$99964,1,FALSE)</f>
        <v>#N/A</v>
      </c>
    </row>
    <row r="104" spans="1:10" x14ac:dyDescent="0.25">
      <c r="A104" s="190"/>
      <c r="B104" s="43" t="str">
        <f>A104&amp;"-"&amp;IF(DAY(Variables!$A$2)&lt;10,0,"")&amp;DAY(Variables!$A$2)</f>
        <v>-03</v>
      </c>
      <c r="C104" s="147"/>
      <c r="D104" s="169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4" s="30" t="e">
        <f>VLOOKUP(B104,'Train Runs'!$A$13:$A$99964,1,FALSE)</f>
        <v>#N/A</v>
      </c>
    </row>
    <row r="105" spans="1:10" x14ac:dyDescent="0.25">
      <c r="A105" s="190"/>
      <c r="B105" s="43" t="str">
        <f>A105&amp;"-"&amp;IF(DAY(Variables!$A$2)&lt;10,0,"")&amp;DAY(Variables!$A$2)</f>
        <v>-03</v>
      </c>
      <c r="C105" s="147"/>
      <c r="D105" s="169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5" s="30" t="e">
        <f>VLOOKUP(B105,'Train Runs'!$A$13:$A$99964,1,FALSE)</f>
        <v>#N/A</v>
      </c>
    </row>
    <row r="106" spans="1:10" x14ac:dyDescent="0.25">
      <c r="A106" s="190"/>
      <c r="B106" s="43" t="str">
        <f>A106&amp;"-"&amp;IF(DAY(Variables!$A$2)&lt;10,0,"")&amp;DAY(Variables!$A$2)</f>
        <v>-03</v>
      </c>
      <c r="C106" s="147"/>
      <c r="D106" s="169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6" s="30" t="e">
        <f>VLOOKUP(B106,'Train Runs'!$A$13:$A$99964,1,FALSE)</f>
        <v>#N/A</v>
      </c>
    </row>
    <row r="107" spans="1:10" x14ac:dyDescent="0.25">
      <c r="A107" s="190"/>
      <c r="B107" s="43" t="str">
        <f>A107&amp;"-"&amp;IF(DAY(Variables!$A$2)&lt;10,0,"")&amp;DAY(Variables!$A$2)</f>
        <v>-03</v>
      </c>
      <c r="C107" s="147"/>
      <c r="D107" s="169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7" s="30" t="e">
        <f>VLOOKUP(B107,'Train Runs'!$A$13:$A$99964,1,FALSE)</f>
        <v>#N/A</v>
      </c>
    </row>
    <row r="108" spans="1:10" x14ac:dyDescent="0.25">
      <c r="A108" s="190"/>
      <c r="B108" s="43" t="str">
        <f>A108&amp;"-"&amp;IF(DAY(Variables!$A$2)&lt;10,0,"")&amp;DAY(Variables!$A$2)</f>
        <v>-03</v>
      </c>
      <c r="C108" s="147"/>
      <c r="D108" s="169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8" s="30" t="e">
        <f>VLOOKUP(B108,'Train Runs'!$A$13:$A$99964,1,FALSE)</f>
        <v>#N/A</v>
      </c>
    </row>
    <row r="109" spans="1:10" x14ac:dyDescent="0.25">
      <c r="A109" s="190"/>
      <c r="B109" s="43" t="str">
        <f>A109&amp;"-"&amp;IF(DAY(Variables!$A$2)&lt;10,0,"")&amp;DAY(Variables!$A$2)</f>
        <v>-03</v>
      </c>
      <c r="C109" s="147"/>
      <c r="D109" s="169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9" s="30" t="e">
        <f>VLOOKUP(B109,'Train Runs'!$A$13:$A$99964,1,FALSE)</f>
        <v>#N/A</v>
      </c>
    </row>
    <row r="110" spans="1:10" x14ac:dyDescent="0.25">
      <c r="A110" s="190"/>
      <c r="B110" s="43" t="str">
        <f>A110&amp;"-"&amp;IF(DAY(Variables!$A$2)&lt;10,0,"")&amp;DAY(Variables!$A$2)</f>
        <v>-03</v>
      </c>
      <c r="C110" s="147"/>
      <c r="D110" s="169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0" s="30" t="e">
        <f>VLOOKUP(B110,'Train Runs'!$A$13:$A$99964,1,FALSE)</f>
        <v>#N/A</v>
      </c>
    </row>
    <row r="111" spans="1:10" x14ac:dyDescent="0.25">
      <c r="A111" s="190"/>
      <c r="B111" s="43" t="str">
        <f>A111&amp;"-"&amp;IF(DAY(Variables!$A$2)&lt;10,0,"")&amp;DAY(Variables!$A$2)</f>
        <v>-03</v>
      </c>
      <c r="C111" s="147"/>
      <c r="D111" s="169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1" s="30" t="e">
        <f>VLOOKUP(B111,'Train Runs'!$A$13:$A$99964,1,FALSE)</f>
        <v>#N/A</v>
      </c>
    </row>
    <row r="112" spans="1:10" x14ac:dyDescent="0.25">
      <c r="A112" s="190"/>
      <c r="B112" s="43" t="str">
        <f>A112&amp;"-"&amp;IF(DAY(Variables!$A$2)&lt;10,0,"")&amp;DAY(Variables!$A$2)</f>
        <v>-03</v>
      </c>
      <c r="C112" s="147"/>
      <c r="D112" s="169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2" s="30" t="e">
        <f>VLOOKUP(B112,'Train Runs'!$A$13:$A$99964,1,FALSE)</f>
        <v>#N/A</v>
      </c>
    </row>
    <row r="113" spans="1:10" x14ac:dyDescent="0.25">
      <c r="A113" s="190"/>
      <c r="B113" s="43" t="str">
        <f>A113&amp;"-"&amp;IF(DAY(Variables!$A$2)&lt;10,0,"")&amp;DAY(Variables!$A$2)</f>
        <v>-03</v>
      </c>
      <c r="C113" s="147"/>
      <c r="D113" s="169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3" s="30" t="e">
        <f>VLOOKUP(B113,'Train Runs'!$A$13:$A$99964,1,FALSE)</f>
        <v>#N/A</v>
      </c>
    </row>
    <row r="114" spans="1:10" x14ac:dyDescent="0.25">
      <c r="A114" s="190"/>
      <c r="B114" s="43" t="str">
        <f>A114&amp;"-"&amp;IF(DAY(Variables!$A$2)&lt;10,0,"")&amp;DAY(Variables!$A$2)</f>
        <v>-03</v>
      </c>
      <c r="C114" s="147"/>
      <c r="D114" s="169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4" s="30" t="e">
        <f>VLOOKUP(B114,'Train Runs'!$A$13:$A$99964,1,FALSE)</f>
        <v>#N/A</v>
      </c>
    </row>
    <row r="115" spans="1:10" x14ac:dyDescent="0.25">
      <c r="A115" s="190"/>
      <c r="B115" s="43" t="str">
        <f>A115&amp;"-"&amp;IF(DAY(Variables!$A$2)&lt;10,0,"")&amp;DAY(Variables!$A$2)</f>
        <v>-03</v>
      </c>
      <c r="C115" s="147"/>
      <c r="D115" s="169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5" s="30" t="e">
        <f>VLOOKUP(B115,'Train Runs'!$A$13:$A$99964,1,FALSE)</f>
        <v>#N/A</v>
      </c>
    </row>
    <row r="116" spans="1:10" x14ac:dyDescent="0.25">
      <c r="A116" s="190"/>
      <c r="B116" s="43" t="str">
        <f>A116&amp;"-"&amp;IF(DAY(Variables!$A$2)&lt;10,0,"")&amp;DAY(Variables!$A$2)</f>
        <v>-03</v>
      </c>
      <c r="C116" s="147"/>
      <c r="D116" s="169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6" s="30" t="e">
        <f>VLOOKUP(B116,'Train Runs'!$A$13:$A$99964,1,FALSE)</f>
        <v>#N/A</v>
      </c>
    </row>
    <row r="117" spans="1:10" x14ac:dyDescent="0.25">
      <c r="A117" s="190"/>
      <c r="B117" s="43" t="str">
        <f>A117&amp;"-"&amp;IF(DAY(Variables!$A$2)&lt;10,0,"")&amp;DAY(Variables!$A$2)</f>
        <v>-03</v>
      </c>
      <c r="C117" s="147"/>
      <c r="D117" s="169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7" s="30" t="e">
        <f>VLOOKUP(B117,'Train Runs'!$A$13:$A$99964,1,FALSE)</f>
        <v>#N/A</v>
      </c>
    </row>
    <row r="118" spans="1:10" x14ac:dyDescent="0.25">
      <c r="A118" s="190"/>
      <c r="B118" s="43" t="str">
        <f>A118&amp;"-"&amp;IF(DAY(Variables!$A$2)&lt;10,0,"")&amp;DAY(Variables!$A$2)</f>
        <v>-03</v>
      </c>
      <c r="C118" s="147"/>
      <c r="D118" s="169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8" s="30" t="e">
        <f>VLOOKUP(B118,'Train Runs'!$A$13:$A$99964,1,FALSE)</f>
        <v>#N/A</v>
      </c>
    </row>
    <row r="119" spans="1:10" x14ac:dyDescent="0.25">
      <c r="A119" s="190"/>
      <c r="B119" s="43" t="str">
        <f>A119&amp;"-"&amp;IF(DAY(Variables!$A$2)&lt;10,0,"")&amp;DAY(Variables!$A$2)</f>
        <v>-03</v>
      </c>
      <c r="C119" s="147"/>
      <c r="D119" s="169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9" s="30" t="e">
        <f>VLOOKUP(B119,'Train Runs'!$A$13:$A$99964,1,FALSE)</f>
        <v>#N/A</v>
      </c>
    </row>
    <row r="120" spans="1:10" x14ac:dyDescent="0.25">
      <c r="A120" s="190"/>
      <c r="B120" s="43" t="str">
        <f>A120&amp;"-"&amp;IF(DAY(Variables!$A$2)&lt;10,0,"")&amp;DAY(Variables!$A$2)</f>
        <v>-03</v>
      </c>
      <c r="C120" s="147"/>
      <c r="D120" s="169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0" s="30" t="e">
        <f>VLOOKUP(B120,'Train Runs'!$A$13:$A$99964,1,FALSE)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205</v>
      </c>
      <c r="G1" s="8" t="s">
        <v>204</v>
      </c>
    </row>
    <row r="2" spans="1:7" x14ac:dyDescent="0.25">
      <c r="A2" s="8">
        <v>42769.034826388888</v>
      </c>
      <c r="B2" s="20" t="s">
        <v>195</v>
      </c>
      <c r="C2" s="20" t="s">
        <v>398</v>
      </c>
      <c r="D2" s="150">
        <v>2560000</v>
      </c>
      <c r="E2" s="20" t="s">
        <v>393</v>
      </c>
      <c r="F2" s="20" t="s">
        <v>394</v>
      </c>
      <c r="G2" s="8" t="str">
        <f>E2&amp;" "&amp;F2</f>
        <v>MACDONALD THOMAS</v>
      </c>
    </row>
    <row r="3" spans="1:7" x14ac:dyDescent="0.25">
      <c r="A3" s="8">
        <v>42769.048842592594</v>
      </c>
      <c r="B3" s="20" t="s">
        <v>313</v>
      </c>
      <c r="C3" s="20" t="s">
        <v>399</v>
      </c>
      <c r="D3" s="150">
        <v>1810000</v>
      </c>
      <c r="E3" s="20" t="s">
        <v>210</v>
      </c>
      <c r="F3" s="20" t="s">
        <v>203</v>
      </c>
      <c r="G3" s="8" t="str">
        <f t="shared" ref="G3:G66" si="0">E3&amp;" "&amp;F3</f>
        <v>NEWELL JAMES</v>
      </c>
    </row>
    <row r="4" spans="1:7" x14ac:dyDescent="0.25">
      <c r="A4" s="8">
        <v>42769.05</v>
      </c>
      <c r="B4" s="20" t="s">
        <v>294</v>
      </c>
      <c r="C4" s="20" t="s">
        <v>400</v>
      </c>
      <c r="D4" s="150">
        <v>2220000</v>
      </c>
      <c r="E4" s="20" t="s">
        <v>227</v>
      </c>
      <c r="F4" s="20" t="s">
        <v>228</v>
      </c>
      <c r="G4" s="8" t="str">
        <f t="shared" si="0"/>
        <v>HILLS DUSTIN</v>
      </c>
    </row>
    <row r="5" spans="1:7" x14ac:dyDescent="0.25">
      <c r="A5" s="8">
        <v>42769.054016203707</v>
      </c>
      <c r="B5" s="20" t="s">
        <v>345</v>
      </c>
      <c r="C5" s="20" t="s">
        <v>397</v>
      </c>
      <c r="D5" s="150">
        <v>2710000</v>
      </c>
      <c r="E5" s="20" t="s">
        <v>395</v>
      </c>
      <c r="F5" s="20" t="s">
        <v>396</v>
      </c>
      <c r="G5" s="8" t="str">
        <f t="shared" si="0"/>
        <v>SIMMONS SHYHESHA</v>
      </c>
    </row>
    <row r="6" spans="1:7" x14ac:dyDescent="0.25">
      <c r="A6" s="8">
        <v>42769.068425925929</v>
      </c>
      <c r="B6" s="20" t="s">
        <v>192</v>
      </c>
      <c r="C6" s="20" t="s">
        <v>401</v>
      </c>
      <c r="D6" s="150">
        <v>2560000</v>
      </c>
      <c r="E6" s="20" t="s">
        <v>393</v>
      </c>
      <c r="F6" s="20" t="s">
        <v>394</v>
      </c>
      <c r="G6" s="8" t="str">
        <f t="shared" si="0"/>
        <v>MACDONALD THOMAS</v>
      </c>
    </row>
    <row r="7" spans="1:7" x14ac:dyDescent="0.25">
      <c r="A7" s="8">
        <v>42769.087592592594</v>
      </c>
      <c r="B7" s="20" t="s">
        <v>293</v>
      </c>
      <c r="C7" s="20" t="s">
        <v>402</v>
      </c>
      <c r="D7" s="150">
        <v>2220000</v>
      </c>
      <c r="E7" s="20" t="s">
        <v>227</v>
      </c>
      <c r="F7" s="20" t="s">
        <v>228</v>
      </c>
      <c r="G7" s="8" t="str">
        <f t="shared" si="0"/>
        <v>HILLS DUSTIN</v>
      </c>
    </row>
    <row r="8" spans="1:7" x14ac:dyDescent="0.25">
      <c r="A8" s="8">
        <v>42769.104016203702</v>
      </c>
      <c r="B8" s="20" t="s">
        <v>354</v>
      </c>
      <c r="C8" s="20" t="s">
        <v>386</v>
      </c>
      <c r="D8" s="150">
        <v>2710000</v>
      </c>
      <c r="E8" s="20" t="s">
        <v>395</v>
      </c>
      <c r="F8" s="20" t="s">
        <v>396</v>
      </c>
      <c r="G8" s="8" t="str">
        <f t="shared" si="0"/>
        <v>SIMMONS SHYHESHA</v>
      </c>
    </row>
    <row r="9" spans="1:7" ht="15.75" thickBot="1" x14ac:dyDescent="0.3">
      <c r="A9" s="24">
        <v>42769.123611111114</v>
      </c>
      <c r="B9" s="20" t="s">
        <v>387</v>
      </c>
      <c r="C9" s="20" t="s">
        <v>555</v>
      </c>
      <c r="D9" s="150">
        <v>2550000</v>
      </c>
      <c r="E9" s="20" t="s">
        <v>348</v>
      </c>
      <c r="F9" s="20" t="s">
        <v>349</v>
      </c>
      <c r="G9" s="8" t="str">
        <f t="shared" si="0"/>
        <v>BADERTSCHER DIANE</v>
      </c>
    </row>
    <row r="10" spans="1:7" x14ac:dyDescent="0.25">
      <c r="A10" s="8">
        <v>42769.128148148149</v>
      </c>
      <c r="B10" s="20" t="s">
        <v>345</v>
      </c>
      <c r="C10" s="20" t="s">
        <v>397</v>
      </c>
      <c r="D10" s="150">
        <v>2710000</v>
      </c>
      <c r="E10" s="20" t="s">
        <v>395</v>
      </c>
      <c r="F10" s="20" t="s">
        <v>396</v>
      </c>
      <c r="G10" s="8" t="str">
        <f t="shared" si="0"/>
        <v>SIMMONS SHYHESHA</v>
      </c>
    </row>
    <row r="11" spans="1:7" x14ac:dyDescent="0.25">
      <c r="A11" s="8">
        <v>42769.134502314817</v>
      </c>
      <c r="B11" s="20" t="s">
        <v>536</v>
      </c>
      <c r="C11" s="20" t="s">
        <v>556</v>
      </c>
      <c r="D11" s="150">
        <v>2550000</v>
      </c>
      <c r="E11" s="20" t="s">
        <v>348</v>
      </c>
      <c r="F11" s="20" t="s">
        <v>349</v>
      </c>
      <c r="G11" s="8" t="str">
        <f t="shared" si="0"/>
        <v>BADERTSCHER DIANE</v>
      </c>
    </row>
    <row r="12" spans="1:7" x14ac:dyDescent="0.25">
      <c r="A12" s="8">
        <v>42769.14398148148</v>
      </c>
      <c r="B12" s="20" t="s">
        <v>354</v>
      </c>
      <c r="C12" s="20" t="s">
        <v>386</v>
      </c>
      <c r="D12" s="150">
        <v>2710000</v>
      </c>
      <c r="E12" s="20" t="s">
        <v>395</v>
      </c>
      <c r="F12" s="20" t="s">
        <v>396</v>
      </c>
      <c r="G12" s="8" t="str">
        <f t="shared" si="0"/>
        <v>SIMMONS SHYHESHA</v>
      </c>
    </row>
    <row r="13" spans="1:7" x14ac:dyDescent="0.25">
      <c r="A13" s="8">
        <v>42769.157175925924</v>
      </c>
      <c r="B13" s="20" t="s">
        <v>527</v>
      </c>
      <c r="C13" s="20" t="s">
        <v>557</v>
      </c>
      <c r="D13" s="150">
        <v>2140000</v>
      </c>
      <c r="E13" s="20" t="s">
        <v>388</v>
      </c>
      <c r="F13" s="20" t="s">
        <v>389</v>
      </c>
      <c r="G13" s="8" t="str">
        <f t="shared" si="0"/>
        <v>ROBINSON KADDIBA</v>
      </c>
    </row>
    <row r="14" spans="1:7" x14ac:dyDescent="0.25">
      <c r="A14" s="8">
        <v>42769.166620370372</v>
      </c>
      <c r="B14" s="20" t="s">
        <v>548</v>
      </c>
      <c r="C14" s="20" t="s">
        <v>558</v>
      </c>
      <c r="D14" s="150">
        <v>2140000</v>
      </c>
      <c r="E14" s="20" t="s">
        <v>388</v>
      </c>
      <c r="F14" s="20" t="s">
        <v>389</v>
      </c>
      <c r="G14" s="8" t="str">
        <f t="shared" si="0"/>
        <v>ROBINSON KADDIBA</v>
      </c>
    </row>
    <row r="15" spans="1:7" x14ac:dyDescent="0.25">
      <c r="A15" s="8">
        <v>42769.166921296295</v>
      </c>
      <c r="B15" s="20" t="s">
        <v>387</v>
      </c>
      <c r="C15" s="20" t="s">
        <v>526</v>
      </c>
      <c r="D15" s="150">
        <v>2550000</v>
      </c>
      <c r="E15" s="20" t="s">
        <v>348</v>
      </c>
      <c r="F15" s="20" t="s">
        <v>349</v>
      </c>
      <c r="G15" s="8" t="str">
        <f t="shared" si="0"/>
        <v>BADERTSCHER DIANE</v>
      </c>
    </row>
    <row r="16" spans="1:7" x14ac:dyDescent="0.25">
      <c r="A16" s="8">
        <v>42769.172777777778</v>
      </c>
      <c r="B16" s="20" t="s">
        <v>231</v>
      </c>
      <c r="C16" s="20" t="s">
        <v>559</v>
      </c>
      <c r="D16" s="150">
        <v>1110000</v>
      </c>
      <c r="E16" s="20" t="s">
        <v>314</v>
      </c>
      <c r="F16" s="20" t="s">
        <v>315</v>
      </c>
      <c r="G16" s="8" t="str">
        <f t="shared" si="0"/>
        <v>STARKS ANGELINA</v>
      </c>
    </row>
    <row r="17" spans="1:7" x14ac:dyDescent="0.25">
      <c r="A17" s="8">
        <v>42769.184930555559</v>
      </c>
      <c r="B17" s="20" t="s">
        <v>278</v>
      </c>
      <c r="C17" s="20" t="s">
        <v>560</v>
      </c>
      <c r="D17" s="150">
        <v>890000</v>
      </c>
      <c r="E17" s="20" t="s">
        <v>327</v>
      </c>
      <c r="F17" s="20" t="s">
        <v>328</v>
      </c>
      <c r="G17" s="8" t="str">
        <f t="shared" si="0"/>
        <v>LOZA FIDEL</v>
      </c>
    </row>
    <row r="18" spans="1:7" x14ac:dyDescent="0.25">
      <c r="A18" s="8">
        <v>42769.186203703706</v>
      </c>
      <c r="B18" s="20" t="s">
        <v>197</v>
      </c>
      <c r="C18" s="20" t="s">
        <v>561</v>
      </c>
      <c r="D18" s="150">
        <v>1110000</v>
      </c>
      <c r="E18" s="20" t="s">
        <v>314</v>
      </c>
      <c r="F18" s="20" t="s">
        <v>315</v>
      </c>
      <c r="G18" s="8" t="str">
        <f t="shared" si="0"/>
        <v>STARKS ANGELINA</v>
      </c>
    </row>
    <row r="19" spans="1:7" x14ac:dyDescent="0.25">
      <c r="A19" s="8">
        <v>42769.190092592595</v>
      </c>
      <c r="B19" s="20" t="s">
        <v>391</v>
      </c>
      <c r="C19" s="20" t="s">
        <v>562</v>
      </c>
      <c r="D19" s="150">
        <v>1990000</v>
      </c>
      <c r="E19" s="20" t="s">
        <v>563</v>
      </c>
      <c r="F19" s="20" t="s">
        <v>564</v>
      </c>
      <c r="G19" s="8" t="str">
        <f t="shared" si="0"/>
        <v>DAVIS WENDY</v>
      </c>
    </row>
    <row r="20" spans="1:7" x14ac:dyDescent="0.25">
      <c r="A20" s="8">
        <v>42769.191782407404</v>
      </c>
      <c r="B20" s="20" t="s">
        <v>391</v>
      </c>
      <c r="C20" s="20" t="s">
        <v>562</v>
      </c>
      <c r="D20" s="150">
        <v>1990000</v>
      </c>
      <c r="E20" s="20" t="s">
        <v>563</v>
      </c>
      <c r="F20" s="20" t="s">
        <v>564</v>
      </c>
      <c r="G20" s="8" t="str">
        <f t="shared" si="0"/>
        <v>DAVIS WENDY</v>
      </c>
    </row>
    <row r="21" spans="1:7" x14ac:dyDescent="0.25">
      <c r="A21" s="8">
        <v>42769.197731481479</v>
      </c>
      <c r="B21" s="20" t="s">
        <v>277</v>
      </c>
      <c r="C21" s="20" t="s">
        <v>565</v>
      </c>
      <c r="D21" s="150">
        <v>890000</v>
      </c>
      <c r="E21" s="20" t="s">
        <v>327</v>
      </c>
      <c r="F21" s="20" t="s">
        <v>328</v>
      </c>
      <c r="G21" s="8" t="str">
        <f t="shared" si="0"/>
        <v>LOZA FIDEL</v>
      </c>
    </row>
    <row r="22" spans="1:7" x14ac:dyDescent="0.25">
      <c r="A22" s="26">
        <v>42769.207465277781</v>
      </c>
      <c r="B22" s="20" t="s">
        <v>536</v>
      </c>
      <c r="C22" s="20" t="s">
        <v>566</v>
      </c>
      <c r="D22" s="150">
        <v>940000</v>
      </c>
      <c r="E22" s="20" t="s">
        <v>316</v>
      </c>
      <c r="F22" s="20" t="s">
        <v>317</v>
      </c>
      <c r="G22" s="8" t="str">
        <f t="shared" si="0"/>
        <v>BONDS REYNALDO</v>
      </c>
    </row>
    <row r="23" spans="1:7" x14ac:dyDescent="0.25">
      <c r="A23" s="8">
        <v>42769.208136574074</v>
      </c>
      <c r="B23" s="20" t="s">
        <v>527</v>
      </c>
      <c r="C23" s="20" t="s">
        <v>528</v>
      </c>
      <c r="D23" s="150">
        <v>2140000</v>
      </c>
      <c r="E23" s="20" t="s">
        <v>388</v>
      </c>
      <c r="F23" s="20" t="s">
        <v>389</v>
      </c>
      <c r="G23" s="8" t="str">
        <f t="shared" si="0"/>
        <v>ROBINSON KADDIBA</v>
      </c>
    </row>
    <row r="24" spans="1:7" x14ac:dyDescent="0.25">
      <c r="A24" s="8">
        <v>42769.216238425928</v>
      </c>
      <c r="B24" s="20" t="s">
        <v>214</v>
      </c>
      <c r="C24" s="20" t="s">
        <v>567</v>
      </c>
      <c r="D24" s="150">
        <v>1100000</v>
      </c>
      <c r="E24" s="20" t="s">
        <v>346</v>
      </c>
      <c r="F24" s="20" t="s">
        <v>347</v>
      </c>
      <c r="G24" s="8" t="str">
        <f t="shared" si="0"/>
        <v>GEBRETEKLE DAGNEW</v>
      </c>
    </row>
    <row r="25" spans="1:7" x14ac:dyDescent="0.25">
      <c r="A25" s="8">
        <v>42769.216527777775</v>
      </c>
      <c r="B25" s="20" t="s">
        <v>392</v>
      </c>
      <c r="C25" s="20" t="s">
        <v>529</v>
      </c>
      <c r="D25" s="150">
        <v>2550000</v>
      </c>
      <c r="E25" s="20" t="s">
        <v>348</v>
      </c>
      <c r="F25" s="20" t="s">
        <v>349</v>
      </c>
      <c r="G25" s="8" t="str">
        <f t="shared" si="0"/>
        <v>BADERTSCHER DIANE</v>
      </c>
    </row>
    <row r="26" spans="1:7" x14ac:dyDescent="0.25">
      <c r="A26" s="8">
        <v>42769.217870370368</v>
      </c>
      <c r="B26" s="20" t="s">
        <v>392</v>
      </c>
      <c r="C26" s="20" t="s">
        <v>529</v>
      </c>
      <c r="D26" s="150">
        <v>2550000</v>
      </c>
      <c r="E26" s="20" t="s">
        <v>348</v>
      </c>
      <c r="F26" s="20" t="s">
        <v>349</v>
      </c>
      <c r="G26" s="8" t="str">
        <f t="shared" si="0"/>
        <v>BADERTSCHER DIANE</v>
      </c>
    </row>
    <row r="27" spans="1:7" x14ac:dyDescent="0.25">
      <c r="A27" s="8">
        <v>42769.219664351855</v>
      </c>
      <c r="B27" s="20" t="s">
        <v>392</v>
      </c>
      <c r="C27" s="20" t="s">
        <v>529</v>
      </c>
      <c r="D27" s="150">
        <v>2550000</v>
      </c>
      <c r="E27" s="20" t="s">
        <v>348</v>
      </c>
      <c r="F27" s="20" t="s">
        <v>349</v>
      </c>
      <c r="G27" s="8" t="str">
        <f t="shared" si="0"/>
        <v>BADERTSCHER DIANE</v>
      </c>
    </row>
    <row r="28" spans="1:7" x14ac:dyDescent="0.25">
      <c r="A28" s="8">
        <v>42769.221203703702</v>
      </c>
      <c r="B28" s="20" t="s">
        <v>392</v>
      </c>
      <c r="C28" s="20" t="s">
        <v>529</v>
      </c>
      <c r="D28" s="150">
        <v>2550000</v>
      </c>
      <c r="E28" s="20" t="s">
        <v>348</v>
      </c>
      <c r="F28" s="20" t="s">
        <v>349</v>
      </c>
      <c r="G28" s="8" t="str">
        <f t="shared" si="0"/>
        <v>BADERTSCHER DIANE</v>
      </c>
    </row>
    <row r="29" spans="1:7" x14ac:dyDescent="0.25">
      <c r="A29" s="8">
        <v>42769.222291666665</v>
      </c>
      <c r="B29" s="20" t="s">
        <v>392</v>
      </c>
      <c r="C29" s="20" t="s">
        <v>529</v>
      </c>
      <c r="D29" s="150">
        <v>2550000</v>
      </c>
      <c r="E29" s="20" t="s">
        <v>348</v>
      </c>
      <c r="F29" s="20" t="s">
        <v>349</v>
      </c>
      <c r="G29" s="8" t="str">
        <f t="shared" si="0"/>
        <v>BADERTSCHER DIANE</v>
      </c>
    </row>
    <row r="30" spans="1:7" x14ac:dyDescent="0.25">
      <c r="A30" s="8">
        <v>42769.225486111114</v>
      </c>
      <c r="B30" s="20" t="s">
        <v>231</v>
      </c>
      <c r="C30" s="20" t="s">
        <v>530</v>
      </c>
      <c r="D30" s="150">
        <v>1110000</v>
      </c>
      <c r="E30" s="20" t="s">
        <v>314</v>
      </c>
      <c r="F30" s="20" t="s">
        <v>315</v>
      </c>
      <c r="G30" s="8" t="str">
        <f t="shared" si="0"/>
        <v>STARKS ANGELINA</v>
      </c>
    </row>
    <row r="31" spans="1:7" x14ac:dyDescent="0.25">
      <c r="A31" s="8">
        <v>42769.227164351854</v>
      </c>
      <c r="B31" s="20" t="s">
        <v>247</v>
      </c>
      <c r="C31" s="20" t="s">
        <v>568</v>
      </c>
      <c r="D31" s="150">
        <v>900000</v>
      </c>
      <c r="E31" s="20" t="s">
        <v>569</v>
      </c>
      <c r="F31" s="20" t="s">
        <v>570</v>
      </c>
      <c r="G31" s="8" t="str">
        <f t="shared" si="0"/>
        <v>ROCHA YAOTL</v>
      </c>
    </row>
    <row r="32" spans="1:7" x14ac:dyDescent="0.25">
      <c r="A32" s="8">
        <v>42769.228032407409</v>
      </c>
      <c r="B32" s="20" t="s">
        <v>247</v>
      </c>
      <c r="C32" s="20" t="s">
        <v>568</v>
      </c>
      <c r="D32" s="150">
        <v>900000</v>
      </c>
      <c r="E32" s="20" t="s">
        <v>569</v>
      </c>
      <c r="F32" s="20" t="s">
        <v>570</v>
      </c>
      <c r="G32" s="8" t="str">
        <f t="shared" si="0"/>
        <v>ROCHA YAOTL</v>
      </c>
    </row>
    <row r="33" spans="1:7" x14ac:dyDescent="0.25">
      <c r="A33" s="8">
        <v>42769.234710648147</v>
      </c>
      <c r="B33" s="20" t="s">
        <v>238</v>
      </c>
      <c r="C33" s="20" t="s">
        <v>571</v>
      </c>
      <c r="D33" s="150">
        <v>1100000</v>
      </c>
      <c r="E33" s="20" t="s">
        <v>346</v>
      </c>
      <c r="F33" s="20" t="s">
        <v>347</v>
      </c>
      <c r="G33" s="8" t="str">
        <f t="shared" si="0"/>
        <v>GEBRETEKLE DAGNEW</v>
      </c>
    </row>
    <row r="34" spans="1:7" x14ac:dyDescent="0.25">
      <c r="A34" s="8">
        <v>42769.236284722225</v>
      </c>
      <c r="B34" s="20" t="s">
        <v>238</v>
      </c>
      <c r="C34" s="20" t="s">
        <v>571</v>
      </c>
      <c r="D34" s="150">
        <v>1100000</v>
      </c>
      <c r="E34" s="20" t="s">
        <v>346</v>
      </c>
      <c r="F34" s="20" t="s">
        <v>347</v>
      </c>
      <c r="G34" s="8" t="str">
        <f t="shared" si="0"/>
        <v>GEBRETEKLE DAGNEW</v>
      </c>
    </row>
    <row r="35" spans="1:7" x14ac:dyDescent="0.25">
      <c r="A35" s="8">
        <v>42769.237881944442</v>
      </c>
      <c r="B35" s="20" t="s">
        <v>288</v>
      </c>
      <c r="C35" s="20" t="s">
        <v>572</v>
      </c>
      <c r="D35" s="150">
        <v>1990000</v>
      </c>
      <c r="E35" s="20" t="s">
        <v>563</v>
      </c>
      <c r="F35" s="20" t="s">
        <v>564</v>
      </c>
      <c r="G35" s="8" t="str">
        <f t="shared" si="0"/>
        <v>DAVIS WENDY</v>
      </c>
    </row>
    <row r="36" spans="1:7" x14ac:dyDescent="0.25">
      <c r="A36" s="8">
        <v>42769.240983796299</v>
      </c>
      <c r="B36" s="20" t="s">
        <v>264</v>
      </c>
      <c r="C36" s="20" t="s">
        <v>573</v>
      </c>
      <c r="D36" s="150">
        <v>940000</v>
      </c>
      <c r="E36" s="20" t="s">
        <v>316</v>
      </c>
      <c r="F36" s="20" t="s">
        <v>317</v>
      </c>
      <c r="G36" s="8" t="str">
        <f t="shared" si="0"/>
        <v>BONDS REYNALDO</v>
      </c>
    </row>
    <row r="37" spans="1:7" x14ac:dyDescent="0.25">
      <c r="A37" s="8">
        <v>42769.241597222222</v>
      </c>
      <c r="B37" s="20" t="s">
        <v>288</v>
      </c>
      <c r="C37" s="20" t="s">
        <v>572</v>
      </c>
      <c r="D37" s="150">
        <v>1990000</v>
      </c>
      <c r="E37" s="20" t="s">
        <v>563</v>
      </c>
      <c r="F37" s="20" t="s">
        <v>564</v>
      </c>
      <c r="G37" s="8" t="str">
        <f t="shared" si="0"/>
        <v>DAVIS WENDY</v>
      </c>
    </row>
    <row r="38" spans="1:7" x14ac:dyDescent="0.25">
      <c r="A38" s="8">
        <v>42769.24695601852</v>
      </c>
      <c r="B38" s="20" t="s">
        <v>548</v>
      </c>
      <c r="C38" s="20" t="s">
        <v>574</v>
      </c>
      <c r="D38" s="150">
        <v>2140000</v>
      </c>
      <c r="E38" s="20" t="s">
        <v>388</v>
      </c>
      <c r="F38" s="20" t="s">
        <v>389</v>
      </c>
      <c r="G38" s="8" t="str">
        <f t="shared" si="0"/>
        <v>ROBINSON KADDIBA</v>
      </c>
    </row>
    <row r="39" spans="1:7" x14ac:dyDescent="0.25">
      <c r="A39" s="8">
        <v>42769.24790509259</v>
      </c>
      <c r="B39" s="20" t="s">
        <v>385</v>
      </c>
      <c r="C39" s="20" t="s">
        <v>575</v>
      </c>
      <c r="D39" s="150">
        <v>1340000</v>
      </c>
      <c r="E39" s="20" t="s">
        <v>576</v>
      </c>
      <c r="F39" s="20" t="s">
        <v>577</v>
      </c>
      <c r="G39" s="8" t="str">
        <f t="shared" si="0"/>
        <v>BEAM ROSS</v>
      </c>
    </row>
    <row r="40" spans="1:7" x14ac:dyDescent="0.25">
      <c r="A40" s="8">
        <v>42769.254571759258</v>
      </c>
      <c r="B40" s="25" t="s">
        <v>214</v>
      </c>
      <c r="C40" s="20" t="s">
        <v>578</v>
      </c>
      <c r="D40" s="150">
        <v>1100000</v>
      </c>
      <c r="E40" s="20" t="s">
        <v>346</v>
      </c>
      <c r="F40" s="20" t="s">
        <v>347</v>
      </c>
      <c r="G40" s="8" t="str">
        <f t="shared" si="0"/>
        <v>GEBRETEKLE DAGNEW</v>
      </c>
    </row>
    <row r="41" spans="1:7" x14ac:dyDescent="0.25">
      <c r="A41" s="8">
        <v>42769.257708333331</v>
      </c>
      <c r="B41" s="20" t="s">
        <v>387</v>
      </c>
      <c r="C41" s="20" t="s">
        <v>579</v>
      </c>
      <c r="D41" s="150">
        <v>2550000</v>
      </c>
      <c r="E41" s="20" t="s">
        <v>348</v>
      </c>
      <c r="F41" s="20" t="s">
        <v>349</v>
      </c>
      <c r="G41" s="8" t="str">
        <f t="shared" si="0"/>
        <v>BADERTSCHER DIANE</v>
      </c>
    </row>
    <row r="42" spans="1:7" x14ac:dyDescent="0.25">
      <c r="A42" s="8">
        <v>42769.258472222224</v>
      </c>
      <c r="B42" s="20" t="s">
        <v>197</v>
      </c>
      <c r="C42" s="20" t="s">
        <v>580</v>
      </c>
      <c r="D42" s="150">
        <v>1110000</v>
      </c>
      <c r="E42" s="20" t="s">
        <v>314</v>
      </c>
      <c r="F42" s="20" t="s">
        <v>315</v>
      </c>
      <c r="G42" s="8" t="str">
        <f t="shared" si="0"/>
        <v>STARKS ANGELINA</v>
      </c>
    </row>
    <row r="43" spans="1:7" x14ac:dyDescent="0.25">
      <c r="A43" s="8">
        <v>42769.25854166667</v>
      </c>
      <c r="B43" s="20" t="s">
        <v>390</v>
      </c>
      <c r="C43" s="20" t="s">
        <v>581</v>
      </c>
      <c r="D43" s="150">
        <v>1340000</v>
      </c>
      <c r="E43" s="20" t="s">
        <v>576</v>
      </c>
      <c r="F43" s="20" t="s">
        <v>577</v>
      </c>
      <c r="G43" s="8" t="str">
        <f t="shared" si="0"/>
        <v>BEAM ROSS</v>
      </c>
    </row>
    <row r="44" spans="1:7" x14ac:dyDescent="0.25">
      <c r="A44" s="8">
        <v>42769.268043981479</v>
      </c>
      <c r="B44" s="20" t="s">
        <v>224</v>
      </c>
      <c r="C44" s="20" t="s">
        <v>582</v>
      </c>
      <c r="D44" s="150">
        <v>900000</v>
      </c>
      <c r="E44" s="20" t="s">
        <v>569</v>
      </c>
      <c r="F44" s="20" t="s">
        <v>570</v>
      </c>
      <c r="G44" s="8" t="str">
        <f t="shared" si="0"/>
        <v>ROCHA YAOTL</v>
      </c>
    </row>
    <row r="45" spans="1:7" x14ac:dyDescent="0.25">
      <c r="A45" s="8">
        <v>42769.268993055557</v>
      </c>
      <c r="B45" s="20" t="s">
        <v>540</v>
      </c>
      <c r="C45" s="20" t="s">
        <v>583</v>
      </c>
      <c r="D45" s="150">
        <v>890000</v>
      </c>
      <c r="E45" s="20" t="s">
        <v>327</v>
      </c>
      <c r="F45" s="20" t="s">
        <v>328</v>
      </c>
      <c r="G45" s="8" t="str">
        <f t="shared" si="0"/>
        <v>LOZA FIDEL</v>
      </c>
    </row>
    <row r="46" spans="1:7" x14ac:dyDescent="0.25">
      <c r="A46" s="8">
        <v>42769.274710648147</v>
      </c>
      <c r="B46" s="20" t="s">
        <v>391</v>
      </c>
      <c r="C46" s="20" t="s">
        <v>532</v>
      </c>
      <c r="D46" s="150">
        <v>1990000</v>
      </c>
      <c r="E46" s="20" t="s">
        <v>563</v>
      </c>
      <c r="F46" s="20" t="s">
        <v>564</v>
      </c>
      <c r="G46" s="8" t="str">
        <f t="shared" si="0"/>
        <v>DAVIS WENDY</v>
      </c>
    </row>
    <row r="47" spans="1:7" x14ac:dyDescent="0.25">
      <c r="A47" s="8">
        <v>42769.275000000001</v>
      </c>
      <c r="B47" s="20" t="s">
        <v>385</v>
      </c>
      <c r="C47" s="20" t="s">
        <v>584</v>
      </c>
      <c r="D47" s="150">
        <v>1340000</v>
      </c>
      <c r="E47" s="20" t="s">
        <v>576</v>
      </c>
      <c r="F47" s="20" t="s">
        <v>577</v>
      </c>
      <c r="G47" s="8" t="str">
        <f t="shared" si="0"/>
        <v>BEAM ROSS</v>
      </c>
    </row>
    <row r="48" spans="1:7" x14ac:dyDescent="0.25">
      <c r="A48" s="8">
        <v>42769.276331018518</v>
      </c>
      <c r="B48" s="20" t="s">
        <v>238</v>
      </c>
      <c r="C48" s="20" t="s">
        <v>531</v>
      </c>
      <c r="D48" s="150">
        <v>1100000</v>
      </c>
      <c r="E48" s="20" t="s">
        <v>346</v>
      </c>
      <c r="F48" s="20" t="s">
        <v>347</v>
      </c>
      <c r="G48" s="8" t="str">
        <f t="shared" si="0"/>
        <v>GEBRETEKLE DAGNEW</v>
      </c>
    </row>
    <row r="49" spans="1:7" x14ac:dyDescent="0.25">
      <c r="A49" s="8">
        <v>42769.278587962966</v>
      </c>
      <c r="B49" s="20" t="s">
        <v>536</v>
      </c>
      <c r="C49" s="20" t="s">
        <v>585</v>
      </c>
      <c r="D49" s="150">
        <v>940000</v>
      </c>
      <c r="E49" s="20" t="s">
        <v>316</v>
      </c>
      <c r="F49" s="20" t="s">
        <v>317</v>
      </c>
      <c r="G49" s="8" t="str">
        <f t="shared" si="0"/>
        <v>BONDS REYNALDO</v>
      </c>
    </row>
    <row r="50" spans="1:7" x14ac:dyDescent="0.25">
      <c r="A50" s="8">
        <v>42769.283912037034</v>
      </c>
      <c r="B50" s="20" t="s">
        <v>586</v>
      </c>
      <c r="C50" s="20" t="s">
        <v>587</v>
      </c>
      <c r="D50" s="150">
        <v>2140000</v>
      </c>
      <c r="E50" s="20" t="s">
        <v>388</v>
      </c>
      <c r="F50" s="20" t="s">
        <v>389</v>
      </c>
      <c r="G50" s="8" t="str">
        <f t="shared" si="0"/>
        <v>ROBINSON KADDIBA</v>
      </c>
    </row>
    <row r="51" spans="1:7" x14ac:dyDescent="0.25">
      <c r="A51" s="8">
        <v>42769.290405092594</v>
      </c>
      <c r="B51" s="20" t="s">
        <v>392</v>
      </c>
      <c r="C51" s="20" t="s">
        <v>588</v>
      </c>
      <c r="D51" s="150">
        <v>2550000</v>
      </c>
      <c r="E51" s="20" t="s">
        <v>348</v>
      </c>
      <c r="F51" s="20" t="s">
        <v>349</v>
      </c>
      <c r="G51" s="8" t="str">
        <f t="shared" si="0"/>
        <v>BADERTSCHER DIANE</v>
      </c>
    </row>
    <row r="52" spans="1:7" x14ac:dyDescent="0.25">
      <c r="A52" s="8">
        <v>42769.296099537038</v>
      </c>
      <c r="B52" s="20" t="s">
        <v>214</v>
      </c>
      <c r="C52" s="20" t="s">
        <v>589</v>
      </c>
      <c r="D52" s="150">
        <v>1100000</v>
      </c>
      <c r="E52" s="20" t="s">
        <v>346</v>
      </c>
      <c r="F52" s="20" t="s">
        <v>347</v>
      </c>
      <c r="G52" s="8" t="str">
        <f t="shared" si="0"/>
        <v>GEBRETEKLE DAGNEW</v>
      </c>
    </row>
    <row r="53" spans="1:7" x14ac:dyDescent="0.25">
      <c r="A53" s="8">
        <v>42769.297314814816</v>
      </c>
      <c r="B53" s="20" t="s">
        <v>231</v>
      </c>
      <c r="C53" s="20" t="s">
        <v>533</v>
      </c>
      <c r="D53" s="150">
        <v>1110000</v>
      </c>
      <c r="E53" s="20" t="s">
        <v>314</v>
      </c>
      <c r="F53" s="20" t="s">
        <v>315</v>
      </c>
      <c r="G53" s="8" t="str">
        <f t="shared" si="0"/>
        <v>STARKS ANGELINA</v>
      </c>
    </row>
    <row r="54" spans="1:7" x14ac:dyDescent="0.25">
      <c r="A54" s="8">
        <v>42769.299166666664</v>
      </c>
      <c r="B54" s="20" t="s">
        <v>390</v>
      </c>
      <c r="C54" s="20" t="s">
        <v>590</v>
      </c>
      <c r="D54" s="150">
        <v>1230000</v>
      </c>
      <c r="E54" s="20" t="s">
        <v>591</v>
      </c>
      <c r="F54" s="20" t="s">
        <v>592</v>
      </c>
      <c r="G54" s="8" t="str">
        <f t="shared" si="0"/>
        <v>YANAI IAN</v>
      </c>
    </row>
    <row r="55" spans="1:7" x14ac:dyDescent="0.25">
      <c r="A55" s="8">
        <v>42769.300266203703</v>
      </c>
      <c r="B55" s="20" t="s">
        <v>247</v>
      </c>
      <c r="C55" s="20" t="s">
        <v>593</v>
      </c>
      <c r="D55" s="150">
        <v>900000</v>
      </c>
      <c r="E55" s="20" t="s">
        <v>569</v>
      </c>
      <c r="F55" s="20" t="s">
        <v>570</v>
      </c>
      <c r="G55" s="8" t="str">
        <f t="shared" si="0"/>
        <v>ROCHA YAOTL</v>
      </c>
    </row>
    <row r="56" spans="1:7" x14ac:dyDescent="0.25">
      <c r="A56" s="8">
        <v>42769.307002314818</v>
      </c>
      <c r="B56" s="20" t="s">
        <v>527</v>
      </c>
      <c r="C56" s="20" t="s">
        <v>594</v>
      </c>
      <c r="D56" s="150">
        <v>890000</v>
      </c>
      <c r="E56" s="20" t="s">
        <v>327</v>
      </c>
      <c r="F56" s="20" t="s">
        <v>328</v>
      </c>
      <c r="G56" s="8" t="str">
        <f t="shared" si="0"/>
        <v>LOZA FIDEL</v>
      </c>
    </row>
    <row r="57" spans="1:7" x14ac:dyDescent="0.25">
      <c r="A57" s="8">
        <v>42769.31</v>
      </c>
      <c r="B57" s="20" t="s">
        <v>288</v>
      </c>
      <c r="C57" s="20" t="s">
        <v>595</v>
      </c>
      <c r="D57" s="150">
        <v>1990000</v>
      </c>
      <c r="E57" s="20" t="s">
        <v>563</v>
      </c>
      <c r="F57" s="20" t="s">
        <v>564</v>
      </c>
      <c r="G57" s="8" t="str">
        <f t="shared" si="0"/>
        <v>DAVIS WENDY</v>
      </c>
    </row>
    <row r="58" spans="1:7" x14ac:dyDescent="0.25">
      <c r="A58" s="8">
        <v>42769.316527777781</v>
      </c>
      <c r="B58" s="20" t="s">
        <v>264</v>
      </c>
      <c r="C58" s="20" t="s">
        <v>596</v>
      </c>
      <c r="D58" s="150">
        <v>940000</v>
      </c>
      <c r="E58" s="20" t="s">
        <v>316</v>
      </c>
      <c r="F58" s="20" t="s">
        <v>317</v>
      </c>
      <c r="G58" s="8" t="str">
        <f t="shared" si="0"/>
        <v>BONDS REYNALDO</v>
      </c>
    </row>
    <row r="59" spans="1:7" x14ac:dyDescent="0.25">
      <c r="A59" s="8">
        <v>42769.316759259258</v>
      </c>
      <c r="B59" s="20" t="s">
        <v>385</v>
      </c>
      <c r="C59" s="20" t="s">
        <v>597</v>
      </c>
      <c r="D59" s="150">
        <v>1230000</v>
      </c>
      <c r="E59" s="20" t="s">
        <v>591</v>
      </c>
      <c r="F59" s="20" t="s">
        <v>592</v>
      </c>
      <c r="G59" s="8" t="str">
        <f t="shared" si="0"/>
        <v>YANAI IAN</v>
      </c>
    </row>
    <row r="60" spans="1:7" x14ac:dyDescent="0.25">
      <c r="A60" s="8">
        <v>42769.318472222221</v>
      </c>
      <c r="B60" s="20" t="s">
        <v>548</v>
      </c>
      <c r="C60" s="20" t="s">
        <v>598</v>
      </c>
      <c r="D60" s="150">
        <v>2140000</v>
      </c>
      <c r="E60" s="20" t="s">
        <v>388</v>
      </c>
      <c r="F60" s="20" t="s">
        <v>389</v>
      </c>
      <c r="G60" s="8" t="str">
        <f t="shared" si="0"/>
        <v>ROBINSON KADDIBA</v>
      </c>
    </row>
    <row r="61" spans="1:7" x14ac:dyDescent="0.25">
      <c r="A61" s="8">
        <v>42769.318831018521</v>
      </c>
      <c r="B61" s="20" t="s">
        <v>238</v>
      </c>
      <c r="C61" s="20" t="s">
        <v>599</v>
      </c>
      <c r="D61" s="150">
        <v>1200000</v>
      </c>
      <c r="E61" s="20" t="s">
        <v>600</v>
      </c>
      <c r="F61" s="20" t="s">
        <v>601</v>
      </c>
      <c r="G61" s="8" t="str">
        <f t="shared" si="0"/>
        <v>CUSHING HARRY</v>
      </c>
    </row>
    <row r="62" spans="1:7" x14ac:dyDescent="0.25">
      <c r="A62" s="8">
        <v>42769.322650462964</v>
      </c>
      <c r="B62" s="20" t="s">
        <v>387</v>
      </c>
      <c r="C62" s="20" t="s">
        <v>602</v>
      </c>
      <c r="D62" s="150">
        <v>2550000</v>
      </c>
      <c r="E62" s="20" t="s">
        <v>348</v>
      </c>
      <c r="F62" s="20" t="s">
        <v>349</v>
      </c>
      <c r="G62" s="8" t="str">
        <f t="shared" si="0"/>
        <v>BADERTSCHER DIANE</v>
      </c>
    </row>
    <row r="63" spans="1:7" x14ac:dyDescent="0.25">
      <c r="A63" s="8">
        <v>42769.331828703704</v>
      </c>
      <c r="B63" s="20" t="s">
        <v>197</v>
      </c>
      <c r="C63" s="20" t="s">
        <v>603</v>
      </c>
      <c r="D63" s="150">
        <v>1110000</v>
      </c>
      <c r="E63" s="20" t="s">
        <v>314</v>
      </c>
      <c r="F63" s="20" t="s">
        <v>315</v>
      </c>
      <c r="G63" s="8" t="str">
        <f t="shared" si="0"/>
        <v>STARKS ANGELINA</v>
      </c>
    </row>
    <row r="64" spans="1:7" x14ac:dyDescent="0.25">
      <c r="A64" s="26">
        <v>42769.332511574074</v>
      </c>
      <c r="B64" s="20" t="s">
        <v>390</v>
      </c>
      <c r="C64" s="20" t="s">
        <v>534</v>
      </c>
      <c r="D64" s="150">
        <v>1230000</v>
      </c>
      <c r="E64" s="20" t="s">
        <v>591</v>
      </c>
      <c r="F64" s="20" t="s">
        <v>592</v>
      </c>
      <c r="G64" s="8" t="str">
        <f t="shared" si="0"/>
        <v>YANAI IAN</v>
      </c>
    </row>
    <row r="65" spans="1:7" x14ac:dyDescent="0.25">
      <c r="A65" s="8">
        <v>42769.340289351851</v>
      </c>
      <c r="B65" s="20" t="s">
        <v>214</v>
      </c>
      <c r="C65" s="20" t="s">
        <v>604</v>
      </c>
      <c r="D65" s="150">
        <v>1200000</v>
      </c>
      <c r="E65" s="20" t="s">
        <v>600</v>
      </c>
      <c r="F65" s="20" t="s">
        <v>601</v>
      </c>
      <c r="G65" s="8" t="str">
        <f t="shared" si="0"/>
        <v>CUSHING HARRY</v>
      </c>
    </row>
    <row r="66" spans="1:7" x14ac:dyDescent="0.25">
      <c r="A66" s="8">
        <v>42769.340798611112</v>
      </c>
      <c r="B66" s="20" t="s">
        <v>224</v>
      </c>
      <c r="C66" s="20" t="s">
        <v>605</v>
      </c>
      <c r="D66" s="150">
        <v>900000</v>
      </c>
      <c r="E66" s="20" t="s">
        <v>569</v>
      </c>
      <c r="F66" s="20" t="s">
        <v>570</v>
      </c>
      <c r="G66" s="8" t="str">
        <f t="shared" si="0"/>
        <v>ROCHA YAOTL</v>
      </c>
    </row>
    <row r="67" spans="1:7" x14ac:dyDescent="0.25">
      <c r="A67" s="8">
        <v>42769.34138888889</v>
      </c>
      <c r="B67" s="20" t="s">
        <v>540</v>
      </c>
      <c r="C67" s="20" t="s">
        <v>606</v>
      </c>
      <c r="D67" s="150">
        <v>890000</v>
      </c>
      <c r="E67" s="20" t="s">
        <v>327</v>
      </c>
      <c r="F67" s="20" t="s">
        <v>328</v>
      </c>
      <c r="G67" s="8" t="str">
        <f t="shared" ref="G67:G130" si="1">E67&amp;" "&amp;F67</f>
        <v>LOZA FIDEL</v>
      </c>
    </row>
    <row r="68" spans="1:7" x14ac:dyDescent="0.25">
      <c r="A68" s="8">
        <v>42769.349074074074</v>
      </c>
      <c r="B68" s="20" t="s">
        <v>391</v>
      </c>
      <c r="C68" s="20" t="s">
        <v>535</v>
      </c>
      <c r="D68" s="150">
        <v>1990000</v>
      </c>
      <c r="E68" s="20" t="s">
        <v>563</v>
      </c>
      <c r="F68" s="20" t="s">
        <v>564</v>
      </c>
      <c r="G68" s="8" t="str">
        <f t="shared" si="1"/>
        <v>DAVIS WENDY</v>
      </c>
    </row>
    <row r="69" spans="1:7" x14ac:dyDescent="0.25">
      <c r="A69" s="8">
        <v>42769.349976851852</v>
      </c>
      <c r="B69" s="20" t="s">
        <v>536</v>
      </c>
      <c r="C69" s="20" t="s">
        <v>537</v>
      </c>
      <c r="D69" s="150">
        <v>940000</v>
      </c>
      <c r="E69" s="20" t="s">
        <v>316</v>
      </c>
      <c r="F69" s="20" t="s">
        <v>317</v>
      </c>
      <c r="G69" s="8" t="str">
        <f t="shared" si="1"/>
        <v>BONDS REYNALDO</v>
      </c>
    </row>
    <row r="70" spans="1:7" x14ac:dyDescent="0.25">
      <c r="A70" s="8">
        <v>42769.356215277781</v>
      </c>
      <c r="B70" s="20" t="s">
        <v>586</v>
      </c>
      <c r="C70" s="20" t="s">
        <v>607</v>
      </c>
      <c r="D70" s="150">
        <v>2140000</v>
      </c>
      <c r="E70" s="20" t="s">
        <v>388</v>
      </c>
      <c r="F70" s="20" t="s">
        <v>389</v>
      </c>
      <c r="G70" s="8" t="str">
        <f t="shared" si="1"/>
        <v>ROBINSON KADDIBA</v>
      </c>
    </row>
    <row r="71" spans="1:7" x14ac:dyDescent="0.25">
      <c r="A71" s="8">
        <v>42769.357025462959</v>
      </c>
      <c r="B71" s="20" t="s">
        <v>238</v>
      </c>
      <c r="C71" s="20" t="s">
        <v>608</v>
      </c>
      <c r="D71" s="150">
        <v>1100000</v>
      </c>
      <c r="E71" s="20" t="s">
        <v>346</v>
      </c>
      <c r="F71" s="20" t="s">
        <v>347</v>
      </c>
      <c r="G71" s="8" t="str">
        <f t="shared" si="1"/>
        <v>GEBRETEKLE DAGNEW</v>
      </c>
    </row>
    <row r="72" spans="1:7" x14ac:dyDescent="0.25">
      <c r="A72" s="8">
        <v>42769.35837962963</v>
      </c>
      <c r="B72" s="20" t="s">
        <v>385</v>
      </c>
      <c r="C72" s="20" t="s">
        <v>609</v>
      </c>
      <c r="D72" s="150">
        <v>1230000</v>
      </c>
      <c r="E72" s="20" t="s">
        <v>591</v>
      </c>
      <c r="F72" s="20" t="s">
        <v>592</v>
      </c>
      <c r="G72" s="8" t="str">
        <f t="shared" si="1"/>
        <v>YANAI IAN</v>
      </c>
    </row>
    <row r="73" spans="1:7" x14ac:dyDescent="0.25">
      <c r="A73" s="8">
        <v>42769.362118055556</v>
      </c>
      <c r="B73" s="20" t="s">
        <v>392</v>
      </c>
      <c r="C73" s="20" t="s">
        <v>610</v>
      </c>
      <c r="D73" s="150">
        <v>2550000</v>
      </c>
      <c r="E73" s="20" t="s">
        <v>348</v>
      </c>
      <c r="F73" s="20" t="s">
        <v>349</v>
      </c>
      <c r="G73" s="8" t="str">
        <f t="shared" si="1"/>
        <v>BADERTSCHER DIANE</v>
      </c>
    </row>
    <row r="74" spans="1:7" x14ac:dyDescent="0.25">
      <c r="A74" s="8">
        <v>42769.371006944442</v>
      </c>
      <c r="B74" s="20" t="s">
        <v>231</v>
      </c>
      <c r="C74" s="20" t="s">
        <v>611</v>
      </c>
      <c r="D74" s="150">
        <v>1110000</v>
      </c>
      <c r="E74" s="20" t="s">
        <v>314</v>
      </c>
      <c r="F74" s="20" t="s">
        <v>315</v>
      </c>
      <c r="G74" s="8" t="str">
        <f t="shared" si="1"/>
        <v>STARKS ANGELINA</v>
      </c>
    </row>
    <row r="75" spans="1:7" x14ac:dyDescent="0.25">
      <c r="A75" s="8">
        <v>42769.371018518519</v>
      </c>
      <c r="B75" s="20" t="s">
        <v>247</v>
      </c>
      <c r="C75" s="20" t="s">
        <v>612</v>
      </c>
      <c r="D75" s="150">
        <v>900000</v>
      </c>
      <c r="E75" s="20" t="s">
        <v>569</v>
      </c>
      <c r="F75" s="20" t="s">
        <v>570</v>
      </c>
      <c r="G75" s="8" t="str">
        <f t="shared" si="1"/>
        <v>ROCHA YAOTL</v>
      </c>
    </row>
    <row r="76" spans="1:7" x14ac:dyDescent="0.25">
      <c r="A76" s="8">
        <v>42769.377326388887</v>
      </c>
      <c r="B76" s="20" t="s">
        <v>390</v>
      </c>
      <c r="C76" s="20" t="s">
        <v>613</v>
      </c>
      <c r="D76" s="150">
        <v>1340000</v>
      </c>
      <c r="E76" s="20" t="s">
        <v>576</v>
      </c>
      <c r="F76" s="20" t="s">
        <v>577</v>
      </c>
      <c r="G76" s="8" t="str">
        <f t="shared" si="1"/>
        <v>BEAM ROSS</v>
      </c>
    </row>
    <row r="77" spans="1:7" x14ac:dyDescent="0.25">
      <c r="A77" s="8">
        <v>42769.379212962966</v>
      </c>
      <c r="B77" s="20" t="s">
        <v>527</v>
      </c>
      <c r="C77" s="20" t="s">
        <v>614</v>
      </c>
      <c r="D77" s="150">
        <v>890000</v>
      </c>
      <c r="E77" s="20" t="s">
        <v>327</v>
      </c>
      <c r="F77" s="20" t="s">
        <v>328</v>
      </c>
      <c r="G77" s="8" t="str">
        <f t="shared" si="1"/>
        <v>LOZA FIDEL</v>
      </c>
    </row>
    <row r="78" spans="1:7" x14ac:dyDescent="0.25">
      <c r="A78" s="8">
        <v>42769.381041666667</v>
      </c>
      <c r="B78" s="20" t="s">
        <v>288</v>
      </c>
      <c r="C78" s="20" t="s">
        <v>538</v>
      </c>
      <c r="D78" s="150">
        <v>1990000</v>
      </c>
      <c r="E78" s="20" t="s">
        <v>563</v>
      </c>
      <c r="F78" s="20" t="s">
        <v>564</v>
      </c>
      <c r="G78" s="8" t="str">
        <f t="shared" si="1"/>
        <v>DAVIS WENDY</v>
      </c>
    </row>
    <row r="79" spans="1:7" x14ac:dyDescent="0.25">
      <c r="A79" s="8">
        <v>42769.391539351855</v>
      </c>
      <c r="B79" s="20" t="s">
        <v>264</v>
      </c>
      <c r="C79" s="20" t="s">
        <v>615</v>
      </c>
      <c r="D79" s="150">
        <v>940000</v>
      </c>
      <c r="E79" s="20" t="s">
        <v>316</v>
      </c>
      <c r="F79" s="20" t="s">
        <v>317</v>
      </c>
      <c r="G79" s="8" t="str">
        <f t="shared" si="1"/>
        <v>BONDS REYNALDO</v>
      </c>
    </row>
    <row r="80" spans="1:7" x14ac:dyDescent="0.25">
      <c r="A80" s="8">
        <v>42769.392106481479</v>
      </c>
      <c r="B80" s="20" t="s">
        <v>548</v>
      </c>
      <c r="C80" s="20" t="s">
        <v>616</v>
      </c>
      <c r="D80" s="150">
        <v>2140000</v>
      </c>
      <c r="E80" s="20" t="s">
        <v>388</v>
      </c>
      <c r="F80" s="20" t="s">
        <v>389</v>
      </c>
      <c r="G80" s="8" t="str">
        <f t="shared" si="1"/>
        <v>ROBINSON KADDIBA</v>
      </c>
    </row>
    <row r="81" spans="1:7" x14ac:dyDescent="0.25">
      <c r="A81" s="8">
        <v>42769.39403935185</v>
      </c>
      <c r="B81" s="20" t="s">
        <v>387</v>
      </c>
      <c r="C81" s="20" t="s">
        <v>539</v>
      </c>
      <c r="D81" s="150">
        <v>2550000</v>
      </c>
      <c r="E81" s="20" t="s">
        <v>348</v>
      </c>
      <c r="F81" s="20" t="s">
        <v>349</v>
      </c>
      <c r="G81" s="8" t="str">
        <f t="shared" si="1"/>
        <v>BADERTSCHER DIANE</v>
      </c>
    </row>
    <row r="82" spans="1:7" x14ac:dyDescent="0.25">
      <c r="A82" s="8">
        <v>42769.399872685186</v>
      </c>
      <c r="B82" s="20" t="s">
        <v>385</v>
      </c>
      <c r="C82" s="20" t="s">
        <v>617</v>
      </c>
      <c r="D82" s="150">
        <v>1340000</v>
      </c>
      <c r="E82" s="20" t="s">
        <v>576</v>
      </c>
      <c r="F82" s="20" t="s">
        <v>577</v>
      </c>
      <c r="G82" s="8" t="str">
        <f t="shared" si="1"/>
        <v>BEAM ROSS</v>
      </c>
    </row>
    <row r="83" spans="1:7" x14ac:dyDescent="0.25">
      <c r="A83" s="8">
        <v>42769.404456018521</v>
      </c>
      <c r="B83" s="20" t="s">
        <v>197</v>
      </c>
      <c r="C83" s="20" t="s">
        <v>618</v>
      </c>
      <c r="D83" s="150">
        <v>1110000</v>
      </c>
      <c r="E83" s="20" t="s">
        <v>314</v>
      </c>
      <c r="F83" s="20" t="s">
        <v>315</v>
      </c>
      <c r="G83" s="8" t="str">
        <f t="shared" si="1"/>
        <v>STARKS ANGELINA</v>
      </c>
    </row>
    <row r="84" spans="1:7" x14ac:dyDescent="0.25">
      <c r="A84" s="8">
        <v>42769.411631944444</v>
      </c>
      <c r="B84" s="20" t="s">
        <v>540</v>
      </c>
      <c r="C84" s="20" t="s">
        <v>541</v>
      </c>
      <c r="D84" s="150">
        <v>890000</v>
      </c>
      <c r="E84" s="20" t="s">
        <v>327</v>
      </c>
      <c r="F84" s="20" t="s">
        <v>328</v>
      </c>
      <c r="G84" s="8" t="str">
        <f t="shared" si="1"/>
        <v>LOZA FIDEL</v>
      </c>
    </row>
    <row r="85" spans="1:7" x14ac:dyDescent="0.25">
      <c r="A85" s="8">
        <v>42769.413240740738</v>
      </c>
      <c r="B85" s="20" t="s">
        <v>224</v>
      </c>
      <c r="C85" s="20" t="s">
        <v>619</v>
      </c>
      <c r="D85" s="150">
        <v>900000</v>
      </c>
      <c r="E85" s="20" t="s">
        <v>569</v>
      </c>
      <c r="F85" s="20" t="s">
        <v>570</v>
      </c>
      <c r="G85" s="8" t="str">
        <f t="shared" si="1"/>
        <v>ROCHA YAOTL</v>
      </c>
    </row>
    <row r="86" spans="1:7" x14ac:dyDescent="0.25">
      <c r="A86" s="8">
        <v>42769.420578703706</v>
      </c>
      <c r="B86" s="20" t="s">
        <v>391</v>
      </c>
      <c r="C86" s="20" t="s">
        <v>620</v>
      </c>
      <c r="D86" s="150">
        <v>1990000</v>
      </c>
      <c r="E86" s="20" t="s">
        <v>563</v>
      </c>
      <c r="F86" s="20" t="s">
        <v>564</v>
      </c>
      <c r="G86" s="8" t="str">
        <f t="shared" si="1"/>
        <v>DAVIS WENDY</v>
      </c>
    </row>
    <row r="87" spans="1:7" x14ac:dyDescent="0.25">
      <c r="A87" s="8">
        <v>42769.42287037037</v>
      </c>
      <c r="B87" s="20" t="s">
        <v>536</v>
      </c>
      <c r="C87" s="20" t="s">
        <v>621</v>
      </c>
      <c r="D87" s="150">
        <v>940000</v>
      </c>
      <c r="E87" s="20" t="s">
        <v>316</v>
      </c>
      <c r="F87" s="20" t="s">
        <v>317</v>
      </c>
      <c r="G87" s="8" t="str">
        <f t="shared" si="1"/>
        <v>BONDS REYNALDO</v>
      </c>
    </row>
    <row r="88" spans="1:7" x14ac:dyDescent="0.25">
      <c r="A88" s="8">
        <v>42769.428877314815</v>
      </c>
      <c r="B88" s="20" t="s">
        <v>586</v>
      </c>
      <c r="C88" s="20" t="s">
        <v>622</v>
      </c>
      <c r="D88" s="150">
        <v>2140000</v>
      </c>
      <c r="E88" s="20" t="s">
        <v>388</v>
      </c>
      <c r="F88" s="20" t="s">
        <v>389</v>
      </c>
      <c r="G88" s="8" t="str">
        <f t="shared" si="1"/>
        <v>ROBINSON KADDIBA</v>
      </c>
    </row>
    <row r="89" spans="1:7" x14ac:dyDescent="0.25">
      <c r="A89" s="8">
        <v>42769.429710648146</v>
      </c>
      <c r="B89" s="20" t="s">
        <v>390</v>
      </c>
      <c r="C89" s="20" t="s">
        <v>623</v>
      </c>
      <c r="D89" s="150">
        <v>1340000</v>
      </c>
      <c r="E89" s="20" t="s">
        <v>576</v>
      </c>
      <c r="F89" s="20" t="s">
        <v>577</v>
      </c>
      <c r="G89" s="8" t="str">
        <f t="shared" si="1"/>
        <v>BEAM ROSS</v>
      </c>
    </row>
    <row r="90" spans="1:7" x14ac:dyDescent="0.25">
      <c r="A90" s="8">
        <v>42769.433981481481</v>
      </c>
      <c r="B90" s="20" t="s">
        <v>392</v>
      </c>
      <c r="C90" s="20" t="s">
        <v>624</v>
      </c>
      <c r="D90" s="150">
        <v>1100000</v>
      </c>
      <c r="E90" s="20" t="s">
        <v>346</v>
      </c>
      <c r="F90" s="20" t="s">
        <v>347</v>
      </c>
      <c r="G90" s="8" t="str">
        <f t="shared" si="1"/>
        <v>GEBRETEKLE DAGNEW</v>
      </c>
    </row>
    <row r="91" spans="1:7" x14ac:dyDescent="0.25">
      <c r="A91" s="8">
        <v>42769.441388888888</v>
      </c>
      <c r="B91" s="20" t="s">
        <v>385</v>
      </c>
      <c r="C91" s="20" t="s">
        <v>542</v>
      </c>
      <c r="D91" s="150">
        <v>1340000</v>
      </c>
      <c r="E91" s="20" t="s">
        <v>576</v>
      </c>
      <c r="F91" s="20" t="s">
        <v>577</v>
      </c>
      <c r="G91" s="8" t="str">
        <f t="shared" si="1"/>
        <v>BEAM ROSS</v>
      </c>
    </row>
    <row r="92" spans="1:7" x14ac:dyDescent="0.25">
      <c r="A92" s="8">
        <v>42769.443055555559</v>
      </c>
      <c r="B92" s="20" t="s">
        <v>231</v>
      </c>
      <c r="C92" s="20" t="s">
        <v>625</v>
      </c>
      <c r="D92" s="150">
        <v>1110000</v>
      </c>
      <c r="E92" s="20" t="s">
        <v>314</v>
      </c>
      <c r="F92" s="20" t="s">
        <v>315</v>
      </c>
      <c r="G92" s="8" t="str">
        <f t="shared" si="1"/>
        <v>STARKS ANGELINA</v>
      </c>
    </row>
    <row r="93" spans="1:7" x14ac:dyDescent="0.25">
      <c r="A93" s="8">
        <v>42769.445347222223</v>
      </c>
      <c r="B93" s="20" t="s">
        <v>247</v>
      </c>
      <c r="C93" s="20" t="s">
        <v>626</v>
      </c>
      <c r="D93" s="150">
        <v>900000</v>
      </c>
      <c r="E93" s="20" t="s">
        <v>569</v>
      </c>
      <c r="F93" s="20" t="s">
        <v>570</v>
      </c>
      <c r="G93" s="8" t="str">
        <f t="shared" si="1"/>
        <v>ROCHA YAOTL</v>
      </c>
    </row>
    <row r="94" spans="1:7" x14ac:dyDescent="0.25">
      <c r="A94" s="8">
        <v>42769.451643518521</v>
      </c>
      <c r="B94" s="20" t="s">
        <v>527</v>
      </c>
      <c r="C94" s="20" t="s">
        <v>627</v>
      </c>
      <c r="D94" s="150">
        <v>890000</v>
      </c>
      <c r="E94" s="20" t="s">
        <v>327</v>
      </c>
      <c r="F94" s="20" t="s">
        <v>328</v>
      </c>
      <c r="G94" s="8" t="str">
        <f t="shared" si="1"/>
        <v>LOZA FIDEL</v>
      </c>
    </row>
    <row r="95" spans="1:7" x14ac:dyDescent="0.25">
      <c r="A95" s="8">
        <v>42769.455347222225</v>
      </c>
      <c r="B95" s="20" t="s">
        <v>628</v>
      </c>
      <c r="C95" s="20" t="s">
        <v>629</v>
      </c>
      <c r="D95" s="150">
        <v>2360000</v>
      </c>
      <c r="E95" s="20" t="s">
        <v>630</v>
      </c>
      <c r="F95" s="20" t="s">
        <v>631</v>
      </c>
      <c r="G95" s="8" t="str">
        <f t="shared" si="1"/>
        <v>BRANDNER MELINDA</v>
      </c>
    </row>
    <row r="96" spans="1:7" x14ac:dyDescent="0.25">
      <c r="A96" s="8">
        <v>42769.455648148149</v>
      </c>
      <c r="B96" s="20" t="s">
        <v>288</v>
      </c>
      <c r="C96" s="20" t="s">
        <v>632</v>
      </c>
      <c r="D96" s="150">
        <v>880000</v>
      </c>
      <c r="E96" s="20" t="s">
        <v>633</v>
      </c>
      <c r="F96" s="20" t="s">
        <v>207</v>
      </c>
      <c r="G96" s="8" t="str">
        <f t="shared" si="1"/>
        <v>STEWART MICHAEL</v>
      </c>
    </row>
    <row r="97" spans="1:7" x14ac:dyDescent="0.25">
      <c r="A97" s="8">
        <v>42769.462476851855</v>
      </c>
      <c r="B97" s="20" t="s">
        <v>264</v>
      </c>
      <c r="C97" s="20" t="s">
        <v>634</v>
      </c>
      <c r="D97" s="150">
        <v>940000</v>
      </c>
      <c r="E97" s="20" t="s">
        <v>316</v>
      </c>
      <c r="F97" s="20" t="s">
        <v>317</v>
      </c>
      <c r="G97" s="8" t="str">
        <f t="shared" si="1"/>
        <v>BONDS REYNALDO</v>
      </c>
    </row>
    <row r="98" spans="1:7" x14ac:dyDescent="0.25">
      <c r="A98" s="8">
        <v>42769.464814814812</v>
      </c>
      <c r="B98" s="20" t="s">
        <v>548</v>
      </c>
      <c r="C98" s="20" t="s">
        <v>635</v>
      </c>
      <c r="D98" s="150">
        <v>1780000</v>
      </c>
      <c r="E98" s="20" t="s">
        <v>636</v>
      </c>
      <c r="F98" s="20" t="s">
        <v>637</v>
      </c>
      <c r="G98" s="8" t="str">
        <f t="shared" si="1"/>
        <v>DE LA ROSA ALEX</v>
      </c>
    </row>
    <row r="99" spans="1:7" x14ac:dyDescent="0.25">
      <c r="A99" s="8">
        <v>42769.469918981478</v>
      </c>
      <c r="B99" s="20" t="s">
        <v>390</v>
      </c>
      <c r="C99" s="20" t="s">
        <v>638</v>
      </c>
      <c r="D99" s="150">
        <v>1340000</v>
      </c>
      <c r="E99" s="20" t="s">
        <v>576</v>
      </c>
      <c r="F99" s="20" t="s">
        <v>577</v>
      </c>
      <c r="G99" s="8" t="str">
        <f t="shared" si="1"/>
        <v>BEAM ROSS</v>
      </c>
    </row>
    <row r="100" spans="1:7" x14ac:dyDescent="0.25">
      <c r="A100" s="8">
        <v>42769.473495370374</v>
      </c>
      <c r="B100" s="20" t="s">
        <v>387</v>
      </c>
      <c r="C100" s="20" t="s">
        <v>639</v>
      </c>
      <c r="D100" s="150">
        <v>1100000</v>
      </c>
      <c r="E100" s="20" t="s">
        <v>346</v>
      </c>
      <c r="F100" s="20" t="s">
        <v>347</v>
      </c>
      <c r="G100" s="8" t="str">
        <f t="shared" si="1"/>
        <v>GEBRETEKLE DAGNEW</v>
      </c>
    </row>
    <row r="101" spans="1:7" x14ac:dyDescent="0.25">
      <c r="A101" s="8">
        <v>42769.47583333333</v>
      </c>
      <c r="B101" s="20" t="s">
        <v>197</v>
      </c>
      <c r="C101" s="20" t="s">
        <v>640</v>
      </c>
      <c r="D101" s="150">
        <v>930000</v>
      </c>
      <c r="E101" s="20" t="s">
        <v>318</v>
      </c>
      <c r="F101" s="20" t="s">
        <v>319</v>
      </c>
      <c r="G101" s="8" t="str">
        <f t="shared" si="1"/>
        <v>CLARK KATHLEEN</v>
      </c>
    </row>
    <row r="102" spans="1:7" x14ac:dyDescent="0.25">
      <c r="A102" s="8">
        <v>42769.483472222222</v>
      </c>
      <c r="B102" s="20" t="s">
        <v>385</v>
      </c>
      <c r="C102" s="20" t="s">
        <v>641</v>
      </c>
      <c r="D102" s="150">
        <v>1340000</v>
      </c>
      <c r="E102" s="20" t="s">
        <v>576</v>
      </c>
      <c r="F102" s="20" t="s">
        <v>577</v>
      </c>
      <c r="G102" s="8" t="str">
        <f t="shared" si="1"/>
        <v>BEAM ROSS</v>
      </c>
    </row>
    <row r="103" spans="1:7" x14ac:dyDescent="0.25">
      <c r="A103" s="8">
        <v>42769.48678240741</v>
      </c>
      <c r="B103" s="20" t="s">
        <v>540</v>
      </c>
      <c r="C103" s="20" t="s">
        <v>642</v>
      </c>
      <c r="D103" s="150">
        <v>1770000</v>
      </c>
      <c r="E103" s="20" t="s">
        <v>352</v>
      </c>
      <c r="F103" s="20" t="s">
        <v>353</v>
      </c>
      <c r="G103" s="8" t="str">
        <f t="shared" si="1"/>
        <v>BRUDER RICHARD</v>
      </c>
    </row>
    <row r="104" spans="1:7" x14ac:dyDescent="0.25">
      <c r="A104" s="8">
        <v>42769.486990740741</v>
      </c>
      <c r="B104" s="20" t="s">
        <v>224</v>
      </c>
      <c r="C104" s="20" t="s">
        <v>643</v>
      </c>
      <c r="D104" s="150">
        <v>900000</v>
      </c>
      <c r="E104" s="20" t="s">
        <v>569</v>
      </c>
      <c r="F104" s="20" t="s">
        <v>570</v>
      </c>
      <c r="G104" s="8" t="str">
        <f t="shared" si="1"/>
        <v>ROCHA YAOTL</v>
      </c>
    </row>
    <row r="105" spans="1:7" x14ac:dyDescent="0.25">
      <c r="A105" s="8">
        <v>42769.487696759257</v>
      </c>
      <c r="B105" s="20" t="s">
        <v>198</v>
      </c>
      <c r="C105" s="20" t="s">
        <v>644</v>
      </c>
      <c r="D105" s="150">
        <v>1110000</v>
      </c>
      <c r="E105" s="20" t="s">
        <v>314</v>
      </c>
      <c r="F105" s="20" t="s">
        <v>315</v>
      </c>
      <c r="G105" s="8" t="str">
        <f t="shared" si="1"/>
        <v>STARKS ANGELINA</v>
      </c>
    </row>
    <row r="106" spans="1:7" x14ac:dyDescent="0.25">
      <c r="A106" s="8">
        <v>42769.495196759257</v>
      </c>
      <c r="B106" s="20" t="s">
        <v>391</v>
      </c>
      <c r="C106" s="20" t="s">
        <v>645</v>
      </c>
      <c r="D106" s="150">
        <v>880000</v>
      </c>
      <c r="E106" s="20" t="s">
        <v>633</v>
      </c>
      <c r="F106" s="20" t="s">
        <v>207</v>
      </c>
      <c r="G106" s="8" t="str">
        <f t="shared" si="1"/>
        <v>STEWART MICHAEL</v>
      </c>
    </row>
    <row r="107" spans="1:7" x14ac:dyDescent="0.25">
      <c r="A107" s="8">
        <v>42769.495428240742</v>
      </c>
      <c r="B107" s="20" t="s">
        <v>536</v>
      </c>
      <c r="C107" s="20" t="s">
        <v>646</v>
      </c>
      <c r="D107" s="150">
        <v>1540000</v>
      </c>
      <c r="E107" s="20" t="s">
        <v>350</v>
      </c>
      <c r="F107" s="20" t="s">
        <v>351</v>
      </c>
      <c r="G107" s="8" t="str">
        <f t="shared" si="1"/>
        <v>HELVIE ADAM</v>
      </c>
    </row>
    <row r="108" spans="1:7" x14ac:dyDescent="0.25">
      <c r="A108" s="8">
        <v>42769.503159722219</v>
      </c>
      <c r="B108" s="20" t="s">
        <v>586</v>
      </c>
      <c r="C108" s="20" t="s">
        <v>647</v>
      </c>
      <c r="D108" s="150">
        <v>1780000</v>
      </c>
      <c r="E108" s="20" t="s">
        <v>636</v>
      </c>
      <c r="F108" s="20" t="s">
        <v>637</v>
      </c>
      <c r="G108" s="8" t="str">
        <f t="shared" si="1"/>
        <v>DE LA ROSA ALEX</v>
      </c>
    </row>
    <row r="109" spans="1:7" x14ac:dyDescent="0.25">
      <c r="A109" s="8">
        <v>42769.504699074074</v>
      </c>
      <c r="B109" s="20" t="s">
        <v>392</v>
      </c>
      <c r="C109" s="20" t="s">
        <v>648</v>
      </c>
      <c r="D109" s="150">
        <v>2030000</v>
      </c>
      <c r="E109" s="20" t="s">
        <v>649</v>
      </c>
      <c r="F109" s="20" t="s">
        <v>650</v>
      </c>
      <c r="G109" s="8" t="str">
        <f t="shared" si="1"/>
        <v>KILLION DAVID</v>
      </c>
    </row>
    <row r="110" spans="1:7" x14ac:dyDescent="0.25">
      <c r="A110" s="8">
        <v>42769.507986111108</v>
      </c>
      <c r="B110" s="20" t="s">
        <v>390</v>
      </c>
      <c r="C110" s="20" t="s">
        <v>651</v>
      </c>
      <c r="D110" s="150">
        <v>1340000</v>
      </c>
      <c r="E110" s="20" t="s">
        <v>576</v>
      </c>
      <c r="F110" s="20" t="s">
        <v>577</v>
      </c>
      <c r="G110" s="8" t="str">
        <f t="shared" si="1"/>
        <v>BEAM ROSS</v>
      </c>
    </row>
    <row r="111" spans="1:7" x14ac:dyDescent="0.25">
      <c r="A111" s="8">
        <v>42769.514166666668</v>
      </c>
      <c r="B111" s="20" t="s">
        <v>231</v>
      </c>
      <c r="C111" s="20" t="s">
        <v>652</v>
      </c>
      <c r="D111" s="150">
        <v>930000</v>
      </c>
      <c r="E111" s="20" t="s">
        <v>318</v>
      </c>
      <c r="F111" s="20" t="s">
        <v>319</v>
      </c>
      <c r="G111" s="8" t="str">
        <f t="shared" si="1"/>
        <v>CLARK KATHLEEN</v>
      </c>
    </row>
    <row r="112" spans="1:7" x14ac:dyDescent="0.25">
      <c r="A112" s="8">
        <v>42769.515625</v>
      </c>
      <c r="B112" s="20" t="s">
        <v>247</v>
      </c>
      <c r="C112" s="20" t="s">
        <v>543</v>
      </c>
      <c r="D112" s="150">
        <v>1190000</v>
      </c>
      <c r="E112" s="20" t="s">
        <v>329</v>
      </c>
      <c r="F112" s="20" t="s">
        <v>330</v>
      </c>
      <c r="G112" s="8" t="str">
        <f t="shared" si="1"/>
        <v>BRANNON JEFFREY</v>
      </c>
    </row>
    <row r="113" spans="1:7" x14ac:dyDescent="0.25">
      <c r="A113" s="8">
        <v>42769.524988425925</v>
      </c>
      <c r="B113" s="20" t="s">
        <v>385</v>
      </c>
      <c r="C113" s="20" t="s">
        <v>653</v>
      </c>
      <c r="D113" s="150">
        <v>1340000</v>
      </c>
      <c r="E113" s="20" t="s">
        <v>576</v>
      </c>
      <c r="F113" s="20" t="s">
        <v>577</v>
      </c>
      <c r="G113" s="8" t="str">
        <f t="shared" si="1"/>
        <v>BEAM ROSS</v>
      </c>
    </row>
    <row r="114" spans="1:7" x14ac:dyDescent="0.25">
      <c r="A114" s="8">
        <v>42769.525393518517</v>
      </c>
      <c r="B114" s="20" t="s">
        <v>527</v>
      </c>
      <c r="C114" s="20" t="s">
        <v>654</v>
      </c>
      <c r="D114" s="150">
        <v>1770000</v>
      </c>
      <c r="E114" s="20" t="s">
        <v>352</v>
      </c>
      <c r="F114" s="20" t="s">
        <v>353</v>
      </c>
      <c r="G114" s="8" t="str">
        <f t="shared" si="1"/>
        <v>BRUDER RICHARD</v>
      </c>
    </row>
    <row r="115" spans="1:7" x14ac:dyDescent="0.25">
      <c r="A115" s="8">
        <v>42769.527638888889</v>
      </c>
      <c r="B115" s="20" t="s">
        <v>288</v>
      </c>
      <c r="C115" s="20" t="s">
        <v>655</v>
      </c>
      <c r="D115" s="150">
        <v>880000</v>
      </c>
      <c r="E115" s="20" t="s">
        <v>633</v>
      </c>
      <c r="F115" s="20" t="s">
        <v>207</v>
      </c>
      <c r="G115" s="8" t="str">
        <f t="shared" si="1"/>
        <v>STEWART MICHAEL</v>
      </c>
    </row>
    <row r="116" spans="1:7" x14ac:dyDescent="0.25">
      <c r="A116" s="8">
        <v>42769.536539351851</v>
      </c>
      <c r="B116" s="20" t="s">
        <v>264</v>
      </c>
      <c r="C116" s="20" t="s">
        <v>656</v>
      </c>
      <c r="D116" s="150">
        <v>1540000</v>
      </c>
      <c r="E116" s="20" t="s">
        <v>350</v>
      </c>
      <c r="F116" s="20" t="s">
        <v>351</v>
      </c>
      <c r="G116" s="8" t="str">
        <f t="shared" si="1"/>
        <v>HELVIE ADAM</v>
      </c>
    </row>
    <row r="117" spans="1:7" x14ac:dyDescent="0.25">
      <c r="A117" s="8">
        <v>42769.538194444445</v>
      </c>
      <c r="B117" s="20" t="s">
        <v>548</v>
      </c>
      <c r="C117" s="20" t="s">
        <v>657</v>
      </c>
      <c r="D117" s="150">
        <v>1780000</v>
      </c>
      <c r="E117" s="20" t="s">
        <v>636</v>
      </c>
      <c r="F117" s="20" t="s">
        <v>637</v>
      </c>
      <c r="G117" s="8" t="str">
        <f t="shared" si="1"/>
        <v>DE LA ROSA ALEX</v>
      </c>
    </row>
    <row r="118" spans="1:7" x14ac:dyDescent="0.25">
      <c r="A118" s="8">
        <v>42769.542696759258</v>
      </c>
      <c r="B118" s="20" t="s">
        <v>387</v>
      </c>
      <c r="C118" s="20" t="s">
        <v>658</v>
      </c>
      <c r="D118" s="150">
        <v>2030000</v>
      </c>
      <c r="E118" s="20" t="s">
        <v>649</v>
      </c>
      <c r="F118" s="20" t="s">
        <v>650</v>
      </c>
      <c r="G118" s="8" t="str">
        <f t="shared" si="1"/>
        <v>KILLION DAVID</v>
      </c>
    </row>
    <row r="119" spans="1:7" x14ac:dyDescent="0.25">
      <c r="A119" s="8">
        <v>42769.544270833336</v>
      </c>
      <c r="B119" s="20" t="s">
        <v>390</v>
      </c>
      <c r="C119" s="20" t="s">
        <v>544</v>
      </c>
      <c r="D119" s="150">
        <v>1180000</v>
      </c>
      <c r="E119" s="20" t="s">
        <v>320</v>
      </c>
      <c r="F119" s="20" t="s">
        <v>321</v>
      </c>
      <c r="G119" s="8" t="str">
        <f t="shared" si="1"/>
        <v>LEVERE CRAIG</v>
      </c>
    </row>
    <row r="120" spans="1:7" x14ac:dyDescent="0.25">
      <c r="A120" s="8">
        <v>42769.547824074078</v>
      </c>
      <c r="B120" s="20" t="s">
        <v>197</v>
      </c>
      <c r="C120" s="20" t="s">
        <v>659</v>
      </c>
      <c r="D120" s="150">
        <v>930000</v>
      </c>
      <c r="E120" s="20" t="s">
        <v>318</v>
      </c>
      <c r="F120" s="20" t="s">
        <v>319</v>
      </c>
      <c r="G120" s="8" t="str">
        <f t="shared" si="1"/>
        <v>CLARK KATHLEEN</v>
      </c>
    </row>
    <row r="121" spans="1:7" x14ac:dyDescent="0.25">
      <c r="A121" s="8">
        <v>42769.551157407404</v>
      </c>
      <c r="B121" s="20" t="s">
        <v>224</v>
      </c>
      <c r="C121" s="20" t="s">
        <v>545</v>
      </c>
      <c r="D121" s="150">
        <v>1190000</v>
      </c>
      <c r="E121" s="20" t="s">
        <v>329</v>
      </c>
      <c r="F121" s="20" t="s">
        <v>330</v>
      </c>
      <c r="G121" s="8" t="str">
        <f t="shared" si="1"/>
        <v>BRANNON JEFFREY</v>
      </c>
    </row>
    <row r="122" spans="1:7" x14ac:dyDescent="0.25">
      <c r="A122" s="8">
        <v>42769.558495370373</v>
      </c>
      <c r="B122" s="25" t="s">
        <v>540</v>
      </c>
      <c r="C122" s="20" t="s">
        <v>660</v>
      </c>
      <c r="D122" s="150">
        <v>1770000</v>
      </c>
      <c r="E122" s="20" t="s">
        <v>352</v>
      </c>
      <c r="F122" s="20" t="s">
        <v>353</v>
      </c>
      <c r="G122" s="8" t="str">
        <f t="shared" si="1"/>
        <v>BRUDER RICHARD</v>
      </c>
    </row>
    <row r="123" spans="1:7" x14ac:dyDescent="0.25">
      <c r="A123" s="8">
        <v>42769.567812499998</v>
      </c>
      <c r="B123" s="20" t="s">
        <v>391</v>
      </c>
      <c r="C123" s="20" t="s">
        <v>661</v>
      </c>
      <c r="D123" s="150">
        <v>880000</v>
      </c>
      <c r="E123" s="20" t="s">
        <v>633</v>
      </c>
      <c r="F123" s="20" t="s">
        <v>207</v>
      </c>
      <c r="G123" s="8" t="str">
        <f t="shared" si="1"/>
        <v>STEWART MICHAEL</v>
      </c>
    </row>
    <row r="124" spans="1:7" x14ac:dyDescent="0.25">
      <c r="A124" s="8">
        <v>42769.568958333337</v>
      </c>
      <c r="B124" s="20" t="s">
        <v>385</v>
      </c>
      <c r="C124" s="20" t="s">
        <v>662</v>
      </c>
      <c r="D124" s="150">
        <v>1180000</v>
      </c>
      <c r="E124" s="20" t="s">
        <v>320</v>
      </c>
      <c r="F124" s="20" t="s">
        <v>321</v>
      </c>
      <c r="G124" s="8" t="str">
        <f t="shared" si="1"/>
        <v>LEVERE CRAIG</v>
      </c>
    </row>
    <row r="125" spans="1:7" x14ac:dyDescent="0.25">
      <c r="A125" s="8">
        <v>42769.569722222222</v>
      </c>
      <c r="B125" s="20" t="s">
        <v>536</v>
      </c>
      <c r="C125" s="20" t="s">
        <v>663</v>
      </c>
      <c r="D125" s="150">
        <v>1540000</v>
      </c>
      <c r="E125" s="20" t="s">
        <v>350</v>
      </c>
      <c r="F125" s="20" t="s">
        <v>351</v>
      </c>
      <c r="G125" s="8" t="str">
        <f t="shared" si="1"/>
        <v>HELVIE ADAM</v>
      </c>
    </row>
    <row r="126" spans="1:7" x14ac:dyDescent="0.25">
      <c r="A126" s="8">
        <v>42769.577581018515</v>
      </c>
      <c r="B126" s="20" t="s">
        <v>586</v>
      </c>
      <c r="C126" s="20" t="s">
        <v>664</v>
      </c>
      <c r="D126" s="150">
        <v>1780000</v>
      </c>
      <c r="E126" s="20" t="s">
        <v>636</v>
      </c>
      <c r="F126" s="20" t="s">
        <v>637</v>
      </c>
      <c r="G126" s="8" t="str">
        <f t="shared" si="1"/>
        <v>DE LA ROSA ALEX</v>
      </c>
    </row>
    <row r="127" spans="1:7" x14ac:dyDescent="0.25">
      <c r="A127" s="8">
        <v>42769.578541666669</v>
      </c>
      <c r="B127" s="20" t="s">
        <v>392</v>
      </c>
      <c r="C127" s="20" t="s">
        <v>665</v>
      </c>
      <c r="D127" s="150">
        <v>2030000</v>
      </c>
      <c r="E127" s="20" t="s">
        <v>649</v>
      </c>
      <c r="F127" s="20" t="s">
        <v>650</v>
      </c>
      <c r="G127" s="8" t="str">
        <f t="shared" si="1"/>
        <v>KILLION DAVID</v>
      </c>
    </row>
    <row r="128" spans="1:7" x14ac:dyDescent="0.25">
      <c r="A128" s="8">
        <v>42769.585243055553</v>
      </c>
      <c r="B128" s="20" t="s">
        <v>231</v>
      </c>
      <c r="C128" s="20" t="s">
        <v>666</v>
      </c>
      <c r="D128" s="150">
        <v>930000</v>
      </c>
      <c r="E128" s="20" t="s">
        <v>318</v>
      </c>
      <c r="F128" s="20" t="s">
        <v>319</v>
      </c>
      <c r="G128" s="8" t="str">
        <f t="shared" si="1"/>
        <v>CLARK KATHLEEN</v>
      </c>
    </row>
    <row r="129" spans="1:7" x14ac:dyDescent="0.25">
      <c r="A129" s="8">
        <v>42769.589432870373</v>
      </c>
      <c r="B129" s="20" t="s">
        <v>247</v>
      </c>
      <c r="C129" s="20" t="s">
        <v>667</v>
      </c>
      <c r="D129" s="150">
        <v>1190000</v>
      </c>
      <c r="E129" s="20" t="s">
        <v>329</v>
      </c>
      <c r="F129" s="20" t="s">
        <v>330</v>
      </c>
      <c r="G129" s="8" t="str">
        <f t="shared" si="1"/>
        <v>BRANNON JEFFREY</v>
      </c>
    </row>
    <row r="130" spans="1:7" x14ac:dyDescent="0.25">
      <c r="A130" s="8">
        <v>42769.59065972222</v>
      </c>
      <c r="B130" s="20" t="s">
        <v>390</v>
      </c>
      <c r="C130" s="20" t="s">
        <v>668</v>
      </c>
      <c r="D130" s="150">
        <v>1180000</v>
      </c>
      <c r="E130" s="20" t="s">
        <v>320</v>
      </c>
      <c r="F130" s="20" t="s">
        <v>321</v>
      </c>
      <c r="G130" s="8" t="str">
        <f t="shared" si="1"/>
        <v>LEVERE CRAIG</v>
      </c>
    </row>
    <row r="131" spans="1:7" x14ac:dyDescent="0.25">
      <c r="A131" s="8">
        <v>42769.597858796296</v>
      </c>
      <c r="B131" s="20" t="s">
        <v>527</v>
      </c>
      <c r="C131" s="20" t="s">
        <v>669</v>
      </c>
      <c r="D131" s="150">
        <v>1770000</v>
      </c>
      <c r="E131" s="20" t="s">
        <v>352</v>
      </c>
      <c r="F131" s="20" t="s">
        <v>353</v>
      </c>
      <c r="G131" s="8" t="str">
        <f t="shared" ref="G131:G194" si="2">E131&amp;" "&amp;F131</f>
        <v>BRUDER RICHARD</v>
      </c>
    </row>
    <row r="132" spans="1:7" x14ac:dyDescent="0.25">
      <c r="A132" s="8">
        <v>42769.598854166667</v>
      </c>
      <c r="B132" s="20" t="s">
        <v>277</v>
      </c>
      <c r="C132" s="20" t="s">
        <v>661</v>
      </c>
      <c r="D132" s="150">
        <v>880000</v>
      </c>
      <c r="E132" s="20" t="s">
        <v>633</v>
      </c>
      <c r="F132" s="20" t="s">
        <v>207</v>
      </c>
      <c r="G132" s="8" t="str">
        <f t="shared" si="2"/>
        <v>STEWART MICHAEL</v>
      </c>
    </row>
    <row r="133" spans="1:7" x14ac:dyDescent="0.25">
      <c r="A133" s="8">
        <v>42769.600659722222</v>
      </c>
      <c r="B133" s="20" t="s">
        <v>277</v>
      </c>
      <c r="C133" s="20" t="s">
        <v>546</v>
      </c>
      <c r="D133" s="150">
        <v>880000</v>
      </c>
      <c r="E133" s="20" t="s">
        <v>633</v>
      </c>
      <c r="F133" s="20" t="s">
        <v>207</v>
      </c>
      <c r="G133" s="8" t="str">
        <f t="shared" si="2"/>
        <v>STEWART MICHAEL</v>
      </c>
    </row>
    <row r="134" spans="1:7" x14ac:dyDescent="0.25">
      <c r="A134" s="8">
        <v>42769.608773148146</v>
      </c>
      <c r="B134" s="20" t="s">
        <v>277</v>
      </c>
      <c r="C134" s="20" t="s">
        <v>546</v>
      </c>
      <c r="D134" s="150">
        <v>880000</v>
      </c>
      <c r="E134" s="20" t="s">
        <v>633</v>
      </c>
      <c r="F134" s="20" t="s">
        <v>207</v>
      </c>
      <c r="G134" s="8" t="str">
        <f t="shared" si="2"/>
        <v>STEWART MICHAEL</v>
      </c>
    </row>
    <row r="135" spans="1:7" x14ac:dyDescent="0.25">
      <c r="A135" s="8">
        <v>42769.608993055554</v>
      </c>
      <c r="B135" s="20" t="s">
        <v>385</v>
      </c>
      <c r="C135" s="20" t="s">
        <v>670</v>
      </c>
      <c r="D135" s="150">
        <v>1180000</v>
      </c>
      <c r="E135" s="20" t="s">
        <v>320</v>
      </c>
      <c r="F135" s="20" t="s">
        <v>321</v>
      </c>
      <c r="G135" s="8" t="str">
        <f t="shared" si="2"/>
        <v>LEVERE CRAIG</v>
      </c>
    </row>
    <row r="136" spans="1:7" x14ac:dyDescent="0.25">
      <c r="A136" s="8">
        <v>42769.609409722223</v>
      </c>
      <c r="B136" s="20" t="s">
        <v>264</v>
      </c>
      <c r="C136" s="20" t="s">
        <v>671</v>
      </c>
      <c r="D136" s="150">
        <v>1540000</v>
      </c>
      <c r="E136" s="20" t="s">
        <v>350</v>
      </c>
      <c r="F136" s="20" t="s">
        <v>351</v>
      </c>
      <c r="G136" s="8" t="str">
        <f t="shared" si="2"/>
        <v>HELVIE ADAM</v>
      </c>
    </row>
    <row r="137" spans="1:7" x14ac:dyDescent="0.25">
      <c r="A137" s="8">
        <v>42769.61173611111</v>
      </c>
      <c r="B137" s="20" t="s">
        <v>548</v>
      </c>
      <c r="C137" s="20" t="s">
        <v>672</v>
      </c>
      <c r="D137" s="150">
        <v>1360000</v>
      </c>
      <c r="E137" s="20" t="s">
        <v>270</v>
      </c>
      <c r="F137" s="20" t="s">
        <v>271</v>
      </c>
      <c r="G137" s="8" t="str">
        <f t="shared" si="2"/>
        <v>SANTIZO D. EDY</v>
      </c>
    </row>
    <row r="138" spans="1:7" x14ac:dyDescent="0.25">
      <c r="A138" s="8">
        <v>42769.615740740737</v>
      </c>
      <c r="B138" s="20" t="s">
        <v>387</v>
      </c>
      <c r="C138" s="20" t="s">
        <v>673</v>
      </c>
      <c r="D138" s="150">
        <v>2030000</v>
      </c>
      <c r="E138" s="20" t="s">
        <v>649</v>
      </c>
      <c r="F138" s="20" t="s">
        <v>650</v>
      </c>
      <c r="G138" s="8" t="str">
        <f t="shared" si="2"/>
        <v>KILLION DAVID</v>
      </c>
    </row>
    <row r="139" spans="1:7" x14ac:dyDescent="0.25">
      <c r="A139" s="8">
        <v>42769.620868055557</v>
      </c>
      <c r="B139" s="20" t="s">
        <v>197</v>
      </c>
      <c r="C139" s="20" t="s">
        <v>674</v>
      </c>
      <c r="D139" s="150">
        <v>930000</v>
      </c>
      <c r="E139" s="20" t="s">
        <v>318</v>
      </c>
      <c r="F139" s="20" t="s">
        <v>319</v>
      </c>
      <c r="G139" s="8" t="str">
        <f t="shared" si="2"/>
        <v>CLARK KATHLEEN</v>
      </c>
    </row>
    <row r="140" spans="1:7" x14ac:dyDescent="0.25">
      <c r="A140" s="8">
        <v>42769.627488425926</v>
      </c>
      <c r="B140" s="20" t="s">
        <v>224</v>
      </c>
      <c r="C140" s="20" t="s">
        <v>675</v>
      </c>
      <c r="D140" s="150">
        <v>1190000</v>
      </c>
      <c r="E140" s="20" t="s">
        <v>329</v>
      </c>
      <c r="F140" s="20" t="s">
        <v>330</v>
      </c>
      <c r="G140" s="8" t="str">
        <f t="shared" si="2"/>
        <v>BRANNON JEFFREY</v>
      </c>
    </row>
    <row r="141" spans="1:7" x14ac:dyDescent="0.25">
      <c r="A141" s="8">
        <v>42769.629907407405</v>
      </c>
      <c r="B141" s="20" t="s">
        <v>390</v>
      </c>
      <c r="C141" s="20" t="s">
        <v>676</v>
      </c>
      <c r="D141" s="150">
        <v>1180000</v>
      </c>
      <c r="E141" s="20" t="s">
        <v>320</v>
      </c>
      <c r="F141" s="20" t="s">
        <v>321</v>
      </c>
      <c r="G141" s="8" t="str">
        <f t="shared" si="2"/>
        <v>LEVERE CRAIG</v>
      </c>
    </row>
    <row r="142" spans="1:7" x14ac:dyDescent="0.25">
      <c r="A142" s="8">
        <v>42769.63045138889</v>
      </c>
      <c r="B142" s="20" t="s">
        <v>540</v>
      </c>
      <c r="C142" s="20" t="s">
        <v>677</v>
      </c>
      <c r="D142" s="150">
        <v>1770000</v>
      </c>
      <c r="E142" s="20" t="s">
        <v>352</v>
      </c>
      <c r="F142" s="20" t="s">
        <v>353</v>
      </c>
      <c r="G142" s="8" t="str">
        <f t="shared" si="2"/>
        <v>BRUDER RICHARD</v>
      </c>
    </row>
    <row r="143" spans="1:7" x14ac:dyDescent="0.25">
      <c r="A143" s="8">
        <v>42769.640740740739</v>
      </c>
      <c r="B143" s="20" t="s">
        <v>278</v>
      </c>
      <c r="C143" s="20" t="s">
        <v>678</v>
      </c>
      <c r="D143" s="150">
        <v>880000</v>
      </c>
      <c r="E143" s="20" t="s">
        <v>633</v>
      </c>
      <c r="F143" s="20" t="s">
        <v>207</v>
      </c>
      <c r="G143" s="8" t="str">
        <f t="shared" si="2"/>
        <v>STEWART MICHAEL</v>
      </c>
    </row>
    <row r="144" spans="1:7" x14ac:dyDescent="0.25">
      <c r="A144" s="8">
        <v>42769.640810185185</v>
      </c>
      <c r="B144" s="20" t="s">
        <v>586</v>
      </c>
      <c r="C144" s="20" t="s">
        <v>679</v>
      </c>
      <c r="D144" s="150">
        <v>1360000</v>
      </c>
      <c r="E144" s="20" t="s">
        <v>270</v>
      </c>
      <c r="F144" s="20" t="s">
        <v>271</v>
      </c>
      <c r="G144" s="8" t="str">
        <f t="shared" si="2"/>
        <v>SANTIZO D. EDY</v>
      </c>
    </row>
    <row r="145" spans="1:7" x14ac:dyDescent="0.25">
      <c r="A145" s="8">
        <v>42769.641921296294</v>
      </c>
      <c r="B145" s="20" t="s">
        <v>214</v>
      </c>
      <c r="C145" s="20" t="s">
        <v>680</v>
      </c>
      <c r="D145" s="150">
        <v>2540000</v>
      </c>
      <c r="E145" s="20" t="s">
        <v>235</v>
      </c>
      <c r="F145" s="20" t="s">
        <v>236</v>
      </c>
      <c r="G145" s="8" t="str">
        <f t="shared" si="2"/>
        <v>MCREYNOLDS KYLE</v>
      </c>
    </row>
    <row r="146" spans="1:7" x14ac:dyDescent="0.25">
      <c r="A146" s="8">
        <v>42769.643784722219</v>
      </c>
      <c r="B146" s="20" t="s">
        <v>536</v>
      </c>
      <c r="C146" s="20" t="s">
        <v>681</v>
      </c>
      <c r="D146" s="150">
        <v>1540000</v>
      </c>
      <c r="E146" s="20" t="s">
        <v>350</v>
      </c>
      <c r="F146" s="20" t="s">
        <v>351</v>
      </c>
      <c r="G146" s="8" t="str">
        <f t="shared" si="2"/>
        <v>HELVIE ADAM</v>
      </c>
    </row>
    <row r="147" spans="1:7" x14ac:dyDescent="0.25">
      <c r="A147" s="8">
        <v>42769.649305555555</v>
      </c>
      <c r="B147" s="20" t="s">
        <v>238</v>
      </c>
      <c r="C147" s="20" t="s">
        <v>682</v>
      </c>
      <c r="D147" s="150">
        <v>2420000</v>
      </c>
      <c r="E147" s="20" t="s">
        <v>683</v>
      </c>
      <c r="F147" s="20" t="s">
        <v>684</v>
      </c>
      <c r="G147" s="8" t="str">
        <f t="shared" si="2"/>
        <v>HOLCOMB KAMDEN</v>
      </c>
    </row>
    <row r="148" spans="1:7" x14ac:dyDescent="0.25">
      <c r="A148" s="8">
        <v>42769.650740740741</v>
      </c>
      <c r="B148" s="20" t="s">
        <v>385</v>
      </c>
      <c r="C148" s="20" t="s">
        <v>685</v>
      </c>
      <c r="D148" s="150">
        <v>1180000</v>
      </c>
      <c r="E148" s="20" t="s">
        <v>320</v>
      </c>
      <c r="F148" s="20" t="s">
        <v>321</v>
      </c>
      <c r="G148" s="8" t="str">
        <f t="shared" si="2"/>
        <v>LEVERE CRAIG</v>
      </c>
    </row>
    <row r="149" spans="1:7" x14ac:dyDescent="0.25">
      <c r="A149" s="8">
        <v>42769.653506944444</v>
      </c>
      <c r="B149" s="20" t="s">
        <v>392</v>
      </c>
      <c r="C149" s="20" t="s">
        <v>686</v>
      </c>
      <c r="D149" s="150">
        <v>2030000</v>
      </c>
      <c r="E149" s="20" t="s">
        <v>649</v>
      </c>
      <c r="F149" s="20" t="s">
        <v>650</v>
      </c>
      <c r="G149" s="8" t="str">
        <f t="shared" si="2"/>
        <v>KILLION DAVID</v>
      </c>
    </row>
    <row r="150" spans="1:7" x14ac:dyDescent="0.25">
      <c r="A150" s="8">
        <v>42769.65834490741</v>
      </c>
      <c r="B150" s="20" t="s">
        <v>231</v>
      </c>
      <c r="C150" s="20" t="s">
        <v>687</v>
      </c>
      <c r="D150" s="150">
        <v>930000</v>
      </c>
      <c r="E150" s="20" t="s">
        <v>318</v>
      </c>
      <c r="F150" s="20" t="s">
        <v>319</v>
      </c>
      <c r="G150" s="8" t="str">
        <f t="shared" si="2"/>
        <v>CLARK KATHLEEN</v>
      </c>
    </row>
    <row r="151" spans="1:7" x14ac:dyDescent="0.25">
      <c r="A151" s="8">
        <v>42769.661932870367</v>
      </c>
      <c r="B151" s="20" t="s">
        <v>247</v>
      </c>
      <c r="C151" s="20" t="s">
        <v>688</v>
      </c>
      <c r="D151" s="150">
        <v>1190000</v>
      </c>
      <c r="E151" s="20" t="s">
        <v>329</v>
      </c>
      <c r="F151" s="20" t="s">
        <v>330</v>
      </c>
      <c r="G151" s="8" t="str">
        <f t="shared" si="2"/>
        <v>BRANNON JEFFREY</v>
      </c>
    </row>
    <row r="152" spans="1:7" x14ac:dyDescent="0.25">
      <c r="A152" s="8">
        <v>42769.669236111113</v>
      </c>
      <c r="B152" s="20" t="s">
        <v>527</v>
      </c>
      <c r="C152" s="20" t="s">
        <v>689</v>
      </c>
      <c r="D152" s="150">
        <v>1770000</v>
      </c>
      <c r="E152" s="20" t="s">
        <v>352</v>
      </c>
      <c r="F152" s="20" t="s">
        <v>353</v>
      </c>
      <c r="G152" s="8" t="str">
        <f t="shared" si="2"/>
        <v>BRUDER RICHARD</v>
      </c>
    </row>
    <row r="153" spans="1:7" x14ac:dyDescent="0.25">
      <c r="A153" s="8">
        <v>42769.671620370369</v>
      </c>
      <c r="B153" s="20" t="s">
        <v>214</v>
      </c>
      <c r="C153" s="20" t="s">
        <v>690</v>
      </c>
      <c r="D153" s="150">
        <v>2420000</v>
      </c>
      <c r="E153" s="20" t="s">
        <v>683</v>
      </c>
      <c r="F153" s="20" t="s">
        <v>684</v>
      </c>
      <c r="G153" s="8" t="str">
        <f t="shared" si="2"/>
        <v>HOLCOMB KAMDEN</v>
      </c>
    </row>
    <row r="154" spans="1:7" x14ac:dyDescent="0.25">
      <c r="A154" s="8">
        <v>42769.673356481479</v>
      </c>
      <c r="B154" s="20" t="s">
        <v>277</v>
      </c>
      <c r="C154" s="20" t="s">
        <v>691</v>
      </c>
      <c r="D154" s="150">
        <v>880000</v>
      </c>
      <c r="E154" s="20" t="s">
        <v>633</v>
      </c>
      <c r="F154" s="20" t="s">
        <v>207</v>
      </c>
      <c r="G154" s="8" t="str">
        <f t="shared" si="2"/>
        <v>STEWART MICHAEL</v>
      </c>
    </row>
    <row r="155" spans="1:7" x14ac:dyDescent="0.25">
      <c r="A155" s="8">
        <v>42769.676689814813</v>
      </c>
      <c r="B155" s="20" t="s">
        <v>390</v>
      </c>
      <c r="C155" s="20" t="s">
        <v>692</v>
      </c>
      <c r="D155" s="150">
        <v>1180000</v>
      </c>
      <c r="E155" s="20" t="s">
        <v>320</v>
      </c>
      <c r="F155" s="20" t="s">
        <v>321</v>
      </c>
      <c r="G155" s="8" t="str">
        <f t="shared" si="2"/>
        <v>LEVERE CRAIG</v>
      </c>
    </row>
    <row r="156" spans="1:7" x14ac:dyDescent="0.25">
      <c r="A156" s="8">
        <v>42769.682233796295</v>
      </c>
      <c r="B156" s="20" t="s">
        <v>264</v>
      </c>
      <c r="C156" s="20" t="s">
        <v>693</v>
      </c>
      <c r="D156" s="150">
        <v>1540000</v>
      </c>
      <c r="E156" s="20" t="s">
        <v>350</v>
      </c>
      <c r="F156" s="20" t="s">
        <v>351</v>
      </c>
      <c r="G156" s="8" t="str">
        <f t="shared" si="2"/>
        <v>HELVIE ADAM</v>
      </c>
    </row>
    <row r="157" spans="1:7" x14ac:dyDescent="0.25">
      <c r="A157" s="8">
        <v>42769.682881944442</v>
      </c>
      <c r="B157" s="20" t="s">
        <v>548</v>
      </c>
      <c r="C157" s="20" t="s">
        <v>694</v>
      </c>
      <c r="D157" s="150">
        <v>1780000</v>
      </c>
      <c r="E157" s="20" t="s">
        <v>636</v>
      </c>
      <c r="F157" s="20" t="s">
        <v>637</v>
      </c>
      <c r="G157" s="8" t="str">
        <f t="shared" si="2"/>
        <v>DE LA ROSA ALEX</v>
      </c>
    </row>
    <row r="158" spans="1:7" x14ac:dyDescent="0.25">
      <c r="A158" s="8">
        <v>42769.686932870369</v>
      </c>
      <c r="B158" s="20" t="s">
        <v>238</v>
      </c>
      <c r="C158" s="20" t="s">
        <v>695</v>
      </c>
      <c r="D158" s="150">
        <v>2540000</v>
      </c>
      <c r="E158" s="20" t="s">
        <v>235</v>
      </c>
      <c r="F158" s="20" t="s">
        <v>236</v>
      </c>
      <c r="G158" s="8" t="str">
        <f t="shared" si="2"/>
        <v>MCREYNOLDS KYLE</v>
      </c>
    </row>
    <row r="159" spans="1:7" x14ac:dyDescent="0.25">
      <c r="A159" s="8">
        <v>42769.687708333331</v>
      </c>
      <c r="B159" s="20" t="s">
        <v>387</v>
      </c>
      <c r="C159" s="20" t="s">
        <v>696</v>
      </c>
      <c r="D159" s="150">
        <v>2030000</v>
      </c>
      <c r="E159" s="20" t="s">
        <v>649</v>
      </c>
      <c r="F159" s="20" t="s">
        <v>650</v>
      </c>
      <c r="G159" s="8" t="str">
        <f t="shared" si="2"/>
        <v>KILLION DAVID</v>
      </c>
    </row>
    <row r="160" spans="1:7" x14ac:dyDescent="0.25">
      <c r="A160" s="8">
        <v>42769.692453703705</v>
      </c>
      <c r="B160" s="20" t="s">
        <v>385</v>
      </c>
      <c r="C160" s="20" t="s">
        <v>697</v>
      </c>
      <c r="D160" s="150">
        <v>1180000</v>
      </c>
      <c r="E160" s="20" t="s">
        <v>320</v>
      </c>
      <c r="F160" s="20" t="s">
        <v>321</v>
      </c>
      <c r="G160" s="8" t="str">
        <f t="shared" si="2"/>
        <v>LEVERE CRAIG</v>
      </c>
    </row>
    <row r="161" spans="1:7" x14ac:dyDescent="0.25">
      <c r="A161" s="8">
        <v>42769.693078703705</v>
      </c>
      <c r="B161" s="20" t="s">
        <v>224</v>
      </c>
      <c r="C161" s="20" t="s">
        <v>547</v>
      </c>
      <c r="D161" s="150">
        <v>1190000</v>
      </c>
      <c r="E161" s="20" t="s">
        <v>329</v>
      </c>
      <c r="F161" s="20" t="s">
        <v>330</v>
      </c>
      <c r="G161" s="8" t="str">
        <f t="shared" si="2"/>
        <v>BRANNON JEFFREY</v>
      </c>
    </row>
    <row r="162" spans="1:7" x14ac:dyDescent="0.25">
      <c r="A162" s="8">
        <v>42769.694502314815</v>
      </c>
      <c r="B162" s="20" t="s">
        <v>197</v>
      </c>
      <c r="C162" s="20" t="s">
        <v>698</v>
      </c>
      <c r="D162" s="150">
        <v>930000</v>
      </c>
      <c r="E162" s="20" t="s">
        <v>318</v>
      </c>
      <c r="F162" s="20" t="s">
        <v>319</v>
      </c>
      <c r="G162" s="8" t="str">
        <f t="shared" si="2"/>
        <v>CLARK KATHLEEN</v>
      </c>
    </row>
    <row r="163" spans="1:7" x14ac:dyDescent="0.25">
      <c r="A163" s="8">
        <v>42769.704317129632</v>
      </c>
      <c r="B163" s="20" t="s">
        <v>540</v>
      </c>
      <c r="C163" s="20" t="s">
        <v>699</v>
      </c>
      <c r="D163" s="150">
        <v>1770000</v>
      </c>
      <c r="E163" s="20" t="s">
        <v>352</v>
      </c>
      <c r="F163" s="20" t="s">
        <v>353</v>
      </c>
      <c r="G163" s="8" t="str">
        <f t="shared" si="2"/>
        <v>BRUDER RICHARD</v>
      </c>
    </row>
    <row r="164" spans="1:7" x14ac:dyDescent="0.25">
      <c r="A164" s="8">
        <v>42769.712511574071</v>
      </c>
      <c r="B164" s="20" t="s">
        <v>278</v>
      </c>
      <c r="C164" s="20" t="s">
        <v>700</v>
      </c>
      <c r="D164" s="150">
        <v>880000</v>
      </c>
      <c r="E164" s="20" t="s">
        <v>633</v>
      </c>
      <c r="F164" s="20" t="s">
        <v>207</v>
      </c>
      <c r="G164" s="8" t="str">
        <f t="shared" si="2"/>
        <v>STEWART MICHAEL</v>
      </c>
    </row>
    <row r="165" spans="1:7" x14ac:dyDescent="0.25">
      <c r="A165" s="8">
        <v>42769.714675925927</v>
      </c>
      <c r="B165" s="20" t="s">
        <v>536</v>
      </c>
      <c r="C165" s="20" t="s">
        <v>701</v>
      </c>
      <c r="D165" s="150">
        <v>1540000</v>
      </c>
      <c r="E165" s="20" t="s">
        <v>350</v>
      </c>
      <c r="F165" s="20" t="s">
        <v>351</v>
      </c>
      <c r="G165" s="8" t="str">
        <f t="shared" si="2"/>
        <v>HELVIE ADAM</v>
      </c>
    </row>
    <row r="166" spans="1:7" x14ac:dyDescent="0.25">
      <c r="A166" s="8">
        <v>42769.714849537035</v>
      </c>
      <c r="B166" s="20" t="s">
        <v>214</v>
      </c>
      <c r="C166" s="20" t="s">
        <v>702</v>
      </c>
      <c r="D166" s="150">
        <v>2540000</v>
      </c>
      <c r="E166" s="20" t="s">
        <v>235</v>
      </c>
      <c r="F166" s="20" t="s">
        <v>236</v>
      </c>
      <c r="G166" s="8" t="str">
        <f t="shared" si="2"/>
        <v>MCREYNOLDS KYLE</v>
      </c>
    </row>
    <row r="167" spans="1:7" x14ac:dyDescent="0.25">
      <c r="A167" s="8">
        <v>42769.717789351853</v>
      </c>
      <c r="B167" s="20" t="s">
        <v>390</v>
      </c>
      <c r="C167" s="20" t="s">
        <v>703</v>
      </c>
      <c r="D167" s="150">
        <v>1180000</v>
      </c>
      <c r="E167" s="20" t="s">
        <v>320</v>
      </c>
      <c r="F167" s="20" t="s">
        <v>321</v>
      </c>
      <c r="G167" s="8" t="str">
        <f t="shared" si="2"/>
        <v>LEVERE CRAIG</v>
      </c>
    </row>
    <row r="168" spans="1:7" x14ac:dyDescent="0.25">
      <c r="A168" s="8">
        <v>42769.723773148151</v>
      </c>
      <c r="B168" s="20" t="s">
        <v>586</v>
      </c>
      <c r="C168" s="20" t="s">
        <v>704</v>
      </c>
      <c r="D168" s="150">
        <v>1780000</v>
      </c>
      <c r="E168" s="20" t="s">
        <v>636</v>
      </c>
      <c r="F168" s="20" t="s">
        <v>637</v>
      </c>
      <c r="G168" s="8" t="str">
        <f t="shared" si="2"/>
        <v>DE LA ROSA ALEX</v>
      </c>
    </row>
    <row r="169" spans="1:7" x14ac:dyDescent="0.25">
      <c r="A169" s="8">
        <v>42769.724999999999</v>
      </c>
      <c r="B169" s="20" t="s">
        <v>392</v>
      </c>
      <c r="C169" s="20" t="s">
        <v>705</v>
      </c>
      <c r="D169" s="150">
        <v>2030000</v>
      </c>
      <c r="E169" s="20" t="s">
        <v>649</v>
      </c>
      <c r="F169" s="20" t="s">
        <v>650</v>
      </c>
      <c r="G169" s="8" t="str">
        <f t="shared" si="2"/>
        <v>KILLION DAVID</v>
      </c>
    </row>
    <row r="170" spans="1:7" x14ac:dyDescent="0.25">
      <c r="A170" s="8">
        <v>42769.730011574073</v>
      </c>
      <c r="B170" s="20" t="s">
        <v>231</v>
      </c>
      <c r="C170" s="20" t="s">
        <v>706</v>
      </c>
      <c r="D170" s="150">
        <v>930000</v>
      </c>
      <c r="E170" s="20" t="s">
        <v>318</v>
      </c>
      <c r="F170" s="20" t="s">
        <v>319</v>
      </c>
      <c r="G170" s="8" t="str">
        <f t="shared" si="2"/>
        <v>CLARK KATHLEEN</v>
      </c>
    </row>
    <row r="171" spans="1:7" x14ac:dyDescent="0.25">
      <c r="A171" s="8">
        <v>42769.733773148146</v>
      </c>
      <c r="B171" s="20" t="s">
        <v>288</v>
      </c>
      <c r="C171" s="20" t="s">
        <v>707</v>
      </c>
      <c r="D171" s="150">
        <v>1760000</v>
      </c>
      <c r="E171" s="20" t="s">
        <v>708</v>
      </c>
      <c r="F171" s="20" t="s">
        <v>709</v>
      </c>
      <c r="G171" s="8" t="str">
        <f t="shared" si="2"/>
        <v>STRICKLAND EVAN</v>
      </c>
    </row>
    <row r="172" spans="1:7" x14ac:dyDescent="0.25">
      <c r="A172" s="8">
        <v>42769.734178240738</v>
      </c>
      <c r="B172" s="20" t="s">
        <v>385</v>
      </c>
      <c r="C172" s="20" t="s">
        <v>710</v>
      </c>
      <c r="D172" s="150">
        <v>1180000</v>
      </c>
      <c r="E172" s="20" t="s">
        <v>320</v>
      </c>
      <c r="F172" s="20" t="s">
        <v>321</v>
      </c>
      <c r="G172" s="8" t="str">
        <f t="shared" si="2"/>
        <v>LEVERE CRAIG</v>
      </c>
    </row>
    <row r="173" spans="1:7" x14ac:dyDescent="0.25">
      <c r="A173" s="8">
        <v>42769.736446759256</v>
      </c>
      <c r="B173" s="20" t="s">
        <v>195</v>
      </c>
      <c r="C173" s="20" t="s">
        <v>711</v>
      </c>
      <c r="D173" s="150">
        <v>2620000</v>
      </c>
      <c r="E173" s="20" t="s">
        <v>712</v>
      </c>
      <c r="F173" s="20" t="s">
        <v>713</v>
      </c>
      <c r="G173" s="8" t="str">
        <f t="shared" si="2"/>
        <v>PERKINS DARREN</v>
      </c>
    </row>
    <row r="174" spans="1:7" x14ac:dyDescent="0.25">
      <c r="A174" s="8">
        <v>42769.736875000002</v>
      </c>
      <c r="B174" s="20" t="s">
        <v>247</v>
      </c>
      <c r="C174" s="20" t="s">
        <v>714</v>
      </c>
      <c r="D174" s="150">
        <v>1740000</v>
      </c>
      <c r="E174" s="20" t="s">
        <v>241</v>
      </c>
      <c r="F174" s="20" t="s">
        <v>242</v>
      </c>
      <c r="G174" s="8" t="str">
        <f t="shared" si="2"/>
        <v>STORY SAMANTHA</v>
      </c>
    </row>
    <row r="175" spans="1:7" x14ac:dyDescent="0.25">
      <c r="A175" s="8">
        <v>42769.737118055556</v>
      </c>
      <c r="B175" s="20" t="s">
        <v>195</v>
      </c>
      <c r="C175" s="20" t="s">
        <v>711</v>
      </c>
      <c r="D175" s="150">
        <v>2620000</v>
      </c>
      <c r="E175" s="20" t="s">
        <v>712</v>
      </c>
      <c r="F175" s="20" t="s">
        <v>713</v>
      </c>
      <c r="G175" s="8" t="str">
        <f t="shared" si="2"/>
        <v>PERKINS DARREN</v>
      </c>
    </row>
    <row r="176" spans="1:7" x14ac:dyDescent="0.25">
      <c r="A176" s="8">
        <v>42769.738622685189</v>
      </c>
      <c r="B176" s="20" t="s">
        <v>238</v>
      </c>
      <c r="C176" s="20" t="s">
        <v>715</v>
      </c>
      <c r="D176" s="150">
        <v>2540000</v>
      </c>
      <c r="E176" s="20" t="s">
        <v>235</v>
      </c>
      <c r="F176" s="20" t="s">
        <v>236</v>
      </c>
      <c r="G176" s="8" t="str">
        <f t="shared" si="2"/>
        <v>MCREYNOLDS KYLE</v>
      </c>
    </row>
    <row r="177" spans="1:7" x14ac:dyDescent="0.25">
      <c r="A177" s="8">
        <v>42769.740023148152</v>
      </c>
      <c r="B177" s="20" t="s">
        <v>238</v>
      </c>
      <c r="C177" s="20" t="s">
        <v>715</v>
      </c>
      <c r="D177" s="150">
        <v>2540000</v>
      </c>
      <c r="E177" s="20" t="s">
        <v>235</v>
      </c>
      <c r="F177" s="20" t="s">
        <v>236</v>
      </c>
      <c r="G177" s="8" t="str">
        <f t="shared" si="2"/>
        <v>MCREYNOLDS KYLE</v>
      </c>
    </row>
    <row r="178" spans="1:7" x14ac:dyDescent="0.25">
      <c r="A178" s="8">
        <v>42769.742280092592</v>
      </c>
      <c r="B178" s="20" t="s">
        <v>527</v>
      </c>
      <c r="C178" s="20" t="s">
        <v>716</v>
      </c>
      <c r="D178" s="150">
        <v>1770000</v>
      </c>
      <c r="E178" s="20" t="s">
        <v>352</v>
      </c>
      <c r="F178" s="20" t="s">
        <v>353</v>
      </c>
      <c r="G178" s="8" t="str">
        <f t="shared" si="2"/>
        <v>BRUDER RICHARD</v>
      </c>
    </row>
    <row r="179" spans="1:7" x14ac:dyDescent="0.25">
      <c r="A179" s="8">
        <v>42769.74527777778</v>
      </c>
      <c r="B179" s="20" t="s">
        <v>277</v>
      </c>
      <c r="C179" s="20" t="s">
        <v>717</v>
      </c>
      <c r="D179" s="150">
        <v>1190000</v>
      </c>
      <c r="E179" s="20" t="s">
        <v>329</v>
      </c>
      <c r="F179" s="20" t="s">
        <v>330</v>
      </c>
      <c r="G179" s="8" t="str">
        <f t="shared" si="2"/>
        <v>BRANNON JEFFREY</v>
      </c>
    </row>
    <row r="180" spans="1:7" x14ac:dyDescent="0.25">
      <c r="A180" s="8">
        <v>42769.755173611113</v>
      </c>
      <c r="B180" s="20" t="s">
        <v>264</v>
      </c>
      <c r="C180" s="20" t="s">
        <v>718</v>
      </c>
      <c r="D180" s="150">
        <v>1540000</v>
      </c>
      <c r="E180" s="20" t="s">
        <v>350</v>
      </c>
      <c r="F180" s="20" t="s">
        <v>351</v>
      </c>
      <c r="G180" s="8" t="str">
        <f t="shared" si="2"/>
        <v>HELVIE ADAM</v>
      </c>
    </row>
    <row r="181" spans="1:7" x14ac:dyDescent="0.25">
      <c r="A181" s="8">
        <v>42769.756516203706</v>
      </c>
      <c r="B181" s="20" t="s">
        <v>548</v>
      </c>
      <c r="C181" s="20" t="s">
        <v>549</v>
      </c>
      <c r="D181" s="150">
        <v>2620000</v>
      </c>
      <c r="E181" s="20" t="s">
        <v>712</v>
      </c>
      <c r="F181" s="20" t="s">
        <v>713</v>
      </c>
      <c r="G181" s="8" t="str">
        <f t="shared" si="2"/>
        <v>PERKINS DARREN</v>
      </c>
    </row>
    <row r="182" spans="1:7" x14ac:dyDescent="0.25">
      <c r="A182" s="8">
        <v>42769.756956018522</v>
      </c>
      <c r="B182" s="20" t="s">
        <v>214</v>
      </c>
      <c r="C182" s="20" t="s">
        <v>719</v>
      </c>
      <c r="D182" s="150">
        <v>2540000</v>
      </c>
      <c r="E182" s="20" t="s">
        <v>235</v>
      </c>
      <c r="F182" s="20" t="s">
        <v>236</v>
      </c>
      <c r="G182" s="8" t="str">
        <f t="shared" si="2"/>
        <v>MCREYNOLDS KYLE</v>
      </c>
    </row>
    <row r="183" spans="1:7" x14ac:dyDescent="0.25">
      <c r="A183" s="8">
        <v>42769.758020833331</v>
      </c>
      <c r="B183" s="20" t="s">
        <v>390</v>
      </c>
      <c r="C183" s="20" t="s">
        <v>720</v>
      </c>
      <c r="D183" s="150">
        <v>1180000</v>
      </c>
      <c r="E183" s="20" t="s">
        <v>320</v>
      </c>
      <c r="F183" s="20" t="s">
        <v>321</v>
      </c>
      <c r="G183" s="8" t="str">
        <f t="shared" si="2"/>
        <v>LEVERE CRAIG</v>
      </c>
    </row>
    <row r="184" spans="1:7" x14ac:dyDescent="0.25">
      <c r="A184" s="8">
        <v>42769.760879629626</v>
      </c>
      <c r="B184" s="20" t="s">
        <v>192</v>
      </c>
      <c r="C184" s="20" t="s">
        <v>721</v>
      </c>
      <c r="D184" s="150">
        <v>1780000</v>
      </c>
      <c r="E184" s="20" t="s">
        <v>636</v>
      </c>
      <c r="F184" s="20" t="s">
        <v>637</v>
      </c>
      <c r="G184" s="8" t="str">
        <f t="shared" si="2"/>
        <v>DE LA ROSA ALEX</v>
      </c>
    </row>
    <row r="185" spans="1:7" x14ac:dyDescent="0.25">
      <c r="A185" s="8">
        <v>42769.767291666663</v>
      </c>
      <c r="B185" s="20" t="s">
        <v>387</v>
      </c>
      <c r="C185" s="20" t="s">
        <v>722</v>
      </c>
      <c r="D185" s="150">
        <v>2030000</v>
      </c>
      <c r="E185" s="20" t="s">
        <v>649</v>
      </c>
      <c r="F185" s="20" t="s">
        <v>650</v>
      </c>
      <c r="G185" s="8" t="str">
        <f t="shared" si="2"/>
        <v>KILLION DAVID</v>
      </c>
    </row>
    <row r="186" spans="1:7" x14ac:dyDescent="0.25">
      <c r="A186" s="8">
        <v>42769.772002314814</v>
      </c>
      <c r="B186" s="20" t="s">
        <v>197</v>
      </c>
      <c r="C186" s="20" t="s">
        <v>723</v>
      </c>
      <c r="D186" s="150">
        <v>2220000</v>
      </c>
      <c r="E186" s="20" t="s">
        <v>227</v>
      </c>
      <c r="F186" s="20" t="s">
        <v>228</v>
      </c>
      <c r="G186" s="8" t="str">
        <f t="shared" si="2"/>
        <v>HILLS DUSTIN</v>
      </c>
    </row>
    <row r="187" spans="1:7" x14ac:dyDescent="0.25">
      <c r="A187" s="8">
        <v>42769.772905092592</v>
      </c>
      <c r="B187" s="20" t="s">
        <v>238</v>
      </c>
      <c r="C187" s="20" t="s">
        <v>724</v>
      </c>
      <c r="D187" s="150">
        <v>2540000</v>
      </c>
      <c r="E187" s="20" t="s">
        <v>235</v>
      </c>
      <c r="F187" s="20" t="s">
        <v>236</v>
      </c>
      <c r="G187" s="8" t="str">
        <f t="shared" si="2"/>
        <v>MCREYNOLDS KYLE</v>
      </c>
    </row>
    <row r="188" spans="1:7" x14ac:dyDescent="0.25">
      <c r="A188" s="8">
        <v>42769.775497685187</v>
      </c>
      <c r="B188" s="20" t="s">
        <v>224</v>
      </c>
      <c r="C188" s="20" t="s">
        <v>725</v>
      </c>
      <c r="D188" s="150">
        <v>1740000</v>
      </c>
      <c r="E188" s="20" t="s">
        <v>241</v>
      </c>
      <c r="F188" s="20" t="s">
        <v>242</v>
      </c>
      <c r="G188" s="8" t="str">
        <f t="shared" si="2"/>
        <v>STORY SAMANTHA</v>
      </c>
    </row>
    <row r="189" spans="1:7" x14ac:dyDescent="0.25">
      <c r="A189" s="8">
        <v>42769.775995370372</v>
      </c>
      <c r="B189" s="20" t="s">
        <v>385</v>
      </c>
      <c r="C189" s="20" t="s">
        <v>726</v>
      </c>
      <c r="D189" s="150">
        <v>1180000</v>
      </c>
      <c r="E189" s="20" t="s">
        <v>320</v>
      </c>
      <c r="F189" s="20" t="s">
        <v>321</v>
      </c>
      <c r="G189" s="8" t="str">
        <f t="shared" si="2"/>
        <v>LEVERE CRAIG</v>
      </c>
    </row>
    <row r="190" spans="1:7" x14ac:dyDescent="0.25">
      <c r="A190" s="8">
        <v>42769.781863425924</v>
      </c>
      <c r="B190" s="20" t="s">
        <v>540</v>
      </c>
      <c r="C190" s="20" t="s">
        <v>727</v>
      </c>
      <c r="D190" s="150">
        <v>1770000</v>
      </c>
      <c r="E190" s="20" t="s">
        <v>352</v>
      </c>
      <c r="F190" s="20" t="s">
        <v>353</v>
      </c>
      <c r="G190" s="8" t="str">
        <f t="shared" si="2"/>
        <v>BRUDER RICHARD</v>
      </c>
    </row>
    <row r="191" spans="1:7" x14ac:dyDescent="0.25">
      <c r="A191" s="8">
        <v>42769.786261574074</v>
      </c>
      <c r="B191" s="20" t="s">
        <v>278</v>
      </c>
      <c r="C191" s="20" t="s">
        <v>728</v>
      </c>
      <c r="D191" s="150">
        <v>1190000</v>
      </c>
      <c r="E191" s="20" t="s">
        <v>329</v>
      </c>
      <c r="F191" s="20" t="s">
        <v>330</v>
      </c>
      <c r="G191" s="8" t="str">
        <f t="shared" si="2"/>
        <v>BRANNON JEFFREY</v>
      </c>
    </row>
    <row r="192" spans="1:7" x14ac:dyDescent="0.25">
      <c r="A192" s="8">
        <v>42769.790543981479</v>
      </c>
      <c r="B192" s="20" t="s">
        <v>536</v>
      </c>
      <c r="C192" s="20" t="s">
        <v>729</v>
      </c>
      <c r="D192" s="150">
        <v>2270000</v>
      </c>
      <c r="E192" s="20" t="s">
        <v>245</v>
      </c>
      <c r="F192" s="20" t="s">
        <v>246</v>
      </c>
      <c r="G192" s="8" t="str">
        <f t="shared" si="2"/>
        <v>BROWN JACOB</v>
      </c>
    </row>
    <row r="193" spans="1:7" x14ac:dyDescent="0.25">
      <c r="A193" s="8">
        <v>42769.79115740741</v>
      </c>
      <c r="B193" s="20" t="s">
        <v>326</v>
      </c>
      <c r="C193" s="20" t="s">
        <v>730</v>
      </c>
      <c r="D193" s="150">
        <v>2680000</v>
      </c>
      <c r="E193" s="20" t="s">
        <v>731</v>
      </c>
      <c r="F193" s="20" t="s">
        <v>732</v>
      </c>
      <c r="G193" s="8" t="str">
        <f t="shared" si="2"/>
        <v>DUNCAN SHEILA</v>
      </c>
    </row>
    <row r="194" spans="1:7" x14ac:dyDescent="0.25">
      <c r="A194" s="8">
        <v>42769.797002314815</v>
      </c>
      <c r="B194" s="20" t="s">
        <v>586</v>
      </c>
      <c r="C194" s="20" t="s">
        <v>733</v>
      </c>
      <c r="D194" s="150">
        <v>2620000</v>
      </c>
      <c r="E194" s="20" t="s">
        <v>712</v>
      </c>
      <c r="F194" s="20" t="s">
        <v>713</v>
      </c>
      <c r="G194" s="8" t="str">
        <f t="shared" si="2"/>
        <v>PERKINS DARREN</v>
      </c>
    </row>
    <row r="195" spans="1:7" x14ac:dyDescent="0.25">
      <c r="A195" s="8">
        <v>42769.798530092594</v>
      </c>
      <c r="B195" s="20" t="s">
        <v>214</v>
      </c>
      <c r="C195" s="20" t="s">
        <v>734</v>
      </c>
      <c r="D195" s="150">
        <v>2540000</v>
      </c>
      <c r="E195" s="20" t="s">
        <v>235</v>
      </c>
      <c r="F195" s="20" t="s">
        <v>236</v>
      </c>
      <c r="G195" s="8" t="str">
        <f t="shared" ref="G195:G258" si="3">E195&amp;" "&amp;F195</f>
        <v>MCREYNOLDS KYLE</v>
      </c>
    </row>
    <row r="196" spans="1:7" x14ac:dyDescent="0.25">
      <c r="A196" s="8">
        <v>42769.801793981482</v>
      </c>
      <c r="B196" s="20" t="s">
        <v>390</v>
      </c>
      <c r="C196" s="20" t="s">
        <v>735</v>
      </c>
      <c r="D196" s="150">
        <v>1180000</v>
      </c>
      <c r="E196" s="20" t="s">
        <v>320</v>
      </c>
      <c r="F196" s="20" t="s">
        <v>321</v>
      </c>
      <c r="G196" s="8" t="str">
        <f t="shared" si="3"/>
        <v>LEVERE CRAIG</v>
      </c>
    </row>
    <row r="197" spans="1:7" x14ac:dyDescent="0.25">
      <c r="A197" s="8">
        <v>42769.806932870371</v>
      </c>
      <c r="B197" s="20" t="s">
        <v>231</v>
      </c>
      <c r="C197" s="20" t="s">
        <v>736</v>
      </c>
      <c r="D197" s="150">
        <v>2220000</v>
      </c>
      <c r="E197" s="20" t="s">
        <v>227</v>
      </c>
      <c r="F197" s="20" t="s">
        <v>228</v>
      </c>
      <c r="G197" s="8" t="str">
        <f t="shared" si="3"/>
        <v>HILLS DUSTIN</v>
      </c>
    </row>
    <row r="198" spans="1:7" x14ac:dyDescent="0.25">
      <c r="A198" s="8">
        <v>42769.808182870373</v>
      </c>
      <c r="B198" s="20" t="s">
        <v>247</v>
      </c>
      <c r="C198" s="20" t="s">
        <v>550</v>
      </c>
      <c r="D198" s="150">
        <v>1740000</v>
      </c>
      <c r="E198" s="20" t="s">
        <v>241</v>
      </c>
      <c r="F198" s="20" t="s">
        <v>242</v>
      </c>
      <c r="G198" s="8" t="str">
        <f t="shared" si="3"/>
        <v>STORY SAMANTHA</v>
      </c>
    </row>
    <row r="199" spans="1:7" x14ac:dyDescent="0.25">
      <c r="A199" s="8">
        <v>42769.817326388889</v>
      </c>
      <c r="B199" s="20" t="s">
        <v>277</v>
      </c>
      <c r="C199" s="20" t="s">
        <v>551</v>
      </c>
      <c r="D199" s="150">
        <v>1190000</v>
      </c>
      <c r="E199" s="20" t="s">
        <v>329</v>
      </c>
      <c r="F199" s="20" t="s">
        <v>330</v>
      </c>
      <c r="G199" s="8" t="str">
        <f t="shared" si="3"/>
        <v>BRANNON JEFFREY</v>
      </c>
    </row>
    <row r="200" spans="1:7" x14ac:dyDescent="0.25">
      <c r="A200" s="8">
        <v>42769.81790509259</v>
      </c>
      <c r="B200" s="20" t="s">
        <v>385</v>
      </c>
      <c r="C200" s="20" t="s">
        <v>737</v>
      </c>
      <c r="D200" s="150">
        <v>1180000</v>
      </c>
      <c r="E200" s="20" t="s">
        <v>320</v>
      </c>
      <c r="F200" s="20" t="s">
        <v>321</v>
      </c>
      <c r="G200" s="8" t="str">
        <f t="shared" si="3"/>
        <v>LEVERE CRAIG</v>
      </c>
    </row>
    <row r="201" spans="1:7" x14ac:dyDescent="0.25">
      <c r="A201" s="8">
        <v>42769.826874999999</v>
      </c>
      <c r="B201" s="20" t="s">
        <v>264</v>
      </c>
      <c r="C201" s="20" t="s">
        <v>738</v>
      </c>
      <c r="D201" s="150">
        <v>2270000</v>
      </c>
      <c r="E201" s="20" t="s">
        <v>245</v>
      </c>
      <c r="F201" s="20" t="s">
        <v>246</v>
      </c>
      <c r="G201" s="8" t="str">
        <f t="shared" si="3"/>
        <v>BROWN JACOB</v>
      </c>
    </row>
    <row r="202" spans="1:7" x14ac:dyDescent="0.25">
      <c r="A202" s="26">
        <v>42769.827893518515</v>
      </c>
      <c r="B202" s="20" t="s">
        <v>548</v>
      </c>
      <c r="C202" s="20" t="s">
        <v>739</v>
      </c>
      <c r="D202" s="150">
        <v>2620000</v>
      </c>
      <c r="E202" s="20" t="s">
        <v>712</v>
      </c>
      <c r="F202" s="20" t="s">
        <v>713</v>
      </c>
      <c r="G202" s="8" t="str">
        <f t="shared" si="3"/>
        <v>PERKINS DARREN</v>
      </c>
    </row>
    <row r="203" spans="1:7" x14ac:dyDescent="0.25">
      <c r="A203" s="8">
        <v>42769.829618055555</v>
      </c>
      <c r="B203" s="20" t="s">
        <v>548</v>
      </c>
      <c r="C203" s="20" t="s">
        <v>739</v>
      </c>
      <c r="D203" s="150">
        <v>2620000</v>
      </c>
      <c r="E203" s="20" t="s">
        <v>712</v>
      </c>
      <c r="F203" s="20" t="s">
        <v>713</v>
      </c>
      <c r="G203" s="8" t="str">
        <f t="shared" si="3"/>
        <v>PERKINS DARREN</v>
      </c>
    </row>
    <row r="204" spans="1:7" x14ac:dyDescent="0.25">
      <c r="A204" s="8">
        <v>42769.840613425928</v>
      </c>
      <c r="B204" s="20" t="s">
        <v>390</v>
      </c>
      <c r="C204" s="20" t="s">
        <v>740</v>
      </c>
      <c r="D204" s="150">
        <v>1180000</v>
      </c>
      <c r="E204" s="20" t="s">
        <v>320</v>
      </c>
      <c r="F204" s="20" t="s">
        <v>321</v>
      </c>
      <c r="G204" s="8" t="str">
        <f t="shared" si="3"/>
        <v>LEVERE CRAIG</v>
      </c>
    </row>
    <row r="205" spans="1:7" x14ac:dyDescent="0.25">
      <c r="A205" s="8">
        <v>42769.84233796296</v>
      </c>
      <c r="B205" s="20" t="s">
        <v>197</v>
      </c>
      <c r="C205" s="20" t="s">
        <v>741</v>
      </c>
      <c r="D205" s="150">
        <v>2220000</v>
      </c>
      <c r="E205" s="20" t="s">
        <v>227</v>
      </c>
      <c r="F205" s="20" t="s">
        <v>228</v>
      </c>
      <c r="G205" s="8" t="str">
        <f t="shared" si="3"/>
        <v>HILLS DUSTIN</v>
      </c>
    </row>
    <row r="206" spans="1:7" x14ac:dyDescent="0.25">
      <c r="A206" s="8">
        <v>42769.845532407409</v>
      </c>
      <c r="B206" s="20" t="s">
        <v>224</v>
      </c>
      <c r="C206" s="20" t="s">
        <v>742</v>
      </c>
      <c r="D206" s="150">
        <v>1740000</v>
      </c>
      <c r="E206" s="20" t="s">
        <v>241</v>
      </c>
      <c r="F206" s="20" t="s">
        <v>242</v>
      </c>
      <c r="G206" s="8" t="str">
        <f t="shared" si="3"/>
        <v>STORY SAMANTHA</v>
      </c>
    </row>
    <row r="207" spans="1:7" x14ac:dyDescent="0.25">
      <c r="A207" s="8">
        <v>42769.860011574077</v>
      </c>
      <c r="B207" s="20" t="s">
        <v>385</v>
      </c>
      <c r="C207" s="20" t="s">
        <v>743</v>
      </c>
      <c r="D207" s="150">
        <v>1180000</v>
      </c>
      <c r="E207" s="20" t="s">
        <v>320</v>
      </c>
      <c r="F207" s="20" t="s">
        <v>321</v>
      </c>
      <c r="G207" s="8" t="str">
        <f t="shared" si="3"/>
        <v>LEVERE CRAIG</v>
      </c>
    </row>
    <row r="208" spans="1:7" x14ac:dyDescent="0.25">
      <c r="A208" s="8">
        <v>42769.86446759259</v>
      </c>
      <c r="B208" s="20" t="s">
        <v>586</v>
      </c>
      <c r="C208" s="20" t="s">
        <v>744</v>
      </c>
      <c r="D208" s="150">
        <v>2620000</v>
      </c>
      <c r="E208" s="20" t="s">
        <v>712</v>
      </c>
      <c r="F208" s="20" t="s">
        <v>713</v>
      </c>
      <c r="G208" s="8" t="str">
        <f t="shared" si="3"/>
        <v>PERKINS DARREN</v>
      </c>
    </row>
    <row r="209" spans="1:7" x14ac:dyDescent="0.25">
      <c r="A209" s="8">
        <v>42769.864768518521</v>
      </c>
      <c r="B209" s="20" t="s">
        <v>197</v>
      </c>
      <c r="C209" s="20" t="s">
        <v>741</v>
      </c>
      <c r="D209" s="150">
        <v>2220000</v>
      </c>
      <c r="E209" s="20" t="s">
        <v>227</v>
      </c>
      <c r="F209" s="20" t="s">
        <v>228</v>
      </c>
      <c r="G209" s="8" t="str">
        <f t="shared" si="3"/>
        <v>HILLS DUSTIN</v>
      </c>
    </row>
    <row r="210" spans="1:7" x14ac:dyDescent="0.25">
      <c r="A210" s="8">
        <v>42769.867291666669</v>
      </c>
      <c r="B210" s="20" t="s">
        <v>536</v>
      </c>
      <c r="C210" s="20" t="s">
        <v>745</v>
      </c>
      <c r="D210" s="150">
        <v>2270000</v>
      </c>
      <c r="E210" s="20" t="s">
        <v>245</v>
      </c>
      <c r="F210" s="20" t="s">
        <v>246</v>
      </c>
      <c r="G210" s="8" t="str">
        <f t="shared" si="3"/>
        <v>BROWN JACOB</v>
      </c>
    </row>
    <row r="211" spans="1:7" x14ac:dyDescent="0.25">
      <c r="A211" s="8">
        <v>42769.879791666666</v>
      </c>
      <c r="B211" s="20" t="s">
        <v>390</v>
      </c>
      <c r="C211" s="20" t="s">
        <v>553</v>
      </c>
      <c r="D211" s="150">
        <v>2540000</v>
      </c>
      <c r="E211" s="20" t="s">
        <v>235</v>
      </c>
      <c r="F211" s="20" t="s">
        <v>236</v>
      </c>
      <c r="G211" s="8" t="str">
        <f t="shared" si="3"/>
        <v>MCREYNOLDS KYLE</v>
      </c>
    </row>
    <row r="212" spans="1:7" x14ac:dyDescent="0.25">
      <c r="A212" s="8">
        <v>42769.883344907408</v>
      </c>
      <c r="B212" s="20" t="s">
        <v>231</v>
      </c>
      <c r="C212" s="20" t="s">
        <v>552</v>
      </c>
      <c r="D212" s="150">
        <v>2220000</v>
      </c>
      <c r="E212" s="20" t="s">
        <v>227</v>
      </c>
      <c r="F212" s="20" t="s">
        <v>228</v>
      </c>
      <c r="G212" s="8" t="str">
        <f t="shared" si="3"/>
        <v>HILLS DUSTIN</v>
      </c>
    </row>
    <row r="213" spans="1:7" x14ac:dyDescent="0.25">
      <c r="A213" s="8">
        <v>42769.888182870367</v>
      </c>
      <c r="B213" s="20" t="s">
        <v>247</v>
      </c>
      <c r="C213" s="20" t="s">
        <v>746</v>
      </c>
      <c r="D213" s="150">
        <v>1740000</v>
      </c>
      <c r="E213" s="20" t="s">
        <v>241</v>
      </c>
      <c r="F213" s="20" t="s">
        <v>242</v>
      </c>
      <c r="G213" s="8" t="str">
        <f t="shared" si="3"/>
        <v>STORY SAMANTHA</v>
      </c>
    </row>
    <row r="214" spans="1:7" x14ac:dyDescent="0.25">
      <c r="A214" s="8">
        <v>42769.90221064815</v>
      </c>
      <c r="B214" s="20" t="s">
        <v>385</v>
      </c>
      <c r="C214" s="20" t="s">
        <v>747</v>
      </c>
      <c r="D214" s="150">
        <v>2540000</v>
      </c>
      <c r="E214" s="20" t="s">
        <v>235</v>
      </c>
      <c r="F214" s="20" t="s">
        <v>236</v>
      </c>
      <c r="G214" s="8" t="str">
        <f t="shared" si="3"/>
        <v>MCREYNOLDS KYLE</v>
      </c>
    </row>
    <row r="215" spans="1:7" x14ac:dyDescent="0.25">
      <c r="A215" s="8">
        <v>42769.90552083333</v>
      </c>
      <c r="B215" s="20" t="s">
        <v>548</v>
      </c>
      <c r="C215" s="20" t="s">
        <v>748</v>
      </c>
      <c r="D215" s="150">
        <v>2620000</v>
      </c>
      <c r="E215" s="20" t="s">
        <v>712</v>
      </c>
      <c r="F215" s="20" t="s">
        <v>713</v>
      </c>
      <c r="G215" s="8" t="str">
        <f t="shared" si="3"/>
        <v>PERKINS DARREN</v>
      </c>
    </row>
    <row r="216" spans="1:7" x14ac:dyDescent="0.25">
      <c r="A216" s="8">
        <v>42769.910312499997</v>
      </c>
      <c r="B216" s="20" t="s">
        <v>264</v>
      </c>
      <c r="C216" s="20" t="s">
        <v>749</v>
      </c>
      <c r="D216" s="150">
        <v>2270000</v>
      </c>
      <c r="E216" s="20" t="s">
        <v>245</v>
      </c>
      <c r="F216" s="20" t="s">
        <v>246</v>
      </c>
      <c r="G216" s="8" t="str">
        <f t="shared" si="3"/>
        <v>BROWN JACOB</v>
      </c>
    </row>
    <row r="217" spans="1:7" x14ac:dyDescent="0.25">
      <c r="A217" s="8">
        <v>42769.9219212963</v>
      </c>
      <c r="B217" s="20" t="s">
        <v>197</v>
      </c>
      <c r="C217" s="20" t="s">
        <v>750</v>
      </c>
      <c r="D217" s="150">
        <v>2220000</v>
      </c>
      <c r="E217" s="20" t="s">
        <v>227</v>
      </c>
      <c r="F217" s="20" t="s">
        <v>228</v>
      </c>
      <c r="G217" s="8" t="str">
        <f t="shared" si="3"/>
        <v>HILLS DUSTIN</v>
      </c>
    </row>
    <row r="218" spans="1:7" x14ac:dyDescent="0.25">
      <c r="A218" s="8">
        <v>42769.922384259262</v>
      </c>
      <c r="B218" s="20" t="s">
        <v>390</v>
      </c>
      <c r="C218" s="20" t="s">
        <v>751</v>
      </c>
      <c r="D218" s="150">
        <v>2540000</v>
      </c>
      <c r="E218" s="20" t="s">
        <v>235</v>
      </c>
      <c r="F218" s="20" t="s">
        <v>236</v>
      </c>
      <c r="G218" s="8" t="str">
        <f t="shared" si="3"/>
        <v>MCREYNOLDS KYLE</v>
      </c>
    </row>
    <row r="219" spans="1:7" x14ac:dyDescent="0.25">
      <c r="A219" s="8">
        <v>42769.927858796298</v>
      </c>
      <c r="B219" s="20" t="s">
        <v>224</v>
      </c>
      <c r="C219" s="20" t="s">
        <v>554</v>
      </c>
      <c r="D219" s="150">
        <v>1740000</v>
      </c>
      <c r="E219" s="20" t="s">
        <v>241</v>
      </c>
      <c r="F219" s="20" t="s">
        <v>242</v>
      </c>
      <c r="G219" s="8" t="str">
        <f t="shared" si="3"/>
        <v>STORY SAMANTHA</v>
      </c>
    </row>
    <row r="220" spans="1:7" x14ac:dyDescent="0.25">
      <c r="A220" s="8">
        <v>42769.944120370368</v>
      </c>
      <c r="B220" s="20" t="s">
        <v>385</v>
      </c>
      <c r="C220" s="20" t="s">
        <v>752</v>
      </c>
      <c r="D220" s="150">
        <v>2540000</v>
      </c>
      <c r="E220" s="20" t="s">
        <v>235</v>
      </c>
      <c r="F220" s="20" t="s">
        <v>236</v>
      </c>
      <c r="G220" s="8" t="str">
        <f t="shared" si="3"/>
        <v>MCREYNOLDS KYLE</v>
      </c>
    </row>
    <row r="221" spans="1:7" x14ac:dyDescent="0.25">
      <c r="A221" s="8">
        <v>42769.949641203704</v>
      </c>
      <c r="B221" s="20" t="s">
        <v>586</v>
      </c>
      <c r="C221" s="20" t="s">
        <v>753</v>
      </c>
      <c r="D221" s="150">
        <v>2620000</v>
      </c>
      <c r="E221" s="20" t="s">
        <v>712</v>
      </c>
      <c r="F221" s="20" t="s">
        <v>713</v>
      </c>
      <c r="G221" s="8" t="str">
        <f t="shared" si="3"/>
        <v>PERKINS DARREN</v>
      </c>
    </row>
    <row r="222" spans="1:7" x14ac:dyDescent="0.25">
      <c r="A222" s="8">
        <v>42769.953148148146</v>
      </c>
      <c r="B222" s="20" t="s">
        <v>536</v>
      </c>
      <c r="C222" s="20" t="s">
        <v>754</v>
      </c>
      <c r="D222" s="150">
        <v>2270000</v>
      </c>
      <c r="E222" s="20" t="s">
        <v>245</v>
      </c>
      <c r="F222" s="20" t="s">
        <v>246</v>
      </c>
      <c r="G222" s="8" t="str">
        <f t="shared" si="3"/>
        <v>BROWN JACOB</v>
      </c>
    </row>
    <row r="223" spans="1:7" x14ac:dyDescent="0.25">
      <c r="A223" s="8">
        <v>42769.967152777775</v>
      </c>
      <c r="B223" s="20" t="s">
        <v>231</v>
      </c>
      <c r="C223" s="20" t="s">
        <v>755</v>
      </c>
      <c r="D223" s="150">
        <v>2220000</v>
      </c>
      <c r="E223" s="20" t="s">
        <v>227</v>
      </c>
      <c r="F223" s="20" t="s">
        <v>228</v>
      </c>
      <c r="G223" s="8" t="str">
        <f t="shared" si="3"/>
        <v>HILLS DUSTIN</v>
      </c>
    </row>
    <row r="224" spans="1:7" x14ac:dyDescent="0.25">
      <c r="A224" s="8">
        <v>42769.967303240737</v>
      </c>
      <c r="B224" t="s">
        <v>247</v>
      </c>
      <c r="C224" t="s">
        <v>756</v>
      </c>
      <c r="D224" s="150">
        <v>1740000</v>
      </c>
      <c r="E224" t="s">
        <v>241</v>
      </c>
      <c r="F224" s="20" t="s">
        <v>242</v>
      </c>
      <c r="G224" s="8" t="str">
        <f t="shared" si="3"/>
        <v>STORY SAMANTHA</v>
      </c>
    </row>
    <row r="225" spans="1:7" x14ac:dyDescent="0.25">
      <c r="A225" s="8">
        <v>42769.984606481485</v>
      </c>
      <c r="B225" t="s">
        <v>548</v>
      </c>
      <c r="C225" t="s">
        <v>757</v>
      </c>
      <c r="D225" s="150">
        <v>2620000</v>
      </c>
      <c r="E225" t="s">
        <v>712</v>
      </c>
      <c r="F225" s="20" t="s">
        <v>713</v>
      </c>
      <c r="G225" s="8" t="str">
        <f t="shared" si="3"/>
        <v>PERKINS DARREN</v>
      </c>
    </row>
    <row r="226" spans="1:7" x14ac:dyDescent="0.25">
      <c r="A226" s="8">
        <v>42769.993576388886</v>
      </c>
      <c r="B226" t="s">
        <v>264</v>
      </c>
      <c r="C226" t="s">
        <v>758</v>
      </c>
      <c r="D226" s="150">
        <v>2270000</v>
      </c>
      <c r="E226" t="s">
        <v>245</v>
      </c>
      <c r="F226" s="20" t="s">
        <v>246</v>
      </c>
      <c r="G226" s="8" t="str">
        <f t="shared" si="3"/>
        <v>BROWN JACOB</v>
      </c>
    </row>
    <row r="227" spans="1:7" x14ac:dyDescent="0.25">
      <c r="A227" s="8">
        <v>42770.008842592593</v>
      </c>
      <c r="B227" t="s">
        <v>197</v>
      </c>
      <c r="C227" t="s">
        <v>759</v>
      </c>
      <c r="D227" s="150">
        <v>2220000</v>
      </c>
      <c r="E227" t="s">
        <v>227</v>
      </c>
      <c r="F227" s="20" t="s">
        <v>228</v>
      </c>
      <c r="G227" s="8" t="str">
        <f t="shared" si="3"/>
        <v>HILLS DUSTIN</v>
      </c>
    </row>
    <row r="228" spans="1:7" x14ac:dyDescent="0.25">
      <c r="A228" s="8">
        <v>42770.014236111114</v>
      </c>
      <c r="B228" t="s">
        <v>224</v>
      </c>
      <c r="C228" t="s">
        <v>760</v>
      </c>
      <c r="D228" s="150">
        <v>1740000</v>
      </c>
      <c r="E228" t="s">
        <v>241</v>
      </c>
      <c r="F228" s="20" t="s">
        <v>242</v>
      </c>
      <c r="G228" s="8" t="str">
        <f t="shared" si="3"/>
        <v>STORY SAMANTHA</v>
      </c>
    </row>
    <row r="229" spans="1:7" x14ac:dyDescent="0.25">
      <c r="A229" s="8">
        <v>42770.031851851854</v>
      </c>
      <c r="B229" t="s">
        <v>586</v>
      </c>
      <c r="C229" t="s">
        <v>761</v>
      </c>
      <c r="D229" s="150">
        <v>2620000</v>
      </c>
      <c r="E229" t="s">
        <v>712</v>
      </c>
      <c r="F229" s="20" t="s">
        <v>713</v>
      </c>
      <c r="G229" s="8" t="str">
        <f t="shared" si="3"/>
        <v>PERKINS DARREN</v>
      </c>
    </row>
    <row r="230" spans="1:7" x14ac:dyDescent="0.25">
      <c r="A230" s="8">
        <v>42770.038263888891</v>
      </c>
      <c r="B230" t="s">
        <v>536</v>
      </c>
      <c r="C230" t="s">
        <v>762</v>
      </c>
      <c r="D230" s="150">
        <v>2270000</v>
      </c>
      <c r="E230" t="s">
        <v>245</v>
      </c>
      <c r="F230" s="20" t="s">
        <v>246</v>
      </c>
      <c r="G230" s="8" t="str">
        <f t="shared" si="3"/>
        <v>BROWN JACOB</v>
      </c>
    </row>
    <row r="231" spans="1:7" x14ac:dyDescent="0.25">
      <c r="A231" s="8">
        <v>42770.048043981478</v>
      </c>
      <c r="B231" t="s">
        <v>247</v>
      </c>
      <c r="C231" t="s">
        <v>763</v>
      </c>
      <c r="D231" s="150">
        <v>1740000</v>
      </c>
      <c r="E231" t="s">
        <v>241</v>
      </c>
      <c r="F231" s="20" t="s">
        <v>242</v>
      </c>
      <c r="G231" s="8" t="str">
        <f t="shared" si="3"/>
        <v>STORY SAMANTHA</v>
      </c>
    </row>
    <row r="232" spans="1:7" x14ac:dyDescent="0.25">
      <c r="A232" s="8">
        <v>42770.049756944441</v>
      </c>
      <c r="B232" t="s">
        <v>231</v>
      </c>
      <c r="C232" t="s">
        <v>764</v>
      </c>
      <c r="D232" s="150">
        <v>2220000</v>
      </c>
      <c r="E232" t="s">
        <v>227</v>
      </c>
      <c r="F232" s="20" t="s">
        <v>228</v>
      </c>
      <c r="G232" s="8" t="str">
        <f t="shared" si="3"/>
        <v>HILLS DUSTIN</v>
      </c>
    </row>
    <row r="233" spans="1:7" x14ac:dyDescent="0.25">
      <c r="A233" s="8">
        <v>42770.070902777778</v>
      </c>
      <c r="B233" t="s">
        <v>548</v>
      </c>
      <c r="C233" t="s">
        <v>765</v>
      </c>
      <c r="D233" s="150">
        <v>2620000</v>
      </c>
      <c r="E233" t="s">
        <v>712</v>
      </c>
      <c r="F233" s="20" t="s">
        <v>713</v>
      </c>
      <c r="G233" s="8" t="str">
        <f t="shared" si="3"/>
        <v>PERKINS DARREN</v>
      </c>
    </row>
    <row r="234" spans="1:7" x14ac:dyDescent="0.25">
      <c r="A234" s="8">
        <v>42770.073981481481</v>
      </c>
      <c r="B234" t="s">
        <v>264</v>
      </c>
      <c r="C234" t="s">
        <v>766</v>
      </c>
      <c r="D234" s="150">
        <v>2270000</v>
      </c>
      <c r="E234" t="s">
        <v>245</v>
      </c>
      <c r="F234" s="20" t="s">
        <v>246</v>
      </c>
      <c r="G234" s="8" t="str">
        <f t="shared" si="3"/>
        <v>BROWN JACOB</v>
      </c>
    </row>
    <row r="235" spans="1:7" x14ac:dyDescent="0.25">
      <c r="A235" s="8">
        <v>42770.085462962961</v>
      </c>
      <c r="B235" t="s">
        <v>224</v>
      </c>
      <c r="C235" t="s">
        <v>765</v>
      </c>
      <c r="D235" s="150">
        <v>1740000</v>
      </c>
      <c r="E235" t="s">
        <v>241</v>
      </c>
      <c r="F235" s="20" t="s">
        <v>242</v>
      </c>
      <c r="G235" s="8" t="str">
        <f t="shared" si="3"/>
        <v>STORY SAMANTHA</v>
      </c>
    </row>
    <row r="236" spans="1:7" x14ac:dyDescent="0.25">
      <c r="A236" s="8">
        <v>42770.088738425926</v>
      </c>
      <c r="B236" t="s">
        <v>197</v>
      </c>
      <c r="C236" t="s">
        <v>767</v>
      </c>
      <c r="D236" s="150">
        <v>2220000</v>
      </c>
      <c r="E236" t="s">
        <v>227</v>
      </c>
      <c r="F236" s="20" t="s">
        <v>228</v>
      </c>
      <c r="G236" s="8" t="str">
        <f t="shared" si="3"/>
        <v>HILLS DUSTIN</v>
      </c>
    </row>
    <row r="237" spans="1:7" x14ac:dyDescent="0.25">
      <c r="A237" s="8">
        <v>42770.099618055552</v>
      </c>
      <c r="B237" t="s">
        <v>231</v>
      </c>
      <c r="C237" t="s">
        <v>764</v>
      </c>
      <c r="D237" s="150">
        <v>2220000</v>
      </c>
      <c r="E237" t="s">
        <v>227</v>
      </c>
      <c r="F237" s="20" t="s">
        <v>228</v>
      </c>
      <c r="G237" s="8" t="str">
        <f t="shared" si="3"/>
        <v>HILLS DUSTIN</v>
      </c>
    </row>
    <row r="238" spans="1:7" x14ac:dyDescent="0.25">
      <c r="A238" s="8">
        <v>42770.112129629626</v>
      </c>
      <c r="B238" t="s">
        <v>536</v>
      </c>
      <c r="C238" t="s">
        <v>768</v>
      </c>
      <c r="D238" s="150">
        <v>2270000</v>
      </c>
      <c r="E238" t="s">
        <v>245</v>
      </c>
      <c r="F238" s="20" t="s">
        <v>246</v>
      </c>
      <c r="G238" s="8" t="str">
        <f t="shared" si="3"/>
        <v>BROWN JACOB</v>
      </c>
    </row>
    <row r="239" spans="1:7" x14ac:dyDescent="0.25">
      <c r="A239" s="8">
        <v>42769.087592592594</v>
      </c>
      <c r="B239" t="s">
        <v>293</v>
      </c>
      <c r="C239" t="s">
        <v>402</v>
      </c>
      <c r="D239" s="150">
        <v>2220000</v>
      </c>
      <c r="E239" t="s">
        <v>227</v>
      </c>
      <c r="F239" s="20" t="s">
        <v>228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354</v>
      </c>
      <c r="C240" t="s">
        <v>386</v>
      </c>
      <c r="D240" s="150">
        <v>2710000</v>
      </c>
      <c r="E240" t="s">
        <v>395</v>
      </c>
      <c r="F240" s="20" t="s">
        <v>396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198</v>
      </c>
      <c r="C241" t="s">
        <v>355</v>
      </c>
      <c r="D241" s="150">
        <v>1740000</v>
      </c>
      <c r="E241" t="s">
        <v>241</v>
      </c>
      <c r="F241" s="20" t="s">
        <v>242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282</v>
      </c>
      <c r="C242" t="s">
        <v>356</v>
      </c>
      <c r="D242" s="150">
        <v>2270000</v>
      </c>
      <c r="E242" t="s">
        <v>245</v>
      </c>
      <c r="F242" s="20" t="s">
        <v>246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229</v>
      </c>
      <c r="C243" t="s">
        <v>357</v>
      </c>
      <c r="D243" s="150">
        <v>2540000</v>
      </c>
      <c r="E243" t="s">
        <v>235</v>
      </c>
      <c r="F243" s="20" t="s">
        <v>236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293</v>
      </c>
      <c r="C244" t="s">
        <v>297</v>
      </c>
      <c r="D244" s="150">
        <v>1810000</v>
      </c>
      <c r="E244" t="s">
        <v>210</v>
      </c>
      <c r="F244" s="20" t="s">
        <v>203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277</v>
      </c>
      <c r="C245" t="s">
        <v>295</v>
      </c>
      <c r="D245" s="150">
        <v>2270000</v>
      </c>
      <c r="E245" t="s">
        <v>245</v>
      </c>
      <c r="F245" s="20" t="s">
        <v>246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230</v>
      </c>
      <c r="C246" t="s">
        <v>298</v>
      </c>
      <c r="D246" s="150">
        <v>1800000</v>
      </c>
      <c r="E246" t="s">
        <v>279</v>
      </c>
      <c r="F246" s="20" t="s">
        <v>280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282</v>
      </c>
      <c r="C247" t="s">
        <v>299</v>
      </c>
      <c r="D247" s="150">
        <v>2220000</v>
      </c>
      <c r="E247" t="s">
        <v>227</v>
      </c>
      <c r="F247" s="20" t="s">
        <v>228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294</v>
      </c>
      <c r="C248" t="s">
        <v>300</v>
      </c>
      <c r="D248" s="150">
        <v>1810000</v>
      </c>
      <c r="E248" t="s">
        <v>210</v>
      </c>
      <c r="F248" s="20" t="s">
        <v>203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229</v>
      </c>
      <c r="C249" t="s">
        <v>301</v>
      </c>
      <c r="D249" s="150">
        <v>1800000</v>
      </c>
      <c r="E249" t="s">
        <v>279</v>
      </c>
      <c r="F249" s="20" t="s">
        <v>280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278</v>
      </c>
      <c r="C250" t="s">
        <v>296</v>
      </c>
      <c r="D250" s="150">
        <v>2270000</v>
      </c>
      <c r="E250" t="s">
        <v>245</v>
      </c>
      <c r="F250" s="20" t="s">
        <v>246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293</v>
      </c>
      <c r="C251" t="s">
        <v>302</v>
      </c>
      <c r="D251" s="150">
        <v>1810000</v>
      </c>
      <c r="E251" t="s">
        <v>210</v>
      </c>
      <c r="F251" s="20" t="s">
        <v>203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281</v>
      </c>
      <c r="C252" t="s">
        <v>303</v>
      </c>
      <c r="D252" s="150">
        <v>2220000</v>
      </c>
      <c r="E252" t="s">
        <v>227</v>
      </c>
      <c r="F252" s="20" t="s">
        <v>228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281</v>
      </c>
      <c r="C253" t="s">
        <v>303</v>
      </c>
      <c r="D253" s="150">
        <v>2220000</v>
      </c>
      <c r="E253" t="s">
        <v>227</v>
      </c>
      <c r="F253" s="20" t="s">
        <v>228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277</v>
      </c>
      <c r="C254" t="s">
        <v>304</v>
      </c>
      <c r="D254" s="150">
        <v>2270000</v>
      </c>
      <c r="E254" t="s">
        <v>245</v>
      </c>
      <c r="F254" s="20" t="s">
        <v>246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282</v>
      </c>
      <c r="C255" t="s">
        <v>305</v>
      </c>
      <c r="D255" s="150">
        <v>2220000</v>
      </c>
      <c r="E255" t="s">
        <v>227</v>
      </c>
      <c r="F255" s="20" t="s">
        <v>228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214</v>
      </c>
      <c r="C256" t="s">
        <v>266</v>
      </c>
      <c r="D256" s="150">
        <v>2220000</v>
      </c>
      <c r="E256" t="s">
        <v>227</v>
      </c>
      <c r="F256" s="20" t="s">
        <v>228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198</v>
      </c>
      <c r="C257" t="s">
        <v>267</v>
      </c>
      <c r="D257" s="150">
        <v>2000000</v>
      </c>
      <c r="E257" t="s">
        <v>265</v>
      </c>
      <c r="F257" s="20" t="s">
        <v>203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238</v>
      </c>
      <c r="C258" t="s">
        <v>268</v>
      </c>
      <c r="D258" s="150">
        <v>2220000</v>
      </c>
      <c r="E258" t="s">
        <v>227</v>
      </c>
      <c r="F258" s="20" t="s">
        <v>228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264</v>
      </c>
      <c r="C259" t="s">
        <v>269</v>
      </c>
      <c r="D259" s="150">
        <v>1360000</v>
      </c>
      <c r="E259" t="s">
        <v>270</v>
      </c>
      <c r="F259" s="20" t="s">
        <v>271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247</v>
      </c>
      <c r="C260" t="s">
        <v>253</v>
      </c>
      <c r="D260" s="150">
        <v>2450000</v>
      </c>
      <c r="E260" t="s">
        <v>249</v>
      </c>
      <c r="F260" s="20" t="s">
        <v>250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233</v>
      </c>
      <c r="C261" t="s">
        <v>260</v>
      </c>
      <c r="D261" s="150">
        <v>1810000</v>
      </c>
      <c r="E261" t="s">
        <v>210</v>
      </c>
      <c r="F261" s="20" t="s">
        <v>203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254</v>
      </c>
      <c r="C262" t="s">
        <v>258</v>
      </c>
      <c r="D262" s="150">
        <v>2670000</v>
      </c>
      <c r="E262" t="s">
        <v>256</v>
      </c>
      <c r="F262" s="20" t="s">
        <v>257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229</v>
      </c>
      <c r="C263" t="s">
        <v>252</v>
      </c>
      <c r="D263" s="150">
        <v>2540000</v>
      </c>
      <c r="E263" t="s">
        <v>235</v>
      </c>
      <c r="F263" s="20" t="s">
        <v>236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224</v>
      </c>
      <c r="C264" t="s">
        <v>248</v>
      </c>
      <c r="D264" s="150">
        <v>2450000</v>
      </c>
      <c r="E264" t="s">
        <v>249</v>
      </c>
      <c r="F264" s="20" t="s">
        <v>250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244</v>
      </c>
      <c r="C265" t="s">
        <v>261</v>
      </c>
      <c r="D265" s="150">
        <v>2270000</v>
      </c>
      <c r="E265" t="s">
        <v>245</v>
      </c>
      <c r="F265" s="20" t="s">
        <v>246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230</v>
      </c>
      <c r="C266" t="s">
        <v>251</v>
      </c>
      <c r="D266" s="150">
        <v>2540000</v>
      </c>
      <c r="E266" t="s">
        <v>235</v>
      </c>
      <c r="F266" s="20" t="s">
        <v>236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247</v>
      </c>
      <c r="C267" t="s">
        <v>253</v>
      </c>
      <c r="D267" s="150">
        <v>2450000</v>
      </c>
      <c r="E267" t="s">
        <v>249</v>
      </c>
      <c r="F267" s="20" t="s">
        <v>250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244</v>
      </c>
      <c r="C268" t="s">
        <v>261</v>
      </c>
      <c r="D268" s="150">
        <v>2270000</v>
      </c>
      <c r="E268" t="s">
        <v>245</v>
      </c>
      <c r="F268" s="20" t="s">
        <v>246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229</v>
      </c>
      <c r="C269" t="s">
        <v>252</v>
      </c>
      <c r="D269" s="150">
        <v>2540000</v>
      </c>
      <c r="E269" t="s">
        <v>235</v>
      </c>
      <c r="F269" s="20" t="s">
        <v>236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234</v>
      </c>
      <c r="C270" t="s">
        <v>262</v>
      </c>
      <c r="D270" s="150">
        <v>1810000</v>
      </c>
      <c r="E270" t="s">
        <v>210</v>
      </c>
      <c r="F270" s="20" t="s">
        <v>203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259</v>
      </c>
      <c r="C271" t="s">
        <v>255</v>
      </c>
      <c r="D271" s="150">
        <v>2670000</v>
      </c>
      <c r="E271" t="s">
        <v>256</v>
      </c>
      <c r="F271" s="20" t="s">
        <v>257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224</v>
      </c>
      <c r="C272" t="s">
        <v>248</v>
      </c>
      <c r="D272" s="150">
        <v>2450000</v>
      </c>
      <c r="E272" t="s">
        <v>249</v>
      </c>
      <c r="F272" s="20" t="s">
        <v>250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230</v>
      </c>
      <c r="C273" t="s">
        <v>251</v>
      </c>
      <c r="D273" s="150">
        <v>2540000</v>
      </c>
      <c r="E273" t="s">
        <v>235</v>
      </c>
      <c r="F273" s="20" t="s">
        <v>236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70" t="s">
        <v>162</v>
      </c>
      <c r="B1" s="170" t="s">
        <v>165</v>
      </c>
      <c r="C1" s="170" t="s">
        <v>158</v>
      </c>
      <c r="D1" s="148" t="s">
        <v>170</v>
      </c>
      <c r="E1" s="170" t="s">
        <v>159</v>
      </c>
      <c r="F1" s="170" t="s">
        <v>157</v>
      </c>
      <c r="G1" s="170" t="s">
        <v>155</v>
      </c>
      <c r="H1" s="170" t="s">
        <v>168</v>
      </c>
      <c r="I1" s="170" t="s">
        <v>169</v>
      </c>
      <c r="J1" s="170" t="s">
        <v>163</v>
      </c>
      <c r="K1" s="170" t="s">
        <v>161</v>
      </c>
      <c r="L1" s="170" t="s">
        <v>156</v>
      </c>
      <c r="M1" s="170" t="s">
        <v>166</v>
      </c>
      <c r="N1" s="170" t="s">
        <v>160</v>
      </c>
      <c r="O1" s="170" t="s">
        <v>167</v>
      </c>
      <c r="P1" s="170" t="s">
        <v>164</v>
      </c>
      <c r="Q1"/>
      <c r="R1"/>
    </row>
    <row r="2" spans="1:18" x14ac:dyDescent="0.25">
      <c r="A2" s="171">
        <v>16.98</v>
      </c>
      <c r="B2" s="171">
        <v>0.38</v>
      </c>
      <c r="C2" s="171">
        <v>19.61</v>
      </c>
      <c r="D2" s="8">
        <v>42769</v>
      </c>
      <c r="E2" s="171">
        <v>0.9</v>
      </c>
      <c r="F2" s="171" t="s">
        <v>272</v>
      </c>
      <c r="G2" s="171">
        <v>312.33999999999997</v>
      </c>
      <c r="H2" s="171">
        <v>0</v>
      </c>
      <c r="I2" s="171">
        <v>0</v>
      </c>
      <c r="J2" s="171">
        <v>1027.24</v>
      </c>
      <c r="K2" s="171" t="s">
        <v>274</v>
      </c>
      <c r="L2" s="171">
        <v>22.19</v>
      </c>
      <c r="M2" s="171">
        <v>1486105200</v>
      </c>
      <c r="N2" s="171">
        <v>3.6</v>
      </c>
      <c r="O2" s="171">
        <v>18</v>
      </c>
      <c r="P2" s="171">
        <v>3.83</v>
      </c>
      <c r="Q2"/>
      <c r="R2"/>
    </row>
    <row r="3" spans="1:18" x14ac:dyDescent="0.25">
      <c r="A3" s="171">
        <v>16.43</v>
      </c>
      <c r="B3" s="171">
        <v>0.39</v>
      </c>
      <c r="C3" s="171">
        <v>20.09</v>
      </c>
      <c r="D3" s="8">
        <v>42769.041666666664</v>
      </c>
      <c r="E3" s="171">
        <v>0.91</v>
      </c>
      <c r="F3" s="171" t="s">
        <v>272</v>
      </c>
      <c r="G3" s="171">
        <v>312.27</v>
      </c>
      <c r="H3" s="171">
        <v>0</v>
      </c>
      <c r="I3" s="171">
        <v>0</v>
      </c>
      <c r="J3" s="171">
        <v>1028.55</v>
      </c>
      <c r="K3" s="171" t="s">
        <v>274</v>
      </c>
      <c r="L3" s="171">
        <v>22.3</v>
      </c>
      <c r="M3" s="171">
        <v>1486108800</v>
      </c>
      <c r="N3" s="171">
        <v>3.63</v>
      </c>
      <c r="O3" s="171">
        <v>8</v>
      </c>
      <c r="P3" s="171">
        <v>4.3499999999999996</v>
      </c>
      <c r="Q3"/>
      <c r="R3"/>
    </row>
    <row r="4" spans="1:18" x14ac:dyDescent="0.25">
      <c r="A4" s="171">
        <v>14.72</v>
      </c>
      <c r="B4" s="171">
        <v>0.42</v>
      </c>
      <c r="C4" s="171">
        <v>19.62</v>
      </c>
      <c r="D4" s="8">
        <v>42769.083333333336</v>
      </c>
      <c r="E4" s="171">
        <v>0.9</v>
      </c>
      <c r="F4" s="171" t="s">
        <v>272</v>
      </c>
      <c r="G4" s="171">
        <v>312.2</v>
      </c>
      <c r="H4" s="171">
        <v>0</v>
      </c>
      <c r="I4" s="171">
        <v>0</v>
      </c>
      <c r="J4" s="171">
        <v>1029.8</v>
      </c>
      <c r="K4" s="171" t="s">
        <v>274</v>
      </c>
      <c r="L4" s="171">
        <v>22.01</v>
      </c>
      <c r="M4" s="171">
        <v>1486112400</v>
      </c>
      <c r="N4" s="171">
        <v>3.74</v>
      </c>
      <c r="O4" s="171">
        <v>9</v>
      </c>
      <c r="P4" s="171">
        <v>5.6</v>
      </c>
      <c r="Q4"/>
      <c r="R4"/>
    </row>
    <row r="5" spans="1:18" x14ac:dyDescent="0.25">
      <c r="A5" s="171">
        <v>12.46</v>
      </c>
      <c r="B5" s="171">
        <v>0.5</v>
      </c>
      <c r="C5" s="171">
        <v>16.95</v>
      </c>
      <c r="D5" s="8">
        <v>42769.125</v>
      </c>
      <c r="E5" s="171">
        <v>0.9</v>
      </c>
      <c r="F5" s="171" t="s">
        <v>272</v>
      </c>
      <c r="G5" s="171">
        <v>311.20999999999998</v>
      </c>
      <c r="H5" s="171">
        <v>0</v>
      </c>
      <c r="I5" s="171">
        <v>0</v>
      </c>
      <c r="J5" s="171">
        <v>1031.0899999999999</v>
      </c>
      <c r="K5" s="171" t="s">
        <v>274</v>
      </c>
      <c r="L5" s="171">
        <v>19.420000000000002</v>
      </c>
      <c r="M5" s="171">
        <v>1486116000</v>
      </c>
      <c r="N5" s="171">
        <v>3.08</v>
      </c>
      <c r="O5" s="171">
        <v>9</v>
      </c>
      <c r="P5" s="171">
        <v>4.8600000000000003</v>
      </c>
      <c r="Q5"/>
      <c r="R5"/>
    </row>
    <row r="6" spans="1:18" x14ac:dyDescent="0.25">
      <c r="A6" s="171">
        <v>12</v>
      </c>
      <c r="B6" s="171">
        <v>0.61</v>
      </c>
      <c r="C6" s="171">
        <v>14.99</v>
      </c>
      <c r="D6" s="8">
        <v>42769.166666666664</v>
      </c>
      <c r="E6" s="171">
        <v>0.9</v>
      </c>
      <c r="F6" s="171" t="s">
        <v>272</v>
      </c>
      <c r="G6" s="171">
        <v>309.85000000000002</v>
      </c>
      <c r="H6" s="171">
        <v>0</v>
      </c>
      <c r="I6" s="171">
        <v>0</v>
      </c>
      <c r="J6" s="171">
        <v>1032.33</v>
      </c>
      <c r="K6" s="171" t="s">
        <v>322</v>
      </c>
      <c r="L6" s="171">
        <v>17.36</v>
      </c>
      <c r="M6" s="171">
        <v>1486119600</v>
      </c>
      <c r="N6" s="171">
        <v>2.62</v>
      </c>
      <c r="O6" s="171">
        <v>10</v>
      </c>
      <c r="P6" s="171">
        <v>3.45</v>
      </c>
      <c r="Q6"/>
      <c r="R6"/>
    </row>
    <row r="7" spans="1:18" x14ac:dyDescent="0.25">
      <c r="A7" s="171">
        <v>16.989999999999998</v>
      </c>
      <c r="B7" s="171">
        <v>0.71</v>
      </c>
      <c r="C7" s="171">
        <v>13.93</v>
      </c>
      <c r="D7" s="8">
        <v>42769.208333333336</v>
      </c>
      <c r="E7" s="171">
        <v>0.87</v>
      </c>
      <c r="F7" s="171" t="s">
        <v>272</v>
      </c>
      <c r="G7" s="171">
        <v>308.70999999999998</v>
      </c>
      <c r="H7" s="171">
        <v>0</v>
      </c>
      <c r="I7" s="171">
        <v>0</v>
      </c>
      <c r="J7" s="171">
        <v>1033.0899999999999</v>
      </c>
      <c r="K7" s="171" t="s">
        <v>322</v>
      </c>
      <c r="L7" s="171">
        <v>16.989999999999998</v>
      </c>
      <c r="M7" s="171">
        <v>1486123200</v>
      </c>
      <c r="N7" s="171">
        <v>2.37</v>
      </c>
      <c r="O7" s="171">
        <v>7</v>
      </c>
      <c r="P7" s="171">
        <v>2.36</v>
      </c>
      <c r="Q7"/>
      <c r="R7"/>
    </row>
    <row r="8" spans="1:18" x14ac:dyDescent="0.25">
      <c r="A8" s="171">
        <v>16.8</v>
      </c>
      <c r="B8" s="171">
        <v>0.69</v>
      </c>
      <c r="C8" s="171">
        <v>14.35</v>
      </c>
      <c r="D8" s="8">
        <v>42769.25</v>
      </c>
      <c r="E8" s="171">
        <v>0.9</v>
      </c>
      <c r="F8" s="171" t="s">
        <v>272</v>
      </c>
      <c r="G8" s="171">
        <v>308.04000000000002</v>
      </c>
      <c r="H8" s="171">
        <v>0</v>
      </c>
      <c r="I8" s="171">
        <v>0</v>
      </c>
      <c r="J8" s="171">
        <v>1033.2</v>
      </c>
      <c r="K8" s="171" t="s">
        <v>322</v>
      </c>
      <c r="L8" s="171">
        <v>16.8</v>
      </c>
      <c r="M8" s="171">
        <v>1486126800</v>
      </c>
      <c r="N8" s="171">
        <v>2.81</v>
      </c>
      <c r="O8" s="171">
        <v>34</v>
      </c>
      <c r="P8" s="171">
        <v>1.43</v>
      </c>
      <c r="Q8"/>
      <c r="R8"/>
    </row>
    <row r="9" spans="1:18" x14ac:dyDescent="0.25">
      <c r="A9" s="171">
        <v>16.440000000000001</v>
      </c>
      <c r="B9" s="171">
        <v>0.56999999999999995</v>
      </c>
      <c r="C9" s="171">
        <v>13.99</v>
      </c>
      <c r="D9" s="8">
        <v>42769.291666666664</v>
      </c>
      <c r="E9" s="171">
        <v>0.9</v>
      </c>
      <c r="F9" s="171" t="s">
        <v>272</v>
      </c>
      <c r="G9" s="171">
        <v>307.58999999999997</v>
      </c>
      <c r="H9" s="171">
        <v>0</v>
      </c>
      <c r="I9" s="171">
        <v>0</v>
      </c>
      <c r="J9" s="171">
        <v>1032.79</v>
      </c>
      <c r="K9" s="171" t="s">
        <v>274</v>
      </c>
      <c r="L9" s="171">
        <v>16.440000000000001</v>
      </c>
      <c r="M9" s="171">
        <v>1486130400</v>
      </c>
      <c r="N9" s="171">
        <v>2.88</v>
      </c>
      <c r="O9" s="171">
        <v>60</v>
      </c>
      <c r="P9" s="171">
        <v>0.7</v>
      </c>
      <c r="Q9"/>
      <c r="R9"/>
    </row>
    <row r="10" spans="1:18" x14ac:dyDescent="0.25">
      <c r="A10" s="171">
        <v>17.149999999999999</v>
      </c>
      <c r="B10" s="171">
        <v>0.51</v>
      </c>
      <c r="C10" s="171">
        <v>14.43</v>
      </c>
      <c r="D10" s="8">
        <v>42769.333333333336</v>
      </c>
      <c r="E10" s="171">
        <v>0.89</v>
      </c>
      <c r="F10" s="171" t="s">
        <v>273</v>
      </c>
      <c r="G10" s="171">
        <v>307.26</v>
      </c>
      <c r="H10" s="171">
        <v>0</v>
      </c>
      <c r="I10" s="171">
        <v>0</v>
      </c>
      <c r="J10" s="171">
        <v>1031.8399999999999</v>
      </c>
      <c r="K10" s="171" t="s">
        <v>274</v>
      </c>
      <c r="L10" s="171">
        <v>17.149999999999999</v>
      </c>
      <c r="M10" s="171">
        <v>1486134000</v>
      </c>
      <c r="N10" s="171">
        <v>2.95</v>
      </c>
      <c r="O10" s="171">
        <v>98</v>
      </c>
      <c r="P10" s="171">
        <v>1.36</v>
      </c>
      <c r="Q10"/>
      <c r="R10"/>
    </row>
    <row r="11" spans="1:18" x14ac:dyDescent="0.25">
      <c r="A11" s="171">
        <v>19.489999999999998</v>
      </c>
      <c r="B11" s="171">
        <v>0.54</v>
      </c>
      <c r="C11" s="171">
        <v>16.62</v>
      </c>
      <c r="D11" s="8">
        <v>42769.375</v>
      </c>
      <c r="E11" s="171">
        <v>0.88</v>
      </c>
      <c r="F11" s="171" t="s">
        <v>273</v>
      </c>
      <c r="G11" s="171">
        <v>306.92</v>
      </c>
      <c r="H11" s="171">
        <v>0</v>
      </c>
      <c r="I11" s="171">
        <v>0</v>
      </c>
      <c r="J11" s="171">
        <v>1030.22</v>
      </c>
      <c r="K11" s="171" t="s">
        <v>274</v>
      </c>
      <c r="L11" s="171">
        <v>19.489999999999998</v>
      </c>
      <c r="M11" s="171">
        <v>1486137600</v>
      </c>
      <c r="N11" s="171">
        <v>3.56</v>
      </c>
      <c r="O11" s="171">
        <v>107</v>
      </c>
      <c r="P11" s="171">
        <v>2.4</v>
      </c>
      <c r="Q11"/>
      <c r="R11"/>
    </row>
    <row r="12" spans="1:18" x14ac:dyDescent="0.25">
      <c r="A12" s="171">
        <v>23.23</v>
      </c>
      <c r="B12" s="171">
        <v>0.62</v>
      </c>
      <c r="C12" s="171">
        <v>20.02</v>
      </c>
      <c r="D12" s="8">
        <v>42769.416666666664</v>
      </c>
      <c r="E12" s="171">
        <v>0.87</v>
      </c>
      <c r="F12" s="171" t="s">
        <v>273</v>
      </c>
      <c r="G12" s="171">
        <v>306.69</v>
      </c>
      <c r="H12" s="171">
        <v>0</v>
      </c>
      <c r="I12" s="171">
        <v>0</v>
      </c>
      <c r="J12" s="171">
        <v>1028.0899999999999</v>
      </c>
      <c r="K12" s="171" t="s">
        <v>322</v>
      </c>
      <c r="L12" s="171">
        <v>23.23</v>
      </c>
      <c r="M12" s="171">
        <v>1486141200</v>
      </c>
      <c r="N12" s="171">
        <v>4.29</v>
      </c>
      <c r="O12" s="171">
        <v>107</v>
      </c>
      <c r="P12" s="171">
        <v>2</v>
      </c>
      <c r="Q12"/>
      <c r="R12"/>
    </row>
    <row r="13" spans="1:18" x14ac:dyDescent="0.25">
      <c r="A13" s="171">
        <v>27.15</v>
      </c>
      <c r="B13" s="171">
        <v>0.7</v>
      </c>
      <c r="C13" s="171">
        <v>23.33</v>
      </c>
      <c r="D13" s="8">
        <v>42769.458333333336</v>
      </c>
      <c r="E13" s="171">
        <v>0.85</v>
      </c>
      <c r="F13" s="171" t="s">
        <v>273</v>
      </c>
      <c r="G13" s="171">
        <v>306.86</v>
      </c>
      <c r="H13" s="171">
        <v>0</v>
      </c>
      <c r="I13" s="171">
        <v>0</v>
      </c>
      <c r="J13" s="171">
        <v>1025.8499999999999</v>
      </c>
      <c r="K13" s="171" t="s">
        <v>322</v>
      </c>
      <c r="L13" s="171">
        <v>27.15</v>
      </c>
      <c r="M13" s="171">
        <v>1486144800</v>
      </c>
      <c r="N13" s="171">
        <v>4.78</v>
      </c>
      <c r="O13" s="171">
        <v>71</v>
      </c>
      <c r="P13" s="171">
        <v>1.32</v>
      </c>
      <c r="Q13"/>
      <c r="R13"/>
    </row>
    <row r="14" spans="1:18" x14ac:dyDescent="0.25">
      <c r="A14" s="171">
        <v>30.06</v>
      </c>
      <c r="B14" s="171">
        <v>0.67</v>
      </c>
      <c r="C14" s="171">
        <v>26.08</v>
      </c>
      <c r="D14" s="8">
        <v>42769.5</v>
      </c>
      <c r="E14" s="171">
        <v>0.85</v>
      </c>
      <c r="F14" s="171" t="s">
        <v>273</v>
      </c>
      <c r="G14" s="171">
        <v>307.60000000000002</v>
      </c>
      <c r="H14" s="171">
        <v>0</v>
      </c>
      <c r="I14" s="171">
        <v>0</v>
      </c>
      <c r="J14" s="171">
        <v>1023.39</v>
      </c>
      <c r="K14" s="171" t="s">
        <v>322</v>
      </c>
      <c r="L14" s="171">
        <v>30.06</v>
      </c>
      <c r="M14" s="171">
        <v>1486148400</v>
      </c>
      <c r="N14" s="171">
        <v>4.9800000000000004</v>
      </c>
      <c r="O14" s="171">
        <v>34</v>
      </c>
      <c r="P14" s="171">
        <v>1.94</v>
      </c>
      <c r="Q14"/>
      <c r="R14"/>
    </row>
    <row r="15" spans="1:18" x14ac:dyDescent="0.25">
      <c r="A15" s="171">
        <v>30.57</v>
      </c>
      <c r="B15" s="171">
        <v>0.56999999999999995</v>
      </c>
      <c r="C15" s="171">
        <v>25.89</v>
      </c>
      <c r="D15" s="8">
        <v>42769.541666666664</v>
      </c>
      <c r="E15" s="171">
        <v>0.82</v>
      </c>
      <c r="F15" s="171" t="s">
        <v>273</v>
      </c>
      <c r="G15" s="171">
        <v>308.73</v>
      </c>
      <c r="H15" s="171">
        <v>0</v>
      </c>
      <c r="I15" s="171">
        <v>0</v>
      </c>
      <c r="J15" s="171">
        <v>1021.03</v>
      </c>
      <c r="K15" s="171" t="s">
        <v>274</v>
      </c>
      <c r="L15" s="171">
        <v>30.57</v>
      </c>
      <c r="M15" s="171">
        <v>1486152000</v>
      </c>
      <c r="N15" s="171">
        <v>5.07</v>
      </c>
      <c r="O15" s="171">
        <v>22</v>
      </c>
      <c r="P15" s="171">
        <v>2.87</v>
      </c>
      <c r="Q15"/>
      <c r="R15"/>
    </row>
    <row r="16" spans="1:18" x14ac:dyDescent="0.25">
      <c r="A16" s="171">
        <v>28.97</v>
      </c>
      <c r="B16" s="171">
        <v>0.57999999999999996</v>
      </c>
      <c r="C16" s="171">
        <v>26.26</v>
      </c>
      <c r="D16" s="8">
        <v>42769.583333333336</v>
      </c>
      <c r="E16" s="171">
        <v>0.8</v>
      </c>
      <c r="F16" s="171" t="s">
        <v>273</v>
      </c>
      <c r="G16" s="171">
        <v>310.01</v>
      </c>
      <c r="H16" s="171">
        <v>0</v>
      </c>
      <c r="I16" s="171">
        <v>0</v>
      </c>
      <c r="J16" s="171">
        <v>1019.26</v>
      </c>
      <c r="K16" s="171" t="s">
        <v>274</v>
      </c>
      <c r="L16" s="171">
        <v>31.72</v>
      </c>
      <c r="M16" s="171">
        <v>1486155600</v>
      </c>
      <c r="N16" s="171">
        <v>5.15</v>
      </c>
      <c r="O16" s="171">
        <v>353</v>
      </c>
      <c r="P16" s="171">
        <v>3.02</v>
      </c>
      <c r="Q16"/>
      <c r="R16"/>
    </row>
    <row r="17" spans="1:18" x14ac:dyDescent="0.25">
      <c r="A17" s="171">
        <v>28.71</v>
      </c>
      <c r="B17" s="171">
        <v>0.54</v>
      </c>
      <c r="C17" s="171">
        <v>26.24</v>
      </c>
      <c r="D17" s="8">
        <v>42769.625</v>
      </c>
      <c r="E17" s="171">
        <v>0.79</v>
      </c>
      <c r="F17" s="171" t="s">
        <v>273</v>
      </c>
      <c r="G17" s="171">
        <v>311.33</v>
      </c>
      <c r="H17" s="171">
        <v>0</v>
      </c>
      <c r="I17" s="171">
        <v>0</v>
      </c>
      <c r="J17" s="171">
        <v>1018.66</v>
      </c>
      <c r="K17" s="171" t="s">
        <v>274</v>
      </c>
      <c r="L17" s="171">
        <v>31.86</v>
      </c>
      <c r="M17" s="171">
        <v>1486159200</v>
      </c>
      <c r="N17" s="171">
        <v>5.24</v>
      </c>
      <c r="O17" s="171">
        <v>351</v>
      </c>
      <c r="P17" s="171">
        <v>3.33</v>
      </c>
      <c r="Q17"/>
      <c r="R17"/>
    </row>
    <row r="18" spans="1:18" x14ac:dyDescent="0.25">
      <c r="A18" s="171">
        <v>27.77</v>
      </c>
      <c r="B18" s="171">
        <v>0.54</v>
      </c>
      <c r="C18" s="171">
        <v>25.57</v>
      </c>
      <c r="D18" s="8">
        <v>42769.666666666664</v>
      </c>
      <c r="E18" s="171">
        <v>0.8</v>
      </c>
      <c r="F18" s="171" t="s">
        <v>273</v>
      </c>
      <c r="G18" s="171">
        <v>312.79000000000002</v>
      </c>
      <c r="H18" s="171">
        <v>0</v>
      </c>
      <c r="I18" s="171">
        <v>0</v>
      </c>
      <c r="J18" s="171">
        <v>1018.82</v>
      </c>
      <c r="K18" s="171" t="s">
        <v>274</v>
      </c>
      <c r="L18" s="171">
        <v>30.99</v>
      </c>
      <c r="M18" s="171">
        <v>1486162800</v>
      </c>
      <c r="N18" s="171">
        <v>5.45</v>
      </c>
      <c r="O18" s="171">
        <v>354</v>
      </c>
      <c r="P18" s="171">
        <v>3.29</v>
      </c>
      <c r="Q18"/>
      <c r="R18"/>
    </row>
    <row r="19" spans="1:18" x14ac:dyDescent="0.25">
      <c r="A19" s="171">
        <v>29.87</v>
      </c>
      <c r="B19" s="171">
        <v>0.46</v>
      </c>
      <c r="C19" s="171">
        <v>24.66</v>
      </c>
      <c r="D19" s="8">
        <v>42769.708333333336</v>
      </c>
      <c r="E19" s="171">
        <v>0.81</v>
      </c>
      <c r="F19" s="171" t="s">
        <v>273</v>
      </c>
      <c r="G19" s="171">
        <v>314.42</v>
      </c>
      <c r="H19" s="171">
        <v>0</v>
      </c>
      <c r="I19" s="171">
        <v>0</v>
      </c>
      <c r="J19" s="171">
        <v>1018.89</v>
      </c>
      <c r="K19" s="171" t="s">
        <v>274</v>
      </c>
      <c r="L19" s="171">
        <v>29.87</v>
      </c>
      <c r="M19" s="171">
        <v>1486166400</v>
      </c>
      <c r="N19" s="171">
        <v>6</v>
      </c>
      <c r="O19" s="171">
        <v>358</v>
      </c>
      <c r="P19" s="171">
        <v>2.78</v>
      </c>
      <c r="Q19"/>
      <c r="R19"/>
    </row>
    <row r="20" spans="1:18" x14ac:dyDescent="0.25">
      <c r="A20" s="171">
        <v>26.54</v>
      </c>
      <c r="B20" s="171">
        <v>0.48</v>
      </c>
      <c r="C20" s="171">
        <v>21.6</v>
      </c>
      <c r="D20" s="8">
        <v>42769.75</v>
      </c>
      <c r="E20" s="171">
        <v>0.81</v>
      </c>
      <c r="F20" s="171" t="s">
        <v>272</v>
      </c>
      <c r="G20" s="171">
        <v>316.26</v>
      </c>
      <c r="H20" s="171">
        <v>0</v>
      </c>
      <c r="I20" s="171">
        <v>0</v>
      </c>
      <c r="J20" s="171">
        <v>1018.68</v>
      </c>
      <c r="K20" s="171" t="s">
        <v>274</v>
      </c>
      <c r="L20" s="171">
        <v>26.54</v>
      </c>
      <c r="M20" s="171">
        <v>1486170000</v>
      </c>
      <c r="N20" s="171">
        <v>4.99</v>
      </c>
      <c r="O20" s="171">
        <v>349</v>
      </c>
      <c r="P20" s="171">
        <v>1.52</v>
      </c>
      <c r="Q20"/>
      <c r="R20"/>
    </row>
    <row r="21" spans="1:18" x14ac:dyDescent="0.25">
      <c r="A21" s="171">
        <v>26.25</v>
      </c>
      <c r="B21" s="171">
        <v>0.39</v>
      </c>
      <c r="C21" s="171">
        <v>21.43</v>
      </c>
      <c r="D21" s="8">
        <v>42769.791666666664</v>
      </c>
      <c r="E21" s="171">
        <v>0.82</v>
      </c>
      <c r="F21" s="171" t="s">
        <v>272</v>
      </c>
      <c r="G21" s="171">
        <v>318.27999999999997</v>
      </c>
      <c r="H21" s="171">
        <v>0</v>
      </c>
      <c r="I21" s="171">
        <v>0</v>
      </c>
      <c r="J21" s="171">
        <v>1018.34</v>
      </c>
      <c r="K21" s="171" t="s">
        <v>274</v>
      </c>
      <c r="L21" s="171">
        <v>26.25</v>
      </c>
      <c r="M21" s="171">
        <v>1486173600</v>
      </c>
      <c r="N21" s="171">
        <v>6.3</v>
      </c>
      <c r="O21" s="171">
        <v>198</v>
      </c>
      <c r="P21" s="171">
        <v>0.09</v>
      </c>
      <c r="Q21"/>
      <c r="R21"/>
    </row>
    <row r="22" spans="1:18" x14ac:dyDescent="0.25">
      <c r="A22" s="171">
        <v>24.54</v>
      </c>
      <c r="B22" s="171">
        <v>0.27</v>
      </c>
      <c r="C22" s="171">
        <v>20.22</v>
      </c>
      <c r="D22" s="8">
        <v>42769.833333333336</v>
      </c>
      <c r="E22" s="171">
        <v>0.83</v>
      </c>
      <c r="F22" s="171" t="s">
        <v>272</v>
      </c>
      <c r="G22" s="171">
        <v>320.37</v>
      </c>
      <c r="H22" s="171">
        <v>0</v>
      </c>
      <c r="I22" s="171">
        <v>0</v>
      </c>
      <c r="J22" s="171">
        <v>1017.83</v>
      </c>
      <c r="K22" s="171" t="s">
        <v>274</v>
      </c>
      <c r="L22" s="171">
        <v>24.54</v>
      </c>
      <c r="M22" s="171">
        <v>1486177200</v>
      </c>
      <c r="N22" s="171">
        <v>5.32</v>
      </c>
      <c r="O22" s="171">
        <v>195</v>
      </c>
      <c r="P22" s="171">
        <v>1.07</v>
      </c>
      <c r="Q22"/>
      <c r="R22"/>
    </row>
    <row r="23" spans="1:18" x14ac:dyDescent="0.25">
      <c r="A23" s="171">
        <v>23.65</v>
      </c>
      <c r="B23" s="171">
        <v>0.23</v>
      </c>
      <c r="C23" s="171">
        <v>19.5</v>
      </c>
      <c r="D23" s="8">
        <v>42769.875</v>
      </c>
      <c r="E23" s="171">
        <v>0.84</v>
      </c>
      <c r="F23" s="171" t="s">
        <v>769</v>
      </c>
      <c r="G23" s="171">
        <v>322.58</v>
      </c>
      <c r="H23" s="171">
        <v>0</v>
      </c>
      <c r="I23" s="171">
        <v>0</v>
      </c>
      <c r="J23" s="171">
        <v>1017.15</v>
      </c>
      <c r="K23" s="171" t="s">
        <v>770</v>
      </c>
      <c r="L23" s="171">
        <v>23.65</v>
      </c>
      <c r="M23" s="171">
        <v>1486180800</v>
      </c>
      <c r="N23" s="171">
        <v>4.53</v>
      </c>
      <c r="O23" s="171">
        <v>228</v>
      </c>
      <c r="P23" s="171">
        <v>1.81</v>
      </c>
      <c r="Q23"/>
      <c r="R23"/>
    </row>
    <row r="24" spans="1:18" x14ac:dyDescent="0.25">
      <c r="A24" s="171">
        <v>21.66</v>
      </c>
      <c r="B24" s="171">
        <v>0.2</v>
      </c>
      <c r="C24" s="171">
        <v>17.39</v>
      </c>
      <c r="D24" s="8">
        <v>42769.916666666664</v>
      </c>
      <c r="E24" s="171">
        <v>0.83</v>
      </c>
      <c r="F24" s="171" t="s">
        <v>769</v>
      </c>
      <c r="G24" s="171">
        <v>324.88</v>
      </c>
      <c r="H24" s="171">
        <v>0</v>
      </c>
      <c r="I24" s="171">
        <v>0</v>
      </c>
      <c r="J24" s="171">
        <v>1016.33</v>
      </c>
      <c r="K24" s="171" t="s">
        <v>770</v>
      </c>
      <c r="L24" s="171">
        <v>21.66</v>
      </c>
      <c r="M24" s="171">
        <v>1486184400</v>
      </c>
      <c r="N24" s="171">
        <v>5.9</v>
      </c>
      <c r="O24" s="171">
        <v>230</v>
      </c>
      <c r="P24" s="171">
        <v>2</v>
      </c>
      <c r="Q24"/>
      <c r="R24"/>
    </row>
    <row r="25" spans="1:18" x14ac:dyDescent="0.25">
      <c r="A25" s="171">
        <v>16.05</v>
      </c>
      <c r="B25" s="171">
        <v>0.17</v>
      </c>
      <c r="C25" s="171">
        <v>16.670000000000002</v>
      </c>
      <c r="D25" s="8">
        <v>42769.958333333336</v>
      </c>
      <c r="E25" s="171">
        <v>0.84</v>
      </c>
      <c r="F25" s="171" t="s">
        <v>769</v>
      </c>
      <c r="G25" s="171">
        <v>327.04000000000002</v>
      </c>
      <c r="H25" s="171">
        <v>0</v>
      </c>
      <c r="I25" s="171">
        <v>0</v>
      </c>
      <c r="J25" s="171">
        <v>1015.34</v>
      </c>
      <c r="K25" s="171" t="s">
        <v>770</v>
      </c>
      <c r="L25" s="171">
        <v>20.81</v>
      </c>
      <c r="M25" s="171">
        <v>1486188000</v>
      </c>
      <c r="N25" s="171">
        <v>6.97</v>
      </c>
      <c r="O25" s="171">
        <v>239</v>
      </c>
      <c r="P25" s="171">
        <v>3.37</v>
      </c>
      <c r="Q25"/>
      <c r="R25"/>
    </row>
    <row r="26" spans="1:18" x14ac:dyDescent="0.25">
      <c r="A26" s="171">
        <v>16.91</v>
      </c>
      <c r="B26" s="171">
        <v>0.23</v>
      </c>
      <c r="C26" s="171">
        <v>18.170000000000002</v>
      </c>
      <c r="D26" s="8">
        <v>42770</v>
      </c>
      <c r="E26" s="171">
        <v>0.81</v>
      </c>
      <c r="F26" s="171" t="s">
        <v>769</v>
      </c>
      <c r="G26" s="171">
        <v>328.87</v>
      </c>
      <c r="H26" s="171">
        <v>0</v>
      </c>
      <c r="I26" s="171">
        <v>0</v>
      </c>
      <c r="J26" s="171">
        <v>1014.19</v>
      </c>
      <c r="K26" s="171" t="s">
        <v>770</v>
      </c>
      <c r="L26" s="171">
        <v>23.08</v>
      </c>
      <c r="M26" s="171">
        <v>1486191600</v>
      </c>
      <c r="N26" s="171">
        <v>7.47</v>
      </c>
      <c r="O26" s="171">
        <v>230</v>
      </c>
      <c r="P26" s="171">
        <v>4.72</v>
      </c>
      <c r="Q26"/>
      <c r="R26"/>
    </row>
    <row r="27" spans="1:18" x14ac:dyDescent="0.25">
      <c r="A27" s="171">
        <v>26.17</v>
      </c>
      <c r="B27" s="171">
        <v>0.1</v>
      </c>
      <c r="C27" s="171">
        <v>22.51</v>
      </c>
      <c r="D27" s="8">
        <v>42770.041666666664</v>
      </c>
      <c r="E27" s="171">
        <v>0.72</v>
      </c>
      <c r="F27" s="171" t="s">
        <v>769</v>
      </c>
      <c r="G27" s="171">
        <v>330.7</v>
      </c>
      <c r="H27" s="171">
        <v>0</v>
      </c>
      <c r="I27" s="171">
        <v>0</v>
      </c>
      <c r="J27" s="171">
        <v>1013.23</v>
      </c>
      <c r="K27" s="171" t="s">
        <v>770</v>
      </c>
      <c r="L27" s="171">
        <v>30.58</v>
      </c>
      <c r="M27" s="171">
        <v>1486195200</v>
      </c>
      <c r="N27" s="171">
        <v>7.34</v>
      </c>
      <c r="O27" s="171">
        <v>256</v>
      </c>
      <c r="P27" s="171">
        <v>4.24</v>
      </c>
      <c r="Q27"/>
      <c r="R27"/>
    </row>
    <row r="28" spans="1:18" x14ac:dyDescent="0.25">
      <c r="A28" s="171">
        <v>29.81</v>
      </c>
      <c r="B28" s="171">
        <v>0.18</v>
      </c>
      <c r="C28" s="171">
        <v>25.09</v>
      </c>
      <c r="D28" s="8">
        <v>42770.083333333336</v>
      </c>
      <c r="E28" s="171">
        <v>0.71</v>
      </c>
      <c r="F28" s="171" t="s">
        <v>769</v>
      </c>
      <c r="G28" s="171">
        <v>332.53</v>
      </c>
      <c r="H28" s="171">
        <v>0</v>
      </c>
      <c r="I28" s="171">
        <v>0</v>
      </c>
      <c r="J28" s="171">
        <v>1012.42</v>
      </c>
      <c r="K28" s="171" t="s">
        <v>770</v>
      </c>
      <c r="L28" s="171">
        <v>33.44</v>
      </c>
      <c r="M28" s="171">
        <v>1486198800</v>
      </c>
      <c r="N28" s="171">
        <v>5.65</v>
      </c>
      <c r="O28" s="171">
        <v>279</v>
      </c>
      <c r="P28" s="171">
        <v>3.93</v>
      </c>
      <c r="Q28"/>
      <c r="R28"/>
    </row>
    <row r="29" spans="1:18" x14ac:dyDescent="0.25">
      <c r="A29" s="171">
        <v>31.25</v>
      </c>
      <c r="B29" s="171">
        <v>0.24</v>
      </c>
      <c r="C29" s="171">
        <v>25.82</v>
      </c>
      <c r="D29" s="8">
        <v>42770.125</v>
      </c>
      <c r="E29" s="171">
        <v>0.66</v>
      </c>
      <c r="F29" s="171" t="s">
        <v>769</v>
      </c>
      <c r="G29" s="171">
        <v>333.84</v>
      </c>
      <c r="H29" s="171">
        <v>0</v>
      </c>
      <c r="I29" s="171">
        <v>0</v>
      </c>
      <c r="J29" s="171">
        <v>1012.17</v>
      </c>
      <c r="K29" s="171" t="s">
        <v>770</v>
      </c>
      <c r="L29" s="171">
        <v>35.979999999999997</v>
      </c>
      <c r="M29" s="171">
        <v>1486202400</v>
      </c>
      <c r="N29" s="171">
        <v>7.46</v>
      </c>
      <c r="O29" s="171">
        <v>268</v>
      </c>
      <c r="P29" s="171">
        <v>5.62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7"/>
  <sheetViews>
    <sheetView workbookViewId="0">
      <selection activeCell="E13" sqref="E1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62" t="s">
        <v>101</v>
      </c>
      <c r="K1" s="162" t="s">
        <v>66</v>
      </c>
      <c r="L1" s="162" t="s">
        <v>67</v>
      </c>
      <c r="O1" s="163" t="s">
        <v>102</v>
      </c>
    </row>
    <row r="2" spans="1:16" ht="15.75" thickBot="1" x14ac:dyDescent="0.3">
      <c r="A2" s="12">
        <v>42769</v>
      </c>
      <c r="B2" s="4"/>
      <c r="C2" s="133">
        <v>50</v>
      </c>
      <c r="D2" s="134">
        <v>25</v>
      </c>
      <c r="F2" t="s">
        <v>113</v>
      </c>
      <c r="J2" s="162"/>
      <c r="K2" s="162" t="s">
        <v>66</v>
      </c>
      <c r="L2" s="162" t="s">
        <v>67</v>
      </c>
    </row>
    <row r="3" spans="1:16" x14ac:dyDescent="0.25">
      <c r="C3" s="64"/>
      <c r="F3" t="s">
        <v>52</v>
      </c>
      <c r="J3" s="164" t="s">
        <v>68</v>
      </c>
      <c r="K3" s="165">
        <v>2.7052</v>
      </c>
      <c r="L3" s="165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4" t="s">
        <v>69</v>
      </c>
      <c r="K4" s="165">
        <v>3.0830000000000002</v>
      </c>
      <c r="L4" s="165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4" t="s">
        <v>70</v>
      </c>
      <c r="K5" s="165">
        <v>3.3136000000000001</v>
      </c>
      <c r="L5" s="165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4" t="s">
        <v>71</v>
      </c>
      <c r="K6" s="165">
        <v>4.2778999999999998</v>
      </c>
      <c r="L6" s="165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4" t="s">
        <v>72</v>
      </c>
      <c r="K7" s="165">
        <v>4.7865000000000002</v>
      </c>
      <c r="L7" s="165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4" t="s">
        <v>73</v>
      </c>
      <c r="K8" s="165">
        <v>5.3155000000000001</v>
      </c>
      <c r="L8" s="165">
        <v>5.3277000000000001</v>
      </c>
      <c r="M8" s="152">
        <f t="shared" si="0"/>
        <v>5.3216000000000001</v>
      </c>
    </row>
    <row r="9" spans="1:16" x14ac:dyDescent="0.25">
      <c r="C9" s="64"/>
      <c r="J9" s="164" t="s">
        <v>74</v>
      </c>
      <c r="K9" s="165">
        <v>5.8117000000000001</v>
      </c>
      <c r="L9" s="165">
        <v>5.8300999999999998</v>
      </c>
      <c r="M9" s="152">
        <f t="shared" si="0"/>
        <v>5.8209</v>
      </c>
    </row>
    <row r="10" spans="1:16" x14ac:dyDescent="0.25">
      <c r="C10" s="64"/>
      <c r="J10" s="164" t="s">
        <v>75</v>
      </c>
      <c r="K10" s="165">
        <v>5.8783000000000003</v>
      </c>
      <c r="L10" s="165">
        <v>5.8903999999999996</v>
      </c>
      <c r="M10" s="152">
        <f t="shared" si="0"/>
        <v>5.8843499999999995</v>
      </c>
    </row>
    <row r="11" spans="1:16" x14ac:dyDescent="0.25">
      <c r="C11" s="64"/>
      <c r="J11" s="164" t="s">
        <v>76</v>
      </c>
      <c r="K11" s="165">
        <v>6.3068</v>
      </c>
      <c r="L11" s="165">
        <v>6.3308999999999997</v>
      </c>
      <c r="M11" s="152">
        <f t="shared" si="0"/>
        <v>6.3188499999999994</v>
      </c>
    </row>
    <row r="12" spans="1:16" x14ac:dyDescent="0.25">
      <c r="C12" s="64"/>
      <c r="J12" s="164" t="s">
        <v>77</v>
      </c>
      <c r="K12" s="165">
        <v>7.8349000000000002</v>
      </c>
      <c r="L12" s="165">
        <v>7.8468999999999998</v>
      </c>
      <c r="M12" s="152">
        <f t="shared" si="0"/>
        <v>7.8408999999999995</v>
      </c>
    </row>
    <row r="13" spans="1:16" x14ac:dyDescent="0.25">
      <c r="C13" s="64"/>
      <c r="J13" s="164" t="s">
        <v>78</v>
      </c>
      <c r="K13" s="165">
        <v>10.373799999999999</v>
      </c>
      <c r="L13" s="165">
        <v>10.38</v>
      </c>
      <c r="M13" s="152">
        <f t="shared" si="0"/>
        <v>10.376899999999999</v>
      </c>
    </row>
    <row r="14" spans="1:16" x14ac:dyDescent="0.25">
      <c r="C14" s="64"/>
      <c r="J14" s="164" t="s">
        <v>79</v>
      </c>
      <c r="K14" s="165">
        <v>10.8954</v>
      </c>
      <c r="L14" s="165">
        <v>10.913500000000001</v>
      </c>
      <c r="M14" s="152">
        <f t="shared" si="0"/>
        <v>10.904450000000001</v>
      </c>
    </row>
    <row r="15" spans="1:16" x14ac:dyDescent="0.25">
      <c r="C15" s="64"/>
      <c r="J15" s="164"/>
      <c r="K15" s="165"/>
      <c r="L15" s="165"/>
    </row>
    <row r="16" spans="1:16" x14ac:dyDescent="0.25">
      <c r="C16" s="64"/>
      <c r="J16" s="164"/>
      <c r="K16" s="165"/>
      <c r="L16" s="165"/>
    </row>
    <row r="17" spans="3:13" x14ac:dyDescent="0.25">
      <c r="C17" s="149" t="s">
        <v>191</v>
      </c>
      <c r="J17" s="164"/>
      <c r="K17" s="165"/>
      <c r="L17" s="165"/>
    </row>
    <row r="18" spans="3:13" x14ac:dyDescent="0.25">
      <c r="C18" t="s">
        <v>903</v>
      </c>
      <c r="J18" s="164" t="s">
        <v>85</v>
      </c>
      <c r="K18" s="165"/>
      <c r="L18" s="165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904</v>
      </c>
      <c r="J19" s="164" t="s">
        <v>86</v>
      </c>
      <c r="K19" s="165"/>
      <c r="L19" s="165"/>
      <c r="M19" s="152" t="s">
        <v>112</v>
      </c>
    </row>
    <row r="20" spans="3:13" x14ac:dyDescent="0.25">
      <c r="C20" t="s">
        <v>451</v>
      </c>
      <c r="J20" s="152" t="s">
        <v>87</v>
      </c>
      <c r="M20" s="152" t="s">
        <v>218</v>
      </c>
    </row>
    <row r="21" spans="3:13" x14ac:dyDescent="0.25">
      <c r="C21" t="s">
        <v>905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906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907</v>
      </c>
      <c r="J23" s="166" t="s">
        <v>95</v>
      </c>
      <c r="M23" s="152" t="str">
        <f>"-07"</f>
        <v>-07</v>
      </c>
    </row>
    <row r="24" spans="3:13" x14ac:dyDescent="0.25">
      <c r="C24" t="s">
        <v>908</v>
      </c>
      <c r="J24" s="152" t="s">
        <v>108</v>
      </c>
      <c r="M24" s="152" t="s">
        <v>110</v>
      </c>
    </row>
    <row r="25" spans="3:13" x14ac:dyDescent="0.25">
      <c r="C25" t="s">
        <v>909</v>
      </c>
      <c r="J25" s="152" t="s">
        <v>150</v>
      </c>
      <c r="M25" s="152" t="b">
        <v>1</v>
      </c>
    </row>
    <row r="26" spans="3:13" x14ac:dyDescent="0.25">
      <c r="C26" t="s">
        <v>910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C:\Users\stu\Documents\GitHub\eaglep3-reporting\EC\2017-02-03-refined-times.txt</v>
      </c>
    </row>
    <row r="27" spans="3:13" x14ac:dyDescent="0.25">
      <c r="C27" t="s">
        <v>911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C:\Users\stu\Documents\GitHub\eaglep3-reporting\EC\2017-02-03-Enforcements.txt</v>
      </c>
    </row>
    <row r="28" spans="3:13" x14ac:dyDescent="0.25">
      <c r="C28" t="s">
        <v>912</v>
      </c>
      <c r="J28" s="152" t="s">
        <v>181</v>
      </c>
      <c r="M28" s="152" t="str">
        <f>"C:\Users\stu\Documents\GitHub\eaglep3-reporting\EC\"&amp;TEXT(A2,"YYYY-MM-DD")&amp;"-Runs.txt"</f>
        <v>C:\Users\stu\Documents\GitHub\eaglep3-reporting\EC\2017-02-03-Runs.txt</v>
      </c>
    </row>
    <row r="29" spans="3:13" x14ac:dyDescent="0.25">
      <c r="C29" t="s">
        <v>913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C:\Users\stu\Documents\GitHub\eaglep3-reporting\EC\2017-02-03-Trips.txt</v>
      </c>
    </row>
    <row r="30" spans="3:13" x14ac:dyDescent="0.25">
      <c r="C30" t="s">
        <v>914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C:\Users\stu\Documents\GitHub\eaglep3-reporting\EC\2017-02-03-Weather.txt</v>
      </c>
    </row>
    <row r="31" spans="3:13" x14ac:dyDescent="0.25">
      <c r="C31" t="s">
        <v>915</v>
      </c>
      <c r="J31" s="152" t="s">
        <v>216</v>
      </c>
      <c r="M31" s="152" t="s">
        <v>217</v>
      </c>
    </row>
    <row r="32" spans="3:13" x14ac:dyDescent="0.25">
      <c r="C32" t="s">
        <v>916</v>
      </c>
    </row>
    <row r="33" spans="3:3" x14ac:dyDescent="0.25">
      <c r="C33" t="s">
        <v>917</v>
      </c>
    </row>
    <row r="34" spans="3:3" x14ac:dyDescent="0.25">
      <c r="C34" t="s">
        <v>918</v>
      </c>
    </row>
    <row r="35" spans="3:3" x14ac:dyDescent="0.25">
      <c r="C35" t="s">
        <v>450</v>
      </c>
    </row>
    <row r="36" spans="3:3" x14ac:dyDescent="0.25">
      <c r="C36" t="s">
        <v>919</v>
      </c>
    </row>
    <row r="37" spans="3:3" x14ac:dyDescent="0.25">
      <c r="C37" t="s">
        <v>920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452</v>
      </c>
      <c r="B1" t="str">
        <f t="shared" ref="B1:B30" si="0">MID(A1,6,23)</f>
        <v>2017/02/02 13:23:38.347</v>
      </c>
      <c r="C1" t="e">
        <f>ABS(B1-#REF!)</f>
        <v>#REF!</v>
      </c>
    </row>
    <row r="2" spans="1:3" x14ac:dyDescent="0.25">
      <c r="A2" t="s">
        <v>453</v>
      </c>
      <c r="B2" s="20" t="str">
        <f t="shared" si="0"/>
        <v>2017/02/02 13:23:38.509</v>
      </c>
      <c r="C2">
        <f>ABS(B2-B1)</f>
        <v>1.8749997252598405E-6</v>
      </c>
    </row>
    <row r="3" spans="1:3" x14ac:dyDescent="0.25">
      <c r="A3" t="s">
        <v>454</v>
      </c>
      <c r="B3" s="20" t="str">
        <f t="shared" si="0"/>
        <v>2017/02/02 14:04:28.693</v>
      </c>
      <c r="C3" s="20">
        <f t="shared" ref="C3:C30" si="1">ABS(B3-B2)</f>
        <v>2.8358611110888887E-2</v>
      </c>
    </row>
    <row r="4" spans="1:3" x14ac:dyDescent="0.25">
      <c r="A4" t="s">
        <v>455</v>
      </c>
      <c r="B4" s="20" t="str">
        <f t="shared" si="0"/>
        <v>2017/02/02 14:04:28.994</v>
      </c>
      <c r="C4" s="20">
        <f t="shared" si="1"/>
        <v>3.483793989289552E-6</v>
      </c>
    </row>
    <row r="5" spans="1:3" x14ac:dyDescent="0.25">
      <c r="A5" t="s">
        <v>456</v>
      </c>
      <c r="B5" s="20" t="str">
        <f t="shared" si="0"/>
        <v>2017/02/02 14:04:29.154</v>
      </c>
      <c r="C5" s="20">
        <f t="shared" si="1"/>
        <v>1.851854904089123E-6</v>
      </c>
    </row>
    <row r="6" spans="1:3" x14ac:dyDescent="0.25">
      <c r="A6" t="s">
        <v>457</v>
      </c>
      <c r="B6" s="20" t="str">
        <f t="shared" si="0"/>
        <v>2017/02/02 14:21:42.185</v>
      </c>
      <c r="C6" s="20">
        <f t="shared" si="1"/>
        <v>1.1956377311435062E-2</v>
      </c>
    </row>
    <row r="7" spans="1:3" x14ac:dyDescent="0.25">
      <c r="A7" t="s">
        <v>458</v>
      </c>
      <c r="B7" s="20" t="str">
        <f t="shared" si="0"/>
        <v>2017/02/02 14:21:42.222</v>
      </c>
      <c r="C7" s="20">
        <f t="shared" si="1"/>
        <v>4.282410372979939E-7</v>
      </c>
    </row>
    <row r="8" spans="1:3" x14ac:dyDescent="0.25">
      <c r="A8" t="s">
        <v>459</v>
      </c>
      <c r="B8" s="20" t="str">
        <f t="shared" si="0"/>
        <v>2017/02/02 14:21:42.756</v>
      </c>
      <c r="C8" s="20">
        <f t="shared" si="1"/>
        <v>6.180554919410497E-6</v>
      </c>
    </row>
    <row r="9" spans="1:3" x14ac:dyDescent="0.25">
      <c r="A9" t="s">
        <v>460</v>
      </c>
      <c r="B9" s="20" t="str">
        <f t="shared" si="0"/>
        <v>2017/02/02 14:48:20.986</v>
      </c>
      <c r="C9" s="20">
        <f t="shared" si="1"/>
        <v>1.8498032412026078E-2</v>
      </c>
    </row>
    <row r="10" spans="1:3" x14ac:dyDescent="0.25">
      <c r="A10" t="s">
        <v>461</v>
      </c>
      <c r="B10" s="20" t="str">
        <f t="shared" si="0"/>
        <v>2017/02/02 14:48:21.182</v>
      </c>
      <c r="C10" s="20">
        <f t="shared" si="1"/>
        <v>2.2685198928229511E-6</v>
      </c>
    </row>
    <row r="11" spans="1:3" x14ac:dyDescent="0.25">
      <c r="A11" t="s">
        <v>462</v>
      </c>
      <c r="B11" s="20" t="str">
        <f t="shared" si="0"/>
        <v>2017/02/02 14:48:21.752</v>
      </c>
      <c r="C11" s="20">
        <f t="shared" si="1"/>
        <v>6.597219908144325E-6</v>
      </c>
    </row>
    <row r="12" spans="1:3" x14ac:dyDescent="0.25">
      <c r="A12" t="s">
        <v>463</v>
      </c>
      <c r="B12" s="20" t="str">
        <f t="shared" si="0"/>
        <v>2017/02/02 15:26:15.951</v>
      </c>
      <c r="C12" s="20">
        <f t="shared" si="1"/>
        <v>2.6321747682231944E-2</v>
      </c>
    </row>
    <row r="13" spans="1:3" x14ac:dyDescent="0.25">
      <c r="A13" t="s">
        <v>464</v>
      </c>
      <c r="B13" s="20" t="str">
        <f t="shared" si="0"/>
        <v>2017/02/02 15:26:15.964</v>
      </c>
      <c r="C13" s="20">
        <f t="shared" si="1"/>
        <v>1.5046680346131325E-7</v>
      </c>
    </row>
    <row r="14" spans="1:3" x14ac:dyDescent="0.25">
      <c r="A14" t="s">
        <v>465</v>
      </c>
      <c r="B14" s="20" t="str">
        <f t="shared" si="0"/>
        <v>2017/02/02 15:26:16.086</v>
      </c>
      <c r="C14" s="20">
        <f t="shared" si="1"/>
        <v>1.4120378182269633E-6</v>
      </c>
    </row>
    <row r="15" spans="1:3" x14ac:dyDescent="0.25">
      <c r="A15" t="s">
        <v>466</v>
      </c>
      <c r="B15" s="20" t="str">
        <f t="shared" si="0"/>
        <v>2017/02/02 15:36:15.778</v>
      </c>
      <c r="C15" s="20">
        <f t="shared" si="1"/>
        <v>6.9408796261996031E-3</v>
      </c>
    </row>
    <row r="16" spans="1:3" x14ac:dyDescent="0.25">
      <c r="A16" t="s">
        <v>467</v>
      </c>
      <c r="B16" s="20" t="str">
        <f t="shared" si="0"/>
        <v>2017/02/02 15:36:16.920</v>
      </c>
      <c r="C16" s="20">
        <f t="shared" si="1"/>
        <v>1.3217591913416982E-5</v>
      </c>
    </row>
    <row r="17" spans="1:3" x14ac:dyDescent="0.25">
      <c r="A17" t="s">
        <v>468</v>
      </c>
      <c r="B17" s="20" t="str">
        <f t="shared" si="0"/>
        <v>2017/02/02 15:36:17.400</v>
      </c>
      <c r="C17" s="20">
        <f t="shared" si="1"/>
        <v>5.5555574363097548E-6</v>
      </c>
    </row>
    <row r="18" spans="1:3" x14ac:dyDescent="0.25">
      <c r="A18" t="s">
        <v>469</v>
      </c>
      <c r="B18" s="20" t="str">
        <f t="shared" si="0"/>
        <v>2017/02/02 16:51:30.559</v>
      </c>
      <c r="C18" s="20">
        <f t="shared" si="1"/>
        <v>5.223563657636987E-2</v>
      </c>
    </row>
    <row r="19" spans="1:3" x14ac:dyDescent="0.25">
      <c r="A19" t="s">
        <v>470</v>
      </c>
      <c r="B19" s="20" t="str">
        <f t="shared" si="0"/>
        <v>2017/02/02 16:51:30.912</v>
      </c>
      <c r="C19" s="20">
        <f t="shared" si="1"/>
        <v>4.0856466512195766E-6</v>
      </c>
    </row>
    <row r="20" spans="1:3" x14ac:dyDescent="0.25">
      <c r="A20" t="s">
        <v>471</v>
      </c>
      <c r="B20" s="20" t="str">
        <f t="shared" si="0"/>
        <v>2017/02/02 16:51:31.380</v>
      </c>
      <c r="C20" s="20">
        <f t="shared" si="1"/>
        <v>5.4166666814126074E-6</v>
      </c>
    </row>
    <row r="21" spans="1:3" x14ac:dyDescent="0.25">
      <c r="A21" t="s">
        <v>472</v>
      </c>
      <c r="B21" s="20" t="str">
        <f t="shared" si="0"/>
        <v>2017/02/02 16:52:05.919</v>
      </c>
      <c r="C21" s="20">
        <f t="shared" si="1"/>
        <v>3.9975694380700588E-4</v>
      </c>
    </row>
    <row r="22" spans="1:3" x14ac:dyDescent="0.25">
      <c r="A22" t="s">
        <v>473</v>
      </c>
      <c r="B22" s="20" t="str">
        <f t="shared" si="0"/>
        <v>2017/02/02 16:52:06.371</v>
      </c>
      <c r="C22" s="20">
        <f t="shared" si="1"/>
        <v>5.2314790082164109E-6</v>
      </c>
    </row>
    <row r="23" spans="1:3" x14ac:dyDescent="0.25">
      <c r="A23" t="s">
        <v>474</v>
      </c>
      <c r="B23" s="20" t="str">
        <f t="shared" si="0"/>
        <v>2017/02/02 16:52:08.554</v>
      </c>
      <c r="C23" s="20">
        <f t="shared" si="1"/>
        <v>2.5266206648666412E-5</v>
      </c>
    </row>
    <row r="24" spans="1:3" x14ac:dyDescent="0.25">
      <c r="A24" t="s">
        <v>475</v>
      </c>
      <c r="B24" s="20" t="str">
        <f t="shared" si="0"/>
        <v>2017/02/02 16:55:07.476</v>
      </c>
      <c r="C24" s="20">
        <f t="shared" si="1"/>
        <v>2.0708564770757221E-3</v>
      </c>
    </row>
    <row r="25" spans="1:3" x14ac:dyDescent="0.25">
      <c r="A25" t="s">
        <v>476</v>
      </c>
      <c r="B25" s="20" t="str">
        <f t="shared" si="0"/>
        <v>2017/02/02 16:55:07.641</v>
      </c>
      <c r="C25" s="20">
        <f t="shared" si="1"/>
        <v>1.909727870952338E-6</v>
      </c>
    </row>
    <row r="26" spans="1:3" x14ac:dyDescent="0.25">
      <c r="A26" t="s">
        <v>477</v>
      </c>
      <c r="B26" s="20" t="str">
        <f t="shared" si="0"/>
        <v>2017/02/02 17:23:18.412</v>
      </c>
      <c r="C26" s="20">
        <f t="shared" si="1"/>
        <v>1.9569108793803025E-2</v>
      </c>
    </row>
    <row r="27" spans="1:3" x14ac:dyDescent="0.25">
      <c r="A27" t="s">
        <v>478</v>
      </c>
      <c r="B27" s="20" t="str">
        <f t="shared" si="0"/>
        <v>2017/02/02 17:47:02.206</v>
      </c>
      <c r="C27" s="20">
        <f t="shared" si="1"/>
        <v>1.6479097219416872E-2</v>
      </c>
    </row>
    <row r="28" spans="1:3" x14ac:dyDescent="0.25">
      <c r="A28" t="s">
        <v>479</v>
      </c>
      <c r="B28" s="20" t="str">
        <f t="shared" si="0"/>
        <v>2017/02/02 17:51:41.353</v>
      </c>
      <c r="C28" s="20">
        <f t="shared" si="1"/>
        <v>3.2308680602000095E-3</v>
      </c>
    </row>
    <row r="29" spans="1:3" x14ac:dyDescent="0.25">
      <c r="A29" t="s">
        <v>480</v>
      </c>
      <c r="B29" s="20" t="str">
        <f t="shared" si="0"/>
        <v>2017/02/02 17:52:57.736</v>
      </c>
      <c r="C29" s="20">
        <f t="shared" si="1"/>
        <v>8.8406250142725185E-4</v>
      </c>
    </row>
    <row r="30" spans="1:3" x14ac:dyDescent="0.25">
      <c r="A30" t="s">
        <v>481</v>
      </c>
      <c r="B30" s="20" t="str">
        <f t="shared" si="0"/>
        <v>2017/02/02 17:52:57.779</v>
      </c>
      <c r="C30" s="20">
        <f t="shared" si="1"/>
        <v>4.9768277676776052E-7</v>
      </c>
    </row>
    <row r="31" spans="1:3" x14ac:dyDescent="0.25">
      <c r="A31" t="s">
        <v>482</v>
      </c>
      <c r="B31" s="20" t="str">
        <f t="shared" ref="B31:B32" si="2">MID(A31,6,23)</f>
        <v>2017/02/02 18:17:02.566</v>
      </c>
      <c r="C31" s="20">
        <f t="shared" ref="C31:C32" si="3">ABS(B31-B30)</f>
        <v>1.6722071755793877E-2</v>
      </c>
    </row>
    <row r="32" spans="1:3" x14ac:dyDescent="0.25">
      <c r="A32" t="s">
        <v>483</v>
      </c>
      <c r="B32" s="20" t="str">
        <f t="shared" si="2"/>
        <v>2017/02/02 18:17:03.367</v>
      </c>
      <c r="C32" s="20">
        <f t="shared" si="3"/>
        <v>9.2708360170945525E-6</v>
      </c>
    </row>
    <row r="33" spans="1:3" x14ac:dyDescent="0.25">
      <c r="A33" t="s">
        <v>484</v>
      </c>
      <c r="B33" s="20" t="str">
        <f t="shared" ref="B33:B49" si="4">MID(A33,6,23)</f>
        <v>2017/02/02 18:36:23.340</v>
      </c>
      <c r="C33" s="20">
        <f t="shared" ref="C33:C49" si="5">ABS(B33-B32)</f>
        <v>1.3425613426079508E-2</v>
      </c>
    </row>
    <row r="34" spans="1:3" x14ac:dyDescent="0.25">
      <c r="A34" t="s">
        <v>485</v>
      </c>
      <c r="B34" s="20" t="str">
        <f t="shared" si="4"/>
        <v>2017/02/02 18:36:23.507</v>
      </c>
      <c r="C34" s="20">
        <f t="shared" si="5"/>
        <v>1.9328726921230555E-6</v>
      </c>
    </row>
    <row r="35" spans="1:3" x14ac:dyDescent="0.25">
      <c r="A35" t="s">
        <v>486</v>
      </c>
      <c r="B35" s="20" t="str">
        <f t="shared" si="4"/>
        <v>2017/02/02 18:36:23.897</v>
      </c>
      <c r="C35" s="20">
        <f t="shared" si="5"/>
        <v>4.5138876885175705E-6</v>
      </c>
    </row>
    <row r="36" spans="1:3" x14ac:dyDescent="0.25">
      <c r="A36" t="s">
        <v>487</v>
      </c>
      <c r="B36" s="20" t="str">
        <f t="shared" si="4"/>
        <v>2017/02/02 19:53:50.567</v>
      </c>
      <c r="C36" s="20">
        <f t="shared" si="5"/>
        <v>5.3780902773723938E-2</v>
      </c>
    </row>
    <row r="37" spans="1:3" x14ac:dyDescent="0.25">
      <c r="A37" t="s">
        <v>488</v>
      </c>
      <c r="B37" s="20" t="str">
        <f t="shared" si="4"/>
        <v>2017/02/02 19:53:51.381</v>
      </c>
      <c r="C37" s="20">
        <f t="shared" si="5"/>
        <v>9.4212955445982516E-6</v>
      </c>
    </row>
    <row r="38" spans="1:3" x14ac:dyDescent="0.25">
      <c r="A38" t="s">
        <v>489</v>
      </c>
      <c r="B38" s="20" t="str">
        <f t="shared" si="4"/>
        <v>2017/02/02 19:54:47.379</v>
      </c>
      <c r="C38" s="20">
        <f t="shared" si="5"/>
        <v>6.4812500204425305E-4</v>
      </c>
    </row>
    <row r="39" spans="1:3" x14ac:dyDescent="0.25">
      <c r="A39" t="s">
        <v>490</v>
      </c>
      <c r="B39" s="20" t="str">
        <f t="shared" si="4"/>
        <v>2017/02/02 20:35:40.453</v>
      </c>
      <c r="C39" s="20">
        <f t="shared" si="5"/>
        <v>2.8392060186888557E-2</v>
      </c>
    </row>
    <row r="40" spans="1:3" x14ac:dyDescent="0.25">
      <c r="A40" t="s">
        <v>491</v>
      </c>
      <c r="B40" s="20" t="str">
        <f t="shared" si="4"/>
        <v>2017/02/02 22:43:32.781</v>
      </c>
      <c r="C40" s="20">
        <f t="shared" si="5"/>
        <v>8.8800092591554858E-2</v>
      </c>
    </row>
    <row r="41" spans="1:3" x14ac:dyDescent="0.25">
      <c r="A41" t="s">
        <v>492</v>
      </c>
      <c r="B41" s="20" t="str">
        <f t="shared" si="4"/>
        <v>2017/02/02 22:43:34.398</v>
      </c>
      <c r="C41" s="20">
        <f t="shared" si="5"/>
        <v>1.8715276382863522E-5</v>
      </c>
    </row>
    <row r="42" spans="1:3" x14ac:dyDescent="0.25">
      <c r="A42" t="s">
        <v>493</v>
      </c>
      <c r="B42" s="20" t="str">
        <f t="shared" si="4"/>
        <v>2017/02/03 00:27:13.281</v>
      </c>
      <c r="C42" s="20">
        <f t="shared" si="5"/>
        <v>7.1977812505792826E-2</v>
      </c>
    </row>
    <row r="43" spans="1:3" x14ac:dyDescent="0.25">
      <c r="A43" t="s">
        <v>494</v>
      </c>
      <c r="B43" s="20" t="str">
        <f t="shared" si="4"/>
        <v>2017/02/03 00:27:13.461</v>
      </c>
      <c r="C43" s="20">
        <f t="shared" si="5"/>
        <v>2.0833322196267545E-6</v>
      </c>
    </row>
    <row r="44" spans="1:3" x14ac:dyDescent="0.25">
      <c r="A44" t="s">
        <v>495</v>
      </c>
      <c r="B44" s="20" t="str">
        <f t="shared" si="4"/>
        <v>2017/02/03 00:27:14.083</v>
      </c>
      <c r="C44" s="20">
        <f t="shared" si="5"/>
        <v>7.1990725700743496E-6</v>
      </c>
    </row>
    <row r="45" spans="1:3" x14ac:dyDescent="0.25">
      <c r="A45" t="s">
        <v>496</v>
      </c>
      <c r="B45" s="20" t="str">
        <f t="shared" si="4"/>
        <v>2017/02/03 01:27:26.085</v>
      </c>
      <c r="C45" s="20">
        <f t="shared" si="5"/>
        <v>4.1805578701314516E-2</v>
      </c>
    </row>
    <row r="46" spans="1:3" x14ac:dyDescent="0.25">
      <c r="A46" t="s">
        <v>497</v>
      </c>
      <c r="B46" s="20" t="str">
        <f t="shared" si="4"/>
        <v>2017/02/03 01:27:26.460</v>
      </c>
      <c r="C46" s="20">
        <f t="shared" si="5"/>
        <v>4.3402760638855398E-6</v>
      </c>
    </row>
    <row r="47" spans="1:3" x14ac:dyDescent="0.25">
      <c r="A47" t="s">
        <v>498</v>
      </c>
      <c r="B47" s="20" t="str">
        <f t="shared" si="4"/>
        <v>2017/02/03 01:27:27.274</v>
      </c>
      <c r="C47" s="20">
        <f t="shared" si="5"/>
        <v>9.4213028205558658E-6</v>
      </c>
    </row>
    <row r="48" spans="1:3" x14ac:dyDescent="0.25">
      <c r="A48" t="s">
        <v>499</v>
      </c>
      <c r="B48" s="20" t="str">
        <f t="shared" si="4"/>
        <v>2017/02/03 01:36:14.411</v>
      </c>
      <c r="C48" s="20">
        <f t="shared" si="5"/>
        <v>6.1011226789560169E-3</v>
      </c>
    </row>
    <row r="49" spans="1:3" x14ac:dyDescent="0.25">
      <c r="A49" t="s">
        <v>500</v>
      </c>
      <c r="B49" s="20" t="str">
        <f t="shared" si="4"/>
        <v>2017/02/03 01:36:14.993</v>
      </c>
      <c r="C49" s="20">
        <f t="shared" si="5"/>
        <v>6.7361106630414724E-6</v>
      </c>
    </row>
    <row r="50" spans="1:3" x14ac:dyDescent="0.25">
      <c r="A50" t="s">
        <v>501</v>
      </c>
      <c r="B50" s="20" t="str">
        <f t="shared" ref="B50:B54" si="6">MID(A50,6,23)</f>
        <v>2017/02/03 01:36:15.019</v>
      </c>
      <c r="C50" s="20">
        <f t="shared" ref="C50:C54" si="7">ABS(B50-B49)</f>
        <v>3.0092633096501231E-7</v>
      </c>
    </row>
    <row r="51" spans="1:3" x14ac:dyDescent="0.25">
      <c r="A51" t="s">
        <v>502</v>
      </c>
      <c r="B51" s="20" t="str">
        <f t="shared" si="6"/>
        <v>2017/02/03 02:28:20.686</v>
      </c>
      <c r="C51" s="20">
        <f t="shared" si="7"/>
        <v>3.6176701389194932E-2</v>
      </c>
    </row>
    <row r="52" spans="1:3" x14ac:dyDescent="0.25">
      <c r="A52" t="s">
        <v>503</v>
      </c>
      <c r="B52" s="20" t="str">
        <f t="shared" si="6"/>
        <v>2017/02/03 02:28:21.331</v>
      </c>
      <c r="C52" s="20">
        <f t="shared" si="7"/>
        <v>7.4652780313044786E-6</v>
      </c>
    </row>
    <row r="53" spans="1:3" x14ac:dyDescent="0.25">
      <c r="A53" t="s">
        <v>504</v>
      </c>
      <c r="B53" s="20" t="str">
        <f t="shared" si="6"/>
        <v>2017/02/03 02:28:21.373</v>
      </c>
      <c r="C53" s="20">
        <f t="shared" si="7"/>
        <v>4.8611400416120887E-7</v>
      </c>
    </row>
    <row r="54" spans="1:3" x14ac:dyDescent="0.25">
      <c r="A54" t="s">
        <v>505</v>
      </c>
      <c r="B54" s="20" t="str">
        <f t="shared" si="6"/>
        <v>2017/02/03 02:35:37.922</v>
      </c>
      <c r="C54" s="20">
        <f t="shared" si="7"/>
        <v>5.0526504637673497E-3</v>
      </c>
    </row>
    <row r="55" spans="1:3" x14ac:dyDescent="0.25">
      <c r="A55" t="s">
        <v>506</v>
      </c>
      <c r="B55" s="20" t="str">
        <f t="shared" ref="B55:B74" si="8">MID(A55,6,23)</f>
        <v>2017/02/03 02:35:37.943</v>
      </c>
      <c r="C55" s="20">
        <f t="shared" ref="C55:C74" si="9">ABS(B55-B54)</f>
        <v>2.4305336410179734E-7</v>
      </c>
    </row>
    <row r="56" spans="1:3" x14ac:dyDescent="0.25">
      <c r="A56" t="s">
        <v>507</v>
      </c>
      <c r="B56" s="20" t="str">
        <f t="shared" si="8"/>
        <v>2017/02/03 03:08:06.796</v>
      </c>
      <c r="C56" s="20">
        <f t="shared" si="9"/>
        <v>2.2556168980372604E-2</v>
      </c>
    </row>
    <row r="57" spans="1:3" x14ac:dyDescent="0.25">
      <c r="A57" t="s">
        <v>508</v>
      </c>
      <c r="B57" s="20" t="str">
        <f t="shared" si="8"/>
        <v>2017/02/03 03:08:06.975</v>
      </c>
      <c r="C57" s="20">
        <f t="shared" si="9"/>
        <v>2.0717634470202029E-6</v>
      </c>
    </row>
    <row r="58" spans="1:3" x14ac:dyDescent="0.25">
      <c r="A58" t="s">
        <v>509</v>
      </c>
      <c r="B58" s="20" t="str">
        <f t="shared" si="8"/>
        <v>2017/02/03 03:08:07.140</v>
      </c>
      <c r="C58" s="20">
        <f t="shared" si="9"/>
        <v>1.9097205949947238E-6</v>
      </c>
    </row>
    <row r="59" spans="1:3" x14ac:dyDescent="0.25">
      <c r="A59" t="s">
        <v>510</v>
      </c>
      <c r="B59" s="20" t="str">
        <f t="shared" si="8"/>
        <v>2017/02/03 03:36:46.408</v>
      </c>
      <c r="C59" s="20">
        <f t="shared" si="9"/>
        <v>1.9898935184755828E-2</v>
      </c>
    </row>
    <row r="60" spans="1:3" x14ac:dyDescent="0.25">
      <c r="A60" t="s">
        <v>511</v>
      </c>
      <c r="B60" s="20" t="str">
        <f t="shared" si="8"/>
        <v>2017/02/03 03:36:46.999</v>
      </c>
      <c r="C60" s="20">
        <f t="shared" si="9"/>
        <v>6.8402805482037365E-6</v>
      </c>
    </row>
    <row r="61" spans="1:3" x14ac:dyDescent="0.25">
      <c r="A61" t="s">
        <v>512</v>
      </c>
      <c r="B61" s="20" t="str">
        <f t="shared" si="8"/>
        <v>2017/02/03 03:36:47.034</v>
      </c>
      <c r="C61" s="20">
        <f t="shared" si="9"/>
        <v>4.0508894016966224E-7</v>
      </c>
    </row>
    <row r="62" spans="1:3" x14ac:dyDescent="0.25">
      <c r="A62" t="s">
        <v>513</v>
      </c>
      <c r="B62" s="20" t="str">
        <f t="shared" si="8"/>
        <v>2017/02/03 04:55:49.662</v>
      </c>
      <c r="C62" s="20">
        <f t="shared" si="9"/>
        <v>5.4891527775907889E-2</v>
      </c>
    </row>
    <row r="63" spans="1:3" x14ac:dyDescent="0.25">
      <c r="A63" t="s">
        <v>514</v>
      </c>
      <c r="B63" s="20" t="str">
        <f t="shared" si="8"/>
        <v>2017/02/03 04:55:50.376</v>
      </c>
      <c r="C63" s="20">
        <f t="shared" si="9"/>
        <v>8.2638944149948657E-6</v>
      </c>
    </row>
    <row r="64" spans="1:3" x14ac:dyDescent="0.25">
      <c r="A64" t="s">
        <v>515</v>
      </c>
      <c r="B64" s="20" t="str">
        <f t="shared" si="8"/>
        <v>2017/02/03 05:03:14.671</v>
      </c>
      <c r="C64" s="20">
        <f t="shared" si="9"/>
        <v>5.1423032346065156E-3</v>
      </c>
    </row>
    <row r="65" spans="1:3" x14ac:dyDescent="0.25">
      <c r="A65" t="s">
        <v>516</v>
      </c>
      <c r="B65" s="20" t="str">
        <f t="shared" si="8"/>
        <v>2017/02/03 05:03:16.315</v>
      </c>
      <c r="C65" s="20">
        <f t="shared" si="9"/>
        <v>1.90277787623927E-5</v>
      </c>
    </row>
    <row r="66" spans="1:3" x14ac:dyDescent="0.25">
      <c r="A66" t="s">
        <v>517</v>
      </c>
      <c r="B66" s="20" t="str">
        <f t="shared" si="8"/>
        <v>2017/02/03 05:03:16.362</v>
      </c>
      <c r="C66" s="20">
        <f t="shared" si="9"/>
        <v>5.4398697102442384E-7</v>
      </c>
    </row>
    <row r="67" spans="1:3" x14ac:dyDescent="0.25">
      <c r="A67" t="s">
        <v>518</v>
      </c>
      <c r="B67" s="20" t="str">
        <f t="shared" si="8"/>
        <v>2017/02/03 06:51:53.709</v>
      </c>
      <c r="C67" s="20">
        <f t="shared" si="9"/>
        <v>7.5432256940985098E-2</v>
      </c>
    </row>
    <row r="68" spans="1:3" x14ac:dyDescent="0.25">
      <c r="A68" t="s">
        <v>519</v>
      </c>
      <c r="B68" s="20" t="str">
        <f t="shared" si="8"/>
        <v>2017/02/03 07:03:32.365</v>
      </c>
      <c r="C68" s="20">
        <f t="shared" si="9"/>
        <v>8.0862962931860238E-3</v>
      </c>
    </row>
    <row r="69" spans="1:3" x14ac:dyDescent="0.25">
      <c r="A69" t="s">
        <v>520</v>
      </c>
      <c r="B69" s="20" t="str">
        <f t="shared" si="8"/>
        <v>2017/02/03 07:03:32.827</v>
      </c>
      <c r="C69" s="20">
        <f t="shared" si="9"/>
        <v>5.3472249419428408E-6</v>
      </c>
    </row>
    <row r="70" spans="1:3" x14ac:dyDescent="0.25">
      <c r="A70" t="s">
        <v>521</v>
      </c>
      <c r="B70" s="20" t="str">
        <f t="shared" si="8"/>
        <v>2017/02/03 08:03:54.498</v>
      </c>
      <c r="C70" s="20">
        <f t="shared" si="9"/>
        <v>4.1917488430044614E-2</v>
      </c>
    </row>
    <row r="71" spans="1:3" x14ac:dyDescent="0.25">
      <c r="A71" t="s">
        <v>522</v>
      </c>
      <c r="B71" s="20" t="str">
        <f t="shared" si="8"/>
        <v>2017/02/03 08:03:54.854</v>
      </c>
      <c r="C71" s="20">
        <f t="shared" si="9"/>
        <v>4.1203675209544599E-6</v>
      </c>
    </row>
    <row r="72" spans="1:3" x14ac:dyDescent="0.25">
      <c r="A72" t="s">
        <v>523</v>
      </c>
      <c r="B72" s="20" t="str">
        <f t="shared" si="8"/>
        <v>2017/02/03 08:04:07.975</v>
      </c>
      <c r="C72" s="20">
        <f t="shared" si="9"/>
        <v>1.5186342352535576E-4</v>
      </c>
    </row>
    <row r="73" spans="1:3" x14ac:dyDescent="0.25">
      <c r="A73" t="s">
        <v>524</v>
      </c>
      <c r="B73" s="20" t="str">
        <f t="shared" si="8"/>
        <v>2017/02/03 08:04:08.013</v>
      </c>
      <c r="C73" s="20">
        <f t="shared" si="9"/>
        <v>4.3981708586215973E-7</v>
      </c>
    </row>
    <row r="74" spans="1:3" x14ac:dyDescent="0.25">
      <c r="A74" t="s">
        <v>525</v>
      </c>
      <c r="B74" s="20" t="str">
        <f t="shared" si="8"/>
        <v>2017/02/03 08:04:08.394</v>
      </c>
      <c r="C74" s="20">
        <f t="shared" si="9"/>
        <v>4.4097250793129206E-6</v>
      </c>
    </row>
    <row r="75" spans="1:3" x14ac:dyDescent="0.25">
      <c r="B75" s="20"/>
      <c r="C75" s="20"/>
    </row>
    <row r="76" spans="1:3" x14ac:dyDescent="0.25">
      <c r="B76" s="20"/>
      <c r="C76" s="20"/>
    </row>
    <row r="77" spans="1:3" x14ac:dyDescent="0.25">
      <c r="B77" s="20"/>
      <c r="C77" s="20"/>
    </row>
    <row r="78" spans="1:3" x14ac:dyDescent="0.25">
      <c r="B78" s="20"/>
      <c r="C78" s="20"/>
    </row>
    <row r="79" spans="1:3" x14ac:dyDescent="0.25">
      <c r="B79" s="20"/>
      <c r="C79" s="20"/>
    </row>
    <row r="80" spans="1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2017-02-06T16:44:33Z</dcterms:modified>
</cp:coreProperties>
</file>