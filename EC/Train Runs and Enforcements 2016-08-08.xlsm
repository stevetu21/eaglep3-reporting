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definedNames>
    <definedName name="_xlnm._FilterDatabase" localSheetId="1" hidden="1">Enforcements!$A$6:$V$69</definedName>
    <definedName name="_xlnm._FilterDatabase" localSheetId="2" hidden="1">'Missing Trips'!$A$2:$H$2</definedName>
    <definedName name="_xlnm._FilterDatabase" localSheetId="0" hidden="1">'Train Runs'!$A$12:$AG$217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Runs'!$A$12:$J$45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1" i="1" l="1"/>
  <c r="X23" i="1"/>
  <c r="X24" i="1"/>
  <c r="X25" i="1"/>
  <c r="X26" i="1"/>
  <c r="X27" i="1"/>
  <c r="X183" i="1"/>
  <c r="X184" i="1"/>
  <c r="X185" i="1"/>
  <c r="X186" i="1"/>
  <c r="X187" i="1"/>
  <c r="X188" i="1"/>
  <c r="X189" i="1"/>
  <c r="X190" i="1"/>
  <c r="X191" i="1"/>
  <c r="P167" i="1"/>
  <c r="P149" i="1"/>
  <c r="P148" i="1"/>
  <c r="P143" i="1"/>
  <c r="X116" i="1"/>
  <c r="Y116" i="1"/>
  <c r="Z116" i="1"/>
  <c r="AA116" i="1" s="1"/>
  <c r="X117" i="1"/>
  <c r="Y117" i="1"/>
  <c r="Z117" i="1"/>
  <c r="X118" i="1"/>
  <c r="Y118" i="1"/>
  <c r="Z118" i="1"/>
  <c r="X119" i="1"/>
  <c r="Y119" i="1"/>
  <c r="Z119" i="1"/>
  <c r="X120" i="1"/>
  <c r="Y120" i="1"/>
  <c r="Z120" i="1"/>
  <c r="X121" i="1"/>
  <c r="Y121" i="1"/>
  <c r="Z121" i="1"/>
  <c r="X122" i="1"/>
  <c r="Y122" i="1"/>
  <c r="Z122" i="1"/>
  <c r="X123" i="1"/>
  <c r="Y123" i="1"/>
  <c r="Z123" i="1"/>
  <c r="X124" i="1"/>
  <c r="Y124" i="1"/>
  <c r="Z124" i="1"/>
  <c r="X125" i="1"/>
  <c r="Y125" i="1"/>
  <c r="Z125" i="1"/>
  <c r="X126" i="1"/>
  <c r="Y126" i="1"/>
  <c r="Z126" i="1"/>
  <c r="X127" i="1"/>
  <c r="Y127" i="1"/>
  <c r="Z127" i="1"/>
  <c r="X128" i="1"/>
  <c r="Y128" i="1"/>
  <c r="Z128" i="1"/>
  <c r="X129" i="1"/>
  <c r="Y129" i="1"/>
  <c r="Z129" i="1"/>
  <c r="X130" i="1"/>
  <c r="Y130" i="1"/>
  <c r="Z130" i="1"/>
  <c r="P120" i="1"/>
  <c r="P47" i="1"/>
  <c r="P43" i="1"/>
  <c r="K24" i="1"/>
  <c r="L24" i="1"/>
  <c r="M24" i="1"/>
  <c r="T24" i="1"/>
  <c r="V24" i="1"/>
  <c r="Y24" i="1"/>
  <c r="Z24" i="1"/>
  <c r="AA24" i="1" s="1"/>
  <c r="AB24" i="1"/>
  <c r="AC24" i="1"/>
  <c r="AD24" i="1"/>
  <c r="AG24" i="1" s="1"/>
  <c r="AE24" i="1"/>
  <c r="AF24" i="1"/>
  <c r="AH24" i="1"/>
  <c r="P30" i="1"/>
  <c r="P22" i="1"/>
  <c r="P25" i="1"/>
  <c r="P21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U14" i="1" s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G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V21" i="1"/>
  <c r="Y21" i="1"/>
  <c r="Z21" i="1"/>
  <c r="AA21" i="1" s="1"/>
  <c r="AB21" i="1"/>
  <c r="AC21" i="1"/>
  <c r="AD21" i="1"/>
  <c r="AG21" i="1" s="1"/>
  <c r="AE21" i="1"/>
  <c r="AF21" i="1"/>
  <c r="AH21" i="1"/>
  <c r="K22" i="1"/>
  <c r="L22" i="1"/>
  <c r="M22" i="1"/>
  <c r="V22" i="1"/>
  <c r="Y22" i="1"/>
  <c r="Z22" i="1"/>
  <c r="AB22" i="1"/>
  <c r="AC22" i="1"/>
  <c r="AD22" i="1"/>
  <c r="AE22" i="1"/>
  <c r="AF22" i="1"/>
  <c r="AH22" i="1"/>
  <c r="K23" i="1"/>
  <c r="L23" i="1"/>
  <c r="M23" i="1"/>
  <c r="V23" i="1"/>
  <c r="Y23" i="1"/>
  <c r="Z23" i="1"/>
  <c r="AB23" i="1"/>
  <c r="AC23" i="1"/>
  <c r="AD23" i="1"/>
  <c r="AG23" i="1" s="1"/>
  <c r="AE23" i="1"/>
  <c r="AF23" i="1"/>
  <c r="AH23" i="1"/>
  <c r="K25" i="1"/>
  <c r="L25" i="1"/>
  <c r="M25" i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K28" i="1"/>
  <c r="L28" i="1"/>
  <c r="M28" i="1"/>
  <c r="N28" i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A29" i="1" s="1"/>
  <c r="AB29" i="1"/>
  <c r="AC29" i="1"/>
  <c r="AD29" i="1"/>
  <c r="AG29" i="1" s="1"/>
  <c r="AE29" i="1"/>
  <c r="AF29" i="1"/>
  <c r="AH29" i="1"/>
  <c r="K30" i="1"/>
  <c r="L30" i="1"/>
  <c r="M30" i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V31" i="1"/>
  <c r="Y31" i="1"/>
  <c r="Z31" i="1"/>
  <c r="AB31" i="1"/>
  <c r="AC31" i="1"/>
  <c r="AD31" i="1"/>
  <c r="AE31" i="1"/>
  <c r="AF31" i="1"/>
  <c r="AH31" i="1"/>
  <c r="K32" i="1"/>
  <c r="L32" i="1"/>
  <c r="M32" i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/>
  <c r="V33" i="1"/>
  <c r="Y33" i="1"/>
  <c r="Z33" i="1"/>
  <c r="AA33" i="1" s="1"/>
  <c r="AB33" i="1"/>
  <c r="AC33" i="1"/>
  <c r="AD33" i="1"/>
  <c r="AE33" i="1"/>
  <c r="AF33" i="1"/>
  <c r="AG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G44" i="1"/>
  <c r="AH44" i="1"/>
  <c r="K45" i="1"/>
  <c r="L45" i="1"/>
  <c r="M45" i="1"/>
  <c r="N45" i="1" s="1"/>
  <c r="V45" i="1"/>
  <c r="Y45" i="1"/>
  <c r="Z45" i="1"/>
  <c r="AA45" i="1" s="1"/>
  <c r="W45" i="1" s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K47" i="1"/>
  <c r="L47" i="1"/>
  <c r="M47" i="1"/>
  <c r="V47" i="1"/>
  <c r="Y47" i="1"/>
  <c r="Z47" i="1"/>
  <c r="AA47" i="1" s="1"/>
  <c r="W47" i="1" s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/>
  <c r="V55" i="1"/>
  <c r="Y55" i="1"/>
  <c r="Z55" i="1"/>
  <c r="AA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A57" i="1" s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A59" i="1" s="1"/>
  <c r="W59" i="1" s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A61" i="1" s="1"/>
  <c r="W61" i="1" s="1"/>
  <c r="AB61" i="1"/>
  <c r="AC61" i="1"/>
  <c r="AD61" i="1"/>
  <c r="AG61" i="1" s="1"/>
  <c r="AE61" i="1"/>
  <c r="AF61" i="1"/>
  <c r="AH61" i="1"/>
  <c r="K62" i="1"/>
  <c r="L62" i="1"/>
  <c r="M62" i="1"/>
  <c r="N62" i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A63" i="1" s="1"/>
  <c r="W63" i="1" s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X69" i="1" s="1"/>
  <c r="AE68" i="1"/>
  <c r="AF68" i="1"/>
  <c r="AH68" i="1"/>
  <c r="K69" i="1"/>
  <c r="L69" i="1"/>
  <c r="M69" i="1"/>
  <c r="N69" i="1"/>
  <c r="V69" i="1"/>
  <c r="Y69" i="1"/>
  <c r="Z69" i="1"/>
  <c r="AA69" i="1" s="1"/>
  <c r="W69" i="1" s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A71" i="1" s="1"/>
  <c r="W71" i="1" s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K73" i="1"/>
  <c r="L73" i="1"/>
  <c r="M73" i="1"/>
  <c r="N73" i="1" s="1"/>
  <c r="V73" i="1"/>
  <c r="Y73" i="1"/>
  <c r="AA73" i="1" s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T75" i="1"/>
  <c r="V75" i="1"/>
  <c r="Y75" i="1"/>
  <c r="Z75" i="1"/>
  <c r="AA75" i="1"/>
  <c r="W75" i="1" s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A77" i="1" s="1"/>
  <c r="W77" i="1" s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T79" i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A81" i="1" s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T83" i="1"/>
  <c r="V83" i="1"/>
  <c r="Y83" i="1"/>
  <c r="Z83" i="1"/>
  <c r="AA83" i="1"/>
  <c r="W83" i="1" s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A84" i="1" s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A85" i="1" s="1"/>
  <c r="W85" i="1" s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T87" i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T91" i="1"/>
  <c r="V91" i="1"/>
  <c r="Y91" i="1"/>
  <c r="Z91" i="1"/>
  <c r="AA91" i="1"/>
  <c r="W91" i="1" s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A93" i="1" s="1"/>
  <c r="W93" i="1" s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K95" i="1"/>
  <c r="L95" i="1"/>
  <c r="M95" i="1"/>
  <c r="N95" i="1" s="1"/>
  <c r="T95" i="1"/>
  <c r="V95" i="1"/>
  <c r="Y95" i="1"/>
  <c r="Z95" i="1"/>
  <c r="AB95" i="1"/>
  <c r="AC95" i="1"/>
  <c r="AD95" i="1"/>
  <c r="AG95" i="1" s="1"/>
  <c r="AE95" i="1"/>
  <c r="AF95" i="1"/>
  <c r="AH95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T99" i="1"/>
  <c r="V99" i="1"/>
  <c r="Y99" i="1"/>
  <c r="Z99" i="1"/>
  <c r="AA99" i="1"/>
  <c r="W99" i="1" s="1"/>
  <c r="AB99" i="1"/>
  <c r="AC99" i="1"/>
  <c r="AD99" i="1"/>
  <c r="AG99" i="1" s="1"/>
  <c r="AE99" i="1"/>
  <c r="AF99" i="1"/>
  <c r="AH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00" i="1"/>
  <c r="K101" i="1"/>
  <c r="L101" i="1"/>
  <c r="M101" i="1"/>
  <c r="N101" i="1" s="1"/>
  <c r="V101" i="1"/>
  <c r="Y101" i="1"/>
  <c r="Z101" i="1"/>
  <c r="AA101" i="1" s="1"/>
  <c r="W101" i="1" s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T103" i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T107" i="1"/>
  <c r="V107" i="1"/>
  <c r="Y107" i="1"/>
  <c r="Z107" i="1"/>
  <c r="AA107" i="1"/>
  <c r="W107" i="1" s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A109" i="1" s="1"/>
  <c r="W109" i="1" s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T111" i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T115" i="1"/>
  <c r="V115" i="1"/>
  <c r="Y115" i="1"/>
  <c r="Z115" i="1"/>
  <c r="AA115" i="1"/>
  <c r="W115" i="1" s="1"/>
  <c r="AB115" i="1"/>
  <c r="AC115" i="1"/>
  <c r="AD115" i="1"/>
  <c r="AG115" i="1" s="1"/>
  <c r="AE115" i="1"/>
  <c r="AF115" i="1"/>
  <c r="AH115" i="1"/>
  <c r="K116" i="1"/>
  <c r="L116" i="1"/>
  <c r="M116" i="1"/>
  <c r="N116" i="1" s="1"/>
  <c r="V116" i="1"/>
  <c r="AB116" i="1"/>
  <c r="AC116" i="1"/>
  <c r="AD116" i="1"/>
  <c r="AE116" i="1"/>
  <c r="AF116" i="1"/>
  <c r="AH116" i="1"/>
  <c r="K117" i="1"/>
  <c r="L117" i="1"/>
  <c r="M117" i="1"/>
  <c r="N117" i="1" s="1"/>
  <c r="V117" i="1"/>
  <c r="AB117" i="1"/>
  <c r="AC117" i="1"/>
  <c r="AD117" i="1"/>
  <c r="AE117" i="1"/>
  <c r="AF117" i="1"/>
  <c r="AH117" i="1"/>
  <c r="K118" i="1"/>
  <c r="L118" i="1"/>
  <c r="M118" i="1"/>
  <c r="N118" i="1" s="1"/>
  <c r="V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AB119" i="1"/>
  <c r="AC119" i="1"/>
  <c r="AD119" i="1"/>
  <c r="AE119" i="1"/>
  <c r="AF119" i="1"/>
  <c r="AH119" i="1"/>
  <c r="K120" i="1"/>
  <c r="L120" i="1"/>
  <c r="M120" i="1"/>
  <c r="V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AB122" i="1"/>
  <c r="AC122" i="1"/>
  <c r="AD122" i="1"/>
  <c r="AE122" i="1"/>
  <c r="AF122" i="1"/>
  <c r="AH122" i="1"/>
  <c r="K123" i="1"/>
  <c r="L123" i="1"/>
  <c r="M123" i="1"/>
  <c r="N123" i="1"/>
  <c r="V123" i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AA124" i="1"/>
  <c r="AB124" i="1"/>
  <c r="AC124" i="1"/>
  <c r="AD124" i="1"/>
  <c r="AE124" i="1"/>
  <c r="AF124" i="1"/>
  <c r="AH124" i="1"/>
  <c r="K125" i="1"/>
  <c r="L125" i="1"/>
  <c r="M125" i="1"/>
  <c r="N125" i="1" s="1"/>
  <c r="V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AA126" i="1"/>
  <c r="AB126" i="1"/>
  <c r="AC126" i="1"/>
  <c r="AD126" i="1"/>
  <c r="AE126" i="1"/>
  <c r="AF126" i="1"/>
  <c r="AH126" i="1"/>
  <c r="K127" i="1"/>
  <c r="L127" i="1"/>
  <c r="M127" i="1"/>
  <c r="N127" i="1" s="1"/>
  <c r="V127" i="1"/>
  <c r="AA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AB128" i="1"/>
  <c r="AC128" i="1"/>
  <c r="AD128" i="1"/>
  <c r="AE128" i="1"/>
  <c r="AF128" i="1"/>
  <c r="AH128" i="1"/>
  <c r="K129" i="1"/>
  <c r="L129" i="1"/>
  <c r="M129" i="1"/>
  <c r="N129" i="1" s="1"/>
  <c r="V129" i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K135" i="1"/>
  <c r="L135" i="1"/>
  <c r="M135" i="1"/>
  <c r="N135" i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K143" i="1"/>
  <c r="L143" i="1"/>
  <c r="M143" i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V148" i="1"/>
  <c r="Y148" i="1"/>
  <c r="AA148" i="1" s="1"/>
  <c r="Z148" i="1"/>
  <c r="AB148" i="1"/>
  <c r="AC148" i="1"/>
  <c r="AD148" i="1"/>
  <c r="AE148" i="1"/>
  <c r="AF148" i="1"/>
  <c r="AH148" i="1"/>
  <c r="K149" i="1"/>
  <c r="L149" i="1"/>
  <c r="M149" i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A150" i="1" s="1"/>
  <c r="AB150" i="1"/>
  <c r="AC150" i="1"/>
  <c r="AD150" i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K155" i="1"/>
  <c r="L155" i="1"/>
  <c r="M155" i="1"/>
  <c r="N155" i="1" s="1"/>
  <c r="V155" i="1"/>
  <c r="Y155" i="1"/>
  <c r="AA155" i="1" s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K157" i="1"/>
  <c r="L157" i="1"/>
  <c r="M157" i="1"/>
  <c r="N157" i="1"/>
  <c r="V157" i="1"/>
  <c r="Y157" i="1"/>
  <c r="Z157" i="1"/>
  <c r="AB157" i="1"/>
  <c r="AC157" i="1"/>
  <c r="AD157" i="1"/>
  <c r="AE157" i="1"/>
  <c r="AF157" i="1"/>
  <c r="AG157" i="1"/>
  <c r="AH157" i="1"/>
  <c r="K158" i="1"/>
  <c r="L158" i="1"/>
  <c r="M158" i="1"/>
  <c r="N158" i="1" s="1"/>
  <c r="V158" i="1"/>
  <c r="Y158" i="1"/>
  <c r="Z158" i="1"/>
  <c r="AA158" i="1"/>
  <c r="AB158" i="1"/>
  <c r="AC158" i="1"/>
  <c r="AD158" i="1"/>
  <c r="AE158" i="1"/>
  <c r="AF158" i="1"/>
  <c r="AH158" i="1"/>
  <c r="K159" i="1"/>
  <c r="L159" i="1"/>
  <c r="M159" i="1"/>
  <c r="N159" i="1" s="1"/>
  <c r="V159" i="1"/>
  <c r="Y159" i="1"/>
  <c r="AA159" i="1" s="1"/>
  <c r="Z159" i="1"/>
  <c r="AB159" i="1"/>
  <c r="AC159" i="1"/>
  <c r="AD159" i="1"/>
  <c r="AG159" i="1" s="1"/>
  <c r="AE159" i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62" i="1"/>
  <c r="K163" i="1"/>
  <c r="L163" i="1"/>
  <c r="M163" i="1"/>
  <c r="N163" i="1"/>
  <c r="V163" i="1"/>
  <c r="Y163" i="1"/>
  <c r="Z163" i="1"/>
  <c r="AB163" i="1"/>
  <c r="AC163" i="1"/>
  <c r="AD163" i="1"/>
  <c r="AG163" i="1" s="1"/>
  <c r="AE163" i="1"/>
  <c r="AF163" i="1"/>
  <c r="AH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65" i="1"/>
  <c r="K166" i="1"/>
  <c r="L166" i="1"/>
  <c r="M166" i="1"/>
  <c r="N166" i="1" s="1"/>
  <c r="V166" i="1"/>
  <c r="Y166" i="1"/>
  <c r="AA166" i="1" s="1"/>
  <c r="Z166" i="1"/>
  <c r="AB166" i="1"/>
  <c r="AC166" i="1"/>
  <c r="AD166" i="1"/>
  <c r="AE166" i="1"/>
  <c r="AF166" i="1"/>
  <c r="AH166" i="1"/>
  <c r="K167" i="1"/>
  <c r="L167" i="1"/>
  <c r="M167" i="1"/>
  <c r="V167" i="1"/>
  <c r="Y167" i="1"/>
  <c r="Z167" i="1"/>
  <c r="AB167" i="1"/>
  <c r="AC167" i="1"/>
  <c r="AD167" i="1"/>
  <c r="AG167" i="1" s="1"/>
  <c r="AE167" i="1"/>
  <c r="AF167" i="1"/>
  <c r="AH167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7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G181" i="1"/>
  <c r="AH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85" i="1"/>
  <c r="K186" i="1"/>
  <c r="L186" i="1"/>
  <c r="M186" i="1"/>
  <c r="N186" i="1" s="1"/>
  <c r="V186" i="1"/>
  <c r="Y186" i="1"/>
  <c r="Z186" i="1"/>
  <c r="AA186" i="1" s="1"/>
  <c r="W186" i="1" s="1"/>
  <c r="AB186" i="1"/>
  <c r="AC186" i="1"/>
  <c r="AD186" i="1"/>
  <c r="AG186" i="1" s="1"/>
  <c r="AE186" i="1"/>
  <c r="AF186" i="1"/>
  <c r="AH186" i="1"/>
  <c r="K187" i="1"/>
  <c r="L187" i="1"/>
  <c r="M187" i="1"/>
  <c r="N187" i="1" s="1"/>
  <c r="V187" i="1"/>
  <c r="Y187" i="1"/>
  <c r="Z187" i="1"/>
  <c r="AA187" i="1" s="1"/>
  <c r="AB187" i="1"/>
  <c r="AC187" i="1"/>
  <c r="AD187" i="1"/>
  <c r="AE187" i="1"/>
  <c r="AF187" i="1"/>
  <c r="AG187" i="1"/>
  <c r="AH187" i="1"/>
  <c r="K188" i="1"/>
  <c r="L188" i="1"/>
  <c r="M188" i="1"/>
  <c r="N188" i="1" s="1"/>
  <c r="V188" i="1"/>
  <c r="Y188" i="1"/>
  <c r="Z188" i="1"/>
  <c r="AA188" i="1" s="1"/>
  <c r="AB188" i="1"/>
  <c r="AC188" i="1"/>
  <c r="AD188" i="1"/>
  <c r="AG188" i="1" s="1"/>
  <c r="AE188" i="1"/>
  <c r="AF188" i="1"/>
  <c r="AH18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4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95" i="1"/>
  <c r="K207" i="1"/>
  <c r="L207" i="1"/>
  <c r="M207" i="1"/>
  <c r="N207" i="1" s="1"/>
  <c r="V207" i="1"/>
  <c r="Y207" i="1"/>
  <c r="AA207" i="1" s="1"/>
  <c r="W207" i="1" s="1"/>
  <c r="Z207" i="1"/>
  <c r="AB207" i="1"/>
  <c r="AC207" i="1"/>
  <c r="AD207" i="1"/>
  <c r="AG207" i="1" s="1"/>
  <c r="AE207" i="1"/>
  <c r="AF207" i="1"/>
  <c r="AH196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97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98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99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00" i="1"/>
  <c r="K195" i="1"/>
  <c r="L195" i="1"/>
  <c r="M195" i="1"/>
  <c r="N195" i="1" s="1"/>
  <c r="V195" i="1"/>
  <c r="Q66" i="3" s="1"/>
  <c r="Y195" i="1"/>
  <c r="Z195" i="1"/>
  <c r="AB195" i="1"/>
  <c r="AC195" i="1"/>
  <c r="AD195" i="1"/>
  <c r="AG195" i="1" s="1"/>
  <c r="AE195" i="1"/>
  <c r="AF195" i="1"/>
  <c r="AH201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0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03" i="1"/>
  <c r="K198" i="1"/>
  <c r="L198" i="1"/>
  <c r="M198" i="1"/>
  <c r="N198" i="1"/>
  <c r="V198" i="1"/>
  <c r="Q69" i="3" s="1"/>
  <c r="Y198" i="1"/>
  <c r="AA198" i="1" s="1"/>
  <c r="Z198" i="1"/>
  <c r="AB198" i="1"/>
  <c r="AC198" i="1"/>
  <c r="AD198" i="1"/>
  <c r="AG198" i="1" s="1"/>
  <c r="AE198" i="1"/>
  <c r="P69" i="3" s="1"/>
  <c r="AF198" i="1"/>
  <c r="AH204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5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6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7" i="1"/>
  <c r="K202" i="1"/>
  <c r="L202" i="1"/>
  <c r="M202" i="1"/>
  <c r="N202" i="1" s="1"/>
  <c r="V202" i="1"/>
  <c r="Y202" i="1"/>
  <c r="AA202" i="1" s="1"/>
  <c r="Z202" i="1"/>
  <c r="AB202" i="1"/>
  <c r="AC202" i="1"/>
  <c r="AD202" i="1"/>
  <c r="AG202" i="1" s="1"/>
  <c r="AE202" i="1"/>
  <c r="AF202" i="1"/>
  <c r="AH208" i="1"/>
  <c r="K203" i="1"/>
  <c r="L203" i="1"/>
  <c r="M203" i="1"/>
  <c r="N203" i="1" s="1"/>
  <c r="V203" i="1"/>
  <c r="Q62" i="3" s="1"/>
  <c r="Y203" i="1"/>
  <c r="Z203" i="1"/>
  <c r="AA203" i="1" s="1"/>
  <c r="AB203" i="1"/>
  <c r="AC203" i="1"/>
  <c r="AD203" i="1"/>
  <c r="AE203" i="1"/>
  <c r="P62" i="3" s="1"/>
  <c r="AF203" i="1"/>
  <c r="AH209" i="1"/>
  <c r="K204" i="1"/>
  <c r="L204" i="1"/>
  <c r="M204" i="1"/>
  <c r="N204" i="1" s="1"/>
  <c r="V204" i="1"/>
  <c r="Q61" i="3" s="1"/>
  <c r="Y204" i="1"/>
  <c r="Z204" i="1"/>
  <c r="AB204" i="1"/>
  <c r="AC204" i="1"/>
  <c r="AD204" i="1"/>
  <c r="AG204" i="1" s="1"/>
  <c r="AE204" i="1"/>
  <c r="P61" i="3" s="1"/>
  <c r="AF204" i="1"/>
  <c r="AH210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L55" i="3"/>
  <c r="S55" i="3"/>
  <c r="R55" i="3" s="1"/>
  <c r="T55" i="3"/>
  <c r="U55" i="3"/>
  <c r="V55" i="3"/>
  <c r="L11" i="3"/>
  <c r="S11" i="3"/>
  <c r="R11" i="3" s="1"/>
  <c r="T11" i="3"/>
  <c r="U11" i="3"/>
  <c r="V11" i="3"/>
  <c r="L37" i="3"/>
  <c r="S37" i="3"/>
  <c r="R37" i="3" s="1"/>
  <c r="T37" i="3"/>
  <c r="U37" i="3"/>
  <c r="V37" i="3"/>
  <c r="L45" i="3"/>
  <c r="S45" i="3"/>
  <c r="R45" i="3" s="1"/>
  <c r="T45" i="3"/>
  <c r="U45" i="3"/>
  <c r="V45" i="3"/>
  <c r="L46" i="3"/>
  <c r="S46" i="3"/>
  <c r="R46" i="3" s="1"/>
  <c r="T46" i="3"/>
  <c r="U46" i="3"/>
  <c r="V46" i="3"/>
  <c r="L38" i="3"/>
  <c r="S38" i="3"/>
  <c r="R38" i="3" s="1"/>
  <c r="T38" i="3"/>
  <c r="U38" i="3"/>
  <c r="V38" i="3"/>
  <c r="L7" i="3"/>
  <c r="S7" i="3"/>
  <c r="R7" i="3" s="1"/>
  <c r="T7" i="3"/>
  <c r="U7" i="3"/>
  <c r="V7" i="3"/>
  <c r="L41" i="3"/>
  <c r="S41" i="3"/>
  <c r="R41" i="3" s="1"/>
  <c r="T41" i="3"/>
  <c r="U41" i="3"/>
  <c r="V41" i="3"/>
  <c r="L43" i="3"/>
  <c r="S43" i="3"/>
  <c r="R43" i="3" s="1"/>
  <c r="T43" i="3"/>
  <c r="U43" i="3"/>
  <c r="V43" i="3"/>
  <c r="L44" i="3"/>
  <c r="S44" i="3"/>
  <c r="R44" i="3" s="1"/>
  <c r="T44" i="3"/>
  <c r="U44" i="3"/>
  <c r="V44" i="3"/>
  <c r="L18" i="3"/>
  <c r="S18" i="3"/>
  <c r="R18" i="3" s="1"/>
  <c r="T18" i="3"/>
  <c r="U18" i="3"/>
  <c r="V18" i="3"/>
  <c r="L42" i="3"/>
  <c r="S42" i="3"/>
  <c r="R42" i="3" s="1"/>
  <c r="T42" i="3"/>
  <c r="U42" i="3"/>
  <c r="V42" i="3"/>
  <c r="L25" i="3"/>
  <c r="S25" i="3"/>
  <c r="R25" i="3" s="1"/>
  <c r="T25" i="3"/>
  <c r="U25" i="3"/>
  <c r="V25" i="3"/>
  <c r="L56" i="3"/>
  <c r="S56" i="3"/>
  <c r="R56" i="3" s="1"/>
  <c r="T56" i="3"/>
  <c r="U56" i="3"/>
  <c r="V56" i="3"/>
  <c r="L8" i="3"/>
  <c r="S8" i="3"/>
  <c r="R8" i="3" s="1"/>
  <c r="T8" i="3"/>
  <c r="U8" i="3"/>
  <c r="V8" i="3"/>
  <c r="L10" i="3"/>
  <c r="S10" i="3"/>
  <c r="R10" i="3" s="1"/>
  <c r="T10" i="3"/>
  <c r="U10" i="3"/>
  <c r="V10" i="3"/>
  <c r="L13" i="3"/>
  <c r="S13" i="3"/>
  <c r="R13" i="3" s="1"/>
  <c r="T13" i="3"/>
  <c r="U13" i="3"/>
  <c r="V13" i="3"/>
  <c r="L39" i="3"/>
  <c r="S39" i="3"/>
  <c r="R39" i="3" s="1"/>
  <c r="T39" i="3"/>
  <c r="U39" i="3"/>
  <c r="V39" i="3"/>
  <c r="L40" i="3"/>
  <c r="S40" i="3"/>
  <c r="R40" i="3" s="1"/>
  <c r="T40" i="3"/>
  <c r="U40" i="3"/>
  <c r="V40" i="3"/>
  <c r="L12" i="3"/>
  <c r="S12" i="3"/>
  <c r="R12" i="3" s="1"/>
  <c r="T12" i="3"/>
  <c r="U12" i="3"/>
  <c r="V12" i="3"/>
  <c r="L57" i="3"/>
  <c r="S57" i="3"/>
  <c r="R57" i="3" s="1"/>
  <c r="T57" i="3"/>
  <c r="U57" i="3"/>
  <c r="V57" i="3"/>
  <c r="L14" i="3"/>
  <c r="S14" i="3"/>
  <c r="R14" i="3" s="1"/>
  <c r="T14" i="3"/>
  <c r="U14" i="3"/>
  <c r="V14" i="3"/>
  <c r="L47" i="3"/>
  <c r="S47" i="3"/>
  <c r="R47" i="3" s="1"/>
  <c r="T47" i="3"/>
  <c r="U47" i="3"/>
  <c r="V47" i="3"/>
  <c r="L63" i="3"/>
  <c r="S63" i="3"/>
  <c r="R63" i="3" s="1"/>
  <c r="T63" i="3"/>
  <c r="U63" i="3"/>
  <c r="V63" i="3"/>
  <c r="L24" i="3"/>
  <c r="S24" i="3"/>
  <c r="R24" i="3" s="1"/>
  <c r="T24" i="3"/>
  <c r="U24" i="3"/>
  <c r="V24" i="3"/>
  <c r="L16" i="3"/>
  <c r="S16" i="3"/>
  <c r="R16" i="3" s="1"/>
  <c r="T16" i="3"/>
  <c r="U16" i="3"/>
  <c r="V16" i="3"/>
  <c r="L20" i="3"/>
  <c r="S20" i="3"/>
  <c r="R20" i="3" s="1"/>
  <c r="T20" i="3"/>
  <c r="U20" i="3"/>
  <c r="V20" i="3"/>
  <c r="L29" i="3"/>
  <c r="S29" i="3"/>
  <c r="R29" i="3" s="1"/>
  <c r="T29" i="3"/>
  <c r="U29" i="3"/>
  <c r="V29" i="3"/>
  <c r="L21" i="3"/>
  <c r="S21" i="3"/>
  <c r="R21" i="3" s="1"/>
  <c r="T21" i="3"/>
  <c r="U21" i="3"/>
  <c r="V21" i="3"/>
  <c r="L58" i="3"/>
  <c r="S58" i="3"/>
  <c r="R58" i="3" s="1"/>
  <c r="T58" i="3"/>
  <c r="U58" i="3"/>
  <c r="V58" i="3"/>
  <c r="L26" i="3"/>
  <c r="S26" i="3"/>
  <c r="R26" i="3" s="1"/>
  <c r="T26" i="3"/>
  <c r="U26" i="3"/>
  <c r="V26" i="3"/>
  <c r="L67" i="3"/>
  <c r="S67" i="3"/>
  <c r="R67" i="3" s="1"/>
  <c r="T67" i="3"/>
  <c r="U67" i="3"/>
  <c r="V67" i="3"/>
  <c r="L59" i="3"/>
  <c r="S59" i="3"/>
  <c r="R59" i="3" s="1"/>
  <c r="T59" i="3"/>
  <c r="U59" i="3"/>
  <c r="V59" i="3"/>
  <c r="L48" i="3"/>
  <c r="S48" i="3"/>
  <c r="R48" i="3" s="1"/>
  <c r="T48" i="3"/>
  <c r="U48" i="3"/>
  <c r="V48" i="3"/>
  <c r="L64" i="3"/>
  <c r="S64" i="3"/>
  <c r="R64" i="3" s="1"/>
  <c r="T64" i="3"/>
  <c r="U64" i="3"/>
  <c r="V64" i="3"/>
  <c r="L49" i="3"/>
  <c r="S49" i="3"/>
  <c r="R49" i="3" s="1"/>
  <c r="T49" i="3"/>
  <c r="U49" i="3"/>
  <c r="V49" i="3"/>
  <c r="L68" i="3"/>
  <c r="S68" i="3"/>
  <c r="R68" i="3" s="1"/>
  <c r="T68" i="3"/>
  <c r="U68" i="3"/>
  <c r="V68" i="3"/>
  <c r="L60" i="3"/>
  <c r="S60" i="3"/>
  <c r="R60" i="3" s="1"/>
  <c r="T60" i="3"/>
  <c r="U60" i="3"/>
  <c r="V60" i="3"/>
  <c r="L28" i="3"/>
  <c r="S28" i="3"/>
  <c r="R28" i="3" s="1"/>
  <c r="T28" i="3"/>
  <c r="U28" i="3"/>
  <c r="V28" i="3"/>
  <c r="L31" i="3"/>
  <c r="S31" i="3"/>
  <c r="R31" i="3" s="1"/>
  <c r="T31" i="3"/>
  <c r="U31" i="3"/>
  <c r="V31" i="3"/>
  <c r="L32" i="3"/>
  <c r="S32" i="3"/>
  <c r="R32" i="3" s="1"/>
  <c r="T32" i="3"/>
  <c r="U32" i="3"/>
  <c r="V32" i="3"/>
  <c r="L65" i="3"/>
  <c r="S65" i="3"/>
  <c r="R65" i="3" s="1"/>
  <c r="T65" i="3"/>
  <c r="U65" i="3"/>
  <c r="V65" i="3"/>
  <c r="L50" i="3"/>
  <c r="S50" i="3"/>
  <c r="R50" i="3" s="1"/>
  <c r="T50" i="3"/>
  <c r="U50" i="3"/>
  <c r="V50" i="3"/>
  <c r="L9" i="3"/>
  <c r="S9" i="3"/>
  <c r="R9" i="3" s="1"/>
  <c r="T9" i="3"/>
  <c r="U9" i="3"/>
  <c r="V9" i="3"/>
  <c r="L51" i="3"/>
  <c r="S51" i="3"/>
  <c r="R51" i="3" s="1"/>
  <c r="T51" i="3"/>
  <c r="U51" i="3"/>
  <c r="V51" i="3"/>
  <c r="L19" i="3"/>
  <c r="S19" i="3"/>
  <c r="R19" i="3" s="1"/>
  <c r="T19" i="3"/>
  <c r="U19" i="3"/>
  <c r="V19" i="3"/>
  <c r="L22" i="3"/>
  <c r="S22" i="3"/>
  <c r="R22" i="3" s="1"/>
  <c r="T22" i="3"/>
  <c r="U22" i="3"/>
  <c r="V22" i="3"/>
  <c r="L66" i="3"/>
  <c r="P66" i="3"/>
  <c r="S66" i="3"/>
  <c r="R66" i="3" s="1"/>
  <c r="T66" i="3"/>
  <c r="U66" i="3"/>
  <c r="V66" i="3"/>
  <c r="L17" i="3"/>
  <c r="S17" i="3"/>
  <c r="R17" i="3" s="1"/>
  <c r="T17" i="3"/>
  <c r="U17" i="3"/>
  <c r="V17" i="3"/>
  <c r="L23" i="3"/>
  <c r="S23" i="3"/>
  <c r="R23" i="3" s="1"/>
  <c r="T23" i="3"/>
  <c r="U23" i="3"/>
  <c r="V23" i="3"/>
  <c r="L30" i="3"/>
  <c r="S30" i="3"/>
  <c r="R30" i="3" s="1"/>
  <c r="T30" i="3"/>
  <c r="U30" i="3"/>
  <c r="V30" i="3"/>
  <c r="L69" i="3"/>
  <c r="S69" i="3"/>
  <c r="R69" i="3" s="1"/>
  <c r="T69" i="3"/>
  <c r="U69" i="3"/>
  <c r="V69" i="3"/>
  <c r="L52" i="3"/>
  <c r="S52" i="3"/>
  <c r="R52" i="3" s="1"/>
  <c r="T52" i="3"/>
  <c r="U52" i="3"/>
  <c r="V52" i="3"/>
  <c r="L53" i="3"/>
  <c r="S53" i="3"/>
  <c r="R53" i="3" s="1"/>
  <c r="T53" i="3"/>
  <c r="U53" i="3"/>
  <c r="V53" i="3"/>
  <c r="L15" i="3"/>
  <c r="S15" i="3"/>
  <c r="R15" i="3" s="1"/>
  <c r="T15" i="3"/>
  <c r="U15" i="3"/>
  <c r="V15" i="3"/>
  <c r="L61" i="3"/>
  <c r="S61" i="3"/>
  <c r="R61" i="3" s="1"/>
  <c r="T61" i="3"/>
  <c r="U61" i="3"/>
  <c r="V61" i="3"/>
  <c r="L33" i="3"/>
  <c r="S33" i="3"/>
  <c r="R33" i="3" s="1"/>
  <c r="T33" i="3"/>
  <c r="U33" i="3"/>
  <c r="V33" i="3"/>
  <c r="L36" i="3"/>
  <c r="S36" i="3"/>
  <c r="R36" i="3" s="1"/>
  <c r="T36" i="3"/>
  <c r="U36" i="3"/>
  <c r="V36" i="3"/>
  <c r="L35" i="3"/>
  <c r="S35" i="3"/>
  <c r="R35" i="3" s="1"/>
  <c r="T35" i="3"/>
  <c r="U35" i="3"/>
  <c r="V35" i="3"/>
  <c r="L62" i="3"/>
  <c r="S62" i="3"/>
  <c r="R62" i="3" s="1"/>
  <c r="T62" i="3"/>
  <c r="U62" i="3"/>
  <c r="V62" i="3"/>
  <c r="L34" i="3"/>
  <c r="S34" i="3"/>
  <c r="R34" i="3" s="1"/>
  <c r="T34" i="3"/>
  <c r="U34" i="3"/>
  <c r="V34" i="3"/>
  <c r="L27" i="3"/>
  <c r="S27" i="3"/>
  <c r="R27" i="3" s="1"/>
  <c r="T27" i="3"/>
  <c r="U27" i="3"/>
  <c r="V27" i="3"/>
  <c r="U24" i="1" l="1"/>
  <c r="W24" i="1"/>
  <c r="W73" i="1"/>
  <c r="X73" i="1"/>
  <c r="AA209" i="1"/>
  <c r="W209" i="1" s="1"/>
  <c r="AA173" i="1"/>
  <c r="W173" i="1" s="1"/>
  <c r="AA171" i="1"/>
  <c r="AA117" i="1"/>
  <c r="AA194" i="1"/>
  <c r="W194" i="1" s="1"/>
  <c r="AA181" i="1"/>
  <c r="AA164" i="1"/>
  <c r="AA144" i="1"/>
  <c r="AA135" i="1"/>
  <c r="W135" i="1" s="1"/>
  <c r="AA134" i="1"/>
  <c r="AA111" i="1"/>
  <c r="W111" i="1" s="1"/>
  <c r="AA110" i="1"/>
  <c r="T109" i="1"/>
  <c r="AA103" i="1"/>
  <c r="W103" i="1" s="1"/>
  <c r="AA102" i="1"/>
  <c r="T101" i="1"/>
  <c r="U101" i="1" s="1"/>
  <c r="S101" i="1" s="1"/>
  <c r="AA95" i="1"/>
  <c r="W95" i="1" s="1"/>
  <c r="AA94" i="1"/>
  <c r="T93" i="1"/>
  <c r="AA87" i="1"/>
  <c r="W87" i="1" s="1"/>
  <c r="AA86" i="1"/>
  <c r="T85" i="1"/>
  <c r="AA79" i="1"/>
  <c r="W79" i="1" s="1"/>
  <c r="AA78" i="1"/>
  <c r="T77" i="1"/>
  <c r="T63" i="1"/>
  <c r="U63" i="1" s="1"/>
  <c r="S63" i="1" s="1"/>
  <c r="AA43" i="1"/>
  <c r="AA42" i="1"/>
  <c r="AA216" i="1"/>
  <c r="W216" i="1" s="1"/>
  <c r="AA213" i="1"/>
  <c r="AA197" i="1"/>
  <c r="AA179" i="1"/>
  <c r="W179" i="1" s="1"/>
  <c r="AA142" i="1"/>
  <c r="AA119" i="1"/>
  <c r="AA74" i="1"/>
  <c r="AA67" i="1"/>
  <c r="W67" i="1" s="1"/>
  <c r="AA60" i="1"/>
  <c r="T59" i="1"/>
  <c r="AA53" i="1"/>
  <c r="W53" i="1" s="1"/>
  <c r="AA38" i="1"/>
  <c r="AA217" i="1"/>
  <c r="AA185" i="1"/>
  <c r="W185" i="1" s="1"/>
  <c r="AA170" i="1"/>
  <c r="AG113" i="1"/>
  <c r="W113" i="1" s="1"/>
  <c r="T113" i="1"/>
  <c r="AG105" i="1"/>
  <c r="W105" i="1" s="1"/>
  <c r="T105" i="1"/>
  <c r="AG97" i="1"/>
  <c r="W97" i="1" s="1"/>
  <c r="T97" i="1"/>
  <c r="AG89" i="1"/>
  <c r="T89" i="1"/>
  <c r="AG81" i="1"/>
  <c r="W81" i="1" s="1"/>
  <c r="T81" i="1"/>
  <c r="AA204" i="1"/>
  <c r="W204" i="1" s="1"/>
  <c r="AA190" i="1"/>
  <c r="T18" i="1"/>
  <c r="AG18" i="1"/>
  <c r="AA49" i="1"/>
  <c r="W49" i="1" s="1"/>
  <c r="AA133" i="1"/>
  <c r="W133" i="1" s="1"/>
  <c r="AA125" i="1"/>
  <c r="W125" i="1" s="1"/>
  <c r="W202" i="1"/>
  <c r="AA196" i="1"/>
  <c r="W196" i="1" s="1"/>
  <c r="AA177" i="1"/>
  <c r="W177" i="1" s="1"/>
  <c r="AA176" i="1"/>
  <c r="AA151" i="1"/>
  <c r="W151" i="1" s="1"/>
  <c r="AA132" i="1"/>
  <c r="AA120" i="1"/>
  <c r="W120" i="1" s="1"/>
  <c r="AA52" i="1"/>
  <c r="AG16" i="1"/>
  <c r="U16" i="1" s="1"/>
  <c r="S16" i="1" s="1"/>
  <c r="AA154" i="1"/>
  <c r="AA215" i="1"/>
  <c r="W215" i="1" s="1"/>
  <c r="AA214" i="1"/>
  <c r="W214" i="1" s="1"/>
  <c r="W187" i="1"/>
  <c r="W181" i="1"/>
  <c r="AA167" i="1"/>
  <c r="W167" i="1" s="1"/>
  <c r="AA163" i="1"/>
  <c r="W163" i="1" s="1"/>
  <c r="AA143" i="1"/>
  <c r="W143" i="1" s="1"/>
  <c r="AA205" i="1"/>
  <c r="W205" i="1" s="1"/>
  <c r="AA206" i="1"/>
  <c r="W206" i="1" s="1"/>
  <c r="AA192" i="1"/>
  <c r="W192" i="1" s="1"/>
  <c r="AA191" i="1"/>
  <c r="AA180" i="1"/>
  <c r="W180" i="1" s="1"/>
  <c r="AA172" i="1"/>
  <c r="W172" i="1" s="1"/>
  <c r="AA162" i="1"/>
  <c r="AA160" i="1"/>
  <c r="AA156" i="1"/>
  <c r="AA149" i="1"/>
  <c r="AA141" i="1"/>
  <c r="W141" i="1" s="1"/>
  <c r="AA136" i="1"/>
  <c r="AA128" i="1"/>
  <c r="AA114" i="1"/>
  <c r="AA106" i="1"/>
  <c r="AA98" i="1"/>
  <c r="AA90" i="1"/>
  <c r="AA82" i="1"/>
  <c r="AA65" i="1"/>
  <c r="W65" i="1" s="1"/>
  <c r="AA58" i="1"/>
  <c r="AA54" i="1"/>
  <c r="AA51" i="1"/>
  <c r="W51" i="1" s="1"/>
  <c r="AA50" i="1"/>
  <c r="W50" i="1" s="1"/>
  <c r="AA44" i="1"/>
  <c r="W44" i="1" s="1"/>
  <c r="AA39" i="1"/>
  <c r="AA37" i="1"/>
  <c r="W188" i="1"/>
  <c r="AA201" i="1"/>
  <c r="W201" i="1" s="1"/>
  <c r="W176" i="1"/>
  <c r="W159" i="1"/>
  <c r="AA200" i="1"/>
  <c r="W200" i="1" s="1"/>
  <c r="AA211" i="1"/>
  <c r="W211" i="1" s="1"/>
  <c r="AA183" i="1"/>
  <c r="W183" i="1" s="1"/>
  <c r="AA212" i="1"/>
  <c r="W212" i="1" s="1"/>
  <c r="AA199" i="1"/>
  <c r="W199" i="1" s="1"/>
  <c r="AA193" i="1"/>
  <c r="W193" i="1" s="1"/>
  <c r="W190" i="1"/>
  <c r="AA189" i="1"/>
  <c r="W198" i="1"/>
  <c r="AA208" i="1"/>
  <c r="AA184" i="1"/>
  <c r="W184" i="1" s="1"/>
  <c r="T65" i="1"/>
  <c r="U65" i="1" s="1"/>
  <c r="S65" i="1" s="1"/>
  <c r="W55" i="1"/>
  <c r="AA23" i="1"/>
  <c r="W23" i="1" s="1"/>
  <c r="AA20" i="1"/>
  <c r="AA169" i="1"/>
  <c r="W169" i="1" s="1"/>
  <c r="AA161" i="1"/>
  <c r="W161" i="1" s="1"/>
  <c r="AA153" i="1"/>
  <c r="W153" i="1" s="1"/>
  <c r="AA147" i="1"/>
  <c r="W147" i="1" s="1"/>
  <c r="AA146" i="1"/>
  <c r="AA137" i="1"/>
  <c r="W137" i="1" s="1"/>
  <c r="AA131" i="1"/>
  <c r="W131" i="1" s="1"/>
  <c r="AA130" i="1"/>
  <c r="AA121" i="1"/>
  <c r="W121" i="1" s="1"/>
  <c r="T61" i="1"/>
  <c r="U61" i="1" s="1"/>
  <c r="S61" i="1" s="1"/>
  <c r="W171" i="1"/>
  <c r="W155" i="1"/>
  <c r="W149" i="1"/>
  <c r="W127" i="1"/>
  <c r="AA118" i="1"/>
  <c r="W118" i="1" s="1"/>
  <c r="T73" i="1"/>
  <c r="T71" i="1"/>
  <c r="U71" i="1" s="1"/>
  <c r="S71" i="1" s="1"/>
  <c r="AA68" i="1"/>
  <c r="AA66" i="1"/>
  <c r="X65" i="1"/>
  <c r="AA25" i="1"/>
  <c r="W25" i="1" s="1"/>
  <c r="AG20" i="1"/>
  <c r="U20" i="1" s="1"/>
  <c r="S20" i="1" s="1"/>
  <c r="AG15" i="1"/>
  <c r="U15" i="1" s="1"/>
  <c r="S15" i="1" s="1"/>
  <c r="AA182" i="1"/>
  <c r="AA178" i="1"/>
  <c r="AA175" i="1"/>
  <c r="W175" i="1" s="1"/>
  <c r="AA174" i="1"/>
  <c r="AA165" i="1"/>
  <c r="W165" i="1" s="1"/>
  <c r="AA157" i="1"/>
  <c r="W157" i="1" s="1"/>
  <c r="AA145" i="1"/>
  <c r="W145" i="1" s="1"/>
  <c r="AA139" i="1"/>
  <c r="W139" i="1" s="1"/>
  <c r="AA138" i="1"/>
  <c r="AA129" i="1"/>
  <c r="W129" i="1" s="1"/>
  <c r="AA123" i="1"/>
  <c r="W123" i="1" s="1"/>
  <c r="AA122" i="1"/>
  <c r="T69" i="1"/>
  <c r="T67" i="1"/>
  <c r="U67" i="1" s="1"/>
  <c r="S67" i="1" s="1"/>
  <c r="AA64" i="1"/>
  <c r="AA62" i="1"/>
  <c r="X61" i="1"/>
  <c r="AA56" i="1"/>
  <c r="W52" i="1"/>
  <c r="AA48" i="1"/>
  <c r="AA41" i="1"/>
  <c r="W41" i="1" s="1"/>
  <c r="AA40" i="1"/>
  <c r="AA36" i="1"/>
  <c r="AA32" i="1"/>
  <c r="AA28" i="1"/>
  <c r="AG17" i="1"/>
  <c r="U17" i="1" s="1"/>
  <c r="S17" i="1" s="1"/>
  <c r="T189" i="1"/>
  <c r="AG189" i="1"/>
  <c r="T27" i="1"/>
  <c r="AG27" i="1"/>
  <c r="T203" i="1"/>
  <c r="X203" i="1"/>
  <c r="T116" i="1"/>
  <c r="AG116" i="1"/>
  <c r="W116" i="1" s="1"/>
  <c r="AG86" i="1"/>
  <c r="X86" i="1"/>
  <c r="T86" i="1"/>
  <c r="X87" i="1"/>
  <c r="T213" i="1"/>
  <c r="X213" i="1"/>
  <c r="AG213" i="1"/>
  <c r="T205" i="1"/>
  <c r="U205" i="1" s="1"/>
  <c r="S205" i="1" s="1"/>
  <c r="X205" i="1"/>
  <c r="AG94" i="1"/>
  <c r="X94" i="1"/>
  <c r="T94" i="1"/>
  <c r="X95" i="1"/>
  <c r="AG70" i="1"/>
  <c r="W70" i="1" s="1"/>
  <c r="X70" i="1"/>
  <c r="T70" i="1"/>
  <c r="X71" i="1"/>
  <c r="T217" i="1"/>
  <c r="X217" i="1"/>
  <c r="W191" i="1"/>
  <c r="AG217" i="1"/>
  <c r="T215" i="1"/>
  <c r="U215" i="1" s="1"/>
  <c r="S215" i="1" s="1"/>
  <c r="X215" i="1"/>
  <c r="AG203" i="1"/>
  <c r="T201" i="1"/>
  <c r="U201" i="1" s="1"/>
  <c r="S201" i="1" s="1"/>
  <c r="X201" i="1"/>
  <c r="T199" i="1"/>
  <c r="U199" i="1" s="1"/>
  <c r="S199" i="1" s="1"/>
  <c r="X199" i="1"/>
  <c r="AA195" i="1"/>
  <c r="W195" i="1" s="1"/>
  <c r="AA210" i="1"/>
  <c r="W210" i="1" s="1"/>
  <c r="AG110" i="1"/>
  <c r="X110" i="1"/>
  <c r="T110" i="1"/>
  <c r="X111" i="1"/>
  <c r="AG78" i="1"/>
  <c r="X78" i="1"/>
  <c r="T78" i="1"/>
  <c r="X79" i="1"/>
  <c r="T210" i="1"/>
  <c r="U210" i="1" s="1"/>
  <c r="S210" i="1" s="1"/>
  <c r="X210" i="1"/>
  <c r="T208" i="1"/>
  <c r="X208" i="1"/>
  <c r="AG208" i="1"/>
  <c r="T182" i="1"/>
  <c r="X182" i="1"/>
  <c r="AG182" i="1"/>
  <c r="T174" i="1"/>
  <c r="X174" i="1"/>
  <c r="AG174" i="1"/>
  <c r="AG102" i="1"/>
  <c r="X102" i="1"/>
  <c r="T102" i="1"/>
  <c r="X103" i="1"/>
  <c r="AG62" i="1"/>
  <c r="W62" i="1" s="1"/>
  <c r="X62" i="1"/>
  <c r="T62" i="1"/>
  <c r="X63" i="1"/>
  <c r="T197" i="1"/>
  <c r="X197" i="1"/>
  <c r="T206" i="1"/>
  <c r="U206" i="1" s="1"/>
  <c r="S206" i="1" s="1"/>
  <c r="X206" i="1"/>
  <c r="T187" i="1"/>
  <c r="U187" i="1" s="1"/>
  <c r="S187" i="1" s="1"/>
  <c r="T180" i="1"/>
  <c r="U180" i="1" s="1"/>
  <c r="S180" i="1" s="1"/>
  <c r="X180" i="1"/>
  <c r="T172" i="1"/>
  <c r="U172" i="1" s="1"/>
  <c r="S172" i="1" s="1"/>
  <c r="X172" i="1"/>
  <c r="T168" i="1"/>
  <c r="X168" i="1"/>
  <c r="AG168" i="1"/>
  <c r="T164" i="1"/>
  <c r="X164" i="1"/>
  <c r="AG164" i="1"/>
  <c r="T160" i="1"/>
  <c r="X160" i="1"/>
  <c r="AG160" i="1"/>
  <c r="T156" i="1"/>
  <c r="X156" i="1"/>
  <c r="AG156" i="1"/>
  <c r="T152" i="1"/>
  <c r="X152" i="1"/>
  <c r="AG152" i="1"/>
  <c r="W152" i="1" s="1"/>
  <c r="T148" i="1"/>
  <c r="X148" i="1"/>
  <c r="AG148" i="1"/>
  <c r="T144" i="1"/>
  <c r="X144" i="1"/>
  <c r="AG144" i="1"/>
  <c r="T140" i="1"/>
  <c r="X140" i="1"/>
  <c r="AG140" i="1"/>
  <c r="T136" i="1"/>
  <c r="X136" i="1"/>
  <c r="AG136" i="1"/>
  <c r="T132" i="1"/>
  <c r="X132" i="1"/>
  <c r="AG132" i="1"/>
  <c r="T128" i="1"/>
  <c r="AG128" i="1"/>
  <c r="T124" i="1"/>
  <c r="AG124" i="1"/>
  <c r="T117" i="1"/>
  <c r="AG117" i="1"/>
  <c r="AG108" i="1"/>
  <c r="X108" i="1"/>
  <c r="T108" i="1"/>
  <c r="X109" i="1"/>
  <c r="AG100" i="1"/>
  <c r="W100" i="1" s="1"/>
  <c r="X100" i="1"/>
  <c r="T100" i="1"/>
  <c r="X101" i="1"/>
  <c r="AG92" i="1"/>
  <c r="X92" i="1"/>
  <c r="T92" i="1"/>
  <c r="X93" i="1"/>
  <c r="AG84" i="1"/>
  <c r="W84" i="1" s="1"/>
  <c r="X84" i="1"/>
  <c r="T84" i="1"/>
  <c r="X85" i="1"/>
  <c r="AG76" i="1"/>
  <c r="W76" i="1" s="1"/>
  <c r="X76" i="1"/>
  <c r="T76" i="1"/>
  <c r="X77" i="1"/>
  <c r="T56" i="1"/>
  <c r="X56" i="1"/>
  <c r="AG56" i="1"/>
  <c r="X57" i="1"/>
  <c r="AG197" i="1"/>
  <c r="T195" i="1"/>
  <c r="U195" i="1" s="1"/>
  <c r="S195" i="1" s="1"/>
  <c r="X195" i="1"/>
  <c r="T193" i="1"/>
  <c r="U193" i="1" s="1"/>
  <c r="S193" i="1" s="1"/>
  <c r="X193" i="1"/>
  <c r="T178" i="1"/>
  <c r="X178" i="1"/>
  <c r="AG114" i="1"/>
  <c r="X114" i="1"/>
  <c r="T114" i="1"/>
  <c r="X115" i="1"/>
  <c r="AG106" i="1"/>
  <c r="X106" i="1"/>
  <c r="T106" i="1"/>
  <c r="X107" i="1"/>
  <c r="AG98" i="1"/>
  <c r="X98" i="1"/>
  <c r="T98" i="1"/>
  <c r="X99" i="1"/>
  <c r="AG90" i="1"/>
  <c r="X90" i="1"/>
  <c r="T90" i="1"/>
  <c r="X91" i="1"/>
  <c r="AG82" i="1"/>
  <c r="X82" i="1"/>
  <c r="T82" i="1"/>
  <c r="X83" i="1"/>
  <c r="AG74" i="1"/>
  <c r="X74" i="1"/>
  <c r="T74" i="1"/>
  <c r="X75" i="1"/>
  <c r="AG66" i="1"/>
  <c r="X66" i="1"/>
  <c r="T66" i="1"/>
  <c r="X67" i="1"/>
  <c r="AG58" i="1"/>
  <c r="X58" i="1"/>
  <c r="T58" i="1"/>
  <c r="X59" i="1"/>
  <c r="T191" i="1"/>
  <c r="U191" i="1" s="1"/>
  <c r="S191" i="1" s="1"/>
  <c r="T184" i="1"/>
  <c r="U184" i="1" s="1"/>
  <c r="S184" i="1" s="1"/>
  <c r="AG178" i="1"/>
  <c r="T176" i="1"/>
  <c r="U176" i="1" s="1"/>
  <c r="S176" i="1" s="1"/>
  <c r="X176" i="1"/>
  <c r="T170" i="1"/>
  <c r="X170" i="1"/>
  <c r="AG170" i="1"/>
  <c r="T166" i="1"/>
  <c r="X166" i="1"/>
  <c r="AG166" i="1"/>
  <c r="T162" i="1"/>
  <c r="X162" i="1"/>
  <c r="AG162" i="1"/>
  <c r="T158" i="1"/>
  <c r="X158" i="1"/>
  <c r="AG158" i="1"/>
  <c r="T154" i="1"/>
  <c r="X154" i="1"/>
  <c r="AG154" i="1"/>
  <c r="T150" i="1"/>
  <c r="X150" i="1"/>
  <c r="AG150" i="1"/>
  <c r="W150" i="1" s="1"/>
  <c r="T146" i="1"/>
  <c r="X146" i="1"/>
  <c r="AG146" i="1"/>
  <c r="T142" i="1"/>
  <c r="X142" i="1"/>
  <c r="AG142" i="1"/>
  <c r="W142" i="1" s="1"/>
  <c r="T138" i="1"/>
  <c r="X138" i="1"/>
  <c r="AG138" i="1"/>
  <c r="T134" i="1"/>
  <c r="X134" i="1"/>
  <c r="AG134" i="1"/>
  <c r="W134" i="1" s="1"/>
  <c r="T130" i="1"/>
  <c r="AG130" i="1"/>
  <c r="T126" i="1"/>
  <c r="AG126" i="1"/>
  <c r="W126" i="1" s="1"/>
  <c r="T122" i="1"/>
  <c r="AG122" i="1"/>
  <c r="T119" i="1"/>
  <c r="AG119" i="1"/>
  <c r="W119" i="1" s="1"/>
  <c r="AG112" i="1"/>
  <c r="X112" i="1"/>
  <c r="T112" i="1"/>
  <c r="X113" i="1"/>
  <c r="AG104" i="1"/>
  <c r="X104" i="1"/>
  <c r="T104" i="1"/>
  <c r="X105" i="1"/>
  <c r="AG96" i="1"/>
  <c r="X96" i="1"/>
  <c r="T96" i="1"/>
  <c r="X97" i="1"/>
  <c r="AG88" i="1"/>
  <c r="X88" i="1"/>
  <c r="T88" i="1"/>
  <c r="X89" i="1"/>
  <c r="AG80" i="1"/>
  <c r="X80" i="1"/>
  <c r="T80" i="1"/>
  <c r="X81" i="1"/>
  <c r="T216" i="1"/>
  <c r="U216" i="1" s="1"/>
  <c r="S216" i="1" s="1"/>
  <c r="X216" i="1"/>
  <c r="T214" i="1"/>
  <c r="U214" i="1" s="1"/>
  <c r="S214" i="1" s="1"/>
  <c r="X214" i="1"/>
  <c r="T212" i="1"/>
  <c r="U212" i="1" s="1"/>
  <c r="S212" i="1" s="1"/>
  <c r="X212" i="1"/>
  <c r="T204" i="1"/>
  <c r="U204" i="1" s="1"/>
  <c r="S204" i="1" s="1"/>
  <c r="X204" i="1"/>
  <c r="T202" i="1"/>
  <c r="U202" i="1" s="1"/>
  <c r="S202" i="1" s="1"/>
  <c r="X202" i="1"/>
  <c r="T200" i="1"/>
  <c r="U200" i="1" s="1"/>
  <c r="S200" i="1" s="1"/>
  <c r="X200" i="1"/>
  <c r="T198" i="1"/>
  <c r="U198" i="1" s="1"/>
  <c r="S198" i="1" s="1"/>
  <c r="X198" i="1"/>
  <c r="T196" i="1"/>
  <c r="U196" i="1" s="1"/>
  <c r="S196" i="1" s="1"/>
  <c r="X196" i="1"/>
  <c r="T211" i="1"/>
  <c r="U211" i="1" s="1"/>
  <c r="S211" i="1" s="1"/>
  <c r="X211" i="1"/>
  <c r="T209" i="1"/>
  <c r="U209" i="1" s="1"/>
  <c r="S209" i="1" s="1"/>
  <c r="X209" i="1"/>
  <c r="T207" i="1"/>
  <c r="U207" i="1" s="1"/>
  <c r="S207" i="1" s="1"/>
  <c r="X207" i="1"/>
  <c r="T194" i="1"/>
  <c r="U194" i="1" s="1"/>
  <c r="S194" i="1" s="1"/>
  <c r="X194" i="1"/>
  <c r="T192" i="1"/>
  <c r="U192" i="1" s="1"/>
  <c r="S192" i="1" s="1"/>
  <c r="X192" i="1"/>
  <c r="T190" i="1"/>
  <c r="U190" i="1" s="1"/>
  <c r="S190" i="1" s="1"/>
  <c r="T188" i="1"/>
  <c r="U188" i="1" s="1"/>
  <c r="S188" i="1" s="1"/>
  <c r="T186" i="1"/>
  <c r="U186" i="1" s="1"/>
  <c r="S186" i="1" s="1"/>
  <c r="T185" i="1"/>
  <c r="U185" i="1" s="1"/>
  <c r="S185" i="1" s="1"/>
  <c r="T183" i="1"/>
  <c r="U183" i="1" s="1"/>
  <c r="S183" i="1" s="1"/>
  <c r="T181" i="1"/>
  <c r="U181" i="1" s="1"/>
  <c r="S181" i="1" s="1"/>
  <c r="X181" i="1"/>
  <c r="T179" i="1"/>
  <c r="U179" i="1" s="1"/>
  <c r="S179" i="1" s="1"/>
  <c r="X179" i="1"/>
  <c r="T177" i="1"/>
  <c r="U177" i="1" s="1"/>
  <c r="S177" i="1" s="1"/>
  <c r="X177" i="1"/>
  <c r="T175" i="1"/>
  <c r="U175" i="1" s="1"/>
  <c r="S175" i="1" s="1"/>
  <c r="X175" i="1"/>
  <c r="T173" i="1"/>
  <c r="U173" i="1" s="1"/>
  <c r="S173" i="1" s="1"/>
  <c r="X173" i="1"/>
  <c r="T171" i="1"/>
  <c r="U171" i="1" s="1"/>
  <c r="S171" i="1" s="1"/>
  <c r="X171" i="1"/>
  <c r="T169" i="1"/>
  <c r="U169" i="1" s="1"/>
  <c r="S169" i="1" s="1"/>
  <c r="X169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T159" i="1"/>
  <c r="U159" i="1" s="1"/>
  <c r="S159" i="1" s="1"/>
  <c r="X159" i="1"/>
  <c r="T157" i="1"/>
  <c r="U157" i="1" s="1"/>
  <c r="S157" i="1" s="1"/>
  <c r="X157" i="1"/>
  <c r="T155" i="1"/>
  <c r="U155" i="1" s="1"/>
  <c r="S155" i="1" s="1"/>
  <c r="X155" i="1"/>
  <c r="T153" i="1"/>
  <c r="U153" i="1" s="1"/>
  <c r="S153" i="1" s="1"/>
  <c r="X153" i="1"/>
  <c r="T151" i="1"/>
  <c r="U151" i="1" s="1"/>
  <c r="S151" i="1" s="1"/>
  <c r="X151" i="1"/>
  <c r="T149" i="1"/>
  <c r="U149" i="1" s="1"/>
  <c r="S149" i="1" s="1"/>
  <c r="X149" i="1"/>
  <c r="T147" i="1"/>
  <c r="U147" i="1" s="1"/>
  <c r="S147" i="1" s="1"/>
  <c r="X147" i="1"/>
  <c r="T145" i="1"/>
  <c r="U145" i="1" s="1"/>
  <c r="S145" i="1" s="1"/>
  <c r="X145" i="1"/>
  <c r="T143" i="1"/>
  <c r="U143" i="1" s="1"/>
  <c r="S143" i="1" s="1"/>
  <c r="X143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S129" i="1" s="1"/>
  <c r="T127" i="1"/>
  <c r="U127" i="1" s="1"/>
  <c r="S127" i="1" s="1"/>
  <c r="T125" i="1"/>
  <c r="U125" i="1" s="1"/>
  <c r="S125" i="1" s="1"/>
  <c r="T123" i="1"/>
  <c r="U123" i="1" s="1"/>
  <c r="S123" i="1" s="1"/>
  <c r="T121" i="1"/>
  <c r="U121" i="1" s="1"/>
  <c r="S121" i="1" s="1"/>
  <c r="T120" i="1"/>
  <c r="U120" i="1" s="1"/>
  <c r="S120" i="1" s="1"/>
  <c r="T118" i="1"/>
  <c r="U118" i="1" s="1"/>
  <c r="S118" i="1" s="1"/>
  <c r="AG72" i="1"/>
  <c r="X72" i="1"/>
  <c r="T72" i="1"/>
  <c r="AG68" i="1"/>
  <c r="X68" i="1"/>
  <c r="T68" i="1"/>
  <c r="AG64" i="1"/>
  <c r="X64" i="1"/>
  <c r="T64" i="1"/>
  <c r="AG60" i="1"/>
  <c r="W60" i="1" s="1"/>
  <c r="X60" i="1"/>
  <c r="T60" i="1"/>
  <c r="T48" i="1"/>
  <c r="X48" i="1"/>
  <c r="AG48" i="1"/>
  <c r="T54" i="1"/>
  <c r="X54" i="1"/>
  <c r="T46" i="1"/>
  <c r="X46" i="1"/>
  <c r="T42" i="1"/>
  <c r="X42" i="1"/>
  <c r="AG42" i="1"/>
  <c r="T38" i="1"/>
  <c r="X38" i="1"/>
  <c r="AG38" i="1"/>
  <c r="U115" i="1"/>
  <c r="S115" i="1" s="1"/>
  <c r="U113" i="1"/>
  <c r="S113" i="1" s="1"/>
  <c r="U111" i="1"/>
  <c r="S111" i="1" s="1"/>
  <c r="U109" i="1"/>
  <c r="S109" i="1" s="1"/>
  <c r="U107" i="1"/>
  <c r="S107" i="1" s="1"/>
  <c r="U103" i="1"/>
  <c r="S103" i="1" s="1"/>
  <c r="U99" i="1"/>
  <c r="S99" i="1" s="1"/>
  <c r="U95" i="1"/>
  <c r="S95" i="1" s="1"/>
  <c r="U93" i="1"/>
  <c r="S93" i="1" s="1"/>
  <c r="U91" i="1"/>
  <c r="S91" i="1" s="1"/>
  <c r="U87" i="1"/>
  <c r="S87" i="1" s="1"/>
  <c r="U85" i="1"/>
  <c r="S85" i="1" s="1"/>
  <c r="U83" i="1"/>
  <c r="S83" i="1" s="1"/>
  <c r="U79" i="1"/>
  <c r="S79" i="1" s="1"/>
  <c r="U77" i="1"/>
  <c r="S77" i="1" s="1"/>
  <c r="U75" i="1"/>
  <c r="S75" i="1" s="1"/>
  <c r="U73" i="1"/>
  <c r="S73" i="1" s="1"/>
  <c r="U69" i="1"/>
  <c r="S69" i="1" s="1"/>
  <c r="U59" i="1"/>
  <c r="S59" i="1" s="1"/>
  <c r="T57" i="1"/>
  <c r="AG57" i="1"/>
  <c r="AG54" i="1"/>
  <c r="T52" i="1"/>
  <c r="U52" i="1" s="1"/>
  <c r="S52" i="1" s="1"/>
  <c r="X52" i="1"/>
  <c r="AG46" i="1"/>
  <c r="T44" i="1"/>
  <c r="U44" i="1" s="1"/>
  <c r="S44" i="1" s="1"/>
  <c r="X44" i="1"/>
  <c r="T35" i="1"/>
  <c r="X35" i="1"/>
  <c r="AG35" i="1"/>
  <c r="T22" i="1"/>
  <c r="X22" i="1"/>
  <c r="AG22" i="1"/>
  <c r="T50" i="1"/>
  <c r="U50" i="1" s="1"/>
  <c r="S50" i="1" s="1"/>
  <c r="X50" i="1"/>
  <c r="W43" i="1"/>
  <c r="T40" i="1"/>
  <c r="X40" i="1"/>
  <c r="AG40" i="1"/>
  <c r="W39" i="1"/>
  <c r="T31" i="1"/>
  <c r="X31" i="1"/>
  <c r="AG31" i="1"/>
  <c r="W37" i="1"/>
  <c r="T36" i="1"/>
  <c r="X36" i="1"/>
  <c r="W33" i="1"/>
  <c r="T32" i="1"/>
  <c r="X32" i="1"/>
  <c r="W29" i="1"/>
  <c r="T28" i="1"/>
  <c r="X28" i="1"/>
  <c r="T23" i="1"/>
  <c r="U23" i="1" s="1"/>
  <c r="AA18" i="1"/>
  <c r="W18" i="1" s="1"/>
  <c r="AA16" i="1"/>
  <c r="AA14" i="1"/>
  <c r="W14" i="1" s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X37" i="1"/>
  <c r="AG36" i="1"/>
  <c r="AA34" i="1"/>
  <c r="W34" i="1" s="1"/>
  <c r="T33" i="1"/>
  <c r="U33" i="1" s="1"/>
  <c r="X33" i="1"/>
  <c r="AG32" i="1"/>
  <c r="W32" i="1" s="1"/>
  <c r="AA30" i="1"/>
  <c r="W30" i="1" s="1"/>
  <c r="T29" i="1"/>
  <c r="U29" i="1" s="1"/>
  <c r="X29" i="1"/>
  <c r="AG28" i="1"/>
  <c r="AA26" i="1"/>
  <c r="W26" i="1" s="1"/>
  <c r="T25" i="1"/>
  <c r="U25" i="1" s="1"/>
  <c r="W21" i="1"/>
  <c r="U19" i="1"/>
  <c r="S19" i="1" s="1"/>
  <c r="S37" i="1"/>
  <c r="AA35" i="1"/>
  <c r="T34" i="1"/>
  <c r="U34" i="1" s="1"/>
  <c r="S34" i="1" s="1"/>
  <c r="X34" i="1"/>
  <c r="S33" i="1"/>
  <c r="AA31" i="1"/>
  <c r="T30" i="1"/>
  <c r="U30" i="1" s="1"/>
  <c r="S30" i="1" s="1"/>
  <c r="X30" i="1"/>
  <c r="S29" i="1"/>
  <c r="AA27" i="1"/>
  <c r="W27" i="1" s="1"/>
  <c r="T26" i="1"/>
  <c r="U26" i="1" s="1"/>
  <c r="S26" i="1" s="1"/>
  <c r="S25" i="1"/>
  <c r="AA22" i="1"/>
  <c r="T21" i="1"/>
  <c r="U21" i="1" s="1"/>
  <c r="S21" i="1" s="1"/>
  <c r="X21" i="1"/>
  <c r="AA19" i="1"/>
  <c r="W19" i="1" s="1"/>
  <c r="AA17" i="1"/>
  <c r="AA15" i="1"/>
  <c r="W15" i="1" s="1"/>
  <c r="S14" i="1"/>
  <c r="X20" i="1"/>
  <c r="X19" i="1"/>
  <c r="X18" i="1"/>
  <c r="X17" i="1"/>
  <c r="X16" i="1"/>
  <c r="X15" i="1"/>
  <c r="Q18" i="3"/>
  <c r="P18" i="3"/>
  <c r="E3" i="6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Q11" i="3"/>
  <c r="P11" i="3"/>
  <c r="Q37" i="3"/>
  <c r="P37" i="3"/>
  <c r="Q38" i="3"/>
  <c r="P38" i="3"/>
  <c r="Q8" i="3"/>
  <c r="P8" i="3"/>
  <c r="Q7" i="3"/>
  <c r="P7" i="3"/>
  <c r="Q42" i="3"/>
  <c r="P42" i="3"/>
  <c r="Q13" i="3"/>
  <c r="P13" i="3"/>
  <c r="Q57" i="3"/>
  <c r="P57" i="3"/>
  <c r="Q47" i="3"/>
  <c r="P47" i="3"/>
  <c r="Q16" i="3"/>
  <c r="P16" i="3"/>
  <c r="Q14" i="3"/>
  <c r="P14" i="3"/>
  <c r="Q20" i="3"/>
  <c r="P20" i="3"/>
  <c r="Q24" i="3"/>
  <c r="P24" i="3"/>
  <c r="Q58" i="3"/>
  <c r="P58" i="3"/>
  <c r="Q26" i="3"/>
  <c r="P26" i="3"/>
  <c r="Q48" i="3"/>
  <c r="P48" i="3"/>
  <c r="Q59" i="3"/>
  <c r="P59" i="3"/>
  <c r="Q49" i="3"/>
  <c r="P49" i="3"/>
  <c r="Q50" i="3"/>
  <c r="P50" i="3"/>
  <c r="Q60" i="3"/>
  <c r="P60" i="3"/>
  <c r="Q51" i="3"/>
  <c r="P51" i="3"/>
  <c r="Q22" i="3"/>
  <c r="P22" i="3"/>
  <c r="Q17" i="3"/>
  <c r="P17" i="3"/>
  <c r="Q30" i="3"/>
  <c r="P30" i="3"/>
  <c r="Q19" i="3"/>
  <c r="P19" i="3"/>
  <c r="Q52" i="3"/>
  <c r="P52" i="3"/>
  <c r="Q53" i="3"/>
  <c r="P53" i="3"/>
  <c r="Q23" i="3"/>
  <c r="P23" i="3"/>
  <c r="Q34" i="3"/>
  <c r="P34" i="3"/>
  <c r="Q27" i="3"/>
  <c r="P27" i="3"/>
  <c r="Q63" i="3"/>
  <c r="P63" i="3"/>
  <c r="Q67" i="3"/>
  <c r="P67" i="3"/>
  <c r="Q64" i="3"/>
  <c r="P64" i="3"/>
  <c r="Q68" i="3"/>
  <c r="P68" i="3"/>
  <c r="Q65" i="3"/>
  <c r="P65" i="3"/>
  <c r="AH13" i="1"/>
  <c r="W110" i="1" l="1"/>
  <c r="W117" i="1"/>
  <c r="W94" i="1"/>
  <c r="W36" i="1"/>
  <c r="U18" i="1"/>
  <c r="S18" i="1" s="1"/>
  <c r="U81" i="1"/>
  <c r="S81" i="1" s="1"/>
  <c r="U97" i="1"/>
  <c r="S97" i="1" s="1"/>
  <c r="W136" i="1"/>
  <c r="W102" i="1"/>
  <c r="W64" i="1"/>
  <c r="W56" i="1"/>
  <c r="W164" i="1"/>
  <c r="W178" i="1"/>
  <c r="W74" i="1"/>
  <c r="W66" i="1"/>
  <c r="W20" i="1"/>
  <c r="W58" i="1"/>
  <c r="W208" i="1"/>
  <c r="W189" i="1"/>
  <c r="W17" i="1"/>
  <c r="W31" i="1"/>
  <c r="W42" i="1"/>
  <c r="W132" i="1"/>
  <c r="U89" i="1"/>
  <c r="S89" i="1" s="1"/>
  <c r="W38" i="1"/>
  <c r="W160" i="1"/>
  <c r="W89" i="1"/>
  <c r="W28" i="1"/>
  <c r="U105" i="1"/>
  <c r="S105" i="1" s="1"/>
  <c r="W130" i="1"/>
  <c r="W162" i="1"/>
  <c r="W16" i="1"/>
  <c r="W174" i="1"/>
  <c r="U22" i="1"/>
  <c r="S22" i="1" s="1"/>
  <c r="U54" i="1"/>
  <c r="S54" i="1" s="1"/>
  <c r="U146" i="1"/>
  <c r="S146" i="1" s="1"/>
  <c r="U158" i="1"/>
  <c r="S158" i="1" s="1"/>
  <c r="U98" i="1"/>
  <c r="S98" i="1" s="1"/>
  <c r="U94" i="1"/>
  <c r="S94" i="1" s="1"/>
  <c r="U86" i="1"/>
  <c r="S86" i="1" s="1"/>
  <c r="U57" i="1"/>
  <c r="S57" i="1" s="1"/>
  <c r="U68" i="1"/>
  <c r="S68" i="1" s="1"/>
  <c r="W54" i="1"/>
  <c r="U104" i="1"/>
  <c r="S104" i="1" s="1"/>
  <c r="U119" i="1"/>
  <c r="S119" i="1" s="1"/>
  <c r="U134" i="1"/>
  <c r="S134" i="1" s="1"/>
  <c r="W57" i="1"/>
  <c r="U58" i="1"/>
  <c r="S58" i="1" s="1"/>
  <c r="U66" i="1"/>
  <c r="S66" i="1" s="1"/>
  <c r="U74" i="1"/>
  <c r="S74" i="1" s="1"/>
  <c r="W104" i="1"/>
  <c r="U106" i="1"/>
  <c r="S106" i="1" s="1"/>
  <c r="U197" i="1"/>
  <c r="S197" i="1" s="1"/>
  <c r="U76" i="1"/>
  <c r="S76" i="1" s="1"/>
  <c r="W106" i="1"/>
  <c r="U108" i="1"/>
  <c r="S108" i="1" s="1"/>
  <c r="U182" i="1"/>
  <c r="S182" i="1" s="1"/>
  <c r="U110" i="1"/>
  <c r="S110" i="1" s="1"/>
  <c r="U217" i="1"/>
  <c r="S217" i="1" s="1"/>
  <c r="W197" i="1"/>
  <c r="U213" i="1"/>
  <c r="S213" i="1" s="1"/>
  <c r="W108" i="1"/>
  <c r="U27" i="1"/>
  <c r="S27" i="1" s="1"/>
  <c r="U189" i="1"/>
  <c r="S189" i="1" s="1"/>
  <c r="W213" i="1"/>
  <c r="U46" i="1"/>
  <c r="S46" i="1" s="1"/>
  <c r="U48" i="1"/>
  <c r="S48" i="1" s="1"/>
  <c r="U72" i="1"/>
  <c r="S72" i="1" s="1"/>
  <c r="U96" i="1"/>
  <c r="S96" i="1" s="1"/>
  <c r="U130" i="1"/>
  <c r="S130" i="1" s="1"/>
  <c r="U150" i="1"/>
  <c r="S150" i="1" s="1"/>
  <c r="U166" i="1"/>
  <c r="S166" i="1" s="1"/>
  <c r="U100" i="1"/>
  <c r="S100" i="1" s="1"/>
  <c r="U78" i="1"/>
  <c r="S78" i="1"/>
  <c r="U203" i="1"/>
  <c r="S203" i="1" s="1"/>
  <c r="U35" i="1"/>
  <c r="S35" i="1" s="1"/>
  <c r="W48" i="1"/>
  <c r="U64" i="1"/>
  <c r="S64" i="1" s="1"/>
  <c r="W68" i="1"/>
  <c r="W78" i="1"/>
  <c r="U80" i="1"/>
  <c r="S80" i="1" s="1"/>
  <c r="U112" i="1"/>
  <c r="S112" i="1" s="1"/>
  <c r="U122" i="1"/>
  <c r="S122" i="1" s="1"/>
  <c r="U138" i="1"/>
  <c r="S138" i="1" s="1"/>
  <c r="U178" i="1"/>
  <c r="S178" i="1" s="1"/>
  <c r="W80" i="1"/>
  <c r="U82" i="1"/>
  <c r="S82" i="1" s="1"/>
  <c r="W112" i="1"/>
  <c r="U114" i="1"/>
  <c r="S114" i="1" s="1"/>
  <c r="W166" i="1"/>
  <c r="W82" i="1"/>
  <c r="U84" i="1"/>
  <c r="S84" i="1" s="1"/>
  <c r="W114" i="1"/>
  <c r="U62" i="1"/>
  <c r="S62" i="1" s="1"/>
  <c r="W182" i="1"/>
  <c r="W146" i="1"/>
  <c r="U116" i="1"/>
  <c r="S116" i="1" s="1"/>
  <c r="W122" i="1"/>
  <c r="W138" i="1"/>
  <c r="W203" i="1"/>
  <c r="U40" i="1"/>
  <c r="S40" i="1" s="1"/>
  <c r="U154" i="1"/>
  <c r="S154" i="1" s="1"/>
  <c r="U162" i="1"/>
  <c r="S162" i="1" s="1"/>
  <c r="U170" i="1"/>
  <c r="S170" i="1" s="1"/>
  <c r="W96" i="1"/>
  <c r="W158" i="1"/>
  <c r="W98" i="1"/>
  <c r="U174" i="1"/>
  <c r="S174" i="1" s="1"/>
  <c r="W22" i="1"/>
  <c r="W35" i="1"/>
  <c r="U28" i="1"/>
  <c r="S28" i="1" s="1"/>
  <c r="U32" i="1"/>
  <c r="U36" i="1"/>
  <c r="S36" i="1" s="1"/>
  <c r="U31" i="1"/>
  <c r="S31" i="1" s="1"/>
  <c r="U38" i="1"/>
  <c r="S38" i="1" s="1"/>
  <c r="U42" i="1"/>
  <c r="S42" i="1" s="1"/>
  <c r="W46" i="1"/>
  <c r="W40" i="1"/>
  <c r="U60" i="1"/>
  <c r="S60" i="1" s="1"/>
  <c r="W72" i="1"/>
  <c r="W86" i="1"/>
  <c r="U88" i="1"/>
  <c r="S88" i="1" s="1"/>
  <c r="U126" i="1"/>
  <c r="S126" i="1" s="1"/>
  <c r="U142" i="1"/>
  <c r="S142" i="1" s="1"/>
  <c r="W88" i="1"/>
  <c r="U90" i="1"/>
  <c r="S90" i="1" s="1"/>
  <c r="W154" i="1"/>
  <c r="W170" i="1"/>
  <c r="U56" i="1"/>
  <c r="S56" i="1" s="1"/>
  <c r="W90" i="1"/>
  <c r="U92" i="1"/>
  <c r="S92" i="1" s="1"/>
  <c r="U117" i="1"/>
  <c r="S117" i="1" s="1"/>
  <c r="U124" i="1"/>
  <c r="S124" i="1" s="1"/>
  <c r="U128" i="1"/>
  <c r="S128" i="1" s="1"/>
  <c r="U132" i="1"/>
  <c r="S132" i="1" s="1"/>
  <c r="U136" i="1"/>
  <c r="S136" i="1" s="1"/>
  <c r="U140" i="1"/>
  <c r="S140" i="1" s="1"/>
  <c r="U144" i="1"/>
  <c r="S144" i="1" s="1"/>
  <c r="U148" i="1"/>
  <c r="S148" i="1" s="1"/>
  <c r="U152" i="1"/>
  <c r="S152" i="1" s="1"/>
  <c r="U156" i="1"/>
  <c r="S156" i="1" s="1"/>
  <c r="U160" i="1"/>
  <c r="S160" i="1" s="1"/>
  <c r="U164" i="1"/>
  <c r="S164" i="1" s="1"/>
  <c r="U168" i="1"/>
  <c r="S168" i="1" s="1"/>
  <c r="W92" i="1"/>
  <c r="U102" i="1"/>
  <c r="S102" i="1" s="1"/>
  <c r="W128" i="1"/>
  <c r="W144" i="1"/>
  <c r="W168" i="1"/>
  <c r="U208" i="1"/>
  <c r="S208" i="1" s="1"/>
  <c r="W148" i="1"/>
  <c r="U70" i="1"/>
  <c r="S70" i="1" s="1"/>
  <c r="W156" i="1"/>
  <c r="W124" i="1"/>
  <c r="W140" i="1"/>
  <c r="W217" i="1"/>
  <c r="Q10" i="3"/>
  <c r="Q12" i="3"/>
  <c r="Q40" i="3"/>
  <c r="Q39" i="3"/>
  <c r="Q56" i="3"/>
  <c r="Q25" i="3"/>
  <c r="Q44" i="3"/>
  <c r="Q41" i="3"/>
  <c r="Q43" i="3"/>
  <c r="P33" i="3"/>
  <c r="P15" i="3"/>
  <c r="P36" i="3"/>
  <c r="P35" i="3"/>
  <c r="P32" i="3"/>
  <c r="P31" i="3"/>
  <c r="P9" i="3"/>
  <c r="P28" i="3"/>
  <c r="P21" i="3"/>
  <c r="P29" i="3"/>
  <c r="Q46" i="3"/>
  <c r="Q45" i="3"/>
  <c r="P10" i="3"/>
  <c r="P12" i="3"/>
  <c r="P39" i="3"/>
  <c r="P40" i="3"/>
  <c r="P56" i="3"/>
  <c r="P25" i="3"/>
  <c r="P44" i="3"/>
  <c r="P43" i="3"/>
  <c r="P41" i="3"/>
  <c r="Q15" i="3"/>
  <c r="Q33" i="3"/>
  <c r="Q35" i="3"/>
  <c r="Q36" i="3"/>
  <c r="Q32" i="3"/>
  <c r="Q31" i="3"/>
  <c r="Q28" i="3"/>
  <c r="Q9" i="3"/>
  <c r="Q21" i="3"/>
  <c r="Q29" i="3"/>
  <c r="P46" i="3"/>
  <c r="P45" i="3"/>
  <c r="L54" i="3"/>
  <c r="S54" i="3"/>
  <c r="R54" i="3" s="1"/>
  <c r="T54" i="3"/>
  <c r="U54" i="3"/>
  <c r="V54" i="3"/>
  <c r="X6" i="1" l="1"/>
  <c r="W6" i="1"/>
  <c r="V6" i="1"/>
  <c r="S6" i="1"/>
  <c r="R2" i="1"/>
  <c r="I2" i="1"/>
  <c r="O6" i="1"/>
  <c r="N6" i="1"/>
  <c r="M6" i="1"/>
  <c r="J6" i="1"/>
  <c r="P3" i="5" l="1"/>
  <c r="V13" i="1" l="1"/>
  <c r="Q55" i="3" l="1"/>
  <c r="Q54" i="3"/>
  <c r="AF13" i="1"/>
  <c r="AE13" i="1" l="1"/>
  <c r="P55" i="3" l="1"/>
  <c r="P54" i="3"/>
  <c r="M18" i="5"/>
  <c r="AD13" i="1" l="1"/>
  <c r="X14" i="1" s="1"/>
  <c r="AG13" i="1" l="1"/>
  <c r="T13" i="1"/>
  <c r="X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K13" i="1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<sst xmlns="http://schemas.openxmlformats.org/spreadsheetml/2006/main" count="2121" uniqueCount="655">
  <si>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</si>
  <si>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</si>
  <si>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</si>
  <si>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</si>
  <si>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</si>
  <si>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</si>
  <si>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</si>
  <si>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</si>
  <si>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</si>
  <si>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</si>
  <si>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</si>
  <si>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</si>
  <si>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</si>
  <si>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</si>
  <si>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</si>
  <si>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</si>
  <si>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</si>
  <si>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</si>
  <si>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</si>
  <si>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</si>
  <si>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</si>
  <si>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</si>
  <si>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</si>
  <si>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</si>
  <si>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</si>
  <si>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</si>
  <si>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</si>
  <si>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</si>
  <si>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</si>
  <si>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</si>
  <si>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</si>
  <si>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</si>
  <si>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</si>
  <si>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</si>
  <si>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</si>
  <si>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</si>
  <si>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</si>
  <si>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</si>
  <si>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</si>
  <si>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</si>
  <si>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</si>
  <si>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</si>
  <si>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</si>
  <si>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</si>
  <si>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</si>
  <si>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</si>
  <si>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</si>
  <si>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</si>
  <si>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</si>
  <si>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</si>
  <si>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</si>
  <si>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</si>
  <si>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</si>
  <si>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</si>
  <si>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</si>
  <si>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</si>
  <si>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</si>
  <si>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</si>
  <si>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204:152</t>
  </si>
  <si>
    <t>baselines:</t>
  </si>
  <si>
    <t>sunday - thu - 144/day</t>
  </si>
  <si>
    <t>fri-sat - 146/day</t>
  </si>
  <si>
    <t>Married Pair</t>
  </si>
  <si>
    <t>204:460</t>
  </si>
  <si>
    <t>204:232977</t>
  </si>
  <si>
    <t>Kibana URL</t>
  </si>
  <si>
    <t>rtdc.l.rtdc.4019:itc</t>
  </si>
  <si>
    <t>rtdc.l.rtdc.4020:itc</t>
  </si>
  <si>
    <t>rtdc.l.rtdc.4018:itc</t>
  </si>
  <si>
    <t>rtdc.l.rtdc.4017:itc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</si>
  <si>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</si>
  <si>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</si>
  <si>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</si>
  <si>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</si>
  <si>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</si>
  <si>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</si>
  <si>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</si>
  <si>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</si>
  <si>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</si>
  <si>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</si>
  <si>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</si>
  <si>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</si>
  <si>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</si>
  <si>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</si>
  <si>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</si>
  <si>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</si>
  <si>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</si>
  <si>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</si>
  <si>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</si>
  <si>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</si>
  <si>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</si>
  <si>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</si>
  <si>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</si>
  <si>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</si>
  <si>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</si>
  <si>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</si>
  <si>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</si>
  <si>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</si>
  <si>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</si>
  <si>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rtdc.l.rtdc.4038:itc</t>
  </si>
  <si>
    <t>rtdc.l.rtdc.4026:itc</t>
  </si>
  <si>
    <t>rtdc.l.rtdc.4013:itc</t>
  </si>
  <si>
    <t>rtdc.l.rtdc.4025:itc</t>
  </si>
  <si>
    <t>rtdc.l.rtdc.4028:itc</t>
  </si>
  <si>
    <t>rtdc.l.rtdc.4029:itc</t>
  </si>
  <si>
    <t>rtdc.l.rtdc.4030:itc</t>
  </si>
  <si>
    <t>rtdc.l.rtdc.4027:itc</t>
  </si>
  <si>
    <t>204:156</t>
  </si>
  <si>
    <t>rtdc.l.rtdc.4008:itc</t>
  </si>
  <si>
    <t>rtdc.l.rtdc.4007:itc</t>
  </si>
  <si>
    <t>Trip Number Sortable</t>
  </si>
  <si>
    <t>STARKS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</si>
  <si>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</si>
  <si>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</si>
  <si>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</si>
  <si>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</si>
  <si>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</si>
  <si>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</si>
  <si>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</si>
  <si>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</si>
  <si>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</si>
  <si>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</si>
  <si>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</si>
  <si>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</si>
  <si>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</si>
  <si>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GRADE CROSSING</t>
  </si>
  <si>
    <t>Bulletin (2)</t>
  </si>
  <si>
    <t>rtdc.l.rtdc.4015:itc</t>
  </si>
  <si>
    <t>rtdc.l.rtdc.4016:itc</t>
  </si>
  <si>
    <t>EC or NWGL</t>
  </si>
  <si>
    <t>204:150</t>
  </si>
  <si>
    <t>204:464</t>
  </si>
  <si>
    <t>204:462</t>
  </si>
  <si>
    <t>Omit due to TWC &lt; 1</t>
  </si>
  <si>
    <t>Reactive Enforcement (3)</t>
  </si>
  <si>
    <t>204:233293</t>
  </si>
  <si>
    <t>COOLAHAN</t>
  </si>
  <si>
    <t>rtdc.l.rtdc.4011:itc</t>
  </si>
  <si>
    <t>rtdc.l.rtdc.4012:itc</t>
  </si>
  <si>
    <t>204:233295</t>
  </si>
  <si>
    <t>rtdc.l.rtdc.4014:itc</t>
  </si>
  <si>
    <t>DE.1.0.7.0</t>
  </si>
  <si>
    <t>rtdc.l.rtdc.4031:itc</t>
  </si>
  <si>
    <t>rtdc.l.rtdc.4032:itc</t>
  </si>
  <si>
    <t>MAYBERRY</t>
  </si>
  <si>
    <t>YOUNG</t>
  </si>
  <si>
    <t>NEWELL</t>
  </si>
  <si>
    <t>STEWART</t>
  </si>
  <si>
    <t>CHANDLER</t>
  </si>
  <si>
    <t>BARTLETT</t>
  </si>
  <si>
    <t>rtdc.l.rtdc.4037:itc</t>
  </si>
  <si>
    <t>DAVIS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</si>
  <si>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</si>
  <si>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</si>
  <si>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</si>
  <si>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</si>
  <si>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</si>
  <si>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</si>
  <si>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</si>
  <si>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</si>
  <si>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</si>
  <si>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</si>
  <si>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YORK</t>
  </si>
  <si>
    <t>rtdc.l.rtdc.4043:itc</t>
  </si>
  <si>
    <t>204:447</t>
  </si>
  <si>
    <t>204:232975</t>
  </si>
  <si>
    <t>204:457</t>
  </si>
  <si>
    <t>204:232998</t>
  </si>
  <si>
    <t>204:233004</t>
  </si>
  <si>
    <t>204:233297</t>
  </si>
  <si>
    <t>204:446</t>
  </si>
  <si>
    <t>204:455</t>
  </si>
  <si>
    <t>204:444</t>
  </si>
  <si>
    <t>rtdc.l.rtdc.4044:itc</t>
  </si>
  <si>
    <t>:.+((SYSTEM_STATE.+slice.+state.+changed )|(ment ac)|(system.+state.+changed )|(\|lc)|(penalty)|(\[timeout)|(PRM\|1\|D)|(kpr)|(kdp))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</si>
  <si>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</si>
  <si>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</si>
  <si>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</si>
  <si>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</si>
  <si>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</si>
  <si>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204:233000</t>
  </si>
  <si>
    <t>204:158</t>
  </si>
  <si>
    <t>204:233278</t>
  </si>
  <si>
    <t>MALAVE</t>
  </si>
  <si>
    <t>204:233307</t>
  </si>
  <si>
    <t>204:232992</t>
  </si>
  <si>
    <t>204:233013</t>
  </si>
  <si>
    <t>204:233315</t>
  </si>
  <si>
    <t>204:471</t>
  </si>
  <si>
    <t>SHOOK</t>
  </si>
  <si>
    <t>204:232989</t>
  </si>
  <si>
    <t>204:147</t>
  </si>
  <si>
    <t>204:232957</t>
  </si>
  <si>
    <t>204:233320</t>
  </si>
  <si>
    <t>204:438</t>
  </si>
  <si>
    <t>204:161</t>
  </si>
  <si>
    <t>204:453</t>
  </si>
  <si>
    <t>204:160</t>
  </si>
  <si>
    <t>204:233289</t>
  </si>
  <si>
    <t>204:232969</t>
  </si>
  <si>
    <t>204:232994</t>
  </si>
  <si>
    <t>204:172</t>
  </si>
  <si>
    <t>204:233310</t>
  </si>
  <si>
    <t>204:449</t>
  </si>
  <si>
    <t>204:132</t>
  </si>
  <si>
    <t>204:466</t>
  </si>
  <si>
    <t>204:149</t>
  </si>
  <si>
    <t>204:232973</t>
  </si>
  <si>
    <t>204:154</t>
  </si>
  <si>
    <t>204:433</t>
  </si>
  <si>
    <t>204:145</t>
  </si>
  <si>
    <t>204:165</t>
  </si>
  <si>
    <t>204:440</t>
  </si>
  <si>
    <t>204:233305</t>
  </si>
  <si>
    <t>204:232976</t>
  </si>
  <si>
    <t>204:141</t>
  </si>
  <si>
    <t>204:233286</t>
  </si>
  <si>
    <t>204:174</t>
  </si>
  <si>
    <t>204:233304</t>
  </si>
  <si>
    <t>204:233321</t>
  </si>
  <si>
    <t>204:232985</t>
  </si>
  <si>
    <t>204:473</t>
  </si>
  <si>
    <t>204:232996</t>
  </si>
  <si>
    <t>204:233300</t>
  </si>
  <si>
    <t>204:233299</t>
  </si>
  <si>
    <t>300:23306</t>
  </si>
  <si>
    <t>STORY</t>
  </si>
  <si>
    <t>Early arrival</t>
  </si>
  <si>
    <t>Form C</t>
  </si>
  <si>
    <t>204:233408</t>
  </si>
  <si>
    <t>204:233319</t>
  </si>
  <si>
    <t>204:134</t>
  </si>
  <si>
    <t>204:233060</t>
  </si>
  <si>
    <t>204:422</t>
  </si>
  <si>
    <t>204:233312</t>
  </si>
  <si>
    <t>204:442</t>
  </si>
  <si>
    <t>204:223</t>
  </si>
  <si>
    <t>204:136</t>
  </si>
  <si>
    <t>204:233309</t>
  </si>
  <si>
    <t>204:233303</t>
  </si>
  <si>
    <t>204:232959</t>
  </si>
  <si>
    <t>204:232981</t>
  </si>
  <si>
    <t>300:58604</t>
  </si>
  <si>
    <t>204:661</t>
  </si>
  <si>
    <t>204:964</t>
  </si>
  <si>
    <t>300:58931</t>
  </si>
  <si>
    <t>300:58929</t>
  </si>
  <si>
    <t>300:58926</t>
  </si>
  <si>
    <t>300:58615</t>
  </si>
  <si>
    <t>300:58922</t>
  </si>
  <si>
    <t>300:58611</t>
  </si>
  <si>
    <t>204:664</t>
  </si>
  <si>
    <t>300:58606</t>
  </si>
  <si>
    <t>204:960</t>
  </si>
  <si>
    <t>300:58609</t>
  </si>
  <si>
    <t>300:58886</t>
  </si>
  <si>
    <t>300:58687</t>
  </si>
  <si>
    <t>204:981</t>
  </si>
  <si>
    <t>204:680</t>
  </si>
  <si>
    <t>204:685</t>
  </si>
  <si>
    <t>204:232987</t>
  </si>
  <si>
    <t>204:178</t>
  </si>
  <si>
    <t>204:488</t>
  </si>
  <si>
    <t>204:232963</t>
  </si>
  <si>
    <t>242-07</t>
  </si>
  <si>
    <t>204:233282</t>
  </si>
  <si>
    <t>244-07</t>
  </si>
  <si>
    <t>311-07</t>
  </si>
  <si>
    <t>204:491</t>
  </si>
  <si>
    <t>313-07</t>
  </si>
  <si>
    <t>315-07</t>
  </si>
  <si>
    <t>204:480</t>
  </si>
  <si>
    <t>HOMIK</t>
  </si>
  <si>
    <t>Onboard in-route failure</t>
  </si>
  <si>
    <t>-</t>
  </si>
  <si>
    <t>http://stevetu21.github.io/eaglep3/load_kml.html?kml=http://rtdc.gmaps-snips.s3.amazonaws.com/ea1c6bba-c748-4649-bb3a-8d14071d6d61.kml</t>
  </si>
  <si>
    <t>http://stevetu21.github.io/eaglep3/load_kml.html?kml=http://rtdc.gmaps-snips.s3.amazonaws.com/ce617342-b811-4692-81d8-821171cf9281.kml</t>
  </si>
  <si>
    <t>http://stevetu21.github.io/eaglep3/load_kml.html?kml=http://rtdc.gmaps-snips.s3.amazonaws.com/2eb4879b-bb1c-4880-9b67-ede54fdc4700.kml</t>
  </si>
  <si>
    <t>http://stevetu21.github.io/eaglep3/load_kml.html?kml=http://rtdc.gmaps-snips.s3.amazonaws.com/b4dffce8-efe6-493c-a69d-8b310027cf9b.kml</t>
  </si>
  <si>
    <t>Driving toward Monaco</t>
  </si>
  <si>
    <t>101-08</t>
  </si>
  <si>
    <t>108-08</t>
  </si>
  <si>
    <t>113-08</t>
  </si>
  <si>
    <t>106-08</t>
  </si>
  <si>
    <t>115-08</t>
  </si>
  <si>
    <t>121-08</t>
  </si>
  <si>
    <t>116-08</t>
  </si>
  <si>
    <t>123-08</t>
  </si>
  <si>
    <t>122-08</t>
  </si>
  <si>
    <t>125-08</t>
  </si>
  <si>
    <t>120-08</t>
  </si>
  <si>
    <t>135-08</t>
  </si>
  <si>
    <t>137-08</t>
  </si>
  <si>
    <t>133-08</t>
  </si>
  <si>
    <t>139-08</t>
  </si>
  <si>
    <t>153-08</t>
  </si>
  <si>
    <t>142-08</t>
  </si>
  <si>
    <t>816-08</t>
  </si>
  <si>
    <t>157-08</t>
  </si>
  <si>
    <t>150-08</t>
  </si>
  <si>
    <t>154-08</t>
  </si>
  <si>
    <t>164-08</t>
  </si>
  <si>
    <t>177-08</t>
  </si>
  <si>
    <t>178-08</t>
  </si>
  <si>
    <t>823-08</t>
  </si>
  <si>
    <t>187-08</t>
  </si>
  <si>
    <t>184-08</t>
  </si>
  <si>
    <t>826-08</t>
  </si>
  <si>
    <t>188-08</t>
  </si>
  <si>
    <t>829-08</t>
  </si>
  <si>
    <t>201-08</t>
  </si>
  <si>
    <t>200-08</t>
  </si>
  <si>
    <t>205-08</t>
  </si>
  <si>
    <t>832-08</t>
  </si>
  <si>
    <t>198-08</t>
  </si>
  <si>
    <t>204-08</t>
  </si>
  <si>
    <t>215-08</t>
  </si>
  <si>
    <t>206-08</t>
  </si>
  <si>
    <t>836-08</t>
  </si>
  <si>
    <t>208-08</t>
  </si>
  <si>
    <t>219-08</t>
  </si>
  <si>
    <t>214-08</t>
  </si>
  <si>
    <t>839-08</t>
  </si>
  <si>
    <t>216-08</t>
  </si>
  <si>
    <t>218-08</t>
  </si>
  <si>
    <t>229-08</t>
  </si>
  <si>
    <t>845-08</t>
  </si>
  <si>
    <t>228-08</t>
  </si>
  <si>
    <t>844-08</t>
  </si>
  <si>
    <t>235-08</t>
  </si>
  <si>
    <t>236-08</t>
  </si>
  <si>
    <t>Decreasing Mileposts (2</t>
  </si>
  <si>
    <t>OUN</t>
  </si>
  <si>
    <t>103-08</t>
  </si>
  <si>
    <t>STURGEON</t>
  </si>
  <si>
    <t>105-08</t>
  </si>
  <si>
    <t>GEBRETEKLE</t>
  </si>
  <si>
    <t>102-08</t>
  </si>
  <si>
    <t>104-08</t>
  </si>
  <si>
    <t>107-08</t>
  </si>
  <si>
    <t>SPECTOR</t>
  </si>
  <si>
    <t>901-08</t>
  </si>
  <si>
    <t>109-08</t>
  </si>
  <si>
    <t>800-08</t>
  </si>
  <si>
    <t>111-08</t>
  </si>
  <si>
    <t>110-08</t>
  </si>
  <si>
    <t>117-08</t>
  </si>
  <si>
    <t>801-08</t>
  </si>
  <si>
    <t>rtdc.l.rtdc.4039:itc</t>
  </si>
  <si>
    <t>902-08</t>
  </si>
  <si>
    <t>GRASTON</t>
  </si>
  <si>
    <t>119-08</t>
  </si>
  <si>
    <t>114-08</t>
  </si>
  <si>
    <t>802-08</t>
  </si>
  <si>
    <t>112-08</t>
  </si>
  <si>
    <t>rtdc.l.rtdc.4040:itc</t>
  </si>
  <si>
    <t>803-08</t>
  </si>
  <si>
    <t>118-08</t>
  </si>
  <si>
    <t>804-08</t>
  </si>
  <si>
    <t>805-08</t>
  </si>
  <si>
    <t>127-08</t>
  </si>
  <si>
    <t>806-08</t>
  </si>
  <si>
    <t>124-08</t>
  </si>
  <si>
    <t>129-08</t>
  </si>
  <si>
    <t>807-08</t>
  </si>
  <si>
    <t>131-08</t>
  </si>
  <si>
    <t>808-08</t>
  </si>
  <si>
    <t>126-08</t>
  </si>
  <si>
    <t>809-08</t>
  </si>
  <si>
    <t>128-08</t>
  </si>
  <si>
    <t>810-08</t>
  </si>
  <si>
    <t>130-08</t>
  </si>
  <si>
    <t>132-08</t>
  </si>
  <si>
    <t>811-08</t>
  </si>
  <si>
    <t>134-08</t>
  </si>
  <si>
    <t>812-08</t>
  </si>
  <si>
    <t>141-08</t>
  </si>
  <si>
    <t>136-08</t>
  </si>
  <si>
    <t>138-08</t>
  </si>
  <si>
    <t>143-08</t>
  </si>
  <si>
    <t>145-08</t>
  </si>
  <si>
    <t>813-08</t>
  </si>
  <si>
    <t>140-08</t>
  </si>
  <si>
    <t>147-08</t>
  </si>
  <si>
    <t>814-08</t>
  </si>
  <si>
    <t>149-08</t>
  </si>
  <si>
    <t>144-08</t>
  </si>
  <si>
    <t>151-08</t>
  </si>
  <si>
    <t>146-08</t>
  </si>
  <si>
    <t>815-08</t>
  </si>
  <si>
    <t>148-08</t>
  </si>
  <si>
    <t>155-08</t>
  </si>
  <si>
    <t>152-08</t>
  </si>
  <si>
    <t>158-08</t>
  </si>
  <si>
    <t>159-08</t>
  </si>
  <si>
    <t>161-08</t>
  </si>
  <si>
    <t>817-08</t>
  </si>
  <si>
    <t>156-08</t>
  </si>
  <si>
    <t>163-08</t>
  </si>
  <si>
    <t>165-08</t>
  </si>
  <si>
    <t>SWANSON</t>
  </si>
  <si>
    <t>818-08</t>
  </si>
  <si>
    <t>160-08</t>
  </si>
  <si>
    <t>162-08</t>
  </si>
  <si>
    <t>167-08</t>
  </si>
  <si>
    <t>169-08</t>
  </si>
  <si>
    <t>HELVIE</t>
  </si>
  <si>
    <t>819-08</t>
  </si>
  <si>
    <t>171-08</t>
  </si>
  <si>
    <t>166-08</t>
  </si>
  <si>
    <t>820-08</t>
  </si>
  <si>
    <t>173-08</t>
  </si>
  <si>
    <t>168-08</t>
  </si>
  <si>
    <t>175-08</t>
  </si>
  <si>
    <t>170-08</t>
  </si>
  <si>
    <t>821-08</t>
  </si>
  <si>
    <t>HAITHCOX</t>
  </si>
  <si>
    <t>172-08</t>
  </si>
  <si>
    <t>179-08</t>
  </si>
  <si>
    <t>174-08</t>
  </si>
  <si>
    <t>822-08</t>
  </si>
  <si>
    <t>181-08</t>
  </si>
  <si>
    <t>176-08</t>
  </si>
  <si>
    <t>183-08</t>
  </si>
  <si>
    <t>185-08</t>
  </si>
  <si>
    <t>180-08</t>
  </si>
  <si>
    <t>182-08</t>
  </si>
  <si>
    <t>824-08</t>
  </si>
  <si>
    <t>189-08</t>
  </si>
  <si>
    <t>191-08</t>
  </si>
  <si>
    <t>186-08</t>
  </si>
  <si>
    <t>193-08</t>
  </si>
  <si>
    <t>825-08</t>
  </si>
  <si>
    <t>190-08</t>
  </si>
  <si>
    <t>195-08</t>
  </si>
  <si>
    <t>904-08</t>
  </si>
  <si>
    <t>197-08</t>
  </si>
  <si>
    <t>192-08</t>
  </si>
  <si>
    <t>827-08</t>
  </si>
  <si>
    <t>199-08</t>
  </si>
  <si>
    <t>194-08</t>
  </si>
  <si>
    <t>828-08</t>
  </si>
  <si>
    <t>196-08</t>
  </si>
  <si>
    <t>203-08</t>
  </si>
  <si>
    <t>830-08</t>
  </si>
  <si>
    <t>831-08</t>
  </si>
  <si>
    <t>833-08</t>
  </si>
  <si>
    <t>207-08</t>
  </si>
  <si>
    <t>202-08</t>
  </si>
  <si>
    <t>209-08</t>
  </si>
  <si>
    <t>ISHMAEL</t>
  </si>
  <si>
    <t>211-08</t>
  </si>
  <si>
    <t>834-08</t>
  </si>
  <si>
    <t>217-08</t>
  </si>
  <si>
    <t>835-08</t>
  </si>
  <si>
    <t>213-08</t>
  </si>
  <si>
    <t>837-08</t>
  </si>
  <si>
    <t>210-08</t>
  </si>
  <si>
    <t>212-08</t>
  </si>
  <si>
    <t>838-08</t>
  </si>
  <si>
    <t>221-08</t>
  </si>
  <si>
    <t>841-08</t>
  </si>
  <si>
    <t>303-08</t>
  </si>
  <si>
    <t>906-08</t>
  </si>
  <si>
    <t>220-08</t>
  </si>
  <si>
    <t>223-08</t>
  </si>
  <si>
    <t>840-08</t>
  </si>
  <si>
    <t>222-08</t>
  </si>
  <si>
    <t>225-08</t>
  </si>
  <si>
    <t>843-08</t>
  </si>
  <si>
    <t>227-08</t>
  </si>
  <si>
    <t>224-08</t>
  </si>
  <si>
    <t>842-08</t>
  </si>
  <si>
    <t>226-08</t>
  </si>
  <si>
    <t>231-08</t>
  </si>
  <si>
    <t>233-08</t>
  </si>
  <si>
    <t>230-08</t>
  </si>
  <si>
    <t>847-08</t>
  </si>
  <si>
    <t>232-08</t>
  </si>
  <si>
    <t>908-08</t>
  </si>
  <si>
    <t>237-08</t>
  </si>
  <si>
    <t>234-08</t>
  </si>
  <si>
    <t>239-08</t>
  </si>
  <si>
    <t>238-08</t>
  </si>
  <si>
    <t>241-08</t>
  </si>
  <si>
    <t>243-08</t>
  </si>
  <si>
    <t>240-08</t>
  </si>
  <si>
    <t>309-08</t>
  </si>
  <si>
    <t>242-08</t>
  </si>
  <si>
    <t>311-08</t>
  </si>
  <si>
    <t>244-08</t>
  </si>
  <si>
    <t>313-08</t>
  </si>
  <si>
    <t>315-08</t>
  </si>
  <si>
    <t>302-09</t>
  </si>
  <si>
    <t>KILLIO</t>
  </si>
  <si>
    <t>204:754</t>
  </si>
  <si>
    <t>204:233207</t>
  </si>
  <si>
    <t>204:232575</t>
  </si>
  <si>
    <t>204:110</t>
  </si>
  <si>
    <t>204:748</t>
  </si>
  <si>
    <t>204:233264</t>
  </si>
  <si>
    <t>204:232639</t>
  </si>
  <si>
    <t>204:724</t>
  </si>
  <si>
    <t>204:233336</t>
  </si>
  <si>
    <t>204:232642</t>
  </si>
  <si>
    <t>204:233025</t>
  </si>
  <si>
    <t>204:484</t>
  </si>
  <si>
    <t>204:223591</t>
  </si>
  <si>
    <t>204:154005</t>
  </si>
  <si>
    <t>204:230872</t>
  </si>
  <si>
    <t>204:154010</t>
  </si>
  <si>
    <t>204:774</t>
  </si>
  <si>
    <t>204:232968</t>
  </si>
  <si>
    <t>204:221003</t>
  </si>
  <si>
    <t>204:153996</t>
  </si>
  <si>
    <t>204:232961</t>
  </si>
  <si>
    <t>204:852</t>
  </si>
  <si>
    <t>204:232972</t>
  </si>
  <si>
    <t>204:191</t>
  </si>
  <si>
    <t>204:233338</t>
  </si>
  <si>
    <t>204:221607</t>
  </si>
  <si>
    <t>204:232953</t>
  </si>
  <si>
    <t>204:233291</t>
  </si>
  <si>
    <t>204:232966</t>
  </si>
  <si>
    <t>204:187</t>
  </si>
  <si>
    <t>204:224387</t>
  </si>
  <si>
    <t>204:233019</t>
  </si>
  <si>
    <t>204:123</t>
  </si>
  <si>
    <t>204:232990</t>
  </si>
  <si>
    <t>204:233334</t>
  </si>
  <si>
    <t>204:233281</t>
  </si>
  <si>
    <t>204:167</t>
  </si>
  <si>
    <t>204:233284</t>
  </si>
  <si>
    <t>204:169</t>
  </si>
  <si>
    <t>204:424</t>
  </si>
  <si>
    <t>204:233005</t>
  </si>
  <si>
    <t>204:233287</t>
  </si>
  <si>
    <t>204:232983</t>
  </si>
  <si>
    <t>204:181</t>
  </si>
  <si>
    <t>204:469</t>
  </si>
  <si>
    <t>204:509</t>
  </si>
  <si>
    <t>204:233387</t>
  </si>
  <si>
    <t>204:233070</t>
  </si>
  <si>
    <t>204:138</t>
  </si>
  <si>
    <t>204:232971</t>
  </si>
  <si>
    <t>204:233363</t>
  </si>
  <si>
    <t>204:233034</t>
  </si>
  <si>
    <t>204:478</t>
  </si>
  <si>
    <t>204:233343</t>
  </si>
  <si>
    <t>204:233280</t>
  </si>
  <si>
    <t>204:127</t>
  </si>
  <si>
    <t>204:233276</t>
  </si>
  <si>
    <t>204:520</t>
  </si>
  <si>
    <t>204:163</t>
  </si>
  <si>
    <t>204:233053</t>
  </si>
  <si>
    <t>204:125</t>
  </si>
  <si>
    <t>204:180</t>
  </si>
  <si>
    <t>204:435</t>
  </si>
  <si>
    <t>204:233270</t>
  </si>
  <si>
    <t>204:233325</t>
  </si>
  <si>
    <t>204:482</t>
  </si>
  <si>
    <t>204:498</t>
  </si>
  <si>
    <t>204:233096</t>
  </si>
  <si>
    <t>204:232777</t>
  </si>
  <si>
    <t>204:127875</t>
  </si>
  <si>
    <t>204:437</t>
  </si>
  <si>
    <t>204:233323</t>
  </si>
  <si>
    <t>204:233351</t>
  </si>
  <si>
    <t>204:233047</t>
  </si>
  <si>
    <t>204:475</t>
  </si>
  <si>
    <t>204:458</t>
  </si>
  <si>
    <t>204:155650</t>
  </si>
  <si>
    <t>204:232982</t>
  </si>
  <si>
    <t>204:221979</t>
  </si>
  <si>
    <t>204:154560</t>
  </si>
  <si>
    <t>204:232948</t>
  </si>
  <si>
    <t>204:233274</t>
  </si>
  <si>
    <t>204:220</t>
  </si>
  <si>
    <t>300:23299</t>
  </si>
  <si>
    <t>300:22975</t>
  </si>
  <si>
    <t>204:519</t>
  </si>
  <si>
    <t>300:23049</t>
  </si>
  <si>
    <t>204:629</t>
  </si>
  <si>
    <t>204:936</t>
  </si>
  <si>
    <t>300:58924</t>
  </si>
  <si>
    <t>204:643</t>
  </si>
  <si>
    <t>300:58572</t>
  </si>
  <si>
    <t>204:930</t>
  </si>
  <si>
    <t>300:58928</t>
  </si>
  <si>
    <t>204:645</t>
  </si>
  <si>
    <t>204:958</t>
  </si>
  <si>
    <t>300:58897</t>
  </si>
  <si>
    <t>300:58581</t>
  </si>
  <si>
    <t>300:57322</t>
  </si>
  <si>
    <t>204:946</t>
  </si>
  <si>
    <t>204:663</t>
  </si>
  <si>
    <t>204:972</t>
  </si>
  <si>
    <t>300:58912</t>
  </si>
  <si>
    <t>300:58596</t>
  </si>
  <si>
    <t>204:689</t>
  </si>
  <si>
    <t>204:978</t>
  </si>
  <si>
    <t>300:58907</t>
  </si>
  <si>
    <t>300:58587</t>
  </si>
  <si>
    <t>204:673</t>
  </si>
  <si>
    <t>300:58632</t>
  </si>
  <si>
    <t>204:684</t>
  </si>
  <si>
    <t>204:976</t>
  </si>
  <si>
    <t>300:58585</t>
  </si>
  <si>
    <t>300:58860</t>
  </si>
  <si>
    <t>300:58525</t>
  </si>
  <si>
    <t>300:58995</t>
  </si>
  <si>
    <t>300:58675</t>
  </si>
  <si>
    <t>300:58617</t>
  </si>
  <si>
    <t>204:745</t>
  </si>
  <si>
    <t>204:967</t>
  </si>
  <si>
    <t>300:58980</t>
  </si>
  <si>
    <t>204:668</t>
  </si>
  <si>
    <t>204:1035</t>
  </si>
  <si>
    <t>300:58589</t>
  </si>
  <si>
    <t>204:666</t>
  </si>
  <si>
    <t>300:59003</t>
  </si>
  <si>
    <t>204:759</t>
  </si>
  <si>
    <t>300:58918</t>
  </si>
  <si>
    <t>204:699</t>
  </si>
  <si>
    <t>204:1039</t>
  </si>
  <si>
    <t>300:59007</t>
  </si>
  <si>
    <t>300:58679</t>
  </si>
  <si>
    <t>204:962</t>
  </si>
  <si>
    <t>204:986</t>
  </si>
  <si>
    <t>300:58613</t>
  </si>
  <si>
    <t>204:671</t>
  </si>
  <si>
    <t>204:677</t>
  </si>
  <si>
    <t>204:974</t>
  </si>
  <si>
    <t>300:58664</t>
  </si>
  <si>
    <t>204:710</t>
  </si>
  <si>
    <t>300:58978</t>
  </si>
  <si>
    <t>204:1002</t>
  </si>
  <si>
    <t>300:59009</t>
  </si>
  <si>
    <t>300:28563</t>
  </si>
  <si>
    <t>300:28827</t>
  </si>
  <si>
    <t>300:28566</t>
  </si>
  <si>
    <t>300:22344</t>
  </si>
  <si>
    <t>300:22681</t>
  </si>
  <si>
    <t>300:58688</t>
  </si>
  <si>
    <t>300:28793</t>
  </si>
  <si>
    <t>300:58691</t>
  </si>
  <si>
    <t>300:21769</t>
  </si>
  <si>
    <t>ML-2241 link failure</t>
  </si>
  <si>
    <t>61st 2N premature downgrade</t>
  </si>
  <si>
    <t>CP Pena went offline</t>
  </si>
  <si>
    <t>40th 4S was STOP, cleared after a minute</t>
  </si>
  <si>
    <t>61st 2N was STOP, cleared a minute later</t>
  </si>
  <si>
    <t>EC1981RH 197-1T 1S was STOP</t>
  </si>
  <si>
    <t>Premature downgrade at EC2108RH 218-2T 2S</t>
  </si>
  <si>
    <t>Premature downgrade at NW0109XH (BNSF FUEL CROSSING) 14-2T 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</si>
</sst>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9" fontId="0" fillId="2" borderId="11" xfId="0" applyFill="1" applyBorder="1" applyAlignment="1">
      <alignment vertical="center" wrapText="1"/>
    </xf>
    <xf numFmtId="169" fontId="0" fillId="0" borderId="14" xfId="0" applyBorder="1" applyAlignment="1">
      <alignment vertical="center" wrapText="1"/>
    </xf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0" fillId="2" borderId="12" xfId="0" applyFill="1" applyBorder="1" applyAlignment="1">
      <alignment horizontal="left" vertical="center" wrapText="1"/>
    </xf>
    <xf numFmtId="169" fontId="0" fillId="0" borderId="15" xfId="0" applyBorder="1" applyAlignment="1">
      <alignment horizontal="left" vertical="center" wrapText="1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1" fontId="0" fillId="0" borderId="5" xfId="0" applyNumberFormat="1" applyBorder="1" applyAlignment="1">
      <alignment horizontal="left"/>
    </xf>
    <xf numFmtId="169" fontId="0" fillId="0" borderId="5" xfId="0" applyBorder="1" applyAlignment="1">
      <alignment horizontal="left"/>
    </xf>
    <xf numFmtId="167" fontId="0" fillId="0" borderId="5" xfId="0" applyNumberFormat="1" applyBorder="1" applyAlignment="1">
      <alignment horizontal="left"/>
    </xf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2" borderId="13" xfId="0" applyNumberFormat="1" applyFill="1" applyBorder="1"/>
    <xf numFmtId="0" fontId="0" fillId="0" borderId="16" xfId="0" applyNumberFormat="1" applyBorder="1"/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" fontId="0" fillId="0" borderId="5" xfId="0" quotePrefix="1" applyNumberFormat="1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45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217"/>
  <sheetViews>
    <sheetView tabSelected="1" topLeftCell="A16" zoomScaleNormal="100" workbookViewId="0">
      <selection activeCell="R20" sqref="R20:R48"/>
    </sheetView>
  </sheetViews>
  <sheetFormatPr defaultRowHeight="15" x14ac:dyDescent="0.25"/>
  <cols>
    <col min="1" max="1" width="8" style="44" customWidth="1"/>
    <col min="2" max="2" width="6.140625" style="46" customWidth="1"/>
    <col min="3" max="3" width="13.5703125" style="31" hidden="1" customWidth="1"/>
    <col min="4" max="4" width="16.140625" style="31" hidden="1" customWidth="1"/>
    <col min="5" max="5" width="19.5703125" style="43" hidden="1" customWidth="1"/>
    <col min="6" max="6" width="18.28515625" style="43" customWidth="1"/>
    <col min="7" max="7" width="4.85546875" style="46" hidden="1" customWidth="1"/>
    <col min="8" max="8" width="22.140625" style="43" hidden="1" customWidth="1"/>
    <col min="9" max="9" width="18.5703125" style="43" customWidth="1"/>
    <col min="10" max="10" width="7.28515625" style="46" customWidth="1"/>
    <col min="11" max="11" width="10.42578125" style="31" customWidth="1"/>
    <col min="12" max="12" width="13.28515625" style="31" customWidth="1"/>
    <col min="13" max="13" width="9.5703125" style="45" customWidth="1"/>
    <col min="14" max="14" width="4.7109375" style="46" customWidth="1"/>
    <col min="15" max="15" width="4.7109375" style="2" customWidth="1"/>
    <col min="16" max="16" width="4" style="2" customWidth="1"/>
    <col min="17" max="17" width="5.85546875" hidden="1" customWidth="1"/>
    <col min="18" max="18" width="47" customWidth="1"/>
    <col min="19" max="19" width="7.7109375" style="24" customWidth="1"/>
    <col min="20" max="20" width="3.85546875" customWidth="1"/>
    <col min="21" max="21" width="5" style="130" customWidth="1"/>
    <col min="22" max="22" width="5.7109375" style="113" customWidth="1"/>
    <col min="23" max="23" width="3.85546875" style="23" customWidth="1"/>
    <col min="24" max="24" width="5.28515625" style="134" customWidth="1"/>
    <col min="25" max="25" width="9.140625" style="70"/>
    <col min="26" max="26" width="7.28515625" style="70" customWidth="1"/>
    <col min="27" max="27" width="9.140625" style="70"/>
    <col min="28" max="28" width="10.7109375" style="67" hidden="1" customWidth="1"/>
    <col min="29" max="29" width="9.42578125" style="61" hidden="1" customWidth="1"/>
    <col min="30" max="30" width="7.85546875" style="62" customWidth="1"/>
    <col min="31" max="31" width="4.5703125" style="106" customWidth="1"/>
    <col min="32" max="32" width="6.28515625" style="103" customWidth="1"/>
    <col min="33" max="33" width="5.42578125" customWidth="1"/>
    <col min="34" max="34" width="5" style="109" customWidth="1"/>
  </cols>
  <sheetData>
    <row r="1" spans="1:91" s="24" customFormat="1" ht="15.75" thickBot="1" x14ac:dyDescent="0.3">
      <c r="A1" s="44"/>
      <c r="B1" s="46"/>
      <c r="C1" s="31"/>
      <c r="D1" s="31"/>
      <c r="E1" s="43"/>
      <c r="F1" s="43"/>
      <c r="G1" s="46"/>
      <c r="H1" s="43"/>
      <c r="I1" s="43" t="s">
        <v>159</v>
      </c>
      <c r="J1" s="46"/>
      <c r="K1" s="31"/>
      <c r="L1" s="31"/>
      <c r="M1" s="45"/>
      <c r="N1" s="46"/>
      <c r="O1" s="2"/>
      <c r="P1" s="2"/>
      <c r="R1" s="43" t="s">
        <v>160</v>
      </c>
      <c r="S1" s="46"/>
      <c r="T1" s="31"/>
      <c r="U1" s="137"/>
      <c r="V1" s="45"/>
      <c r="W1" s="46"/>
      <c r="X1" s="130"/>
      <c r="Y1" s="70"/>
      <c r="Z1" s="70"/>
      <c r="AA1" s="70"/>
      <c r="AB1" s="67"/>
      <c r="AC1" s="61"/>
      <c r="AD1" s="62"/>
      <c r="AE1" s="1"/>
      <c r="AF1" s="1"/>
      <c r="AG1" s="1"/>
      <c r="AH1" s="58"/>
    </row>
    <row r="2" spans="1:91" s="24" customFormat="1" ht="15.75" thickBot="1" x14ac:dyDescent="0.3">
      <c r="A2" s="44"/>
      <c r="B2" s="46"/>
      <c r="C2" s="31"/>
      <c r="D2" s="31"/>
      <c r="E2" s="43"/>
      <c r="F2" s="43"/>
      <c r="G2" s="46"/>
      <c r="H2" s="43"/>
      <c r="I2" s="87">
        <f>Variables!$A$2</f>
        <v>42588</v>
      </c>
      <c r="J2" s="88"/>
      <c r="K2" s="89"/>
      <c r="L2" s="89"/>
      <c r="M2" s="90" t="s">
        <v>8</v>
      </c>
      <c r="N2" s="91"/>
      <c r="O2" s="92"/>
      <c r="P2" s="2"/>
      <c r="R2" s="87">
        <f>Variables!$A$2</f>
        <v>42588</v>
      </c>
      <c r="S2" s="88"/>
      <c r="T2" s="89"/>
      <c r="U2" s="138"/>
      <c r="V2" s="111" t="s">
        <v>8</v>
      </c>
      <c r="W2" s="91"/>
      <c r="X2" s="131"/>
      <c r="Y2" s="70"/>
      <c r="Z2" s="70"/>
      <c r="AA2" s="70"/>
      <c r="AB2" s="67"/>
      <c r="AC2" s="61"/>
      <c r="AD2" s="62"/>
      <c r="AE2" s="1"/>
      <c r="AF2" s="1"/>
      <c r="AG2" s="1"/>
      <c r="AH2" s="58"/>
    </row>
    <row r="3" spans="1:91" s="24" customFormat="1" ht="15.75" thickBot="1" x14ac:dyDescent="0.3">
      <c r="A3" s="44"/>
      <c r="B3" s="46"/>
      <c r="C3" s="31"/>
      <c r="D3" s="31"/>
      <c r="E3" s="43"/>
      <c r="F3" s="43"/>
      <c r="G3" s="46"/>
      <c r="H3" s="43"/>
      <c r="I3" s="93" t="s">
        <v>10</v>
      </c>
      <c r="J3" s="94"/>
      <c r="K3" s="95"/>
      <c r="L3" s="95"/>
      <c r="M3" s="47" t="s">
        <v>11</v>
      </c>
      <c r="N3" s="48" t="s">
        <v>12</v>
      </c>
      <c r="O3" s="3" t="s">
        <v>13</v>
      </c>
      <c r="P3" s="2"/>
      <c r="R3" s="93" t="s">
        <v>10</v>
      </c>
      <c r="S3" s="94"/>
      <c r="T3" s="95"/>
      <c r="U3" s="139"/>
      <c r="V3" s="47" t="s">
        <v>11</v>
      </c>
      <c r="W3" s="48" t="s">
        <v>12</v>
      </c>
      <c r="X3" s="132" t="s">
        <v>13</v>
      </c>
      <c r="Y3" s="70"/>
      <c r="Z3" s="70"/>
      <c r="AA3" s="70"/>
      <c r="AB3" s="67"/>
      <c r="AC3" s="61"/>
      <c r="AD3" s="62"/>
      <c r="AE3" s="1"/>
      <c r="AF3" s="1"/>
      <c r="AG3" s="1"/>
      <c r="AH3" s="58"/>
    </row>
    <row r="4" spans="1:91" s="24" customFormat="1" ht="15.75" thickBot="1" x14ac:dyDescent="0.3">
      <c r="A4" s="44"/>
      <c r="B4" s="46"/>
      <c r="C4" s="31"/>
      <c r="D4" s="31"/>
      <c r="E4" s="43"/>
      <c r="F4" s="43"/>
      <c r="G4" s="46"/>
      <c r="H4" s="43"/>
      <c r="I4" s="96" t="s">
        <v>14</v>
      </c>
      <c r="J4" s="60">
        <f>SUM(J5:J7)</f>
        <v>144</v>
      </c>
      <c r="K4" s="49"/>
      <c r="L4" s="49"/>
      <c r="M4" s="50" t="s">
        <v>15</v>
      </c>
      <c r="N4" s="48" t="s">
        <v>15</v>
      </c>
      <c r="O4" s="3" t="s">
        <v>15</v>
      </c>
      <c r="P4" s="2"/>
      <c r="R4" s="96" t="s">
        <v>14</v>
      </c>
      <c r="S4" s="60">
        <f>SUM(S5:S7)</f>
        <v>47</v>
      </c>
      <c r="T4" s="49"/>
      <c r="U4" s="140"/>
      <c r="V4" s="50" t="s">
        <v>15</v>
      </c>
      <c r="W4" s="48" t="s">
        <v>15</v>
      </c>
      <c r="X4" s="132" t="s">
        <v>15</v>
      </c>
      <c r="Y4" s="70"/>
      <c r="Z4" s="70"/>
      <c r="AA4" s="70"/>
      <c r="AB4" s="67"/>
      <c r="AC4" s="61"/>
      <c r="AD4" s="62"/>
      <c r="AE4" s="1"/>
      <c r="AF4" s="1"/>
      <c r="AG4" s="1"/>
      <c r="AH4" s="58"/>
    </row>
    <row r="5" spans="1:91" s="24" customFormat="1" ht="15.75" thickBot="1" x14ac:dyDescent="0.3">
      <c r="A5" s="44"/>
      <c r="B5" s="46"/>
      <c r="C5" s="31"/>
      <c r="D5" s="31"/>
      <c r="E5" s="43"/>
      <c r="F5" s="43"/>
      <c r="G5" s="46"/>
      <c r="H5" s="43"/>
      <c r="I5" s="96" t="s">
        <v>17</v>
      </c>
      <c r="J5" s="60">
        <f>COUNTIFS($N$13:$N$9712,"&gt;0",$AG$13:$AG$9712,I1)</f>
        <v>132</v>
      </c>
      <c r="K5" s="49"/>
      <c r="L5" s="49"/>
      <c r="M5" s="50">
        <f>AVERAGEIFS($N$13:$N$9712,$AG$13:$AG$9712,I1)</f>
        <v>45.286237373418935</v>
      </c>
      <c r="N5" s="48">
        <f t="array" ref="N5">MIN(IF($AG$13:$AG$9712=I1,IF(ISNUMBER($N$13:$N$9712),IF($N$13:$N$9712&gt;0,$N$13:$N$9712))))</f>
        <v>36.033333332743496</v>
      </c>
      <c r="O5" s="3">
        <f t="array" ref="O5">MAX(IF($AG$13:$AG$9712=I1,IF(ISNUMBER($N$13:$N$9712),IF($N$13:$N$9712&gt;0,$N$13:$N$9712))))</f>
        <v>62.549999995389953</v>
      </c>
      <c r="P5" s="2"/>
      <c r="R5" s="96" t="s">
        <v>17</v>
      </c>
      <c r="S5" s="60">
        <f>COUNTIFS($N$13:$N$9712,"&gt;0",$AG$13:$AG$9712,R1)</f>
        <v>46</v>
      </c>
      <c r="T5" s="49"/>
      <c r="U5" s="140"/>
      <c r="V5" s="50">
        <f>AVERAGEIFS($N$13:$N$9712,$AG$13:$AG$9712,R1)</f>
        <v>21.10289855007305</v>
      </c>
      <c r="W5" s="48">
        <f t="array" ref="W5">MIN(IF($AG$13:$AG$9712=R1,IF(ISNUMBER($N$13:$N$9712),IF($N$13:$N$9712&gt;0,$N$13:$N$9712))))</f>
        <v>14.383333342848346</v>
      </c>
      <c r="X5" s="132">
        <f t="array" ref="X5">MAX(IF($AG$13:$AG$9712=R1,IF(ISNUMBER($N$13:$N$9712),IF($N$13:$N$9712&gt;0,$N$13:$N$9712))))</f>
        <v>81.116666664602235</v>
      </c>
      <c r="Y5" s="70"/>
      <c r="Z5" s="70"/>
      <c r="AA5" s="70"/>
      <c r="AB5" s="67"/>
      <c r="AC5" s="61"/>
      <c r="AD5" s="62"/>
      <c r="AE5" s="1"/>
      <c r="AF5" s="1"/>
      <c r="AG5" s="1"/>
      <c r="AH5" s="58"/>
    </row>
    <row r="6" spans="1:91" s="24" customFormat="1" ht="15.75" thickBot="1" x14ac:dyDescent="0.3">
      <c r="A6" s="44"/>
      <c r="B6" s="46"/>
      <c r="C6" s="31"/>
      <c r="D6" s="31"/>
      <c r="E6" s="43"/>
      <c r="F6" s="43"/>
      <c r="G6" s="46"/>
      <c r="H6" s="43"/>
      <c r="I6" s="97" t="s">
        <v>43</v>
      </c>
      <c r="J6" s="60">
        <f>COUNT($O$13:$O$412)</f>
        <v>0</v>
      </c>
      <c r="K6" s="49"/>
      <c r="L6" s="49"/>
      <c r="M6" s="50">
        <f>IFERROR(AVERAGE($O$13:$O$412),0)</f>
        <v>0</v>
      </c>
      <c r="N6" s="48">
        <f>MIN($O$13:$O$412)</f>
        <v>0</v>
      </c>
      <c r="O6" s="3">
        <f>MAX($O$13:$O$412)</f>
        <v>0</v>
      </c>
      <c r="P6" s="2"/>
      <c r="R6" s="97" t="s">
        <v>43</v>
      </c>
      <c r="S6" s="60">
        <f>COUNT($O$13:$O$412)</f>
        <v>0</v>
      </c>
      <c r="T6" s="49"/>
      <c r="U6" s="140"/>
      <c r="V6" s="50">
        <f>IFERROR(AVERAGE($O$13:$O$412),0)</f>
        <v>0</v>
      </c>
      <c r="W6" s="48">
        <f>MIN($O$13:$O$412)</f>
        <v>0</v>
      </c>
      <c r="X6" s="132">
        <f>MAX($O$13:$O$412)</f>
        <v>0</v>
      </c>
      <c r="Y6" s="70"/>
      <c r="Z6" s="70"/>
      <c r="AA6" s="70"/>
      <c r="AB6" s="67"/>
      <c r="AC6" s="61"/>
      <c r="AD6" s="62"/>
      <c r="AE6" s="1"/>
      <c r="AF6" s="1"/>
      <c r="AG6" s="1"/>
      <c r="AH6" s="58"/>
    </row>
    <row r="7" spans="1:91" s="24" customFormat="1" ht="15.75" thickBot="1" x14ac:dyDescent="0.3">
      <c r="A7" s="44"/>
      <c r="B7" s="46"/>
      <c r="C7" s="31"/>
      <c r="D7" s="31"/>
      <c r="E7" s="43"/>
      <c r="F7" s="43"/>
      <c r="G7" s="46"/>
      <c r="H7" s="43"/>
      <c r="I7" s="98" t="s">
        <v>9</v>
      </c>
      <c r="J7" s="60">
        <f>COUNTIFS($P$13:$P$9712,"&gt;0",$AG$13:$AG$9712,I1)</f>
        <v>12</v>
      </c>
      <c r="K7" s="49"/>
      <c r="L7" s="49"/>
      <c r="M7" s="48" t="s">
        <v>15</v>
      </c>
      <c r="N7" s="48" t="s">
        <v>15</v>
      </c>
      <c r="O7" s="3" t="s">
        <v>15</v>
      </c>
      <c r="P7" s="2"/>
      <c r="R7" s="98" t="s">
        <v>9</v>
      </c>
      <c r="S7" s="60">
        <f>COUNTIFS($P$13:$P$9712,"&gt;0",$AG$13:$AG$9712,R1)</f>
        <v>1</v>
      </c>
      <c r="T7" s="49"/>
      <c r="U7" s="140"/>
      <c r="V7" s="50" t="s">
        <v>15</v>
      </c>
      <c r="W7" s="48" t="s">
        <v>15</v>
      </c>
      <c r="X7" s="132" t="s">
        <v>15</v>
      </c>
      <c r="Y7" s="70"/>
      <c r="Z7" s="70"/>
      <c r="AA7" s="70"/>
      <c r="AB7" s="67"/>
      <c r="AC7" s="61"/>
      <c r="AD7" s="62"/>
      <c r="AE7" s="1"/>
      <c r="AF7" s="1"/>
      <c r="AG7" s="1"/>
      <c r="AH7" s="58"/>
    </row>
    <row r="8" spans="1:91" s="24" customFormat="1" ht="15.75" thickBot="1" x14ac:dyDescent="0.3">
      <c r="A8" s="44"/>
      <c r="B8" s="46"/>
      <c r="C8" s="31"/>
      <c r="D8" s="31"/>
      <c r="E8" s="43"/>
      <c r="F8" s="43"/>
      <c r="G8" s="46"/>
      <c r="H8" s="43"/>
      <c r="I8" s="96" t="s">
        <v>16</v>
      </c>
      <c r="J8" s="60">
        <f>J5</f>
        <v>132</v>
      </c>
      <c r="K8" s="49"/>
      <c r="L8" s="49"/>
      <c r="M8" s="50">
        <f>M5</f>
        <v>45.286237373418935</v>
      </c>
      <c r="N8" s="48">
        <f>N5</f>
        <v>36.033333332743496</v>
      </c>
      <c r="O8" s="3">
        <f>O5</f>
        <v>62.549999995389953</v>
      </c>
      <c r="P8" s="2"/>
      <c r="R8" s="96" t="s">
        <v>16</v>
      </c>
      <c r="S8" s="60">
        <f>S5</f>
        <v>46</v>
      </c>
      <c r="T8" s="49"/>
      <c r="U8" s="140"/>
      <c r="V8" s="50">
        <f>V5</f>
        <v>21.10289855007305</v>
      </c>
      <c r="W8" s="48">
        <f>W5</f>
        <v>14.383333342848346</v>
      </c>
      <c r="X8" s="132">
        <f>X5</f>
        <v>81.116666664602235</v>
      </c>
      <c r="Y8" s="70"/>
      <c r="Z8" s="70"/>
      <c r="AA8" s="70"/>
      <c r="AB8" s="67"/>
      <c r="AC8" s="61"/>
      <c r="AD8" s="62"/>
      <c r="AE8" s="1"/>
      <c r="AF8" s="1"/>
      <c r="AG8" s="1"/>
      <c r="AH8" s="58"/>
    </row>
    <row r="9" spans="1:91" s="24" customFormat="1" ht="15.75" thickBot="1" x14ac:dyDescent="0.3">
      <c r="A9" s="44"/>
      <c r="B9" s="46"/>
      <c r="C9" s="31"/>
      <c r="D9" s="31"/>
      <c r="E9" s="43"/>
      <c r="F9" s="43"/>
      <c r="G9" s="46"/>
      <c r="H9" s="43"/>
      <c r="I9" s="96" t="s">
        <v>19</v>
      </c>
      <c r="J9" s="74">
        <f>J8/J4</f>
        <v>0.91666666666666663</v>
      </c>
      <c r="K9" s="51"/>
      <c r="L9" s="51"/>
      <c r="M9" s="99"/>
      <c r="N9" s="46"/>
      <c r="O9" s="100"/>
      <c r="P9" s="2"/>
      <c r="R9" s="96" t="s">
        <v>19</v>
      </c>
      <c r="S9" s="74">
        <f>S8/S4</f>
        <v>0.97872340425531912</v>
      </c>
      <c r="T9" s="51"/>
      <c r="U9" s="137"/>
      <c r="V9" s="99"/>
      <c r="W9" s="46"/>
      <c r="X9" s="133"/>
      <c r="Y9" s="70"/>
      <c r="Z9" s="70"/>
      <c r="AA9" s="70"/>
      <c r="AB9" s="67"/>
      <c r="AC9" s="61"/>
      <c r="AD9" s="62"/>
      <c r="AE9" s="1"/>
      <c r="AF9" s="1"/>
      <c r="AG9" s="1"/>
      <c r="AH9" s="58"/>
    </row>
    <row r="10" spans="1:91" s="24" customFormat="1" x14ac:dyDescent="0.25">
      <c r="A10" s="44"/>
      <c r="B10" s="46"/>
      <c r="C10" s="31"/>
      <c r="D10" s="31"/>
      <c r="E10" s="43"/>
      <c r="F10" s="43"/>
      <c r="G10" s="46"/>
      <c r="H10" s="43"/>
      <c r="I10" s="43"/>
      <c r="J10" s="46"/>
      <c r="K10" s="31"/>
      <c r="L10" s="31"/>
      <c r="M10" s="45"/>
      <c r="N10" s="46"/>
      <c r="O10" s="2"/>
      <c r="P10" s="2"/>
      <c r="U10" s="130"/>
      <c r="V10" s="112"/>
      <c r="W10" s="23"/>
      <c r="X10" s="134"/>
      <c r="Y10" s="70"/>
      <c r="Z10" s="70"/>
      <c r="AA10" s="70"/>
      <c r="AB10" s="67"/>
      <c r="AC10" s="61"/>
      <c r="AD10" s="62"/>
      <c r="AE10" s="1"/>
      <c r="AF10" s="1"/>
      <c r="AG10" s="1"/>
      <c r="AH10" s="58"/>
    </row>
    <row r="11" spans="1:91" ht="16.5" thickBot="1" x14ac:dyDescent="0.3">
      <c r="A11" s="152" t="str">
        <f>"Eagle P3 System Performance - "&amp;TEXT(Variables!A2,"yyyy-mm-dd")</f>
        <v>Eagle P3 System Performance - 2016-08-06</v>
      </c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S11" s="80">
        <f>AVERAGE(S13:S112)</f>
        <v>0.98979591836734693</v>
      </c>
      <c r="V11" s="112"/>
      <c r="AE11" s="1"/>
      <c r="AF11" s="1"/>
      <c r="AG11" s="1"/>
      <c r="AH11" s="58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102" t="s">
        <v>62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77</v>
      </c>
      <c r="T12" s="59" t="s">
        <v>78</v>
      </c>
      <c r="U12" s="141" t="s">
        <v>79</v>
      </c>
      <c r="V12" s="114" t="s">
        <v>45</v>
      </c>
      <c r="W12" s="56" t="s">
        <v>23</v>
      </c>
      <c r="X12" s="135" t="s">
        <v>48</v>
      </c>
      <c r="Y12" s="71" t="s">
        <v>20</v>
      </c>
      <c r="Z12" s="71" t="s">
        <v>21</v>
      </c>
      <c r="AA12" s="71" t="s">
        <v>22</v>
      </c>
      <c r="AB12" s="68" t="s">
        <v>39</v>
      </c>
      <c r="AC12" s="64" t="s">
        <v>40</v>
      </c>
      <c r="AD12" s="63" t="s">
        <v>110</v>
      </c>
      <c r="AE12" s="107" t="s">
        <v>118</v>
      </c>
      <c r="AF12" s="104" t="s">
        <v>123</v>
      </c>
      <c r="AG12" s="4" t="s">
        <v>161</v>
      </c>
      <c r="AH12" s="110" t="s">
        <v>176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2" t="s">
        <v>280</v>
      </c>
      <c r="B13" s="7">
        <v>4029</v>
      </c>
      <c r="C13" s="25" t="s">
        <v>141</v>
      </c>
      <c r="D13" s="25" t="s">
        <v>495</v>
      </c>
      <c r="E13" s="16">
        <v>42590.127210648148</v>
      </c>
      <c r="F13" s="16">
        <v>42590.12908564815</v>
      </c>
      <c r="G13" s="7">
        <v>2</v>
      </c>
      <c r="H13" s="16" t="s">
        <v>496</v>
      </c>
      <c r="I13" s="16">
        <v>42590.163090277776</v>
      </c>
      <c r="J13" s="7">
        <v>2</v>
      </c>
      <c r="K13" s="25" t="str">
        <f t="shared" ref="K13:K76" si="0">IF(ISEVEN(B13),(B13-1)&amp;"/"&amp;B13,B13&amp;"/"&amp;(B13+1))</f>
        <v>4029/4030</v>
      </c>
      <c r="L13" s="25" t="str">
        <f>VLOOKUP(A13,'Trips&amp;Operators'!$C$1:$E$10000,3,FALSE)</f>
        <v>OUN</v>
      </c>
      <c r="M13" s="6">
        <f t="shared" ref="M13:M76" si="1">I13-F13</f>
        <v>3.400462962599704E-2</v>
      </c>
      <c r="N13" s="7">
        <f t="shared" ref="N13:N20" si="2">24*60*SUM($M13:$M13)</f>
        <v>48.966666661435738</v>
      </c>
      <c r="O13" s="7"/>
      <c r="P13" s="7"/>
      <c r="Q13" s="26"/>
      <c r="R13" s="26"/>
      <c r="S13" s="38">
        <f t="shared" ref="S13:S21" si="3">SUM(U13:U13)/IF(AG13="EC",12,1)</f>
        <v>1</v>
      </c>
      <c r="T13" s="55" t="str">
        <f t="shared" ref="T13:T76" si="4">IF(ISEVEN(LEFT(AD13,4)),"Southbound","NorthBound")</f>
        <v>NorthBound</v>
      </c>
      <c r="U13" s="14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5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https://search-rtdc-monitor-bjffxe2xuh6vdkpspy63sjmuny.us-east-1.es.amazonaws.com/_plugin/kibana/#/discover/Steve-Slow-Train-Analysis-(2080s-and-2083s)?_g=(refreshInterval:(display:Off,section:0,value:0),time:(from:'2016-08-08 02:03:11-0600',mode:absolute,to:'2016-08-08 04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3" s="57" t="str">
        <f t="shared" ref="W13:W76" si="6">IF(AA13&lt;IF(AG13="EC",23,5.65),"Y","N")</f>
        <v>N</v>
      </c>
      <c r="X13" s="136" t="e">
        <f t="shared" ref="X13:X22" si="7">VALUE(LEFT(AD13,4))-VALUE(LEFT(AD12,4))</f>
        <v>#VALUE!</v>
      </c>
      <c r="Y13" s="72">
        <f t="shared" ref="Y13:Y44" si="8">RIGHT(D13,LEN(D13)-4)/10000</f>
        <v>7.5399999999999995E-2</v>
      </c>
      <c r="Z13" s="72">
        <f t="shared" ref="Z13:Z44" si="9">RIGHT(H13,LEN(H13)-4)/10000</f>
        <v>23.320699999999999</v>
      </c>
      <c r="AA13" s="72">
        <f t="shared" ref="AA13:AA76" si="10">ABS(Z13-Y13)</f>
        <v>23.2453</v>
      </c>
      <c r="AB13" s="69" t="e">
        <f>VLOOKUP(A13,Enforcements!$C$7:$J$24,8,0)</f>
        <v>#N/A</v>
      </c>
      <c r="AC13" s="65" t="e">
        <f>VLOOKUP(A13,Enforcements!$C$7:$E$24,3,0)</f>
        <v>#N/A</v>
      </c>
      <c r="AD13" s="66" t="str">
        <f t="shared" ref="AD13:AD76" si="11">IF(LEN(A13)=6,"0"&amp;A13,A13)</f>
        <v>0101-08</v>
      </c>
      <c r="AE13" s="108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13" s="105" t="str">
        <f t="shared" ref="AF13:AF76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/stypes="*4029*20160808*" /stext=" 09:.+((SYSTEM_STATE.+slice.+state.+changed )|(ment ac)|(system.+state.+changed )|(\|lc)|(penalty)|(\[timeout)|(PRM\|1\|D)|(kpr)|(kdp))" /e /r /s</v>
      </c>
      <c r="AG13" s="1" t="str">
        <f t="shared" ref="AG13:AG76" si="14">IF(VALUE(LEFT(AD13,2))&lt;=2,"EC",IF(OR(VALUE(LEFT(AD13,2))=8,VALUE(LEFT(AD13,2))=18),"NW","Other"))</f>
        <v>EC</v>
      </c>
      <c r="AH13" s="109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101-08 --locoid 4029 --swversion DE.1.0.7.0 --startMP 204:754 --initTime 2016-08-08T03:03:11 --startdatetime 2016-08-08T03:05:53 --delay 2 --endMP 204:233207 --enddatetime 2016-08-08T03:54:51 --enforcementcount 2</v>
      </c>
    </row>
    <row r="14" spans="1:91" s="1" customFormat="1" x14ac:dyDescent="0.25">
      <c r="A14" s="42" t="s">
        <v>337</v>
      </c>
      <c r="B14" s="7">
        <v>4012</v>
      </c>
      <c r="C14" s="25" t="s">
        <v>141</v>
      </c>
      <c r="D14" s="25" t="s">
        <v>497</v>
      </c>
      <c r="E14" s="16">
        <v>42590.16914351852</v>
      </c>
      <c r="F14" s="16">
        <v>42590.17050925926</v>
      </c>
      <c r="G14" s="7">
        <v>1</v>
      </c>
      <c r="H14" s="16" t="s">
        <v>498</v>
      </c>
      <c r="I14" s="16">
        <v>42590.202893518515</v>
      </c>
      <c r="J14" s="7">
        <v>0</v>
      </c>
      <c r="K14" s="25" t="str">
        <f t="shared" si="0"/>
        <v>4011/4012</v>
      </c>
      <c r="L14" s="25" t="str">
        <f>VLOOKUP(A14,'Trips&amp;Operators'!$C$1:$E$10000,3,FALSE)</f>
        <v>OUN</v>
      </c>
      <c r="M14" s="6">
        <f t="shared" si="1"/>
        <v>3.2384259255195502E-2</v>
      </c>
      <c r="N14" s="7">
        <f t="shared" si="2"/>
        <v>46.633333327481523</v>
      </c>
      <c r="O14" s="7"/>
      <c r="P14" s="7"/>
      <c r="Q14" s="26"/>
      <c r="R14" s="26"/>
      <c r="S14" s="38">
        <f t="shared" si="3"/>
        <v>1</v>
      </c>
      <c r="T14" s="55" t="str">
        <f t="shared" si="4"/>
        <v>Southbound</v>
      </c>
      <c r="U14" s="14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03:03:34-0600',mode:absolute,to:'2016-08-08 05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4" s="57" t="str">
        <f t="shared" si="6"/>
        <v>N</v>
      </c>
      <c r="X14" s="136">
        <f t="shared" si="7"/>
        <v>1</v>
      </c>
      <c r="Y14" s="72">
        <f t="shared" si="8"/>
        <v>23.2575</v>
      </c>
      <c r="Z14" s="72">
        <f t="shared" si="9"/>
        <v>1.0999999999999999E-2</v>
      </c>
      <c r="AA14" s="72">
        <f t="shared" si="10"/>
        <v>23.246500000000001</v>
      </c>
      <c r="AB14" s="69" t="e">
        <f>VLOOKUP(A14,Enforcements!$C$7:$J$24,8,0)</f>
        <v>#N/A</v>
      </c>
      <c r="AC14" s="65" t="e">
        <f>VLOOKUP(A14,Enforcements!$C$7:$E$24,3,0)</f>
        <v>#N/A</v>
      </c>
      <c r="AD14" s="66" t="str">
        <f t="shared" si="11"/>
        <v>0102-08</v>
      </c>
      <c r="AE14" s="108" t="str">
        <f t="shared" si="12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14" s="105" t="str">
        <f t="shared" si="13"/>
        <v>"C:\Program Files (x86)\AstroGrep\AstroGrep.exe" /spath="%USERPROFILE%\AppData\Local\Temp\OnboardLogs" /stypes="*4012*20160808*"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9" t="str">
        <f t="shared" ref="AH14:AH78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102-08 --locoid 4012 --swversion DE.1.0.7.0 --startMP 204:232575 --initTime 2016-08-08T04:03:34 --startdatetime 2016-08-08T04:05:32 --delay 1 --endMP 204:110 --enddatetime 2016-08-08T04:52:10 --enforcementcount 0</v>
      </c>
    </row>
    <row r="15" spans="1:91" s="1" customFormat="1" x14ac:dyDescent="0.25">
      <c r="A15" s="42" t="s">
        <v>333</v>
      </c>
      <c r="B15" s="7">
        <v>4007</v>
      </c>
      <c r="C15" s="25" t="s">
        <v>141</v>
      </c>
      <c r="D15" s="25" t="s">
        <v>499</v>
      </c>
      <c r="E15" s="16">
        <v>42590.150995370372</v>
      </c>
      <c r="F15" s="16">
        <v>42590.152916666666</v>
      </c>
      <c r="G15" s="7">
        <v>2</v>
      </c>
      <c r="H15" s="16" t="s">
        <v>500</v>
      </c>
      <c r="I15" s="16">
        <v>42590.181932870371</v>
      </c>
      <c r="J15" s="7">
        <v>0</v>
      </c>
      <c r="K15" s="25" t="str">
        <f t="shared" si="0"/>
        <v>4007/4008</v>
      </c>
      <c r="L15" s="25" t="str">
        <f>VLOOKUP(A15,'Trips&amp;Operators'!$C$1:$E$10000,3,FALSE)</f>
        <v>STURGEON</v>
      </c>
      <c r="M15" s="6">
        <f t="shared" si="1"/>
        <v>2.9016203705396038E-2</v>
      </c>
      <c r="N15" s="7">
        <f t="shared" si="2"/>
        <v>41.783333335770294</v>
      </c>
      <c r="O15" s="7"/>
      <c r="P15" s="7"/>
      <c r="Q15" s="26"/>
      <c r="R15" s="26"/>
      <c r="S15" s="38">
        <f t="shared" si="3"/>
        <v>1</v>
      </c>
      <c r="T15" s="55" t="str">
        <f t="shared" si="4"/>
        <v>NorthBound</v>
      </c>
      <c r="U15" s="14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02:37:26-0600',mode:absolute,to:'2016-08-08 05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5" s="57" t="str">
        <f t="shared" si="6"/>
        <v>N</v>
      </c>
      <c r="X15" s="136">
        <f t="shared" si="7"/>
        <v>1</v>
      </c>
      <c r="Y15" s="72">
        <f t="shared" si="8"/>
        <v>7.4800000000000005E-2</v>
      </c>
      <c r="Z15" s="72">
        <f t="shared" si="9"/>
        <v>23.3264</v>
      </c>
      <c r="AA15" s="72">
        <f t="shared" si="10"/>
        <v>23.2516</v>
      </c>
      <c r="AB15" s="69" t="e">
        <f>VLOOKUP(A15,Enforcements!$C$7:$J$24,8,0)</f>
        <v>#N/A</v>
      </c>
      <c r="AC15" s="65" t="e">
        <f>VLOOKUP(A15,Enforcements!$C$7:$E$24,3,0)</f>
        <v>#N/A</v>
      </c>
      <c r="AD15" s="66" t="str">
        <f t="shared" si="11"/>
        <v>0103-08</v>
      </c>
      <c r="AE15" s="108" t="str">
        <f t="shared" si="12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15" s="105" t="str">
        <f t="shared" si="13"/>
        <v>"C:\Program Files (x86)\AstroGrep\AstroGrep.exe" /spath="%USERPROFILE%\AppData\Local\Temp\OnboardLogs" /stypes="*4007*20160808*"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9" t="str">
        <f t="shared" si="16"/>
        <v>"%USERPROFILE%\Documents\GitHub\eaglep3\Utilities\RefineRTDCRunTimes.py" --tripid 103-08 --locoid 4007 --swversion DE.1.0.7.0 --startMP 204:748 --initTime 2016-08-08T03:37:26 --startdatetime 2016-08-08T03:40:12 --delay 2 --endMP 204:233264 --enddatetime 2016-08-08T04:21:59 --enforcementcount 0</v>
      </c>
    </row>
    <row r="16" spans="1:91" s="1" customFormat="1" x14ac:dyDescent="0.25">
      <c r="A16" s="42" t="s">
        <v>338</v>
      </c>
      <c r="B16" s="7">
        <v>4013</v>
      </c>
      <c r="C16" s="25" t="s">
        <v>141</v>
      </c>
      <c r="D16" s="25" t="s">
        <v>501</v>
      </c>
      <c r="E16" s="16">
        <v>42590.185763888891</v>
      </c>
      <c r="F16" s="16">
        <v>42590.18787037037</v>
      </c>
      <c r="G16" s="7">
        <v>3</v>
      </c>
      <c r="H16" s="16" t="s">
        <v>217</v>
      </c>
      <c r="I16" s="16">
        <v>42590.222627314812</v>
      </c>
      <c r="J16" s="7">
        <v>0</v>
      </c>
      <c r="K16" s="25" t="str">
        <f t="shared" si="0"/>
        <v>4013/4014</v>
      </c>
      <c r="L16" s="25" t="str">
        <f>VLOOKUP(A16,'Trips&amp;Operators'!$C$1:$E$10000,3,FALSE)</f>
        <v>STURGEON</v>
      </c>
      <c r="M16" s="6">
        <f t="shared" si="1"/>
        <v>3.4756944442051463E-2</v>
      </c>
      <c r="N16" s="7">
        <f t="shared" si="2"/>
        <v>50.049999996554106</v>
      </c>
      <c r="O16" s="7"/>
      <c r="P16" s="7"/>
      <c r="Q16" s="26"/>
      <c r="R16" s="26"/>
      <c r="S16" s="38">
        <f t="shared" si="3"/>
        <v>1</v>
      </c>
      <c r="T16" s="55" t="str">
        <f t="shared" si="4"/>
        <v>Southbound</v>
      </c>
      <c r="U16" s="14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03:27:30-0600',mode:absolute,to:'2016-08-08 06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6" s="57" t="str">
        <f t="shared" si="6"/>
        <v>N</v>
      </c>
      <c r="X16" s="136">
        <f t="shared" si="7"/>
        <v>1</v>
      </c>
      <c r="Y16" s="72">
        <f t="shared" si="8"/>
        <v>23.2639</v>
      </c>
      <c r="Z16" s="72">
        <f t="shared" si="9"/>
        <v>1.7399999999999999E-2</v>
      </c>
      <c r="AA16" s="72">
        <f t="shared" si="10"/>
        <v>23.246500000000001</v>
      </c>
      <c r="AB16" s="69" t="e">
        <f>VLOOKUP(A16,Enforcements!$C$7:$J$24,8,0)</f>
        <v>#N/A</v>
      </c>
      <c r="AC16" s="65" t="e">
        <f>VLOOKUP(A16,Enforcements!$C$7:$E$24,3,0)</f>
        <v>#N/A</v>
      </c>
      <c r="AD16" s="66" t="str">
        <f t="shared" si="11"/>
        <v>0104-08</v>
      </c>
      <c r="AE16" s="108" t="str">
        <f t="shared" si="12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16" s="105" t="str">
        <f t="shared" si="13"/>
        <v>"C:\Program Files (x86)\AstroGrep\AstroGrep.exe" /spath="%USERPROFILE%\AppData\Local\Temp\OnboardLogs" /stypes="*4013*20160808*"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9" t="str">
        <f t="shared" si="16"/>
        <v>"%USERPROFILE%\Documents\GitHub\eaglep3\Utilities\RefineRTDCRunTimes.py" --tripid 104-08 --locoid 4013 --swversion DE.1.0.7.0 --startMP 204:232639 --initTime 2016-08-08T04:27:30 --startdatetime 2016-08-08T04:30:32 --delay 3 --endMP 204:174 --enddatetime 2016-08-08T05:20:35 --enforcementcount 0</v>
      </c>
    </row>
    <row r="17" spans="1:34" s="1" customFormat="1" x14ac:dyDescent="0.25">
      <c r="A17" s="42" t="s">
        <v>335</v>
      </c>
      <c r="B17" s="7">
        <v>4020</v>
      </c>
      <c r="C17" s="25" t="s">
        <v>141</v>
      </c>
      <c r="D17" s="25" t="s">
        <v>502</v>
      </c>
      <c r="E17" s="16">
        <v>42590.169479166667</v>
      </c>
      <c r="F17" s="16">
        <v>42590.171261574076</v>
      </c>
      <c r="G17" s="7">
        <v>2</v>
      </c>
      <c r="H17" s="16" t="s">
        <v>503</v>
      </c>
      <c r="I17" s="16">
        <v>42590.204305555555</v>
      </c>
      <c r="J17" s="7">
        <v>0</v>
      </c>
      <c r="K17" s="25" t="str">
        <f t="shared" si="0"/>
        <v>4019/4020</v>
      </c>
      <c r="L17" s="25" t="str">
        <f>VLOOKUP(A17,'Trips&amp;Operators'!$C$1:$E$10000,3,FALSE)</f>
        <v>GEBRETEKLE</v>
      </c>
      <c r="M17" s="6">
        <f t="shared" si="1"/>
        <v>3.3043981478840578E-2</v>
      </c>
      <c r="N17" s="7">
        <f t="shared" si="2"/>
        <v>47.583333329530433</v>
      </c>
      <c r="O17" s="7"/>
      <c r="P17" s="7"/>
      <c r="Q17" s="26"/>
      <c r="R17" s="26"/>
      <c r="S17" s="38">
        <f t="shared" si="3"/>
        <v>1</v>
      </c>
      <c r="T17" s="55" t="str">
        <f t="shared" si="4"/>
        <v>NorthBound</v>
      </c>
      <c r="U17" s="14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03:04:03-0600',mode:absolute,to:'2016-08-08 05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7" s="57" t="str">
        <f t="shared" si="6"/>
        <v>N</v>
      </c>
      <c r="X17" s="136">
        <f t="shared" si="7"/>
        <v>1</v>
      </c>
      <c r="Y17" s="72">
        <f t="shared" si="8"/>
        <v>7.2400000000000006E-2</v>
      </c>
      <c r="Z17" s="72">
        <f t="shared" si="9"/>
        <v>23.333600000000001</v>
      </c>
      <c r="AA17" s="72">
        <f t="shared" si="10"/>
        <v>23.261200000000002</v>
      </c>
      <c r="AB17" s="69" t="e">
        <f>VLOOKUP(A17,Enforcements!$C$7:$J$24,8,0)</f>
        <v>#N/A</v>
      </c>
      <c r="AC17" s="65" t="e">
        <f>VLOOKUP(A17,Enforcements!$C$7:$E$24,3,0)</f>
        <v>#N/A</v>
      </c>
      <c r="AD17" s="66" t="str">
        <f t="shared" si="11"/>
        <v>0105-08</v>
      </c>
      <c r="AE17" s="108" t="str">
        <f t="shared" si="12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17" s="105" t="str">
        <f t="shared" si="13"/>
        <v>"C:\Program Files (x86)\AstroGrep\AstroGrep.exe" /spath="%USERPROFILE%\AppData\Local\Temp\OnboardLogs" /stypes="*4020*20160808*"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9" t="str">
        <f t="shared" si="16"/>
        <v>"%USERPROFILE%\Documents\GitHub\eaglep3\Utilities\RefineRTDCRunTimes.py" --tripid 105-08 --locoid 4020 --swversion DE.1.0.7.0 --startMP 204:724 --initTime 2016-08-08T04:04:03 --startdatetime 2016-08-08T04:06:37 --delay 2 --endMP 204:233336 --enddatetime 2016-08-08T04:54:12 --enforcementcount 0</v>
      </c>
    </row>
    <row r="18" spans="1:34" s="1" customFormat="1" x14ac:dyDescent="0.25">
      <c r="A18" s="42" t="s">
        <v>283</v>
      </c>
      <c r="B18" s="7">
        <v>4032</v>
      </c>
      <c r="C18" s="25" t="s">
        <v>141</v>
      </c>
      <c r="D18" s="25" t="s">
        <v>504</v>
      </c>
      <c r="E18" s="16">
        <v>42590.213541666664</v>
      </c>
      <c r="F18" s="16">
        <v>42590.215624999997</v>
      </c>
      <c r="G18" s="7">
        <v>3</v>
      </c>
      <c r="H18" s="16" t="s">
        <v>261</v>
      </c>
      <c r="I18" s="16">
        <v>42590.246145833335</v>
      </c>
      <c r="J18" s="7">
        <v>2</v>
      </c>
      <c r="K18" s="25" t="str">
        <f t="shared" si="0"/>
        <v>4031/4032</v>
      </c>
      <c r="L18" s="25" t="str">
        <f>VLOOKUP(A18,'Trips&amp;Operators'!$C$1:$E$10000,3,FALSE)</f>
        <v>GEBRETEKLE</v>
      </c>
      <c r="M18" s="6">
        <f t="shared" si="1"/>
        <v>3.0520833337504882E-2</v>
      </c>
      <c r="N18" s="7">
        <f t="shared" si="2"/>
        <v>43.950000006007031</v>
      </c>
      <c r="O18" s="7"/>
      <c r="P18" s="7"/>
      <c r="Q18" s="26"/>
      <c r="R18" s="26"/>
      <c r="S18" s="38">
        <f t="shared" si="3"/>
        <v>1</v>
      </c>
      <c r="T18" s="55" t="str">
        <f t="shared" si="4"/>
        <v>Southbound</v>
      </c>
      <c r="U18" s="14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04:07:30-0600',mode:absolute,to:'2016-08-08 06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8" s="57" t="str">
        <f t="shared" si="6"/>
        <v>N</v>
      </c>
      <c r="X18" s="136">
        <f t="shared" si="7"/>
        <v>1</v>
      </c>
      <c r="Y18" s="72">
        <f t="shared" si="8"/>
        <v>23.264199999999999</v>
      </c>
      <c r="Z18" s="72">
        <f t="shared" si="9"/>
        <v>1.78E-2</v>
      </c>
      <c r="AA18" s="72">
        <f t="shared" si="10"/>
        <v>23.246399999999998</v>
      </c>
      <c r="AB18" s="69" t="e">
        <f>VLOOKUP(A18,Enforcements!$C$7:$J$24,8,0)</f>
        <v>#N/A</v>
      </c>
      <c r="AC18" s="65" t="e">
        <f>VLOOKUP(A18,Enforcements!$C$7:$E$24,3,0)</f>
        <v>#N/A</v>
      </c>
      <c r="AD18" s="66" t="str">
        <f t="shared" si="11"/>
        <v>0106-08</v>
      </c>
      <c r="AE18" s="108" t="str">
        <f t="shared" si="1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8" s="105" t="str">
        <f t="shared" si="13"/>
        <v>"C:\Program Files (x86)\AstroGrep\AstroGrep.exe" /spath="%USERPROFILE%\AppData\Local\Temp\OnboardLogs" /stypes="*4032*20160808*"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9" t="str">
        <f t="shared" si="16"/>
        <v>"%USERPROFILE%\Documents\GitHub\eaglep3\Utilities\RefineRTDCRunTimes.py" --tripid 106-08 --locoid 4032 --swversion DE.1.0.7.0 --startMP 204:232642 --initTime 2016-08-08T05:07:30 --startdatetime 2016-08-08T05:10:30 --delay 3 --endMP 204:178 --enddatetime 2016-08-08T05:54:27 --enforcementcount 2</v>
      </c>
    </row>
    <row r="19" spans="1:34" s="1" customFormat="1" x14ac:dyDescent="0.25">
      <c r="A19" s="42" t="s">
        <v>339</v>
      </c>
      <c r="B19" s="7">
        <v>4027</v>
      </c>
      <c r="C19" s="25" t="s">
        <v>141</v>
      </c>
      <c r="D19" s="25" t="s">
        <v>164</v>
      </c>
      <c r="E19" s="16">
        <v>42590.188506944447</v>
      </c>
      <c r="F19" s="16">
        <v>42590.189756944441</v>
      </c>
      <c r="G19" s="7">
        <v>1</v>
      </c>
      <c r="H19" s="16" t="s">
        <v>219</v>
      </c>
      <c r="I19" s="16">
        <v>42590.220682870371</v>
      </c>
      <c r="J19" s="7">
        <v>0</v>
      </c>
      <c r="K19" s="25" t="str">
        <f t="shared" si="0"/>
        <v>4027/4028</v>
      </c>
      <c r="L19" s="25" t="str">
        <f>VLOOKUP(A19,'Trips&amp;Operators'!$C$1:$E$10000,3,FALSE)</f>
        <v>SPECTOR</v>
      </c>
      <c r="M19" s="6">
        <f t="shared" si="1"/>
        <v>3.0925925930205267E-2</v>
      </c>
      <c r="N19" s="7">
        <f t="shared" si="2"/>
        <v>44.533333339495584</v>
      </c>
      <c r="O19" s="7"/>
      <c r="P19" s="7"/>
      <c r="Q19" s="26"/>
      <c r="R19" s="26"/>
      <c r="S19" s="38">
        <f t="shared" si="3"/>
        <v>1</v>
      </c>
      <c r="T19" s="55" t="str">
        <f t="shared" si="4"/>
        <v>NorthBound</v>
      </c>
      <c r="U19" s="14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03:31:27-0600',mode:absolute,to:'2016-08-08 06:17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9" s="57" t="str">
        <f t="shared" si="6"/>
        <v>N</v>
      </c>
      <c r="X19" s="136">
        <f t="shared" si="7"/>
        <v>1</v>
      </c>
      <c r="Y19" s="72">
        <f t="shared" si="8"/>
        <v>4.4699999999999997E-2</v>
      </c>
      <c r="Z19" s="72">
        <f t="shared" si="9"/>
        <v>23.332100000000001</v>
      </c>
      <c r="AA19" s="72">
        <f t="shared" si="10"/>
        <v>23.287400000000002</v>
      </c>
      <c r="AB19" s="69" t="e">
        <f>VLOOKUP(A19,Enforcements!$C$7:$J$24,8,0)</f>
        <v>#N/A</v>
      </c>
      <c r="AC19" s="65" t="e">
        <f>VLOOKUP(A19,Enforcements!$C$7:$E$24,3,0)</f>
        <v>#N/A</v>
      </c>
      <c r="AD19" s="66" t="str">
        <f t="shared" si="11"/>
        <v>0107-08</v>
      </c>
      <c r="AE19" s="108" t="str">
        <f t="shared" si="12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19" s="105" t="str">
        <f t="shared" si="13"/>
        <v>"C:\Program Files (x86)\AstroGrep\AstroGrep.exe" /spath="%USERPROFILE%\AppData\Local\Temp\OnboardLogs" /stypes="*4027*20160808*"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9" t="str">
        <f t="shared" si="16"/>
        <v>"%USERPROFILE%\Documents\GitHub\eaglep3\Utilities\RefineRTDCRunTimes.py" --tripid 107-08 --locoid 4027 --swversion DE.1.0.7.0 --startMP 204:447 --initTime 2016-08-08T04:31:27 --startdatetime 2016-08-08T04:33:15 --delay 1 --endMP 204:233321 --enddatetime 2016-08-08T05:17:47 --enforcementcount 0</v>
      </c>
    </row>
    <row r="20" spans="1:34" s="1" customFormat="1" ht="16.5" customHeight="1" x14ac:dyDescent="0.25">
      <c r="A20" s="42" t="s">
        <v>281</v>
      </c>
      <c r="B20" s="7">
        <v>4028</v>
      </c>
      <c r="C20" s="25" t="s">
        <v>141</v>
      </c>
      <c r="D20" s="25" t="s">
        <v>505</v>
      </c>
      <c r="E20" s="16">
        <v>42590.222511574073</v>
      </c>
      <c r="F20" s="16">
        <v>42590.223680555559</v>
      </c>
      <c r="G20" s="7">
        <v>1</v>
      </c>
      <c r="H20" s="16" t="s">
        <v>107</v>
      </c>
      <c r="I20" s="16">
        <v>42590.257326388892</v>
      </c>
      <c r="J20" s="7">
        <v>1</v>
      </c>
      <c r="K20" s="25" t="str">
        <f t="shared" si="0"/>
        <v>4027/4028</v>
      </c>
      <c r="L20" s="25" t="str">
        <f>VLOOKUP(A20,'Trips&amp;Operators'!$C$1:$E$10000,3,FALSE)</f>
        <v>SPECTOR</v>
      </c>
      <c r="M20" s="6">
        <f t="shared" si="1"/>
        <v>3.3645833333139308E-2</v>
      </c>
      <c r="N20" s="7">
        <f t="shared" si="2"/>
        <v>48.449999999720603</v>
      </c>
      <c r="O20" s="7"/>
      <c r="P20" s="7"/>
      <c r="Q20" s="26"/>
      <c r="R20" s="26"/>
      <c r="S20" s="38">
        <f t="shared" si="3"/>
        <v>1</v>
      </c>
      <c r="T20" s="55" t="str">
        <f t="shared" si="4"/>
        <v>Southbound</v>
      </c>
      <c r="U20" s="14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04:20:25-0600',mode:absolute,to:'2016-08-08 07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20" s="57" t="str">
        <f t="shared" si="6"/>
        <v>N</v>
      </c>
      <c r="X20" s="136">
        <f t="shared" si="7"/>
        <v>1</v>
      </c>
      <c r="Y20" s="72">
        <f t="shared" si="8"/>
        <v>23.302499999999998</v>
      </c>
      <c r="Z20" s="72">
        <f t="shared" si="9"/>
        <v>1.5599999999999999E-2</v>
      </c>
      <c r="AA20" s="72">
        <f t="shared" si="10"/>
        <v>23.286899999999999</v>
      </c>
      <c r="AB20" s="69">
        <f>VLOOKUP(A20,Enforcements!$C$7:$J$24,8,0)</f>
        <v>103800</v>
      </c>
      <c r="AC20" s="65" t="str">
        <f>VLOOKUP(A20,Enforcements!$C$7:$E$24,3,0)</f>
        <v>GRADE CROSSING</v>
      </c>
      <c r="AD20" s="66" t="str">
        <f t="shared" si="11"/>
        <v>0108-08</v>
      </c>
      <c r="AE20" s="108" t="str">
        <f t="shared" si="12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20" s="105" t="str">
        <f t="shared" si="13"/>
        <v>"C:\Program Files (x86)\AstroGrep\AstroGrep.exe" /spath="%USERPROFILE%\AppData\Local\Temp\OnboardLogs" /stypes="*4028*20160808*"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9" t="str">
        <f t="shared" si="16"/>
        <v>"%USERPROFILE%\Documents\GitHub\eaglep3\Utilities\RefineRTDCRunTimes.py" --tripid 108-08 --locoid 4028 --swversion DE.1.0.7.0 --startMP 204:233025 --initTime 2016-08-08T05:20:25 --startdatetime 2016-08-08T05:22:06 --delay 1 --endMP 204:156 --enddatetime 2016-08-08T06:10:33 --enforcementcount 1</v>
      </c>
    </row>
    <row r="21" spans="1:34" s="1" customFormat="1" x14ac:dyDescent="0.25">
      <c r="A21" s="42" t="s">
        <v>342</v>
      </c>
      <c r="B21" s="7">
        <v>4038</v>
      </c>
      <c r="C21" s="25" t="s">
        <v>141</v>
      </c>
      <c r="D21" s="25" t="s">
        <v>506</v>
      </c>
      <c r="E21" s="16">
        <v>42590.19667824074</v>
      </c>
      <c r="F21" s="16">
        <v>42590.197627314818</v>
      </c>
      <c r="G21" s="7">
        <v>1</v>
      </c>
      <c r="H21" s="16" t="s">
        <v>507</v>
      </c>
      <c r="I21" s="16">
        <v>42590.222303240742</v>
      </c>
      <c r="J21" s="7">
        <v>0</v>
      </c>
      <c r="K21" s="25" t="str">
        <f t="shared" si="0"/>
        <v>4037/4038</v>
      </c>
      <c r="L21" s="25" t="str">
        <f>VLOOKUP(A21,'Trips&amp;Operators'!$C$1:$E$10000,3,FALSE)</f>
        <v>YORK</v>
      </c>
      <c r="M21" s="6">
        <f t="shared" si="1"/>
        <v>2.4675925924384501E-2</v>
      </c>
      <c r="N21" s="7"/>
      <c r="O21" s="7"/>
      <c r="P21" s="7">
        <f>24*60*SUM($M21:$M21)</f>
        <v>35.533333331113681</v>
      </c>
      <c r="Q21" s="26"/>
      <c r="R21" s="26" t="s">
        <v>647</v>
      </c>
      <c r="S21" s="38">
        <f t="shared" si="3"/>
        <v>1</v>
      </c>
      <c r="T21" s="55" t="str">
        <f t="shared" si="4"/>
        <v>NorthBound</v>
      </c>
      <c r="U21" s="14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03:43:13-0600',mode:absolute,to:'2016-08-08 06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1" s="57" t="str">
        <f t="shared" si="6"/>
        <v>Y</v>
      </c>
      <c r="X21" s="136">
        <f t="shared" si="7"/>
        <v>1</v>
      </c>
      <c r="Y21" s="72">
        <f t="shared" si="8"/>
        <v>4.8399999999999999E-2</v>
      </c>
      <c r="Z21" s="72">
        <f t="shared" si="9"/>
        <v>22.359100000000002</v>
      </c>
      <c r="AA21" s="72">
        <f t="shared" si="10"/>
        <v>22.310700000000001</v>
      </c>
      <c r="AB21" s="69" t="e">
        <f>VLOOKUP(A21,Enforcements!$C$7:$J$24,8,0)</f>
        <v>#N/A</v>
      </c>
      <c r="AC21" s="65" t="e">
        <f>VLOOKUP(A21,Enforcements!$C$7:$E$24,3,0)</f>
        <v>#N/A</v>
      </c>
      <c r="AD21" s="66" t="str">
        <f t="shared" si="11"/>
        <v>0109-08</v>
      </c>
      <c r="AE21" s="108" t="str">
        <f t="shared" si="12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21" s="105" t="str">
        <f t="shared" si="13"/>
        <v>"C:\Program Files (x86)\AstroGrep\AstroGrep.exe" /spath="%USERPROFILE%\AppData\Local\Temp\OnboardLogs" /stypes="*4038*20160808*"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9" t="str">
        <f t="shared" si="16"/>
        <v>"%USERPROFILE%\Documents\GitHub\eaglep3\Utilities\RefineRTDCRunTimes.py" --tripid 109-08 --locoid 4038 --swversion DE.1.0.7.0 --startMP 204:484 --initTime 2016-08-08T04:43:13 --startdatetime 2016-08-08T04:44:35 --delay 1 --endMP 204:223591 --enddatetime 2016-08-08T05:20:07 --enforcementcount 0</v>
      </c>
    </row>
    <row r="22" spans="1:34" s="32" customFormat="1" x14ac:dyDescent="0.25">
      <c r="A22" s="42" t="s">
        <v>345</v>
      </c>
      <c r="B22" s="7">
        <v>4037</v>
      </c>
      <c r="C22" s="25" t="s">
        <v>141</v>
      </c>
      <c r="D22" s="25" t="s">
        <v>508</v>
      </c>
      <c r="E22" s="16">
        <v>42590.245706018519</v>
      </c>
      <c r="F22" s="16">
        <v>42590.246319444443</v>
      </c>
      <c r="G22" s="7">
        <v>0</v>
      </c>
      <c r="H22" s="16" t="s">
        <v>130</v>
      </c>
      <c r="I22" s="16">
        <v>42590.265439814815</v>
      </c>
      <c r="J22" s="7">
        <v>0</v>
      </c>
      <c r="K22" s="25" t="str">
        <f t="shared" si="0"/>
        <v>4037/4038</v>
      </c>
      <c r="L22" s="25" t="str">
        <f>VLOOKUP(A22,'Trips&amp;Operators'!$C$1:$E$10000,3,FALSE)</f>
        <v>YORK</v>
      </c>
      <c r="M22" s="6">
        <f t="shared" si="1"/>
        <v>1.9120370372547768E-2</v>
      </c>
      <c r="N22" s="7"/>
      <c r="O22" s="7"/>
      <c r="P22" s="7">
        <f>24*60*SUM($M22:$M23)</f>
        <v>44.733333333861083</v>
      </c>
      <c r="Q22" s="26"/>
      <c r="R22" s="26" t="s">
        <v>647</v>
      </c>
      <c r="S22" s="38">
        <f>SUM(U22:U23)/IF(AG22="EC",12,1)</f>
        <v>1</v>
      </c>
      <c r="T22" s="55" t="str">
        <f t="shared" si="4"/>
        <v>Southbound</v>
      </c>
      <c r="U22" s="14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04:53:49-0600',mode:absolute,to:'2016-08-08 07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22" s="57" t="str">
        <f t="shared" si="6"/>
        <v>Y</v>
      </c>
      <c r="X22" s="136">
        <f t="shared" si="7"/>
        <v>1</v>
      </c>
      <c r="Y22" s="72">
        <f t="shared" si="8"/>
        <v>15.400499999999999</v>
      </c>
      <c r="Z22" s="72">
        <f t="shared" si="9"/>
        <v>1.4999999999999999E-2</v>
      </c>
      <c r="AA22" s="72">
        <f t="shared" si="10"/>
        <v>15.385499999999999</v>
      </c>
      <c r="AB22" s="69" t="e">
        <f>VLOOKUP(A22,Enforcements!$C$7:$J$24,8,0)</f>
        <v>#N/A</v>
      </c>
      <c r="AC22" s="65" t="e">
        <f>VLOOKUP(A22,Enforcements!$C$7:$E$24,3,0)</f>
        <v>#N/A</v>
      </c>
      <c r="AD22" s="66" t="str">
        <f t="shared" si="11"/>
        <v>0110-08</v>
      </c>
      <c r="AE22" s="108" t="str">
        <f t="shared" si="12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22" s="105" t="str">
        <f t="shared" si="13"/>
        <v>"C:\Program Files (x86)\AstroGrep\AstroGrep.exe" /spath="%USERPROFILE%\AppData\Local\Temp\OnboardLogs" /stypes="*4037*20160808*"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9" t="str">
        <f t="shared" si="16"/>
        <v>"%USERPROFILE%\Documents\GitHub\eaglep3\Utilities\RefineRTDCRunTimes.py" --tripid 110-08 --locoid 4037 --swversion DE.1.0.7.0 --startMP 204:154005 --initTime 2016-08-08T05:53:49 --startdatetime 2016-08-08T05:54:42 --delay 0 --endMP 204:150 --enddatetime 2016-08-08T06:22:14 --enforcementcount 0</v>
      </c>
    </row>
    <row r="23" spans="1:34" s="1" customFormat="1" x14ac:dyDescent="0.25">
      <c r="A23" s="42" t="s">
        <v>345</v>
      </c>
      <c r="B23" s="7">
        <v>4037</v>
      </c>
      <c r="C23" s="25" t="s">
        <v>141</v>
      </c>
      <c r="D23" s="25" t="s">
        <v>192</v>
      </c>
      <c r="E23" s="16">
        <v>42590.226111111115</v>
      </c>
      <c r="F23" s="16">
        <v>42590.227025462962</v>
      </c>
      <c r="G23" s="7">
        <v>1</v>
      </c>
      <c r="H23" s="16" t="s">
        <v>509</v>
      </c>
      <c r="I23" s="16">
        <v>42590.238969907405</v>
      </c>
      <c r="J23" s="7">
        <v>0</v>
      </c>
      <c r="K23" s="25" t="str">
        <f t="shared" si="0"/>
        <v>4037/4038</v>
      </c>
      <c r="L23" s="25" t="str">
        <f>VLOOKUP(A23,'Trips&amp;Operators'!$C$1:$E$10000,3,FALSE)</f>
        <v>YORK</v>
      </c>
      <c r="M23" s="6">
        <f t="shared" si="1"/>
        <v>1.1944444442633539E-2</v>
      </c>
      <c r="N23" s="7"/>
      <c r="O23" s="7"/>
      <c r="P23" s="7"/>
      <c r="Q23" s="26"/>
      <c r="R23" s="26"/>
      <c r="S23" s="38"/>
      <c r="T23" s="55" t="str">
        <f t="shared" si="4"/>
        <v>Southbound</v>
      </c>
      <c r="U23" s="14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04:25:36-0600',mode:absolute,to:'2016-08-08 06:44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23" s="57" t="str">
        <f t="shared" si="6"/>
        <v>Y</v>
      </c>
      <c r="X23" s="136">
        <f t="shared" ref="X23:X27" si="17">VALUE(LEFT(AD23,4))-VALUE(LEFT(AD22,4))</f>
        <v>0</v>
      </c>
      <c r="Y23" s="72">
        <f t="shared" si="8"/>
        <v>23.2957</v>
      </c>
      <c r="Z23" s="72">
        <f t="shared" si="9"/>
        <v>23.087199999999999</v>
      </c>
      <c r="AA23" s="72">
        <f t="shared" si="10"/>
        <v>0.2085000000000008</v>
      </c>
      <c r="AB23" s="69" t="e">
        <f>VLOOKUP(A23,Enforcements!$C$7:$J$24,8,0)</f>
        <v>#N/A</v>
      </c>
      <c r="AC23" s="65" t="e">
        <f>VLOOKUP(A23,Enforcements!$C$7:$E$24,3,0)</f>
        <v>#N/A</v>
      </c>
      <c r="AD23" s="66" t="str">
        <f t="shared" si="11"/>
        <v>0110-08</v>
      </c>
      <c r="AE23" s="108" t="str">
        <f t="shared" si="12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23" s="105" t="str">
        <f t="shared" si="13"/>
        <v>"C:\Program Files (x86)\AstroGrep\AstroGrep.exe" /spath="%USERPROFILE%\AppData\Local\Temp\OnboardLogs" /stypes="*4037*20160808*"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9" t="str">
        <f t="shared" si="16"/>
        <v>"%USERPROFILE%\Documents\GitHub\eaglep3\Utilities\RefineRTDCRunTimes.py" --tripid 110-08 --locoid 4037 --swversion DE.1.0.7.0 --startMP 204:232957 --initTime 2016-08-08T05:25:36 --startdatetime 2016-08-08T05:26:55 --delay 1 --endMP 204:230872 --enddatetime 2016-08-08T05:44:07 --enforcementcount 0</v>
      </c>
    </row>
    <row r="24" spans="1:34" s="1" customFormat="1" x14ac:dyDescent="0.25">
      <c r="A24" s="42" t="s">
        <v>344</v>
      </c>
      <c r="B24" s="151" t="s">
        <v>274</v>
      </c>
      <c r="C24" s="25" t="s">
        <v>141</v>
      </c>
      <c r="D24" s="25" t="s">
        <v>192</v>
      </c>
      <c r="E24" s="16">
        <v>42590.226111111115</v>
      </c>
      <c r="F24" s="16">
        <v>42590.227025462962</v>
      </c>
      <c r="G24" s="7">
        <v>1</v>
      </c>
      <c r="H24" s="16" t="s">
        <v>509</v>
      </c>
      <c r="I24" s="16">
        <v>42590.238969907405</v>
      </c>
      <c r="J24" s="7">
        <v>0</v>
      </c>
      <c r="K24" s="25" t="e">
        <f t="shared" si="0"/>
        <v>#VALUE!</v>
      </c>
      <c r="L24" s="25" t="str">
        <f>VLOOKUP(A24,'Trips&amp;Operators'!$C$1:$E$10000,3,FALSE)</f>
        <v>STARKS</v>
      </c>
      <c r="M24" s="6">
        <f t="shared" si="1"/>
        <v>1.1944444442633539E-2</v>
      </c>
      <c r="N24" s="7"/>
      <c r="O24" s="7"/>
      <c r="P24" s="7">
        <v>1</v>
      </c>
      <c r="Q24" s="26"/>
      <c r="R24" s="26" t="s">
        <v>647</v>
      </c>
      <c r="S24" s="38">
        <v>0</v>
      </c>
      <c r="T24" s="55" t="str">
        <f t="shared" si="4"/>
        <v>NorthBound</v>
      </c>
      <c r="U24" s="14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04:25:36-0600',mode:absolute,to:'2016-08-08 06:44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-%22')),sort:!(Time,asc))</v>
      </c>
      <c r="W24" s="57" t="str">
        <f t="shared" si="6"/>
        <v>Y</v>
      </c>
      <c r="X24" s="136">
        <f t="shared" si="17"/>
        <v>1</v>
      </c>
      <c r="Y24" s="72">
        <f t="shared" si="8"/>
        <v>23.2957</v>
      </c>
      <c r="Z24" s="72">
        <f t="shared" si="9"/>
        <v>23.087199999999999</v>
      </c>
      <c r="AA24" s="72">
        <f t="shared" si="10"/>
        <v>0.2085000000000008</v>
      </c>
      <c r="AB24" s="69" t="e">
        <f>VLOOKUP(A24,Enforcements!$C$7:$J$24,8,0)</f>
        <v>#N/A</v>
      </c>
      <c r="AC24" s="65" t="e">
        <f>VLOOKUP(A24,Enforcements!$C$7:$E$24,3,0)</f>
        <v>#N/A</v>
      </c>
      <c r="AD24" s="66" t="str">
        <f t="shared" si="11"/>
        <v>0111-08</v>
      </c>
      <c r="AE24" s="108" t="str">
        <f t="shared" si="12"/>
        <v>aws s3 cp s3://rtdc.mdm.uploadarchive/RTDC-/2016-08-08/ "%USERPROFILE%\AppData\Local\Temp\OnboardLogs"\RTDC-\2016-08-08 --recursive &amp; "%USERPROFILE%\Documents\GitHub\mrs-test-scripts\Headless Mode &amp; Sideloading\WalkAndUnGZ.bat" "%USERPROFILE%\AppData\Local\Temp\OnboardLogs"\RTDC-\2016-08-08 &amp; aws s3 cp s3://rtdc.mdm.uploadarchive/RTDC-/2016-08-09/ "%USERPROFILE%\AppData\Local\Temp\OnboardLogs"\RTDC-\2016-08-09 --recursive &amp; "%USERPROFILE%\Documents\GitHub\mrs-test-scripts\Headless Mode &amp; Sideloading\WalkAndUnGZ.bat" "%USERPROFILE%\AppData\Local\Temp\OnboardLogs"\RTDC-\2016-08-09</v>
      </c>
      <c r="AF24" s="105" t="str">
        <f t="shared" si="13"/>
        <v>"C:\Program Files (x86)\AstroGrep\AstroGrep.exe" /spath="%USERPROFILE%\AppData\Local\Temp\OnboardLogs" /stypes="*-*20160808*" /stext=" 11:.+((SYSTEM_STATE.+slice.+state.+changed )|(ment ac)|(system.+state.+changed )|(\|lc)|(penalty)|(\[timeout)|(PRM\|1\|D)|(kpr)|(kdp))" /e /r /s</v>
      </c>
      <c r="AG24" s="1" t="str">
        <f t="shared" si="14"/>
        <v>EC</v>
      </c>
      <c r="AH24" s="109" t="str">
        <f t="shared" ref="AH24" si="18">refinertdcruntimes&amp;" --tripid "&amp;A24&amp;" --locoid "&amp;B24&amp;" --swversion "&amp;C24&amp;" --startMP "&amp;D24&amp;" --initTime "&amp;TEXT(E24,"yyyy-mm-ddTHH:MM:SS")&amp;" --startdatetime "&amp;TEXT(F24,"yyyy-mm-ddTHH:MM:SS")&amp;" --delay "&amp;G24&amp;" --endMP "&amp;H24&amp;" --enddatetime "&amp;TEXT(I24,"yyyy-mm-ddTHH:MM:SS")&amp;" --enforcementcount "&amp;J24</f>
        <v>"%USERPROFILE%\Documents\GitHub\eaglep3\Utilities\RefineRTDCRunTimes.py" --tripid 111-08 --locoid - --swversion DE.1.0.7.0 --startMP 204:232957 --initTime 2016-08-08T05:25:36 --startdatetime 2016-08-08T05:26:55 --delay 1 --endMP 204:230872 --enddatetime 2016-08-08T05:44:07 --enforcementcount 0</v>
      </c>
    </row>
    <row r="25" spans="1:34" s="1" customFormat="1" ht="14.25" customHeight="1" x14ac:dyDescent="0.25">
      <c r="A25" s="42" t="s">
        <v>354</v>
      </c>
      <c r="B25" s="7">
        <v>4030</v>
      </c>
      <c r="C25" s="25" t="s">
        <v>141</v>
      </c>
      <c r="D25" s="25" t="s">
        <v>510</v>
      </c>
      <c r="E25" s="16">
        <v>42590.255555555559</v>
      </c>
      <c r="F25" s="16">
        <v>42590.256423611114</v>
      </c>
      <c r="G25" s="7">
        <v>1</v>
      </c>
      <c r="H25" s="16" t="s">
        <v>191</v>
      </c>
      <c r="I25" s="16">
        <v>42590.277662037035</v>
      </c>
      <c r="J25" s="7">
        <v>0</v>
      </c>
      <c r="K25" s="25" t="str">
        <f t="shared" si="0"/>
        <v>4029/4030</v>
      </c>
      <c r="L25" s="25" t="str">
        <f>VLOOKUP(A25,'Trips&amp;Operators'!$C$1:$E$10000,3,FALSE)</f>
        <v>STARKS</v>
      </c>
      <c r="M25" s="6">
        <f t="shared" si="1"/>
        <v>2.1238425921183079E-2</v>
      </c>
      <c r="N25" s="7"/>
      <c r="O25" s="7"/>
      <c r="P25" s="7">
        <f>24*60*SUM($M25:$M25)</f>
        <v>30.583333326503634</v>
      </c>
      <c r="Q25" s="26"/>
      <c r="R25" s="26" t="s">
        <v>647</v>
      </c>
      <c r="S25" s="38">
        <f t="shared" ref="S25:S31" si="19">SUM(U25:U25)/IF(AG25="EC",12,1)</f>
        <v>1</v>
      </c>
      <c r="T25" s="55" t="str">
        <f t="shared" si="4"/>
        <v>Southbound</v>
      </c>
      <c r="U25" s="14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05:08:00-0600',mode:absolute,to:'2016-08-08 07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25" s="57" t="str">
        <f t="shared" si="6"/>
        <v>Y</v>
      </c>
      <c r="X25" s="136">
        <f t="shared" si="17"/>
        <v>1</v>
      </c>
      <c r="Y25" s="72">
        <f t="shared" si="8"/>
        <v>15.401</v>
      </c>
      <c r="Z25" s="72">
        <f t="shared" si="9"/>
        <v>1.47E-2</v>
      </c>
      <c r="AA25" s="72">
        <f t="shared" si="10"/>
        <v>15.3863</v>
      </c>
      <c r="AB25" s="69" t="e">
        <f>VLOOKUP(A25,Enforcements!$C$7:$J$24,8,0)</f>
        <v>#N/A</v>
      </c>
      <c r="AC25" s="65" t="e">
        <f>VLOOKUP(A25,Enforcements!$C$7:$E$24,3,0)</f>
        <v>#N/A</v>
      </c>
      <c r="AD25" s="66" t="str">
        <f t="shared" si="11"/>
        <v>0112-08</v>
      </c>
      <c r="AE25" s="108" t="str">
        <f t="shared" si="12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25" s="105" t="str">
        <f t="shared" si="13"/>
        <v>"C:\Program Files (x86)\AstroGrep\AstroGrep.exe" /spath="%USERPROFILE%\AppData\Local\Temp\OnboardLogs" /stypes="*4030*20160808*" /stext=" 12:.+((SYSTEM_STATE.+slice.+state.+changed )|(ment ac)|(system.+state.+changed )|(\|lc)|(penalty)|(\[timeout)|(PRM\|1\|D)|(kpr)|(kdp))" /e /r /s</v>
      </c>
      <c r="AG25" s="1" t="str">
        <f t="shared" si="14"/>
        <v>EC</v>
      </c>
      <c r="AH25" s="109" t="str">
        <f t="shared" si="16"/>
        <v>"%USERPROFILE%\Documents\GitHub\eaglep3\Utilities\RefineRTDCRunTimes.py" --tripid 112-08 --locoid 4030 --swversion DE.1.0.7.0 --startMP 204:154010 --initTime 2016-08-08T06:08:00 --startdatetime 2016-08-08T06:09:15 --delay 1 --endMP 204:147 --enddatetime 2016-08-08T06:39:50 --enforcementcount 0</v>
      </c>
    </row>
    <row r="26" spans="1:34" s="1" customFormat="1" x14ac:dyDescent="0.25">
      <c r="A26" s="42" t="s">
        <v>282</v>
      </c>
      <c r="B26" s="7">
        <v>4011</v>
      </c>
      <c r="C26" s="25" t="s">
        <v>141</v>
      </c>
      <c r="D26" s="25" t="s">
        <v>233</v>
      </c>
      <c r="E26" s="16">
        <v>42590.207083333335</v>
      </c>
      <c r="F26" s="16">
        <v>42590.209085648145</v>
      </c>
      <c r="G26" s="7">
        <v>2</v>
      </c>
      <c r="H26" s="16" t="s">
        <v>216</v>
      </c>
      <c r="I26" s="16">
        <v>42590.246527777781</v>
      </c>
      <c r="J26" s="7">
        <v>1</v>
      </c>
      <c r="K26" s="25" t="str">
        <f t="shared" si="0"/>
        <v>4011/4012</v>
      </c>
      <c r="L26" s="25" t="str">
        <f>VLOOKUP(A26,'Trips&amp;Operators'!$C$1:$E$10000,3,FALSE)</f>
        <v>OUN</v>
      </c>
      <c r="M26" s="6">
        <f t="shared" si="1"/>
        <v>3.7442129636474419E-2</v>
      </c>
      <c r="N26" s="7">
        <f>24*60*SUM($M26:$M26)</f>
        <v>53.916666676523164</v>
      </c>
      <c r="O26" s="7"/>
      <c r="P26" s="7"/>
      <c r="Q26" s="26"/>
      <c r="R26" s="26"/>
      <c r="S26" s="38">
        <f t="shared" si="19"/>
        <v>1</v>
      </c>
      <c r="T26" s="55" t="str">
        <f t="shared" si="4"/>
        <v>NorthBound</v>
      </c>
      <c r="U26" s="14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03:58:12-0600',mode:absolute,to:'2016-08-08 06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26" s="57" t="str">
        <f t="shared" si="6"/>
        <v>N</v>
      </c>
      <c r="X26" s="136">
        <f t="shared" si="17"/>
        <v>1</v>
      </c>
      <c r="Y26" s="72">
        <f t="shared" si="8"/>
        <v>4.2200000000000001E-2</v>
      </c>
      <c r="Z26" s="72">
        <f t="shared" si="9"/>
        <v>23.328600000000002</v>
      </c>
      <c r="AA26" s="72">
        <f t="shared" si="10"/>
        <v>23.2864</v>
      </c>
      <c r="AB26" s="69" t="e">
        <f>VLOOKUP(A26,Enforcements!$C$7:$J$24,8,0)</f>
        <v>#N/A</v>
      </c>
      <c r="AC26" s="65" t="e">
        <f>VLOOKUP(A26,Enforcements!$C$7:$E$24,3,0)</f>
        <v>#N/A</v>
      </c>
      <c r="AD26" s="66" t="str">
        <f t="shared" si="11"/>
        <v>0113-08</v>
      </c>
      <c r="AE26" s="108" t="str">
        <f t="shared" si="12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26" s="105" t="str">
        <f t="shared" si="13"/>
        <v>"C:\Program Files (x86)\AstroGrep\AstroGrep.exe" /spath="%USERPROFILE%\AppData\Local\Temp\OnboardLogs" /stypes="*4011*20160808*" /stext=" 11:.+((SYSTEM_STATE.+slice.+state.+changed )|(ment ac)|(system.+state.+changed )|(\|lc)|(penalty)|(\[timeout)|(PRM\|1\|D)|(kpr)|(kdp))" /e /r /s</v>
      </c>
      <c r="AG26" s="1" t="str">
        <f t="shared" si="14"/>
        <v>EC</v>
      </c>
      <c r="AH26" s="109" t="str">
        <f t="shared" si="16"/>
        <v>"%USERPROFILE%\Documents\GitHub\eaglep3\Utilities\RefineRTDCRunTimes.py" --tripid 113-08 --locoid 4011 --swversion DE.1.0.7.0 --startMP 204:422 --initTime 2016-08-08T04:58:12 --startdatetime 2016-08-08T05:01:05 --delay 2 --endMP 204:233286 --enddatetime 2016-08-08T05:55:00 --enforcementcount 1</v>
      </c>
    </row>
    <row r="27" spans="1:34" s="1" customFormat="1" x14ac:dyDescent="0.25">
      <c r="A27" s="42" t="s">
        <v>352</v>
      </c>
      <c r="B27" s="7">
        <v>4012</v>
      </c>
      <c r="C27" s="25" t="s">
        <v>141</v>
      </c>
      <c r="D27" s="25" t="s">
        <v>199</v>
      </c>
      <c r="E27" s="16">
        <v>42590.253969907404</v>
      </c>
      <c r="F27" s="16">
        <v>42590.254965277774</v>
      </c>
      <c r="G27" s="7">
        <v>1</v>
      </c>
      <c r="H27" s="16" t="s">
        <v>191</v>
      </c>
      <c r="I27" s="16">
        <v>42590.285763888889</v>
      </c>
      <c r="J27" s="7">
        <v>0</v>
      </c>
      <c r="K27" s="25" t="str">
        <f t="shared" si="0"/>
        <v>4011/4012</v>
      </c>
      <c r="L27" s="25" t="str">
        <f>VLOOKUP(A27,'Trips&amp;Operators'!$C$1:$E$10000,3,FALSE)</f>
        <v>OUN</v>
      </c>
      <c r="M27" s="6">
        <f t="shared" si="1"/>
        <v>3.0798611114732921E-2</v>
      </c>
      <c r="N27" s="7">
        <f>24*60*SUM($M27:$M27)</f>
        <v>44.350000005215406</v>
      </c>
      <c r="O27" s="7"/>
      <c r="P27" s="7"/>
      <c r="Q27" s="26"/>
      <c r="R27" s="26"/>
      <c r="S27" s="38">
        <f t="shared" si="19"/>
        <v>1</v>
      </c>
      <c r="T27" s="55" t="str">
        <f t="shared" si="4"/>
        <v>Southbound</v>
      </c>
      <c r="U27" s="14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05:05:43-0600',mode:absolute,to:'2016-08-08 07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27" s="57" t="str">
        <f t="shared" si="6"/>
        <v>N</v>
      </c>
      <c r="X27" s="136">
        <f t="shared" si="17"/>
        <v>1</v>
      </c>
      <c r="Y27" s="72">
        <f t="shared" si="8"/>
        <v>23.296900000000001</v>
      </c>
      <c r="Z27" s="72">
        <f t="shared" si="9"/>
        <v>1.47E-2</v>
      </c>
      <c r="AA27" s="72">
        <f t="shared" si="10"/>
        <v>23.2822</v>
      </c>
      <c r="AB27" s="69" t="e">
        <f>VLOOKUP(A27,Enforcements!$C$7:$J$24,8,0)</f>
        <v>#N/A</v>
      </c>
      <c r="AC27" s="65" t="e">
        <f>VLOOKUP(A27,Enforcements!$C$7:$E$24,3,0)</f>
        <v>#N/A</v>
      </c>
      <c r="AD27" s="66" t="str">
        <f t="shared" si="11"/>
        <v>0114-08</v>
      </c>
      <c r="AE27" s="108" t="str">
        <f t="shared" si="12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27" s="105" t="str">
        <f t="shared" si="13"/>
        <v>"C:\Program Files (x86)\AstroGrep\AstroGrep.exe" /spath="%USERPROFILE%\AppData\Local\Temp\OnboardLogs" /stypes="*4012*20160808*"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9" t="str">
        <f t="shared" si="16"/>
        <v>"%USERPROFILE%\Documents\GitHub\eaglep3\Utilities\RefineRTDCRunTimes.py" --tripid 114-08 --locoid 4012 --swversion DE.1.0.7.0 --startMP 204:232969 --initTime 2016-08-08T06:05:43 --startdatetime 2016-08-08T06:07:09 --delay 1 --endMP 204:147 --enddatetime 2016-08-08T06:51:30 --enforcementcount 0</v>
      </c>
    </row>
    <row r="28" spans="1:34" s="1" customFormat="1" x14ac:dyDescent="0.25">
      <c r="A28" s="42" t="s">
        <v>284</v>
      </c>
      <c r="B28" s="7">
        <v>4007</v>
      </c>
      <c r="C28" s="25" t="s">
        <v>141</v>
      </c>
      <c r="D28" s="25" t="s">
        <v>511</v>
      </c>
      <c r="E28" s="16">
        <v>42590.226481481484</v>
      </c>
      <c r="F28" s="16">
        <v>42590.227708333332</v>
      </c>
      <c r="G28" s="7">
        <v>1</v>
      </c>
      <c r="H28" s="16" t="s">
        <v>169</v>
      </c>
      <c r="I28" s="16">
        <v>42590.25608796296</v>
      </c>
      <c r="J28" s="7">
        <v>1</v>
      </c>
      <c r="K28" s="25" t="str">
        <f t="shared" si="0"/>
        <v>4007/4008</v>
      </c>
      <c r="L28" s="25" t="str">
        <f>VLOOKUP(A28,'Trips&amp;Operators'!$C$1:$E$10000,3,FALSE)</f>
        <v>MALAVE</v>
      </c>
      <c r="M28" s="6">
        <f t="shared" si="1"/>
        <v>2.8379629628034309E-2</v>
      </c>
      <c r="N28" s="7">
        <f>24*60*SUM($M28:$M28)</f>
        <v>40.866666664369404</v>
      </c>
      <c r="O28" s="7"/>
      <c r="P28" s="7"/>
      <c r="Q28" s="26"/>
      <c r="R28" s="26"/>
      <c r="S28" s="38">
        <f t="shared" si="19"/>
        <v>1</v>
      </c>
      <c r="T28" s="55" t="str">
        <f t="shared" si="4"/>
        <v>NorthBound</v>
      </c>
      <c r="U28" s="14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04:26:08-0600',mode:absolute,to:'2016-08-08 07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28" s="57" t="str">
        <f t="shared" si="6"/>
        <v>N</v>
      </c>
      <c r="X28" s="136">
        <f t="shared" ref="X28:X59" si="20">VALUE(LEFT(AD28,4))-VALUE(LEFT(AD27,4))</f>
        <v>1</v>
      </c>
      <c r="Y28" s="72">
        <f t="shared" si="8"/>
        <v>7.7399999999999997E-2</v>
      </c>
      <c r="Z28" s="72">
        <f t="shared" si="9"/>
        <v>23.329699999999999</v>
      </c>
      <c r="AA28" s="72">
        <f t="shared" si="10"/>
        <v>23.252299999999998</v>
      </c>
      <c r="AB28" s="69" t="e">
        <f>VLOOKUP(A28,Enforcements!$C$7:$J$24,8,0)</f>
        <v>#N/A</v>
      </c>
      <c r="AC28" s="65" t="e">
        <f>VLOOKUP(A28,Enforcements!$C$7:$E$24,3,0)</f>
        <v>#N/A</v>
      </c>
      <c r="AD28" s="66" t="str">
        <f t="shared" si="11"/>
        <v>0115-08</v>
      </c>
      <c r="AE28" s="108" t="str">
        <f t="shared" si="12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28" s="105" t="str">
        <f t="shared" si="13"/>
        <v>"C:\Program Files (x86)\AstroGrep\AstroGrep.exe" /spath="%USERPROFILE%\AppData\Local\Temp\OnboardLogs" /stypes="*4007*20160808*" /stext=" 12:.+((SYSTEM_STATE.+slice.+state.+changed )|(ment ac)|(system.+state.+changed )|(\|lc)|(penalty)|(\[timeout)|(PRM\|1\|D)|(kpr)|(kdp))" /e /r /s</v>
      </c>
      <c r="AG28" s="1" t="str">
        <f t="shared" si="14"/>
        <v>EC</v>
      </c>
      <c r="AH28" s="109" t="str">
        <f t="shared" si="16"/>
        <v>"%USERPROFILE%\Documents\GitHub\eaglep3\Utilities\RefineRTDCRunTimes.py" --tripid 115-08 --locoid 4007 --swversion DE.1.0.7.0 --startMP 204:774 --initTime 2016-08-08T05:26:08 --startdatetime 2016-08-08T05:27:54 --delay 1 --endMP 204:233297 --enddatetime 2016-08-08T06:08:46 --enforcementcount 1</v>
      </c>
    </row>
    <row r="29" spans="1:34" s="1" customFormat="1" x14ac:dyDescent="0.25">
      <c r="A29" s="42" t="s">
        <v>286</v>
      </c>
      <c r="B29" s="7">
        <v>4008</v>
      </c>
      <c r="C29" s="25" t="s">
        <v>141</v>
      </c>
      <c r="D29" s="25" t="s">
        <v>512</v>
      </c>
      <c r="E29" s="16">
        <v>42590.266296296293</v>
      </c>
      <c r="F29" s="16">
        <v>42590.267268518517</v>
      </c>
      <c r="G29" s="7">
        <v>1</v>
      </c>
      <c r="H29" s="16" t="s">
        <v>130</v>
      </c>
      <c r="I29" s="16">
        <v>42590.296805555554</v>
      </c>
      <c r="J29" s="7">
        <v>3</v>
      </c>
      <c r="K29" s="25" t="str">
        <f t="shared" si="0"/>
        <v>4007/4008</v>
      </c>
      <c r="L29" s="25" t="str">
        <f>VLOOKUP(A29,'Trips&amp;Operators'!$C$1:$E$10000,3,FALSE)</f>
        <v>MALAVE</v>
      </c>
      <c r="M29" s="6">
        <f t="shared" si="1"/>
        <v>2.9537037036789116E-2</v>
      </c>
      <c r="N29" s="7">
        <f>24*60*SUM($M29:$M29)</f>
        <v>42.533333332976326</v>
      </c>
      <c r="O29" s="7"/>
      <c r="P29" s="7"/>
      <c r="Q29" s="26"/>
      <c r="R29" s="26"/>
      <c r="S29" s="38">
        <f t="shared" si="19"/>
        <v>1</v>
      </c>
      <c r="T29" s="55" t="str">
        <f t="shared" si="4"/>
        <v>Southbound</v>
      </c>
      <c r="U29" s="14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29" s="57" t="str">
        <f t="shared" si="6"/>
        <v>N</v>
      </c>
      <c r="X29" s="136">
        <f t="shared" si="20"/>
        <v>1</v>
      </c>
      <c r="Y29" s="72">
        <f t="shared" si="8"/>
        <v>23.296800000000001</v>
      </c>
      <c r="Z29" s="72">
        <f t="shared" si="9"/>
        <v>1.4999999999999999E-2</v>
      </c>
      <c r="AA29" s="72">
        <f t="shared" si="10"/>
        <v>23.2818</v>
      </c>
      <c r="AB29" s="69" t="e">
        <f>VLOOKUP(A29,Enforcements!$C$7:$J$24,8,0)</f>
        <v>#N/A</v>
      </c>
      <c r="AC29" s="65" t="e">
        <f>VLOOKUP(A29,Enforcements!$C$7:$E$24,3,0)</f>
        <v>#N/A</v>
      </c>
      <c r="AD29" s="66" t="str">
        <f t="shared" si="11"/>
        <v>0116-08</v>
      </c>
      <c r="AE29" s="108" t="str">
        <f t="shared" si="12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29" s="105" t="str">
        <f t="shared" si="13"/>
        <v>"C:\Program Files (x86)\AstroGrep\AstroGrep.exe" /spath="%USERPROFILE%\AppData\Local\Temp\OnboardLogs" /stypes="*4008*20160808*" /stext=" 13:.+((SYSTEM_STATE.+slice.+state.+changed )|(ment ac)|(system.+state.+changed )|(\|lc)|(penalty)|(\[timeout)|(PRM\|1\|D)|(kpr)|(kdp))" /e /r /s</v>
      </c>
      <c r="AG29" s="1" t="str">
        <f t="shared" si="14"/>
        <v>EC</v>
      </c>
      <c r="AH29" s="109" t="str">
        <f t="shared" si="16"/>
        <v>"%USERPROFILE%\Documents\GitHub\eaglep3\Utilities\RefineRTDCRunTimes.py" --tripid 116-08 --locoid 4008 --swversion DE.1.0.7.0 --startMP 204:232968 --initTime 2016-08-08T06:23:28 --startdatetime 2016-08-08T06:24:52 --delay 1 --endMP 204:150 --enddatetime 2016-08-08T07:07:24 --enforcementcount 3</v>
      </c>
    </row>
    <row r="30" spans="1:34" s="1" customFormat="1" x14ac:dyDescent="0.25">
      <c r="A30" s="42" t="s">
        <v>346</v>
      </c>
      <c r="B30" s="7">
        <v>4014</v>
      </c>
      <c r="C30" s="25" t="s">
        <v>141</v>
      </c>
      <c r="D30" s="25" t="s">
        <v>205</v>
      </c>
      <c r="E30" s="16">
        <v>42590.236458333333</v>
      </c>
      <c r="F30" s="16">
        <v>42590.237835648149</v>
      </c>
      <c r="G30" s="7">
        <v>1</v>
      </c>
      <c r="H30" s="16" t="s">
        <v>513</v>
      </c>
      <c r="I30" s="16">
        <v>42590.263969907406</v>
      </c>
      <c r="J30" s="7">
        <v>0</v>
      </c>
      <c r="K30" s="25" t="str">
        <f t="shared" si="0"/>
        <v>4013/4014</v>
      </c>
      <c r="L30" s="25" t="str">
        <f>VLOOKUP(A30,'Trips&amp;Operators'!$C$1:$E$10000,3,FALSE)</f>
        <v>STURGEON</v>
      </c>
      <c r="M30" s="6">
        <f t="shared" si="1"/>
        <v>2.6134259256650694E-2</v>
      </c>
      <c r="N30" s="7"/>
      <c r="O30" s="7"/>
      <c r="P30" s="7">
        <f>24*60*SUM($M30:$M30)</f>
        <v>37.633333329576999</v>
      </c>
      <c r="Q30" s="26"/>
      <c r="R30" s="26" t="s">
        <v>647</v>
      </c>
      <c r="S30" s="38">
        <f t="shared" si="19"/>
        <v>1</v>
      </c>
      <c r="T30" s="55" t="str">
        <f t="shared" si="4"/>
        <v>NorthBound</v>
      </c>
      <c r="U30" s="14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04:40:30-0600',mode:absolute,to:'2016-08-08 07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30" s="57" t="str">
        <f t="shared" si="6"/>
        <v>Y</v>
      </c>
      <c r="X30" s="136">
        <f t="shared" si="20"/>
        <v>1</v>
      </c>
      <c r="Y30" s="72">
        <f t="shared" si="8"/>
        <v>4.6600000000000003E-2</v>
      </c>
      <c r="Z30" s="72">
        <f t="shared" si="9"/>
        <v>22.100300000000001</v>
      </c>
      <c r="AA30" s="72">
        <f t="shared" si="10"/>
        <v>22.053699999999999</v>
      </c>
      <c r="AB30" s="69" t="e">
        <f>VLOOKUP(A30,Enforcements!$C$7:$J$24,8,0)</f>
        <v>#N/A</v>
      </c>
      <c r="AC30" s="65" t="e">
        <f>VLOOKUP(A30,Enforcements!$C$7:$E$24,3,0)</f>
        <v>#N/A</v>
      </c>
      <c r="AD30" s="66" t="str">
        <f t="shared" si="11"/>
        <v>0117-08</v>
      </c>
      <c r="AE30" s="108" t="str">
        <f t="shared" si="12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30" s="105" t="str">
        <f t="shared" si="13"/>
        <v>"C:\Program Files (x86)\AstroGrep\AstroGrep.exe" /spath="%USERPROFILE%\AppData\Local\Temp\OnboardLogs" /stypes="*4014*20160808*" /stext=" 12:.+((SYSTEM_STATE.+slice.+state.+changed )|(ment ac)|(system.+state.+changed )|(\|lc)|(penalty)|(\[timeout)|(PRM\|1\|D)|(kpr)|(kdp))" /e /r /s</v>
      </c>
      <c r="AG30" s="1" t="str">
        <f t="shared" si="14"/>
        <v>EC</v>
      </c>
      <c r="AH30" s="109" t="str">
        <f t="shared" si="16"/>
        <v>"%USERPROFILE%\Documents\GitHub\eaglep3\Utilities\RefineRTDCRunTimes.py" --tripid 117-08 --locoid 4014 --swversion DE.1.0.7.0 --startMP 204:466 --initTime 2016-08-08T05:40:30 --startdatetime 2016-08-08T05:42:29 --delay 1 --endMP 204:221003 --enddatetime 2016-08-08T06:20:07 --enforcementcount 0</v>
      </c>
    </row>
    <row r="31" spans="1:34" s="1" customFormat="1" x14ac:dyDescent="0.25">
      <c r="A31" s="42" t="s">
        <v>357</v>
      </c>
      <c r="B31" s="7">
        <v>4013</v>
      </c>
      <c r="C31" s="25" t="s">
        <v>141</v>
      </c>
      <c r="D31" s="25" t="s">
        <v>514</v>
      </c>
      <c r="E31" s="16">
        <v>42590.28765046296</v>
      </c>
      <c r="F31" s="16">
        <v>42590.288356481484</v>
      </c>
      <c r="G31" s="7">
        <v>1</v>
      </c>
      <c r="H31" s="16" t="s">
        <v>261</v>
      </c>
      <c r="I31" s="16">
        <v>42590.310671296298</v>
      </c>
      <c r="J31" s="7">
        <v>0</v>
      </c>
      <c r="K31" s="25" t="str">
        <f t="shared" si="0"/>
        <v>4013/4014</v>
      </c>
      <c r="L31" s="25" t="str">
        <f>VLOOKUP(A31,'Trips&amp;Operators'!$C$1:$E$10000,3,FALSE)</f>
        <v>STURGEON</v>
      </c>
      <c r="M31" s="6">
        <f t="shared" si="1"/>
        <v>2.2314814814308193E-2</v>
      </c>
      <c r="N31" s="7"/>
      <c r="O31" s="7"/>
      <c r="P31" s="7">
        <f>24*60*SUM($M31:$M32)</f>
        <v>37.233333330368623</v>
      </c>
      <c r="Q31" s="26"/>
      <c r="R31" s="26" t="s">
        <v>647</v>
      </c>
      <c r="S31" s="38">
        <f t="shared" si="19"/>
        <v>1</v>
      </c>
      <c r="T31" s="55" t="str">
        <f t="shared" si="4"/>
        <v>Southbound</v>
      </c>
      <c r="U31" s="14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05:54:13-0600',mode:absolute,to:'2016-08-08 08:27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31" s="57" t="str">
        <f t="shared" si="6"/>
        <v>Y</v>
      </c>
      <c r="X31" s="136">
        <f t="shared" si="20"/>
        <v>1</v>
      </c>
      <c r="Y31" s="72">
        <f t="shared" si="8"/>
        <v>15.3996</v>
      </c>
      <c r="Z31" s="72">
        <f t="shared" si="9"/>
        <v>1.78E-2</v>
      </c>
      <c r="AA31" s="72">
        <f t="shared" si="10"/>
        <v>15.3818</v>
      </c>
      <c r="AB31" s="69" t="e">
        <f>VLOOKUP(A31,Enforcements!$C$7:$J$24,8,0)</f>
        <v>#N/A</v>
      </c>
      <c r="AC31" s="65" t="e">
        <f>VLOOKUP(A31,Enforcements!$C$7:$E$24,3,0)</f>
        <v>#N/A</v>
      </c>
      <c r="AD31" s="66" t="str">
        <f t="shared" si="11"/>
        <v>0118-08</v>
      </c>
      <c r="AE31" s="108" t="str">
        <f t="shared" si="12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31" s="105" t="str">
        <f t="shared" si="13"/>
        <v>"C:\Program Files (x86)\AstroGrep\AstroGrep.exe" /spath="%USERPROFILE%\AppData\Local\Temp\OnboardLogs" /stypes="*4013*20160808*" /stext=" 13:.+((SYSTEM_STATE.+slice.+state.+changed )|(ment ac)|(system.+state.+changed )|(\|lc)|(penalty)|(\[timeout)|(PRM\|1\|D)|(kpr)|(kdp))" /e /r /s</v>
      </c>
      <c r="AG31" s="1" t="str">
        <f t="shared" si="14"/>
        <v>EC</v>
      </c>
      <c r="AH31" s="109" t="str">
        <f t="shared" si="16"/>
        <v>"%USERPROFILE%\Documents\GitHub\eaglep3\Utilities\RefineRTDCRunTimes.py" --tripid 118-08 --locoid 4013 --swversion DE.1.0.7.0 --startMP 204:153996 --initTime 2016-08-08T06:54:13 --startdatetime 2016-08-08T06:55:14 --delay 1 --endMP 204:178 --enddatetime 2016-08-08T07:27:22 --enforcementcount 0</v>
      </c>
    </row>
    <row r="32" spans="1:34" s="1" customFormat="1" x14ac:dyDescent="0.25">
      <c r="A32" s="42" t="s">
        <v>357</v>
      </c>
      <c r="B32" s="7">
        <v>4013</v>
      </c>
      <c r="C32" s="25" t="s">
        <v>141</v>
      </c>
      <c r="D32" s="25" t="s">
        <v>515</v>
      </c>
      <c r="E32" s="16">
        <v>42590.27070601852</v>
      </c>
      <c r="F32" s="16">
        <v>42590.27175925926</v>
      </c>
      <c r="G32" s="7">
        <v>1</v>
      </c>
      <c r="H32" s="16" t="s">
        <v>192</v>
      </c>
      <c r="I32" s="16">
        <v>42590.275300925925</v>
      </c>
      <c r="J32" s="7">
        <v>0</v>
      </c>
      <c r="K32" s="25" t="str">
        <f t="shared" si="0"/>
        <v>4013/4014</v>
      </c>
      <c r="L32" s="25" t="str">
        <f>VLOOKUP(A32,'Trips&amp;Operators'!$C$1:$E$10000,3,FALSE)</f>
        <v>STURGEON</v>
      </c>
      <c r="M32" s="6">
        <f t="shared" si="1"/>
        <v>3.5416666651144624E-3</v>
      </c>
      <c r="N32" s="7"/>
      <c r="O32" s="7"/>
      <c r="P32" s="7"/>
      <c r="Q32" s="26"/>
      <c r="R32" s="26"/>
      <c r="S32" s="38"/>
      <c r="T32" s="55" t="str">
        <f t="shared" si="4"/>
        <v>Southbound</v>
      </c>
      <c r="U32" s="14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05:29:49-0600',mode:absolute,to:'2016-08-08 07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32" s="57" t="str">
        <f t="shared" si="6"/>
        <v>Y</v>
      </c>
      <c r="X32" s="136">
        <f t="shared" si="20"/>
        <v>0</v>
      </c>
      <c r="Y32" s="72">
        <f t="shared" si="8"/>
        <v>23.296099999999999</v>
      </c>
      <c r="Z32" s="72">
        <f t="shared" si="9"/>
        <v>23.2957</v>
      </c>
      <c r="AA32" s="72">
        <f t="shared" si="10"/>
        <v>3.9999999999906777E-4</v>
      </c>
      <c r="AB32" s="69" t="e">
        <f>VLOOKUP(A32,Enforcements!$C$7:$J$24,8,0)</f>
        <v>#N/A</v>
      </c>
      <c r="AC32" s="65" t="e">
        <f>VLOOKUP(A32,Enforcements!$C$7:$E$24,3,0)</f>
        <v>#N/A</v>
      </c>
      <c r="AD32" s="66" t="str">
        <f t="shared" si="11"/>
        <v>0118-08</v>
      </c>
      <c r="AE32" s="108" t="str">
        <f t="shared" si="12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32" s="105" t="str">
        <f t="shared" si="13"/>
        <v>"C:\Program Files (x86)\AstroGrep\AstroGrep.exe" /spath="%USERPROFILE%\AppData\Local\Temp\OnboardLogs" /stypes="*4013*20160808*" /stext=" 12:.+((SYSTEM_STATE.+slice.+state.+changed )|(ment ac)|(system.+state.+changed )|(\|lc)|(penalty)|(\[timeout)|(PRM\|1\|D)|(kpr)|(kdp))" /e /r /s</v>
      </c>
      <c r="AG32" s="1" t="str">
        <f t="shared" si="14"/>
        <v>EC</v>
      </c>
      <c r="AH32" s="109" t="str">
        <f t="shared" si="16"/>
        <v>"%USERPROFILE%\Documents\GitHub\eaglep3\Utilities\RefineRTDCRunTimes.py" --tripid 118-08 --locoid 4013 --swversion DE.1.0.7.0 --startMP 204:232961 --initTime 2016-08-08T06:29:49 --startdatetime 2016-08-08T06:31:20 --delay 1 --endMP 204:232957 --enddatetime 2016-08-08T06:36:26 --enforcementcount 0</v>
      </c>
    </row>
    <row r="33" spans="1:34" s="1" customFormat="1" x14ac:dyDescent="0.25">
      <c r="A33" s="42" t="s">
        <v>351</v>
      </c>
      <c r="B33" s="7">
        <v>4020</v>
      </c>
      <c r="C33" s="25" t="s">
        <v>141</v>
      </c>
      <c r="D33" s="25" t="s">
        <v>516</v>
      </c>
      <c r="E33" s="16">
        <v>42590.250578703701</v>
      </c>
      <c r="F33" s="16">
        <v>42590.251562500001</v>
      </c>
      <c r="G33" s="7">
        <v>1</v>
      </c>
      <c r="H33" s="16" t="s">
        <v>135</v>
      </c>
      <c r="I33" s="16">
        <v>42590.276585648149</v>
      </c>
      <c r="J33" s="7">
        <v>0</v>
      </c>
      <c r="K33" s="25" t="str">
        <f t="shared" si="0"/>
        <v>4019/4020</v>
      </c>
      <c r="L33" s="25" t="str">
        <f>VLOOKUP(A33,'Trips&amp;Operators'!$C$1:$E$10000,3,FALSE)</f>
        <v>GEBRETEKLE</v>
      </c>
      <c r="M33" s="6">
        <f t="shared" si="1"/>
        <v>2.5023148147738539E-2</v>
      </c>
      <c r="N33" s="7">
        <f t="shared" ref="N33:N42" si="21">24*60*SUM($M33:$M33)</f>
        <v>36.033333332743496</v>
      </c>
      <c r="O33" s="7"/>
      <c r="P33" s="7"/>
      <c r="Q33" s="26"/>
      <c r="R33" s="26"/>
      <c r="S33" s="38">
        <f t="shared" ref="S33:S64" si="22">SUM(U33:U33)/IF(AG33="EC",12,1)</f>
        <v>1</v>
      </c>
      <c r="T33" s="55" t="str">
        <f t="shared" si="4"/>
        <v>NorthBound</v>
      </c>
      <c r="U33" s="14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05:00:50-0600',mode:absolute,to:'2016-08-08 07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33" s="57" t="str">
        <f t="shared" si="6"/>
        <v>N</v>
      </c>
      <c r="X33" s="136">
        <f t="shared" si="20"/>
        <v>1</v>
      </c>
      <c r="Y33" s="72">
        <f t="shared" si="8"/>
        <v>8.5199999999999998E-2</v>
      </c>
      <c r="Z33" s="72">
        <f t="shared" si="9"/>
        <v>23.3293</v>
      </c>
      <c r="AA33" s="72">
        <f t="shared" si="10"/>
        <v>23.2441</v>
      </c>
      <c r="AB33" s="69" t="e">
        <f>VLOOKUP(A33,Enforcements!$C$7:$J$24,8,0)</f>
        <v>#N/A</v>
      </c>
      <c r="AC33" s="65" t="e">
        <f>VLOOKUP(A33,Enforcements!$C$7:$E$24,3,0)</f>
        <v>#N/A</v>
      </c>
      <c r="AD33" s="66" t="str">
        <f t="shared" si="11"/>
        <v>0119-08</v>
      </c>
      <c r="AE33" s="108" t="str">
        <f t="shared" si="12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33" s="105" t="str">
        <f t="shared" si="13"/>
        <v>"C:\Program Files (x86)\AstroGrep\AstroGrep.exe" /spath="%USERPROFILE%\AppData\Local\Temp\OnboardLogs" /stypes="*4020*20160808*"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9" t="str">
        <f t="shared" si="16"/>
        <v>"%USERPROFILE%\Documents\GitHub\eaglep3\Utilities\RefineRTDCRunTimes.py" --tripid 119-08 --locoid 4020 --swversion DE.1.0.7.0 --startMP 204:852 --initTime 2016-08-08T06:00:50 --startdatetime 2016-08-08T06:02:15 --delay 1 --endMP 204:233293 --enddatetime 2016-08-08T06:38:17 --enforcementcount 0</v>
      </c>
    </row>
    <row r="34" spans="1:34" s="1" customFormat="1" x14ac:dyDescent="0.25">
      <c r="A34" s="42" t="s">
        <v>290</v>
      </c>
      <c r="B34" s="7">
        <v>4019</v>
      </c>
      <c r="C34" s="25" t="s">
        <v>141</v>
      </c>
      <c r="D34" s="25" t="s">
        <v>517</v>
      </c>
      <c r="E34" s="16">
        <v>42590.285787037035</v>
      </c>
      <c r="F34" s="16">
        <v>42590.286770833336</v>
      </c>
      <c r="G34" s="7">
        <v>1</v>
      </c>
      <c r="H34" s="16" t="s">
        <v>518</v>
      </c>
      <c r="I34" s="16">
        <v>42590.31758101852</v>
      </c>
      <c r="J34" s="7">
        <v>1</v>
      </c>
      <c r="K34" s="25" t="str">
        <f t="shared" si="0"/>
        <v>4019/4020</v>
      </c>
      <c r="L34" s="25" t="str">
        <f>VLOOKUP(A34,'Trips&amp;Operators'!$C$1:$E$10000,3,FALSE)</f>
        <v>GEBRETEKLE</v>
      </c>
      <c r="M34" s="6">
        <f t="shared" si="1"/>
        <v>3.0810185184236616E-2</v>
      </c>
      <c r="N34" s="7">
        <f t="shared" si="21"/>
        <v>44.366666665300727</v>
      </c>
      <c r="O34" s="7"/>
      <c r="P34" s="7"/>
      <c r="Q34" s="26"/>
      <c r="R34" s="26"/>
      <c r="S34" s="38">
        <f t="shared" si="22"/>
        <v>1</v>
      </c>
      <c r="T34" s="55" t="str">
        <f t="shared" si="4"/>
        <v>Southbound</v>
      </c>
      <c r="U34" s="14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05:51:32-0600',mode:absolute,to:'2016-08-08 08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34" s="57" t="str">
        <f t="shared" si="6"/>
        <v>N</v>
      </c>
      <c r="X34" s="136">
        <f t="shared" si="20"/>
        <v>1</v>
      </c>
      <c r="Y34" s="72">
        <f t="shared" si="8"/>
        <v>23.2972</v>
      </c>
      <c r="Z34" s="72">
        <f t="shared" si="9"/>
        <v>1.9099999999999999E-2</v>
      </c>
      <c r="AA34" s="72">
        <f t="shared" si="10"/>
        <v>23.278099999999998</v>
      </c>
      <c r="AB34" s="69">
        <f>VLOOKUP(A34,Enforcements!$C$7:$J$24,8,0)</f>
        <v>42961</v>
      </c>
      <c r="AC34" s="65" t="str">
        <f>VLOOKUP(A34,Enforcements!$C$7:$E$24,3,0)</f>
        <v>GRADE CROSSING</v>
      </c>
      <c r="AD34" s="66" t="str">
        <f t="shared" si="11"/>
        <v>0120-08</v>
      </c>
      <c r="AE34" s="108" t="str">
        <f t="shared" si="12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34" s="105" t="str">
        <f t="shared" si="13"/>
        <v>"C:\Program Files (x86)\AstroGrep\AstroGrep.exe" /spath="%USERPROFILE%\AppData\Local\Temp\OnboardLogs" /stypes="*4019*20160808*"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9" t="str">
        <f t="shared" si="16"/>
        <v>"%USERPROFILE%\Documents\GitHub\eaglep3\Utilities\RefineRTDCRunTimes.py" --tripid 120-08 --locoid 4019 --swversion DE.1.0.7.0 --startMP 204:232972 --initTime 2016-08-08T06:51:32 --startdatetime 2016-08-08T06:52:57 --delay 1 --endMP 204:191 --enddatetime 2016-08-08T07:37:19 --enforcementcount 1</v>
      </c>
    </row>
    <row r="35" spans="1:34" s="1" customFormat="1" x14ac:dyDescent="0.25">
      <c r="A35" s="42" t="s">
        <v>285</v>
      </c>
      <c r="B35" s="7">
        <v>4027</v>
      </c>
      <c r="C35" s="25" t="s">
        <v>141</v>
      </c>
      <c r="D35" s="25" t="s">
        <v>164</v>
      </c>
      <c r="E35" s="16">
        <v>42590.259837962964</v>
      </c>
      <c r="F35" s="16">
        <v>42590.260879629626</v>
      </c>
      <c r="G35" s="7">
        <v>1</v>
      </c>
      <c r="H35" s="16" t="s">
        <v>234</v>
      </c>
      <c r="I35" s="16">
        <v>42590.287129629629</v>
      </c>
      <c r="J35" s="7">
        <v>1</v>
      </c>
      <c r="K35" s="25" t="str">
        <f t="shared" si="0"/>
        <v>4027/4028</v>
      </c>
      <c r="L35" s="25" t="str">
        <f>VLOOKUP(A35,'Trips&amp;Operators'!$C$1:$E$10000,3,FALSE)</f>
        <v>SPECTOR</v>
      </c>
      <c r="M35" s="6">
        <f t="shared" si="1"/>
        <v>2.6250000002619345E-2</v>
      </c>
      <c r="N35" s="7">
        <f t="shared" si="21"/>
        <v>37.800000003771856</v>
      </c>
      <c r="O35" s="7"/>
      <c r="P35" s="7"/>
      <c r="Q35" s="26"/>
      <c r="R35" s="26"/>
      <c r="S35" s="38">
        <f t="shared" si="22"/>
        <v>1</v>
      </c>
      <c r="T35" s="55" t="str">
        <f t="shared" si="4"/>
        <v>NorthBound</v>
      </c>
      <c r="U35" s="14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05:14:10-0600',mode:absolute,to:'2016-08-08 07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35" s="57" t="str">
        <f t="shared" si="6"/>
        <v>N</v>
      </c>
      <c r="X35" s="136">
        <f t="shared" si="20"/>
        <v>1</v>
      </c>
      <c r="Y35" s="72">
        <f t="shared" si="8"/>
        <v>4.4699999999999997E-2</v>
      </c>
      <c r="Z35" s="72">
        <f t="shared" si="9"/>
        <v>23.331199999999999</v>
      </c>
      <c r="AA35" s="72">
        <f t="shared" si="10"/>
        <v>23.2865</v>
      </c>
      <c r="AB35" s="69">
        <f>VLOOKUP(A35,Enforcements!$C$7:$J$24,8,0)</f>
        <v>42779</v>
      </c>
      <c r="AC35" s="65" t="str">
        <f>VLOOKUP(A35,Enforcements!$C$7:$E$24,3,0)</f>
        <v>GRADE CROSSING</v>
      </c>
      <c r="AD35" s="66" t="str">
        <f t="shared" si="11"/>
        <v>0121-08</v>
      </c>
      <c r="AE35" s="108" t="str">
        <f t="shared" si="12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35" s="105" t="str">
        <f t="shared" si="13"/>
        <v>"C:\Program Files (x86)\AstroGrep\AstroGrep.exe" /spath="%USERPROFILE%\AppData\Local\Temp\OnboardLogs" /stypes="*4027*20160808*" /stext=" 12:.+((SYSTEM_STATE.+slice.+state.+changed )|(ment ac)|(system.+state.+changed )|(\|lc)|(penalty)|(\[timeout)|(PRM\|1\|D)|(kpr)|(kdp))" /e /r /s</v>
      </c>
      <c r="AG35" s="1" t="str">
        <f t="shared" si="14"/>
        <v>EC</v>
      </c>
      <c r="AH35" s="109" t="str">
        <f t="shared" si="16"/>
        <v>"%USERPROFILE%\Documents\GitHub\eaglep3\Utilities\RefineRTDCRunTimes.py" --tripid 121-08 --locoid 4027 --swversion DE.1.0.7.0 --startMP 204:447 --initTime 2016-08-08T06:14:10 --startdatetime 2016-08-08T06:15:40 --delay 1 --endMP 204:233312 --enddatetime 2016-08-08T06:53:28 --enforcementcount 1</v>
      </c>
    </row>
    <row r="36" spans="1:34" s="1" customFormat="1" x14ac:dyDescent="0.25">
      <c r="A36" s="42" t="s">
        <v>288</v>
      </c>
      <c r="B36" s="7">
        <v>4028</v>
      </c>
      <c r="C36" s="25" t="s">
        <v>141</v>
      </c>
      <c r="D36" s="25" t="s">
        <v>185</v>
      </c>
      <c r="E36" s="16">
        <v>42590.294120370374</v>
      </c>
      <c r="F36" s="16">
        <v>42590.295995370368</v>
      </c>
      <c r="G36" s="7">
        <v>2</v>
      </c>
      <c r="H36" s="16" t="s">
        <v>130</v>
      </c>
      <c r="I36" s="16">
        <v>42590.327060185184</v>
      </c>
      <c r="J36" s="7">
        <v>1</v>
      </c>
      <c r="K36" s="25" t="str">
        <f t="shared" si="0"/>
        <v>4027/4028</v>
      </c>
      <c r="L36" s="25" t="str">
        <f>VLOOKUP(A36,'Trips&amp;Operators'!$C$1:$E$10000,3,FALSE)</f>
        <v>SPECTOR</v>
      </c>
      <c r="M36" s="6">
        <f t="shared" si="1"/>
        <v>3.1064814815181307E-2</v>
      </c>
      <c r="N36" s="7">
        <f t="shared" si="21"/>
        <v>44.733333333861083</v>
      </c>
      <c r="O36" s="7"/>
      <c r="P36" s="7"/>
      <c r="Q36" s="26"/>
      <c r="R36" s="26"/>
      <c r="S36" s="38">
        <f t="shared" si="22"/>
        <v>1</v>
      </c>
      <c r="T36" s="55" t="str">
        <f t="shared" si="4"/>
        <v>Southbound</v>
      </c>
      <c r="U36" s="14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06:03:32-0600',mode:absolute,to:'2016-08-08 08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36" s="57" t="str">
        <f t="shared" si="6"/>
        <v>N</v>
      </c>
      <c r="X36" s="136">
        <f t="shared" si="20"/>
        <v>1</v>
      </c>
      <c r="Y36" s="72">
        <f t="shared" si="8"/>
        <v>23.299199999999999</v>
      </c>
      <c r="Z36" s="72">
        <f t="shared" si="9"/>
        <v>1.4999999999999999E-2</v>
      </c>
      <c r="AA36" s="72">
        <f t="shared" si="10"/>
        <v>23.284199999999998</v>
      </c>
      <c r="AB36" s="69" t="e">
        <f>VLOOKUP(A36,Enforcements!$C$7:$J$24,8,0)</f>
        <v>#N/A</v>
      </c>
      <c r="AC36" s="65" t="e">
        <f>VLOOKUP(A36,Enforcements!$C$7:$E$24,3,0)</f>
        <v>#N/A</v>
      </c>
      <c r="AD36" s="66" t="str">
        <f t="shared" si="11"/>
        <v>0122-08</v>
      </c>
      <c r="AE36" s="108" t="str">
        <f t="shared" si="12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36" s="105" t="str">
        <f t="shared" si="13"/>
        <v>"C:\Program Files (x86)\AstroGrep\AstroGrep.exe" /spath="%USERPROFILE%\AppData\Local\Temp\OnboardLogs" /stypes="*4028*20160808*" /stext=" 13:.+((SYSTEM_STATE.+slice.+state.+changed )|(ment ac)|(system.+state.+changed )|(\|lc)|(penalty)|(\[timeout)|(PRM\|1\|D)|(kpr)|(kdp))" /e /r /s</v>
      </c>
      <c r="AG36" s="1" t="str">
        <f t="shared" si="14"/>
        <v>EC</v>
      </c>
      <c r="AH36" s="109" t="str">
        <f t="shared" si="16"/>
        <v>"%USERPROFILE%\Documents\GitHub\eaglep3\Utilities\RefineRTDCRunTimes.py" --tripid 122-08 --locoid 4028 --swversion DE.1.0.7.0 --startMP 204:232992 --initTime 2016-08-08T07:03:32 --startdatetime 2016-08-08T07:06:14 --delay 2 --endMP 204:150 --enddatetime 2016-08-08T07:50:58 --enforcementcount 1</v>
      </c>
    </row>
    <row r="37" spans="1:34" s="1" customFormat="1" x14ac:dyDescent="0.25">
      <c r="A37" s="42" t="s">
        <v>287</v>
      </c>
      <c r="B37" s="7">
        <v>4038</v>
      </c>
      <c r="C37" s="25" t="s">
        <v>141</v>
      </c>
      <c r="D37" s="25" t="s">
        <v>132</v>
      </c>
      <c r="E37" s="16">
        <v>42590.268831018519</v>
      </c>
      <c r="F37" s="16">
        <v>42590.270277777781</v>
      </c>
      <c r="G37" s="7">
        <v>2</v>
      </c>
      <c r="H37" s="16" t="s">
        <v>519</v>
      </c>
      <c r="I37" s="16">
        <v>42590.296875</v>
      </c>
      <c r="J37" s="7">
        <v>1</v>
      </c>
      <c r="K37" s="25" t="str">
        <f t="shared" si="0"/>
        <v>4037/4038</v>
      </c>
      <c r="L37" s="25" t="str">
        <f>VLOOKUP(A37,'Trips&amp;Operators'!$C$1:$E$10000,3,FALSE)</f>
        <v>HOMIK</v>
      </c>
      <c r="M37" s="6">
        <f t="shared" si="1"/>
        <v>2.6597222218697425E-2</v>
      </c>
      <c r="N37" s="7">
        <f t="shared" si="21"/>
        <v>38.299999994924292</v>
      </c>
      <c r="O37" s="7"/>
      <c r="P37" s="7"/>
      <c r="Q37" s="26"/>
      <c r="R37" s="26"/>
      <c r="S37" s="38">
        <f t="shared" si="22"/>
        <v>1</v>
      </c>
      <c r="T37" s="55" t="str">
        <f t="shared" si="4"/>
        <v>NorthBound</v>
      </c>
      <c r="U37" s="14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05:27:07-0600',mode:absolute,to:'2016-08-08 08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37" s="57" t="str">
        <f t="shared" si="6"/>
        <v>N</v>
      </c>
      <c r="X37" s="136">
        <f t="shared" si="20"/>
        <v>1</v>
      </c>
      <c r="Y37" s="72">
        <f t="shared" si="8"/>
        <v>4.6199999999999998E-2</v>
      </c>
      <c r="Z37" s="72">
        <f t="shared" si="9"/>
        <v>23.3338</v>
      </c>
      <c r="AA37" s="72">
        <f t="shared" si="10"/>
        <v>23.287600000000001</v>
      </c>
      <c r="AB37" s="69">
        <f>VLOOKUP(A37,Enforcements!$C$7:$J$24,8,0)</f>
        <v>17867</v>
      </c>
      <c r="AC37" s="65" t="str">
        <f>VLOOKUP(A37,Enforcements!$C$7:$E$24,3,0)</f>
        <v>PERMANENT SPEED RESTRICTION</v>
      </c>
      <c r="AD37" s="66" t="str">
        <f t="shared" si="11"/>
        <v>0123-08</v>
      </c>
      <c r="AE37" s="108" t="str">
        <f t="shared" si="12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37" s="105" t="str">
        <f t="shared" si="13"/>
        <v>"C:\Program Files (x86)\AstroGrep\AstroGrep.exe" /spath="%USERPROFILE%\AppData\Local\Temp\OnboardLogs" /stypes="*4038*20160808*"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9" t="str">
        <f t="shared" si="16"/>
        <v>"%USERPROFILE%\Documents\GitHub\eaglep3\Utilities\RefineRTDCRunTimes.py" --tripid 123-08 --locoid 4038 --swversion DE.1.0.7.0 --startMP 204:462 --initTime 2016-08-08T06:27:07 --startdatetime 2016-08-08T06:29:12 --delay 2 --endMP 204:233338 --enddatetime 2016-08-08T07:07:30 --enforcementcount 1</v>
      </c>
    </row>
    <row r="38" spans="1:34" s="1" customFormat="1" x14ac:dyDescent="0.25">
      <c r="A38" s="42" t="s">
        <v>362</v>
      </c>
      <c r="B38" s="7">
        <v>4037</v>
      </c>
      <c r="C38" s="25" t="s">
        <v>141</v>
      </c>
      <c r="D38" s="25" t="s">
        <v>260</v>
      </c>
      <c r="E38" s="16">
        <v>42590.298460648148</v>
      </c>
      <c r="F38" s="16">
        <v>42590.300138888888</v>
      </c>
      <c r="G38" s="7">
        <v>2</v>
      </c>
      <c r="H38" s="16" t="s">
        <v>208</v>
      </c>
      <c r="I38" s="16">
        <v>42590.337881944448</v>
      </c>
      <c r="J38" s="7">
        <v>0</v>
      </c>
      <c r="K38" s="25" t="str">
        <f t="shared" si="0"/>
        <v>4037/4038</v>
      </c>
      <c r="L38" s="25" t="str">
        <f>VLOOKUP(A38,'Trips&amp;Operators'!$C$1:$E$10000,3,FALSE)</f>
        <v>HOMIK</v>
      </c>
      <c r="M38" s="6">
        <f t="shared" si="1"/>
        <v>3.7743055559985805E-2</v>
      </c>
      <c r="N38" s="7">
        <f t="shared" si="21"/>
        <v>54.35000000637956</v>
      </c>
      <c r="O38" s="7"/>
      <c r="P38" s="7"/>
      <c r="Q38" s="26"/>
      <c r="R38" s="26"/>
      <c r="S38" s="38">
        <f t="shared" si="22"/>
        <v>1</v>
      </c>
      <c r="T38" s="55" t="str">
        <f t="shared" si="4"/>
        <v>Southbound</v>
      </c>
      <c r="U38" s="14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06:09:47-0600',mode:absolute,to:'2016-08-08 09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38" s="57" t="str">
        <f t="shared" si="6"/>
        <v>N</v>
      </c>
      <c r="X38" s="136">
        <f t="shared" si="20"/>
        <v>1</v>
      </c>
      <c r="Y38" s="72">
        <f t="shared" si="8"/>
        <v>23.2987</v>
      </c>
      <c r="Z38" s="72">
        <f t="shared" si="9"/>
        <v>1.54E-2</v>
      </c>
      <c r="AA38" s="72">
        <f t="shared" si="10"/>
        <v>23.283300000000001</v>
      </c>
      <c r="AB38" s="69" t="e">
        <f>VLOOKUP(A38,Enforcements!$C$7:$J$24,8,0)</f>
        <v>#N/A</v>
      </c>
      <c r="AC38" s="65" t="e">
        <f>VLOOKUP(A38,Enforcements!$C$7:$E$24,3,0)</f>
        <v>#N/A</v>
      </c>
      <c r="AD38" s="66" t="str">
        <f t="shared" si="11"/>
        <v>0124-08</v>
      </c>
      <c r="AE38" s="108" t="str">
        <f t="shared" si="12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38" s="105" t="str">
        <f t="shared" si="13"/>
        <v>"C:\Program Files (x86)\AstroGrep\AstroGrep.exe" /spath="%USERPROFILE%\AppData\Local\Temp\OnboardLogs" /stypes="*4037*20160808*"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9" t="str">
        <f t="shared" si="16"/>
        <v>"%USERPROFILE%\Documents\GitHub\eaglep3\Utilities\RefineRTDCRunTimes.py" --tripid 124-08 --locoid 4037 --swversion DE.1.0.7.0 --startMP 204:232987 --initTime 2016-08-08T07:09:47 --startdatetime 2016-08-08T07:12:12 --delay 2 --endMP 204:154 --enddatetime 2016-08-08T08:06:33 --enforcementcount 0</v>
      </c>
    </row>
    <row r="39" spans="1:34" s="1" customFormat="1" x14ac:dyDescent="0.25">
      <c r="A39" s="42" t="s">
        <v>289</v>
      </c>
      <c r="B39" s="7">
        <v>4029</v>
      </c>
      <c r="C39" s="25" t="s">
        <v>141</v>
      </c>
      <c r="D39" s="25" t="s">
        <v>194</v>
      </c>
      <c r="E39" s="16">
        <v>42590.280034722222</v>
      </c>
      <c r="F39" s="16">
        <v>42590.280775462961</v>
      </c>
      <c r="G39" s="7">
        <v>1</v>
      </c>
      <c r="H39" s="16" t="s">
        <v>224</v>
      </c>
      <c r="I39" s="16">
        <v>42590.307604166665</v>
      </c>
      <c r="J39" s="7">
        <v>2</v>
      </c>
      <c r="K39" s="25" t="str">
        <f t="shared" si="0"/>
        <v>4029/4030</v>
      </c>
      <c r="L39" s="25" t="str">
        <f>VLOOKUP(A39,'Trips&amp;Operators'!$C$1:$E$10000,3,FALSE)</f>
        <v>STARKS</v>
      </c>
      <c r="M39" s="6">
        <f t="shared" si="1"/>
        <v>2.6828703703358769E-2</v>
      </c>
      <c r="N39" s="7">
        <f t="shared" si="21"/>
        <v>38.633333332836628</v>
      </c>
      <c r="O39" s="7"/>
      <c r="P39" s="7"/>
      <c r="Q39" s="26"/>
      <c r="R39" s="26"/>
      <c r="S39" s="38">
        <f t="shared" si="22"/>
        <v>1</v>
      </c>
      <c r="T39" s="55" t="str">
        <f t="shared" si="4"/>
        <v>NorthBound</v>
      </c>
      <c r="U39" s="14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05:43:15-0600',mode:absolute,to:'2016-08-08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39" s="57" t="str">
        <f t="shared" si="6"/>
        <v>N</v>
      </c>
      <c r="X39" s="136">
        <f t="shared" si="20"/>
        <v>1</v>
      </c>
      <c r="Y39" s="72">
        <f t="shared" si="8"/>
        <v>4.3799999999999999E-2</v>
      </c>
      <c r="Z39" s="72">
        <f t="shared" si="9"/>
        <v>23.329899999999999</v>
      </c>
      <c r="AA39" s="72">
        <f t="shared" si="10"/>
        <v>23.286099999999998</v>
      </c>
      <c r="AB39" s="69" t="e">
        <f>VLOOKUP(A39,Enforcements!$C$7:$J$24,8,0)</f>
        <v>#N/A</v>
      </c>
      <c r="AC39" s="65" t="e">
        <f>VLOOKUP(A39,Enforcements!$C$7:$E$24,3,0)</f>
        <v>#N/A</v>
      </c>
      <c r="AD39" s="66" t="str">
        <f t="shared" si="11"/>
        <v>0125-08</v>
      </c>
      <c r="AE39" s="108" t="str">
        <f t="shared" si="12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39" s="105" t="str">
        <f t="shared" si="13"/>
        <v>"C:\Program Files (x86)\AstroGrep\AstroGrep.exe" /spath="%USERPROFILE%\AppData\Local\Temp\OnboardLogs" /stypes="*4029*20160808*"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9" t="str">
        <f t="shared" si="16"/>
        <v>"%USERPROFILE%\Documents\GitHub\eaglep3\Utilities\RefineRTDCRunTimes.py" --tripid 125-08 --locoid 4029 --swversion DE.1.0.7.0 --startMP 204:438 --initTime 2016-08-08T06:43:15 --startdatetime 2016-08-08T06:44:19 --delay 1 --endMP 204:233299 --enddatetime 2016-08-08T07:22:57 --enforcementcount 2</v>
      </c>
    </row>
    <row r="40" spans="1:34" s="1" customFormat="1" x14ac:dyDescent="0.25">
      <c r="A40" s="42" t="s">
        <v>367</v>
      </c>
      <c r="B40" s="7">
        <v>4030</v>
      </c>
      <c r="C40" s="25" t="s">
        <v>141</v>
      </c>
      <c r="D40" s="25" t="s">
        <v>200</v>
      </c>
      <c r="E40" s="16">
        <v>42590.316354166665</v>
      </c>
      <c r="F40" s="16">
        <v>42590.317974537036</v>
      </c>
      <c r="G40" s="7">
        <v>2</v>
      </c>
      <c r="H40" s="16" t="s">
        <v>210</v>
      </c>
      <c r="I40" s="16">
        <v>42590.349606481483</v>
      </c>
      <c r="J40" s="7">
        <v>0</v>
      </c>
      <c r="K40" s="25" t="str">
        <f t="shared" si="0"/>
        <v>4029/4030</v>
      </c>
      <c r="L40" s="25" t="str">
        <f>VLOOKUP(A40,'Trips&amp;Operators'!$C$1:$E$10000,3,FALSE)</f>
        <v>STARKS</v>
      </c>
      <c r="M40" s="6">
        <f t="shared" si="1"/>
        <v>3.1631944446417037E-2</v>
      </c>
      <c r="N40" s="7">
        <f t="shared" si="21"/>
        <v>45.550000002840534</v>
      </c>
      <c r="O40" s="7"/>
      <c r="P40" s="7"/>
      <c r="Q40" s="26"/>
      <c r="R40" s="26"/>
      <c r="S40" s="38">
        <f t="shared" si="22"/>
        <v>1</v>
      </c>
      <c r="T40" s="55" t="str">
        <f t="shared" si="4"/>
        <v>Southbound</v>
      </c>
      <c r="U40" s="14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06:35:33-0600',mode:absolute,to:'2016-08-08 09:23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40" s="57" t="str">
        <f t="shared" si="6"/>
        <v>N</v>
      </c>
      <c r="X40" s="136">
        <f t="shared" si="20"/>
        <v>1</v>
      </c>
      <c r="Y40" s="72">
        <f t="shared" si="8"/>
        <v>23.299399999999999</v>
      </c>
      <c r="Z40" s="72">
        <f t="shared" si="9"/>
        <v>1.4500000000000001E-2</v>
      </c>
      <c r="AA40" s="72">
        <f t="shared" si="10"/>
        <v>23.284899999999997</v>
      </c>
      <c r="AB40" s="69" t="e">
        <f>VLOOKUP(A40,Enforcements!$C$7:$J$24,8,0)</f>
        <v>#N/A</v>
      </c>
      <c r="AC40" s="65" t="e">
        <f>VLOOKUP(A40,Enforcements!$C$7:$E$24,3,0)</f>
        <v>#N/A</v>
      </c>
      <c r="AD40" s="66" t="str">
        <f t="shared" si="11"/>
        <v>0126-08</v>
      </c>
      <c r="AE40" s="108" t="str">
        <f t="shared" si="12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40" s="105" t="str">
        <f t="shared" si="13"/>
        <v>"C:\Program Files (x86)\AstroGrep\AstroGrep.exe" /spath="%USERPROFILE%\AppData\Local\Temp\OnboardLogs" /stypes="*4030*20160808*"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9" t="str">
        <f t="shared" si="16"/>
        <v>"%USERPROFILE%\Documents\GitHub\eaglep3\Utilities\RefineRTDCRunTimes.py" --tripid 126-08 --locoid 4030 --swversion DE.1.0.7.0 --startMP 204:232994 --initTime 2016-08-08T07:35:33 --startdatetime 2016-08-08T07:37:53 --delay 2 --endMP 204:145 --enddatetime 2016-08-08T08:23:26 --enforcementcount 0</v>
      </c>
    </row>
    <row r="41" spans="1:34" s="1" customFormat="1" x14ac:dyDescent="0.25">
      <c r="A41" s="42" t="s">
        <v>360</v>
      </c>
      <c r="B41" s="7">
        <v>4011</v>
      </c>
      <c r="C41" s="25" t="s">
        <v>141</v>
      </c>
      <c r="D41" s="25" t="s">
        <v>63</v>
      </c>
      <c r="E41" s="16">
        <v>42590.287905092591</v>
      </c>
      <c r="F41" s="16">
        <v>42590.289039351854</v>
      </c>
      <c r="G41" s="7">
        <v>1</v>
      </c>
      <c r="H41" s="16" t="s">
        <v>187</v>
      </c>
      <c r="I41" s="16">
        <v>42590.324930555558</v>
      </c>
      <c r="J41" s="7">
        <v>0</v>
      </c>
      <c r="K41" s="25" t="str">
        <f t="shared" si="0"/>
        <v>4011/4012</v>
      </c>
      <c r="L41" s="25" t="str">
        <f>VLOOKUP(A41,'Trips&amp;Operators'!$C$1:$E$10000,3,FALSE)</f>
        <v>OUN</v>
      </c>
      <c r="M41" s="6">
        <f t="shared" si="1"/>
        <v>3.5891203704522923E-2</v>
      </c>
      <c r="N41" s="7">
        <f t="shared" si="21"/>
        <v>51.683333334513009</v>
      </c>
      <c r="O41" s="7"/>
      <c r="P41" s="7"/>
      <c r="Q41" s="26"/>
      <c r="R41" s="26"/>
      <c r="S41" s="38">
        <f t="shared" si="22"/>
        <v>1</v>
      </c>
      <c r="T41" s="55" t="str">
        <f t="shared" si="4"/>
        <v>NorthBound</v>
      </c>
      <c r="U41" s="14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05:54:35-0600',mode:absolute,to:'2016-08-08 08:47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41" s="57" t="str">
        <f t="shared" si="6"/>
        <v>N</v>
      </c>
      <c r="X41" s="136">
        <f t="shared" si="20"/>
        <v>1</v>
      </c>
      <c r="Y41" s="72">
        <f t="shared" si="8"/>
        <v>4.5999999999999999E-2</v>
      </c>
      <c r="Z41" s="72">
        <f t="shared" si="9"/>
        <v>23.331499999999998</v>
      </c>
      <c r="AA41" s="72">
        <f t="shared" si="10"/>
        <v>23.285499999999999</v>
      </c>
      <c r="AB41" s="69" t="e">
        <f>VLOOKUP(A41,Enforcements!$C$7:$J$24,8,0)</f>
        <v>#N/A</v>
      </c>
      <c r="AC41" s="65" t="e">
        <f>VLOOKUP(A41,Enforcements!$C$7:$E$24,3,0)</f>
        <v>#N/A</v>
      </c>
      <c r="AD41" s="66" t="str">
        <f t="shared" si="11"/>
        <v>0127-08</v>
      </c>
      <c r="AE41" s="108" t="str">
        <f t="shared" si="12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41" s="105" t="str">
        <f t="shared" si="13"/>
        <v>"C:\Program Files (x86)\AstroGrep\AstroGrep.exe" /spath="%USERPROFILE%\AppData\Local\Temp\OnboardLogs" /stypes="*4011*20160808*"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9" t="str">
        <f t="shared" si="16"/>
        <v>"%USERPROFILE%\Documents\GitHub\eaglep3\Utilities\RefineRTDCRunTimes.py" --tripid 127-08 --locoid 4011 --swversion DE.1.0.7.0 --startMP 204:460 --initTime 2016-08-08T06:54:35 --startdatetime 2016-08-08T06:56:13 --delay 1 --endMP 204:233315 --enddatetime 2016-08-08T07:47:54 --enforcementcount 0</v>
      </c>
    </row>
    <row r="42" spans="1:34" s="1" customFormat="1" x14ac:dyDescent="0.25">
      <c r="A42" s="42" t="s">
        <v>369</v>
      </c>
      <c r="B42" s="7">
        <v>4012</v>
      </c>
      <c r="C42" s="25" t="s">
        <v>141</v>
      </c>
      <c r="D42" s="25" t="s">
        <v>220</v>
      </c>
      <c r="E42" s="16">
        <v>42590.326273148145</v>
      </c>
      <c r="F42" s="16">
        <v>42590.327708333331</v>
      </c>
      <c r="G42" s="7">
        <v>2</v>
      </c>
      <c r="H42" s="16" t="s">
        <v>181</v>
      </c>
      <c r="I42" s="16">
        <v>42590.361307870371</v>
      </c>
      <c r="J42" s="7">
        <v>0</v>
      </c>
      <c r="K42" s="25" t="str">
        <f t="shared" si="0"/>
        <v>4011/4012</v>
      </c>
      <c r="L42" s="25" t="str">
        <f>VLOOKUP(A42,'Trips&amp;Operators'!$C$1:$E$10000,3,FALSE)</f>
        <v>OUN</v>
      </c>
      <c r="M42" s="6">
        <f t="shared" si="1"/>
        <v>3.3599537040572613E-2</v>
      </c>
      <c r="N42" s="7">
        <f t="shared" si="21"/>
        <v>48.383333338424563</v>
      </c>
      <c r="O42" s="7"/>
      <c r="P42" s="7"/>
      <c r="Q42" s="26"/>
      <c r="R42" s="26"/>
      <c r="S42" s="38">
        <f t="shared" si="22"/>
        <v>1</v>
      </c>
      <c r="T42" s="55" t="str">
        <f t="shared" si="4"/>
        <v>Southbound</v>
      </c>
      <c r="U42" s="14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06:49:50-0600',mode:absolute,to:'2016-08-08 09:40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42" s="57" t="str">
        <f t="shared" si="6"/>
        <v>N</v>
      </c>
      <c r="X42" s="136">
        <f t="shared" si="20"/>
        <v>1</v>
      </c>
      <c r="Y42" s="72">
        <f t="shared" si="8"/>
        <v>23.298500000000001</v>
      </c>
      <c r="Z42" s="72">
        <f t="shared" si="9"/>
        <v>1.5800000000000002E-2</v>
      </c>
      <c r="AA42" s="72">
        <f t="shared" si="10"/>
        <v>23.282700000000002</v>
      </c>
      <c r="AB42" s="69" t="e">
        <f>VLOOKUP(A42,Enforcements!$C$7:$J$24,8,0)</f>
        <v>#N/A</v>
      </c>
      <c r="AC42" s="65" t="e">
        <f>VLOOKUP(A42,Enforcements!$C$7:$E$24,3,0)</f>
        <v>#N/A</v>
      </c>
      <c r="AD42" s="66" t="str">
        <f t="shared" si="11"/>
        <v>0128-08</v>
      </c>
      <c r="AE42" s="108" t="str">
        <f t="shared" si="12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42" s="105" t="str">
        <f t="shared" si="13"/>
        <v>"C:\Program Files (x86)\AstroGrep\AstroGrep.exe" /spath="%USERPROFILE%\AppData\Local\Temp\OnboardLogs" /stypes="*4012*20160808*"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9" t="str">
        <f t="shared" si="16"/>
        <v>"%USERPROFILE%\Documents\GitHub\eaglep3\Utilities\RefineRTDCRunTimes.py" --tripid 128-08 --locoid 4012 --swversion DE.1.0.7.0 --startMP 204:232985 --initTime 2016-08-08T07:49:50 --startdatetime 2016-08-08T07:51:54 --delay 2 --endMP 204:158 --enddatetime 2016-08-08T08:40:17 --enforcementcount 0</v>
      </c>
    </row>
    <row r="43" spans="1:34" s="1" customFormat="1" x14ac:dyDescent="0.25">
      <c r="A43" s="42" t="s">
        <v>363</v>
      </c>
      <c r="B43" s="7">
        <v>4007</v>
      </c>
      <c r="C43" s="25" t="s">
        <v>141</v>
      </c>
      <c r="D43" s="25" t="s">
        <v>132</v>
      </c>
      <c r="E43" s="16">
        <v>42590.300254629627</v>
      </c>
      <c r="F43" s="16">
        <v>42590.301180555558</v>
      </c>
      <c r="G43" s="7">
        <v>1</v>
      </c>
      <c r="H43" s="16" t="s">
        <v>520</v>
      </c>
      <c r="I43" s="16">
        <v>42590.325729166667</v>
      </c>
      <c r="J43" s="7">
        <v>0</v>
      </c>
      <c r="K43" s="25" t="str">
        <f t="shared" si="0"/>
        <v>4007/4008</v>
      </c>
      <c r="L43" s="25" t="str">
        <f>VLOOKUP(A43,'Trips&amp;Operators'!$C$1:$E$10000,3,FALSE)</f>
        <v>MALAVE</v>
      </c>
      <c r="M43" s="6">
        <f t="shared" si="1"/>
        <v>2.4548611108912155E-2</v>
      </c>
      <c r="N43" s="7"/>
      <c r="O43" s="7"/>
      <c r="P43" s="7">
        <f>24*60*SUM($M43:$M43)</f>
        <v>35.349999996833503</v>
      </c>
      <c r="Q43" s="26"/>
      <c r="R43" s="26" t="s">
        <v>647</v>
      </c>
      <c r="S43" s="38">
        <f t="shared" si="22"/>
        <v>1</v>
      </c>
      <c r="T43" s="55" t="str">
        <f t="shared" si="4"/>
        <v>NorthBound</v>
      </c>
      <c r="U43" s="14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06:12:22-0600',mode:absolute,to:'2016-08-08 08:49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43" s="57" t="str">
        <f t="shared" si="6"/>
        <v>Y</v>
      </c>
      <c r="X43" s="136">
        <f t="shared" si="20"/>
        <v>1</v>
      </c>
      <c r="Y43" s="72">
        <f t="shared" si="8"/>
        <v>4.6199999999999998E-2</v>
      </c>
      <c r="Z43" s="72">
        <f t="shared" si="9"/>
        <v>22.160699999999999</v>
      </c>
      <c r="AA43" s="72">
        <f t="shared" si="10"/>
        <v>22.1145</v>
      </c>
      <c r="AB43" s="69" t="e">
        <f>VLOOKUP(A43,Enforcements!$C$7:$J$24,8,0)</f>
        <v>#N/A</v>
      </c>
      <c r="AC43" s="65" t="e">
        <f>VLOOKUP(A43,Enforcements!$C$7:$E$24,3,0)</f>
        <v>#N/A</v>
      </c>
      <c r="AD43" s="66" t="str">
        <f t="shared" si="11"/>
        <v>0129-08</v>
      </c>
      <c r="AE43" s="108" t="str">
        <f t="shared" si="12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43" s="105" t="str">
        <f t="shared" si="13"/>
        <v>"C:\Program Files (x86)\AstroGrep\AstroGrep.exe" /spath="%USERPROFILE%\AppData\Local\Temp\OnboardLogs" /stypes="*4007*20160808*" /stext=" 13:.+((SYSTEM_STATE.+slice.+state.+changed )|(ment ac)|(system.+state.+changed )|(\|lc)|(penalty)|(\[timeout)|(PRM\|1\|D)|(kpr)|(kdp))" /e /r /s</v>
      </c>
      <c r="AG43" s="1" t="str">
        <f t="shared" si="14"/>
        <v>EC</v>
      </c>
      <c r="AH43" s="109" t="str">
        <f t="shared" si="16"/>
        <v>"%USERPROFILE%\Documents\GitHub\eaglep3\Utilities\RefineRTDCRunTimes.py" --tripid 129-08 --locoid 4007 --swversion DE.1.0.7.0 --startMP 204:462 --initTime 2016-08-08T07:12:22 --startdatetime 2016-08-08T07:13:42 --delay 1 --endMP 204:221607 --enddatetime 2016-08-08T07:49:03 --enforcementcount 0</v>
      </c>
    </row>
    <row r="44" spans="1:34" s="1" customFormat="1" x14ac:dyDescent="0.25">
      <c r="A44" s="42" t="s">
        <v>371</v>
      </c>
      <c r="B44" s="7">
        <v>4008</v>
      </c>
      <c r="C44" s="25" t="s">
        <v>141</v>
      </c>
      <c r="D44" s="25" t="s">
        <v>521</v>
      </c>
      <c r="E44" s="16">
        <v>42590.340011574073</v>
      </c>
      <c r="F44" s="16">
        <v>42590.341134259259</v>
      </c>
      <c r="G44" s="7">
        <v>1</v>
      </c>
      <c r="H44" s="16" t="s">
        <v>208</v>
      </c>
      <c r="I44" s="16">
        <v>42590.368622685186</v>
      </c>
      <c r="J44" s="7">
        <v>0</v>
      </c>
      <c r="K44" s="25" t="str">
        <f t="shared" si="0"/>
        <v>4007/4008</v>
      </c>
      <c r="L44" s="25" t="str">
        <f>VLOOKUP(A44,'Trips&amp;Operators'!$C$1:$E$10000,3,FALSE)</f>
        <v>MALAVE</v>
      </c>
      <c r="M44" s="6">
        <f t="shared" si="1"/>
        <v>2.7488425927003846E-2</v>
      </c>
      <c r="N44" s="7">
        <f>24*60*SUM($M44:$M44)</f>
        <v>39.583333334885538</v>
      </c>
      <c r="O44" s="7"/>
      <c r="P44" s="7"/>
      <c r="Q44" s="26"/>
      <c r="R44" s="26"/>
      <c r="S44" s="38">
        <f t="shared" si="22"/>
        <v>1</v>
      </c>
      <c r="T44" s="55" t="str">
        <f t="shared" si="4"/>
        <v>Southbound</v>
      </c>
      <c r="U44" s="14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07:09:37-0600',mode:absolute,to:'2016-08-08 09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44" s="57" t="str">
        <f t="shared" si="6"/>
        <v>N</v>
      </c>
      <c r="X44" s="136">
        <f t="shared" si="20"/>
        <v>1</v>
      </c>
      <c r="Y44" s="72">
        <f t="shared" si="8"/>
        <v>23.295300000000001</v>
      </c>
      <c r="Z44" s="72">
        <f t="shared" si="9"/>
        <v>1.54E-2</v>
      </c>
      <c r="AA44" s="72">
        <f t="shared" si="10"/>
        <v>23.279900000000001</v>
      </c>
      <c r="AB44" s="69" t="e">
        <f>VLOOKUP(A44,Enforcements!$C$7:$J$24,8,0)</f>
        <v>#N/A</v>
      </c>
      <c r="AC44" s="65" t="e">
        <f>VLOOKUP(A44,Enforcements!$C$7:$E$24,3,0)</f>
        <v>#N/A</v>
      </c>
      <c r="AD44" s="66" t="str">
        <f t="shared" si="11"/>
        <v>0130-08</v>
      </c>
      <c r="AE44" s="108" t="str">
        <f t="shared" si="12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44" s="105" t="str">
        <f t="shared" si="13"/>
        <v>"C:\Program Files (x86)\AstroGrep\AstroGrep.exe" /spath="%USERPROFILE%\AppData\Local\Temp\OnboardLogs" /stypes="*4008*20160808*" /stext=" 14:.+((SYSTEM_STATE.+slice.+state.+changed )|(ment ac)|(system.+state.+changed )|(\|lc)|(penalty)|(\[timeout)|(PRM\|1\|D)|(kpr)|(kdp))" /e /r /s</v>
      </c>
      <c r="AG44" s="1" t="str">
        <f t="shared" si="14"/>
        <v>EC</v>
      </c>
      <c r="AH44" s="109" t="str">
        <f t="shared" si="16"/>
        <v>"%USERPROFILE%\Documents\GitHub\eaglep3\Utilities\RefineRTDCRunTimes.py" --tripid 130-08 --locoid 4008 --swversion DE.1.0.7.0 --startMP 204:232953 --initTime 2016-08-08T08:09:37 --startdatetime 2016-08-08T08:11:14 --delay 1 --endMP 204:154 --enddatetime 2016-08-08T08:50:49 --enforcementcount 0</v>
      </c>
    </row>
    <row r="45" spans="1:34" s="1" customFormat="1" x14ac:dyDescent="0.25">
      <c r="A45" s="42" t="s">
        <v>365</v>
      </c>
      <c r="B45" s="7">
        <v>4014</v>
      </c>
      <c r="C45" s="25" t="s">
        <v>141</v>
      </c>
      <c r="D45" s="25" t="s">
        <v>221</v>
      </c>
      <c r="E45" s="16">
        <v>42590.312222222223</v>
      </c>
      <c r="F45" s="16">
        <v>42590.313946759263</v>
      </c>
      <c r="G45" s="7">
        <v>2</v>
      </c>
      <c r="H45" s="16" t="s">
        <v>522</v>
      </c>
      <c r="I45" s="16">
        <v>42590.341122685182</v>
      </c>
      <c r="J45" s="7">
        <v>0</v>
      </c>
      <c r="K45" s="25" t="str">
        <f t="shared" si="0"/>
        <v>4013/4014</v>
      </c>
      <c r="L45" s="25" t="str">
        <f>VLOOKUP(A45,'Trips&amp;Operators'!$C$1:$E$10000,3,FALSE)</f>
        <v>STURGEON</v>
      </c>
      <c r="M45" s="6">
        <f t="shared" si="1"/>
        <v>2.717592591943685E-2</v>
      </c>
      <c r="N45" s="7">
        <f>24*60*SUM($M45:$M45)</f>
        <v>39.133333323989064</v>
      </c>
      <c r="O45" s="7"/>
      <c r="P45" s="7"/>
      <c r="Q45" s="26"/>
      <c r="R45" s="26"/>
      <c r="S45" s="38">
        <f t="shared" si="22"/>
        <v>1</v>
      </c>
      <c r="T45" s="55" t="str">
        <f t="shared" si="4"/>
        <v>NorthBound</v>
      </c>
      <c r="U45" s="14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06:29:36-0600',mode:absolute,to:'2016-08-08 09:11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45" s="57" t="str">
        <f t="shared" si="6"/>
        <v>N</v>
      </c>
      <c r="X45" s="136">
        <f t="shared" si="20"/>
        <v>1</v>
      </c>
      <c r="Y45" s="72">
        <f t="shared" ref="Y45:Y76" si="23">RIGHT(D45,LEN(D45)-4)/10000</f>
        <v>4.7300000000000002E-2</v>
      </c>
      <c r="Z45" s="72">
        <f t="shared" ref="Z45:Z76" si="24">RIGHT(H45,LEN(H45)-4)/10000</f>
        <v>23.3291</v>
      </c>
      <c r="AA45" s="72">
        <f t="shared" si="10"/>
        <v>23.2818</v>
      </c>
      <c r="AB45" s="69" t="e">
        <f>VLOOKUP(A45,Enforcements!$C$7:$J$24,8,0)</f>
        <v>#N/A</v>
      </c>
      <c r="AC45" s="65" t="e">
        <f>VLOOKUP(A45,Enforcements!$C$7:$E$24,3,0)</f>
        <v>#N/A</v>
      </c>
      <c r="AD45" s="66" t="str">
        <f t="shared" si="11"/>
        <v>0131-08</v>
      </c>
      <c r="AE45" s="108" t="str">
        <f t="shared" si="12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45" s="105" t="str">
        <f t="shared" si="13"/>
        <v>"C:\Program Files (x86)\AstroGrep\AstroGrep.exe" /spath="%USERPROFILE%\AppData\Local\Temp\OnboardLogs" /stypes="*4014*20160808*"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9" t="str">
        <f t="shared" si="16"/>
        <v>"%USERPROFILE%\Documents\GitHub\eaglep3\Utilities\RefineRTDCRunTimes.py" --tripid 131-08 --locoid 4014 --swversion DE.1.0.7.0 --startMP 204:473 --initTime 2016-08-08T07:29:36 --startdatetime 2016-08-08T07:32:05 --delay 2 --endMP 204:233291 --enddatetime 2016-08-08T08:11:13 --enforcementcount 0</v>
      </c>
    </row>
    <row r="46" spans="1:34" s="1" customFormat="1" x14ac:dyDescent="0.25">
      <c r="A46" s="42" t="s">
        <v>372</v>
      </c>
      <c r="B46" s="7">
        <v>4013</v>
      </c>
      <c r="C46" s="25" t="s">
        <v>141</v>
      </c>
      <c r="D46" s="25" t="s">
        <v>523</v>
      </c>
      <c r="E46" s="16">
        <v>42590.344178240739</v>
      </c>
      <c r="F46" s="16">
        <v>42590.348356481481</v>
      </c>
      <c r="G46" s="7">
        <v>6</v>
      </c>
      <c r="H46" s="16" t="s">
        <v>524</v>
      </c>
      <c r="I46" s="16">
        <v>42590.382002314815</v>
      </c>
      <c r="J46" s="7">
        <v>0</v>
      </c>
      <c r="K46" s="25" t="str">
        <f t="shared" si="0"/>
        <v>4013/4014</v>
      </c>
      <c r="L46" s="25" t="str">
        <f>VLOOKUP(A46,'Trips&amp;Operators'!$C$1:$E$10000,3,FALSE)</f>
        <v>STURGEON</v>
      </c>
      <c r="M46" s="6">
        <f t="shared" si="1"/>
        <v>3.3645833333139308E-2</v>
      </c>
      <c r="N46" s="7">
        <f>24*60*SUM($M46:$M46)</f>
        <v>48.449999999720603</v>
      </c>
      <c r="O46" s="7"/>
      <c r="P46" s="7"/>
      <c r="Q46" s="26"/>
      <c r="R46" s="26"/>
      <c r="S46" s="38">
        <f t="shared" si="22"/>
        <v>1</v>
      </c>
      <c r="T46" s="55" t="str">
        <f t="shared" si="4"/>
        <v>Southbound</v>
      </c>
      <c r="U46" s="14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07:15:37-0600',mode:absolute,to:'2016-08-08 10:10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46" s="57" t="str">
        <f t="shared" si="6"/>
        <v>N</v>
      </c>
      <c r="X46" s="136">
        <f t="shared" si="20"/>
        <v>1</v>
      </c>
      <c r="Y46" s="72">
        <f t="shared" si="23"/>
        <v>23.296600000000002</v>
      </c>
      <c r="Z46" s="72">
        <f t="shared" si="24"/>
        <v>1.8700000000000001E-2</v>
      </c>
      <c r="AA46" s="72">
        <f t="shared" si="10"/>
        <v>23.277900000000002</v>
      </c>
      <c r="AB46" s="69" t="e">
        <f>VLOOKUP(A46,Enforcements!$C$7:$J$24,8,0)</f>
        <v>#N/A</v>
      </c>
      <c r="AC46" s="65" t="e">
        <f>VLOOKUP(A46,Enforcements!$C$7:$E$24,3,0)</f>
        <v>#N/A</v>
      </c>
      <c r="AD46" s="66" t="str">
        <f t="shared" si="11"/>
        <v>0132-08</v>
      </c>
      <c r="AE46" s="108" t="str">
        <f t="shared" si="12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46" s="105" t="str">
        <f t="shared" si="13"/>
        <v>"C:\Program Files (x86)\AstroGrep\AstroGrep.exe" /spath="%USERPROFILE%\AppData\Local\Temp\OnboardLogs" /stypes="*4013*20160808*"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9" t="str">
        <f t="shared" si="16"/>
        <v>"%USERPROFILE%\Documents\GitHub\eaglep3\Utilities\RefineRTDCRunTimes.py" --tripid 132-08 --locoid 4013 --swversion DE.1.0.7.0 --startMP 204:232966 --initTime 2016-08-08T08:15:37 --startdatetime 2016-08-08T08:21:38 --delay 6 --endMP 204:187 --enddatetime 2016-08-08T09:10:05 --enforcementcount 0</v>
      </c>
    </row>
    <row r="47" spans="1:34" s="1" customFormat="1" x14ac:dyDescent="0.25">
      <c r="A47" s="42" t="s">
        <v>293</v>
      </c>
      <c r="B47" s="7">
        <v>4020</v>
      </c>
      <c r="C47" s="25" t="s">
        <v>141</v>
      </c>
      <c r="D47" s="25" t="s">
        <v>268</v>
      </c>
      <c r="E47" s="16">
        <v>42590.31994212963</v>
      </c>
      <c r="F47" s="16">
        <v>42590.323125000003</v>
      </c>
      <c r="G47" s="7">
        <v>4</v>
      </c>
      <c r="H47" s="16" t="s">
        <v>525</v>
      </c>
      <c r="I47" s="16">
        <v>42590.346724537034</v>
      </c>
      <c r="J47" s="7">
        <v>2</v>
      </c>
      <c r="K47" s="25" t="str">
        <f t="shared" si="0"/>
        <v>4019/4020</v>
      </c>
      <c r="L47" s="25" t="str">
        <f>VLOOKUP(A47,'Trips&amp;Operators'!$C$1:$E$10000,3,FALSE)</f>
        <v>GEBRETEKLE</v>
      </c>
      <c r="M47" s="6">
        <f t="shared" si="1"/>
        <v>2.3599537031259388E-2</v>
      </c>
      <c r="N47" s="7"/>
      <c r="O47" s="7"/>
      <c r="P47" s="7">
        <f>24*60*SUM($M47:$M47)</f>
        <v>33.983333325013518</v>
      </c>
      <c r="Q47" s="26"/>
      <c r="R47" s="26" t="s">
        <v>647</v>
      </c>
      <c r="S47" s="38">
        <f t="shared" si="22"/>
        <v>1</v>
      </c>
      <c r="T47" s="55" t="str">
        <f t="shared" si="4"/>
        <v>NorthBound</v>
      </c>
      <c r="U47" s="14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06:40:43-0600',mode:absolute,to:'2016-08-08 09:19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47" s="57" t="str">
        <f t="shared" si="6"/>
        <v>Y</v>
      </c>
      <c r="X47" s="136">
        <f t="shared" si="20"/>
        <v>1</v>
      </c>
      <c r="Y47" s="72">
        <f t="shared" si="23"/>
        <v>4.9099999999999998E-2</v>
      </c>
      <c r="Z47" s="72">
        <f t="shared" si="24"/>
        <v>22.438700000000001</v>
      </c>
      <c r="AA47" s="72">
        <f t="shared" si="10"/>
        <v>22.389600000000002</v>
      </c>
      <c r="AB47" s="69" t="e">
        <f>VLOOKUP(A47,Enforcements!$C$7:$J$24,8,0)</f>
        <v>#N/A</v>
      </c>
      <c r="AC47" s="65" t="e">
        <f>VLOOKUP(A47,Enforcements!$C$7:$E$24,3,0)</f>
        <v>#N/A</v>
      </c>
      <c r="AD47" s="66" t="str">
        <f t="shared" si="11"/>
        <v>0133-08</v>
      </c>
      <c r="AE47" s="108" t="str">
        <f t="shared" si="12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47" s="105" t="str">
        <f t="shared" si="13"/>
        <v>"C:\Program Files (x86)\AstroGrep\AstroGrep.exe" /spath="%USERPROFILE%\AppData\Local\Temp\OnboardLogs" /stypes="*4020*20160808*"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9" t="str">
        <f t="shared" si="16"/>
        <v>"%USERPROFILE%\Documents\GitHub\eaglep3\Utilities\RefineRTDCRunTimes.py" --tripid 133-08 --locoid 4020 --swversion DE.1.0.7.0 --startMP 204:491 --initTime 2016-08-08T07:40:43 --startdatetime 2016-08-08T07:45:18 --delay 4 --endMP 204:224387 --enddatetime 2016-08-08T08:19:17 --enforcementcount 2</v>
      </c>
    </row>
    <row r="48" spans="1:34" s="1" customFormat="1" x14ac:dyDescent="0.25">
      <c r="A48" s="42" t="s">
        <v>374</v>
      </c>
      <c r="B48" s="7">
        <v>4019</v>
      </c>
      <c r="C48" s="25" t="s">
        <v>141</v>
      </c>
      <c r="D48" s="25" t="s">
        <v>64</v>
      </c>
      <c r="E48" s="16">
        <v>42590.357743055552</v>
      </c>
      <c r="F48" s="16">
        <v>42590.358865740738</v>
      </c>
      <c r="G48" s="7">
        <v>1</v>
      </c>
      <c r="H48" s="16" t="s">
        <v>191</v>
      </c>
      <c r="I48" s="16">
        <v>42590.390219907407</v>
      </c>
      <c r="J48" s="7">
        <v>0</v>
      </c>
      <c r="K48" s="25" t="str">
        <f t="shared" si="0"/>
        <v>4019/4020</v>
      </c>
      <c r="L48" s="25" t="str">
        <f>VLOOKUP(A48,'Trips&amp;Operators'!$C$1:$E$10000,3,FALSE)</f>
        <v>GEBRETEKLE</v>
      </c>
      <c r="M48" s="6">
        <f t="shared" si="1"/>
        <v>3.1354166669188999E-2</v>
      </c>
      <c r="N48" s="7">
        <f t="shared" ref="N48:N79" si="25">24*60*SUM($M48:$M48)</f>
        <v>45.150000003632158</v>
      </c>
      <c r="O48" s="7"/>
      <c r="P48" s="7"/>
      <c r="Q48" s="26"/>
      <c r="R48" s="26"/>
      <c r="S48" s="38">
        <f t="shared" si="22"/>
        <v>1</v>
      </c>
      <c r="T48" s="55" t="str">
        <f t="shared" si="4"/>
        <v>Southbound</v>
      </c>
      <c r="U48" s="14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07:35:09-0600',mode:absolute,to:'2016-08-08 10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48" s="57" t="str">
        <f t="shared" si="6"/>
        <v>N</v>
      </c>
      <c r="X48" s="136">
        <f t="shared" si="20"/>
        <v>1</v>
      </c>
      <c r="Y48" s="72">
        <f t="shared" si="23"/>
        <v>23.297699999999999</v>
      </c>
      <c r="Z48" s="72">
        <f t="shared" si="24"/>
        <v>1.47E-2</v>
      </c>
      <c r="AA48" s="72">
        <f t="shared" si="10"/>
        <v>23.282999999999998</v>
      </c>
      <c r="AB48" s="69" t="e">
        <f>VLOOKUP(A48,Enforcements!$C$7:$J$24,8,0)</f>
        <v>#N/A</v>
      </c>
      <c r="AC48" s="65" t="e">
        <f>VLOOKUP(A48,Enforcements!$C$7:$E$24,3,0)</f>
        <v>#N/A</v>
      </c>
      <c r="AD48" s="66" t="str">
        <f t="shared" si="11"/>
        <v>0134-08</v>
      </c>
      <c r="AE48" s="108" t="str">
        <f t="shared" si="12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48" s="105" t="str">
        <f t="shared" si="13"/>
        <v>"C:\Program Files (x86)\AstroGrep\AstroGrep.exe" /spath="%USERPROFILE%\AppData\Local\Temp\OnboardLogs" /stypes="*4019*20160808*"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9" t="str">
        <f t="shared" si="16"/>
        <v>"%USERPROFILE%\Documents\GitHub\eaglep3\Utilities\RefineRTDCRunTimes.py" --tripid 134-08 --locoid 4019 --swversion DE.1.0.7.0 --startMP 204:232977 --initTime 2016-08-08T08:35:09 --startdatetime 2016-08-08T08:36:46 --delay 1 --endMP 204:147 --enddatetime 2016-08-08T09:21:55 --enforcementcount 0</v>
      </c>
    </row>
    <row r="49" spans="1:34" s="1" customFormat="1" x14ac:dyDescent="0.25">
      <c r="A49" s="42" t="s">
        <v>291</v>
      </c>
      <c r="B49" s="7">
        <v>4027</v>
      </c>
      <c r="C49" s="25" t="s">
        <v>141</v>
      </c>
      <c r="D49" s="25" t="s">
        <v>194</v>
      </c>
      <c r="E49" s="16">
        <v>42590.329733796294</v>
      </c>
      <c r="F49" s="16">
        <v>42590.330729166664</v>
      </c>
      <c r="G49" s="7">
        <v>1</v>
      </c>
      <c r="H49" s="16" t="s">
        <v>139</v>
      </c>
      <c r="I49" s="16">
        <v>42590.361273148148</v>
      </c>
      <c r="J49" s="7">
        <v>2</v>
      </c>
      <c r="K49" s="25" t="str">
        <f t="shared" si="0"/>
        <v>4027/4028</v>
      </c>
      <c r="L49" s="25" t="str">
        <f>VLOOKUP(A49,'Trips&amp;Operators'!$C$1:$E$10000,3,FALSE)</f>
        <v>SPECTOR</v>
      </c>
      <c r="M49" s="6">
        <f t="shared" si="1"/>
        <v>3.054398148378823E-2</v>
      </c>
      <c r="N49" s="7">
        <f t="shared" si="25"/>
        <v>43.983333336655051</v>
      </c>
      <c r="O49" s="7"/>
      <c r="P49" s="7"/>
      <c r="Q49" s="26"/>
      <c r="R49" s="26"/>
      <c r="S49" s="38">
        <f t="shared" si="22"/>
        <v>1</v>
      </c>
      <c r="T49" s="55" t="str">
        <f t="shared" si="4"/>
        <v>NorthBound</v>
      </c>
      <c r="U49" s="14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06:54:49-0600',mode:absolute,to:'2016-08-08 09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49" s="57" t="str">
        <f t="shared" si="6"/>
        <v>N</v>
      </c>
      <c r="X49" s="136">
        <f t="shared" si="20"/>
        <v>1</v>
      </c>
      <c r="Y49" s="72">
        <f t="shared" si="23"/>
        <v>4.3799999999999999E-2</v>
      </c>
      <c r="Z49" s="72">
        <f t="shared" si="24"/>
        <v>23.329499999999999</v>
      </c>
      <c r="AA49" s="72">
        <f t="shared" si="10"/>
        <v>23.285699999999999</v>
      </c>
      <c r="AB49" s="69">
        <f>VLOOKUP(A49,Enforcements!$C$7:$J$24,8,0)</f>
        <v>63069</v>
      </c>
      <c r="AC49" s="65" t="str">
        <f>VLOOKUP(A49,Enforcements!$C$7:$E$24,3,0)</f>
        <v>GRADE CROSSING</v>
      </c>
      <c r="AD49" s="66" t="str">
        <f t="shared" si="11"/>
        <v>0135-08</v>
      </c>
      <c r="AE49" s="108" t="str">
        <f t="shared" si="12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49" s="105" t="str">
        <f t="shared" si="13"/>
        <v>"C:\Program Files (x86)\AstroGrep\AstroGrep.exe" /spath="%USERPROFILE%\AppData\Local\Temp\OnboardLogs" /stypes="*4027*20160808*"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9" t="str">
        <f t="shared" si="16"/>
        <v>"%USERPROFILE%\Documents\GitHub\eaglep3\Utilities\RefineRTDCRunTimes.py" --tripid 135-08 --locoid 4027 --swversion DE.1.0.7.0 --startMP 204:438 --initTime 2016-08-08T07:54:49 --startdatetime 2016-08-08T07:56:15 --delay 1 --endMP 204:233295 --enddatetime 2016-08-08T08:40:14 --enforcementcount 2</v>
      </c>
    </row>
    <row r="50" spans="1:34" s="1" customFormat="1" x14ac:dyDescent="0.25">
      <c r="A50" s="42" t="s">
        <v>377</v>
      </c>
      <c r="B50" s="7">
        <v>4028</v>
      </c>
      <c r="C50" s="25" t="s">
        <v>141</v>
      </c>
      <c r="D50" s="25" t="s">
        <v>526</v>
      </c>
      <c r="E50" s="16">
        <v>42590.368263888886</v>
      </c>
      <c r="F50" s="16">
        <v>42590.370358796295</v>
      </c>
      <c r="G50" s="7">
        <v>3</v>
      </c>
      <c r="H50" s="16" t="s">
        <v>527</v>
      </c>
      <c r="I50" s="16">
        <v>42590.401562500003</v>
      </c>
      <c r="J50" s="7">
        <v>0</v>
      </c>
      <c r="K50" s="25" t="str">
        <f t="shared" si="0"/>
        <v>4027/4028</v>
      </c>
      <c r="L50" s="25" t="str">
        <f>VLOOKUP(A50,'Trips&amp;Operators'!$C$1:$E$10000,3,FALSE)</f>
        <v>SPECTOR</v>
      </c>
      <c r="M50" s="6">
        <f t="shared" si="1"/>
        <v>3.1203703707433306E-2</v>
      </c>
      <c r="N50" s="7">
        <f t="shared" si="25"/>
        <v>44.93333333870396</v>
      </c>
      <c r="O50" s="7"/>
      <c r="P50" s="7"/>
      <c r="Q50" s="26"/>
      <c r="R50" s="26"/>
      <c r="S50" s="38">
        <f t="shared" si="22"/>
        <v>1</v>
      </c>
      <c r="T50" s="55" t="str">
        <f t="shared" si="4"/>
        <v>Southbound</v>
      </c>
      <c r="U50" s="14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07:50:18-0600',mode:absolute,to:'2016-08-08 10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50" s="57" t="str">
        <f t="shared" si="6"/>
        <v>N</v>
      </c>
      <c r="X50" s="136">
        <f t="shared" si="20"/>
        <v>1</v>
      </c>
      <c r="Y50" s="72">
        <f t="shared" si="23"/>
        <v>23.3019</v>
      </c>
      <c r="Z50" s="72">
        <f t="shared" si="24"/>
        <v>1.23E-2</v>
      </c>
      <c r="AA50" s="72">
        <f t="shared" si="10"/>
        <v>23.2896</v>
      </c>
      <c r="AB50" s="69" t="e">
        <f>VLOOKUP(A50,Enforcements!$C$7:$J$24,8,0)</f>
        <v>#N/A</v>
      </c>
      <c r="AC50" s="65" t="e">
        <f>VLOOKUP(A50,Enforcements!$C$7:$E$24,3,0)</f>
        <v>#N/A</v>
      </c>
      <c r="AD50" s="66" t="str">
        <f t="shared" si="11"/>
        <v>0136-08</v>
      </c>
      <c r="AE50" s="108" t="str">
        <f t="shared" si="12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50" s="105" t="str">
        <f t="shared" si="13"/>
        <v>"C:\Program Files (x86)\AstroGrep\AstroGrep.exe" /spath="%USERPROFILE%\AppData\Local\Temp\OnboardLogs" /stypes="*4028*20160808*"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9" t="str">
        <f t="shared" si="16"/>
        <v>"%USERPROFILE%\Documents\GitHub\eaglep3\Utilities\RefineRTDCRunTimes.py" --tripid 136-08 --locoid 4028 --swversion DE.1.0.7.0 --startMP 204:233019 --initTime 2016-08-08T08:50:18 --startdatetime 2016-08-08T08:53:19 --delay 3 --endMP 204:123 --enddatetime 2016-08-08T09:38:15 --enforcementcount 0</v>
      </c>
    </row>
    <row r="51" spans="1:34" s="1" customFormat="1" x14ac:dyDescent="0.25">
      <c r="A51" s="42" t="s">
        <v>292</v>
      </c>
      <c r="B51" s="7">
        <v>4038</v>
      </c>
      <c r="C51" s="25" t="s">
        <v>141</v>
      </c>
      <c r="D51" s="25" t="s">
        <v>203</v>
      </c>
      <c r="E51" s="16">
        <v>42590.339513888888</v>
      </c>
      <c r="F51" s="16">
        <v>42590.341168981482</v>
      </c>
      <c r="G51" s="7">
        <v>2</v>
      </c>
      <c r="H51" s="16" t="s">
        <v>184</v>
      </c>
      <c r="I51" s="16">
        <v>42590.368344907409</v>
      </c>
      <c r="J51" s="7">
        <v>1</v>
      </c>
      <c r="K51" s="25" t="str">
        <f t="shared" si="0"/>
        <v>4037/4038</v>
      </c>
      <c r="L51" s="25" t="str">
        <f>VLOOKUP(A51,'Trips&amp;Operators'!$C$1:$E$10000,3,FALSE)</f>
        <v>YORK</v>
      </c>
      <c r="M51" s="6">
        <f t="shared" si="1"/>
        <v>2.7175925926712807E-2</v>
      </c>
      <c r="N51" s="7">
        <f t="shared" si="25"/>
        <v>39.133333334466442</v>
      </c>
      <c r="O51" s="7"/>
      <c r="P51" s="7"/>
      <c r="Q51" s="26"/>
      <c r="R51" s="26"/>
      <c r="S51" s="38">
        <f t="shared" si="22"/>
        <v>1</v>
      </c>
      <c r="T51" s="55" t="str">
        <f t="shared" si="4"/>
        <v>NorthBound</v>
      </c>
      <c r="U51" s="14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07:08:54-0600',mode:absolute,to:'2016-08-08 09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51" s="57" t="str">
        <f t="shared" si="6"/>
        <v>N</v>
      </c>
      <c r="X51" s="136">
        <f t="shared" si="20"/>
        <v>1</v>
      </c>
      <c r="Y51" s="72">
        <f t="shared" si="23"/>
        <v>4.4900000000000002E-2</v>
      </c>
      <c r="Z51" s="72">
        <f t="shared" si="24"/>
        <v>23.3307</v>
      </c>
      <c r="AA51" s="72">
        <f t="shared" si="10"/>
        <v>23.285800000000002</v>
      </c>
      <c r="AB51" s="69">
        <f>VLOOKUP(A51,Enforcements!$C$7:$J$24,8,0)</f>
        <v>0</v>
      </c>
      <c r="AC51" s="65" t="str">
        <f>VLOOKUP(A51,Enforcements!$C$7:$E$24,3,0)</f>
        <v>PERMANENT SPEED RESTRICTION</v>
      </c>
      <c r="AD51" s="66" t="str">
        <f t="shared" si="11"/>
        <v>0137-08</v>
      </c>
      <c r="AE51" s="108" t="str">
        <f t="shared" si="12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51" s="105" t="str">
        <f t="shared" si="13"/>
        <v>"C:\Program Files (x86)\AstroGrep\AstroGrep.exe" /spath="%USERPROFILE%\AppData\Local\Temp\OnboardLogs" /stypes="*4038*20160808*" /stext=" 14:.+((SYSTEM_STATE.+slice.+state.+changed )|(ment ac)|(system.+state.+changed )|(\|lc)|(penalty)|(\[timeout)|(PRM\|1\|D)|(kpr)|(kdp))" /e /r /s</v>
      </c>
      <c r="AG51" s="1" t="str">
        <f t="shared" si="14"/>
        <v>EC</v>
      </c>
      <c r="AH51" s="109" t="str">
        <f t="shared" si="16"/>
        <v>"%USERPROFILE%\Documents\GitHub\eaglep3\Utilities\RefineRTDCRunTimes.py" --tripid 137-08 --locoid 4038 --swversion DE.1.0.7.0 --startMP 204:449 --initTime 2016-08-08T08:08:54 --startdatetime 2016-08-08T08:11:17 --delay 2 --endMP 204:233307 --enddatetime 2016-08-08T08:50:25 --enforcementcount 1</v>
      </c>
    </row>
    <row r="52" spans="1:34" s="1" customFormat="1" x14ac:dyDescent="0.25">
      <c r="A52" s="42" t="s">
        <v>378</v>
      </c>
      <c r="B52" s="7">
        <v>4037</v>
      </c>
      <c r="C52" s="25" t="s">
        <v>141</v>
      </c>
      <c r="D52" s="25" t="s">
        <v>528</v>
      </c>
      <c r="E52" s="16">
        <v>42590.370949074073</v>
      </c>
      <c r="F52" s="16">
        <v>42590.371655092589</v>
      </c>
      <c r="G52" s="7">
        <v>1</v>
      </c>
      <c r="H52" s="16" t="s">
        <v>210</v>
      </c>
      <c r="I52" s="16">
        <v>42590.410300925927</v>
      </c>
      <c r="J52" s="7">
        <v>0</v>
      </c>
      <c r="K52" s="25" t="str">
        <f t="shared" si="0"/>
        <v>4037/4038</v>
      </c>
      <c r="L52" s="25" t="str">
        <f>VLOOKUP(A52,'Trips&amp;Operators'!$C$1:$E$10000,3,FALSE)</f>
        <v>YORK</v>
      </c>
      <c r="M52" s="6">
        <f t="shared" si="1"/>
        <v>3.8645833337795921E-2</v>
      </c>
      <c r="N52" s="7">
        <f t="shared" si="25"/>
        <v>55.650000006426126</v>
      </c>
      <c r="O52" s="7"/>
      <c r="P52" s="7"/>
      <c r="Q52" s="26"/>
      <c r="R52" s="26"/>
      <c r="S52" s="38">
        <f t="shared" si="22"/>
        <v>1</v>
      </c>
      <c r="T52" s="55" t="str">
        <f t="shared" si="4"/>
        <v>Southbound</v>
      </c>
      <c r="U52" s="14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07:54:10-0600',mode:absolute,to:'2016-08-08 10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52" s="57" t="str">
        <f t="shared" si="6"/>
        <v>N</v>
      </c>
      <c r="X52" s="136">
        <f t="shared" si="20"/>
        <v>1</v>
      </c>
      <c r="Y52" s="72">
        <f t="shared" si="23"/>
        <v>23.298999999999999</v>
      </c>
      <c r="Z52" s="72">
        <f t="shared" si="24"/>
        <v>1.4500000000000001E-2</v>
      </c>
      <c r="AA52" s="72">
        <f t="shared" si="10"/>
        <v>23.284499999999998</v>
      </c>
      <c r="AB52" s="69" t="e">
        <f>VLOOKUP(A52,Enforcements!$C$7:$J$24,8,0)</f>
        <v>#N/A</v>
      </c>
      <c r="AC52" s="65" t="e">
        <f>VLOOKUP(A52,Enforcements!$C$7:$E$24,3,0)</f>
        <v>#N/A</v>
      </c>
      <c r="AD52" s="66" t="str">
        <f t="shared" si="11"/>
        <v>0138-08</v>
      </c>
      <c r="AE52" s="108" t="str">
        <f t="shared" si="12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52" s="105" t="str">
        <f t="shared" si="13"/>
        <v>"C:\Program Files (x86)\AstroGrep\AstroGrep.exe" /spath="%USERPROFILE%\AppData\Local\Temp\OnboardLogs" /stypes="*4037*20160808*" /stext=" 15:.+((SYSTEM_STATE.+slice.+state.+changed )|(ment ac)|(system.+state.+changed )|(\|lc)|(penalty)|(\[timeout)|(PRM\|1\|D)|(kpr)|(kdp))" /e /r /s</v>
      </c>
      <c r="AG52" s="1" t="str">
        <f t="shared" si="14"/>
        <v>EC</v>
      </c>
      <c r="AH52" s="109" t="str">
        <f t="shared" si="16"/>
        <v>"%USERPROFILE%\Documents\GitHub\eaglep3\Utilities\RefineRTDCRunTimes.py" --tripid 138-08 --locoid 4037 --swversion DE.1.0.7.0 --startMP 204:232990 --initTime 2016-08-08T08:54:10 --startdatetime 2016-08-08T08:55:11 --delay 1 --endMP 204:145 --enddatetime 2016-08-08T09:50:50 --enforcementcount 0</v>
      </c>
    </row>
    <row r="53" spans="1:34" s="1" customFormat="1" x14ac:dyDescent="0.25">
      <c r="A53" s="42" t="s">
        <v>294</v>
      </c>
      <c r="B53" s="7">
        <v>4029</v>
      </c>
      <c r="C53" s="25" t="s">
        <v>141</v>
      </c>
      <c r="D53" s="25" t="s">
        <v>171</v>
      </c>
      <c r="E53" s="16">
        <v>42590.350937499999</v>
      </c>
      <c r="F53" s="16">
        <v>42590.351898148147</v>
      </c>
      <c r="G53" s="7">
        <v>1</v>
      </c>
      <c r="H53" s="16" t="s">
        <v>202</v>
      </c>
      <c r="I53" s="16">
        <v>42590.383020833331</v>
      </c>
      <c r="J53" s="7">
        <v>1</v>
      </c>
      <c r="K53" s="25" t="str">
        <f t="shared" si="0"/>
        <v>4029/4030</v>
      </c>
      <c r="L53" s="25" t="str">
        <f>VLOOKUP(A53,'Trips&amp;Operators'!$C$1:$E$10000,3,FALSE)</f>
        <v>STARKS</v>
      </c>
      <c r="M53" s="6">
        <f t="shared" si="1"/>
        <v>3.1122685184527654E-2</v>
      </c>
      <c r="N53" s="7">
        <f t="shared" si="25"/>
        <v>44.816666665719822</v>
      </c>
      <c r="O53" s="7"/>
      <c r="P53" s="7"/>
      <c r="Q53" s="26"/>
      <c r="R53" s="26"/>
      <c r="S53" s="38">
        <f t="shared" si="22"/>
        <v>1</v>
      </c>
      <c r="T53" s="55" t="str">
        <f t="shared" si="4"/>
        <v>NorthBound</v>
      </c>
      <c r="U53" s="14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07:25:21-0600',mode:absolute,to:'2016-08-08 10:11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53" s="57" t="str">
        <f t="shared" si="6"/>
        <v>N</v>
      </c>
      <c r="X53" s="136">
        <f t="shared" si="20"/>
        <v>1</v>
      </c>
      <c r="Y53" s="72">
        <f t="shared" si="23"/>
        <v>4.5499999999999999E-2</v>
      </c>
      <c r="Z53" s="72">
        <f t="shared" si="24"/>
        <v>23.331</v>
      </c>
      <c r="AA53" s="72">
        <f t="shared" si="10"/>
        <v>23.285499999999999</v>
      </c>
      <c r="AB53" s="69" t="e">
        <f>VLOOKUP(A53,Enforcements!$C$7:$J$24,8,0)</f>
        <v>#N/A</v>
      </c>
      <c r="AC53" s="65" t="e">
        <f>VLOOKUP(A53,Enforcements!$C$7:$E$24,3,0)</f>
        <v>#N/A</v>
      </c>
      <c r="AD53" s="66" t="str">
        <f t="shared" si="11"/>
        <v>0139-08</v>
      </c>
      <c r="AE53" s="108" t="str">
        <f t="shared" si="12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53" s="105" t="str">
        <f t="shared" si="13"/>
        <v>"C:\Program Files (x86)\AstroGrep\AstroGrep.exe" /spath="%USERPROFILE%\AppData\Local\Temp\OnboardLogs" /stypes="*4029*20160808*"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9" t="str">
        <f t="shared" si="16"/>
        <v>"%USERPROFILE%\Documents\GitHub\eaglep3\Utilities\RefineRTDCRunTimes.py" --tripid 139-08 --locoid 4029 --swversion DE.1.0.7.0 --startMP 204:455 --initTime 2016-08-08T08:25:21 --startdatetime 2016-08-08T08:26:44 --delay 1 --endMP 204:233310 --enddatetime 2016-08-08T09:11:33 --enforcementcount 1</v>
      </c>
    </row>
    <row r="54" spans="1:34" s="1" customFormat="1" x14ac:dyDescent="0.25">
      <c r="A54" s="42" t="s">
        <v>382</v>
      </c>
      <c r="B54" s="7">
        <v>4030</v>
      </c>
      <c r="C54" s="25" t="s">
        <v>141</v>
      </c>
      <c r="D54" s="25" t="s">
        <v>200</v>
      </c>
      <c r="E54" s="16">
        <v>42590.390868055554</v>
      </c>
      <c r="F54" s="16">
        <v>42590.391898148147</v>
      </c>
      <c r="G54" s="7">
        <v>1</v>
      </c>
      <c r="H54" s="16" t="s">
        <v>130</v>
      </c>
      <c r="I54" s="16">
        <v>42590.422731481478</v>
      </c>
      <c r="J54" s="7">
        <v>0</v>
      </c>
      <c r="K54" s="25" t="str">
        <f t="shared" si="0"/>
        <v>4029/4030</v>
      </c>
      <c r="L54" s="25" t="str">
        <f>VLOOKUP(A54,'Trips&amp;Operators'!$C$1:$E$10000,3,FALSE)</f>
        <v>STARKS</v>
      </c>
      <c r="M54" s="6">
        <f t="shared" si="1"/>
        <v>3.0833333330519963E-2</v>
      </c>
      <c r="N54" s="7">
        <f t="shared" si="25"/>
        <v>44.399999995948747</v>
      </c>
      <c r="O54" s="7"/>
      <c r="P54" s="7"/>
      <c r="Q54" s="26"/>
      <c r="R54" s="26"/>
      <c r="S54" s="38">
        <f t="shared" si="22"/>
        <v>1</v>
      </c>
      <c r="T54" s="55" t="str">
        <f t="shared" si="4"/>
        <v>Southbound</v>
      </c>
      <c r="U54" s="14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08:22:51-0600',mode:absolute,to:'2016-08-08 11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54" s="57" t="str">
        <f t="shared" si="6"/>
        <v>N</v>
      </c>
      <c r="X54" s="136">
        <f t="shared" si="20"/>
        <v>1</v>
      </c>
      <c r="Y54" s="72">
        <f t="shared" si="23"/>
        <v>23.299399999999999</v>
      </c>
      <c r="Z54" s="72">
        <f t="shared" si="24"/>
        <v>1.4999999999999999E-2</v>
      </c>
      <c r="AA54" s="72">
        <f t="shared" si="10"/>
        <v>23.284399999999998</v>
      </c>
      <c r="AB54" s="69" t="e">
        <f>VLOOKUP(A54,Enforcements!$C$7:$J$24,8,0)</f>
        <v>#N/A</v>
      </c>
      <c r="AC54" s="65" t="e">
        <f>VLOOKUP(A54,Enforcements!$C$7:$E$24,3,0)</f>
        <v>#N/A</v>
      </c>
      <c r="AD54" s="66" t="str">
        <f t="shared" si="11"/>
        <v>0140-08</v>
      </c>
      <c r="AE54" s="108" t="str">
        <f t="shared" si="12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54" s="105" t="str">
        <f t="shared" si="13"/>
        <v>"C:\Program Files (x86)\AstroGrep\AstroGrep.exe" /spath="%USERPROFILE%\AppData\Local\Temp\OnboardLogs" /stypes="*4030*20160808*"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9" t="str">
        <f t="shared" si="16"/>
        <v>"%USERPROFILE%\Documents\GitHub\eaglep3\Utilities\RefineRTDCRunTimes.py" --tripid 140-08 --locoid 4030 --swversion DE.1.0.7.0 --startMP 204:232994 --initTime 2016-08-08T09:22:51 --startdatetime 2016-08-08T09:24:20 --delay 1 --endMP 204:150 --enddatetime 2016-08-08T10:08:44 --enforcementcount 0</v>
      </c>
    </row>
    <row r="55" spans="1:34" x14ac:dyDescent="0.25">
      <c r="A55" s="42" t="s">
        <v>376</v>
      </c>
      <c r="B55" s="7">
        <v>4011</v>
      </c>
      <c r="C55" s="25" t="s">
        <v>141</v>
      </c>
      <c r="D55" s="25" t="s">
        <v>188</v>
      </c>
      <c r="E55" s="16">
        <v>42590.362812500003</v>
      </c>
      <c r="F55" s="16">
        <v>42590.363726851851</v>
      </c>
      <c r="G55" s="7">
        <v>1</v>
      </c>
      <c r="H55" s="16" t="s">
        <v>529</v>
      </c>
      <c r="I55" s="16">
        <v>42590.391238425924</v>
      </c>
      <c r="J55" s="7">
        <v>0</v>
      </c>
      <c r="K55" s="25" t="str">
        <f t="shared" si="0"/>
        <v>4011/4012</v>
      </c>
      <c r="L55" s="25" t="str">
        <f>VLOOKUP(A55,'Trips&amp;Operators'!$C$1:$E$10000,3,FALSE)</f>
        <v>OUN</v>
      </c>
      <c r="M55" s="6">
        <f t="shared" si="1"/>
        <v>2.7511574073287193E-2</v>
      </c>
      <c r="N55" s="7">
        <f t="shared" si="25"/>
        <v>39.616666665533558</v>
      </c>
      <c r="O55" s="7"/>
      <c r="P55" s="7"/>
      <c r="Q55" s="26"/>
      <c r="R55" s="26"/>
      <c r="S55" s="38">
        <f t="shared" si="22"/>
        <v>1</v>
      </c>
      <c r="T55" s="55" t="str">
        <f t="shared" si="4"/>
        <v>NorthBound</v>
      </c>
      <c r="U55" s="14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07:42:27-0600',mode:absolute,to:'2016-08-08 10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55" s="57" t="str">
        <f t="shared" si="6"/>
        <v>N</v>
      </c>
      <c r="X55" s="136">
        <f t="shared" si="20"/>
        <v>1</v>
      </c>
      <c r="Y55" s="72">
        <f t="shared" si="23"/>
        <v>4.7100000000000003E-2</v>
      </c>
      <c r="Z55" s="72">
        <f t="shared" si="24"/>
        <v>23.333400000000001</v>
      </c>
      <c r="AA55" s="72">
        <f t="shared" si="10"/>
        <v>23.286300000000001</v>
      </c>
      <c r="AB55" s="69" t="e">
        <f>VLOOKUP(A55,Enforcements!$C$7:$J$24,8,0)</f>
        <v>#N/A</v>
      </c>
      <c r="AC55" s="65" t="e">
        <f>VLOOKUP(A55,Enforcements!$C$7:$E$24,3,0)</f>
        <v>#N/A</v>
      </c>
      <c r="AD55" s="66" t="str">
        <f t="shared" si="11"/>
        <v>0141-08</v>
      </c>
      <c r="AE55" s="108" t="str">
        <f t="shared" si="12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55" s="105" t="str">
        <f t="shared" si="13"/>
        <v>"C:\Program Files (x86)\AstroGrep\AstroGrep.exe" /spath="%USERPROFILE%\AppData\Local\Temp\OnboardLogs" /stypes="*4011*20160808*"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9" t="str">
        <f t="shared" si="16"/>
        <v>"%USERPROFILE%\Documents\GitHub\eaglep3\Utilities\RefineRTDCRunTimes.py" --tripid 141-08 --locoid 4011 --swversion DE.1.0.7.0 --startMP 204:471 --initTime 2016-08-08T08:42:27 --startdatetime 2016-08-08T08:43:46 --delay 1 --endMP 204:233334 --enddatetime 2016-08-08T09:23:23 --enforcementcount 0</v>
      </c>
    </row>
    <row r="56" spans="1:34" x14ac:dyDescent="0.25">
      <c r="A56" s="42" t="s">
        <v>296</v>
      </c>
      <c r="B56" s="7">
        <v>4012</v>
      </c>
      <c r="C56" s="25" t="s">
        <v>141</v>
      </c>
      <c r="D56" s="25" t="s">
        <v>192</v>
      </c>
      <c r="E56" s="16">
        <v>42590.400219907409</v>
      </c>
      <c r="F56" s="16">
        <v>42590.401076388887</v>
      </c>
      <c r="G56" s="7">
        <v>1</v>
      </c>
      <c r="H56" s="16" t="s">
        <v>197</v>
      </c>
      <c r="I56" s="16">
        <v>42590.432256944441</v>
      </c>
      <c r="J56" s="7">
        <v>1</v>
      </c>
      <c r="K56" s="25" t="str">
        <f t="shared" si="0"/>
        <v>4011/4012</v>
      </c>
      <c r="L56" s="25" t="str">
        <f>VLOOKUP(A56,'Trips&amp;Operators'!$C$1:$E$10000,3,FALSE)</f>
        <v>OUN</v>
      </c>
      <c r="M56" s="6">
        <f t="shared" si="1"/>
        <v>3.1180555553874001E-2</v>
      </c>
      <c r="N56" s="7">
        <f t="shared" si="25"/>
        <v>44.899999997578561</v>
      </c>
      <c r="O56" s="7"/>
      <c r="P56" s="7"/>
      <c r="Q56" s="26"/>
      <c r="R56" s="26"/>
      <c r="S56" s="38">
        <f t="shared" si="22"/>
        <v>1</v>
      </c>
      <c r="T56" s="55" t="str">
        <f t="shared" si="4"/>
        <v>Southbound</v>
      </c>
      <c r="U56" s="14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08:36:19-0600',mode:absolute,to:'2016-08-08 11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56" s="57" t="str">
        <f t="shared" si="6"/>
        <v>N</v>
      </c>
      <c r="X56" s="136">
        <f t="shared" si="20"/>
        <v>1</v>
      </c>
      <c r="Y56" s="72">
        <f t="shared" si="23"/>
        <v>23.2957</v>
      </c>
      <c r="Z56" s="72">
        <f t="shared" si="24"/>
        <v>1.6E-2</v>
      </c>
      <c r="AA56" s="72">
        <f t="shared" si="10"/>
        <v>23.279700000000002</v>
      </c>
      <c r="AB56" s="69" t="e">
        <f>VLOOKUP(A56,Enforcements!$C$7:$J$24,8,0)</f>
        <v>#N/A</v>
      </c>
      <c r="AC56" s="65" t="e">
        <f>VLOOKUP(A56,Enforcements!$C$7:$E$24,3,0)</f>
        <v>#N/A</v>
      </c>
      <c r="AD56" s="66" t="str">
        <f t="shared" si="11"/>
        <v>0142-08</v>
      </c>
      <c r="AE56" s="108" t="str">
        <f t="shared" si="12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56" s="105" t="str">
        <f t="shared" si="13"/>
        <v>"C:\Program Files (x86)\AstroGrep\AstroGrep.exe" /spath="%USERPROFILE%\AppData\Local\Temp\OnboardLogs" /stypes="*4012*20160808*"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9" t="str">
        <f t="shared" si="16"/>
        <v>"%USERPROFILE%\Documents\GitHub\eaglep3\Utilities\RefineRTDCRunTimes.py" --tripid 142-08 --locoid 4012 --swversion DE.1.0.7.0 --startMP 204:232957 --initTime 2016-08-08T09:36:19 --startdatetime 2016-08-08T09:37:33 --delay 1 --endMP 204:160 --enddatetime 2016-08-08T10:22:27 --enforcementcount 1</v>
      </c>
    </row>
    <row r="57" spans="1:34" s="1" customFormat="1" x14ac:dyDescent="0.25">
      <c r="A57" s="42" t="s">
        <v>379</v>
      </c>
      <c r="B57" s="7">
        <v>4007</v>
      </c>
      <c r="C57" s="25" t="s">
        <v>141</v>
      </c>
      <c r="D57" s="25" t="s">
        <v>63</v>
      </c>
      <c r="E57" s="16">
        <v>42590.373576388891</v>
      </c>
      <c r="F57" s="16">
        <v>42590.374467592592</v>
      </c>
      <c r="G57" s="7">
        <v>1</v>
      </c>
      <c r="H57" s="16" t="s">
        <v>530</v>
      </c>
      <c r="I57" s="16">
        <v>42590.40284722222</v>
      </c>
      <c r="J57" s="7">
        <v>0</v>
      </c>
      <c r="K57" s="25" t="str">
        <f t="shared" si="0"/>
        <v>4007/4008</v>
      </c>
      <c r="L57" s="25" t="str">
        <f>VLOOKUP(A57,'Trips&amp;Operators'!$C$1:$E$10000,3,FALSE)</f>
        <v>MALAVE</v>
      </c>
      <c r="M57" s="6">
        <f t="shared" si="1"/>
        <v>2.8379629628034309E-2</v>
      </c>
      <c r="N57" s="7">
        <f t="shared" si="25"/>
        <v>40.866666664369404</v>
      </c>
      <c r="O57" s="7"/>
      <c r="P57" s="7"/>
      <c r="Q57" s="26"/>
      <c r="R57" s="26"/>
      <c r="S57" s="38">
        <f t="shared" si="22"/>
        <v>1</v>
      </c>
      <c r="T57" s="55" t="str">
        <f t="shared" si="4"/>
        <v>NorthBound</v>
      </c>
      <c r="U57" s="14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07:57:57-0600',mode:absolute,to:'2016-08-08 10:40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57" s="57" t="str">
        <f t="shared" si="6"/>
        <v>N</v>
      </c>
      <c r="X57" s="136">
        <f t="shared" si="20"/>
        <v>1</v>
      </c>
      <c r="Y57" s="72">
        <f t="shared" si="23"/>
        <v>4.5999999999999999E-2</v>
      </c>
      <c r="Z57" s="72">
        <f t="shared" si="24"/>
        <v>23.328099999999999</v>
      </c>
      <c r="AA57" s="72">
        <f t="shared" si="10"/>
        <v>23.2821</v>
      </c>
      <c r="AB57" s="69" t="e">
        <f>VLOOKUP(A57,Enforcements!$C$7:$J$24,8,0)</f>
        <v>#N/A</v>
      </c>
      <c r="AC57" s="65" t="e">
        <f>VLOOKUP(A57,Enforcements!$C$7:$E$24,3,0)</f>
        <v>#N/A</v>
      </c>
      <c r="AD57" s="66" t="str">
        <f t="shared" si="11"/>
        <v>0143-08</v>
      </c>
      <c r="AE57" s="108" t="str">
        <f t="shared" si="12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57" s="105" t="str">
        <f t="shared" si="13"/>
        <v>"C:\Program Files (x86)\AstroGrep\AstroGrep.exe" /spath="%USERPROFILE%\AppData\Local\Temp\OnboardLogs" /stypes="*4007*20160808*"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9" t="str">
        <f t="shared" si="16"/>
        <v>"%USERPROFILE%\Documents\GitHub\eaglep3\Utilities\RefineRTDCRunTimes.py" --tripid 143-08 --locoid 4007 --swversion DE.1.0.7.0 --startMP 204:460 --initTime 2016-08-08T08:57:57 --startdatetime 2016-08-08T08:59:14 --delay 1 --endMP 204:233281 --enddatetime 2016-08-08T09:40:06 --enforcementcount 0</v>
      </c>
    </row>
    <row r="58" spans="1:34" s="1" customFormat="1" x14ac:dyDescent="0.25">
      <c r="A58" s="42" t="s">
        <v>386</v>
      </c>
      <c r="B58" s="7">
        <v>4008</v>
      </c>
      <c r="C58" s="25" t="s">
        <v>141</v>
      </c>
      <c r="D58" s="25" t="s">
        <v>523</v>
      </c>
      <c r="E58" s="16">
        <v>42590.412187499998</v>
      </c>
      <c r="F58" s="16">
        <v>42590.413148148145</v>
      </c>
      <c r="G58" s="7">
        <v>1</v>
      </c>
      <c r="H58" s="16" t="s">
        <v>531</v>
      </c>
      <c r="I58" s="16">
        <v>42590.441979166666</v>
      </c>
      <c r="J58" s="7">
        <v>0</v>
      </c>
      <c r="K58" s="25" t="str">
        <f t="shared" si="0"/>
        <v>4007/4008</v>
      </c>
      <c r="L58" s="25" t="str">
        <f>VLOOKUP(A58,'Trips&amp;Operators'!$C$1:$E$10000,3,FALSE)</f>
        <v>MALAVE</v>
      </c>
      <c r="M58" s="6">
        <f t="shared" si="1"/>
        <v>2.8831018520577345E-2</v>
      </c>
      <c r="N58" s="7">
        <f t="shared" si="25"/>
        <v>41.516666669631377</v>
      </c>
      <c r="O58" s="7"/>
      <c r="P58" s="7"/>
      <c r="Q58" s="26"/>
      <c r="R58" s="26"/>
      <c r="S58" s="38">
        <f t="shared" si="22"/>
        <v>1</v>
      </c>
      <c r="T58" s="55" t="str">
        <f t="shared" si="4"/>
        <v>Southbound</v>
      </c>
      <c r="U58" s="14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08:53:33-0600',mode:absolute,to:'2016-08-08 11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58" s="57" t="str">
        <f t="shared" si="6"/>
        <v>N</v>
      </c>
      <c r="X58" s="136">
        <f t="shared" si="20"/>
        <v>1</v>
      </c>
      <c r="Y58" s="72">
        <f t="shared" si="23"/>
        <v>23.296600000000002</v>
      </c>
      <c r="Z58" s="72">
        <f t="shared" si="24"/>
        <v>1.67E-2</v>
      </c>
      <c r="AA58" s="72">
        <f t="shared" si="10"/>
        <v>23.279900000000001</v>
      </c>
      <c r="AB58" s="69" t="e">
        <f>VLOOKUP(A58,Enforcements!$C$7:$J$24,8,0)</f>
        <v>#N/A</v>
      </c>
      <c r="AC58" s="65" t="e">
        <f>VLOOKUP(A58,Enforcements!$C$7:$E$24,3,0)</f>
        <v>#N/A</v>
      </c>
      <c r="AD58" s="66" t="str">
        <f t="shared" si="11"/>
        <v>0144-08</v>
      </c>
      <c r="AE58" s="108" t="str">
        <f t="shared" si="12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58" s="105" t="str">
        <f t="shared" si="13"/>
        <v>"C:\Program Files (x86)\AstroGrep\AstroGrep.exe" /spath="%USERPROFILE%\AppData\Local\Temp\OnboardLogs" /stypes="*4008*20160808*"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9" t="str">
        <f t="shared" si="16"/>
        <v>"%USERPROFILE%\Documents\GitHub\eaglep3\Utilities\RefineRTDCRunTimes.py" --tripid 144-08 --locoid 4008 --swversion DE.1.0.7.0 --startMP 204:232966 --initTime 2016-08-08T09:53:33 --startdatetime 2016-08-08T09:54:56 --delay 1 --endMP 204:167 --enddatetime 2016-08-08T10:36:27 --enforcementcount 0</v>
      </c>
    </row>
    <row r="59" spans="1:34" x14ac:dyDescent="0.25">
      <c r="A59" s="42" t="s">
        <v>380</v>
      </c>
      <c r="B59" s="7">
        <v>4014</v>
      </c>
      <c r="C59" s="25" t="s">
        <v>141</v>
      </c>
      <c r="D59" s="25" t="s">
        <v>268</v>
      </c>
      <c r="E59" s="16">
        <v>42590.383240740739</v>
      </c>
      <c r="F59" s="16">
        <v>42590.384502314817</v>
      </c>
      <c r="G59" s="7">
        <v>1</v>
      </c>
      <c r="H59" s="16" t="s">
        <v>532</v>
      </c>
      <c r="I59" s="16">
        <v>42590.412314814814</v>
      </c>
      <c r="J59" s="7">
        <v>0</v>
      </c>
      <c r="K59" s="25" t="str">
        <f t="shared" si="0"/>
        <v>4013/4014</v>
      </c>
      <c r="L59" s="25" t="str">
        <f>VLOOKUP(A59,'Trips&amp;Operators'!$C$1:$E$10000,3,FALSE)</f>
        <v>STURGEON</v>
      </c>
      <c r="M59" s="6">
        <f t="shared" si="1"/>
        <v>2.7812499996798579E-2</v>
      </c>
      <c r="N59" s="7">
        <f t="shared" si="25"/>
        <v>40.049999995389953</v>
      </c>
      <c r="O59" s="7"/>
      <c r="P59" s="7"/>
      <c r="Q59" s="26"/>
      <c r="R59" s="26"/>
      <c r="S59" s="38">
        <f t="shared" si="22"/>
        <v>1</v>
      </c>
      <c r="T59" s="55" t="str">
        <f t="shared" si="4"/>
        <v>NorthBound</v>
      </c>
      <c r="U59" s="14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08:11:52-0600',mode:absolute,to:'2016-08-08 10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59" s="57" t="str">
        <f t="shared" si="6"/>
        <v>N</v>
      </c>
      <c r="X59" s="136">
        <f t="shared" si="20"/>
        <v>1</v>
      </c>
      <c r="Y59" s="72">
        <f t="shared" si="23"/>
        <v>4.9099999999999998E-2</v>
      </c>
      <c r="Z59" s="72">
        <f t="shared" si="24"/>
        <v>23.328399999999998</v>
      </c>
      <c r="AA59" s="72">
        <f t="shared" si="10"/>
        <v>23.279299999999999</v>
      </c>
      <c r="AB59" s="69" t="e">
        <f>VLOOKUP(A59,Enforcements!$C$7:$J$24,8,0)</f>
        <v>#N/A</v>
      </c>
      <c r="AC59" s="65" t="e">
        <f>VLOOKUP(A59,Enforcements!$C$7:$E$24,3,0)</f>
        <v>#N/A</v>
      </c>
      <c r="AD59" s="66" t="str">
        <f t="shared" si="11"/>
        <v>0145-08</v>
      </c>
      <c r="AE59" s="108" t="str">
        <f t="shared" si="12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59" s="105" t="str">
        <f t="shared" si="13"/>
        <v>"C:\Program Files (x86)\AstroGrep\AstroGrep.exe" /spath="%USERPROFILE%\AppData\Local\Temp\OnboardLogs" /stypes="*4014*20160808*" /stext=" 15:.+((SYSTEM_STATE.+slice.+state.+changed )|(ment ac)|(system.+state.+changed )|(\|lc)|(penalty)|(\[timeout)|(PRM\|1\|D)|(kpr)|(kdp))" /e /r /s</v>
      </c>
      <c r="AG59" s="1" t="str">
        <f t="shared" si="14"/>
        <v>EC</v>
      </c>
      <c r="AH59" s="109" t="str">
        <f t="shared" si="16"/>
        <v>"%USERPROFILE%\Documents\GitHub\eaglep3\Utilities\RefineRTDCRunTimes.py" --tripid 145-08 --locoid 4014 --swversion DE.1.0.7.0 --startMP 204:491 --initTime 2016-08-08T09:11:52 --startdatetime 2016-08-08T09:13:41 --delay 1 --endMP 204:233284 --enddatetime 2016-08-08T09:53:44 --enforcementcount 0</v>
      </c>
    </row>
    <row r="60" spans="1:34" x14ac:dyDescent="0.25">
      <c r="A60" s="42" t="s">
        <v>388</v>
      </c>
      <c r="B60" s="7">
        <v>4013</v>
      </c>
      <c r="C60" s="25" t="s">
        <v>141</v>
      </c>
      <c r="D60" s="25" t="s">
        <v>207</v>
      </c>
      <c r="E60" s="16">
        <v>42590.414467592593</v>
      </c>
      <c r="F60" s="16">
        <v>42590.415625000001</v>
      </c>
      <c r="G60" s="7">
        <v>1</v>
      </c>
      <c r="H60" s="16" t="s">
        <v>533</v>
      </c>
      <c r="I60" s="16">
        <v>42590.453645833331</v>
      </c>
      <c r="J60" s="7">
        <v>0</v>
      </c>
      <c r="K60" s="25" t="str">
        <f t="shared" si="0"/>
        <v>4013/4014</v>
      </c>
      <c r="L60" s="25" t="str">
        <f>VLOOKUP(A60,'Trips&amp;Operators'!$C$1:$E$10000,3,FALSE)</f>
        <v>STURGEON</v>
      </c>
      <c r="M60" s="6">
        <f t="shared" si="1"/>
        <v>3.8020833329937886E-2</v>
      </c>
      <c r="N60" s="7">
        <f t="shared" si="25"/>
        <v>54.749999995110556</v>
      </c>
      <c r="O60" s="7"/>
      <c r="P60" s="7"/>
      <c r="Q60" s="26"/>
      <c r="R60" s="26"/>
      <c r="S60" s="38">
        <f t="shared" si="22"/>
        <v>1</v>
      </c>
      <c r="T60" s="55" t="str">
        <f t="shared" si="4"/>
        <v>Southbound</v>
      </c>
      <c r="U60" s="14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08:56:50-0600',mode:absolute,to:'2016-08-08 11:53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60" s="57" t="str">
        <f t="shared" si="6"/>
        <v>N</v>
      </c>
      <c r="X60" s="136">
        <f t="shared" ref="X60:X91" si="26">VALUE(LEFT(AD60,4))-VALUE(LEFT(AD59,4))</f>
        <v>1</v>
      </c>
      <c r="Y60" s="72">
        <f t="shared" si="23"/>
        <v>23.2973</v>
      </c>
      <c r="Z60" s="72">
        <f t="shared" si="24"/>
        <v>1.6899999999999998E-2</v>
      </c>
      <c r="AA60" s="72">
        <f t="shared" si="10"/>
        <v>23.2804</v>
      </c>
      <c r="AB60" s="69" t="e">
        <f>VLOOKUP(A60,Enforcements!$C$7:$J$24,8,0)</f>
        <v>#N/A</v>
      </c>
      <c r="AC60" s="65" t="e">
        <f>VLOOKUP(A60,Enforcements!$C$7:$E$24,3,0)</f>
        <v>#N/A</v>
      </c>
      <c r="AD60" s="66" t="str">
        <f t="shared" si="11"/>
        <v>0146-08</v>
      </c>
      <c r="AE60" s="108" t="str">
        <f t="shared" si="12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60" s="105" t="str">
        <f t="shared" si="13"/>
        <v>"C:\Program Files (x86)\AstroGrep\AstroGrep.exe" /spath="%USERPROFILE%\AppData\Local\Temp\OnboardLogs" /stypes="*4013*20160808*" /stext=" 16:.+((SYSTEM_STATE.+slice.+state.+changed )|(ment ac)|(system.+state.+changed )|(\|lc)|(penalty)|(\[timeout)|(PRM\|1\|D)|(kpr)|(kdp))" /e /r /s</v>
      </c>
      <c r="AG60" s="1" t="str">
        <f t="shared" si="14"/>
        <v>EC</v>
      </c>
      <c r="AH60" s="109" t="str">
        <f t="shared" si="16"/>
        <v>"%USERPROFILE%\Documents\GitHub\eaglep3\Utilities\RefineRTDCRunTimes.py" --tripid 146-08 --locoid 4013 --swversion DE.1.0.7.0 --startMP 204:232973 --initTime 2016-08-08T09:56:50 --startdatetime 2016-08-08T09:58:30 --delay 1 --endMP 204:169 --enddatetime 2016-08-08T10:53:15 --enforcementcount 0</v>
      </c>
    </row>
    <row r="61" spans="1:34" x14ac:dyDescent="0.25">
      <c r="A61" s="42" t="s">
        <v>383</v>
      </c>
      <c r="B61" s="7">
        <v>4020</v>
      </c>
      <c r="C61" s="25" t="s">
        <v>141</v>
      </c>
      <c r="D61" s="25" t="s">
        <v>172</v>
      </c>
      <c r="E61" s="16">
        <v>42590.392361111109</v>
      </c>
      <c r="F61" s="16">
        <v>42590.39334490741</v>
      </c>
      <c r="G61" s="7">
        <v>1</v>
      </c>
      <c r="H61" s="16" t="s">
        <v>187</v>
      </c>
      <c r="I61" s="16">
        <v>42590.422418981485</v>
      </c>
      <c r="J61" s="7">
        <v>0</v>
      </c>
      <c r="K61" s="25" t="str">
        <f t="shared" si="0"/>
        <v>4019/4020</v>
      </c>
      <c r="L61" s="25" t="str">
        <f>VLOOKUP(A61,'Trips&amp;Operators'!$C$1:$E$10000,3,FALSE)</f>
        <v>GEBRETEKLE</v>
      </c>
      <c r="M61" s="6">
        <f t="shared" si="1"/>
        <v>2.9074074074742384E-2</v>
      </c>
      <c r="N61" s="7">
        <f t="shared" si="25"/>
        <v>41.866666667629033</v>
      </c>
      <c r="O61" s="7"/>
      <c r="P61" s="7"/>
      <c r="Q61" s="26"/>
      <c r="R61" s="26"/>
      <c r="S61" s="38">
        <f t="shared" si="22"/>
        <v>1</v>
      </c>
      <c r="T61" s="55" t="str">
        <f t="shared" si="4"/>
        <v>NorthBound</v>
      </c>
      <c r="U61" s="14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08:25:00-0600',mode:absolute,to:'2016-08-08 11:08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61" s="57" t="str">
        <f t="shared" si="6"/>
        <v>N</v>
      </c>
      <c r="X61" s="136">
        <f t="shared" si="26"/>
        <v>1</v>
      </c>
      <c r="Y61" s="72">
        <f t="shared" si="23"/>
        <v>4.4400000000000002E-2</v>
      </c>
      <c r="Z61" s="72">
        <f t="shared" si="24"/>
        <v>23.331499999999998</v>
      </c>
      <c r="AA61" s="72">
        <f t="shared" si="10"/>
        <v>23.287099999999999</v>
      </c>
      <c r="AB61" s="69" t="e">
        <f>VLOOKUP(A61,Enforcements!$C$7:$J$24,8,0)</f>
        <v>#N/A</v>
      </c>
      <c r="AC61" s="65" t="e">
        <f>VLOOKUP(A61,Enforcements!$C$7:$E$24,3,0)</f>
        <v>#N/A</v>
      </c>
      <c r="AD61" s="66" t="str">
        <f t="shared" si="11"/>
        <v>0147-08</v>
      </c>
      <c r="AE61" s="108" t="str">
        <f t="shared" si="12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61" s="105" t="str">
        <f t="shared" si="13"/>
        <v>"C:\Program Files (x86)\AstroGrep\AstroGrep.exe" /spath="%USERPROFILE%\AppData\Local\Temp\OnboardLogs" /stypes="*4020*20160808*" /stext=" 16:.+((SYSTEM_STATE.+slice.+state.+changed )|(ment ac)|(system.+state.+changed )|(\|lc)|(penalty)|(\[timeout)|(PRM\|1\|D)|(kpr)|(kdp))" /e /r /s</v>
      </c>
      <c r="AG61" s="1" t="str">
        <f t="shared" si="14"/>
        <v>EC</v>
      </c>
      <c r="AH61" s="109" t="str">
        <f t="shared" si="16"/>
        <v>"%USERPROFILE%\Documents\GitHub\eaglep3\Utilities\RefineRTDCRunTimes.py" --tripid 147-08 --locoid 4020 --swversion DE.1.0.7.0 --startMP 204:444 --initTime 2016-08-08T09:25:00 --startdatetime 2016-08-08T09:26:25 --delay 1 --endMP 204:233315 --enddatetime 2016-08-08T10:08:17 --enforcementcount 0</v>
      </c>
    </row>
    <row r="62" spans="1:34" x14ac:dyDescent="0.25">
      <c r="A62" s="42" t="s">
        <v>390</v>
      </c>
      <c r="B62" s="7">
        <v>4019</v>
      </c>
      <c r="C62" s="25" t="s">
        <v>141</v>
      </c>
      <c r="D62" s="25" t="s">
        <v>168</v>
      </c>
      <c r="E62" s="16">
        <v>42590.43072916667</v>
      </c>
      <c r="F62" s="16">
        <v>42590.432118055556</v>
      </c>
      <c r="G62" s="7">
        <v>2</v>
      </c>
      <c r="H62" s="16" t="s">
        <v>130</v>
      </c>
      <c r="I62" s="16">
        <v>42590.463414351849</v>
      </c>
      <c r="J62" s="7">
        <v>0</v>
      </c>
      <c r="K62" s="25" t="str">
        <f t="shared" si="0"/>
        <v>4019/4020</v>
      </c>
      <c r="L62" s="25" t="str">
        <f>VLOOKUP(A62,'Trips&amp;Operators'!$C$1:$E$10000,3,FALSE)</f>
        <v>GEBRETEKLE</v>
      </c>
      <c r="M62" s="6">
        <f t="shared" si="1"/>
        <v>3.1296296292566694E-2</v>
      </c>
      <c r="N62" s="7">
        <f t="shared" si="25"/>
        <v>45.06666666129604</v>
      </c>
      <c r="O62" s="7"/>
      <c r="P62" s="7"/>
      <c r="Q62" s="26"/>
      <c r="R62" s="26"/>
      <c r="S62" s="38">
        <f t="shared" si="22"/>
        <v>1</v>
      </c>
      <c r="T62" s="55" t="str">
        <f t="shared" si="4"/>
        <v>Southbound</v>
      </c>
      <c r="U62" s="14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09:20:15-0600',mode:absolute,to:'2016-08-08 12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62" s="57" t="str">
        <f t="shared" si="6"/>
        <v>N</v>
      </c>
      <c r="X62" s="136">
        <f t="shared" si="26"/>
        <v>1</v>
      </c>
      <c r="Y62" s="72">
        <f t="shared" si="23"/>
        <v>23.3004</v>
      </c>
      <c r="Z62" s="72">
        <f t="shared" si="24"/>
        <v>1.4999999999999999E-2</v>
      </c>
      <c r="AA62" s="72">
        <f t="shared" si="10"/>
        <v>23.285399999999999</v>
      </c>
      <c r="AB62" s="69" t="e">
        <f>VLOOKUP(A62,Enforcements!$C$7:$J$24,8,0)</f>
        <v>#N/A</v>
      </c>
      <c r="AC62" s="65" t="e">
        <f>VLOOKUP(A62,Enforcements!$C$7:$E$24,3,0)</f>
        <v>#N/A</v>
      </c>
      <c r="AD62" s="66" t="str">
        <f t="shared" si="11"/>
        <v>0148-08</v>
      </c>
      <c r="AE62" s="108" t="str">
        <f t="shared" si="12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62" s="105" t="str">
        <f t="shared" si="13"/>
        <v>"C:\Program Files (x86)\AstroGrep\AstroGrep.exe" /spath="%USERPROFILE%\AppData\Local\Temp\OnboardLogs" /stypes="*4019*20160808*"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9" t="str">
        <f t="shared" si="16"/>
        <v>"%USERPROFILE%\Documents\GitHub\eaglep3\Utilities\RefineRTDCRunTimes.py" --tripid 148-08 --locoid 4019 --swversion DE.1.0.7.0 --startMP 204:233004 --initTime 2016-08-08T10:20:15 --startdatetime 2016-08-08T10:22:15 --delay 2 --endMP 204:150 --enddatetime 2016-08-08T11:07:19 --enforcementcount 0</v>
      </c>
    </row>
    <row r="63" spans="1:34" x14ac:dyDescent="0.25">
      <c r="A63" s="42" t="s">
        <v>385</v>
      </c>
      <c r="B63" s="7">
        <v>4027</v>
      </c>
      <c r="C63" s="25" t="s">
        <v>141</v>
      </c>
      <c r="D63" s="25" t="s">
        <v>534</v>
      </c>
      <c r="E63" s="16">
        <v>42590.404386574075</v>
      </c>
      <c r="F63" s="16">
        <v>42590.405347222222</v>
      </c>
      <c r="G63" s="7">
        <v>1</v>
      </c>
      <c r="H63" s="16" t="s">
        <v>193</v>
      </c>
      <c r="I63" s="16">
        <v>42590.433738425927</v>
      </c>
      <c r="J63" s="7">
        <v>0</v>
      </c>
      <c r="K63" s="25" t="str">
        <f t="shared" si="0"/>
        <v>4027/4028</v>
      </c>
      <c r="L63" s="25" t="str">
        <f>VLOOKUP(A63,'Trips&amp;Operators'!$C$1:$E$10000,3,FALSE)</f>
        <v>SPECTOR</v>
      </c>
      <c r="M63" s="6">
        <f t="shared" si="1"/>
        <v>2.8391203704813961E-2</v>
      </c>
      <c r="N63" s="7">
        <f t="shared" si="25"/>
        <v>40.883333334932104</v>
      </c>
      <c r="O63" s="7"/>
      <c r="P63" s="7"/>
      <c r="Q63" s="26"/>
      <c r="R63" s="26"/>
      <c r="S63" s="38">
        <f t="shared" si="22"/>
        <v>1</v>
      </c>
      <c r="T63" s="55" t="str">
        <f t="shared" si="4"/>
        <v>NorthBound</v>
      </c>
      <c r="U63" s="14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08:42:19-0600',mode:absolute,to:'2016-08-08 11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63" s="57" t="str">
        <f t="shared" si="6"/>
        <v>N</v>
      </c>
      <c r="X63" s="136">
        <f t="shared" si="26"/>
        <v>1</v>
      </c>
      <c r="Y63" s="72">
        <f t="shared" si="23"/>
        <v>4.24E-2</v>
      </c>
      <c r="Z63" s="72">
        <f t="shared" si="24"/>
        <v>23.332000000000001</v>
      </c>
      <c r="AA63" s="72">
        <f t="shared" si="10"/>
        <v>23.2896</v>
      </c>
      <c r="AB63" s="69" t="e">
        <f>VLOOKUP(A63,Enforcements!$C$7:$J$24,8,0)</f>
        <v>#N/A</v>
      </c>
      <c r="AC63" s="65" t="e">
        <f>VLOOKUP(A63,Enforcements!$C$7:$E$24,3,0)</f>
        <v>#N/A</v>
      </c>
      <c r="AD63" s="66" t="str">
        <f t="shared" si="11"/>
        <v>0149-08</v>
      </c>
      <c r="AE63" s="108" t="str">
        <f t="shared" si="12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63" s="105" t="str">
        <f t="shared" si="13"/>
        <v>"C:\Program Files (x86)\AstroGrep\AstroGrep.exe" /spath="%USERPROFILE%\AppData\Local\Temp\OnboardLogs" /stypes="*4027*20160808*"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9" t="str">
        <f t="shared" si="16"/>
        <v>"%USERPROFILE%\Documents\GitHub\eaglep3\Utilities\RefineRTDCRunTimes.py" --tripid 149-08 --locoid 4027 --swversion DE.1.0.7.0 --startMP 204:424 --initTime 2016-08-08T09:42:19 --startdatetime 2016-08-08T09:43:42 --delay 1 --endMP 204:233320 --enddatetime 2016-08-08T10:24:35 --enforcementcount 0</v>
      </c>
    </row>
    <row r="64" spans="1:34" x14ac:dyDescent="0.25">
      <c r="A64" s="42" t="s">
        <v>299</v>
      </c>
      <c r="B64" s="7">
        <v>4028</v>
      </c>
      <c r="C64" s="25" t="s">
        <v>141</v>
      </c>
      <c r="D64" s="25" t="s">
        <v>535</v>
      </c>
      <c r="E64" s="16">
        <v>42590.440138888887</v>
      </c>
      <c r="F64" s="16">
        <v>42590.44121527778</v>
      </c>
      <c r="G64" s="7">
        <v>1</v>
      </c>
      <c r="H64" s="16" t="s">
        <v>58</v>
      </c>
      <c r="I64" s="16">
        <v>42590.472407407404</v>
      </c>
      <c r="J64" s="7">
        <v>1</v>
      </c>
      <c r="K64" s="25" t="str">
        <f t="shared" si="0"/>
        <v>4027/4028</v>
      </c>
      <c r="L64" s="25" t="str">
        <f>VLOOKUP(A64,'Trips&amp;Operators'!$C$1:$E$10000,3,FALSE)</f>
        <v>SPECTOR</v>
      </c>
      <c r="M64" s="6">
        <f t="shared" si="1"/>
        <v>3.1192129623377696E-2</v>
      </c>
      <c r="N64" s="7">
        <f t="shared" si="25"/>
        <v>44.916666657663882</v>
      </c>
      <c r="O64" s="7"/>
      <c r="P64" s="7"/>
      <c r="Q64" s="26"/>
      <c r="R64" s="26"/>
      <c r="S64" s="38">
        <f t="shared" si="22"/>
        <v>1</v>
      </c>
      <c r="T64" s="55" t="str">
        <f t="shared" si="4"/>
        <v>Southbound</v>
      </c>
      <c r="U64" s="14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09:33:48-0600',mode:absolute,to:'2016-08-08 12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64" s="57" t="str">
        <f t="shared" si="6"/>
        <v>N</v>
      </c>
      <c r="X64" s="136">
        <f t="shared" si="26"/>
        <v>1</v>
      </c>
      <c r="Y64" s="72">
        <f t="shared" si="23"/>
        <v>23.3005</v>
      </c>
      <c r="Z64" s="72">
        <f t="shared" si="24"/>
        <v>1.52E-2</v>
      </c>
      <c r="AA64" s="72">
        <f t="shared" si="10"/>
        <v>23.285299999999999</v>
      </c>
      <c r="AB64" s="69">
        <f>VLOOKUP(A64,Enforcements!$C$7:$J$24,8,0)</f>
        <v>10694</v>
      </c>
      <c r="AC64" s="65" t="str">
        <f>VLOOKUP(A64,Enforcements!$C$7:$E$24,3,0)</f>
        <v>PERMANENT SPEED RESTRICTION</v>
      </c>
      <c r="AD64" s="66" t="str">
        <f t="shared" si="11"/>
        <v>0150-08</v>
      </c>
      <c r="AE64" s="108" t="str">
        <f t="shared" si="12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64" s="105" t="str">
        <f t="shared" si="13"/>
        <v>"C:\Program Files (x86)\AstroGrep\AstroGrep.exe" /spath="%USERPROFILE%\AppData\Local\Temp\OnboardLogs" /stypes="*4028*20160808*"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9" t="str">
        <f t="shared" si="16"/>
        <v>"%USERPROFILE%\Documents\GitHub\eaglep3\Utilities\RefineRTDCRunTimes.py" --tripid 150-08 --locoid 4028 --swversion DE.1.0.7.0 --startMP 204:233005 --initTime 2016-08-08T10:33:48 --startdatetime 2016-08-08T10:35:21 --delay 1 --endMP 204:152 --enddatetime 2016-08-08T11:20:16 --enforcementcount 1</v>
      </c>
    </row>
    <row r="65" spans="1:34" x14ac:dyDescent="0.25">
      <c r="A65" s="42" t="s">
        <v>387</v>
      </c>
      <c r="B65" s="7">
        <v>4038</v>
      </c>
      <c r="C65" s="25" t="s">
        <v>141</v>
      </c>
      <c r="D65" s="25" t="s">
        <v>131</v>
      </c>
      <c r="E65" s="16">
        <v>42590.412569444445</v>
      </c>
      <c r="F65" s="16">
        <v>42590.413634259261</v>
      </c>
      <c r="G65" s="7">
        <v>1</v>
      </c>
      <c r="H65" s="16" t="s">
        <v>536</v>
      </c>
      <c r="I65" s="16">
        <v>42590.443993055553</v>
      </c>
      <c r="J65" s="7">
        <v>0</v>
      </c>
      <c r="K65" s="25" t="str">
        <f t="shared" si="0"/>
        <v>4037/4038</v>
      </c>
      <c r="L65" s="25" t="str">
        <f>VLOOKUP(A65,'Trips&amp;Operators'!$C$1:$E$10000,3,FALSE)</f>
        <v>HOMIK</v>
      </c>
      <c r="M65" s="6">
        <f t="shared" si="1"/>
        <v>3.0358796291693579E-2</v>
      </c>
      <c r="N65" s="7">
        <f t="shared" si="25"/>
        <v>43.716666660038754</v>
      </c>
      <c r="O65" s="7"/>
      <c r="P65" s="7"/>
      <c r="Q65" s="26"/>
      <c r="R65" s="26"/>
      <c r="S65" s="38">
        <f t="shared" ref="S65:S96" si="27">SUM(U65:U65)/IF(AG65="EC",12,1)</f>
        <v>1</v>
      </c>
      <c r="T65" s="55" t="str">
        <f t="shared" si="4"/>
        <v>NorthBound</v>
      </c>
      <c r="U65" s="14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08:54:06-0600',mode:absolute,to:'2016-08-08 11:39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65" s="57" t="str">
        <f t="shared" si="6"/>
        <v>N</v>
      </c>
      <c r="X65" s="136">
        <f t="shared" si="26"/>
        <v>1</v>
      </c>
      <c r="Y65" s="72">
        <f t="shared" si="23"/>
        <v>4.6399999999999997E-2</v>
      </c>
      <c r="Z65" s="72">
        <f t="shared" si="24"/>
        <v>23.328700000000001</v>
      </c>
      <c r="AA65" s="72">
        <f t="shared" si="10"/>
        <v>23.282300000000003</v>
      </c>
      <c r="AB65" s="69" t="e">
        <f>VLOOKUP(A65,Enforcements!$C$7:$J$24,8,0)</f>
        <v>#N/A</v>
      </c>
      <c r="AC65" s="65" t="e">
        <f>VLOOKUP(A65,Enforcements!$C$7:$E$24,3,0)</f>
        <v>#N/A</v>
      </c>
      <c r="AD65" s="66" t="str">
        <f t="shared" si="11"/>
        <v>0151-08</v>
      </c>
      <c r="AE65" s="108" t="str">
        <f t="shared" si="12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65" s="105" t="str">
        <f t="shared" si="13"/>
        <v>"C:\Program Files (x86)\AstroGrep\AstroGrep.exe" /spath="%USERPROFILE%\AppData\Local\Temp\OnboardLogs" /stypes="*4038*20160808*"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9" t="str">
        <f t="shared" si="16"/>
        <v>"%USERPROFILE%\Documents\GitHub\eaglep3\Utilities\RefineRTDCRunTimes.py" --tripid 151-08 --locoid 4038 --swversion DE.1.0.7.0 --startMP 204:464 --initTime 2016-08-08T09:54:06 --startdatetime 2016-08-08T09:55:38 --delay 1 --endMP 204:233287 --enddatetime 2016-08-08T10:39:21 --enforcementcount 0</v>
      </c>
    </row>
    <row r="66" spans="1:34" x14ac:dyDescent="0.25">
      <c r="A66" s="42" t="s">
        <v>392</v>
      </c>
      <c r="B66" s="7">
        <v>4037</v>
      </c>
      <c r="C66" s="25" t="s">
        <v>141</v>
      </c>
      <c r="D66" s="25" t="s">
        <v>537</v>
      </c>
      <c r="E66" s="16">
        <v>42590.445844907408</v>
      </c>
      <c r="F66" s="16">
        <v>42590.44736111111</v>
      </c>
      <c r="G66" s="7">
        <v>2</v>
      </c>
      <c r="H66" s="16" t="s">
        <v>538</v>
      </c>
      <c r="I66" s="16">
        <v>42590.486967592595</v>
      </c>
      <c r="J66" s="7">
        <v>0</v>
      </c>
      <c r="K66" s="25" t="str">
        <f t="shared" si="0"/>
        <v>4037/4038</v>
      </c>
      <c r="L66" s="25" t="str">
        <f>VLOOKUP(A66,'Trips&amp;Operators'!$C$1:$E$10000,3,FALSE)</f>
        <v>HOMIK</v>
      </c>
      <c r="M66" s="6">
        <f t="shared" si="1"/>
        <v>3.9606481484952383E-2</v>
      </c>
      <c r="N66" s="7">
        <f t="shared" si="25"/>
        <v>57.033333338331431</v>
      </c>
      <c r="O66" s="7"/>
      <c r="P66" s="7"/>
      <c r="Q66" s="26"/>
      <c r="R66" s="26"/>
      <c r="S66" s="38">
        <f t="shared" si="27"/>
        <v>1</v>
      </c>
      <c r="T66" s="55" t="str">
        <f t="shared" si="4"/>
        <v>Southbound</v>
      </c>
      <c r="U66" s="14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09:42:01-0600',mode:absolute,to:'2016-08-08 12:41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66" s="57" t="str">
        <f t="shared" si="6"/>
        <v>N</v>
      </c>
      <c r="X66" s="136">
        <f t="shared" si="26"/>
        <v>1</v>
      </c>
      <c r="Y66" s="72">
        <f t="shared" si="23"/>
        <v>23.298300000000001</v>
      </c>
      <c r="Z66" s="72">
        <f t="shared" si="24"/>
        <v>1.8100000000000002E-2</v>
      </c>
      <c r="AA66" s="72">
        <f t="shared" si="10"/>
        <v>23.280200000000001</v>
      </c>
      <c r="AB66" s="69" t="e">
        <f>VLOOKUP(A66,Enforcements!$C$7:$J$24,8,0)</f>
        <v>#N/A</v>
      </c>
      <c r="AC66" s="65" t="e">
        <f>VLOOKUP(A66,Enforcements!$C$7:$E$24,3,0)</f>
        <v>#N/A</v>
      </c>
      <c r="AD66" s="66" t="str">
        <f t="shared" si="11"/>
        <v>0152-08</v>
      </c>
      <c r="AE66" s="108" t="str">
        <f t="shared" si="12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66" s="105" t="str">
        <f t="shared" si="13"/>
        <v>"C:\Program Files (x86)\AstroGrep\AstroGrep.exe" /spath="%USERPROFILE%\AppData\Local\Temp\OnboardLogs" /stypes="*4037*20160808*"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9" t="str">
        <f t="shared" si="16"/>
        <v>"%USERPROFILE%\Documents\GitHub\eaglep3\Utilities\RefineRTDCRunTimes.py" --tripid 152-08 --locoid 4037 --swversion DE.1.0.7.0 --startMP 204:232983 --initTime 2016-08-08T10:42:01 --startdatetime 2016-08-08T10:44:12 --delay 2 --endMP 204:181 --enddatetime 2016-08-08T11:41:14 --enforcementcount 0</v>
      </c>
    </row>
    <row r="67" spans="1:34" x14ac:dyDescent="0.25">
      <c r="A67" s="42" t="s">
        <v>295</v>
      </c>
      <c r="B67" s="7">
        <v>4029</v>
      </c>
      <c r="C67" s="25" t="s">
        <v>141</v>
      </c>
      <c r="D67" s="25" t="s">
        <v>539</v>
      </c>
      <c r="E67" s="16">
        <v>42590.425381944442</v>
      </c>
      <c r="F67" s="16">
        <v>42590.426087962966</v>
      </c>
      <c r="G67" s="7">
        <v>1</v>
      </c>
      <c r="H67" s="16" t="s">
        <v>265</v>
      </c>
      <c r="I67" s="16">
        <v>42590.452349537038</v>
      </c>
      <c r="J67" s="7">
        <v>1</v>
      </c>
      <c r="K67" s="25" t="str">
        <f t="shared" si="0"/>
        <v>4029/4030</v>
      </c>
      <c r="L67" s="25" t="str">
        <f>VLOOKUP(A67,'Trips&amp;Operators'!$C$1:$E$10000,3,FALSE)</f>
        <v>STARKS</v>
      </c>
      <c r="M67" s="6">
        <f t="shared" si="1"/>
        <v>2.626157407212304E-2</v>
      </c>
      <c r="N67" s="7">
        <f t="shared" si="25"/>
        <v>37.816666663857177</v>
      </c>
      <c r="O67" s="7"/>
      <c r="P67" s="7"/>
      <c r="Q67" s="26"/>
      <c r="R67" s="26"/>
      <c r="S67" s="38">
        <f t="shared" si="27"/>
        <v>1</v>
      </c>
      <c r="T67" s="55" t="str">
        <f t="shared" si="4"/>
        <v>NorthBound</v>
      </c>
      <c r="U67" s="14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09:12:33-0600',mode:absolute,to:'2016-08-08 11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67" s="57" t="str">
        <f t="shared" si="6"/>
        <v>N</v>
      </c>
      <c r="X67" s="136">
        <f t="shared" si="26"/>
        <v>1</v>
      </c>
      <c r="Y67" s="72">
        <f t="shared" si="23"/>
        <v>4.6899999999999997E-2</v>
      </c>
      <c r="Z67" s="72">
        <f t="shared" si="24"/>
        <v>23.328199999999999</v>
      </c>
      <c r="AA67" s="72">
        <f t="shared" si="10"/>
        <v>23.281299999999998</v>
      </c>
      <c r="AB67" s="69">
        <f>VLOOKUP(A67,Enforcements!$C$7:$J$24,8,0)</f>
        <v>0</v>
      </c>
      <c r="AC67" s="65" t="str">
        <f>VLOOKUP(A67,Enforcements!$C$7:$E$24,3,0)</f>
        <v>PERMANENT SPEED RESTRICTION</v>
      </c>
      <c r="AD67" s="66" t="str">
        <f t="shared" si="11"/>
        <v>0153-08</v>
      </c>
      <c r="AE67" s="108" t="str">
        <f t="shared" si="12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67" s="105" t="str">
        <f t="shared" si="13"/>
        <v>"C:\Program Files (x86)\AstroGrep\AstroGrep.exe" /spath="%USERPROFILE%\AppData\Local\Temp\OnboardLogs" /stypes="*4029*20160808*" /stext=" 16:.+((SYSTEM_STATE.+slice.+state.+changed )|(ment ac)|(system.+state.+changed )|(\|lc)|(penalty)|(\[timeout)|(PRM\|1\|D)|(kpr)|(kdp))" /e /r /s</v>
      </c>
      <c r="AG67" s="1" t="str">
        <f t="shared" si="14"/>
        <v>EC</v>
      </c>
      <c r="AH67" s="109" t="str">
        <f t="shared" si="16"/>
        <v>"%USERPROFILE%\Documents\GitHub\eaglep3\Utilities\RefineRTDCRunTimes.py" --tripid 153-08 --locoid 4029 --swversion DE.1.0.7.0 --startMP 204:469 --initTime 2016-08-08T10:12:33 --startdatetime 2016-08-08T10:13:34 --delay 1 --endMP 204:233282 --enddatetime 2016-08-08T10:51:23 --enforcementcount 1</v>
      </c>
    </row>
    <row r="68" spans="1:34" x14ac:dyDescent="0.25">
      <c r="A68" s="42" t="s">
        <v>300</v>
      </c>
      <c r="B68" s="7">
        <v>4030</v>
      </c>
      <c r="C68" s="25" t="s">
        <v>141</v>
      </c>
      <c r="D68" s="25" t="s">
        <v>64</v>
      </c>
      <c r="E68" s="16">
        <v>42590.46398148148</v>
      </c>
      <c r="F68" s="16">
        <v>42590.46497685185</v>
      </c>
      <c r="G68" s="7">
        <v>1</v>
      </c>
      <c r="H68" s="16" t="s">
        <v>211</v>
      </c>
      <c r="I68" s="16">
        <v>42590.494733796295</v>
      </c>
      <c r="J68" s="7">
        <v>1</v>
      </c>
      <c r="K68" s="25" t="str">
        <f t="shared" si="0"/>
        <v>4029/4030</v>
      </c>
      <c r="L68" s="25" t="str">
        <f>VLOOKUP(A68,'Trips&amp;Operators'!$C$1:$E$10000,3,FALSE)</f>
        <v>STARKS</v>
      </c>
      <c r="M68" s="6">
        <f t="shared" si="1"/>
        <v>2.9756944444670808E-2</v>
      </c>
      <c r="N68" s="7">
        <f t="shared" si="25"/>
        <v>42.850000000325963</v>
      </c>
      <c r="O68" s="7"/>
      <c r="P68" s="7"/>
      <c r="Q68" s="26"/>
      <c r="R68" s="26"/>
      <c r="S68" s="38">
        <f t="shared" si="27"/>
        <v>1</v>
      </c>
      <c r="T68" s="55" t="str">
        <f t="shared" si="4"/>
        <v>Southbound</v>
      </c>
      <c r="U68" s="14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10:08:08-0600',mode:absolute,to:'2016-08-08 12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68" s="57" t="str">
        <f t="shared" si="6"/>
        <v>N</v>
      </c>
      <c r="X68" s="136">
        <f t="shared" si="26"/>
        <v>1</v>
      </c>
      <c r="Y68" s="72">
        <f t="shared" si="23"/>
        <v>23.297699999999999</v>
      </c>
      <c r="Z68" s="72">
        <f t="shared" si="24"/>
        <v>1.6500000000000001E-2</v>
      </c>
      <c r="AA68" s="72">
        <f t="shared" si="10"/>
        <v>23.281199999999998</v>
      </c>
      <c r="AB68" s="69">
        <f>VLOOKUP(A68,Enforcements!$C$7:$J$24,8,0)</f>
        <v>21848</v>
      </c>
      <c r="AC68" s="65" t="str">
        <f>VLOOKUP(A68,Enforcements!$C$7:$E$24,3,0)</f>
        <v>PERMANENT SPEED RESTRICTION</v>
      </c>
      <c r="AD68" s="66" t="str">
        <f t="shared" si="11"/>
        <v>0154-08</v>
      </c>
      <c r="AE68" s="108" t="str">
        <f t="shared" si="12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68" s="105" t="str">
        <f t="shared" si="13"/>
        <v>"C:\Program Files (x86)\AstroGrep\AstroGrep.exe" /spath="%USERPROFILE%\AppData\Local\Temp\OnboardLogs" /stypes="*4030*20160808*" /stext=" 17:.+((SYSTEM_STATE.+slice.+state.+changed )|(ment ac)|(system.+state.+changed )|(\|lc)|(penalty)|(\[timeout)|(PRM\|1\|D)|(kpr)|(kdp))" /e /r /s</v>
      </c>
      <c r="AG68" s="1" t="str">
        <f t="shared" si="14"/>
        <v>EC</v>
      </c>
      <c r="AH68" s="109" t="str">
        <f t="shared" si="16"/>
        <v>"%USERPROFILE%\Documents\GitHub\eaglep3\Utilities\RefineRTDCRunTimes.py" --tripid 154-08 --locoid 4030 --swversion DE.1.0.7.0 --startMP 204:232977 --initTime 2016-08-08T11:08:08 --startdatetime 2016-08-08T11:09:34 --delay 1 --endMP 204:165 --enddatetime 2016-08-08T11:52:25 --enforcementcount 1</v>
      </c>
    </row>
    <row r="69" spans="1:34" x14ac:dyDescent="0.25">
      <c r="A69" s="42" t="s">
        <v>391</v>
      </c>
      <c r="B69" s="7">
        <v>4011</v>
      </c>
      <c r="C69" s="25" t="s">
        <v>141</v>
      </c>
      <c r="D69" s="25" t="s">
        <v>196</v>
      </c>
      <c r="E69" s="16">
        <v>42590.434560185182</v>
      </c>
      <c r="F69" s="16">
        <v>42590.435717592591</v>
      </c>
      <c r="G69" s="7">
        <v>1</v>
      </c>
      <c r="H69" s="16" t="s">
        <v>536</v>
      </c>
      <c r="I69" s="16">
        <v>42590.463946759257</v>
      </c>
      <c r="J69" s="7">
        <v>0</v>
      </c>
      <c r="K69" s="25" t="str">
        <f t="shared" si="0"/>
        <v>4011/4012</v>
      </c>
      <c r="L69" s="25" t="str">
        <f>VLOOKUP(A69,'Trips&amp;Operators'!$C$1:$E$10000,3,FALSE)</f>
        <v>DAVIS</v>
      </c>
      <c r="M69" s="6">
        <f t="shared" si="1"/>
        <v>2.8229166666278616E-2</v>
      </c>
      <c r="N69" s="7">
        <f t="shared" si="25"/>
        <v>40.649999999441206</v>
      </c>
      <c r="O69" s="7"/>
      <c r="P69" s="7"/>
      <c r="Q69" s="26"/>
      <c r="R69" s="26"/>
      <c r="S69" s="38">
        <f t="shared" si="27"/>
        <v>1</v>
      </c>
      <c r="T69" s="55" t="str">
        <f t="shared" si="4"/>
        <v>NorthBound</v>
      </c>
      <c r="U69" s="14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09:25:46-0600',mode:absolute,to:'2016-08-08 12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69" s="57" t="str">
        <f t="shared" si="6"/>
        <v>N</v>
      </c>
      <c r="X69" s="136">
        <f t="shared" si="26"/>
        <v>1</v>
      </c>
      <c r="Y69" s="72">
        <f t="shared" si="23"/>
        <v>4.53E-2</v>
      </c>
      <c r="Z69" s="72">
        <f t="shared" si="24"/>
        <v>23.328700000000001</v>
      </c>
      <c r="AA69" s="72">
        <f t="shared" si="10"/>
        <v>23.2834</v>
      </c>
      <c r="AB69" s="69" t="e">
        <f>VLOOKUP(A69,Enforcements!$C$7:$J$24,8,0)</f>
        <v>#N/A</v>
      </c>
      <c r="AC69" s="65" t="e">
        <f>VLOOKUP(A69,Enforcements!$C$7:$E$24,3,0)</f>
        <v>#N/A</v>
      </c>
      <c r="AD69" s="66" t="str">
        <f t="shared" si="11"/>
        <v>0155-08</v>
      </c>
      <c r="AE69" s="108" t="str">
        <f t="shared" si="12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69" s="105" t="str">
        <f t="shared" si="13"/>
        <v>"C:\Program Files (x86)\AstroGrep\AstroGrep.exe" /spath="%USERPROFILE%\AppData\Local\Temp\OnboardLogs" /stypes="*4011*20160808*"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9" t="str">
        <f t="shared" si="16"/>
        <v>"%USERPROFILE%\Documents\GitHub\eaglep3\Utilities\RefineRTDCRunTimes.py" --tripid 155-08 --locoid 4011 --swversion DE.1.0.7.0 --startMP 204:453 --initTime 2016-08-08T10:25:46 --startdatetime 2016-08-08T10:27:26 --delay 1 --endMP 204:233287 --enddatetime 2016-08-08T11:08:05 --enforcementcount 0</v>
      </c>
    </row>
    <row r="70" spans="1:34" s="24" customFormat="1" x14ac:dyDescent="0.25">
      <c r="A70" s="42" t="s">
        <v>397</v>
      </c>
      <c r="B70" s="7">
        <v>4012</v>
      </c>
      <c r="C70" s="25" t="s">
        <v>141</v>
      </c>
      <c r="D70" s="25" t="s">
        <v>152</v>
      </c>
      <c r="E70" s="16">
        <v>42590.471643518518</v>
      </c>
      <c r="F70" s="16">
        <v>42590.473078703704</v>
      </c>
      <c r="G70" s="7">
        <v>2</v>
      </c>
      <c r="H70" s="16" t="s">
        <v>201</v>
      </c>
      <c r="I70" s="16">
        <v>42590.505115740743</v>
      </c>
      <c r="J70" s="7">
        <v>0</v>
      </c>
      <c r="K70" s="25" t="str">
        <f t="shared" si="0"/>
        <v>4011/4012</v>
      </c>
      <c r="L70" s="25" t="str">
        <f>VLOOKUP(A70,'Trips&amp;Operators'!$C$1:$E$10000,3,FALSE)</f>
        <v>DAVIS</v>
      </c>
      <c r="M70" s="6">
        <f t="shared" si="1"/>
        <v>3.2037037039117422E-2</v>
      </c>
      <c r="N70" s="7">
        <f t="shared" si="25"/>
        <v>46.133333336329088</v>
      </c>
      <c r="O70" s="7"/>
      <c r="P70" s="7"/>
      <c r="Q70" s="26"/>
      <c r="R70" s="26"/>
      <c r="S70" s="38">
        <f t="shared" si="27"/>
        <v>1</v>
      </c>
      <c r="T70" s="55" t="str">
        <f t="shared" si="4"/>
        <v>Southbound</v>
      </c>
      <c r="U70" s="14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10:19:10-0600',mode:absolute,to:'2016-08-08 13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70" s="57" t="str">
        <f t="shared" si="6"/>
        <v>N</v>
      </c>
      <c r="X70" s="136">
        <f t="shared" si="26"/>
        <v>1</v>
      </c>
      <c r="Y70" s="72">
        <f t="shared" si="23"/>
        <v>23.299299999999999</v>
      </c>
      <c r="Z70" s="72">
        <f t="shared" si="24"/>
        <v>1.72E-2</v>
      </c>
      <c r="AA70" s="72">
        <f t="shared" si="10"/>
        <v>23.2821</v>
      </c>
      <c r="AB70" s="69" t="e">
        <f>VLOOKUP(A70,Enforcements!$C$7:$J$24,8,0)</f>
        <v>#N/A</v>
      </c>
      <c r="AC70" s="65" t="e">
        <f>VLOOKUP(A70,Enforcements!$C$7:$E$24,3,0)</f>
        <v>#N/A</v>
      </c>
      <c r="AD70" s="66" t="str">
        <f t="shared" si="11"/>
        <v>0156-08</v>
      </c>
      <c r="AE70" s="108" t="str">
        <f t="shared" si="12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70" s="105" t="str">
        <f t="shared" si="13"/>
        <v>"C:\Program Files (x86)\AstroGrep\AstroGrep.exe" /spath="%USERPROFILE%\AppData\Local\Temp\OnboardLogs" /stypes="*4012*20160808*"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9" t="str">
        <f t="shared" si="16"/>
        <v>"%USERPROFILE%\Documents\GitHub\eaglep3\Utilities\RefineRTDCRunTimes.py" --tripid 156-08 --locoid 4012 --swversion DE.1.0.7.0 --startMP 204:232993 --initTime 2016-08-08T11:19:10 --startdatetime 2016-08-08T11:21:14 --delay 2 --endMP 204:172 --enddatetime 2016-08-08T12:07:22 --enforcementcount 0</v>
      </c>
    </row>
    <row r="71" spans="1:34" x14ac:dyDescent="0.25">
      <c r="A71" s="42" t="s">
        <v>298</v>
      </c>
      <c r="B71" s="7">
        <v>4007</v>
      </c>
      <c r="C71" s="25" t="s">
        <v>141</v>
      </c>
      <c r="D71" s="25" t="s">
        <v>540</v>
      </c>
      <c r="E71" s="16">
        <v>42590.447256944448</v>
      </c>
      <c r="F71" s="16">
        <v>42590.448171296295</v>
      </c>
      <c r="G71" s="7">
        <v>1</v>
      </c>
      <c r="H71" s="16" t="s">
        <v>182</v>
      </c>
      <c r="I71" s="16">
        <v>42590.473680555559</v>
      </c>
      <c r="J71" s="7">
        <v>1</v>
      </c>
      <c r="K71" s="25" t="str">
        <f t="shared" si="0"/>
        <v>4007/4008</v>
      </c>
      <c r="L71" s="25" t="str">
        <f>VLOOKUP(A71,'Trips&amp;Operators'!$C$1:$E$10000,3,FALSE)</f>
        <v>MALAVE</v>
      </c>
      <c r="M71" s="6">
        <f t="shared" si="1"/>
        <v>2.5509259263344575E-2</v>
      </c>
      <c r="N71" s="7">
        <f t="shared" si="25"/>
        <v>36.733333339216188</v>
      </c>
      <c r="O71" s="7"/>
      <c r="P71" s="7"/>
      <c r="Q71" s="26"/>
      <c r="R71" s="26"/>
      <c r="S71" s="38">
        <f t="shared" si="27"/>
        <v>1</v>
      </c>
      <c r="T71" s="55" t="str">
        <f t="shared" si="4"/>
        <v>NorthBound</v>
      </c>
      <c r="U71" s="14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09:44:03-0600',mode:absolute,to:'2016-08-08 12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71" s="57" t="str">
        <f t="shared" si="6"/>
        <v>N</v>
      </c>
      <c r="X71" s="136">
        <f t="shared" si="26"/>
        <v>1</v>
      </c>
      <c r="Y71" s="72">
        <f t="shared" si="23"/>
        <v>5.0900000000000001E-2</v>
      </c>
      <c r="Z71" s="72">
        <f t="shared" si="24"/>
        <v>23.3278</v>
      </c>
      <c r="AA71" s="72">
        <f t="shared" si="10"/>
        <v>23.276900000000001</v>
      </c>
      <c r="AB71" s="69">
        <f>VLOOKUP(A71,Enforcements!$C$7:$J$24,8,0)</f>
        <v>161962</v>
      </c>
      <c r="AC71" s="65" t="str">
        <f>VLOOKUP(A71,Enforcements!$C$7:$E$24,3,0)</f>
        <v>PERMANENT SPEED RESTRICTION</v>
      </c>
      <c r="AD71" s="66" t="str">
        <f t="shared" si="11"/>
        <v>0157-08</v>
      </c>
      <c r="AE71" s="108" t="str">
        <f t="shared" si="12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71" s="105" t="str">
        <f t="shared" si="13"/>
        <v>"C:\Program Files (x86)\AstroGrep\AstroGrep.exe" /spath="%USERPROFILE%\AppData\Local\Temp\OnboardLogs" /stypes="*4007*20160808*"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9" t="str">
        <f t="shared" si="16"/>
        <v>"%USERPROFILE%\Documents\GitHub\eaglep3\Utilities\RefineRTDCRunTimes.py" --tripid 157-08 --locoid 4007 --swversion DE.1.0.7.0 --startMP 204:509 --initTime 2016-08-08T10:44:03 --startdatetime 2016-08-08T10:45:22 --delay 1 --endMP 204:233278 --enddatetime 2016-08-08T11:22:06 --enforcementcount 1</v>
      </c>
    </row>
    <row r="72" spans="1:34" x14ac:dyDescent="0.25">
      <c r="A72" s="42" t="s">
        <v>393</v>
      </c>
      <c r="B72" s="7">
        <v>4008</v>
      </c>
      <c r="C72" s="25" t="s">
        <v>141</v>
      </c>
      <c r="D72" s="25" t="s">
        <v>199</v>
      </c>
      <c r="E72" s="16">
        <v>42590.48510416667</v>
      </c>
      <c r="F72" s="16">
        <v>42590.486967592595</v>
      </c>
      <c r="G72" s="7">
        <v>2</v>
      </c>
      <c r="H72" s="16" t="s">
        <v>208</v>
      </c>
      <c r="I72" s="16">
        <v>42590.513796296298</v>
      </c>
      <c r="J72" s="7">
        <v>0</v>
      </c>
      <c r="K72" s="25" t="str">
        <f t="shared" si="0"/>
        <v>4007/4008</v>
      </c>
      <c r="L72" s="25" t="str">
        <f>VLOOKUP(A72,'Trips&amp;Operators'!$C$1:$E$10000,3,FALSE)</f>
        <v>MALAVE</v>
      </c>
      <c r="M72" s="6">
        <f t="shared" si="1"/>
        <v>2.6828703703358769E-2</v>
      </c>
      <c r="N72" s="7">
        <f t="shared" si="25"/>
        <v>38.633333332836628</v>
      </c>
      <c r="O72" s="7"/>
      <c r="P72" s="7"/>
      <c r="Q72" s="26"/>
      <c r="R72" s="26"/>
      <c r="S72" s="38">
        <f t="shared" si="27"/>
        <v>1</v>
      </c>
      <c r="T72" s="55" t="str">
        <f t="shared" si="4"/>
        <v>Southbound</v>
      </c>
      <c r="U72" s="14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10:38:33-0600',mode:absolute,to:'2016-08-08 13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72" s="57" t="str">
        <f t="shared" si="6"/>
        <v>N</v>
      </c>
      <c r="X72" s="136">
        <f t="shared" si="26"/>
        <v>1</v>
      </c>
      <c r="Y72" s="72">
        <f t="shared" si="23"/>
        <v>23.296900000000001</v>
      </c>
      <c r="Z72" s="72">
        <f t="shared" si="24"/>
        <v>1.54E-2</v>
      </c>
      <c r="AA72" s="72">
        <f t="shared" si="10"/>
        <v>23.281500000000001</v>
      </c>
      <c r="AB72" s="69" t="e">
        <f>VLOOKUP(A72,Enforcements!$C$7:$J$24,8,0)</f>
        <v>#N/A</v>
      </c>
      <c r="AC72" s="65" t="e">
        <f>VLOOKUP(A72,Enforcements!$C$7:$E$24,3,0)</f>
        <v>#N/A</v>
      </c>
      <c r="AD72" s="66" t="str">
        <f t="shared" si="11"/>
        <v>0158-08</v>
      </c>
      <c r="AE72" s="108" t="str">
        <f t="shared" si="12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72" s="105" t="str">
        <f t="shared" si="13"/>
        <v>"C:\Program Files (x86)\AstroGrep\AstroGrep.exe" /spath="%USERPROFILE%\AppData\Local\Temp\OnboardLogs" /stypes="*4008*20160808*"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9" t="str">
        <f t="shared" si="16"/>
        <v>"%USERPROFILE%\Documents\GitHub\eaglep3\Utilities\RefineRTDCRunTimes.py" --tripid 158-08 --locoid 4008 --swversion DE.1.0.7.0 --startMP 204:232969 --initTime 2016-08-08T11:38:33 --startdatetime 2016-08-08T11:41:14 --delay 2 --endMP 204:154 --enddatetime 2016-08-08T12:19:52 --enforcementcount 0</v>
      </c>
    </row>
    <row r="73" spans="1:34" x14ac:dyDescent="0.25">
      <c r="A73" s="42" t="s">
        <v>394</v>
      </c>
      <c r="B73" s="7">
        <v>4014</v>
      </c>
      <c r="C73" s="25" t="s">
        <v>141</v>
      </c>
      <c r="D73" s="25" t="s">
        <v>166</v>
      </c>
      <c r="E73" s="16">
        <v>42590.457060185188</v>
      </c>
      <c r="F73" s="16">
        <v>42590.458321759259</v>
      </c>
      <c r="G73" s="7">
        <v>1</v>
      </c>
      <c r="H73" s="16" t="s">
        <v>522</v>
      </c>
      <c r="I73" s="16">
        <v>42590.489664351851</v>
      </c>
      <c r="J73" s="7">
        <v>0</v>
      </c>
      <c r="K73" s="25" t="str">
        <f t="shared" si="0"/>
        <v>4013/4014</v>
      </c>
      <c r="L73" s="25" t="str">
        <f>VLOOKUP(A73,'Trips&amp;Operators'!$C$1:$E$10000,3,FALSE)</f>
        <v>STEWART</v>
      </c>
      <c r="M73" s="6">
        <f t="shared" si="1"/>
        <v>3.1342592592409346E-2</v>
      </c>
      <c r="N73" s="7">
        <f t="shared" si="25"/>
        <v>45.133333333069459</v>
      </c>
      <c r="O73" s="7"/>
      <c r="P73" s="7"/>
      <c r="Q73" s="26"/>
      <c r="R73" s="26"/>
      <c r="S73" s="38">
        <f t="shared" si="27"/>
        <v>1</v>
      </c>
      <c r="T73" s="55" t="str">
        <f t="shared" si="4"/>
        <v>NorthBound</v>
      </c>
      <c r="U73" s="14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09:58:10-0600',mode:absolute,to:'2016-08-08 12:45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73" s="57" t="str">
        <f t="shared" si="6"/>
        <v>N</v>
      </c>
      <c r="X73" s="136">
        <f t="shared" si="26"/>
        <v>1</v>
      </c>
      <c r="Y73" s="72">
        <f t="shared" si="23"/>
        <v>4.5699999999999998E-2</v>
      </c>
      <c r="Z73" s="72">
        <f t="shared" si="24"/>
        <v>23.3291</v>
      </c>
      <c r="AA73" s="72">
        <f t="shared" si="10"/>
        <v>23.2834</v>
      </c>
      <c r="AB73" s="69" t="e">
        <f>VLOOKUP(A73,Enforcements!$C$7:$J$24,8,0)</f>
        <v>#N/A</v>
      </c>
      <c r="AC73" s="65" t="e">
        <f>VLOOKUP(A73,Enforcements!$C$7:$E$24,3,0)</f>
        <v>#N/A</v>
      </c>
      <c r="AD73" s="66" t="str">
        <f t="shared" si="11"/>
        <v>0159-08</v>
      </c>
      <c r="AE73" s="108" t="str">
        <f t="shared" si="12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73" s="105" t="str">
        <f t="shared" si="13"/>
        <v>"C:\Program Files (x86)\AstroGrep\AstroGrep.exe" /spath="%USERPROFILE%\AppData\Local\Temp\OnboardLogs" /stypes="*4014*20160808*"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9" t="str">
        <f t="shared" si="16"/>
        <v>"%USERPROFILE%\Documents\GitHub\eaglep3\Utilities\RefineRTDCRunTimes.py" --tripid 159-08 --locoid 4014 --swversion DE.1.0.7.0 --startMP 204:457 --initTime 2016-08-08T10:58:10 --startdatetime 2016-08-08T10:59:59 --delay 1 --endMP 204:233291 --enddatetime 2016-08-08T11:45:07 --enforcementcount 0</v>
      </c>
    </row>
    <row r="74" spans="1:34" x14ac:dyDescent="0.25">
      <c r="A74" s="42" t="s">
        <v>402</v>
      </c>
      <c r="B74" s="7">
        <v>4013</v>
      </c>
      <c r="C74" s="25" t="s">
        <v>141</v>
      </c>
      <c r="D74" s="25" t="s">
        <v>64</v>
      </c>
      <c r="E74" s="16">
        <v>42590.496064814812</v>
      </c>
      <c r="F74" s="16">
        <v>42590.497048611112</v>
      </c>
      <c r="G74" s="7">
        <v>1</v>
      </c>
      <c r="H74" s="16" t="s">
        <v>130</v>
      </c>
      <c r="I74" s="16">
        <v>42590.525462962964</v>
      </c>
      <c r="J74" s="7">
        <v>0</v>
      </c>
      <c r="K74" s="25" t="str">
        <f t="shared" si="0"/>
        <v>4013/4014</v>
      </c>
      <c r="L74" s="25" t="str">
        <f>VLOOKUP(A74,'Trips&amp;Operators'!$C$1:$E$10000,3,FALSE)</f>
        <v>STEWART</v>
      </c>
      <c r="M74" s="6">
        <f t="shared" si="1"/>
        <v>2.8414351851097308E-2</v>
      </c>
      <c r="N74" s="7">
        <f t="shared" si="25"/>
        <v>40.916666665580124</v>
      </c>
      <c r="O74" s="7"/>
      <c r="P74" s="7"/>
      <c r="Q74" s="26"/>
      <c r="R74" s="26"/>
      <c r="S74" s="38">
        <f t="shared" si="27"/>
        <v>1</v>
      </c>
      <c r="T74" s="55" t="str">
        <f t="shared" si="4"/>
        <v>Southbound</v>
      </c>
      <c r="U74" s="14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10:54:20-0600',mode:absolute,to:'2016-08-08 13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74" s="57" t="str">
        <f t="shared" si="6"/>
        <v>N</v>
      </c>
      <c r="X74" s="136">
        <f t="shared" si="26"/>
        <v>1</v>
      </c>
      <c r="Y74" s="72">
        <f t="shared" si="23"/>
        <v>23.297699999999999</v>
      </c>
      <c r="Z74" s="72">
        <f t="shared" si="24"/>
        <v>1.4999999999999999E-2</v>
      </c>
      <c r="AA74" s="72">
        <f t="shared" si="10"/>
        <v>23.282699999999998</v>
      </c>
      <c r="AB74" s="69" t="e">
        <f>VLOOKUP(A74,Enforcements!$C$7:$J$24,8,0)</f>
        <v>#N/A</v>
      </c>
      <c r="AC74" s="65" t="e">
        <f>VLOOKUP(A74,Enforcements!$C$7:$E$24,3,0)</f>
        <v>#N/A</v>
      </c>
      <c r="AD74" s="66" t="str">
        <f t="shared" si="11"/>
        <v>0160-08</v>
      </c>
      <c r="AE74" s="108" t="str">
        <f t="shared" si="12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74" s="105" t="str">
        <f t="shared" si="13"/>
        <v>"C:\Program Files (x86)\AstroGrep\AstroGrep.exe" /spath="%USERPROFILE%\AppData\Local\Temp\OnboardLogs" /stypes="*4013*20160808*"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9" t="str">
        <f t="shared" si="16"/>
        <v>"%USERPROFILE%\Documents\GitHub\eaglep3\Utilities\RefineRTDCRunTimes.py" --tripid 160-08 --locoid 4013 --swversion DE.1.0.7.0 --startMP 204:232977 --initTime 2016-08-08T11:54:20 --startdatetime 2016-08-08T11:55:45 --delay 1 --endMP 204:150 --enddatetime 2016-08-08T12:36:40 --enforcementcount 0</v>
      </c>
    </row>
    <row r="75" spans="1:34" x14ac:dyDescent="0.25">
      <c r="A75" s="42" t="s">
        <v>395</v>
      </c>
      <c r="B75" s="7">
        <v>4020</v>
      </c>
      <c r="C75" s="25" t="s">
        <v>141</v>
      </c>
      <c r="D75" s="25" t="s">
        <v>203</v>
      </c>
      <c r="E75" s="16">
        <v>42590.465509259258</v>
      </c>
      <c r="F75" s="16">
        <v>42590.466689814813</v>
      </c>
      <c r="G75" s="7">
        <v>1</v>
      </c>
      <c r="H75" s="16" t="s">
        <v>238</v>
      </c>
      <c r="I75" s="16">
        <v>42590.494618055556</v>
      </c>
      <c r="J75" s="7">
        <v>0</v>
      </c>
      <c r="K75" s="25" t="str">
        <f t="shared" si="0"/>
        <v>4019/4020</v>
      </c>
      <c r="L75" s="25" t="str">
        <f>VLOOKUP(A75,'Trips&amp;Operators'!$C$1:$E$10000,3,FALSE)</f>
        <v>BARTLETT</v>
      </c>
      <c r="M75" s="6">
        <f t="shared" si="1"/>
        <v>2.792824074276723E-2</v>
      </c>
      <c r="N75" s="7">
        <f t="shared" si="25"/>
        <v>40.216666669584811</v>
      </c>
      <c r="O75" s="7"/>
      <c r="P75" s="7"/>
      <c r="Q75" s="26"/>
      <c r="R75" s="26"/>
      <c r="S75" s="38">
        <f t="shared" si="27"/>
        <v>1</v>
      </c>
      <c r="T75" s="55" t="str">
        <f t="shared" si="4"/>
        <v>NorthBound</v>
      </c>
      <c r="U75" s="14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10:10:20-0600',mode:absolute,to:'2016-08-08 12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75" s="57" t="str">
        <f t="shared" si="6"/>
        <v>N</v>
      </c>
      <c r="X75" s="136">
        <f t="shared" si="26"/>
        <v>1</v>
      </c>
      <c r="Y75" s="72">
        <f t="shared" si="23"/>
        <v>4.4900000000000002E-2</v>
      </c>
      <c r="Z75" s="72">
        <f t="shared" si="24"/>
        <v>23.3309</v>
      </c>
      <c r="AA75" s="72">
        <f t="shared" si="10"/>
        <v>23.286000000000001</v>
      </c>
      <c r="AB75" s="69" t="e">
        <f>VLOOKUP(A75,Enforcements!$C$7:$J$24,8,0)</f>
        <v>#N/A</v>
      </c>
      <c r="AC75" s="65" t="e">
        <f>VLOOKUP(A75,Enforcements!$C$7:$E$24,3,0)</f>
        <v>#N/A</v>
      </c>
      <c r="AD75" s="66" t="str">
        <f t="shared" si="11"/>
        <v>0161-08</v>
      </c>
      <c r="AE75" s="108" t="str">
        <f t="shared" si="12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75" s="105" t="str">
        <f t="shared" si="13"/>
        <v>"C:\Program Files (x86)\AstroGrep\AstroGrep.exe" /spath="%USERPROFILE%\AppData\Local\Temp\OnboardLogs" /stypes="*4020*20160808*" /stext=" 17:.+((SYSTEM_STATE.+slice.+state.+changed )|(ment ac)|(system.+state.+changed )|(\|lc)|(penalty)|(\[timeout)|(PRM\|1\|D)|(kpr)|(kdp))" /e /r /s</v>
      </c>
      <c r="AG75" s="1" t="str">
        <f t="shared" si="14"/>
        <v>EC</v>
      </c>
      <c r="AH75" s="109" t="str">
        <f t="shared" si="16"/>
        <v>"%USERPROFILE%\Documents\GitHub\eaglep3\Utilities\RefineRTDCRunTimes.py" --tripid 161-08 --locoid 4020 --swversion DE.1.0.7.0 --startMP 204:449 --initTime 2016-08-08T11:10:20 --startdatetime 2016-08-08T11:12:02 --delay 1 --endMP 204:233309 --enddatetime 2016-08-08T11:52:15 --enforcementcount 0</v>
      </c>
    </row>
    <row r="76" spans="1:34" x14ac:dyDescent="0.25">
      <c r="A76" s="42" t="s">
        <v>403</v>
      </c>
      <c r="B76" s="7">
        <v>4019</v>
      </c>
      <c r="C76" s="25" t="s">
        <v>141</v>
      </c>
      <c r="D76" s="25" t="s">
        <v>185</v>
      </c>
      <c r="E76" s="16">
        <v>42590.496990740743</v>
      </c>
      <c r="F76" s="16">
        <v>42590.498020833336</v>
      </c>
      <c r="G76" s="7">
        <v>1</v>
      </c>
      <c r="H76" s="16" t="s">
        <v>206</v>
      </c>
      <c r="I76" s="16">
        <v>42590.536469907405</v>
      </c>
      <c r="J76" s="7">
        <v>0</v>
      </c>
      <c r="K76" s="25" t="str">
        <f t="shared" si="0"/>
        <v>4019/4020</v>
      </c>
      <c r="L76" s="25" t="str">
        <f>VLOOKUP(A76,'Trips&amp;Operators'!$C$1:$E$10000,3,FALSE)</f>
        <v>BARTLETT</v>
      </c>
      <c r="M76" s="6">
        <f t="shared" si="1"/>
        <v>3.8449074068921618E-2</v>
      </c>
      <c r="N76" s="7">
        <f t="shared" si="25"/>
        <v>55.36666665924713</v>
      </c>
      <c r="O76" s="7"/>
      <c r="P76" s="7"/>
      <c r="Q76" s="26"/>
      <c r="R76" s="26"/>
      <c r="S76" s="38">
        <f t="shared" si="27"/>
        <v>1</v>
      </c>
      <c r="T76" s="55" t="str">
        <f t="shared" si="4"/>
        <v>Southbound</v>
      </c>
      <c r="U76" s="14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10:55:40-0600',mode:absolute,to:'2016-08-08 13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76" s="57" t="str">
        <f t="shared" si="6"/>
        <v>N</v>
      </c>
      <c r="X76" s="136">
        <f t="shared" si="26"/>
        <v>1</v>
      </c>
      <c r="Y76" s="72">
        <f t="shared" si="23"/>
        <v>23.299199999999999</v>
      </c>
      <c r="Z76" s="72">
        <f t="shared" si="24"/>
        <v>1.49E-2</v>
      </c>
      <c r="AA76" s="72">
        <f t="shared" si="10"/>
        <v>23.284299999999998</v>
      </c>
      <c r="AB76" s="69" t="e">
        <f>VLOOKUP(A76,Enforcements!$C$7:$J$24,8,0)</f>
        <v>#N/A</v>
      </c>
      <c r="AC76" s="65" t="e">
        <f>VLOOKUP(A76,Enforcements!$C$7:$E$24,3,0)</f>
        <v>#N/A</v>
      </c>
      <c r="AD76" s="66" t="str">
        <f t="shared" si="11"/>
        <v>0162-08</v>
      </c>
      <c r="AE76" s="108" t="str">
        <f t="shared" si="12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76" s="105" t="str">
        <f t="shared" si="13"/>
        <v>"C:\Program Files (x86)\AstroGrep\AstroGrep.exe" /spath="%USERPROFILE%\AppData\Local\Temp\OnboardLogs" /stypes="*4019*20160808*" /stext=" 18:.+((SYSTEM_STATE.+slice.+state.+changed )|(ment ac)|(system.+state.+changed )|(\|lc)|(penalty)|(\[timeout)|(PRM\|1\|D)|(kpr)|(kdp))" /e /r /s</v>
      </c>
      <c r="AG76" s="1" t="str">
        <f t="shared" si="14"/>
        <v>EC</v>
      </c>
      <c r="AH76" s="109" t="str">
        <f t="shared" si="16"/>
        <v>"%USERPROFILE%\Documents\GitHub\eaglep3\Utilities\RefineRTDCRunTimes.py" --tripid 162-08 --locoid 4019 --swversion DE.1.0.7.0 --startMP 204:232992 --initTime 2016-08-08T11:55:40 --startdatetime 2016-08-08T11:57:09 --delay 1 --endMP 204:149 --enddatetime 2016-08-08T12:52:31 --enforcementcount 0</v>
      </c>
    </row>
    <row r="77" spans="1:34" x14ac:dyDescent="0.25">
      <c r="A77" s="42" t="s">
        <v>398</v>
      </c>
      <c r="B77" s="7">
        <v>4027</v>
      </c>
      <c r="C77" s="25" t="s">
        <v>141</v>
      </c>
      <c r="D77" s="25" t="s">
        <v>132</v>
      </c>
      <c r="E77" s="16">
        <v>42590.475381944445</v>
      </c>
      <c r="F77" s="16">
        <v>42590.476643518516</v>
      </c>
      <c r="G77" s="7">
        <v>1</v>
      </c>
      <c r="H77" s="16" t="s">
        <v>541</v>
      </c>
      <c r="I77" s="16">
        <v>42590.504664351851</v>
      </c>
      <c r="J77" s="7">
        <v>0</v>
      </c>
      <c r="K77" s="25" t="str">
        <f t="shared" ref="K77:K140" si="28">IF(ISEVEN(B77),(B77-1)&amp;"/"&amp;B77,B77&amp;"/"&amp;(B77+1))</f>
        <v>4027/4028</v>
      </c>
      <c r="L77" s="25" t="str">
        <f>VLOOKUP(A77,'Trips&amp;Operators'!$C$1:$E$10000,3,FALSE)</f>
        <v>STORY</v>
      </c>
      <c r="M77" s="6">
        <f t="shared" ref="M77:M140" si="29">I77-F77</f>
        <v>2.8020833335176576E-2</v>
      </c>
      <c r="N77" s="7">
        <f t="shared" si="25"/>
        <v>40.350000002654269</v>
      </c>
      <c r="O77" s="7"/>
      <c r="P77" s="7"/>
      <c r="Q77" s="26"/>
      <c r="R77" s="26"/>
      <c r="S77" s="38">
        <f t="shared" si="27"/>
        <v>1</v>
      </c>
      <c r="T77" s="55" t="str">
        <f t="shared" ref="T77:T140" si="30">IF(ISEVEN(LEFT(AD77,4)),"Southbound","NorthBound")</f>
        <v>NorthBound</v>
      </c>
      <c r="U77" s="14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5" t="str">
        <f t="shared" ref="V77:V140" si="31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https://search-rtdc-monitor-bjffxe2xuh6vdkpspy63sjmuny.us-east-1.es.amazonaws.com/_plugin/kibana/#/discover/Steve-Slow-Train-Analysis-(2080s-and-2083s)?_g=(refreshInterval:(display:Off,section:0,value:0),time:(from:'2016-08-08 10:24:33-0600',mode:absolute,to:'2016-08-08 13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77" s="57" t="str">
        <f t="shared" ref="W77:W140" si="32">IF(AA77&lt;IF(AG77="EC",23,5.65),"Y","N")</f>
        <v>N</v>
      </c>
      <c r="X77" s="136">
        <f t="shared" si="26"/>
        <v>1</v>
      </c>
      <c r="Y77" s="72">
        <f t="shared" ref="Y77:Y108" si="33">RIGHT(D77,LEN(D77)-4)/10000</f>
        <v>4.6199999999999998E-2</v>
      </c>
      <c r="Z77" s="72">
        <f t="shared" ref="Z77:Z108" si="34">RIGHT(H77,LEN(H77)-4)/10000</f>
        <v>23.338699999999999</v>
      </c>
      <c r="AA77" s="72">
        <f t="shared" ref="AA77:AA140" si="35">ABS(Z77-Y77)</f>
        <v>23.2925</v>
      </c>
      <c r="AB77" s="69" t="e">
        <f>VLOOKUP(A77,Enforcements!$C$7:$J$24,8,0)</f>
        <v>#N/A</v>
      </c>
      <c r="AC77" s="65" t="e">
        <f>VLOOKUP(A77,Enforcements!$C$7:$E$24,3,0)</f>
        <v>#N/A</v>
      </c>
      <c r="AD77" s="66" t="str">
        <f t="shared" ref="AD77:AD140" si="36">IF(LEN(A77)=6,"0"&amp;A77,A77)</f>
        <v>0163-08</v>
      </c>
      <c r="AE77" s="108" t="str">
        <f t="shared" ref="AE77:AE140" si="37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77" s="105" t="str">
        <f t="shared" ref="AF77:AF140" si="38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/stypes="*4027*20160808*" /stext=" 18:.+((SYSTEM_STATE.+slice.+state.+changed )|(ment ac)|(system.+state.+changed )|(\|lc)|(penalty)|(\[timeout)|(PRM\|1\|D)|(kpr)|(kdp))" /e /r /s</v>
      </c>
      <c r="AG77" s="1" t="str">
        <f t="shared" ref="AG77:AG140" si="39">IF(VALUE(LEFT(AD77,2))&lt;=2,"EC",IF(OR(VALUE(LEFT(AD77,2))=8,VALUE(LEFT(AD77,2))=18),"NW","Other"))</f>
        <v>EC</v>
      </c>
      <c r="AH77" s="109" t="str">
        <f t="shared" si="16"/>
        <v>"%USERPROFILE%\Documents\GitHub\eaglep3\Utilities\RefineRTDCRunTimes.py" --tripid 163-08 --locoid 4027 --swversion DE.1.0.7.0 --startMP 204:462 --initTime 2016-08-08T11:24:33 --startdatetime 2016-08-08T11:26:22 --delay 1 --endMP 204:233387 --enddatetime 2016-08-08T12:06:43 --enforcementcount 0</v>
      </c>
    </row>
    <row r="78" spans="1:34" x14ac:dyDescent="0.25">
      <c r="A78" s="42" t="s">
        <v>301</v>
      </c>
      <c r="B78" s="7">
        <v>4028</v>
      </c>
      <c r="C78" s="25" t="s">
        <v>141</v>
      </c>
      <c r="D78" s="25" t="s">
        <v>542</v>
      </c>
      <c r="E78" s="16">
        <v>42590.508009259262</v>
      </c>
      <c r="F78" s="16">
        <v>42590.509305555555</v>
      </c>
      <c r="G78" s="7">
        <v>1</v>
      </c>
      <c r="H78" s="16" t="s">
        <v>58</v>
      </c>
      <c r="I78" s="16">
        <v>42590.549062500002</v>
      </c>
      <c r="J78" s="7">
        <v>2</v>
      </c>
      <c r="K78" s="25" t="str">
        <f t="shared" si="28"/>
        <v>4027/4028</v>
      </c>
      <c r="L78" s="25" t="str">
        <f>VLOOKUP(A78,'Trips&amp;Operators'!$C$1:$E$10000,3,FALSE)</f>
        <v>STORY</v>
      </c>
      <c r="M78" s="6">
        <f t="shared" si="29"/>
        <v>3.9756944446708076E-2</v>
      </c>
      <c r="N78" s="7">
        <f t="shared" si="25"/>
        <v>57.250000003259629</v>
      </c>
      <c r="O78" s="7"/>
      <c r="P78" s="7"/>
      <c r="Q78" s="26"/>
      <c r="R78" s="26"/>
      <c r="S78" s="38">
        <f t="shared" si="27"/>
        <v>1</v>
      </c>
      <c r="T78" s="55" t="str">
        <f t="shared" si="30"/>
        <v>Southbound</v>
      </c>
      <c r="U78" s="14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11:11:32-0600',mode:absolute,to:'2016-08-08 14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78" s="57" t="str">
        <f t="shared" si="32"/>
        <v>N</v>
      </c>
      <c r="X78" s="136">
        <f t="shared" si="26"/>
        <v>1</v>
      </c>
      <c r="Y78" s="72">
        <f t="shared" si="33"/>
        <v>23.306999999999999</v>
      </c>
      <c r="Z78" s="72">
        <f t="shared" si="34"/>
        <v>1.52E-2</v>
      </c>
      <c r="AA78" s="72">
        <f t="shared" si="35"/>
        <v>23.291799999999999</v>
      </c>
      <c r="AB78" s="69">
        <f>VLOOKUP(A78,Enforcements!$C$7:$J$24,8,0)</f>
        <v>21848</v>
      </c>
      <c r="AC78" s="65" t="str">
        <f>VLOOKUP(A78,Enforcements!$C$7:$E$24,3,0)</f>
        <v>PERMANENT SPEED RESTRICTION</v>
      </c>
      <c r="AD78" s="66" t="str">
        <f t="shared" si="36"/>
        <v>0164-08</v>
      </c>
      <c r="AE78" s="108" t="str">
        <f t="shared" si="37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78" s="105" t="str">
        <f t="shared" si="38"/>
        <v>"C:\Program Files (x86)\AstroGrep\AstroGrep.exe" /spath="%USERPROFILE%\AppData\Local\Temp\OnboardLogs" /stypes="*4028*20160808*" /stext=" 19:.+((SYSTEM_STATE.+slice.+state.+changed )|(ment ac)|(system.+state.+changed )|(\|lc)|(penalty)|(\[timeout)|(PRM\|1\|D)|(kpr)|(kdp))" /e /r /s</v>
      </c>
      <c r="AG78" s="1" t="str">
        <f t="shared" si="39"/>
        <v>EC</v>
      </c>
      <c r="AH78" s="109" t="str">
        <f t="shared" si="16"/>
        <v>"%USERPROFILE%\Documents\GitHub\eaglep3\Utilities\RefineRTDCRunTimes.py" --tripid 164-08 --locoid 4028 --swversion DE.1.0.7.0 --startMP 204:233070 --initTime 2016-08-08T12:11:32 --startdatetime 2016-08-08T12:13:24 --delay 1 --endMP 204:152 --enddatetime 2016-08-08T13:10:39 --enforcementcount 2</v>
      </c>
    </row>
    <row r="79" spans="1:34" x14ac:dyDescent="0.25">
      <c r="A79" s="42" t="s">
        <v>399</v>
      </c>
      <c r="B79" s="7">
        <v>4038</v>
      </c>
      <c r="C79" s="25" t="s">
        <v>141</v>
      </c>
      <c r="D79" s="25" t="s">
        <v>221</v>
      </c>
      <c r="E79" s="16">
        <v>42590.485775462963</v>
      </c>
      <c r="F79" s="16">
        <v>42590.486909722225</v>
      </c>
      <c r="G79" s="7">
        <v>1</v>
      </c>
      <c r="H79" s="16" t="s">
        <v>239</v>
      </c>
      <c r="I79" s="16">
        <v>42590.515150462961</v>
      </c>
      <c r="J79" s="7">
        <v>0</v>
      </c>
      <c r="K79" s="25" t="str">
        <f t="shared" si="28"/>
        <v>4037/4038</v>
      </c>
      <c r="L79" s="25" t="str">
        <f>VLOOKUP(A79,'Trips&amp;Operators'!$C$1:$E$10000,3,FALSE)</f>
        <v>SWANSON</v>
      </c>
      <c r="M79" s="6">
        <f t="shared" si="29"/>
        <v>2.824074073578231E-2</v>
      </c>
      <c r="N79" s="7">
        <f t="shared" si="25"/>
        <v>40.666666659526527</v>
      </c>
      <c r="O79" s="7"/>
      <c r="P79" s="7"/>
      <c r="Q79" s="26"/>
      <c r="R79" s="26"/>
      <c r="S79" s="38">
        <f t="shared" si="27"/>
        <v>1</v>
      </c>
      <c r="T79" s="55" t="str">
        <f t="shared" si="30"/>
        <v>NorthBound</v>
      </c>
      <c r="U79" s="14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10:39:31-0600',mode:absolute,to:'2016-08-08 13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79" s="57" t="str">
        <f t="shared" si="32"/>
        <v>N</v>
      </c>
      <c r="X79" s="136">
        <f t="shared" si="26"/>
        <v>1</v>
      </c>
      <c r="Y79" s="72">
        <f t="shared" si="33"/>
        <v>4.7300000000000002E-2</v>
      </c>
      <c r="Z79" s="72">
        <f t="shared" si="34"/>
        <v>23.330300000000001</v>
      </c>
      <c r="AA79" s="72">
        <f t="shared" si="35"/>
        <v>23.283000000000001</v>
      </c>
      <c r="AB79" s="69" t="e">
        <f>VLOOKUP(A79,Enforcements!$C$7:$J$24,8,0)</f>
        <v>#N/A</v>
      </c>
      <c r="AC79" s="65" t="e">
        <f>VLOOKUP(A79,Enforcements!$C$7:$E$24,3,0)</f>
        <v>#N/A</v>
      </c>
      <c r="AD79" s="66" t="str">
        <f t="shared" si="36"/>
        <v>0165-08</v>
      </c>
      <c r="AE79" s="108" t="str">
        <f t="shared" si="37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79" s="105" t="str">
        <f t="shared" si="38"/>
        <v>"C:\Program Files (x86)\AstroGrep\AstroGrep.exe" /spath="%USERPROFILE%\AppData\Local\Temp\OnboardLogs" /stypes="*4038*20160808*" /stext=" 18:.+((SYSTEM_STATE.+slice.+state.+changed )|(ment ac)|(system.+state.+changed )|(\|lc)|(penalty)|(\[timeout)|(PRM\|1\|D)|(kpr)|(kdp))" /e /r /s</v>
      </c>
      <c r="AG79" s="1" t="str">
        <f t="shared" si="39"/>
        <v>EC</v>
      </c>
      <c r="AH79" s="109" t="str">
        <f t="shared" ref="AH79:AH141" si="40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</f>
        <v>"%USERPROFILE%\Documents\GitHub\eaglep3\Utilities\RefineRTDCRunTimes.py" --tripid 165-08 --locoid 4038 --swversion DE.1.0.7.0 --startMP 204:473 --initTime 2016-08-08T11:39:31 --startdatetime 2016-08-08T11:41:09 --delay 1 --endMP 204:233303 --enddatetime 2016-08-08T12:21:49 --enforcementcount 0</v>
      </c>
    </row>
    <row r="80" spans="1:34" x14ac:dyDescent="0.25">
      <c r="A80" s="42" t="s">
        <v>409</v>
      </c>
      <c r="B80" s="7">
        <v>4037</v>
      </c>
      <c r="C80" s="25" t="s">
        <v>141</v>
      </c>
      <c r="D80" s="25" t="s">
        <v>263</v>
      </c>
      <c r="E80" s="16">
        <v>42590.518206018518</v>
      </c>
      <c r="F80" s="16">
        <v>42590.520972222221</v>
      </c>
      <c r="G80" s="7">
        <v>3</v>
      </c>
      <c r="H80" s="16" t="s">
        <v>543</v>
      </c>
      <c r="I80" s="16">
        <v>42590.557326388887</v>
      </c>
      <c r="J80" s="7">
        <v>0</v>
      </c>
      <c r="K80" s="25" t="str">
        <f t="shared" si="28"/>
        <v>4037/4038</v>
      </c>
      <c r="L80" s="25" t="str">
        <f>VLOOKUP(A80,'Trips&amp;Operators'!$C$1:$E$10000,3,FALSE)</f>
        <v>SWANSON</v>
      </c>
      <c r="M80" s="6">
        <f t="shared" si="29"/>
        <v>3.6354166666569654E-2</v>
      </c>
      <c r="N80" s="7">
        <f t="shared" ref="N80:N111" si="41">24*60*SUM($M80:$M80)</f>
        <v>52.349999999860302</v>
      </c>
      <c r="O80" s="7"/>
      <c r="P80" s="7"/>
      <c r="Q80" s="26"/>
      <c r="R80" s="26"/>
      <c r="S80" s="38">
        <f t="shared" si="27"/>
        <v>1</v>
      </c>
      <c r="T80" s="55" t="str">
        <f t="shared" si="30"/>
        <v>Southbound</v>
      </c>
      <c r="U80" s="14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11:26:13-0600',mode:absolute,to:'2016-08-08 14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80" s="57" t="str">
        <f t="shared" si="32"/>
        <v>N</v>
      </c>
      <c r="X80" s="136">
        <f t="shared" si="26"/>
        <v>1</v>
      </c>
      <c r="Y80" s="72">
        <f t="shared" si="33"/>
        <v>23.296299999999999</v>
      </c>
      <c r="Z80" s="72">
        <f t="shared" si="34"/>
        <v>1.38E-2</v>
      </c>
      <c r="AA80" s="72">
        <f t="shared" si="35"/>
        <v>23.282499999999999</v>
      </c>
      <c r="AB80" s="69" t="e">
        <f>VLOOKUP(A80,Enforcements!$C$7:$J$24,8,0)</f>
        <v>#N/A</v>
      </c>
      <c r="AC80" s="65" t="e">
        <f>VLOOKUP(A80,Enforcements!$C$7:$E$24,3,0)</f>
        <v>#N/A</v>
      </c>
      <c r="AD80" s="66" t="str">
        <f t="shared" si="36"/>
        <v>0166-08</v>
      </c>
      <c r="AE80" s="108" t="str">
        <f t="shared" si="37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80" s="105" t="str">
        <f t="shared" si="38"/>
        <v>"C:\Program Files (x86)\AstroGrep\AstroGrep.exe" /spath="%USERPROFILE%\AppData\Local\Temp\OnboardLogs" /stypes="*4037*20160808*" /stext=" 19:.+((SYSTEM_STATE.+slice.+state.+changed )|(ment ac)|(system.+state.+changed )|(\|lc)|(penalty)|(\[timeout)|(PRM\|1\|D)|(kpr)|(kdp))" /e /r /s</v>
      </c>
      <c r="AG80" s="1" t="str">
        <f t="shared" si="39"/>
        <v>EC</v>
      </c>
      <c r="AH80" s="109" t="str">
        <f t="shared" si="40"/>
        <v>"%USERPROFILE%\Documents\GitHub\eaglep3\Utilities\RefineRTDCRunTimes.py" --tripid 166-08 --locoid 4037 --swversion DE.1.0.7.0 --startMP 204:232963 --initTime 2016-08-08T12:26:13 --startdatetime 2016-08-08T12:30:12 --delay 3 --endMP 204:138 --enddatetime 2016-08-08T13:22:33 --enforcementcount 0</v>
      </c>
    </row>
    <row r="81" spans="1:34" x14ac:dyDescent="0.25">
      <c r="A81" s="42" t="s">
        <v>404</v>
      </c>
      <c r="B81" s="7">
        <v>4029</v>
      </c>
      <c r="C81" s="25" t="s">
        <v>141</v>
      </c>
      <c r="D81" s="25" t="s">
        <v>196</v>
      </c>
      <c r="E81" s="16">
        <v>42590.498726851853</v>
      </c>
      <c r="F81" s="16">
        <v>42590.499965277777</v>
      </c>
      <c r="G81" s="7">
        <v>1</v>
      </c>
      <c r="H81" s="16" t="s">
        <v>223</v>
      </c>
      <c r="I81" s="16">
        <v>42590.527881944443</v>
      </c>
      <c r="J81" s="7">
        <v>0</v>
      </c>
      <c r="K81" s="25" t="str">
        <f t="shared" si="28"/>
        <v>4029/4030</v>
      </c>
      <c r="L81" s="25" t="str">
        <f>VLOOKUP(A81,'Trips&amp;Operators'!$C$1:$E$10000,3,FALSE)</f>
        <v>YOUNG</v>
      </c>
      <c r="M81" s="6">
        <f t="shared" si="29"/>
        <v>2.7916666665987577E-2</v>
      </c>
      <c r="N81" s="7">
        <f t="shared" si="41"/>
        <v>40.199999999022111</v>
      </c>
      <c r="O81" s="7"/>
      <c r="P81" s="7"/>
      <c r="Q81" s="26"/>
      <c r="R81" s="26"/>
      <c r="S81" s="38">
        <f t="shared" si="27"/>
        <v>1</v>
      </c>
      <c r="T81" s="55" t="str">
        <f t="shared" si="30"/>
        <v>NorthBound</v>
      </c>
      <c r="U81" s="14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10:58:10-0600',mode:absolute,to:'2016-08-08 13:40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81" s="57" t="str">
        <f t="shared" si="32"/>
        <v>N</v>
      </c>
      <c r="X81" s="136">
        <f t="shared" si="26"/>
        <v>1</v>
      </c>
      <c r="Y81" s="72">
        <f t="shared" si="33"/>
        <v>4.53E-2</v>
      </c>
      <c r="Z81" s="72">
        <f t="shared" si="34"/>
        <v>23.33</v>
      </c>
      <c r="AA81" s="72">
        <f t="shared" si="35"/>
        <v>23.284699999999997</v>
      </c>
      <c r="AB81" s="69" t="e">
        <f>VLOOKUP(A81,Enforcements!$C$7:$J$24,8,0)</f>
        <v>#N/A</v>
      </c>
      <c r="AC81" s="65" t="e">
        <f>VLOOKUP(A81,Enforcements!$C$7:$E$24,3,0)</f>
        <v>#N/A</v>
      </c>
      <c r="AD81" s="66" t="str">
        <f t="shared" si="36"/>
        <v>0167-08</v>
      </c>
      <c r="AE81" s="108" t="str">
        <f t="shared" si="37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81" s="105" t="str">
        <f t="shared" si="38"/>
        <v>"C:\Program Files (x86)\AstroGrep\AstroGrep.exe" /spath="%USERPROFILE%\AppData\Local\Temp\OnboardLogs" /stypes="*4029*20160808*" /stext=" 18:.+((SYSTEM_STATE.+slice.+state.+changed )|(ment ac)|(system.+state.+changed )|(\|lc)|(penalty)|(\[timeout)|(PRM\|1\|D)|(kpr)|(kdp))" /e /r /s</v>
      </c>
      <c r="AG81" s="1" t="str">
        <f t="shared" si="39"/>
        <v>EC</v>
      </c>
      <c r="AH81" s="109" t="str">
        <f t="shared" si="40"/>
        <v>"%USERPROFILE%\Documents\GitHub\eaglep3\Utilities\RefineRTDCRunTimes.py" --tripid 167-08 --locoid 4029 --swversion DE.1.0.7.0 --startMP 204:453 --initTime 2016-08-08T11:58:10 --startdatetime 2016-08-08T11:59:57 --delay 1 --endMP 204:233300 --enddatetime 2016-08-08T12:40:09 --enforcementcount 0</v>
      </c>
    </row>
    <row r="82" spans="1:34" x14ac:dyDescent="0.25">
      <c r="A82" s="42" t="s">
        <v>412</v>
      </c>
      <c r="B82" s="7">
        <v>4030</v>
      </c>
      <c r="C82" s="25" t="s">
        <v>141</v>
      </c>
      <c r="D82" s="25" t="s">
        <v>168</v>
      </c>
      <c r="E82" s="16">
        <v>42590.534918981481</v>
      </c>
      <c r="F82" s="16">
        <v>42590.53570601852</v>
      </c>
      <c r="G82" s="7">
        <v>1</v>
      </c>
      <c r="H82" s="16" t="s">
        <v>236</v>
      </c>
      <c r="I82" s="16">
        <v>42590.569236111114</v>
      </c>
      <c r="J82" s="7">
        <v>0</v>
      </c>
      <c r="K82" s="25" t="str">
        <f t="shared" si="28"/>
        <v>4029/4030</v>
      </c>
      <c r="L82" s="25" t="str">
        <f>VLOOKUP(A82,'Trips&amp;Operators'!$C$1:$E$10000,3,FALSE)</f>
        <v>YOUNG</v>
      </c>
      <c r="M82" s="6">
        <f t="shared" si="29"/>
        <v>3.3530092594446614E-2</v>
      </c>
      <c r="N82" s="7">
        <f t="shared" si="41"/>
        <v>48.283333336003125</v>
      </c>
      <c r="O82" s="7"/>
      <c r="P82" s="7"/>
      <c r="Q82" s="26"/>
      <c r="R82" s="26"/>
      <c r="S82" s="38">
        <f t="shared" si="27"/>
        <v>1</v>
      </c>
      <c r="T82" s="55" t="str">
        <f t="shared" si="30"/>
        <v>Southbound</v>
      </c>
      <c r="U82" s="14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11:50:17-0600',mode:absolute,to:'2016-08-08 14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82" s="57" t="str">
        <f t="shared" si="32"/>
        <v>N</v>
      </c>
      <c r="X82" s="136">
        <f t="shared" si="26"/>
        <v>1</v>
      </c>
      <c r="Y82" s="72">
        <f t="shared" si="33"/>
        <v>23.3004</v>
      </c>
      <c r="Z82" s="72">
        <f t="shared" si="34"/>
        <v>2.23E-2</v>
      </c>
      <c r="AA82" s="72">
        <f t="shared" si="35"/>
        <v>23.278099999999998</v>
      </c>
      <c r="AB82" s="69" t="e">
        <f>VLOOKUP(A82,Enforcements!$C$7:$J$24,8,0)</f>
        <v>#N/A</v>
      </c>
      <c r="AC82" s="65" t="e">
        <f>VLOOKUP(A82,Enforcements!$C$7:$E$24,3,0)</f>
        <v>#N/A</v>
      </c>
      <c r="AD82" s="66" t="str">
        <f t="shared" si="36"/>
        <v>0168-08</v>
      </c>
      <c r="AE82" s="108" t="str">
        <f t="shared" si="37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82" s="105" t="str">
        <f t="shared" si="38"/>
        <v>"C:\Program Files (x86)\AstroGrep\AstroGrep.exe" /spath="%USERPROFILE%\AppData\Local\Temp\OnboardLogs" /stypes="*4030*20160808*" /stext=" 19:.+((SYSTEM_STATE.+slice.+state.+changed )|(ment ac)|(system.+state.+changed )|(\|lc)|(penalty)|(\[timeout)|(PRM\|1\|D)|(kpr)|(kdp))" /e /r /s</v>
      </c>
      <c r="AG82" s="1" t="str">
        <f t="shared" si="39"/>
        <v>EC</v>
      </c>
      <c r="AH82" s="109" t="str">
        <f t="shared" si="40"/>
        <v>"%USERPROFILE%\Documents\GitHub\eaglep3\Utilities\RefineRTDCRunTimes.py" --tripid 168-08 --locoid 4030 --swversion DE.1.0.7.0 --startMP 204:233004 --initTime 2016-08-08T12:50:17 --startdatetime 2016-08-08T12:51:25 --delay 1 --endMP 204:223 --enddatetime 2016-08-08T13:39:42 --enforcementcount 0</v>
      </c>
    </row>
    <row r="83" spans="1:34" x14ac:dyDescent="0.25">
      <c r="A83" s="42" t="s">
        <v>405</v>
      </c>
      <c r="B83" s="7">
        <v>4011</v>
      </c>
      <c r="C83" s="25" t="s">
        <v>141</v>
      </c>
      <c r="D83" s="25" t="s">
        <v>171</v>
      </c>
      <c r="E83" s="16">
        <v>42590.508668981478</v>
      </c>
      <c r="F83" s="16">
        <v>42590.510150462964</v>
      </c>
      <c r="G83" s="7">
        <v>2</v>
      </c>
      <c r="H83" s="16" t="s">
        <v>135</v>
      </c>
      <c r="I83" s="16">
        <v>42590.53633101852</v>
      </c>
      <c r="J83" s="7">
        <v>0</v>
      </c>
      <c r="K83" s="25" t="str">
        <f t="shared" si="28"/>
        <v>4011/4012</v>
      </c>
      <c r="L83" s="25" t="str">
        <f>VLOOKUP(A83,'Trips&amp;Operators'!$C$1:$E$10000,3,FALSE)</f>
        <v>HELVIE</v>
      </c>
      <c r="M83" s="6">
        <f t="shared" si="29"/>
        <v>2.6180555556493346E-2</v>
      </c>
      <c r="N83" s="7">
        <f t="shared" si="41"/>
        <v>37.700000001350418</v>
      </c>
      <c r="O83" s="7"/>
      <c r="P83" s="7"/>
      <c r="Q83" s="26"/>
      <c r="R83" s="26"/>
      <c r="S83" s="38">
        <f t="shared" si="27"/>
        <v>1</v>
      </c>
      <c r="T83" s="55" t="str">
        <f t="shared" si="30"/>
        <v>NorthBound</v>
      </c>
      <c r="U83" s="14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11:12:29-0600',mode:absolute,to:'2016-08-08 13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83" s="57" t="str">
        <f t="shared" si="32"/>
        <v>N</v>
      </c>
      <c r="X83" s="136">
        <f t="shared" si="26"/>
        <v>1</v>
      </c>
      <c r="Y83" s="72">
        <f t="shared" si="33"/>
        <v>4.5499999999999999E-2</v>
      </c>
      <c r="Z83" s="72">
        <f t="shared" si="34"/>
        <v>23.3293</v>
      </c>
      <c r="AA83" s="72">
        <f t="shared" si="35"/>
        <v>23.283799999999999</v>
      </c>
      <c r="AB83" s="69" t="e">
        <f>VLOOKUP(A83,Enforcements!$C$7:$J$24,8,0)</f>
        <v>#N/A</v>
      </c>
      <c r="AC83" s="65" t="e">
        <f>VLOOKUP(A83,Enforcements!$C$7:$E$24,3,0)</f>
        <v>#N/A</v>
      </c>
      <c r="AD83" s="66" t="str">
        <f t="shared" si="36"/>
        <v>0169-08</v>
      </c>
      <c r="AE83" s="108" t="str">
        <f t="shared" si="37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83" s="105" t="str">
        <f t="shared" si="38"/>
        <v>"C:\Program Files (x86)\AstroGrep\AstroGrep.exe" /spath="%USERPROFILE%\AppData\Local\Temp\OnboardLogs" /stypes="*4011*20160808*" /stext=" 18:.+((SYSTEM_STATE.+slice.+state.+changed )|(ment ac)|(system.+state.+changed )|(\|lc)|(penalty)|(\[timeout)|(PRM\|1\|D)|(kpr)|(kdp))" /e /r /s</v>
      </c>
      <c r="AG83" s="1" t="str">
        <f t="shared" si="39"/>
        <v>EC</v>
      </c>
      <c r="AH83" s="109" t="str">
        <f t="shared" si="40"/>
        <v>"%USERPROFILE%\Documents\GitHub\eaglep3\Utilities\RefineRTDCRunTimes.py" --tripid 169-08 --locoid 4011 --swversion DE.1.0.7.0 --startMP 204:455 --initTime 2016-08-08T12:12:29 --startdatetime 2016-08-08T12:14:37 --delay 2 --endMP 204:233293 --enddatetime 2016-08-08T12:52:19 --enforcementcount 0</v>
      </c>
    </row>
    <row r="84" spans="1:34" x14ac:dyDescent="0.25">
      <c r="A84" s="42" t="s">
        <v>414</v>
      </c>
      <c r="B84" s="7">
        <v>4012</v>
      </c>
      <c r="C84" s="25" t="s">
        <v>141</v>
      </c>
      <c r="D84" s="25" t="s">
        <v>544</v>
      </c>
      <c r="E84" s="16">
        <v>42590.544618055559</v>
      </c>
      <c r="F84" s="16">
        <v>42590.545601851853</v>
      </c>
      <c r="G84" s="7">
        <v>1</v>
      </c>
      <c r="H84" s="16" t="s">
        <v>195</v>
      </c>
      <c r="I84" s="16">
        <v>42590.576944444445</v>
      </c>
      <c r="J84" s="7">
        <v>0</v>
      </c>
      <c r="K84" s="25" t="str">
        <f t="shared" si="28"/>
        <v>4011/4012</v>
      </c>
      <c r="L84" s="25" t="str">
        <f>VLOOKUP(A84,'Trips&amp;Operators'!$C$1:$E$10000,3,FALSE)</f>
        <v>HELVIE</v>
      </c>
      <c r="M84" s="6">
        <f t="shared" si="29"/>
        <v>3.1342592592409346E-2</v>
      </c>
      <c r="N84" s="7">
        <f t="shared" si="41"/>
        <v>45.133333333069459</v>
      </c>
      <c r="O84" s="7"/>
      <c r="P84" s="7"/>
      <c r="Q84" s="26"/>
      <c r="R84" s="26"/>
      <c r="S84" s="38">
        <f t="shared" si="27"/>
        <v>1</v>
      </c>
      <c r="T84" s="55" t="str">
        <f t="shared" si="30"/>
        <v>Southbound</v>
      </c>
      <c r="U84" s="14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12:04:15-0600',mode:absolute,to:'2016-08-08 14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84" s="57" t="str">
        <f t="shared" si="32"/>
        <v>N</v>
      </c>
      <c r="X84" s="136">
        <f t="shared" si="26"/>
        <v>1</v>
      </c>
      <c r="Y84" s="72">
        <f t="shared" si="33"/>
        <v>23.2971</v>
      </c>
      <c r="Z84" s="72">
        <f t="shared" si="34"/>
        <v>1.61E-2</v>
      </c>
      <c r="AA84" s="72">
        <f t="shared" si="35"/>
        <v>23.280999999999999</v>
      </c>
      <c r="AB84" s="69" t="e">
        <f>VLOOKUP(A84,Enforcements!$C$7:$J$24,8,0)</f>
        <v>#N/A</v>
      </c>
      <c r="AC84" s="65" t="e">
        <f>VLOOKUP(A84,Enforcements!$C$7:$E$24,3,0)</f>
        <v>#N/A</v>
      </c>
      <c r="AD84" s="66" t="str">
        <f t="shared" si="36"/>
        <v>0170-08</v>
      </c>
      <c r="AE84" s="108" t="str">
        <f t="shared" si="37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84" s="105" t="str">
        <f t="shared" si="38"/>
        <v>"C:\Program Files (x86)\AstroGrep\AstroGrep.exe" /spath="%USERPROFILE%\AppData\Local\Temp\OnboardLogs" /stypes="*4012*20160808*" /stext=" 19:.+((SYSTEM_STATE.+slice.+state.+changed )|(ment ac)|(system.+state.+changed )|(\|lc)|(penalty)|(\[timeout)|(PRM\|1\|D)|(kpr)|(kdp))" /e /r /s</v>
      </c>
      <c r="AG84" s="1" t="str">
        <f t="shared" si="39"/>
        <v>EC</v>
      </c>
      <c r="AH84" s="109" t="str">
        <f t="shared" si="40"/>
        <v>"%USERPROFILE%\Documents\GitHub\eaglep3\Utilities\RefineRTDCRunTimes.py" --tripid 170-08 --locoid 4012 --swversion DE.1.0.7.0 --startMP 204:232971 --initTime 2016-08-08T13:04:15 --startdatetime 2016-08-08T13:05:40 --delay 1 --endMP 204:161 --enddatetime 2016-08-08T13:50:48 --enforcementcount 0</v>
      </c>
    </row>
    <row r="85" spans="1:34" x14ac:dyDescent="0.25">
      <c r="A85" s="42" t="s">
        <v>408</v>
      </c>
      <c r="B85" s="7">
        <v>4007</v>
      </c>
      <c r="C85" s="25" t="s">
        <v>141</v>
      </c>
      <c r="D85" s="25" t="s">
        <v>164</v>
      </c>
      <c r="E85" s="16">
        <v>42590.515520833331</v>
      </c>
      <c r="F85" s="16">
        <v>42590.516724537039</v>
      </c>
      <c r="G85" s="7">
        <v>1</v>
      </c>
      <c r="H85" s="16" t="s">
        <v>545</v>
      </c>
      <c r="I85" s="16">
        <v>42590.548634259256</v>
      </c>
      <c r="J85" s="7">
        <v>0</v>
      </c>
      <c r="K85" s="25" t="str">
        <f t="shared" si="28"/>
        <v>4007/4008</v>
      </c>
      <c r="L85" s="25" t="str">
        <f>VLOOKUP(A85,'Trips&amp;Operators'!$C$1:$E$10000,3,FALSE)</f>
        <v>SHOOK</v>
      </c>
      <c r="M85" s="6">
        <f t="shared" si="29"/>
        <v>3.1909722216369119E-2</v>
      </c>
      <c r="N85" s="7">
        <f t="shared" si="41"/>
        <v>45.949999991571531</v>
      </c>
      <c r="O85" s="7"/>
      <c r="P85" s="7"/>
      <c r="Q85" s="26"/>
      <c r="R85" s="26"/>
      <c r="S85" s="38">
        <f t="shared" si="27"/>
        <v>1</v>
      </c>
      <c r="T85" s="55" t="str">
        <f t="shared" si="30"/>
        <v>NorthBound</v>
      </c>
      <c r="U85" s="14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11:22:21-0600',mode:absolute,to:'2016-08-08 14:10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85" s="57" t="str">
        <f t="shared" si="32"/>
        <v>N</v>
      </c>
      <c r="X85" s="136">
        <f t="shared" si="26"/>
        <v>1</v>
      </c>
      <c r="Y85" s="72">
        <f t="shared" si="33"/>
        <v>4.4699999999999997E-2</v>
      </c>
      <c r="Z85" s="72">
        <f t="shared" si="34"/>
        <v>23.336300000000001</v>
      </c>
      <c r="AA85" s="72">
        <f t="shared" si="35"/>
        <v>23.291600000000003</v>
      </c>
      <c r="AB85" s="69" t="e">
        <f>VLOOKUP(A85,Enforcements!$C$7:$J$24,8,0)</f>
        <v>#N/A</v>
      </c>
      <c r="AC85" s="65" t="e">
        <f>VLOOKUP(A85,Enforcements!$C$7:$E$24,3,0)</f>
        <v>#N/A</v>
      </c>
      <c r="AD85" s="66" t="str">
        <f t="shared" si="36"/>
        <v>0171-08</v>
      </c>
      <c r="AE85" s="108" t="str">
        <f t="shared" si="37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85" s="105" t="str">
        <f t="shared" si="38"/>
        <v>"C:\Program Files (x86)\AstroGrep\AstroGrep.exe" /spath="%USERPROFILE%\AppData\Local\Temp\OnboardLogs" /stypes="*4007*20160808*" /stext=" 19:.+((SYSTEM_STATE.+slice.+state.+changed )|(ment ac)|(system.+state.+changed )|(\|lc)|(penalty)|(\[timeout)|(PRM\|1\|D)|(kpr)|(kdp))" /e /r /s</v>
      </c>
      <c r="AG85" s="1" t="str">
        <f t="shared" si="39"/>
        <v>EC</v>
      </c>
      <c r="AH85" s="109" t="str">
        <f t="shared" si="40"/>
        <v>"%USERPROFILE%\Documents\GitHub\eaglep3\Utilities\RefineRTDCRunTimes.py" --tripid 171-08 --locoid 4007 --swversion DE.1.0.7.0 --startMP 204:447 --initTime 2016-08-08T12:22:21 --startdatetime 2016-08-08T12:24:05 --delay 1 --endMP 204:233363 --enddatetime 2016-08-08T13:10:02 --enforcementcount 0</v>
      </c>
    </row>
    <row r="86" spans="1:34" x14ac:dyDescent="0.25">
      <c r="A86" s="42" t="s">
        <v>417</v>
      </c>
      <c r="B86" s="7">
        <v>4008</v>
      </c>
      <c r="C86" s="25" t="s">
        <v>141</v>
      </c>
      <c r="D86" s="25" t="s">
        <v>546</v>
      </c>
      <c r="E86" s="16">
        <v>42590.555451388886</v>
      </c>
      <c r="F86" s="16">
        <v>42590.556516203702</v>
      </c>
      <c r="G86" s="7">
        <v>1</v>
      </c>
      <c r="H86" s="16" t="s">
        <v>204</v>
      </c>
      <c r="I86" s="16">
        <v>42590.586608796293</v>
      </c>
      <c r="J86" s="7">
        <v>0</v>
      </c>
      <c r="K86" s="25" t="str">
        <f t="shared" si="28"/>
        <v>4007/4008</v>
      </c>
      <c r="L86" s="25" t="str">
        <f>VLOOKUP(A86,'Trips&amp;Operators'!$C$1:$E$10000,3,FALSE)</f>
        <v>SHOOK</v>
      </c>
      <c r="M86" s="6">
        <f t="shared" si="29"/>
        <v>3.0092592591245193E-2</v>
      </c>
      <c r="N86" s="7">
        <f t="shared" si="41"/>
        <v>43.333333331393078</v>
      </c>
      <c r="O86" s="7"/>
      <c r="P86" s="7"/>
      <c r="Q86" s="26"/>
      <c r="R86" s="26"/>
      <c r="S86" s="38">
        <f t="shared" si="27"/>
        <v>1</v>
      </c>
      <c r="T86" s="55" t="str">
        <f t="shared" si="30"/>
        <v>Southbound</v>
      </c>
      <c r="U86" s="14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12:19:51-0600',mode:absolute,to:'2016-08-08 15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86" s="57" t="str">
        <f t="shared" si="32"/>
        <v>N</v>
      </c>
      <c r="X86" s="136">
        <f t="shared" si="26"/>
        <v>1</v>
      </c>
      <c r="Y86" s="72">
        <f t="shared" si="33"/>
        <v>23.3034</v>
      </c>
      <c r="Z86" s="72">
        <f t="shared" si="34"/>
        <v>1.32E-2</v>
      </c>
      <c r="AA86" s="72">
        <f t="shared" si="35"/>
        <v>23.290199999999999</v>
      </c>
      <c r="AB86" s="69" t="e">
        <f>VLOOKUP(A86,Enforcements!$C$7:$J$24,8,0)</f>
        <v>#N/A</v>
      </c>
      <c r="AC86" s="65" t="e">
        <f>VLOOKUP(A86,Enforcements!$C$7:$E$24,3,0)</f>
        <v>#N/A</v>
      </c>
      <c r="AD86" s="66" t="str">
        <f t="shared" si="36"/>
        <v>0172-08</v>
      </c>
      <c r="AE86" s="108" t="str">
        <f t="shared" si="37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86" s="105" t="str">
        <f t="shared" si="38"/>
        <v>"C:\Program Files (x86)\AstroGrep\AstroGrep.exe" /spath="%USERPROFILE%\AppData\Local\Temp\OnboardLogs" /stypes="*4008*20160808*" /stext=" 20:.+((SYSTEM_STATE.+slice.+state.+changed )|(ment ac)|(system.+state.+changed )|(\|lc)|(penalty)|(\[timeout)|(PRM\|1\|D)|(kpr)|(kdp))" /e /r /s</v>
      </c>
      <c r="AG86" s="1" t="str">
        <f t="shared" si="39"/>
        <v>EC</v>
      </c>
      <c r="AH86" s="109" t="str">
        <f t="shared" si="40"/>
        <v>"%USERPROFILE%\Documents\GitHub\eaglep3\Utilities\RefineRTDCRunTimes.py" --tripid 172-08 --locoid 4008 --swversion DE.1.0.7.0 --startMP 204:233034 --initTime 2016-08-08T13:19:51 --startdatetime 2016-08-08T13:21:23 --delay 1 --endMP 204:132 --enddatetime 2016-08-08T14:04:43 --enforcementcount 0</v>
      </c>
    </row>
    <row r="87" spans="1:34" x14ac:dyDescent="0.25">
      <c r="A87" s="42" t="s">
        <v>411</v>
      </c>
      <c r="B87" s="7">
        <v>4014</v>
      </c>
      <c r="C87" s="25" t="s">
        <v>141</v>
      </c>
      <c r="D87" s="25" t="s">
        <v>547</v>
      </c>
      <c r="E87" s="16">
        <v>42590.528020833335</v>
      </c>
      <c r="F87" s="16">
        <v>42590.528981481482</v>
      </c>
      <c r="G87" s="7">
        <v>1</v>
      </c>
      <c r="H87" s="16" t="s">
        <v>548</v>
      </c>
      <c r="I87" s="16">
        <v>42590.56045138889</v>
      </c>
      <c r="J87" s="7">
        <v>0</v>
      </c>
      <c r="K87" s="25" t="str">
        <f t="shared" si="28"/>
        <v>4013/4014</v>
      </c>
      <c r="L87" s="25" t="str">
        <f>VLOOKUP(A87,'Trips&amp;Operators'!$C$1:$E$10000,3,FALSE)</f>
        <v>STEWART</v>
      </c>
      <c r="M87" s="6">
        <f t="shared" si="29"/>
        <v>3.1469907407881692E-2</v>
      </c>
      <c r="N87" s="7">
        <f t="shared" si="41"/>
        <v>45.316666667349637</v>
      </c>
      <c r="O87" s="7"/>
      <c r="P87" s="7"/>
      <c r="Q87" s="26"/>
      <c r="R87" s="26"/>
      <c r="S87" s="38">
        <f t="shared" si="27"/>
        <v>1</v>
      </c>
      <c r="T87" s="55" t="str">
        <f t="shared" si="30"/>
        <v>NorthBound</v>
      </c>
      <c r="U87" s="14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11:40:21-0600',mode:absolute,to:'2016-08-08 14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87" s="57" t="str">
        <f t="shared" si="32"/>
        <v>N</v>
      </c>
      <c r="X87" s="136">
        <f t="shared" si="26"/>
        <v>1</v>
      </c>
      <c r="Y87" s="72">
        <f t="shared" si="33"/>
        <v>4.7800000000000002E-2</v>
      </c>
      <c r="Z87" s="72">
        <f t="shared" si="34"/>
        <v>23.334299999999999</v>
      </c>
      <c r="AA87" s="72">
        <f t="shared" si="35"/>
        <v>23.2865</v>
      </c>
      <c r="AB87" s="69" t="e">
        <f>VLOOKUP(A87,Enforcements!$C$7:$J$24,8,0)</f>
        <v>#N/A</v>
      </c>
      <c r="AC87" s="65" t="e">
        <f>VLOOKUP(A87,Enforcements!$C$7:$E$24,3,0)</f>
        <v>#N/A</v>
      </c>
      <c r="AD87" s="66" t="str">
        <f t="shared" si="36"/>
        <v>0173-08</v>
      </c>
      <c r="AE87" s="108" t="str">
        <f t="shared" si="37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87" s="105" t="str">
        <f t="shared" si="38"/>
        <v>"C:\Program Files (x86)\AstroGrep\AstroGrep.exe" /spath="%USERPROFILE%\AppData\Local\Temp\OnboardLogs" /stypes="*4014*20160808*" /stext=" 19:.+((SYSTEM_STATE.+slice.+state.+changed )|(ment ac)|(system.+state.+changed )|(\|lc)|(penalty)|(\[timeout)|(PRM\|1\|D)|(kpr)|(kdp))" /e /r /s</v>
      </c>
      <c r="AG87" s="1" t="str">
        <f t="shared" si="39"/>
        <v>EC</v>
      </c>
      <c r="AH87" s="109" t="str">
        <f t="shared" si="40"/>
        <v>"%USERPROFILE%\Documents\GitHub\eaglep3\Utilities\RefineRTDCRunTimes.py" --tripid 173-08 --locoid 4014 --swversion DE.1.0.7.0 --startMP 204:478 --initTime 2016-08-08T12:40:21 --startdatetime 2016-08-08T12:41:44 --delay 1 --endMP 204:233343 --enddatetime 2016-08-08T13:27:03 --enforcementcount 0</v>
      </c>
    </row>
    <row r="88" spans="1:34" x14ac:dyDescent="0.25">
      <c r="A88" s="42" t="s">
        <v>419</v>
      </c>
      <c r="B88" s="7">
        <v>4013</v>
      </c>
      <c r="C88" s="25" t="s">
        <v>141</v>
      </c>
      <c r="D88" s="25" t="s">
        <v>180</v>
      </c>
      <c r="E88" s="16">
        <v>42590.566990740743</v>
      </c>
      <c r="F88" s="16">
        <v>42590.567986111113</v>
      </c>
      <c r="G88" s="7">
        <v>1</v>
      </c>
      <c r="H88" s="16" t="s">
        <v>197</v>
      </c>
      <c r="I88" s="16">
        <v>42590.599247685182</v>
      </c>
      <c r="J88" s="7">
        <v>0</v>
      </c>
      <c r="K88" s="25" t="str">
        <f t="shared" si="28"/>
        <v>4013/4014</v>
      </c>
      <c r="L88" s="25" t="str">
        <f>VLOOKUP(A88,'Trips&amp;Operators'!$C$1:$E$10000,3,FALSE)</f>
        <v>STEWART</v>
      </c>
      <c r="M88" s="6">
        <f t="shared" si="29"/>
        <v>3.1261574069503695E-2</v>
      </c>
      <c r="N88" s="7">
        <f t="shared" si="41"/>
        <v>45.01666666008532</v>
      </c>
      <c r="O88" s="7"/>
      <c r="P88" s="7"/>
      <c r="Q88" s="26"/>
      <c r="R88" s="26"/>
      <c r="S88" s="38">
        <f t="shared" si="27"/>
        <v>1</v>
      </c>
      <c r="T88" s="55" t="str">
        <f t="shared" si="30"/>
        <v>Southbound</v>
      </c>
      <c r="U88" s="14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12:36:28-0600',mode:absolute,to:'2016-08-08 15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88" s="57" t="str">
        <f t="shared" si="32"/>
        <v>N</v>
      </c>
      <c r="X88" s="136">
        <f t="shared" si="26"/>
        <v>1</v>
      </c>
      <c r="Y88" s="72">
        <f t="shared" si="33"/>
        <v>23.3</v>
      </c>
      <c r="Z88" s="72">
        <f t="shared" si="34"/>
        <v>1.6E-2</v>
      </c>
      <c r="AA88" s="72">
        <f t="shared" si="35"/>
        <v>23.284000000000002</v>
      </c>
      <c r="AB88" s="69" t="e">
        <f>VLOOKUP(A88,Enforcements!$C$7:$J$24,8,0)</f>
        <v>#N/A</v>
      </c>
      <c r="AC88" s="65" t="e">
        <f>VLOOKUP(A88,Enforcements!$C$7:$E$24,3,0)</f>
        <v>#N/A</v>
      </c>
      <c r="AD88" s="66" t="str">
        <f t="shared" si="36"/>
        <v>0174-08</v>
      </c>
      <c r="AE88" s="108" t="str">
        <f t="shared" si="37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88" s="105" t="str">
        <f t="shared" si="38"/>
        <v>"C:\Program Files (x86)\AstroGrep\AstroGrep.exe" /spath="%USERPROFILE%\AppData\Local\Temp\OnboardLogs" /stypes="*4013*20160808*" /stext=" 20:.+((SYSTEM_STATE.+slice.+state.+changed )|(ment ac)|(system.+state.+changed )|(\|lc)|(penalty)|(\[timeout)|(PRM\|1\|D)|(kpr)|(kdp))" /e /r /s</v>
      </c>
      <c r="AG88" s="1" t="str">
        <f t="shared" si="39"/>
        <v>EC</v>
      </c>
      <c r="AH88" s="109" t="str">
        <f t="shared" si="40"/>
        <v>"%USERPROFILE%\Documents\GitHub\eaglep3\Utilities\RefineRTDCRunTimes.py" --tripid 174-08 --locoid 4013 --swversion DE.1.0.7.0 --startMP 204:233000 --initTime 2016-08-08T13:36:28 --startdatetime 2016-08-08T13:37:54 --delay 1 --endMP 204:160 --enddatetime 2016-08-08T14:22:55 --enforcementcount 0</v>
      </c>
    </row>
    <row r="89" spans="1:34" x14ac:dyDescent="0.25">
      <c r="A89" s="42" t="s">
        <v>413</v>
      </c>
      <c r="B89" s="7">
        <v>4020</v>
      </c>
      <c r="C89" s="25" t="s">
        <v>141</v>
      </c>
      <c r="D89" s="25" t="s">
        <v>131</v>
      </c>
      <c r="E89" s="16">
        <v>42590.537881944445</v>
      </c>
      <c r="F89" s="16">
        <v>42590.538877314815</v>
      </c>
      <c r="G89" s="7">
        <v>1</v>
      </c>
      <c r="H89" s="16" t="s">
        <v>230</v>
      </c>
      <c r="I89" s="16">
        <v>42590.568136574075</v>
      </c>
      <c r="J89" s="7">
        <v>0</v>
      </c>
      <c r="K89" s="25" t="str">
        <f t="shared" si="28"/>
        <v>4019/4020</v>
      </c>
      <c r="L89" s="25" t="str">
        <f>VLOOKUP(A89,'Trips&amp;Operators'!$C$1:$E$10000,3,FALSE)</f>
        <v>BARTLETT</v>
      </c>
      <c r="M89" s="6">
        <f t="shared" si="29"/>
        <v>2.9259259259561077E-2</v>
      </c>
      <c r="N89" s="7">
        <f t="shared" si="41"/>
        <v>42.133333333767951</v>
      </c>
      <c r="O89" s="7"/>
      <c r="P89" s="7"/>
      <c r="Q89" s="26"/>
      <c r="R89" s="26"/>
      <c r="S89" s="38">
        <f t="shared" si="27"/>
        <v>1</v>
      </c>
      <c r="T89" s="55" t="str">
        <f t="shared" si="30"/>
        <v>NorthBound</v>
      </c>
      <c r="U89" s="14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11:54:33-0600',mode:absolute,to:'2016-08-08 14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89" s="57" t="str">
        <f t="shared" si="32"/>
        <v>N</v>
      </c>
      <c r="X89" s="136">
        <f t="shared" si="26"/>
        <v>1</v>
      </c>
      <c r="Y89" s="72">
        <f t="shared" si="33"/>
        <v>4.6399999999999997E-2</v>
      </c>
      <c r="Z89" s="72">
        <f t="shared" si="34"/>
        <v>23.331900000000001</v>
      </c>
      <c r="AA89" s="72">
        <f t="shared" si="35"/>
        <v>23.285500000000003</v>
      </c>
      <c r="AB89" s="69" t="e">
        <f>VLOOKUP(A89,Enforcements!$C$7:$J$24,8,0)</f>
        <v>#N/A</v>
      </c>
      <c r="AC89" s="65" t="e">
        <f>VLOOKUP(A89,Enforcements!$C$7:$E$24,3,0)</f>
        <v>#N/A</v>
      </c>
      <c r="AD89" s="66" t="str">
        <f t="shared" si="36"/>
        <v>0175-08</v>
      </c>
      <c r="AE89" s="108" t="str">
        <f t="shared" si="37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89" s="105" t="str">
        <f t="shared" si="38"/>
        <v>"C:\Program Files (x86)\AstroGrep\AstroGrep.exe" /spath="%USERPROFILE%\AppData\Local\Temp\OnboardLogs" /stypes="*4020*20160808*" /stext=" 19:.+((SYSTEM_STATE.+slice.+state.+changed )|(ment ac)|(system.+state.+changed )|(\|lc)|(penalty)|(\[timeout)|(PRM\|1\|D)|(kpr)|(kdp))" /e /r /s</v>
      </c>
      <c r="AG89" s="1" t="str">
        <f t="shared" si="39"/>
        <v>EC</v>
      </c>
      <c r="AH89" s="109" t="str">
        <f t="shared" si="40"/>
        <v>"%USERPROFILE%\Documents\GitHub\eaglep3\Utilities\RefineRTDCRunTimes.py" --tripid 175-08 --locoid 4020 --swversion DE.1.0.7.0 --startMP 204:464 --initTime 2016-08-08T12:54:33 --startdatetime 2016-08-08T12:55:59 --delay 1 --endMP 204:233319 --enddatetime 2016-08-08T13:38:07 --enforcementcount 0</v>
      </c>
    </row>
    <row r="90" spans="1:34" x14ac:dyDescent="0.25">
      <c r="A90" s="42" t="s">
        <v>422</v>
      </c>
      <c r="B90" s="7">
        <v>4019</v>
      </c>
      <c r="C90" s="25" t="s">
        <v>141</v>
      </c>
      <c r="D90" s="25" t="s">
        <v>186</v>
      </c>
      <c r="E90" s="16">
        <v>42590.577256944445</v>
      </c>
      <c r="F90" s="16">
        <v>42590.578263888892</v>
      </c>
      <c r="G90" s="7">
        <v>1</v>
      </c>
      <c r="H90" s="16" t="s">
        <v>531</v>
      </c>
      <c r="I90" s="16">
        <v>42590.608472222222</v>
      </c>
      <c r="J90" s="7">
        <v>0</v>
      </c>
      <c r="K90" s="25" t="str">
        <f t="shared" si="28"/>
        <v>4019/4020</v>
      </c>
      <c r="L90" s="25" t="str">
        <f>VLOOKUP(A90,'Trips&amp;Operators'!$C$1:$E$10000,3,FALSE)</f>
        <v>BARTLETT</v>
      </c>
      <c r="M90" s="6">
        <f t="shared" si="29"/>
        <v>3.0208333329937886E-2</v>
      </c>
      <c r="N90" s="7">
        <f t="shared" si="41"/>
        <v>43.499999995110556</v>
      </c>
      <c r="O90" s="7"/>
      <c r="P90" s="7"/>
      <c r="Q90" s="26"/>
      <c r="R90" s="26"/>
      <c r="S90" s="38">
        <f t="shared" si="27"/>
        <v>1</v>
      </c>
      <c r="T90" s="55" t="str">
        <f t="shared" si="30"/>
        <v>Southbound</v>
      </c>
      <c r="U90" s="14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12:51:15-0600',mode:absolute,to:'2016-08-08 15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90" s="57" t="str">
        <f t="shared" si="32"/>
        <v>N</v>
      </c>
      <c r="X90" s="136">
        <f t="shared" si="26"/>
        <v>1</v>
      </c>
      <c r="Y90" s="72">
        <f t="shared" si="33"/>
        <v>23.301300000000001</v>
      </c>
      <c r="Z90" s="72">
        <f t="shared" si="34"/>
        <v>1.67E-2</v>
      </c>
      <c r="AA90" s="72">
        <f t="shared" si="35"/>
        <v>23.284600000000001</v>
      </c>
      <c r="AB90" s="69" t="e">
        <f>VLOOKUP(A90,Enforcements!$C$7:$J$24,8,0)</f>
        <v>#N/A</v>
      </c>
      <c r="AC90" s="65" t="e">
        <f>VLOOKUP(A90,Enforcements!$C$7:$E$24,3,0)</f>
        <v>#N/A</v>
      </c>
      <c r="AD90" s="66" t="str">
        <f t="shared" si="36"/>
        <v>0176-08</v>
      </c>
      <c r="AE90" s="108" t="str">
        <f t="shared" si="37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90" s="105" t="str">
        <f t="shared" si="38"/>
        <v>"C:\Program Files (x86)\AstroGrep\AstroGrep.exe" /spath="%USERPROFILE%\AppData\Local\Temp\OnboardLogs" /stypes="*4019*20160808*" /stext=" 20:.+((SYSTEM_STATE.+slice.+state.+changed )|(ment ac)|(system.+state.+changed )|(\|lc)|(penalty)|(\[timeout)|(PRM\|1\|D)|(kpr)|(kdp))" /e /r /s</v>
      </c>
      <c r="AG90" s="1" t="str">
        <f t="shared" si="39"/>
        <v>EC</v>
      </c>
      <c r="AH90" s="109" t="str">
        <f t="shared" si="40"/>
        <v>"%USERPROFILE%\Documents\GitHub\eaglep3\Utilities\RefineRTDCRunTimes.py" --tripid 176-08 --locoid 4019 --swversion DE.1.0.7.0 --startMP 204:233013 --initTime 2016-08-08T13:51:15 --startdatetime 2016-08-08T13:52:42 --delay 1 --endMP 204:167 --enddatetime 2016-08-08T14:36:12 --enforcementcount 0</v>
      </c>
    </row>
    <row r="91" spans="1:34" x14ac:dyDescent="0.25">
      <c r="A91" s="42" t="s">
        <v>302</v>
      </c>
      <c r="B91" s="7">
        <v>4027</v>
      </c>
      <c r="C91" s="25" t="s">
        <v>141</v>
      </c>
      <c r="D91" s="25" t="s">
        <v>271</v>
      </c>
      <c r="E91" s="16">
        <v>42590.550266203703</v>
      </c>
      <c r="F91" s="16">
        <v>42590.550937499997</v>
      </c>
      <c r="G91" s="7">
        <v>0</v>
      </c>
      <c r="H91" s="16" t="s">
        <v>549</v>
      </c>
      <c r="I91" s="16">
        <v>42590.577430555553</v>
      </c>
      <c r="J91" s="7">
        <v>1</v>
      </c>
      <c r="K91" s="25" t="str">
        <f t="shared" si="28"/>
        <v>4027/4028</v>
      </c>
      <c r="L91" s="25" t="str">
        <f>VLOOKUP(A91,'Trips&amp;Operators'!$C$1:$E$10000,3,FALSE)</f>
        <v>STORY</v>
      </c>
      <c r="M91" s="6">
        <f t="shared" si="29"/>
        <v>2.6493055556784384E-2</v>
      </c>
      <c r="N91" s="7">
        <f t="shared" si="41"/>
        <v>38.150000001769513</v>
      </c>
      <c r="O91" s="7"/>
      <c r="P91" s="7"/>
      <c r="Q91" s="26"/>
      <c r="R91" s="26"/>
      <c r="S91" s="38">
        <f t="shared" si="27"/>
        <v>1</v>
      </c>
      <c r="T91" s="55" t="str">
        <f t="shared" si="30"/>
        <v>NorthBound</v>
      </c>
      <c r="U91" s="14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12:12:23-0600',mode:absolute,to:'2016-08-08 14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91" s="57" t="str">
        <f t="shared" si="32"/>
        <v>N</v>
      </c>
      <c r="X91" s="136">
        <f t="shared" si="26"/>
        <v>1</v>
      </c>
      <c r="Y91" s="72">
        <f t="shared" si="33"/>
        <v>4.8000000000000001E-2</v>
      </c>
      <c r="Z91" s="72">
        <f t="shared" si="34"/>
        <v>23.327999999999999</v>
      </c>
      <c r="AA91" s="72">
        <f t="shared" si="35"/>
        <v>23.28</v>
      </c>
      <c r="AB91" s="69" t="e">
        <f>VLOOKUP(A91,Enforcements!$C$7:$J$24,8,0)</f>
        <v>#N/A</v>
      </c>
      <c r="AC91" s="65" t="e">
        <f>VLOOKUP(A91,Enforcements!$C$7:$E$24,3,0)</f>
        <v>#N/A</v>
      </c>
      <c r="AD91" s="66" t="str">
        <f t="shared" si="36"/>
        <v>0177-08</v>
      </c>
      <c r="AE91" s="108" t="str">
        <f t="shared" si="37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91" s="105" t="str">
        <f t="shared" si="38"/>
        <v>"C:\Program Files (x86)\AstroGrep\AstroGrep.exe" /spath="%USERPROFILE%\AppData\Local\Temp\OnboardLogs" /stypes="*4027*20160808*" /stext=" 19:.+((SYSTEM_STATE.+slice.+state.+changed )|(ment ac)|(system.+state.+changed )|(\|lc)|(penalty)|(\[timeout)|(PRM\|1\|D)|(kpr)|(kdp))" /e /r /s</v>
      </c>
      <c r="AG91" s="1" t="str">
        <f t="shared" si="39"/>
        <v>EC</v>
      </c>
      <c r="AH91" s="109" t="str">
        <f t="shared" si="40"/>
        <v>"%USERPROFILE%\Documents\GitHub\eaglep3\Utilities\RefineRTDCRunTimes.py" --tripid 177-08 --locoid 4027 --swversion DE.1.0.7.0 --startMP 204:480 --initTime 2016-08-08T13:12:23 --startdatetime 2016-08-08T13:13:21 --delay 0 --endMP 204:233280 --enddatetime 2016-08-08T13:51:30 --enforcementcount 1</v>
      </c>
    </row>
    <row r="92" spans="1:34" x14ac:dyDescent="0.25">
      <c r="A92" s="42" t="s">
        <v>303</v>
      </c>
      <c r="B92" s="7">
        <v>4028</v>
      </c>
      <c r="C92" s="25" t="s">
        <v>141</v>
      </c>
      <c r="D92" s="25" t="s">
        <v>180</v>
      </c>
      <c r="E92" s="16">
        <v>42590.586921296293</v>
      </c>
      <c r="F92" s="16">
        <v>42590.587847222225</v>
      </c>
      <c r="G92" s="7">
        <v>1</v>
      </c>
      <c r="H92" s="16" t="s">
        <v>550</v>
      </c>
      <c r="I92" s="16">
        <v>42590.618634259263</v>
      </c>
      <c r="J92" s="7">
        <v>1</v>
      </c>
      <c r="K92" s="25" t="str">
        <f t="shared" si="28"/>
        <v>4027/4028</v>
      </c>
      <c r="L92" s="25" t="str">
        <f>VLOOKUP(A92,'Trips&amp;Operators'!$C$1:$E$10000,3,FALSE)</f>
        <v>STORY</v>
      </c>
      <c r="M92" s="6">
        <f t="shared" si="29"/>
        <v>3.0787037037953269E-2</v>
      </c>
      <c r="N92" s="7">
        <f t="shared" si="41"/>
        <v>44.333333334652707</v>
      </c>
      <c r="O92" s="7"/>
      <c r="P92" s="7"/>
      <c r="Q92" s="26"/>
      <c r="R92" s="26"/>
      <c r="S92" s="38">
        <f t="shared" si="27"/>
        <v>1</v>
      </c>
      <c r="T92" s="55" t="str">
        <f t="shared" si="30"/>
        <v>Southbound</v>
      </c>
      <c r="U92" s="14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13:05:10-0600',mode:absolute,to:'2016-08-08 15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92" s="57" t="str">
        <f t="shared" si="32"/>
        <v>N</v>
      </c>
      <c r="X92" s="136">
        <f t="shared" ref="X92:X115" si="42">VALUE(LEFT(AD92,4))-VALUE(LEFT(AD91,4))</f>
        <v>1</v>
      </c>
      <c r="Y92" s="72">
        <f t="shared" si="33"/>
        <v>23.3</v>
      </c>
      <c r="Z92" s="72">
        <f t="shared" si="34"/>
        <v>1.2699999999999999E-2</v>
      </c>
      <c r="AA92" s="72">
        <f t="shared" si="35"/>
        <v>23.287300000000002</v>
      </c>
      <c r="AB92" s="69" t="e">
        <f>VLOOKUP(A92,Enforcements!$C$7:$J$24,8,0)</f>
        <v>#N/A</v>
      </c>
      <c r="AC92" s="65" t="e">
        <f>VLOOKUP(A92,Enforcements!$C$7:$E$24,3,0)</f>
        <v>#N/A</v>
      </c>
      <c r="AD92" s="66" t="str">
        <f t="shared" si="36"/>
        <v>0178-08</v>
      </c>
      <c r="AE92" s="108" t="str">
        <f t="shared" si="37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92" s="105" t="str">
        <f t="shared" si="38"/>
        <v>"C:\Program Files (x86)\AstroGrep\AstroGrep.exe" /spath="%USERPROFILE%\AppData\Local\Temp\OnboardLogs" /stypes="*4028*20160808*" /stext=" 20:.+((SYSTEM_STATE.+slice.+state.+changed )|(ment ac)|(system.+state.+changed )|(\|lc)|(penalty)|(\[timeout)|(PRM\|1\|D)|(kpr)|(kdp))" /e /r /s</v>
      </c>
      <c r="AG92" s="1" t="str">
        <f t="shared" si="39"/>
        <v>EC</v>
      </c>
      <c r="AH92" s="109" t="str">
        <f t="shared" si="40"/>
        <v>"%USERPROFILE%\Documents\GitHub\eaglep3\Utilities\RefineRTDCRunTimes.py" --tripid 178-08 --locoid 4028 --swversion DE.1.0.7.0 --startMP 204:233000 --initTime 2016-08-08T14:05:10 --startdatetime 2016-08-08T14:06:30 --delay 1 --endMP 204:127 --enddatetime 2016-08-08T14:50:50 --enforcementcount 1</v>
      </c>
    </row>
    <row r="93" spans="1:34" x14ac:dyDescent="0.25">
      <c r="A93" s="42" t="s">
        <v>418</v>
      </c>
      <c r="B93" s="7">
        <v>4038</v>
      </c>
      <c r="C93" s="25" t="s">
        <v>141</v>
      </c>
      <c r="D93" s="25" t="s">
        <v>166</v>
      </c>
      <c r="E93" s="16">
        <v>42590.559606481482</v>
      </c>
      <c r="F93" s="16">
        <v>42590.560543981483</v>
      </c>
      <c r="G93" s="7">
        <v>1</v>
      </c>
      <c r="H93" s="16" t="s">
        <v>551</v>
      </c>
      <c r="I93" s="16">
        <v>42590.588078703702</v>
      </c>
      <c r="J93" s="7">
        <v>0</v>
      </c>
      <c r="K93" s="25" t="str">
        <f t="shared" si="28"/>
        <v>4037/4038</v>
      </c>
      <c r="L93" s="25" t="str">
        <f>VLOOKUP(A93,'Trips&amp;Operators'!$C$1:$E$10000,3,FALSE)</f>
        <v>SWANSON</v>
      </c>
      <c r="M93" s="6">
        <f t="shared" si="29"/>
        <v>2.753472221957054E-2</v>
      </c>
      <c r="N93" s="7">
        <f t="shared" si="41"/>
        <v>39.649999996181577</v>
      </c>
      <c r="O93" s="7"/>
      <c r="P93" s="7"/>
      <c r="Q93" s="26"/>
      <c r="R93" s="26"/>
      <c r="S93" s="38">
        <f t="shared" si="27"/>
        <v>1</v>
      </c>
      <c r="T93" s="55" t="str">
        <f t="shared" si="30"/>
        <v>NorthBound</v>
      </c>
      <c r="U93" s="14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12:25:50-0600',mode:absolute,to:'2016-08-08 15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93" s="57" t="str">
        <f t="shared" si="32"/>
        <v>N</v>
      </c>
      <c r="X93" s="136">
        <f t="shared" si="42"/>
        <v>1</v>
      </c>
      <c r="Y93" s="72">
        <f t="shared" si="33"/>
        <v>4.5699999999999998E-2</v>
      </c>
      <c r="Z93" s="72">
        <f t="shared" si="34"/>
        <v>23.3276</v>
      </c>
      <c r="AA93" s="72">
        <f t="shared" si="35"/>
        <v>23.2819</v>
      </c>
      <c r="AB93" s="69" t="e">
        <f>VLOOKUP(A93,Enforcements!$C$7:$J$24,8,0)</f>
        <v>#N/A</v>
      </c>
      <c r="AC93" s="65" t="e">
        <f>VLOOKUP(A93,Enforcements!$C$7:$E$24,3,0)</f>
        <v>#N/A</v>
      </c>
      <c r="AD93" s="66" t="str">
        <f t="shared" si="36"/>
        <v>0179-08</v>
      </c>
      <c r="AE93" s="108" t="str">
        <f t="shared" si="37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93" s="105" t="str">
        <f t="shared" si="38"/>
        <v>"C:\Program Files (x86)\AstroGrep\AstroGrep.exe" /spath="%USERPROFILE%\AppData\Local\Temp\OnboardLogs" /stypes="*4038*20160808*" /stext=" 20:.+((SYSTEM_STATE.+slice.+state.+changed )|(ment ac)|(system.+state.+changed )|(\|lc)|(penalty)|(\[timeout)|(PRM\|1\|D)|(kpr)|(kdp))" /e /r /s</v>
      </c>
      <c r="AG93" s="1" t="str">
        <f t="shared" si="39"/>
        <v>EC</v>
      </c>
      <c r="AH93" s="109" t="str">
        <f t="shared" si="40"/>
        <v>"%USERPROFILE%\Documents\GitHub\eaglep3\Utilities\RefineRTDCRunTimes.py" --tripid 179-08 --locoid 4038 --swversion DE.1.0.7.0 --startMP 204:457 --initTime 2016-08-08T13:25:50 --startdatetime 2016-08-08T13:27:11 --delay 1 --endMP 204:233276 --enddatetime 2016-08-08T14:06:50 --enforcementcount 0</v>
      </c>
    </row>
    <row r="94" spans="1:34" x14ac:dyDescent="0.25">
      <c r="A94" s="42" t="s">
        <v>425</v>
      </c>
      <c r="B94" s="7">
        <v>4037</v>
      </c>
      <c r="C94" s="25" t="s">
        <v>141</v>
      </c>
      <c r="D94" s="25" t="s">
        <v>512</v>
      </c>
      <c r="E94" s="16">
        <v>42590.589467592596</v>
      </c>
      <c r="F94" s="16">
        <v>42590.590439814812</v>
      </c>
      <c r="G94" s="7">
        <v>1</v>
      </c>
      <c r="H94" s="16" t="s">
        <v>58</v>
      </c>
      <c r="I94" s="16">
        <v>42590.63076388889</v>
      </c>
      <c r="J94" s="7">
        <v>0</v>
      </c>
      <c r="K94" s="25" t="str">
        <f t="shared" si="28"/>
        <v>4037/4038</v>
      </c>
      <c r="L94" s="25" t="str">
        <f>VLOOKUP(A94,'Trips&amp;Operators'!$C$1:$E$10000,3,FALSE)</f>
        <v>SWANSON</v>
      </c>
      <c r="M94" s="6">
        <f t="shared" si="29"/>
        <v>4.0324074077943806E-2</v>
      </c>
      <c r="N94" s="7">
        <f t="shared" si="41"/>
        <v>58.06666667223908</v>
      </c>
      <c r="O94" s="7"/>
      <c r="P94" s="7"/>
      <c r="Q94" s="26"/>
      <c r="R94" s="26"/>
      <c r="S94" s="38">
        <f t="shared" si="27"/>
        <v>1</v>
      </c>
      <c r="T94" s="55" t="str">
        <f t="shared" si="30"/>
        <v>Southbound</v>
      </c>
      <c r="U94" s="14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13:08:50-0600',mode:absolute,to:'2016-08-08 16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94" s="57" t="str">
        <f t="shared" si="32"/>
        <v>N</v>
      </c>
      <c r="X94" s="136">
        <f t="shared" si="42"/>
        <v>1</v>
      </c>
      <c r="Y94" s="72">
        <f t="shared" si="33"/>
        <v>23.296800000000001</v>
      </c>
      <c r="Z94" s="72">
        <f t="shared" si="34"/>
        <v>1.52E-2</v>
      </c>
      <c r="AA94" s="72">
        <f t="shared" si="35"/>
        <v>23.281600000000001</v>
      </c>
      <c r="AB94" s="69" t="e">
        <f>VLOOKUP(A94,Enforcements!$C$7:$J$24,8,0)</f>
        <v>#N/A</v>
      </c>
      <c r="AC94" s="65" t="e">
        <f>VLOOKUP(A94,Enforcements!$C$7:$E$24,3,0)</f>
        <v>#N/A</v>
      </c>
      <c r="AD94" s="66" t="str">
        <f t="shared" si="36"/>
        <v>0180-08</v>
      </c>
      <c r="AE94" s="108" t="str">
        <f t="shared" si="37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94" s="105" t="str">
        <f t="shared" si="38"/>
        <v>"C:\Program Files (x86)\AstroGrep\AstroGrep.exe" /spath="%USERPROFILE%\AppData\Local\Temp\OnboardLogs" /stypes="*4037*20160808*" /stext=" 21:.+((SYSTEM_STATE.+slice.+state.+changed )|(ment ac)|(system.+state.+changed )|(\|lc)|(penalty)|(\[timeout)|(PRM\|1\|D)|(kpr)|(kdp))" /e /r /s</v>
      </c>
      <c r="AG94" s="1" t="str">
        <f t="shared" si="39"/>
        <v>EC</v>
      </c>
      <c r="AH94" s="109" t="str">
        <f t="shared" si="40"/>
        <v>"%USERPROFILE%\Documents\GitHub\eaglep3\Utilities\RefineRTDCRunTimes.py" --tripid 180-08 --locoid 4037 --swversion DE.1.0.7.0 --startMP 204:232968 --initTime 2016-08-08T14:08:50 --startdatetime 2016-08-08T14:10:14 --delay 1 --endMP 204:152 --enddatetime 2016-08-08T15:08:18 --enforcementcount 0</v>
      </c>
    </row>
    <row r="95" spans="1:34" x14ac:dyDescent="0.25">
      <c r="A95" s="25" t="s">
        <v>421</v>
      </c>
      <c r="B95" s="127">
        <v>4029</v>
      </c>
      <c r="C95" s="128" t="s">
        <v>141</v>
      </c>
      <c r="D95" s="128" t="s">
        <v>552</v>
      </c>
      <c r="E95" s="129">
        <v>42590.571712962963</v>
      </c>
      <c r="F95" s="129">
        <v>42590.572685185187</v>
      </c>
      <c r="G95" s="127">
        <v>1</v>
      </c>
      <c r="H95" s="129" t="s">
        <v>224</v>
      </c>
      <c r="I95" s="129">
        <v>42590.599236111113</v>
      </c>
      <c r="J95" s="127">
        <v>0</v>
      </c>
      <c r="K95" s="25" t="str">
        <f t="shared" si="28"/>
        <v>4029/4030</v>
      </c>
      <c r="L95" s="25" t="str">
        <f>VLOOKUP(A95,'Trips&amp;Operators'!$C$1:$E$10000,3,FALSE)</f>
        <v>YOUNG</v>
      </c>
      <c r="M95" s="6">
        <f t="shared" si="29"/>
        <v>2.6550925926130731E-2</v>
      </c>
      <c r="N95" s="7">
        <f t="shared" si="41"/>
        <v>38.233333333628252</v>
      </c>
      <c r="O95" s="7"/>
      <c r="P95" s="7"/>
      <c r="Q95" s="26"/>
      <c r="R95" s="26"/>
      <c r="S95" s="38">
        <f t="shared" si="27"/>
        <v>1</v>
      </c>
      <c r="T95" s="55" t="str">
        <f t="shared" si="30"/>
        <v>NorthBound</v>
      </c>
      <c r="U95" s="14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12:43:16-0600',mode:absolute,to:'2016-08-08 15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95" s="57" t="str">
        <f t="shared" si="32"/>
        <v>N</v>
      </c>
      <c r="X95" s="136">
        <f t="shared" si="42"/>
        <v>1</v>
      </c>
      <c r="Y95" s="72">
        <f t="shared" si="33"/>
        <v>5.1999999999999998E-2</v>
      </c>
      <c r="Z95" s="72">
        <f t="shared" si="34"/>
        <v>23.329899999999999</v>
      </c>
      <c r="AA95" s="72">
        <f t="shared" si="35"/>
        <v>23.277899999999999</v>
      </c>
      <c r="AB95" s="69" t="e">
        <f>VLOOKUP(A95,Enforcements!$C$7:$J$24,8,0)</f>
        <v>#N/A</v>
      </c>
      <c r="AC95" s="65" t="e">
        <f>VLOOKUP(A95,Enforcements!$C$7:$E$24,3,0)</f>
        <v>#N/A</v>
      </c>
      <c r="AD95" s="66" t="str">
        <f t="shared" si="36"/>
        <v>0181-08</v>
      </c>
      <c r="AE95" s="108" t="str">
        <f t="shared" si="37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95" s="105" t="str">
        <f t="shared" si="38"/>
        <v>"C:\Program Files (x86)\AstroGrep\AstroGrep.exe" /spath="%USERPROFILE%\AppData\Local\Temp\OnboardLogs" /stypes="*4029*20160808*" /stext=" 20:.+((SYSTEM_STATE.+slice.+state.+changed )|(ment ac)|(system.+state.+changed )|(\|lc)|(penalty)|(\[timeout)|(PRM\|1\|D)|(kpr)|(kdp))" /e /r /s</v>
      </c>
      <c r="AG95" s="1" t="str">
        <f t="shared" si="39"/>
        <v>EC</v>
      </c>
      <c r="AH95" s="109" t="str">
        <f t="shared" si="40"/>
        <v>"%USERPROFILE%\Documents\GitHub\eaglep3\Utilities\RefineRTDCRunTimes.py" --tripid 181-08 --locoid 4029 --swversion DE.1.0.7.0 --startMP 204:520 --initTime 2016-08-08T13:43:16 --startdatetime 2016-08-08T13:44:40 --delay 1 --endMP 204:233299 --enddatetime 2016-08-08T14:22:54 --enforcementcount 0</v>
      </c>
    </row>
    <row r="96" spans="1:34" x14ac:dyDescent="0.25">
      <c r="A96" s="25" t="s">
        <v>426</v>
      </c>
      <c r="B96" s="127">
        <v>4030</v>
      </c>
      <c r="C96" s="128" t="s">
        <v>141</v>
      </c>
      <c r="D96" s="128" t="s">
        <v>200</v>
      </c>
      <c r="E96" s="129">
        <v>42590.602766203701</v>
      </c>
      <c r="F96" s="129">
        <v>42590.60429398148</v>
      </c>
      <c r="G96" s="127">
        <v>2</v>
      </c>
      <c r="H96" s="129" t="s">
        <v>553</v>
      </c>
      <c r="I96" s="129">
        <v>42590.641215277778</v>
      </c>
      <c r="J96" s="127">
        <v>0</v>
      </c>
      <c r="K96" s="25" t="str">
        <f t="shared" si="28"/>
        <v>4029/4030</v>
      </c>
      <c r="L96" s="25" t="str">
        <f>VLOOKUP(A96,'Trips&amp;Operators'!$C$1:$E$10000,3,FALSE)</f>
        <v>YOUNG</v>
      </c>
      <c r="M96" s="6">
        <f t="shared" si="29"/>
        <v>3.6921296297805384E-2</v>
      </c>
      <c r="N96" s="7">
        <f t="shared" si="41"/>
        <v>53.166666668839753</v>
      </c>
      <c r="O96" s="7"/>
      <c r="P96" s="7"/>
      <c r="Q96" s="26"/>
      <c r="R96" s="26"/>
      <c r="S96" s="38">
        <f t="shared" si="27"/>
        <v>1</v>
      </c>
      <c r="T96" s="55" t="str">
        <f t="shared" si="30"/>
        <v>Southbound</v>
      </c>
      <c r="U96" s="14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13:27:59-0600',mode:absolute,to:'2016-08-08 16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96" s="57" t="str">
        <f t="shared" si="32"/>
        <v>N</v>
      </c>
      <c r="X96" s="136">
        <f t="shared" si="42"/>
        <v>1</v>
      </c>
      <c r="Y96" s="72">
        <f t="shared" si="33"/>
        <v>23.299399999999999</v>
      </c>
      <c r="Z96" s="72">
        <f t="shared" si="34"/>
        <v>1.6299999999999999E-2</v>
      </c>
      <c r="AA96" s="72">
        <f t="shared" si="35"/>
        <v>23.283099999999997</v>
      </c>
      <c r="AB96" s="69" t="e">
        <f>VLOOKUP(A96,Enforcements!$C$7:$J$24,8,0)</f>
        <v>#N/A</v>
      </c>
      <c r="AC96" s="65" t="e">
        <f>VLOOKUP(A96,Enforcements!$C$7:$E$24,3,0)</f>
        <v>#N/A</v>
      </c>
      <c r="AD96" s="66" t="str">
        <f t="shared" si="36"/>
        <v>0182-08</v>
      </c>
      <c r="AE96" s="108" t="str">
        <f t="shared" si="37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96" s="105" t="str">
        <f t="shared" si="38"/>
        <v>"C:\Program Files (x86)\AstroGrep\AstroGrep.exe" /spath="%USERPROFILE%\AppData\Local\Temp\OnboardLogs" /stypes="*4030*20160808*" /stext=" 21:.+((SYSTEM_STATE.+slice.+state.+changed )|(ment ac)|(system.+state.+changed )|(\|lc)|(penalty)|(\[timeout)|(PRM\|1\|D)|(kpr)|(kdp))" /e /r /s</v>
      </c>
      <c r="AG96" s="1" t="str">
        <f t="shared" si="39"/>
        <v>EC</v>
      </c>
      <c r="AH96" s="109" t="str">
        <f t="shared" si="40"/>
        <v>"%USERPROFILE%\Documents\GitHub\eaglep3\Utilities\RefineRTDCRunTimes.py" --tripid 182-08 --locoid 4030 --swversion DE.1.0.7.0 --startMP 204:232994 --initTime 2016-08-08T14:27:59 --startdatetime 2016-08-08T14:30:11 --delay 2 --endMP 204:163 --enddatetime 2016-08-08T15:23:21 --enforcementcount 0</v>
      </c>
    </row>
    <row r="97" spans="1:34" x14ac:dyDescent="0.25">
      <c r="A97" s="25" t="s">
        <v>423</v>
      </c>
      <c r="B97" s="127">
        <v>4011</v>
      </c>
      <c r="C97" s="128" t="s">
        <v>141</v>
      </c>
      <c r="D97" s="128" t="s">
        <v>212</v>
      </c>
      <c r="E97" s="129">
        <v>42590.580590277779</v>
      </c>
      <c r="F97" s="129">
        <v>42590.581747685188</v>
      </c>
      <c r="G97" s="127">
        <v>1</v>
      </c>
      <c r="H97" s="129" t="s">
        <v>522</v>
      </c>
      <c r="I97" s="129">
        <v>42590.611712962964</v>
      </c>
      <c r="J97" s="127">
        <v>0</v>
      </c>
      <c r="K97" s="25" t="str">
        <f t="shared" si="28"/>
        <v>4011/4012</v>
      </c>
      <c r="L97" s="25" t="str">
        <f>VLOOKUP(A97,'Trips&amp;Operators'!$C$1:$E$10000,3,FALSE)</f>
        <v>HELVIE</v>
      </c>
      <c r="M97" s="6">
        <f t="shared" si="29"/>
        <v>2.9965277775772847E-2</v>
      </c>
      <c r="N97" s="7">
        <f t="shared" si="41"/>
        <v>43.1499999971129</v>
      </c>
      <c r="O97" s="7"/>
      <c r="P97" s="7"/>
      <c r="Q97" s="26"/>
      <c r="R97" s="26"/>
      <c r="S97" s="38">
        <f t="shared" ref="S97:S128" si="43">SUM(U97:U97)/IF(AG97="EC",12,1)</f>
        <v>1</v>
      </c>
      <c r="T97" s="55" t="str">
        <f t="shared" si="30"/>
        <v>NorthBound</v>
      </c>
      <c r="U97" s="14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12:56:03-0600',mode:absolute,to:'2016-08-08 15:40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97" s="57" t="str">
        <f t="shared" si="32"/>
        <v>N</v>
      </c>
      <c r="X97" s="136">
        <f t="shared" si="42"/>
        <v>1</v>
      </c>
      <c r="Y97" s="72">
        <f t="shared" si="33"/>
        <v>4.3999999999999997E-2</v>
      </c>
      <c r="Z97" s="72">
        <f t="shared" si="34"/>
        <v>23.3291</v>
      </c>
      <c r="AA97" s="72">
        <f t="shared" si="35"/>
        <v>23.2851</v>
      </c>
      <c r="AB97" s="69" t="e">
        <f>VLOOKUP(A97,Enforcements!$C$7:$J$24,8,0)</f>
        <v>#N/A</v>
      </c>
      <c r="AC97" s="65" t="e">
        <f>VLOOKUP(A97,Enforcements!$C$7:$E$24,3,0)</f>
        <v>#N/A</v>
      </c>
      <c r="AD97" s="66" t="str">
        <f t="shared" si="36"/>
        <v>0183-08</v>
      </c>
      <c r="AE97" s="108" t="str">
        <f t="shared" si="37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97" s="105" t="str">
        <f t="shared" si="38"/>
        <v>"C:\Program Files (x86)\AstroGrep\AstroGrep.exe" /spath="%USERPROFILE%\AppData\Local\Temp\OnboardLogs" /stypes="*4011*20160808*" /stext=" 20:.+((SYSTEM_STATE.+slice.+state.+changed )|(ment ac)|(system.+state.+changed )|(\|lc)|(penalty)|(\[timeout)|(PRM\|1\|D)|(kpr)|(kdp))" /e /r /s</v>
      </c>
      <c r="AG97" s="1" t="str">
        <f t="shared" si="39"/>
        <v>EC</v>
      </c>
      <c r="AH97" s="109" t="str">
        <f t="shared" si="40"/>
        <v>"%USERPROFILE%\Documents\GitHub\eaglep3\Utilities\RefineRTDCRunTimes.py" --tripid 183-08 --locoid 4011 --swversion DE.1.0.7.0 --startMP 204:440 --initTime 2016-08-08T13:56:03 --startdatetime 2016-08-08T13:57:43 --delay 1 --endMP 204:233291 --enddatetime 2016-08-08T14:40:52 --enforcementcount 0</v>
      </c>
    </row>
    <row r="98" spans="1:34" x14ac:dyDescent="0.25">
      <c r="A98" s="25" t="s">
        <v>306</v>
      </c>
      <c r="B98" s="127">
        <v>4012</v>
      </c>
      <c r="C98" s="128" t="s">
        <v>141</v>
      </c>
      <c r="D98" s="128" t="s">
        <v>168</v>
      </c>
      <c r="E98" s="129">
        <v>42590.619328703702</v>
      </c>
      <c r="F98" s="129">
        <v>42590.620370370372</v>
      </c>
      <c r="G98" s="127">
        <v>1</v>
      </c>
      <c r="H98" s="129" t="s">
        <v>261</v>
      </c>
      <c r="I98" s="129">
        <v>42590.653460648151</v>
      </c>
      <c r="J98" s="127">
        <v>1</v>
      </c>
      <c r="K98" s="25" t="str">
        <f t="shared" si="28"/>
        <v>4011/4012</v>
      </c>
      <c r="L98" s="25" t="str">
        <f>VLOOKUP(A98,'Trips&amp;Operators'!$C$1:$E$10000,3,FALSE)</f>
        <v>HELVIE</v>
      </c>
      <c r="M98" s="6">
        <f t="shared" si="29"/>
        <v>3.309027777868323E-2</v>
      </c>
      <c r="N98" s="7">
        <f t="shared" si="41"/>
        <v>47.650000001303852</v>
      </c>
      <c r="O98" s="7"/>
      <c r="P98" s="7"/>
      <c r="Q98" s="26"/>
      <c r="R98" s="26"/>
      <c r="S98" s="38">
        <f t="shared" si="43"/>
        <v>1</v>
      </c>
      <c r="T98" s="55" t="str">
        <f t="shared" si="30"/>
        <v>Southbound</v>
      </c>
      <c r="U98" s="14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13:51:50-0600',mode:absolute,to:'2016-08-08 16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98" s="57" t="str">
        <f t="shared" si="32"/>
        <v>N</v>
      </c>
      <c r="X98" s="136">
        <f t="shared" si="42"/>
        <v>1</v>
      </c>
      <c r="Y98" s="72">
        <f t="shared" si="33"/>
        <v>23.3004</v>
      </c>
      <c r="Z98" s="72">
        <f t="shared" si="34"/>
        <v>1.78E-2</v>
      </c>
      <c r="AA98" s="72">
        <f t="shared" si="35"/>
        <v>23.282599999999999</v>
      </c>
      <c r="AB98" s="69" t="e">
        <f>VLOOKUP(A98,Enforcements!$C$7:$J$24,8,0)</f>
        <v>#N/A</v>
      </c>
      <c r="AC98" s="65" t="e">
        <f>VLOOKUP(A98,Enforcements!$C$7:$E$24,3,0)</f>
        <v>#N/A</v>
      </c>
      <c r="AD98" s="66" t="str">
        <f t="shared" si="36"/>
        <v>0184-08</v>
      </c>
      <c r="AE98" s="108" t="str">
        <f t="shared" si="37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98" s="105" t="str">
        <f t="shared" si="38"/>
        <v>"C:\Program Files (x86)\AstroGrep\AstroGrep.exe" /spath="%USERPROFILE%\AppData\Local\Temp\OnboardLogs" /stypes="*4012*20160808*" /stext=" 21:.+((SYSTEM_STATE.+slice.+state.+changed )|(ment ac)|(system.+state.+changed )|(\|lc)|(penalty)|(\[timeout)|(PRM\|1\|D)|(kpr)|(kdp))" /e /r /s</v>
      </c>
      <c r="AG98" s="1" t="str">
        <f t="shared" si="39"/>
        <v>EC</v>
      </c>
      <c r="AH98" s="109" t="str">
        <f t="shared" si="40"/>
        <v>"%USERPROFILE%\Documents\GitHub\eaglep3\Utilities\RefineRTDCRunTimes.py" --tripid 184-08 --locoid 4012 --swversion DE.1.0.7.0 --startMP 204:233004 --initTime 2016-08-08T14:51:50 --startdatetime 2016-08-08T14:53:20 --delay 1 --endMP 204:178 --enddatetime 2016-08-08T15:40:59 --enforcementcount 1</v>
      </c>
    </row>
    <row r="99" spans="1:34" x14ac:dyDescent="0.25">
      <c r="A99" s="25" t="s">
        <v>424</v>
      </c>
      <c r="B99" s="127">
        <v>4007</v>
      </c>
      <c r="C99" s="128" t="s">
        <v>141</v>
      </c>
      <c r="D99" s="128" t="s">
        <v>164</v>
      </c>
      <c r="E99" s="129">
        <v>42590.58798611111</v>
      </c>
      <c r="F99" s="129">
        <v>42590.589131944442</v>
      </c>
      <c r="G99" s="127">
        <v>1</v>
      </c>
      <c r="H99" s="129" t="s">
        <v>229</v>
      </c>
      <c r="I99" s="129">
        <v>42590.618993055556</v>
      </c>
      <c r="J99" s="127">
        <v>0</v>
      </c>
      <c r="K99" s="25" t="str">
        <f t="shared" si="28"/>
        <v>4007/4008</v>
      </c>
      <c r="L99" s="25" t="str">
        <f>VLOOKUP(A99,'Trips&amp;Operators'!$C$1:$E$10000,3,FALSE)</f>
        <v>SHOOK</v>
      </c>
      <c r="M99" s="6">
        <f t="shared" si="29"/>
        <v>2.9861111113859806E-2</v>
      </c>
      <c r="N99" s="7">
        <f t="shared" si="41"/>
        <v>43.000000003958121</v>
      </c>
      <c r="O99" s="7"/>
      <c r="P99" s="7"/>
      <c r="Q99" s="26"/>
      <c r="R99" s="26"/>
      <c r="S99" s="38">
        <f t="shared" si="43"/>
        <v>1</v>
      </c>
      <c r="T99" s="55" t="str">
        <f t="shared" si="30"/>
        <v>NorthBound</v>
      </c>
      <c r="U99" s="14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13:06:42-0600',mode:absolute,to:'2016-08-08 15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99" s="57" t="str">
        <f t="shared" si="32"/>
        <v>N</v>
      </c>
      <c r="X99" s="136">
        <f t="shared" si="42"/>
        <v>1</v>
      </c>
      <c r="Y99" s="72">
        <f t="shared" si="33"/>
        <v>4.4699999999999997E-2</v>
      </c>
      <c r="Z99" s="72">
        <f t="shared" si="34"/>
        <v>23.340800000000002</v>
      </c>
      <c r="AA99" s="72">
        <f t="shared" si="35"/>
        <v>23.296100000000003</v>
      </c>
      <c r="AB99" s="69" t="e">
        <f>VLOOKUP(A99,Enforcements!$C$7:$J$24,8,0)</f>
        <v>#N/A</v>
      </c>
      <c r="AC99" s="65" t="e">
        <f>VLOOKUP(A99,Enforcements!$C$7:$E$24,3,0)</f>
        <v>#N/A</v>
      </c>
      <c r="AD99" s="66" t="str">
        <f t="shared" si="36"/>
        <v>0185-08</v>
      </c>
      <c r="AE99" s="108" t="str">
        <f t="shared" si="37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99" s="105" t="str">
        <f t="shared" si="38"/>
        <v>"C:\Program Files (x86)\AstroGrep\AstroGrep.exe" /spath="%USERPROFILE%\AppData\Local\Temp\OnboardLogs" /stypes="*4007*20160808*" /stext=" 20:.+((SYSTEM_STATE.+slice.+state.+changed )|(ment ac)|(system.+state.+changed )|(\|lc)|(penalty)|(\[timeout)|(PRM\|1\|D)|(kpr)|(kdp))" /e /r /s</v>
      </c>
      <c r="AG99" s="1" t="str">
        <f t="shared" si="39"/>
        <v>EC</v>
      </c>
      <c r="AH99" s="109" t="str">
        <f t="shared" si="40"/>
        <v>"%USERPROFILE%\Documents\GitHub\eaglep3\Utilities\RefineRTDCRunTimes.py" --tripid 185-08 --locoid 4007 --swversion DE.1.0.7.0 --startMP 204:447 --initTime 2016-08-08T14:06:42 --startdatetime 2016-08-08T14:08:21 --delay 1 --endMP 204:233408 --enddatetime 2016-08-08T14:51:21 --enforcementcount 0</v>
      </c>
    </row>
    <row r="100" spans="1:34" x14ac:dyDescent="0.25">
      <c r="A100" s="25" t="s">
        <v>430</v>
      </c>
      <c r="B100" s="127">
        <v>4008</v>
      </c>
      <c r="C100" s="128" t="s">
        <v>141</v>
      </c>
      <c r="D100" s="128" t="s">
        <v>554</v>
      </c>
      <c r="E100" s="129">
        <v>42590.627025462964</v>
      </c>
      <c r="F100" s="129">
        <v>42590.628125000003</v>
      </c>
      <c r="G100" s="127">
        <v>1</v>
      </c>
      <c r="H100" s="129" t="s">
        <v>555</v>
      </c>
      <c r="I100" s="129">
        <v>42590.663055555553</v>
      </c>
      <c r="J100" s="127">
        <v>0</v>
      </c>
      <c r="K100" s="25" t="str">
        <f t="shared" si="28"/>
        <v>4007/4008</v>
      </c>
      <c r="L100" s="25" t="str">
        <f>VLOOKUP(A100,'Trips&amp;Operators'!$C$1:$E$10000,3,FALSE)</f>
        <v>SHOOK</v>
      </c>
      <c r="M100" s="6">
        <f t="shared" si="29"/>
        <v>3.4930555550090503E-2</v>
      </c>
      <c r="N100" s="7">
        <f t="shared" si="41"/>
        <v>50.299999992130324</v>
      </c>
      <c r="O100" s="7"/>
      <c r="P100" s="7"/>
      <c r="Q100" s="26"/>
      <c r="R100" s="26"/>
      <c r="S100" s="38">
        <f t="shared" si="43"/>
        <v>1</v>
      </c>
      <c r="T100" s="55" t="str">
        <f t="shared" si="30"/>
        <v>Southbound</v>
      </c>
      <c r="U100" s="14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14:02:55-0600',mode:absolute,to:'2016-08-08 16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00" s="57" t="str">
        <f t="shared" si="32"/>
        <v>N</v>
      </c>
      <c r="X100" s="136">
        <f t="shared" si="42"/>
        <v>1</v>
      </c>
      <c r="Y100" s="72">
        <f t="shared" si="33"/>
        <v>23.305299999999999</v>
      </c>
      <c r="Z100" s="72">
        <f t="shared" si="34"/>
        <v>1.2500000000000001E-2</v>
      </c>
      <c r="AA100" s="72">
        <f t="shared" si="35"/>
        <v>23.2928</v>
      </c>
      <c r="AB100" s="69" t="e">
        <f>VLOOKUP(A100,Enforcements!$C$7:$J$24,8,0)</f>
        <v>#N/A</v>
      </c>
      <c r="AC100" s="65" t="e">
        <f>VLOOKUP(A100,Enforcements!$C$7:$E$24,3,0)</f>
        <v>#N/A</v>
      </c>
      <c r="AD100" s="66" t="str">
        <f t="shared" si="36"/>
        <v>0186-08</v>
      </c>
      <c r="AE100" s="108" t="str">
        <f t="shared" si="37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100" s="105" t="str">
        <f t="shared" si="38"/>
        <v>"C:\Program Files (x86)\AstroGrep\AstroGrep.exe" /spath="%USERPROFILE%\AppData\Local\Temp\OnboardLogs" /stypes="*4008*20160808*" /stext=" 21:.+((SYSTEM_STATE.+slice.+state.+changed )|(ment ac)|(system.+state.+changed )|(\|lc)|(penalty)|(\[timeout)|(PRM\|1\|D)|(kpr)|(kdp))" /e /r /s</v>
      </c>
      <c r="AG100" s="1" t="str">
        <f t="shared" si="39"/>
        <v>EC</v>
      </c>
      <c r="AH100" s="109" t="str">
        <f t="shared" si="40"/>
        <v>"%USERPROFILE%\Documents\GitHub\eaglep3\Utilities\RefineRTDCRunTimes.py" --tripid 186-08 --locoid 4008 --swversion DE.1.0.7.0 --startMP 204:233053 --initTime 2016-08-08T15:02:55 --startdatetime 2016-08-08T15:04:30 --delay 1 --endMP 204:125 --enddatetime 2016-08-08T15:54:48 --enforcementcount 0</v>
      </c>
    </row>
    <row r="101" spans="1:34" x14ac:dyDescent="0.25">
      <c r="A101" s="25" t="s">
        <v>305</v>
      </c>
      <c r="B101" s="127">
        <v>4014</v>
      </c>
      <c r="C101" s="128" t="s">
        <v>141</v>
      </c>
      <c r="D101" s="128" t="s">
        <v>539</v>
      </c>
      <c r="E101" s="129">
        <v>42590.601817129631</v>
      </c>
      <c r="F101" s="129">
        <v>42590.602789351855</v>
      </c>
      <c r="G101" s="127">
        <v>1</v>
      </c>
      <c r="H101" s="129" t="s">
        <v>219</v>
      </c>
      <c r="I101" s="129">
        <v>42590.63175925926</v>
      </c>
      <c r="J101" s="127">
        <v>1</v>
      </c>
      <c r="K101" s="25" t="str">
        <f t="shared" si="28"/>
        <v>4013/4014</v>
      </c>
      <c r="L101" s="25" t="str">
        <f>VLOOKUP(A101,'Trips&amp;Operators'!$C$1:$E$10000,3,FALSE)</f>
        <v>STEWART</v>
      </c>
      <c r="M101" s="6">
        <f t="shared" si="29"/>
        <v>2.8969907405553386E-2</v>
      </c>
      <c r="N101" s="7">
        <f t="shared" si="41"/>
        <v>41.716666663996875</v>
      </c>
      <c r="O101" s="7"/>
      <c r="P101" s="7"/>
      <c r="Q101" s="26"/>
      <c r="R101" s="26"/>
      <c r="S101" s="38">
        <f t="shared" si="43"/>
        <v>1</v>
      </c>
      <c r="T101" s="55" t="str">
        <f t="shared" si="30"/>
        <v>NorthBound</v>
      </c>
      <c r="U101" s="14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13:26:37-0600',mode:absolute,to:'2016-08-08 16:09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01" s="57" t="str">
        <f t="shared" si="32"/>
        <v>N</v>
      </c>
      <c r="X101" s="136">
        <f t="shared" si="42"/>
        <v>1</v>
      </c>
      <c r="Y101" s="72">
        <f t="shared" si="33"/>
        <v>4.6899999999999997E-2</v>
      </c>
      <c r="Z101" s="72">
        <f t="shared" si="34"/>
        <v>23.332100000000001</v>
      </c>
      <c r="AA101" s="72">
        <f t="shared" si="35"/>
        <v>23.2852</v>
      </c>
      <c r="AB101" s="69" t="e">
        <f>VLOOKUP(A101,Enforcements!$C$7:$J$24,8,0)</f>
        <v>#N/A</v>
      </c>
      <c r="AC101" s="65" t="e">
        <f>VLOOKUP(A101,Enforcements!$C$7:$E$24,3,0)</f>
        <v>#N/A</v>
      </c>
      <c r="AD101" s="66" t="str">
        <f t="shared" si="36"/>
        <v>0187-08</v>
      </c>
      <c r="AE101" s="108" t="str">
        <f t="shared" si="37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101" s="105" t="str">
        <f t="shared" si="38"/>
        <v>"C:\Program Files (x86)\AstroGrep\AstroGrep.exe" /spath="%USERPROFILE%\AppData\Local\Temp\OnboardLogs" /stypes="*4014*20160808*" /stext=" 21:.+((SYSTEM_STATE.+slice.+state.+changed )|(ment ac)|(system.+state.+changed )|(\|lc)|(penalty)|(\[timeout)|(PRM\|1\|D)|(kpr)|(kdp))" /e /r /s</v>
      </c>
      <c r="AG101" s="1" t="str">
        <f t="shared" si="39"/>
        <v>EC</v>
      </c>
      <c r="AH101" s="109" t="str">
        <f t="shared" si="40"/>
        <v>"%USERPROFILE%\Documents\GitHub\eaglep3\Utilities\RefineRTDCRunTimes.py" --tripid 187-08 --locoid 4014 --swversion DE.1.0.7.0 --startMP 204:469 --initTime 2016-08-08T14:26:37 --startdatetime 2016-08-08T14:28:01 --delay 1 --endMP 204:233321 --enddatetime 2016-08-08T15:09:44 --enforcementcount 1</v>
      </c>
    </row>
    <row r="102" spans="1:34" x14ac:dyDescent="0.25">
      <c r="A102" s="25" t="s">
        <v>308</v>
      </c>
      <c r="B102" s="127">
        <v>4013</v>
      </c>
      <c r="C102" s="128" t="s">
        <v>141</v>
      </c>
      <c r="D102" s="128" t="s">
        <v>64</v>
      </c>
      <c r="E102" s="129">
        <v>42590.639537037037</v>
      </c>
      <c r="F102" s="129">
        <v>42590.640393518515</v>
      </c>
      <c r="G102" s="127">
        <v>1</v>
      </c>
      <c r="H102" s="129" t="s">
        <v>556</v>
      </c>
      <c r="I102" s="129">
        <v>42590.673564814817</v>
      </c>
      <c r="J102" s="127">
        <v>1</v>
      </c>
      <c r="K102" s="25" t="str">
        <f t="shared" si="28"/>
        <v>4013/4014</v>
      </c>
      <c r="L102" s="25" t="str">
        <f>VLOOKUP(A102,'Trips&amp;Operators'!$C$1:$E$10000,3,FALSE)</f>
        <v>STEWART</v>
      </c>
      <c r="M102" s="6">
        <f t="shared" si="29"/>
        <v>3.3171296301588882E-2</v>
      </c>
      <c r="N102" s="7">
        <f t="shared" si="41"/>
        <v>47.76666667428799</v>
      </c>
      <c r="O102" s="7"/>
      <c r="P102" s="7"/>
      <c r="Q102" s="26"/>
      <c r="R102" s="26"/>
      <c r="S102" s="38">
        <f t="shared" si="43"/>
        <v>1</v>
      </c>
      <c r="T102" s="55" t="str">
        <f t="shared" si="30"/>
        <v>Southbound</v>
      </c>
      <c r="U102" s="14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14:20:56-0600',mode:absolute,to:'2016-08-08 17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02" s="57" t="str">
        <f t="shared" si="32"/>
        <v>N</v>
      </c>
      <c r="X102" s="136">
        <f t="shared" si="42"/>
        <v>1</v>
      </c>
      <c r="Y102" s="72">
        <f t="shared" si="33"/>
        <v>23.297699999999999</v>
      </c>
      <c r="Z102" s="72">
        <f t="shared" si="34"/>
        <v>1.7999999999999999E-2</v>
      </c>
      <c r="AA102" s="72">
        <f t="shared" si="35"/>
        <v>23.279699999999998</v>
      </c>
      <c r="AB102" s="69" t="e">
        <f>VLOOKUP(A102,Enforcements!$C$7:$J$24,8,0)</f>
        <v>#N/A</v>
      </c>
      <c r="AC102" s="65" t="e">
        <f>VLOOKUP(A102,Enforcements!$C$7:$E$24,3,0)</f>
        <v>#N/A</v>
      </c>
      <c r="AD102" s="66" t="str">
        <f t="shared" si="36"/>
        <v>0188-08</v>
      </c>
      <c r="AE102" s="108" t="str">
        <f t="shared" si="37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102" s="105" t="str">
        <f t="shared" si="38"/>
        <v>"C:\Program Files (x86)\AstroGrep\AstroGrep.exe" /spath="%USERPROFILE%\AppData\Local\Temp\OnboardLogs" /stypes="*4013*20160808*" /stext=" 22:.+((SYSTEM_STATE.+slice.+state.+changed )|(ment ac)|(system.+state.+changed )|(\|lc)|(penalty)|(\[timeout)|(PRM\|1\|D)|(kpr)|(kdp))" /e /r /s</v>
      </c>
      <c r="AG102" s="1" t="str">
        <f t="shared" si="39"/>
        <v>EC</v>
      </c>
      <c r="AH102" s="109" t="str">
        <f t="shared" si="40"/>
        <v>"%USERPROFILE%\Documents\GitHub\eaglep3\Utilities\RefineRTDCRunTimes.py" --tripid 188-08 --locoid 4013 --swversion DE.1.0.7.0 --startMP 204:232977 --initTime 2016-08-08T15:20:56 --startdatetime 2016-08-08T15:22:10 --delay 1 --endMP 204:180 --enddatetime 2016-08-08T16:09:56 --enforcementcount 1</v>
      </c>
    </row>
    <row r="103" spans="1:34" x14ac:dyDescent="0.25">
      <c r="A103" s="25" t="s">
        <v>428</v>
      </c>
      <c r="B103" s="127">
        <v>4020</v>
      </c>
      <c r="C103" s="128" t="s">
        <v>141</v>
      </c>
      <c r="D103" s="128" t="s">
        <v>164</v>
      </c>
      <c r="E103" s="129">
        <v>42590.610115740739</v>
      </c>
      <c r="F103" s="129">
        <v>42590.61109953704</v>
      </c>
      <c r="G103" s="127">
        <v>1</v>
      </c>
      <c r="H103" s="129" t="s">
        <v>239</v>
      </c>
      <c r="I103" s="129">
        <v>42590.641030092593</v>
      </c>
      <c r="J103" s="127">
        <v>0</v>
      </c>
      <c r="K103" s="25" t="str">
        <f t="shared" si="28"/>
        <v>4019/4020</v>
      </c>
      <c r="L103" s="25" t="str">
        <f>VLOOKUP(A103,'Trips&amp;Operators'!$C$1:$E$10000,3,FALSE)</f>
        <v>BARTLETT</v>
      </c>
      <c r="M103" s="6">
        <f t="shared" si="29"/>
        <v>2.9930555552709848E-2</v>
      </c>
      <c r="N103" s="7">
        <f t="shared" si="41"/>
        <v>43.099999995902181</v>
      </c>
      <c r="O103" s="7"/>
      <c r="P103" s="7"/>
      <c r="Q103" s="26"/>
      <c r="R103" s="26"/>
      <c r="S103" s="38">
        <f t="shared" si="43"/>
        <v>1</v>
      </c>
      <c r="T103" s="55" t="str">
        <f t="shared" si="30"/>
        <v>NorthBound</v>
      </c>
      <c r="U103" s="14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13:38:34-0600',mode:absolute,to:'2016-08-08 16:23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03" s="57" t="str">
        <f t="shared" si="32"/>
        <v>N</v>
      </c>
      <c r="X103" s="136">
        <f t="shared" si="42"/>
        <v>1</v>
      </c>
      <c r="Y103" s="72">
        <f t="shared" si="33"/>
        <v>4.4699999999999997E-2</v>
      </c>
      <c r="Z103" s="72">
        <f t="shared" si="34"/>
        <v>23.330300000000001</v>
      </c>
      <c r="AA103" s="72">
        <f t="shared" si="35"/>
        <v>23.285600000000002</v>
      </c>
      <c r="AB103" s="69" t="e">
        <f>VLOOKUP(A103,Enforcements!$C$7:$J$24,8,0)</f>
        <v>#N/A</v>
      </c>
      <c r="AC103" s="65" t="e">
        <f>VLOOKUP(A103,Enforcements!$C$7:$E$24,3,0)</f>
        <v>#N/A</v>
      </c>
      <c r="AD103" s="66" t="str">
        <f t="shared" si="36"/>
        <v>0189-08</v>
      </c>
      <c r="AE103" s="108" t="str">
        <f t="shared" si="37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103" s="105" t="str">
        <f t="shared" si="38"/>
        <v>"C:\Program Files (x86)\AstroGrep\AstroGrep.exe" /spath="%USERPROFILE%\AppData\Local\Temp\OnboardLogs" /stypes="*4020*20160808*" /stext=" 21:.+((SYSTEM_STATE.+slice.+state.+changed )|(ment ac)|(system.+state.+changed )|(\|lc)|(penalty)|(\[timeout)|(PRM\|1\|D)|(kpr)|(kdp))" /e /r /s</v>
      </c>
      <c r="AG103" s="1" t="str">
        <f t="shared" si="39"/>
        <v>EC</v>
      </c>
      <c r="AH103" s="109" t="str">
        <f t="shared" si="40"/>
        <v>"%USERPROFILE%\Documents\GitHub\eaglep3\Utilities\RefineRTDCRunTimes.py" --tripid 189-08 --locoid 4020 --swversion DE.1.0.7.0 --startMP 204:447 --initTime 2016-08-08T14:38:34 --startdatetime 2016-08-08T14:39:59 --delay 1 --endMP 204:233303 --enddatetime 2016-08-08T15:23:05 --enforcementcount 0</v>
      </c>
    </row>
    <row r="104" spans="1:34" x14ac:dyDescent="0.25">
      <c r="A104" s="25" t="s">
        <v>433</v>
      </c>
      <c r="B104" s="127">
        <v>4019</v>
      </c>
      <c r="C104" s="128" t="s">
        <v>141</v>
      </c>
      <c r="D104" s="128" t="s">
        <v>544</v>
      </c>
      <c r="E104" s="129">
        <v>42590.642916666664</v>
      </c>
      <c r="F104" s="129">
        <v>42590.643634259257</v>
      </c>
      <c r="G104" s="127">
        <v>1</v>
      </c>
      <c r="H104" s="129" t="s">
        <v>237</v>
      </c>
      <c r="I104" s="129">
        <v>42590.684004629627</v>
      </c>
      <c r="J104" s="127">
        <v>0</v>
      </c>
      <c r="K104" s="25" t="str">
        <f t="shared" si="28"/>
        <v>4019/4020</v>
      </c>
      <c r="L104" s="25" t="str">
        <f>VLOOKUP(A104,'Trips&amp;Operators'!$C$1:$E$10000,3,FALSE)</f>
        <v>BARTLETT</v>
      </c>
      <c r="M104" s="6">
        <f t="shared" si="29"/>
        <v>4.03703703705105E-2</v>
      </c>
      <c r="N104" s="7">
        <f t="shared" si="41"/>
        <v>58.13333333353512</v>
      </c>
      <c r="O104" s="7"/>
      <c r="P104" s="7"/>
      <c r="Q104" s="26"/>
      <c r="R104" s="26"/>
      <c r="S104" s="38">
        <f t="shared" si="43"/>
        <v>1</v>
      </c>
      <c r="T104" s="55" t="str">
        <f t="shared" si="30"/>
        <v>Southbound</v>
      </c>
      <c r="U104" s="14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14:25:48-0600',mode:absolute,to:'2016-08-08 17:24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04" s="57" t="str">
        <f t="shared" si="32"/>
        <v>N</v>
      </c>
      <c r="X104" s="136">
        <f t="shared" si="42"/>
        <v>1</v>
      </c>
      <c r="Y104" s="72">
        <f t="shared" si="33"/>
        <v>23.2971</v>
      </c>
      <c r="Z104" s="72">
        <f t="shared" si="34"/>
        <v>1.3599999999999999E-2</v>
      </c>
      <c r="AA104" s="72">
        <f t="shared" si="35"/>
        <v>23.2835</v>
      </c>
      <c r="AB104" s="69" t="e">
        <f>VLOOKUP(A104,Enforcements!$C$7:$J$24,8,0)</f>
        <v>#N/A</v>
      </c>
      <c r="AC104" s="65" t="e">
        <f>VLOOKUP(A104,Enforcements!$C$7:$E$24,3,0)</f>
        <v>#N/A</v>
      </c>
      <c r="AD104" s="66" t="str">
        <f t="shared" si="36"/>
        <v>0190-08</v>
      </c>
      <c r="AE104" s="108" t="str">
        <f t="shared" si="37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104" s="105" t="str">
        <f t="shared" si="38"/>
        <v>"C:\Program Files (x86)\AstroGrep\AstroGrep.exe" /spath="%USERPROFILE%\AppData\Local\Temp\OnboardLogs" /stypes="*4019*20160808*" /stext=" 22:.+((SYSTEM_STATE.+slice.+state.+changed )|(ment ac)|(system.+state.+changed )|(\|lc)|(penalty)|(\[timeout)|(PRM\|1\|D)|(kpr)|(kdp))" /e /r /s</v>
      </c>
      <c r="AG104" s="1" t="str">
        <f t="shared" si="39"/>
        <v>EC</v>
      </c>
      <c r="AH104" s="109" t="str">
        <f t="shared" si="40"/>
        <v>"%USERPROFILE%\Documents\GitHub\eaglep3\Utilities\RefineRTDCRunTimes.py" --tripid 190-08 --locoid 4019 --swversion DE.1.0.7.0 --startMP 204:232971 --initTime 2016-08-08T15:25:48 --startdatetime 2016-08-08T15:26:50 --delay 1 --endMP 204:136 --enddatetime 2016-08-08T16:24:58 --enforcementcount 0</v>
      </c>
    </row>
    <row r="105" spans="1:34" x14ac:dyDescent="0.25">
      <c r="A105" s="25" t="s">
        <v>429</v>
      </c>
      <c r="B105" s="127">
        <v>4027</v>
      </c>
      <c r="C105" s="128" t="s">
        <v>141</v>
      </c>
      <c r="D105" s="128" t="s">
        <v>557</v>
      </c>
      <c r="E105" s="129">
        <v>42590.62027777778</v>
      </c>
      <c r="F105" s="129">
        <v>42590.621261574073</v>
      </c>
      <c r="G105" s="127">
        <v>1</v>
      </c>
      <c r="H105" s="129" t="s">
        <v>545</v>
      </c>
      <c r="I105" s="129">
        <v>42590.650358796294</v>
      </c>
      <c r="J105" s="127">
        <v>0</v>
      </c>
      <c r="K105" s="25" t="str">
        <f t="shared" si="28"/>
        <v>4027/4028</v>
      </c>
      <c r="L105" s="25" t="str">
        <f>VLOOKUP(A105,'Trips&amp;Operators'!$C$1:$E$10000,3,FALSE)</f>
        <v>STORY</v>
      </c>
      <c r="M105" s="6">
        <f t="shared" si="29"/>
        <v>2.9097222221025731E-2</v>
      </c>
      <c r="N105" s="7">
        <f t="shared" si="41"/>
        <v>41.899999998277053</v>
      </c>
      <c r="O105" s="7"/>
      <c r="P105" s="7"/>
      <c r="Q105" s="26"/>
      <c r="R105" s="26"/>
      <c r="S105" s="38">
        <f t="shared" si="43"/>
        <v>1</v>
      </c>
      <c r="T105" s="55" t="str">
        <f t="shared" si="30"/>
        <v>NorthBound</v>
      </c>
      <c r="U105" s="14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13:53:12-0600',mode:absolute,to:'2016-08-08 16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05" s="57" t="str">
        <f t="shared" si="32"/>
        <v>N</v>
      </c>
      <c r="X105" s="136">
        <f t="shared" si="42"/>
        <v>1</v>
      </c>
      <c r="Y105" s="72">
        <f t="shared" si="33"/>
        <v>4.3499999999999997E-2</v>
      </c>
      <c r="Z105" s="72">
        <f t="shared" si="34"/>
        <v>23.336300000000001</v>
      </c>
      <c r="AA105" s="72">
        <f t="shared" si="35"/>
        <v>23.2928</v>
      </c>
      <c r="AB105" s="69" t="e">
        <f>VLOOKUP(A105,Enforcements!$C$7:$J$24,8,0)</f>
        <v>#N/A</v>
      </c>
      <c r="AC105" s="65" t="e">
        <f>VLOOKUP(A105,Enforcements!$C$7:$E$24,3,0)</f>
        <v>#N/A</v>
      </c>
      <c r="AD105" s="66" t="str">
        <f t="shared" si="36"/>
        <v>0191-08</v>
      </c>
      <c r="AE105" s="108" t="str">
        <f t="shared" si="37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105" s="105" t="str">
        <f t="shared" si="38"/>
        <v>"C:\Program Files (x86)\AstroGrep\AstroGrep.exe" /spath="%USERPROFILE%\AppData\Local\Temp\OnboardLogs" /stypes="*4027*20160808*" /stext=" 21:.+((SYSTEM_STATE.+slice.+state.+changed )|(ment ac)|(system.+state.+changed )|(\|lc)|(penalty)|(\[timeout)|(PRM\|1\|D)|(kpr)|(kdp))" /e /r /s</v>
      </c>
      <c r="AG105" s="1" t="str">
        <f t="shared" si="39"/>
        <v>EC</v>
      </c>
      <c r="AH105" s="109" t="str">
        <f t="shared" si="40"/>
        <v>"%USERPROFILE%\Documents\GitHub\eaglep3\Utilities\RefineRTDCRunTimes.py" --tripid 191-08 --locoid 4027 --swversion DE.1.0.7.0 --startMP 204:435 --initTime 2016-08-08T14:53:12 --startdatetime 2016-08-08T14:54:37 --delay 1 --endMP 204:233363 --enddatetime 2016-08-08T15:36:31 --enforcementcount 0</v>
      </c>
    </row>
    <row r="106" spans="1:34" x14ac:dyDescent="0.25">
      <c r="A106" s="25" t="s">
        <v>437</v>
      </c>
      <c r="B106" s="127">
        <v>4028</v>
      </c>
      <c r="C106" s="128" t="s">
        <v>141</v>
      </c>
      <c r="D106" s="128" t="s">
        <v>232</v>
      </c>
      <c r="E106" s="129">
        <v>42590.659699074073</v>
      </c>
      <c r="F106" s="129">
        <v>42590.66064814815</v>
      </c>
      <c r="G106" s="127">
        <v>1</v>
      </c>
      <c r="H106" s="129" t="s">
        <v>550</v>
      </c>
      <c r="I106" s="129">
        <v>42590.697245370371</v>
      </c>
      <c r="J106" s="127">
        <v>0</v>
      </c>
      <c r="K106" s="25" t="str">
        <f t="shared" si="28"/>
        <v>4027/4028</v>
      </c>
      <c r="L106" s="25" t="str">
        <f>VLOOKUP(A106,'Trips&amp;Operators'!$C$1:$E$10000,3,FALSE)</f>
        <v>STORY</v>
      </c>
      <c r="M106" s="6">
        <f t="shared" si="29"/>
        <v>3.6597222220734693E-2</v>
      </c>
      <c r="N106" s="7">
        <f t="shared" si="41"/>
        <v>52.699999997857958</v>
      </c>
      <c r="O106" s="7"/>
      <c r="P106" s="7"/>
      <c r="Q106" s="26"/>
      <c r="R106" s="26"/>
      <c r="S106" s="38">
        <f t="shared" si="43"/>
        <v>1</v>
      </c>
      <c r="T106" s="55" t="str">
        <f t="shared" si="30"/>
        <v>Southbound</v>
      </c>
      <c r="U106" s="14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14:49:58-0600',mode:absolute,to:'2016-08-08 17:44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06" s="57" t="str">
        <f t="shared" si="32"/>
        <v>N</v>
      </c>
      <c r="X106" s="136">
        <f t="shared" si="42"/>
        <v>1</v>
      </c>
      <c r="Y106" s="72">
        <f t="shared" si="33"/>
        <v>23.306000000000001</v>
      </c>
      <c r="Z106" s="72">
        <f t="shared" si="34"/>
        <v>1.2699999999999999E-2</v>
      </c>
      <c r="AA106" s="72">
        <f t="shared" si="35"/>
        <v>23.293300000000002</v>
      </c>
      <c r="AB106" s="69" t="e">
        <f>VLOOKUP(A106,Enforcements!$C$7:$J$24,8,0)</f>
        <v>#N/A</v>
      </c>
      <c r="AC106" s="65" t="e">
        <f>VLOOKUP(A106,Enforcements!$C$7:$E$24,3,0)</f>
        <v>#N/A</v>
      </c>
      <c r="AD106" s="66" t="str">
        <f t="shared" si="36"/>
        <v>0192-08</v>
      </c>
      <c r="AE106" s="108" t="str">
        <f t="shared" si="37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106" s="105" t="str">
        <f t="shared" si="38"/>
        <v>"C:\Program Files (x86)\AstroGrep\AstroGrep.exe" /spath="%USERPROFILE%\AppData\Local\Temp\OnboardLogs" /stypes="*4028*20160808*" /stext=" 22:.+((SYSTEM_STATE.+slice.+state.+changed )|(ment ac)|(system.+state.+changed )|(\|lc)|(penalty)|(\[timeout)|(PRM\|1\|D)|(kpr)|(kdp))" /e /r /s</v>
      </c>
      <c r="AG106" s="1" t="str">
        <f t="shared" si="39"/>
        <v>EC</v>
      </c>
      <c r="AH106" s="109" t="str">
        <f t="shared" si="40"/>
        <v>"%USERPROFILE%\Documents\GitHub\eaglep3\Utilities\RefineRTDCRunTimes.py" --tripid 192-08 --locoid 4028 --swversion DE.1.0.7.0 --startMP 204:233060 --initTime 2016-08-08T15:49:58 --startdatetime 2016-08-08T15:51:20 --delay 1 --endMP 204:127 --enddatetime 2016-08-08T16:44:02 --enforcementcount 0</v>
      </c>
    </row>
    <row r="107" spans="1:34" x14ac:dyDescent="0.25">
      <c r="A107" s="25" t="s">
        <v>431</v>
      </c>
      <c r="B107" s="127">
        <v>4038</v>
      </c>
      <c r="C107" s="128" t="s">
        <v>141</v>
      </c>
      <c r="D107" s="128" t="s">
        <v>539</v>
      </c>
      <c r="E107" s="129">
        <v>42590.633321759262</v>
      </c>
      <c r="F107" s="129">
        <v>42590.634351851855</v>
      </c>
      <c r="G107" s="127">
        <v>1</v>
      </c>
      <c r="H107" s="129" t="s">
        <v>558</v>
      </c>
      <c r="I107" s="129">
        <v>42590.661597222221</v>
      </c>
      <c r="J107" s="127">
        <v>0</v>
      </c>
      <c r="K107" s="25" t="str">
        <f t="shared" si="28"/>
        <v>4037/4038</v>
      </c>
      <c r="L107" s="25" t="str">
        <f>VLOOKUP(A107,'Trips&amp;Operators'!$C$1:$E$10000,3,FALSE)</f>
        <v>SWANSON</v>
      </c>
      <c r="M107" s="6">
        <f t="shared" si="29"/>
        <v>2.7245370365562849E-2</v>
      </c>
      <c r="N107" s="7">
        <f t="shared" si="41"/>
        <v>39.233333326410502</v>
      </c>
      <c r="O107" s="7"/>
      <c r="P107" s="7"/>
      <c r="Q107" s="26"/>
      <c r="R107" s="26"/>
      <c r="S107" s="38">
        <f t="shared" si="43"/>
        <v>1</v>
      </c>
      <c r="T107" s="55" t="str">
        <f t="shared" si="30"/>
        <v>NorthBound</v>
      </c>
      <c r="U107" s="14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14:11:59-0600',mode:absolute,to:'2016-08-08 16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07" s="57" t="str">
        <f t="shared" si="32"/>
        <v>N</v>
      </c>
      <c r="X107" s="136">
        <f t="shared" si="42"/>
        <v>1</v>
      </c>
      <c r="Y107" s="72">
        <f t="shared" si="33"/>
        <v>4.6899999999999997E-2</v>
      </c>
      <c r="Z107" s="72">
        <f t="shared" si="34"/>
        <v>23.327000000000002</v>
      </c>
      <c r="AA107" s="72">
        <f t="shared" si="35"/>
        <v>23.280100000000001</v>
      </c>
      <c r="AB107" s="69" t="e">
        <f>VLOOKUP(A107,Enforcements!$C$7:$J$24,8,0)</f>
        <v>#N/A</v>
      </c>
      <c r="AC107" s="65" t="e">
        <f>VLOOKUP(A107,Enforcements!$C$7:$E$24,3,0)</f>
        <v>#N/A</v>
      </c>
      <c r="AD107" s="66" t="str">
        <f t="shared" si="36"/>
        <v>0193-08</v>
      </c>
      <c r="AE107" s="108" t="str">
        <f t="shared" si="37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107" s="105" t="str">
        <f t="shared" si="38"/>
        <v>"C:\Program Files (x86)\AstroGrep\AstroGrep.exe" /spath="%USERPROFILE%\AppData\Local\Temp\OnboardLogs" /stypes="*4038*20160808*" /stext=" 21:.+((SYSTEM_STATE.+slice.+state.+changed )|(ment ac)|(system.+state.+changed )|(\|lc)|(penalty)|(\[timeout)|(PRM\|1\|D)|(kpr)|(kdp))" /e /r /s</v>
      </c>
      <c r="AG107" s="1" t="str">
        <f t="shared" si="39"/>
        <v>EC</v>
      </c>
      <c r="AH107" s="109" t="str">
        <f t="shared" si="40"/>
        <v>"%USERPROFILE%\Documents\GitHub\eaglep3\Utilities\RefineRTDCRunTimes.py" --tripid 193-08 --locoid 4038 --swversion DE.1.0.7.0 --startMP 204:469 --initTime 2016-08-08T15:11:59 --startdatetime 2016-08-08T15:13:28 --delay 1 --endMP 204:233270 --enddatetime 2016-08-08T15:52:42 --enforcementcount 0</v>
      </c>
    </row>
    <row r="108" spans="1:34" x14ac:dyDescent="0.25">
      <c r="A108" s="25" t="s">
        <v>440</v>
      </c>
      <c r="B108" s="127">
        <v>4037</v>
      </c>
      <c r="C108" s="128" t="s">
        <v>141</v>
      </c>
      <c r="D108" s="128" t="s">
        <v>263</v>
      </c>
      <c r="E108" s="129">
        <v>42590.664571759262</v>
      </c>
      <c r="F108" s="129">
        <v>42590.665578703702</v>
      </c>
      <c r="G108" s="127">
        <v>1</v>
      </c>
      <c r="H108" s="129" t="s">
        <v>215</v>
      </c>
      <c r="I108" s="129">
        <v>42590.707627314812</v>
      </c>
      <c r="J108" s="127">
        <v>0</v>
      </c>
      <c r="K108" s="25" t="str">
        <f t="shared" si="28"/>
        <v>4037/4038</v>
      </c>
      <c r="L108" s="25" t="str">
        <f>VLOOKUP(A108,'Trips&amp;Operators'!$C$1:$E$10000,3,FALSE)</f>
        <v>SWANSON</v>
      </c>
      <c r="M108" s="6">
        <f t="shared" si="29"/>
        <v>4.2048611110658385E-2</v>
      </c>
      <c r="N108" s="7">
        <f t="shared" si="41"/>
        <v>60.549999999348074</v>
      </c>
      <c r="O108" s="7"/>
      <c r="P108" s="7"/>
      <c r="Q108" s="26"/>
      <c r="R108" s="26"/>
      <c r="S108" s="38">
        <f t="shared" si="43"/>
        <v>1</v>
      </c>
      <c r="T108" s="55" t="str">
        <f t="shared" si="30"/>
        <v>Southbound</v>
      </c>
      <c r="U108" s="14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14:56:59-0600',mode:absolute,to:'2016-08-08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08" s="57" t="str">
        <f t="shared" si="32"/>
        <v>N</v>
      </c>
      <c r="X108" s="136">
        <f t="shared" si="42"/>
        <v>1</v>
      </c>
      <c r="Y108" s="72">
        <f t="shared" si="33"/>
        <v>23.296299999999999</v>
      </c>
      <c r="Z108" s="72">
        <f t="shared" si="34"/>
        <v>1.41E-2</v>
      </c>
      <c r="AA108" s="72">
        <f t="shared" si="35"/>
        <v>23.2822</v>
      </c>
      <c r="AB108" s="69" t="e">
        <f>VLOOKUP(A108,Enforcements!$C$7:$J$24,8,0)</f>
        <v>#N/A</v>
      </c>
      <c r="AC108" s="65" t="e">
        <f>VLOOKUP(A108,Enforcements!$C$7:$E$24,3,0)</f>
        <v>#N/A</v>
      </c>
      <c r="AD108" s="66" t="str">
        <f t="shared" si="36"/>
        <v>0194-08</v>
      </c>
      <c r="AE108" s="108" t="str">
        <f t="shared" si="37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108" s="105" t="str">
        <f t="shared" si="38"/>
        <v>"C:\Program Files (x86)\AstroGrep\AstroGrep.exe" /spath="%USERPROFILE%\AppData\Local\Temp\OnboardLogs" /stypes="*4037*20160808*" /stext=" 22:.+((SYSTEM_STATE.+slice.+state.+changed )|(ment ac)|(system.+state.+changed )|(\|lc)|(penalty)|(\[timeout)|(PRM\|1\|D)|(kpr)|(kdp))" /e /r /s</v>
      </c>
      <c r="AG108" s="1" t="str">
        <f t="shared" si="39"/>
        <v>EC</v>
      </c>
      <c r="AH108" s="109" t="str">
        <f t="shared" si="40"/>
        <v>"%USERPROFILE%\Documents\GitHub\eaglep3\Utilities\RefineRTDCRunTimes.py" --tripid 194-08 --locoid 4037 --swversion DE.1.0.7.0 --startMP 204:232963 --initTime 2016-08-08T15:56:59 --startdatetime 2016-08-08T15:58:26 --delay 1 --endMP 204:141 --enddatetime 2016-08-08T16:58:59 --enforcementcount 0</v>
      </c>
    </row>
    <row r="109" spans="1:34" x14ac:dyDescent="0.25">
      <c r="A109" s="25" t="s">
        <v>434</v>
      </c>
      <c r="B109" s="127">
        <v>4029</v>
      </c>
      <c r="C109" s="128" t="s">
        <v>141</v>
      </c>
      <c r="D109" s="128" t="s">
        <v>262</v>
      </c>
      <c r="E109" s="129">
        <v>42590.643171296295</v>
      </c>
      <c r="F109" s="129">
        <v>42590.644201388888</v>
      </c>
      <c r="G109" s="127">
        <v>1</v>
      </c>
      <c r="H109" s="129" t="s">
        <v>559</v>
      </c>
      <c r="I109" s="129">
        <v>42590.674571759257</v>
      </c>
      <c r="J109" s="127">
        <v>0</v>
      </c>
      <c r="K109" s="25" t="str">
        <f t="shared" si="28"/>
        <v>4029/4030</v>
      </c>
      <c r="L109" s="25" t="str">
        <f>VLOOKUP(A109,'Trips&amp;Operators'!$C$1:$E$10000,3,FALSE)</f>
        <v>YOUNG</v>
      </c>
      <c r="M109" s="6">
        <f t="shared" si="29"/>
        <v>3.0370370368473232E-2</v>
      </c>
      <c r="N109" s="7">
        <f t="shared" si="41"/>
        <v>43.733333330601454</v>
      </c>
      <c r="O109" s="7"/>
      <c r="P109" s="7"/>
      <c r="Q109" s="26"/>
      <c r="R109" s="26"/>
      <c r="S109" s="38">
        <f t="shared" si="43"/>
        <v>1</v>
      </c>
      <c r="T109" s="55" t="str">
        <f t="shared" si="30"/>
        <v>NorthBound</v>
      </c>
      <c r="U109" s="14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14:26:10-0600',mode:absolute,to:'2016-08-08 17:11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09" s="57" t="str">
        <f t="shared" si="32"/>
        <v>N</v>
      </c>
      <c r="X109" s="136">
        <f t="shared" si="42"/>
        <v>1</v>
      </c>
      <c r="Y109" s="72">
        <f t="shared" ref="Y109:Y115" si="44">RIGHT(D109,LEN(D109)-4)/10000</f>
        <v>4.8800000000000003E-2</v>
      </c>
      <c r="Z109" s="72">
        <f t="shared" ref="Z109:Z115" si="45">RIGHT(H109,LEN(H109)-4)/10000</f>
        <v>23.3325</v>
      </c>
      <c r="AA109" s="72">
        <f t="shared" si="35"/>
        <v>23.2837</v>
      </c>
      <c r="AB109" s="69" t="e">
        <f>VLOOKUP(A109,Enforcements!$C$7:$J$24,8,0)</f>
        <v>#N/A</v>
      </c>
      <c r="AC109" s="65" t="e">
        <f>VLOOKUP(A109,Enforcements!$C$7:$E$24,3,0)</f>
        <v>#N/A</v>
      </c>
      <c r="AD109" s="66" t="str">
        <f t="shared" si="36"/>
        <v>0195-08</v>
      </c>
      <c r="AE109" s="108" t="str">
        <f t="shared" si="37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109" s="105" t="str">
        <f t="shared" si="38"/>
        <v>"C:\Program Files (x86)\AstroGrep\AstroGrep.exe" /spath="%USERPROFILE%\AppData\Local\Temp\OnboardLogs" /stypes="*4029*20160808*" /stext=" 22:.+((SYSTEM_STATE.+slice.+state.+changed )|(ment ac)|(system.+state.+changed )|(\|lc)|(penalty)|(\[timeout)|(PRM\|1\|D)|(kpr)|(kdp))" /e /r /s</v>
      </c>
      <c r="AG109" s="1" t="str">
        <f t="shared" si="39"/>
        <v>EC</v>
      </c>
      <c r="AH109" s="109" t="str">
        <f t="shared" si="40"/>
        <v>"%USERPROFILE%\Documents\GitHub\eaglep3\Utilities\RefineRTDCRunTimes.py" --tripid 195-08 --locoid 4029 --swversion DE.1.0.7.0 --startMP 204:488 --initTime 2016-08-08T15:26:10 --startdatetime 2016-08-08T15:27:39 --delay 1 --endMP 204:233325 --enddatetime 2016-08-08T16:11:23 --enforcementcount 0</v>
      </c>
    </row>
    <row r="110" spans="1:34" x14ac:dyDescent="0.25">
      <c r="A110" s="25" t="s">
        <v>442</v>
      </c>
      <c r="B110" s="127">
        <v>4030</v>
      </c>
      <c r="C110" s="128" t="s">
        <v>141</v>
      </c>
      <c r="D110" s="128" t="s">
        <v>222</v>
      </c>
      <c r="E110" s="129">
        <v>42590.679965277777</v>
      </c>
      <c r="F110" s="129">
        <v>42590.680798611109</v>
      </c>
      <c r="G110" s="127">
        <v>1</v>
      </c>
      <c r="H110" s="129" t="s">
        <v>98</v>
      </c>
      <c r="I110" s="129">
        <v>42590.719976851855</v>
      </c>
      <c r="J110" s="127">
        <v>0</v>
      </c>
      <c r="K110" s="25" t="str">
        <f t="shared" si="28"/>
        <v>4029/4030</v>
      </c>
      <c r="L110" s="25" t="str">
        <f>VLOOKUP(A110,'Trips&amp;Operators'!$C$1:$E$10000,3,FALSE)</f>
        <v>YOUNG</v>
      </c>
      <c r="M110" s="6">
        <f t="shared" si="29"/>
        <v>3.9178240745968651E-2</v>
      </c>
      <c r="N110" s="7">
        <f t="shared" si="41"/>
        <v>56.416666674194857</v>
      </c>
      <c r="O110" s="7"/>
      <c r="P110" s="7"/>
      <c r="Q110" s="26"/>
      <c r="R110" s="26"/>
      <c r="S110" s="38">
        <f t="shared" si="43"/>
        <v>1</v>
      </c>
      <c r="T110" s="55" t="str">
        <f t="shared" si="30"/>
        <v>Southbound</v>
      </c>
      <c r="U110" s="14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15:19:09-0600',mode:absolute,to:'2016-08-08 18:16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10" s="57" t="str">
        <f t="shared" si="32"/>
        <v>N</v>
      </c>
      <c r="X110" s="136">
        <f t="shared" si="42"/>
        <v>1</v>
      </c>
      <c r="Y110" s="72">
        <f t="shared" si="44"/>
        <v>23.299600000000002</v>
      </c>
      <c r="Z110" s="72">
        <f t="shared" si="45"/>
        <v>1.43E-2</v>
      </c>
      <c r="AA110" s="72">
        <f t="shared" si="35"/>
        <v>23.285300000000003</v>
      </c>
      <c r="AB110" s="69" t="e">
        <f>VLOOKUP(A110,Enforcements!$C$7:$J$24,8,0)</f>
        <v>#N/A</v>
      </c>
      <c r="AC110" s="65" t="e">
        <f>VLOOKUP(A110,Enforcements!$C$7:$E$24,3,0)</f>
        <v>#N/A</v>
      </c>
      <c r="AD110" s="66" t="str">
        <f t="shared" si="36"/>
        <v>0196-08</v>
      </c>
      <c r="AE110" s="108" t="str">
        <f t="shared" si="37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110" s="105" t="str">
        <f t="shared" si="38"/>
        <v>"C:\Program Files (x86)\AstroGrep\AstroGrep.exe" /spath="%USERPROFILE%\AppData\Local\Temp\OnboardLogs" /stypes="*4030*20160808*" /stext=" 23:.+((SYSTEM_STATE.+slice.+state.+changed )|(ment ac)|(system.+state.+changed )|(\|lc)|(penalty)|(\[timeout)|(PRM\|1\|D)|(kpr)|(kdp))" /e /r /s</v>
      </c>
      <c r="AG110" s="1" t="str">
        <f t="shared" si="39"/>
        <v>EC</v>
      </c>
      <c r="AH110" s="109" t="str">
        <f t="shared" si="40"/>
        <v>"%USERPROFILE%\Documents\GitHub\eaglep3\Utilities\RefineRTDCRunTimes.py" --tripid 196-08 --locoid 4030 --swversion DE.1.0.7.0 --startMP 204:232996 --initTime 2016-08-08T16:19:09 --startdatetime 2016-08-08T16:20:21 --delay 1 --endMP 204:143 --enddatetime 2016-08-08T17:16:46 --enforcementcount 0</v>
      </c>
    </row>
    <row r="111" spans="1:34" x14ac:dyDescent="0.25">
      <c r="A111" s="25" t="s">
        <v>436</v>
      </c>
      <c r="B111" s="127">
        <v>4011</v>
      </c>
      <c r="C111" s="128" t="s">
        <v>141</v>
      </c>
      <c r="D111" s="128" t="s">
        <v>560</v>
      </c>
      <c r="E111" s="129">
        <v>42590.654583333337</v>
      </c>
      <c r="F111" s="129">
        <v>42590.655578703707</v>
      </c>
      <c r="G111" s="127">
        <v>1</v>
      </c>
      <c r="H111" s="129" t="s">
        <v>224</v>
      </c>
      <c r="I111" s="129">
        <v>42590.683125000003</v>
      </c>
      <c r="J111" s="127">
        <v>0</v>
      </c>
      <c r="K111" s="25" t="str">
        <f t="shared" si="28"/>
        <v>4011/4012</v>
      </c>
      <c r="L111" s="25" t="str">
        <f>VLOOKUP(A111,'Trips&amp;Operators'!$C$1:$E$10000,3,FALSE)</f>
        <v>HELVIE</v>
      </c>
      <c r="M111" s="6">
        <f t="shared" si="29"/>
        <v>2.7546296296350192E-2</v>
      </c>
      <c r="N111" s="7">
        <f t="shared" si="41"/>
        <v>39.666666666744277</v>
      </c>
      <c r="O111" s="7"/>
      <c r="P111" s="7"/>
      <c r="Q111" s="26"/>
      <c r="R111" s="26"/>
      <c r="S111" s="38">
        <f t="shared" si="43"/>
        <v>1</v>
      </c>
      <c r="T111" s="55" t="str">
        <f t="shared" si="30"/>
        <v>NorthBound</v>
      </c>
      <c r="U111" s="14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14:42:36-0600',mode:absolute,to:'2016-08-08 17:23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11" s="57" t="str">
        <f t="shared" si="32"/>
        <v>N</v>
      </c>
      <c r="X111" s="136">
        <f t="shared" si="42"/>
        <v>1</v>
      </c>
      <c r="Y111" s="72">
        <f t="shared" si="44"/>
        <v>4.82E-2</v>
      </c>
      <c r="Z111" s="72">
        <f t="shared" si="45"/>
        <v>23.329899999999999</v>
      </c>
      <c r="AA111" s="72">
        <f t="shared" si="35"/>
        <v>23.281699999999997</v>
      </c>
      <c r="AB111" s="69" t="e">
        <f>VLOOKUP(A111,Enforcements!$C$7:$J$24,8,0)</f>
        <v>#N/A</v>
      </c>
      <c r="AC111" s="65" t="e">
        <f>VLOOKUP(A111,Enforcements!$C$7:$E$24,3,0)</f>
        <v>#N/A</v>
      </c>
      <c r="AD111" s="66" t="str">
        <f t="shared" si="36"/>
        <v>0197-08</v>
      </c>
      <c r="AE111" s="108" t="str">
        <f t="shared" si="37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111" s="105" t="str">
        <f t="shared" si="38"/>
        <v>"C:\Program Files (x86)\AstroGrep\AstroGrep.exe" /spath="%USERPROFILE%\AppData\Local\Temp\OnboardLogs" /stypes="*4011*20160808*" /stext=" 22:.+((SYSTEM_STATE.+slice.+state.+changed )|(ment ac)|(system.+state.+changed )|(\|lc)|(penalty)|(\[timeout)|(PRM\|1\|D)|(kpr)|(kdp))" /e /r /s</v>
      </c>
      <c r="AG111" s="1" t="str">
        <f t="shared" si="39"/>
        <v>EC</v>
      </c>
      <c r="AH111" s="109" t="str">
        <f t="shared" si="40"/>
        <v>"%USERPROFILE%\Documents\GitHub\eaglep3\Utilities\RefineRTDCRunTimes.py" --tripid 197-08 --locoid 4011 --swversion DE.1.0.7.0 --startMP 204:482 --initTime 2016-08-08T15:42:36 --startdatetime 2016-08-08T15:44:02 --delay 1 --endMP 204:233299 --enddatetime 2016-08-08T16:23:42 --enforcementcount 0</v>
      </c>
    </row>
    <row r="112" spans="1:34" x14ac:dyDescent="0.25">
      <c r="A112" s="25" t="s">
        <v>314</v>
      </c>
      <c r="B112" s="127">
        <v>4012</v>
      </c>
      <c r="C112" s="128" t="s">
        <v>141</v>
      </c>
      <c r="D112" s="128" t="s">
        <v>544</v>
      </c>
      <c r="E112" s="129">
        <v>42590.691817129627</v>
      </c>
      <c r="F112" s="129">
        <v>42590.692719907405</v>
      </c>
      <c r="G112" s="127">
        <v>1</v>
      </c>
      <c r="H112" s="129" t="s">
        <v>217</v>
      </c>
      <c r="I112" s="129">
        <v>42590.72824074074</v>
      </c>
      <c r="J112" s="127">
        <v>1</v>
      </c>
      <c r="K112" s="25" t="str">
        <f t="shared" si="28"/>
        <v>4011/4012</v>
      </c>
      <c r="L112" s="25" t="str">
        <f>VLOOKUP(A112,'Trips&amp;Operators'!$C$1:$E$10000,3,FALSE)</f>
        <v>HELVIE</v>
      </c>
      <c r="M112" s="6">
        <f t="shared" si="29"/>
        <v>3.5520833334885538E-2</v>
      </c>
      <c r="N112" s="7">
        <f t="shared" ref="N112:N119" si="46">24*60*SUM($M112:$M112)</f>
        <v>51.150000002235174</v>
      </c>
      <c r="O112" s="7"/>
      <c r="P112" s="7"/>
      <c r="Q112" s="26"/>
      <c r="R112" s="26"/>
      <c r="S112" s="38">
        <f t="shared" si="43"/>
        <v>1</v>
      </c>
      <c r="T112" s="55" t="str">
        <f t="shared" si="30"/>
        <v>Southbound</v>
      </c>
      <c r="U112" s="14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15:36:13-0600',mode:absolute,to:'2016-08-08 18:28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12" s="57" t="str">
        <f t="shared" si="32"/>
        <v>N</v>
      </c>
      <c r="X112" s="136">
        <f t="shared" si="42"/>
        <v>1</v>
      </c>
      <c r="Y112" s="72">
        <f t="shared" si="44"/>
        <v>23.2971</v>
      </c>
      <c r="Z112" s="72">
        <f t="shared" si="45"/>
        <v>1.7399999999999999E-2</v>
      </c>
      <c r="AA112" s="72">
        <f t="shared" si="35"/>
        <v>23.279700000000002</v>
      </c>
      <c r="AB112" s="69" t="e">
        <f>VLOOKUP(A112,Enforcements!$C$7:$J$24,8,0)</f>
        <v>#N/A</v>
      </c>
      <c r="AC112" s="65" t="e">
        <f>VLOOKUP(A112,Enforcements!$C$7:$E$24,3,0)</f>
        <v>#N/A</v>
      </c>
      <c r="AD112" s="66" t="str">
        <f t="shared" si="36"/>
        <v>0198-08</v>
      </c>
      <c r="AE112" s="108" t="str">
        <f t="shared" si="37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112" s="105" t="str">
        <f t="shared" si="38"/>
        <v>"C:\Program Files (x86)\AstroGrep\AstroGrep.exe" /spath="%USERPROFILE%\AppData\Local\Temp\OnboardLogs" /stypes="*4012*20160808*" /stext=" 23:.+((SYSTEM_STATE.+slice.+state.+changed )|(ment ac)|(system.+state.+changed )|(\|lc)|(penalty)|(\[timeout)|(PRM\|1\|D)|(kpr)|(kdp))" /e /r /s</v>
      </c>
      <c r="AG112" s="1" t="str">
        <f t="shared" si="39"/>
        <v>EC</v>
      </c>
      <c r="AH112" s="109" t="str">
        <f t="shared" si="40"/>
        <v>"%USERPROFILE%\Documents\GitHub\eaglep3\Utilities\RefineRTDCRunTimes.py" --tripid 198-08 --locoid 4012 --swversion DE.1.0.7.0 --startMP 204:232971 --initTime 2016-08-08T16:36:13 --startdatetime 2016-08-08T16:37:31 --delay 1 --endMP 204:174 --enddatetime 2016-08-08T17:28:40 --enforcementcount 1</v>
      </c>
    </row>
    <row r="113" spans="1:34" x14ac:dyDescent="0.25">
      <c r="A113" s="25" t="s">
        <v>439</v>
      </c>
      <c r="B113" s="127">
        <v>4007</v>
      </c>
      <c r="C113" s="128" t="s">
        <v>141</v>
      </c>
      <c r="D113" s="128" t="s">
        <v>172</v>
      </c>
      <c r="E113" s="129">
        <v>42590.664097222223</v>
      </c>
      <c r="F113" s="129">
        <v>42590.665439814817</v>
      </c>
      <c r="G113" s="127">
        <v>1</v>
      </c>
      <c r="H113" s="129" t="s">
        <v>545</v>
      </c>
      <c r="I113" s="129">
        <v>42590.692997685182</v>
      </c>
      <c r="J113" s="127">
        <v>0</v>
      </c>
      <c r="K113" s="25" t="str">
        <f t="shared" si="28"/>
        <v>4007/4008</v>
      </c>
      <c r="L113" s="25" t="str">
        <f>VLOOKUP(A113,'Trips&amp;Operators'!$C$1:$E$10000,3,FALSE)</f>
        <v>SHOOK</v>
      </c>
      <c r="M113" s="6">
        <f t="shared" si="29"/>
        <v>2.7557870365853887E-2</v>
      </c>
      <c r="N113" s="7">
        <f t="shared" si="46"/>
        <v>39.683333326829597</v>
      </c>
      <c r="O113" s="7"/>
      <c r="P113" s="7"/>
      <c r="Q113" s="26"/>
      <c r="R113" s="26"/>
      <c r="S113" s="38">
        <f t="shared" si="43"/>
        <v>1</v>
      </c>
      <c r="T113" s="55" t="str">
        <f t="shared" si="30"/>
        <v>NorthBound</v>
      </c>
      <c r="U113" s="14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14:56:18-0600',mode:absolute,to:'2016-08-08 17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13" s="57" t="str">
        <f t="shared" si="32"/>
        <v>N</v>
      </c>
      <c r="X113" s="136">
        <f t="shared" si="42"/>
        <v>1</v>
      </c>
      <c r="Y113" s="72">
        <f t="shared" si="44"/>
        <v>4.4400000000000002E-2</v>
      </c>
      <c r="Z113" s="72">
        <f t="shared" si="45"/>
        <v>23.336300000000001</v>
      </c>
      <c r="AA113" s="72">
        <f t="shared" si="35"/>
        <v>23.291900000000002</v>
      </c>
      <c r="AB113" s="69" t="e">
        <f>VLOOKUP(A113,Enforcements!$C$7:$J$24,8,0)</f>
        <v>#N/A</v>
      </c>
      <c r="AC113" s="65" t="e">
        <f>VLOOKUP(A113,Enforcements!$C$7:$E$24,3,0)</f>
        <v>#N/A</v>
      </c>
      <c r="AD113" s="66" t="str">
        <f t="shared" si="36"/>
        <v>0199-08</v>
      </c>
      <c r="AE113" s="108" t="str">
        <f t="shared" si="37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113" s="105" t="str">
        <f t="shared" si="38"/>
        <v>"C:\Program Files (x86)\AstroGrep\AstroGrep.exe" /spath="%USERPROFILE%\AppData\Local\Temp\OnboardLogs" /stypes="*4007*20160808*" /stext=" 22:.+((SYSTEM_STATE.+slice.+state.+changed )|(ment ac)|(system.+state.+changed )|(\|lc)|(penalty)|(\[timeout)|(PRM\|1\|D)|(kpr)|(kdp))" /e /r /s</v>
      </c>
      <c r="AG113" s="1" t="str">
        <f t="shared" si="39"/>
        <v>EC</v>
      </c>
      <c r="AH113" s="109" t="str">
        <f t="shared" si="40"/>
        <v>"%USERPROFILE%\Documents\GitHub\eaglep3\Utilities\RefineRTDCRunTimes.py" --tripid 199-08 --locoid 4007 --swversion DE.1.0.7.0 --startMP 204:444 --initTime 2016-08-08T15:56:18 --startdatetime 2016-08-08T15:58:14 --delay 1 --endMP 204:233363 --enddatetime 2016-08-08T16:37:55 --enforcementcount 0</v>
      </c>
    </row>
    <row r="114" spans="1:34" x14ac:dyDescent="0.25">
      <c r="A114" s="25" t="s">
        <v>311</v>
      </c>
      <c r="B114" s="127">
        <v>4008</v>
      </c>
      <c r="C114" s="128" t="s">
        <v>141</v>
      </c>
      <c r="D114" s="128" t="s">
        <v>554</v>
      </c>
      <c r="E114" s="129">
        <v>42590.701608796298</v>
      </c>
      <c r="F114" s="129">
        <v>42590.702511574076</v>
      </c>
      <c r="G114" s="127">
        <v>1</v>
      </c>
      <c r="H114" s="129" t="s">
        <v>204</v>
      </c>
      <c r="I114" s="129">
        <v>42590.74015046296</v>
      </c>
      <c r="J114" s="127">
        <v>2</v>
      </c>
      <c r="K114" s="25" t="str">
        <f t="shared" si="28"/>
        <v>4007/4008</v>
      </c>
      <c r="L114" s="25" t="str">
        <f>VLOOKUP(A114,'Trips&amp;Operators'!$C$1:$E$10000,3,FALSE)</f>
        <v>SHOOK</v>
      </c>
      <c r="M114" s="6">
        <f t="shared" si="29"/>
        <v>3.7638888883520849E-2</v>
      </c>
      <c r="N114" s="7">
        <f t="shared" si="46"/>
        <v>54.199999992270023</v>
      </c>
      <c r="O114" s="7"/>
      <c r="P114" s="7"/>
      <c r="Q114" s="26"/>
      <c r="R114" s="26"/>
      <c r="S114" s="38">
        <f t="shared" si="43"/>
        <v>1</v>
      </c>
      <c r="T114" s="55" t="str">
        <f t="shared" si="30"/>
        <v>Southbound</v>
      </c>
      <c r="U114" s="14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15:50:19-0600',mode:absolute,to:'2016-08-08 18:45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14" s="57" t="str">
        <f t="shared" si="32"/>
        <v>N</v>
      </c>
      <c r="X114" s="136">
        <f t="shared" si="42"/>
        <v>1</v>
      </c>
      <c r="Y114" s="72">
        <f t="shared" si="44"/>
        <v>23.305299999999999</v>
      </c>
      <c r="Z114" s="72">
        <f t="shared" si="45"/>
        <v>1.32E-2</v>
      </c>
      <c r="AA114" s="72">
        <f t="shared" si="35"/>
        <v>23.292099999999998</v>
      </c>
      <c r="AB114" s="69">
        <f>VLOOKUP(A114,Enforcements!$C$7:$J$24,8,0)</f>
        <v>58904</v>
      </c>
      <c r="AC114" s="65" t="str">
        <f>VLOOKUP(A114,Enforcements!$C$7:$E$24,3,0)</f>
        <v>GRADE CROSSING</v>
      </c>
      <c r="AD114" s="66" t="str">
        <f t="shared" si="36"/>
        <v>0200-08</v>
      </c>
      <c r="AE114" s="108" t="str">
        <f t="shared" si="37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114" s="105" t="str">
        <f t="shared" si="38"/>
        <v>"C:\Program Files (x86)\AstroGrep\AstroGrep.exe" /spath="%USERPROFILE%\AppData\Local\Temp\OnboardLogs" /stypes="*4008*20160808*" /stext=" 23:.+((SYSTEM_STATE.+slice.+state.+changed )|(ment ac)|(system.+state.+changed )|(\|lc)|(penalty)|(\[timeout)|(PRM\|1\|D)|(kpr)|(kdp))" /e /r /s</v>
      </c>
      <c r="AG114" s="1" t="str">
        <f t="shared" si="39"/>
        <v>EC</v>
      </c>
      <c r="AH114" s="109" t="str">
        <f t="shared" si="40"/>
        <v>"%USERPROFILE%\Documents\GitHub\eaglep3\Utilities\RefineRTDCRunTimes.py" --tripid 200-08 --locoid 4008 --swversion DE.1.0.7.0 --startMP 204:233053 --initTime 2016-08-08T16:50:19 --startdatetime 2016-08-08T16:51:37 --delay 1 --endMP 204:132 --enddatetime 2016-08-08T17:45:49 --enforcementcount 2</v>
      </c>
    </row>
    <row r="115" spans="1:34" x14ac:dyDescent="0.25">
      <c r="A115" s="25" t="s">
        <v>310</v>
      </c>
      <c r="B115" s="127">
        <v>4014</v>
      </c>
      <c r="C115" s="128" t="s">
        <v>141</v>
      </c>
      <c r="D115" s="128" t="s">
        <v>561</v>
      </c>
      <c r="E115" s="129">
        <v>42590.676585648151</v>
      </c>
      <c r="F115" s="129">
        <v>42590.677511574075</v>
      </c>
      <c r="G115" s="127">
        <v>1</v>
      </c>
      <c r="H115" s="129" t="s">
        <v>562</v>
      </c>
      <c r="I115" s="129">
        <v>42590.707604166666</v>
      </c>
      <c r="J115" s="127">
        <v>1</v>
      </c>
      <c r="K115" s="25" t="str">
        <f t="shared" si="28"/>
        <v>4013/4014</v>
      </c>
      <c r="L115" s="25" t="str">
        <f>VLOOKUP(A115,'Trips&amp;Operators'!$C$1:$E$10000,3,FALSE)</f>
        <v>STEWART</v>
      </c>
      <c r="M115" s="6">
        <f t="shared" si="29"/>
        <v>3.0092592591245193E-2</v>
      </c>
      <c r="N115" s="7">
        <f t="shared" si="46"/>
        <v>43.333333331393078</v>
      </c>
      <c r="O115" s="7"/>
      <c r="P115" s="7"/>
      <c r="Q115" s="26"/>
      <c r="R115" s="26"/>
      <c r="S115" s="38">
        <f t="shared" si="43"/>
        <v>1</v>
      </c>
      <c r="T115" s="55" t="str">
        <f t="shared" si="30"/>
        <v>NorthBound</v>
      </c>
      <c r="U115" s="14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15:14:17-0600',mode:absolute,to:'2016-08-08 17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15" s="57" t="str">
        <f t="shared" si="32"/>
        <v>N</v>
      </c>
      <c r="X115" s="136">
        <f t="shared" si="42"/>
        <v>1</v>
      </c>
      <c r="Y115" s="72">
        <f t="shared" si="44"/>
        <v>4.9799999999999997E-2</v>
      </c>
      <c r="Z115" s="72">
        <f t="shared" si="45"/>
        <v>23.3096</v>
      </c>
      <c r="AA115" s="72">
        <f t="shared" si="35"/>
        <v>23.259799999999998</v>
      </c>
      <c r="AB115" s="69" t="e">
        <f>VLOOKUP(A115,Enforcements!$C$7:$J$24,8,0)</f>
        <v>#N/A</v>
      </c>
      <c r="AC115" s="65" t="e">
        <f>VLOOKUP(A115,Enforcements!$C$7:$E$24,3,0)</f>
        <v>#N/A</v>
      </c>
      <c r="AD115" s="66" t="str">
        <f t="shared" si="36"/>
        <v>0201-08</v>
      </c>
      <c r="AE115" s="108" t="str">
        <f t="shared" si="37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115" s="105" t="str">
        <f t="shared" si="38"/>
        <v>"C:\Program Files (x86)\AstroGrep\AstroGrep.exe" /spath="%USERPROFILE%\AppData\Local\Temp\OnboardLogs" /stypes="*4014*20160808*" /stext=" 22:.+((SYSTEM_STATE.+slice.+state.+changed )|(ment ac)|(system.+state.+changed )|(\|lc)|(penalty)|(\[timeout)|(PRM\|1\|D)|(kpr)|(kdp))" /e /r /s</v>
      </c>
      <c r="AG115" s="1" t="str">
        <f t="shared" si="39"/>
        <v>EC</v>
      </c>
      <c r="AH115" s="109" t="str">
        <f t="shared" si="40"/>
        <v>"%USERPROFILE%\Documents\GitHub\eaglep3\Utilities\RefineRTDCRunTimes.py" --tripid 201-08 --locoid 4014 --swversion DE.1.0.7.0 --startMP 204:498 --initTime 2016-08-08T16:14:17 --startdatetime 2016-08-08T16:15:37 --delay 1 --endMP 204:233096 --enddatetime 2016-08-08T16:58:57 --enforcementcount 1</v>
      </c>
    </row>
    <row r="116" spans="1:34" x14ac:dyDescent="0.25">
      <c r="A116" s="25" t="s">
        <v>448</v>
      </c>
      <c r="B116" s="127">
        <v>4013</v>
      </c>
      <c r="C116" s="128" t="s">
        <v>141</v>
      </c>
      <c r="D116" s="128" t="s">
        <v>563</v>
      </c>
      <c r="E116" s="129">
        <v>42590.710844907408</v>
      </c>
      <c r="F116" s="129">
        <v>42590.711840277778</v>
      </c>
      <c r="G116" s="127">
        <v>1</v>
      </c>
      <c r="H116" s="129" t="s">
        <v>107</v>
      </c>
      <c r="I116" s="129">
        <v>42590.751909722225</v>
      </c>
      <c r="J116" s="127">
        <v>0</v>
      </c>
      <c r="K116" s="25" t="str">
        <f t="shared" si="28"/>
        <v>4013/4014</v>
      </c>
      <c r="L116" s="25" t="str">
        <f>VLOOKUP(A116,'Trips&amp;Operators'!$C$1:$E$10000,3,FALSE)</f>
        <v>STEWART</v>
      </c>
      <c r="M116" s="6">
        <f t="shared" si="29"/>
        <v>4.0069444446999114E-2</v>
      </c>
      <c r="N116" s="7">
        <f t="shared" si="46"/>
        <v>57.700000003678724</v>
      </c>
      <c r="O116" s="7"/>
      <c r="P116" s="7"/>
      <c r="Q116" s="26"/>
      <c r="R116" s="26"/>
      <c r="S116" s="38">
        <f t="shared" si="43"/>
        <v>1</v>
      </c>
      <c r="T116" s="55" t="str">
        <f t="shared" si="30"/>
        <v>Southbound</v>
      </c>
      <c r="U116" s="14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16:03:37-0600',mode:absolute,to:'2016-08-08 19:02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16" s="57" t="str">
        <f t="shared" si="32"/>
        <v>N</v>
      </c>
      <c r="X116" s="136">
        <f t="shared" ref="X116:X130" si="47">VALUE(LEFT(AD116,4))-VALUE(LEFT(AD115,4))</f>
        <v>1</v>
      </c>
      <c r="Y116" s="72">
        <f t="shared" ref="Y116:Y130" si="48">RIGHT(D116,LEN(D116)-4)/10000</f>
        <v>23.277699999999999</v>
      </c>
      <c r="Z116" s="72">
        <f t="shared" ref="Z116:Z130" si="49">RIGHT(H116,LEN(H116)-4)/10000</f>
        <v>1.5599999999999999E-2</v>
      </c>
      <c r="AA116" s="72">
        <f t="shared" si="35"/>
        <v>23.2621</v>
      </c>
      <c r="AB116" s="69" t="e">
        <f>VLOOKUP(A116,Enforcements!$C$7:$J$24,8,0)</f>
        <v>#N/A</v>
      </c>
      <c r="AC116" s="65" t="e">
        <f>VLOOKUP(A116,Enforcements!$C$7:$E$24,3,0)</f>
        <v>#N/A</v>
      </c>
      <c r="AD116" s="66" t="str">
        <f t="shared" si="36"/>
        <v>0202-08</v>
      </c>
      <c r="AE116" s="108" t="str">
        <f t="shared" si="37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116" s="105" t="str">
        <f t="shared" si="38"/>
        <v>"C:\Program Files (x86)\AstroGrep\AstroGrep.exe" /spath="%USERPROFILE%\AppData\Local\Temp\OnboardLogs" /stypes="*4013*20160809*" /stext=" 00:.+((SYSTEM_STATE.+slice.+state.+changed )|(ment ac)|(system.+state.+changed )|(\|lc)|(penalty)|(\[timeout)|(PRM\|1\|D)|(kpr)|(kdp))" /e /r /s</v>
      </c>
      <c r="AG116" s="1" t="str">
        <f t="shared" si="39"/>
        <v>EC</v>
      </c>
      <c r="AH116" s="109" t="str">
        <f t="shared" si="40"/>
        <v>"%USERPROFILE%\Documents\GitHub\eaglep3\Utilities\RefineRTDCRunTimes.py" --tripid 202-08 --locoid 4013 --swversion DE.1.0.7.0 --startMP 204:232777 --initTime 2016-08-08T17:03:37 --startdatetime 2016-08-08T17:05:03 --delay 1 --endMP 204:156 --enddatetime 2016-08-08T18:02:45 --enforcementcount 0</v>
      </c>
    </row>
    <row r="117" spans="1:34" x14ac:dyDescent="0.25">
      <c r="A117" s="25" t="s">
        <v>443</v>
      </c>
      <c r="B117" s="127">
        <v>4020</v>
      </c>
      <c r="C117" s="128" t="s">
        <v>141</v>
      </c>
      <c r="D117" s="128" t="s">
        <v>235</v>
      </c>
      <c r="E117" s="129">
        <v>42590.684953703705</v>
      </c>
      <c r="F117" s="129">
        <v>42590.685810185183</v>
      </c>
      <c r="G117" s="127">
        <v>1</v>
      </c>
      <c r="H117" s="129" t="s">
        <v>198</v>
      </c>
      <c r="I117" s="129">
        <v>42590.716666666667</v>
      </c>
      <c r="J117" s="127">
        <v>0</v>
      </c>
      <c r="K117" s="25" t="str">
        <f t="shared" si="28"/>
        <v>4019/4020</v>
      </c>
      <c r="L117" s="25" t="str">
        <f>VLOOKUP(A117,'Trips&amp;Operators'!$C$1:$E$10000,3,FALSE)</f>
        <v>BARTLETT</v>
      </c>
      <c r="M117" s="6">
        <f t="shared" si="29"/>
        <v>3.0856481484079268E-2</v>
      </c>
      <c r="N117" s="7">
        <f t="shared" si="46"/>
        <v>44.433333337074146</v>
      </c>
      <c r="O117" s="7"/>
      <c r="P117" s="7"/>
      <c r="Q117" s="26"/>
      <c r="R117" s="26"/>
      <c r="S117" s="38">
        <f t="shared" si="43"/>
        <v>1</v>
      </c>
      <c r="T117" s="55" t="str">
        <f t="shared" si="30"/>
        <v>NorthBound</v>
      </c>
      <c r="U117" s="14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15:26:20-0600',mode:absolute,to:'2016-08-08 18:12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17" s="57" t="str">
        <f t="shared" si="32"/>
        <v>N</v>
      </c>
      <c r="X117" s="136">
        <f t="shared" si="47"/>
        <v>1</v>
      </c>
      <c r="Y117" s="72">
        <f t="shared" si="48"/>
        <v>4.4200000000000003E-2</v>
      </c>
      <c r="Z117" s="72">
        <f t="shared" si="49"/>
        <v>23.328900000000001</v>
      </c>
      <c r="AA117" s="72">
        <f t="shared" si="35"/>
        <v>23.284700000000001</v>
      </c>
      <c r="AB117" s="69" t="e">
        <f>VLOOKUP(A117,Enforcements!$C$7:$J$24,8,0)</f>
        <v>#N/A</v>
      </c>
      <c r="AC117" s="65" t="e">
        <f>VLOOKUP(A117,Enforcements!$C$7:$E$24,3,0)</f>
        <v>#N/A</v>
      </c>
      <c r="AD117" s="66" t="str">
        <f t="shared" si="36"/>
        <v>0203-08</v>
      </c>
      <c r="AE117" s="108" t="str">
        <f t="shared" si="37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117" s="105" t="str">
        <f t="shared" si="38"/>
        <v>"C:\Program Files (x86)\AstroGrep\AstroGrep.exe" /spath="%USERPROFILE%\AppData\Local\Temp\OnboardLogs" /stypes="*4020*20160808*" /stext=" 23:.+((SYSTEM_STATE.+slice.+state.+changed )|(ment ac)|(system.+state.+changed )|(\|lc)|(penalty)|(\[timeout)|(PRM\|1\|D)|(kpr)|(kdp))" /e /r /s</v>
      </c>
      <c r="AG117" s="1" t="str">
        <f t="shared" si="39"/>
        <v>EC</v>
      </c>
      <c r="AH117" s="109" t="str">
        <f t="shared" si="40"/>
        <v>"%USERPROFILE%\Documents\GitHub\eaglep3\Utilities\RefineRTDCRunTimes.py" --tripid 203-08 --locoid 4020 --swversion DE.1.0.7.0 --startMP 204:442 --initTime 2016-08-08T16:26:20 --startdatetime 2016-08-08T16:27:34 --delay 1 --endMP 204:233289 --enddatetime 2016-08-08T17:12:00 --enforcementcount 0</v>
      </c>
    </row>
    <row r="118" spans="1:34" x14ac:dyDescent="0.25">
      <c r="A118" s="25" t="s">
        <v>315</v>
      </c>
      <c r="B118" s="127">
        <v>4019</v>
      </c>
      <c r="C118" s="128" t="s">
        <v>141</v>
      </c>
      <c r="D118" s="128" t="s">
        <v>517</v>
      </c>
      <c r="E118" s="129">
        <v>42590.718460648146</v>
      </c>
      <c r="F118" s="129">
        <v>42590.719548611109</v>
      </c>
      <c r="G118" s="127">
        <v>1</v>
      </c>
      <c r="H118" s="129" t="s">
        <v>531</v>
      </c>
      <c r="I118" s="129">
        <v>42590.75540509259</v>
      </c>
      <c r="J118" s="127">
        <v>1</v>
      </c>
      <c r="K118" s="25" t="str">
        <f t="shared" si="28"/>
        <v>4019/4020</v>
      </c>
      <c r="L118" s="25" t="str">
        <f>VLOOKUP(A118,'Trips&amp;Operators'!$C$1:$E$10000,3,FALSE)</f>
        <v>BARTLETT</v>
      </c>
      <c r="M118" s="6">
        <f t="shared" si="29"/>
        <v>3.5856481481459923E-2</v>
      </c>
      <c r="N118" s="7">
        <f t="shared" si="46"/>
        <v>51.633333333302289</v>
      </c>
      <c r="O118" s="7"/>
      <c r="P118" s="7"/>
      <c r="Q118" s="26"/>
      <c r="R118" s="26"/>
      <c r="S118" s="38">
        <f t="shared" si="43"/>
        <v>1</v>
      </c>
      <c r="T118" s="55" t="str">
        <f t="shared" si="30"/>
        <v>Southbound</v>
      </c>
      <c r="U118" s="14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16:14:35-0600',mode:absolute,to:'2016-08-08 19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18" s="57" t="str">
        <f t="shared" si="32"/>
        <v>N</v>
      </c>
      <c r="X118" s="136">
        <f t="shared" si="47"/>
        <v>1</v>
      </c>
      <c r="Y118" s="72">
        <f t="shared" si="48"/>
        <v>23.2972</v>
      </c>
      <c r="Z118" s="72">
        <f t="shared" si="49"/>
        <v>1.67E-2</v>
      </c>
      <c r="AA118" s="72">
        <f t="shared" si="35"/>
        <v>23.2805</v>
      </c>
      <c r="AB118" s="69" t="e">
        <f>VLOOKUP(A118,Enforcements!$C$7:$J$24,8,0)</f>
        <v>#N/A</v>
      </c>
      <c r="AC118" s="65" t="e">
        <f>VLOOKUP(A118,Enforcements!$C$7:$E$24,3,0)</f>
        <v>#N/A</v>
      </c>
      <c r="AD118" s="66" t="str">
        <f t="shared" si="36"/>
        <v>0204-08</v>
      </c>
      <c r="AE118" s="108" t="str">
        <f t="shared" si="37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118" s="105" t="str">
        <f t="shared" si="38"/>
        <v>"C:\Program Files (x86)\AstroGrep\AstroGrep.exe" /spath="%USERPROFILE%\AppData\Local\Temp\OnboardLogs" /stypes="*4019*20160809*" /stext=" 00:.+((SYSTEM_STATE.+slice.+state.+changed )|(ment ac)|(system.+state.+changed )|(\|lc)|(penalty)|(\[timeout)|(PRM\|1\|D)|(kpr)|(kdp))" /e /r /s</v>
      </c>
      <c r="AG118" s="1" t="str">
        <f t="shared" si="39"/>
        <v>EC</v>
      </c>
      <c r="AH118" s="109" t="str">
        <f t="shared" si="40"/>
        <v>"%USERPROFILE%\Documents\GitHub\eaglep3\Utilities\RefineRTDCRunTimes.py" --tripid 204-08 --locoid 4019 --swversion DE.1.0.7.0 --startMP 204:232972 --initTime 2016-08-08T17:14:35 --startdatetime 2016-08-08T17:16:09 --delay 1 --endMP 204:167 --enddatetime 2016-08-08T18:07:47 --enforcementcount 1</v>
      </c>
    </row>
    <row r="119" spans="1:34" x14ac:dyDescent="0.25">
      <c r="A119" s="25" t="s">
        <v>312</v>
      </c>
      <c r="B119" s="127">
        <v>4027</v>
      </c>
      <c r="C119" s="128" t="s">
        <v>141</v>
      </c>
      <c r="D119" s="128" t="s">
        <v>164</v>
      </c>
      <c r="E119" s="129">
        <v>42590.698842592596</v>
      </c>
      <c r="F119" s="129">
        <v>42590.699791666666</v>
      </c>
      <c r="G119" s="127">
        <v>1</v>
      </c>
      <c r="H119" s="129" t="s">
        <v>213</v>
      </c>
      <c r="I119" s="129">
        <v>42590.730543981481</v>
      </c>
      <c r="J119" s="127">
        <v>2</v>
      </c>
      <c r="K119" s="25" t="str">
        <f t="shared" si="28"/>
        <v>4027/4028</v>
      </c>
      <c r="L119" s="25" t="str">
        <f>VLOOKUP(A119,'Trips&amp;Operators'!$C$1:$E$10000,3,FALSE)</f>
        <v>STORY</v>
      </c>
      <c r="M119" s="6">
        <f t="shared" si="29"/>
        <v>3.0752314814890269E-2</v>
      </c>
      <c r="N119" s="7">
        <f t="shared" si="46"/>
        <v>44.283333333441988</v>
      </c>
      <c r="O119" s="7"/>
      <c r="P119" s="7"/>
      <c r="Q119" s="26"/>
      <c r="R119" s="26"/>
      <c r="S119" s="38">
        <f t="shared" si="43"/>
        <v>1</v>
      </c>
      <c r="T119" s="55" t="str">
        <f t="shared" si="30"/>
        <v>NorthBound</v>
      </c>
      <c r="U119" s="14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15:46:20-0600',mode:absolute,to:'2016-08-08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19" s="57" t="str">
        <f t="shared" si="32"/>
        <v>N</v>
      </c>
      <c r="X119" s="136">
        <f t="shared" si="47"/>
        <v>1</v>
      </c>
      <c r="Y119" s="72">
        <f t="shared" si="48"/>
        <v>4.4699999999999997E-2</v>
      </c>
      <c r="Z119" s="72">
        <f t="shared" si="49"/>
        <v>23.330500000000001</v>
      </c>
      <c r="AA119" s="72">
        <f t="shared" si="35"/>
        <v>23.285800000000002</v>
      </c>
      <c r="AB119" s="69" t="e">
        <f>VLOOKUP(A119,Enforcements!$C$7:$J$24,8,0)</f>
        <v>#N/A</v>
      </c>
      <c r="AC119" s="65" t="e">
        <f>VLOOKUP(A119,Enforcements!$C$7:$E$24,3,0)</f>
        <v>#N/A</v>
      </c>
      <c r="AD119" s="66" t="str">
        <f t="shared" si="36"/>
        <v>0205-08</v>
      </c>
      <c r="AE119" s="108" t="str">
        <f t="shared" si="37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119" s="105" t="str">
        <f t="shared" si="38"/>
        <v>"C:\Program Files (x86)\AstroGrep\AstroGrep.exe" /spath="%USERPROFILE%\AppData\Local\Temp\OnboardLogs" /stypes="*4027*20160808*" /stext=" 23:.+((SYSTEM_STATE.+slice.+state.+changed )|(ment ac)|(system.+state.+changed )|(\|lc)|(penalty)|(\[timeout)|(PRM\|1\|D)|(kpr)|(kdp))" /e /r /s</v>
      </c>
      <c r="AG119" s="1" t="str">
        <f t="shared" si="39"/>
        <v>EC</v>
      </c>
      <c r="AH119" s="109" t="str">
        <f t="shared" si="40"/>
        <v>"%USERPROFILE%\Documents\GitHub\eaglep3\Utilities\RefineRTDCRunTimes.py" --tripid 205-08 --locoid 4027 --swversion DE.1.0.7.0 --startMP 204:447 --initTime 2016-08-08T16:46:20 --startdatetime 2016-08-08T16:47:42 --delay 1 --endMP 204:233305 --enddatetime 2016-08-08T17:31:59 --enforcementcount 2</v>
      </c>
    </row>
    <row r="120" spans="1:34" x14ac:dyDescent="0.25">
      <c r="A120" s="25" t="s">
        <v>317</v>
      </c>
      <c r="B120" s="127">
        <v>4028</v>
      </c>
      <c r="C120" s="128" t="s">
        <v>141</v>
      </c>
      <c r="D120" s="128" t="s">
        <v>564</v>
      </c>
      <c r="E120" s="129">
        <v>42590.750347222223</v>
      </c>
      <c r="F120" s="129">
        <v>42590.751608796294</v>
      </c>
      <c r="G120" s="127">
        <v>1</v>
      </c>
      <c r="H120" s="129" t="s">
        <v>107</v>
      </c>
      <c r="I120" s="129">
        <v>42590.771226851852</v>
      </c>
      <c r="J120" s="127">
        <v>1</v>
      </c>
      <c r="K120" s="25" t="str">
        <f t="shared" si="28"/>
        <v>4027/4028</v>
      </c>
      <c r="L120" s="25" t="str">
        <f>VLOOKUP(A120,'Trips&amp;Operators'!$C$1:$E$10000,3,FALSE)</f>
        <v>STORY</v>
      </c>
      <c r="M120" s="6">
        <f t="shared" si="29"/>
        <v>1.9618055557657499E-2</v>
      </c>
      <c r="N120" s="7"/>
      <c r="O120" s="7"/>
      <c r="P120" s="7">
        <f>24*60*SUM($M120:$M120)</f>
        <v>28.250000003026798</v>
      </c>
      <c r="Q120" s="26"/>
      <c r="R120" s="26" t="s">
        <v>273</v>
      </c>
      <c r="S120" s="38">
        <f t="shared" si="43"/>
        <v>1</v>
      </c>
      <c r="T120" s="55" t="str">
        <f t="shared" si="30"/>
        <v>Southbound</v>
      </c>
      <c r="U120" s="14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17:00:30-0600',mode:absolute,to:'2016-08-08 19:30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20" s="57" t="str">
        <f t="shared" si="32"/>
        <v>Y</v>
      </c>
      <c r="X120" s="136">
        <f t="shared" si="47"/>
        <v>1</v>
      </c>
      <c r="Y120" s="72">
        <f t="shared" si="48"/>
        <v>12.7875</v>
      </c>
      <c r="Z120" s="72">
        <f t="shared" si="49"/>
        <v>1.5599999999999999E-2</v>
      </c>
      <c r="AA120" s="72">
        <f t="shared" si="35"/>
        <v>12.7719</v>
      </c>
      <c r="AB120" s="69">
        <f>VLOOKUP(A120,Enforcements!$C$7:$J$24,8,0)</f>
        <v>21848</v>
      </c>
      <c r="AC120" s="65" t="str">
        <f>VLOOKUP(A120,Enforcements!$C$7:$E$24,3,0)</f>
        <v>PERMANENT SPEED RESTRICTION</v>
      </c>
      <c r="AD120" s="66" t="str">
        <f t="shared" si="36"/>
        <v>0206-08</v>
      </c>
      <c r="AE120" s="108" t="str">
        <f t="shared" si="37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120" s="105" t="str">
        <f t="shared" si="38"/>
        <v>"C:\Program Files (x86)\AstroGrep\AstroGrep.exe" /spath="%USERPROFILE%\AppData\Local\Temp\OnboardLogs" /stypes="*4028*20160809*" /stext=" 00:.+((SYSTEM_STATE.+slice.+state.+changed )|(ment ac)|(system.+state.+changed )|(\|lc)|(penalty)|(\[timeout)|(PRM\|1\|D)|(kpr)|(kdp))" /e /r /s</v>
      </c>
      <c r="AG120" s="1" t="str">
        <f t="shared" si="39"/>
        <v>EC</v>
      </c>
      <c r="AH120" s="109" t="str">
        <f t="shared" si="40"/>
        <v>"%USERPROFILE%\Documents\GitHub\eaglep3\Utilities\RefineRTDCRunTimes.py" --tripid 206-08 --locoid 4028 --swversion DE.1.0.7.0 --startMP 204:127875 --initTime 2016-08-08T18:00:30 --startdatetime 2016-08-08T18:02:19 --delay 1 --endMP 204:156 --enddatetime 2016-08-08T18:30:34 --enforcementcount 1</v>
      </c>
    </row>
    <row r="121" spans="1:34" x14ac:dyDescent="0.25">
      <c r="A121" s="25" t="s">
        <v>447</v>
      </c>
      <c r="B121" s="127">
        <v>4038</v>
      </c>
      <c r="C121" s="128" t="s">
        <v>141</v>
      </c>
      <c r="D121" s="128" t="s">
        <v>170</v>
      </c>
      <c r="E121" s="129">
        <v>42590.708865740744</v>
      </c>
      <c r="F121" s="129">
        <v>42590.709861111114</v>
      </c>
      <c r="G121" s="127">
        <v>1</v>
      </c>
      <c r="H121" s="129" t="s">
        <v>139</v>
      </c>
      <c r="I121" s="129">
        <v>42590.743680555555</v>
      </c>
      <c r="J121" s="127">
        <v>0</v>
      </c>
      <c r="K121" s="25" t="str">
        <f t="shared" si="28"/>
        <v>4037/4038</v>
      </c>
      <c r="L121" s="25" t="str">
        <f>VLOOKUP(A121,'Trips&amp;Operators'!$C$1:$E$10000,3,FALSE)</f>
        <v>SWANSON</v>
      </c>
      <c r="M121" s="6">
        <f t="shared" si="29"/>
        <v>3.3819444441178348E-2</v>
      </c>
      <c r="N121" s="7">
        <f t="shared" ref="N121:N142" si="50">24*60*SUM($M121:$M121)</f>
        <v>48.699999995296821</v>
      </c>
      <c r="O121" s="7"/>
      <c r="P121" s="7"/>
      <c r="Q121" s="26"/>
      <c r="R121" s="26"/>
      <c r="S121" s="38">
        <f t="shared" si="43"/>
        <v>1</v>
      </c>
      <c r="T121" s="55" t="str">
        <f t="shared" si="30"/>
        <v>NorthBound</v>
      </c>
      <c r="U121" s="14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16:00:46-0600',mode:absolute,to:'2016-08-08 18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21" s="57" t="str">
        <f t="shared" si="32"/>
        <v>N</v>
      </c>
      <c r="X121" s="136">
        <f t="shared" si="47"/>
        <v>1</v>
      </c>
      <c r="Y121" s="72">
        <f t="shared" si="48"/>
        <v>4.4600000000000001E-2</v>
      </c>
      <c r="Z121" s="72">
        <f t="shared" si="49"/>
        <v>23.329499999999999</v>
      </c>
      <c r="AA121" s="72">
        <f t="shared" si="35"/>
        <v>23.2849</v>
      </c>
      <c r="AB121" s="69" t="e">
        <f>VLOOKUP(A121,Enforcements!$C$7:$J$24,8,0)</f>
        <v>#N/A</v>
      </c>
      <c r="AC121" s="65" t="e">
        <f>VLOOKUP(A121,Enforcements!$C$7:$E$24,3,0)</f>
        <v>#N/A</v>
      </c>
      <c r="AD121" s="66" t="str">
        <f t="shared" si="36"/>
        <v>0207-08</v>
      </c>
      <c r="AE121" s="108" t="str">
        <f t="shared" si="37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121" s="105" t="str">
        <f t="shared" si="38"/>
        <v>"C:\Program Files (x86)\AstroGrep\AstroGrep.exe" /spath="%USERPROFILE%\AppData\Local\Temp\OnboardLogs" /stypes="*4038*20160808*" /stext=" 23:.+((SYSTEM_STATE.+slice.+state.+changed )|(ment ac)|(system.+state.+changed )|(\|lc)|(penalty)|(\[timeout)|(PRM\|1\|D)|(kpr)|(kdp))" /e /r /s</v>
      </c>
      <c r="AG121" s="1" t="str">
        <f t="shared" si="39"/>
        <v>EC</v>
      </c>
      <c r="AH121" s="109" t="str">
        <f t="shared" si="40"/>
        <v>"%USERPROFILE%\Documents\GitHub\eaglep3\Utilities\RefineRTDCRunTimes.py" --tripid 207-08 --locoid 4038 --swversion DE.1.0.7.0 --startMP 204:446 --initTime 2016-08-08T17:00:46 --startdatetime 2016-08-08T17:02:12 --delay 1 --endMP 204:233295 --enddatetime 2016-08-08T17:50:54 --enforcementcount 0</v>
      </c>
    </row>
    <row r="122" spans="1:34" x14ac:dyDescent="0.25">
      <c r="A122" s="25" t="s">
        <v>319</v>
      </c>
      <c r="B122" s="127">
        <v>4037</v>
      </c>
      <c r="C122" s="128" t="s">
        <v>141</v>
      </c>
      <c r="D122" s="128" t="s">
        <v>523</v>
      </c>
      <c r="E122" s="129">
        <v>42590.746782407405</v>
      </c>
      <c r="F122" s="129">
        <v>42590.747523148151</v>
      </c>
      <c r="G122" s="127">
        <v>1</v>
      </c>
      <c r="H122" s="129" t="s">
        <v>553</v>
      </c>
      <c r="I122" s="129">
        <v>42590.777025462965</v>
      </c>
      <c r="J122" s="127">
        <v>1</v>
      </c>
      <c r="K122" s="25" t="str">
        <f t="shared" si="28"/>
        <v>4037/4038</v>
      </c>
      <c r="L122" s="25" t="str">
        <f>VLOOKUP(A122,'Trips&amp;Operators'!$C$1:$E$10000,3,FALSE)</f>
        <v>SWANSON</v>
      </c>
      <c r="M122" s="6">
        <f t="shared" si="29"/>
        <v>2.9502314813726116E-2</v>
      </c>
      <c r="N122" s="7">
        <f t="shared" si="50"/>
        <v>42.483333331765607</v>
      </c>
      <c r="O122" s="7"/>
      <c r="P122" s="7"/>
      <c r="Q122" s="26"/>
      <c r="R122" s="26"/>
      <c r="S122" s="38">
        <f t="shared" si="43"/>
        <v>1</v>
      </c>
      <c r="T122" s="55" t="str">
        <f t="shared" si="30"/>
        <v>Southbound</v>
      </c>
      <c r="U122" s="14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16:55:22-0600',mode:absolute,to:'2016-08-08 19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22" s="57" t="str">
        <f t="shared" si="32"/>
        <v>N</v>
      </c>
      <c r="X122" s="136">
        <f t="shared" si="47"/>
        <v>1</v>
      </c>
      <c r="Y122" s="72">
        <f t="shared" si="48"/>
        <v>23.296600000000002</v>
      </c>
      <c r="Z122" s="72">
        <f t="shared" si="49"/>
        <v>1.6299999999999999E-2</v>
      </c>
      <c r="AA122" s="72">
        <f t="shared" si="35"/>
        <v>23.2803</v>
      </c>
      <c r="AB122" s="69">
        <f>VLOOKUP(A122,Enforcements!$C$7:$J$24,8,0)</f>
        <v>15167</v>
      </c>
      <c r="AC122" s="65" t="str">
        <f>VLOOKUP(A122,Enforcements!$C$7:$E$24,3,0)</f>
        <v>PERMANENT SPEED RESTRICTION</v>
      </c>
      <c r="AD122" s="66" t="str">
        <f t="shared" si="36"/>
        <v>0208-08</v>
      </c>
      <c r="AE122" s="108" t="str">
        <f t="shared" si="37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122" s="105" t="str">
        <f t="shared" si="38"/>
        <v>"C:\Program Files (x86)\AstroGrep\AstroGrep.exe" /spath="%USERPROFILE%\AppData\Local\Temp\OnboardLogs" /stypes="*4037*20160809*" /stext=" 00:.+((SYSTEM_STATE.+slice.+state.+changed )|(ment ac)|(system.+state.+changed )|(\|lc)|(penalty)|(\[timeout)|(PRM\|1\|D)|(kpr)|(kdp))" /e /r /s</v>
      </c>
      <c r="AG122" s="1" t="str">
        <f t="shared" si="39"/>
        <v>EC</v>
      </c>
      <c r="AH122" s="109" t="str">
        <f t="shared" si="40"/>
        <v>"%USERPROFILE%\Documents\GitHub\eaglep3\Utilities\RefineRTDCRunTimes.py" --tripid 208-08 --locoid 4037 --swversion DE.1.0.7.0 --startMP 204:232966 --initTime 2016-08-08T17:55:22 --startdatetime 2016-08-08T17:56:26 --delay 1 --endMP 204:163 --enddatetime 2016-08-08T18:38:55 --enforcementcount 1</v>
      </c>
    </row>
    <row r="123" spans="1:34" x14ac:dyDescent="0.25">
      <c r="A123" s="42" t="s">
        <v>449</v>
      </c>
      <c r="B123" s="7">
        <v>4029</v>
      </c>
      <c r="C123" s="25" t="s">
        <v>141</v>
      </c>
      <c r="D123" s="25" t="s">
        <v>170</v>
      </c>
      <c r="E123" s="16">
        <v>42590.722314814811</v>
      </c>
      <c r="F123" s="16">
        <v>42590.724421296298</v>
      </c>
      <c r="G123" s="7">
        <v>3</v>
      </c>
      <c r="H123" s="16" t="s">
        <v>135</v>
      </c>
      <c r="I123" s="16">
        <v>42590.754571759258</v>
      </c>
      <c r="J123" s="7">
        <v>0</v>
      </c>
      <c r="K123" s="25" t="str">
        <f t="shared" si="28"/>
        <v>4029/4030</v>
      </c>
      <c r="L123" s="25" t="str">
        <f>VLOOKUP(A123,'Trips&amp;Operators'!$C$1:$E$10000,3,FALSE)</f>
        <v>ISHMAEL</v>
      </c>
      <c r="M123" s="6">
        <f t="shared" si="29"/>
        <v>3.015046296059154E-2</v>
      </c>
      <c r="N123" s="7">
        <f t="shared" si="50"/>
        <v>43.416666663251817</v>
      </c>
      <c r="O123" s="7"/>
      <c r="P123" s="7"/>
      <c r="Q123" s="26"/>
      <c r="R123" s="26"/>
      <c r="S123" s="38">
        <f t="shared" si="43"/>
        <v>1</v>
      </c>
      <c r="T123" s="55" t="str">
        <f t="shared" si="30"/>
        <v>NorthBound</v>
      </c>
      <c r="U123" s="14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16:20:08-0600',mode:absolute,to:'2016-08-08 19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23" s="57" t="str">
        <f t="shared" si="32"/>
        <v>N</v>
      </c>
      <c r="X123" s="136">
        <f t="shared" si="47"/>
        <v>1</v>
      </c>
      <c r="Y123" s="72">
        <f t="shared" si="48"/>
        <v>4.4600000000000001E-2</v>
      </c>
      <c r="Z123" s="72">
        <f t="shared" si="49"/>
        <v>23.3293</v>
      </c>
      <c r="AA123" s="72">
        <f t="shared" si="35"/>
        <v>23.284700000000001</v>
      </c>
      <c r="AB123" s="69" t="e">
        <f>VLOOKUP(A123,Enforcements!$C$7:$J$24,8,0)</f>
        <v>#N/A</v>
      </c>
      <c r="AC123" s="65" t="e">
        <f>VLOOKUP(A123,Enforcements!$C$7:$E$24,3,0)</f>
        <v>#N/A</v>
      </c>
      <c r="AD123" s="66" t="str">
        <f t="shared" si="36"/>
        <v>0209-08</v>
      </c>
      <c r="AE123" s="108" t="str">
        <f t="shared" si="37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123" s="105" t="str">
        <f t="shared" si="38"/>
        <v>"C:\Program Files (x86)\AstroGrep\AstroGrep.exe" /spath="%USERPROFILE%\AppData\Local\Temp\OnboardLogs" /stypes="*4029*20160809*" /stext=" 00:.+((SYSTEM_STATE.+slice.+state.+changed )|(ment ac)|(system.+state.+changed )|(\|lc)|(penalty)|(\[timeout)|(PRM\|1\|D)|(kpr)|(kdp))" /e /r /s</v>
      </c>
      <c r="AG123" s="1" t="str">
        <f t="shared" si="39"/>
        <v>EC</v>
      </c>
      <c r="AH123" s="109" t="str">
        <f t="shared" si="40"/>
        <v>"%USERPROFILE%\Documents\GitHub\eaglep3\Utilities\RefineRTDCRunTimes.py" --tripid 209-08 --locoid 4029 --swversion DE.1.0.7.0 --startMP 204:446 --initTime 2016-08-08T17:20:08 --startdatetime 2016-08-08T17:23:10 --delay 3 --endMP 204:233293 --enddatetime 2016-08-08T18:06:35 --enforcementcount 0</v>
      </c>
    </row>
    <row r="124" spans="1:34" x14ac:dyDescent="0.25">
      <c r="A124" s="42" t="s">
        <v>457</v>
      </c>
      <c r="B124" s="7">
        <v>4030</v>
      </c>
      <c r="C124" s="25" t="s">
        <v>141</v>
      </c>
      <c r="D124" s="25" t="s">
        <v>260</v>
      </c>
      <c r="E124" s="16">
        <v>42590.755972222221</v>
      </c>
      <c r="F124" s="16">
        <v>42590.757314814815</v>
      </c>
      <c r="G124" s="7">
        <v>1</v>
      </c>
      <c r="H124" s="16" t="s">
        <v>206</v>
      </c>
      <c r="I124" s="16">
        <v>42590.786469907405</v>
      </c>
      <c r="J124" s="7">
        <v>0</v>
      </c>
      <c r="K124" s="25" t="str">
        <f t="shared" si="28"/>
        <v>4029/4030</v>
      </c>
      <c r="L124" s="25" t="str">
        <f>VLOOKUP(A124,'Trips&amp;Operators'!$C$1:$E$10000,3,FALSE)</f>
        <v>ISHMAEL</v>
      </c>
      <c r="M124" s="6">
        <f t="shared" si="29"/>
        <v>2.9155092590372078E-2</v>
      </c>
      <c r="N124" s="7">
        <f t="shared" si="50"/>
        <v>41.983333330135792</v>
      </c>
      <c r="O124" s="7"/>
      <c r="P124" s="7"/>
      <c r="Q124" s="26"/>
      <c r="R124" s="26"/>
      <c r="S124" s="38">
        <f t="shared" si="43"/>
        <v>1</v>
      </c>
      <c r="T124" s="55" t="str">
        <f t="shared" si="30"/>
        <v>Southbound</v>
      </c>
      <c r="U124" s="14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17:08:36-0600',mode:absolute,to:'2016-08-08 19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24" s="57" t="str">
        <f t="shared" si="32"/>
        <v>N</v>
      </c>
      <c r="X124" s="136">
        <f t="shared" si="47"/>
        <v>1</v>
      </c>
      <c r="Y124" s="72">
        <f t="shared" si="48"/>
        <v>23.2987</v>
      </c>
      <c r="Z124" s="72">
        <f t="shared" si="49"/>
        <v>1.49E-2</v>
      </c>
      <c r="AA124" s="72">
        <f t="shared" si="35"/>
        <v>23.283799999999999</v>
      </c>
      <c r="AB124" s="69" t="e">
        <f>VLOOKUP(A124,Enforcements!$C$7:$J$24,8,0)</f>
        <v>#N/A</v>
      </c>
      <c r="AC124" s="65" t="e">
        <f>VLOOKUP(A124,Enforcements!$C$7:$E$24,3,0)</f>
        <v>#N/A</v>
      </c>
      <c r="AD124" s="66" t="str">
        <f t="shared" si="36"/>
        <v>0210-08</v>
      </c>
      <c r="AE124" s="108" t="str">
        <f t="shared" si="37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124" s="105" t="str">
        <f t="shared" si="38"/>
        <v>"C:\Program Files (x86)\AstroGrep\AstroGrep.exe" /spath="%USERPROFILE%\AppData\Local\Temp\OnboardLogs" /stypes="*4030*20160809*" /stext=" 00:.+((SYSTEM_STATE.+slice.+state.+changed )|(ment ac)|(system.+state.+changed )|(\|lc)|(penalty)|(\[timeout)|(PRM\|1\|D)|(kpr)|(kdp))" /e /r /s</v>
      </c>
      <c r="AG124" s="1" t="str">
        <f t="shared" si="39"/>
        <v>EC</v>
      </c>
      <c r="AH124" s="109" t="str">
        <f t="shared" si="40"/>
        <v>"%USERPROFILE%\Documents\GitHub\eaglep3\Utilities\RefineRTDCRunTimes.py" --tripid 210-08 --locoid 4030 --swversion DE.1.0.7.0 --startMP 204:232987 --initTime 2016-08-08T18:08:36 --startdatetime 2016-08-08T18:10:32 --delay 1 --endMP 204:149 --enddatetime 2016-08-08T18:52:31 --enforcementcount 0</v>
      </c>
    </row>
    <row r="125" spans="1:34" x14ac:dyDescent="0.25">
      <c r="A125" s="25" t="s">
        <v>451</v>
      </c>
      <c r="B125" s="127">
        <v>4011</v>
      </c>
      <c r="C125" s="128" t="s">
        <v>141</v>
      </c>
      <c r="D125" s="128" t="s">
        <v>268</v>
      </c>
      <c r="E125" s="129">
        <v>42590.730069444442</v>
      </c>
      <c r="F125" s="129">
        <v>42590.731307870374</v>
      </c>
      <c r="G125" s="127">
        <v>1</v>
      </c>
      <c r="H125" s="129" t="s">
        <v>224</v>
      </c>
      <c r="I125" s="129">
        <v>42590.76152777778</v>
      </c>
      <c r="J125" s="127">
        <v>0</v>
      </c>
      <c r="K125" s="25" t="str">
        <f t="shared" si="28"/>
        <v>4011/4012</v>
      </c>
      <c r="L125" s="25" t="str">
        <f>VLOOKUP(A125,'Trips&amp;Operators'!$C$1:$E$10000,3,FALSE)</f>
        <v>YOUNG</v>
      </c>
      <c r="M125" s="6">
        <f t="shared" si="29"/>
        <v>3.0219907406717539E-2</v>
      </c>
      <c r="N125" s="7">
        <f t="shared" si="50"/>
        <v>43.516666665673256</v>
      </c>
      <c r="O125" s="7"/>
      <c r="P125" s="7"/>
      <c r="Q125" s="26"/>
      <c r="R125" s="26"/>
      <c r="S125" s="38">
        <f t="shared" si="43"/>
        <v>1</v>
      </c>
      <c r="T125" s="55" t="str">
        <f t="shared" si="30"/>
        <v>NorthBound</v>
      </c>
      <c r="U125" s="14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16:31:18-0600',mode:absolute,to:'2016-08-08 19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25" s="57" t="str">
        <f t="shared" si="32"/>
        <v>N</v>
      </c>
      <c r="X125" s="136">
        <f t="shared" si="47"/>
        <v>1</v>
      </c>
      <c r="Y125" s="72">
        <f t="shared" si="48"/>
        <v>4.9099999999999998E-2</v>
      </c>
      <c r="Z125" s="72">
        <f t="shared" si="49"/>
        <v>23.329899999999999</v>
      </c>
      <c r="AA125" s="72">
        <f t="shared" si="35"/>
        <v>23.280799999999999</v>
      </c>
      <c r="AB125" s="69" t="e">
        <f>VLOOKUP(A125,Enforcements!$C$7:$J$24,8,0)</f>
        <v>#N/A</v>
      </c>
      <c r="AC125" s="65" t="e">
        <f>VLOOKUP(A125,Enforcements!$C$7:$E$24,3,0)</f>
        <v>#N/A</v>
      </c>
      <c r="AD125" s="66" t="str">
        <f t="shared" si="36"/>
        <v>0211-08</v>
      </c>
      <c r="AE125" s="108" t="str">
        <f t="shared" si="37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125" s="105" t="str">
        <f t="shared" si="38"/>
        <v>"C:\Program Files (x86)\AstroGrep\AstroGrep.exe" /spath="%USERPROFILE%\AppData\Local\Temp\OnboardLogs" /stypes="*4011*20160809*" /stext=" 00:.+((SYSTEM_STATE.+slice.+state.+changed )|(ment ac)|(system.+state.+changed )|(\|lc)|(penalty)|(\[timeout)|(PRM\|1\|D)|(kpr)|(kdp))" /e /r /s</v>
      </c>
      <c r="AG125" s="1" t="str">
        <f t="shared" si="39"/>
        <v>EC</v>
      </c>
      <c r="AH125" s="109" t="str">
        <f t="shared" si="40"/>
        <v>"%USERPROFILE%\Documents\GitHub\eaglep3\Utilities\RefineRTDCRunTimes.py" --tripid 211-08 --locoid 4011 --swversion DE.1.0.7.0 --startMP 204:491 --initTime 2016-08-08T17:31:18 --startdatetime 2016-08-08T17:33:05 --delay 1 --endMP 204:233299 --enddatetime 2016-08-08T18:16:36 --enforcementcount 0</v>
      </c>
    </row>
    <row r="126" spans="1:34" x14ac:dyDescent="0.25">
      <c r="A126" s="25" t="s">
        <v>458</v>
      </c>
      <c r="B126" s="127">
        <v>4012</v>
      </c>
      <c r="C126" s="128" t="s">
        <v>141</v>
      </c>
      <c r="D126" s="128" t="s">
        <v>185</v>
      </c>
      <c r="E126" s="129">
        <v>42590.763865740744</v>
      </c>
      <c r="F126" s="129">
        <v>42590.765069444446</v>
      </c>
      <c r="G126" s="127">
        <v>1</v>
      </c>
      <c r="H126" s="129" t="s">
        <v>555</v>
      </c>
      <c r="I126" s="129">
        <v>42590.800636574073</v>
      </c>
      <c r="J126" s="127">
        <v>0</v>
      </c>
      <c r="K126" s="25" t="str">
        <f t="shared" si="28"/>
        <v>4011/4012</v>
      </c>
      <c r="L126" s="25" t="str">
        <f>VLOOKUP(A126,'Trips&amp;Operators'!$C$1:$E$10000,3,FALSE)</f>
        <v>YOUNG</v>
      </c>
      <c r="M126" s="6">
        <f t="shared" si="29"/>
        <v>3.5567129627452232E-2</v>
      </c>
      <c r="N126" s="7">
        <f t="shared" si="50"/>
        <v>51.216666663531214</v>
      </c>
      <c r="O126" s="7"/>
      <c r="P126" s="7"/>
      <c r="Q126" s="26"/>
      <c r="R126" s="26"/>
      <c r="S126" s="38">
        <f t="shared" si="43"/>
        <v>1</v>
      </c>
      <c r="T126" s="55" t="str">
        <f t="shared" si="30"/>
        <v>Southbound</v>
      </c>
      <c r="U126" s="14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17:19:58-0600',mode:absolute,to:'2016-08-08 20:12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26" s="57" t="str">
        <f t="shared" si="32"/>
        <v>N</v>
      </c>
      <c r="X126" s="136">
        <f t="shared" si="47"/>
        <v>1</v>
      </c>
      <c r="Y126" s="72">
        <f t="shared" si="48"/>
        <v>23.299199999999999</v>
      </c>
      <c r="Z126" s="72">
        <f t="shared" si="49"/>
        <v>1.2500000000000001E-2</v>
      </c>
      <c r="AA126" s="72">
        <f t="shared" si="35"/>
        <v>23.2867</v>
      </c>
      <c r="AB126" s="69" t="e">
        <f>VLOOKUP(A126,Enforcements!$C$7:$J$24,8,0)</f>
        <v>#N/A</v>
      </c>
      <c r="AC126" s="65" t="e">
        <f>VLOOKUP(A126,Enforcements!$C$7:$E$24,3,0)</f>
        <v>#N/A</v>
      </c>
      <c r="AD126" s="66" t="str">
        <f t="shared" si="36"/>
        <v>0212-08</v>
      </c>
      <c r="AE126" s="108" t="str">
        <f t="shared" si="37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126" s="105" t="str">
        <f t="shared" si="38"/>
        <v>"C:\Program Files (x86)\AstroGrep\AstroGrep.exe" /spath="%USERPROFILE%\AppData\Local\Temp\OnboardLogs" /stypes="*4012*20160809*" /stext=" 01:.+((SYSTEM_STATE.+slice.+state.+changed )|(ment ac)|(system.+state.+changed )|(\|lc)|(penalty)|(\[timeout)|(PRM\|1\|D)|(kpr)|(kdp))" /e /r /s</v>
      </c>
      <c r="AG126" s="1" t="str">
        <f t="shared" si="39"/>
        <v>EC</v>
      </c>
      <c r="AH126" s="109" t="str">
        <f t="shared" si="40"/>
        <v>"%USERPROFILE%\Documents\GitHub\eaglep3\Utilities\RefineRTDCRunTimes.py" --tripid 212-08 --locoid 4012 --swversion DE.1.0.7.0 --startMP 204:232992 --initTime 2016-08-08T18:19:58 --startdatetime 2016-08-08T18:21:42 --delay 1 --endMP 204:125 --enddatetime 2016-08-08T19:12:55 --enforcementcount 0</v>
      </c>
    </row>
    <row r="127" spans="1:34" x14ac:dyDescent="0.25">
      <c r="A127" s="25" t="s">
        <v>455</v>
      </c>
      <c r="B127" s="127">
        <v>4007</v>
      </c>
      <c r="C127" s="128" t="s">
        <v>141</v>
      </c>
      <c r="D127" s="128" t="s">
        <v>565</v>
      </c>
      <c r="E127" s="129">
        <v>42590.742893518516</v>
      </c>
      <c r="F127" s="129">
        <v>42590.744490740741</v>
      </c>
      <c r="G127" s="127">
        <v>2</v>
      </c>
      <c r="H127" s="129" t="s">
        <v>566</v>
      </c>
      <c r="I127" s="129">
        <v>42590.772349537037</v>
      </c>
      <c r="J127" s="127">
        <v>0</v>
      </c>
      <c r="K127" s="25" t="str">
        <f t="shared" si="28"/>
        <v>4007/4008</v>
      </c>
      <c r="L127" s="25" t="str">
        <f>VLOOKUP(A127,'Trips&amp;Operators'!$C$1:$E$10000,3,FALSE)</f>
        <v>NEWELL</v>
      </c>
      <c r="M127" s="6">
        <f t="shared" si="29"/>
        <v>2.7858796296641231E-2</v>
      </c>
      <c r="N127" s="7">
        <f t="shared" si="50"/>
        <v>40.116666667163372</v>
      </c>
      <c r="O127" s="7"/>
      <c r="P127" s="7"/>
      <c r="Q127" s="26"/>
      <c r="R127" s="26"/>
      <c r="S127" s="38">
        <f t="shared" si="43"/>
        <v>1</v>
      </c>
      <c r="T127" s="55" t="str">
        <f t="shared" si="30"/>
        <v>NorthBound</v>
      </c>
      <c r="U127" s="14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16:49:46-0600',mode:absolute,to:'2016-08-08 19:32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27" s="57" t="str">
        <f t="shared" si="32"/>
        <v>N</v>
      </c>
      <c r="X127" s="136">
        <f t="shared" si="47"/>
        <v>1</v>
      </c>
      <c r="Y127" s="72">
        <f t="shared" si="48"/>
        <v>4.3700000000000003E-2</v>
      </c>
      <c r="Z127" s="72">
        <f t="shared" si="49"/>
        <v>23.3323</v>
      </c>
      <c r="AA127" s="72">
        <f t="shared" si="35"/>
        <v>23.288599999999999</v>
      </c>
      <c r="AB127" s="69" t="e">
        <f>VLOOKUP(A127,Enforcements!$C$7:$J$24,8,0)</f>
        <v>#N/A</v>
      </c>
      <c r="AC127" s="65" t="e">
        <f>VLOOKUP(A127,Enforcements!$C$7:$E$24,3,0)</f>
        <v>#N/A</v>
      </c>
      <c r="AD127" s="66" t="str">
        <f t="shared" si="36"/>
        <v>0213-08</v>
      </c>
      <c r="AE127" s="108" t="str">
        <f t="shared" si="37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127" s="105" t="str">
        <f t="shared" si="38"/>
        <v>"C:\Program Files (x86)\AstroGrep\AstroGrep.exe" /spath="%USERPROFILE%\AppData\Local\Temp\OnboardLogs" /stypes="*4007*20160809*" /stext=" 00:.+((SYSTEM_STATE.+slice.+state.+changed )|(ment ac)|(system.+state.+changed )|(\|lc)|(penalty)|(\[timeout)|(PRM\|1\|D)|(kpr)|(kdp))" /e /r /s</v>
      </c>
      <c r="AG127" s="1" t="str">
        <f t="shared" si="39"/>
        <v>EC</v>
      </c>
      <c r="AH127" s="109" t="str">
        <f t="shared" si="40"/>
        <v>"%USERPROFILE%\Documents\GitHub\eaglep3\Utilities\RefineRTDCRunTimes.py" --tripid 213-08 --locoid 4007 --swversion DE.1.0.7.0 --startMP 204:437 --initTime 2016-08-08T17:49:46 --startdatetime 2016-08-08T17:52:04 --delay 2 --endMP 204:233323 --enddatetime 2016-08-08T18:32:11 --enforcementcount 0</v>
      </c>
    </row>
    <row r="128" spans="1:34" x14ac:dyDescent="0.25">
      <c r="A128" s="25" t="s">
        <v>321</v>
      </c>
      <c r="B128" s="127">
        <v>4008</v>
      </c>
      <c r="C128" s="128" t="s">
        <v>141</v>
      </c>
      <c r="D128" s="128" t="s">
        <v>200</v>
      </c>
      <c r="E128" s="129">
        <v>42590.774953703702</v>
      </c>
      <c r="F128" s="129">
        <v>42590.776261574072</v>
      </c>
      <c r="G128" s="127">
        <v>1</v>
      </c>
      <c r="H128" s="129" t="s">
        <v>98</v>
      </c>
      <c r="I128" s="129">
        <v>42590.809247685182</v>
      </c>
      <c r="J128" s="127">
        <v>1</v>
      </c>
      <c r="K128" s="25" t="str">
        <f t="shared" si="28"/>
        <v>4007/4008</v>
      </c>
      <c r="L128" s="25" t="str">
        <f>VLOOKUP(A128,'Trips&amp;Operators'!$C$1:$E$10000,3,FALSE)</f>
        <v>NEWELL</v>
      </c>
      <c r="M128" s="6">
        <f t="shared" si="29"/>
        <v>3.2986111109494232E-2</v>
      </c>
      <c r="N128" s="7">
        <f t="shared" si="50"/>
        <v>47.499999997671694</v>
      </c>
      <c r="O128" s="7"/>
      <c r="P128" s="7"/>
      <c r="Q128" s="26"/>
      <c r="R128" s="26"/>
      <c r="S128" s="38">
        <f t="shared" si="43"/>
        <v>1</v>
      </c>
      <c r="T128" s="55" t="str">
        <f t="shared" si="30"/>
        <v>Southbound</v>
      </c>
      <c r="U128" s="14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17:35:56-0600',mode:absolute,to:'2016-08-08 20:25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28" s="57" t="str">
        <f t="shared" si="32"/>
        <v>N</v>
      </c>
      <c r="X128" s="136">
        <f t="shared" si="47"/>
        <v>1</v>
      </c>
      <c r="Y128" s="72">
        <f t="shared" si="48"/>
        <v>23.299399999999999</v>
      </c>
      <c r="Z128" s="72">
        <f t="shared" si="49"/>
        <v>1.43E-2</v>
      </c>
      <c r="AA128" s="72">
        <f t="shared" si="35"/>
        <v>23.2851</v>
      </c>
      <c r="AB128" s="69" t="e">
        <f>VLOOKUP(A128,Enforcements!$C$7:$J$24,8,0)</f>
        <v>#N/A</v>
      </c>
      <c r="AC128" s="65" t="e">
        <f>VLOOKUP(A128,Enforcements!$C$7:$E$24,3,0)</f>
        <v>#N/A</v>
      </c>
      <c r="AD128" s="66" t="str">
        <f t="shared" si="36"/>
        <v>0214-08</v>
      </c>
      <c r="AE128" s="108" t="str">
        <f t="shared" si="37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128" s="105" t="str">
        <f t="shared" si="38"/>
        <v>"C:\Program Files (x86)\AstroGrep\AstroGrep.exe" /spath="%USERPROFILE%\AppData\Local\Temp\OnboardLogs" /stypes="*4008*20160809*" /stext=" 01:.+((SYSTEM_STATE.+slice.+state.+changed )|(ment ac)|(system.+state.+changed )|(\|lc)|(penalty)|(\[timeout)|(PRM\|1\|D)|(kpr)|(kdp))" /e /r /s</v>
      </c>
      <c r="AG128" s="1" t="str">
        <f t="shared" si="39"/>
        <v>EC</v>
      </c>
      <c r="AH128" s="109" t="str">
        <f t="shared" si="40"/>
        <v>"%USERPROFILE%\Documents\GitHub\eaglep3\Utilities\RefineRTDCRunTimes.py" --tripid 214-08 --locoid 4008 --swversion DE.1.0.7.0 --startMP 204:232994 --initTime 2016-08-08T18:35:56 --startdatetime 2016-08-08T18:37:49 --delay 1 --endMP 204:143 --enddatetime 2016-08-08T19:25:19 --enforcementcount 1</v>
      </c>
    </row>
    <row r="129" spans="1:34" x14ac:dyDescent="0.25">
      <c r="A129" s="25" t="s">
        <v>316</v>
      </c>
      <c r="B129" s="127">
        <v>4014</v>
      </c>
      <c r="C129" s="128" t="s">
        <v>141</v>
      </c>
      <c r="D129" s="128" t="s">
        <v>131</v>
      </c>
      <c r="E129" s="129">
        <v>42590.753148148149</v>
      </c>
      <c r="F129" s="129">
        <v>42590.754791666666</v>
      </c>
      <c r="G129" s="127">
        <v>2</v>
      </c>
      <c r="H129" s="129" t="s">
        <v>567</v>
      </c>
      <c r="I129" s="129">
        <v>42590.783958333333</v>
      </c>
      <c r="J129" s="127">
        <v>1</v>
      </c>
      <c r="K129" s="25" t="str">
        <f t="shared" si="28"/>
        <v>4013/4014</v>
      </c>
      <c r="L129" s="25" t="str">
        <f>VLOOKUP(A129,'Trips&amp;Operators'!$C$1:$E$10000,3,FALSE)</f>
        <v>SHOOK</v>
      </c>
      <c r="M129" s="6">
        <f t="shared" si="29"/>
        <v>2.9166666667151731E-2</v>
      </c>
      <c r="N129" s="7">
        <f t="shared" si="50"/>
        <v>42.000000000698492</v>
      </c>
      <c r="O129" s="7"/>
      <c r="P129" s="7"/>
      <c r="Q129" s="26"/>
      <c r="R129" s="26"/>
      <c r="S129" s="38">
        <f t="shared" ref="S129:S160" si="51">SUM(U129:U129)/IF(AG129="EC",12,1)</f>
        <v>1</v>
      </c>
      <c r="T129" s="55" t="str">
        <f t="shared" si="30"/>
        <v>NorthBound</v>
      </c>
      <c r="U129" s="14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17:04:32-0600',mode:absolute,to:'2016-08-08 19:48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29" s="57" t="str">
        <f t="shared" si="32"/>
        <v>N</v>
      </c>
      <c r="X129" s="136">
        <f t="shared" si="47"/>
        <v>1</v>
      </c>
      <c r="Y129" s="72">
        <f t="shared" si="48"/>
        <v>4.6399999999999997E-2</v>
      </c>
      <c r="Z129" s="72">
        <f t="shared" si="49"/>
        <v>23.335100000000001</v>
      </c>
      <c r="AA129" s="72">
        <f t="shared" si="35"/>
        <v>23.288700000000002</v>
      </c>
      <c r="AB129" s="69">
        <f>VLOOKUP(A129,Enforcements!$C$7:$J$24,8,0)</f>
        <v>17867</v>
      </c>
      <c r="AC129" s="65" t="str">
        <f>VLOOKUP(A129,Enforcements!$C$7:$E$24,3,0)</f>
        <v>PERMANENT SPEED RESTRICTION</v>
      </c>
      <c r="AD129" s="66" t="str">
        <f t="shared" si="36"/>
        <v>0215-08</v>
      </c>
      <c r="AE129" s="108" t="str">
        <f t="shared" si="37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129" s="105" t="str">
        <f t="shared" si="38"/>
        <v>"C:\Program Files (x86)\AstroGrep\AstroGrep.exe" /spath="%USERPROFILE%\AppData\Local\Temp\OnboardLogs" /stypes="*4014*20160809*" /stext=" 00:.+((SYSTEM_STATE.+slice.+state.+changed )|(ment ac)|(system.+state.+changed )|(\|lc)|(penalty)|(\[timeout)|(PRM\|1\|D)|(kpr)|(kdp))" /e /r /s</v>
      </c>
      <c r="AG129" s="1" t="str">
        <f t="shared" si="39"/>
        <v>EC</v>
      </c>
      <c r="AH129" s="109" t="str">
        <f t="shared" si="40"/>
        <v>"%USERPROFILE%\Documents\GitHub\eaglep3\Utilities\RefineRTDCRunTimes.py" --tripid 215-08 --locoid 4014 --swversion DE.1.0.7.0 --startMP 204:464 --initTime 2016-08-08T18:04:32 --startdatetime 2016-08-08T18:06:54 --delay 2 --endMP 204:233351 --enddatetime 2016-08-08T18:48:54 --enforcementcount 1</v>
      </c>
    </row>
    <row r="130" spans="1:34" x14ac:dyDescent="0.25">
      <c r="A130" s="25" t="s">
        <v>323</v>
      </c>
      <c r="B130" s="127">
        <v>4013</v>
      </c>
      <c r="C130" s="128" t="s">
        <v>141</v>
      </c>
      <c r="D130" s="128" t="s">
        <v>568</v>
      </c>
      <c r="E130" s="129">
        <v>42590.787754629629</v>
      </c>
      <c r="F130" s="129">
        <v>42590.788634259261</v>
      </c>
      <c r="G130" s="127">
        <v>1</v>
      </c>
      <c r="H130" s="129" t="s">
        <v>231</v>
      </c>
      <c r="I130" s="129">
        <v>42590.81832175926</v>
      </c>
      <c r="J130" s="127">
        <v>1</v>
      </c>
      <c r="K130" s="25" t="str">
        <f t="shared" si="28"/>
        <v>4013/4014</v>
      </c>
      <c r="L130" s="25" t="str">
        <f>VLOOKUP(A130,'Trips&amp;Operators'!$C$1:$E$10000,3,FALSE)</f>
        <v>SHOOK</v>
      </c>
      <c r="M130" s="6">
        <f t="shared" si="29"/>
        <v>2.9687499998544808E-2</v>
      </c>
      <c r="N130" s="7">
        <f t="shared" si="50"/>
        <v>42.749999997904524</v>
      </c>
      <c r="O130" s="7"/>
      <c r="P130" s="7"/>
      <c r="Q130" s="26"/>
      <c r="R130" s="26"/>
      <c r="S130" s="38">
        <f t="shared" si="51"/>
        <v>1</v>
      </c>
      <c r="T130" s="55" t="str">
        <f t="shared" si="30"/>
        <v>Southbound</v>
      </c>
      <c r="U130" s="14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17:54:22-0600',mode:absolute,to:'2016-08-08 20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30" s="57" t="str">
        <f t="shared" si="32"/>
        <v>N</v>
      </c>
      <c r="X130" s="136">
        <f t="shared" si="47"/>
        <v>1</v>
      </c>
      <c r="Y130" s="72">
        <f t="shared" si="48"/>
        <v>23.3047</v>
      </c>
      <c r="Z130" s="72">
        <f t="shared" si="49"/>
        <v>1.34E-2</v>
      </c>
      <c r="AA130" s="72">
        <f t="shared" si="35"/>
        <v>23.2913</v>
      </c>
      <c r="AB130" s="69" t="e">
        <f>VLOOKUP(A130,Enforcements!$C$7:$J$24,8,0)</f>
        <v>#N/A</v>
      </c>
      <c r="AC130" s="65" t="e">
        <f>VLOOKUP(A130,Enforcements!$C$7:$E$24,3,0)</f>
        <v>#N/A</v>
      </c>
      <c r="AD130" s="66" t="str">
        <f t="shared" si="36"/>
        <v>0216-08</v>
      </c>
      <c r="AE130" s="108" t="str">
        <f t="shared" si="37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130" s="105" t="str">
        <f t="shared" si="38"/>
        <v>"C:\Program Files (x86)\AstroGrep\AstroGrep.exe" /spath="%USERPROFILE%\AppData\Local\Temp\OnboardLogs" /stypes="*4013*20160809*" /stext=" 01:.+((SYSTEM_STATE.+slice.+state.+changed )|(ment ac)|(system.+state.+changed )|(\|lc)|(penalty)|(\[timeout)|(PRM\|1\|D)|(kpr)|(kdp))" /e /r /s</v>
      </c>
      <c r="AG130" s="1" t="str">
        <f t="shared" si="39"/>
        <v>EC</v>
      </c>
      <c r="AH130" s="109" t="str">
        <f t="shared" si="40"/>
        <v>"%USERPROFILE%\Documents\GitHub\eaglep3\Utilities\RefineRTDCRunTimes.py" --tripid 216-08 --locoid 4013 --swversion DE.1.0.7.0 --startMP 204:233047 --initTime 2016-08-08T18:54:22 --startdatetime 2016-08-08T18:55:38 --delay 1 --endMP 204:134 --enddatetime 2016-08-08T19:38:23 --enforcementcount 1</v>
      </c>
    </row>
    <row r="131" spans="1:34" x14ac:dyDescent="0.25">
      <c r="A131" s="25" t="s">
        <v>453</v>
      </c>
      <c r="B131" s="127">
        <v>4020</v>
      </c>
      <c r="C131" s="128" t="s">
        <v>141</v>
      </c>
      <c r="D131" s="128" t="s">
        <v>132</v>
      </c>
      <c r="E131" s="129">
        <v>42590.760567129626</v>
      </c>
      <c r="F131" s="129">
        <v>42590.761689814812</v>
      </c>
      <c r="G131" s="127">
        <v>1</v>
      </c>
      <c r="H131" s="129" t="s">
        <v>239</v>
      </c>
      <c r="I131" s="129">
        <v>42590.788946759261</v>
      </c>
      <c r="J131" s="127">
        <v>0</v>
      </c>
      <c r="K131" s="25" t="str">
        <f t="shared" si="28"/>
        <v>4019/4020</v>
      </c>
      <c r="L131" s="25" t="str">
        <f>VLOOKUP(A131,'Trips&amp;Operators'!$C$1:$E$10000,3,FALSE)</f>
        <v>CHANDLER</v>
      </c>
      <c r="M131" s="6">
        <f t="shared" si="29"/>
        <v>2.7256944449618459E-2</v>
      </c>
      <c r="N131" s="7">
        <f t="shared" si="50"/>
        <v>39.250000007450581</v>
      </c>
      <c r="O131" s="7"/>
      <c r="P131" s="7"/>
      <c r="Q131" s="26"/>
      <c r="R131" s="26"/>
      <c r="S131" s="38">
        <f t="shared" si="51"/>
        <v>1</v>
      </c>
      <c r="T131" s="55" t="str">
        <f t="shared" si="30"/>
        <v>NorthBound</v>
      </c>
      <c r="U131" s="14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17:15:13-0600',mode:absolute,to:'2016-08-08 19:56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31" s="57" t="str">
        <f t="shared" si="32"/>
        <v>N</v>
      </c>
      <c r="X131" s="136">
        <f t="shared" ref="X131:X162" si="52">VALUE(LEFT(AD131,4))-VALUE(LEFT(AD130,4))</f>
        <v>1</v>
      </c>
      <c r="Y131" s="72">
        <f t="shared" ref="Y131:Y162" si="53">RIGHT(D131,LEN(D131)-4)/10000</f>
        <v>4.6199999999999998E-2</v>
      </c>
      <c r="Z131" s="72">
        <f t="shared" ref="Z131:Z162" si="54">RIGHT(H131,LEN(H131)-4)/10000</f>
        <v>23.330300000000001</v>
      </c>
      <c r="AA131" s="72">
        <f t="shared" si="35"/>
        <v>23.284100000000002</v>
      </c>
      <c r="AB131" s="69" t="e">
        <f>VLOOKUP(A131,Enforcements!$C$7:$J$24,8,0)</f>
        <v>#N/A</v>
      </c>
      <c r="AC131" s="65" t="e">
        <f>VLOOKUP(A131,Enforcements!$C$7:$E$24,3,0)</f>
        <v>#N/A</v>
      </c>
      <c r="AD131" s="66" t="str">
        <f t="shared" si="36"/>
        <v>0217-08</v>
      </c>
      <c r="AE131" s="108" t="str">
        <f t="shared" si="37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131" s="105" t="str">
        <f t="shared" si="38"/>
        <v>"C:\Program Files (x86)\AstroGrep\AstroGrep.exe" /spath="%USERPROFILE%\AppData\Local\Temp\OnboardLogs" /stypes="*4020*20160809*" /stext=" 00:.+((SYSTEM_STATE.+slice.+state.+changed )|(ment ac)|(system.+state.+changed )|(\|lc)|(penalty)|(\[timeout)|(PRM\|1\|D)|(kpr)|(kdp))" /e /r /s</v>
      </c>
      <c r="AG131" s="1" t="str">
        <f t="shared" si="39"/>
        <v>EC</v>
      </c>
      <c r="AH131" s="109" t="str">
        <f t="shared" si="40"/>
        <v>"%USERPROFILE%\Documents\GitHub\eaglep3\Utilities\RefineRTDCRunTimes.py" --tripid 217-08 --locoid 4020 --swversion DE.1.0.7.0 --startMP 204:462 --initTime 2016-08-08T18:15:13 --startdatetime 2016-08-08T18:16:50 --delay 1 --endMP 204:233303 --enddatetime 2016-08-08T18:56:05 --enforcementcount 0</v>
      </c>
    </row>
    <row r="132" spans="1:34" x14ac:dyDescent="0.25">
      <c r="A132" s="25" t="s">
        <v>324</v>
      </c>
      <c r="B132" s="127">
        <v>4019</v>
      </c>
      <c r="C132" s="128" t="s">
        <v>141</v>
      </c>
      <c r="D132" s="128" t="s">
        <v>515</v>
      </c>
      <c r="E132" s="129">
        <v>42590.796851851854</v>
      </c>
      <c r="F132" s="129">
        <v>42590.797939814816</v>
      </c>
      <c r="G132" s="127">
        <v>1</v>
      </c>
      <c r="H132" s="129" t="s">
        <v>533</v>
      </c>
      <c r="I132" s="129">
        <v>42590.835162037038</v>
      </c>
      <c r="J132" s="127">
        <v>1</v>
      </c>
      <c r="K132" s="25" t="str">
        <f t="shared" si="28"/>
        <v>4019/4020</v>
      </c>
      <c r="L132" s="25" t="str">
        <f>VLOOKUP(A132,'Trips&amp;Operators'!$C$1:$E$10000,3,FALSE)</f>
        <v>CHANDLER</v>
      </c>
      <c r="M132" s="6">
        <f t="shared" si="29"/>
        <v>3.722222222131677E-2</v>
      </c>
      <c r="N132" s="7">
        <f t="shared" si="50"/>
        <v>53.599999998696148</v>
      </c>
      <c r="O132" s="7"/>
      <c r="P132" s="7"/>
      <c r="Q132" s="26"/>
      <c r="R132" s="26"/>
      <c r="S132" s="38">
        <f t="shared" si="51"/>
        <v>1</v>
      </c>
      <c r="T132" s="55" t="str">
        <f t="shared" si="30"/>
        <v>Southbound</v>
      </c>
      <c r="U132" s="14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18:07:28-0600',mode:absolute,to:'2016-08-08 21:02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32" s="57" t="str">
        <f t="shared" si="32"/>
        <v>N</v>
      </c>
      <c r="X132" s="136">
        <f t="shared" si="52"/>
        <v>1</v>
      </c>
      <c r="Y132" s="72">
        <f t="shared" si="53"/>
        <v>23.296099999999999</v>
      </c>
      <c r="Z132" s="72">
        <f t="shared" si="54"/>
        <v>1.6899999999999998E-2</v>
      </c>
      <c r="AA132" s="72">
        <f t="shared" si="35"/>
        <v>23.279199999999999</v>
      </c>
      <c r="AB132" s="69" t="e">
        <f>VLOOKUP(A132,Enforcements!$C$7:$J$24,8,0)</f>
        <v>#N/A</v>
      </c>
      <c r="AC132" s="65" t="e">
        <f>VLOOKUP(A132,Enforcements!$C$7:$E$24,3,0)</f>
        <v>#N/A</v>
      </c>
      <c r="AD132" s="66" t="str">
        <f t="shared" si="36"/>
        <v>0218-08</v>
      </c>
      <c r="AE132" s="108" t="str">
        <f t="shared" si="37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132" s="105" t="str">
        <f t="shared" si="38"/>
        <v>"C:\Program Files (x86)\AstroGrep\AstroGrep.exe" /spath="%USERPROFILE%\AppData\Local\Temp\OnboardLogs" /stypes="*4019*20160809*" /stext=" 02:.+((SYSTEM_STATE.+slice.+state.+changed )|(ment ac)|(system.+state.+changed )|(\|lc)|(penalty)|(\[timeout)|(PRM\|1\|D)|(kpr)|(kdp))" /e /r /s</v>
      </c>
      <c r="AG132" s="1" t="str">
        <f t="shared" si="39"/>
        <v>EC</v>
      </c>
      <c r="AH132" s="109" t="str">
        <f t="shared" si="40"/>
        <v>"%USERPROFILE%\Documents\GitHub\eaglep3\Utilities\RefineRTDCRunTimes.py" --tripid 218-08 --locoid 4019 --swversion DE.1.0.7.0 --startMP 204:232961 --initTime 2016-08-08T19:07:28 --startdatetime 2016-08-08T19:09:02 --delay 1 --endMP 204:169 --enddatetime 2016-08-08T20:02:38 --enforcementcount 1</v>
      </c>
    </row>
    <row r="133" spans="1:34" x14ac:dyDescent="0.25">
      <c r="A133" s="25" t="s">
        <v>320</v>
      </c>
      <c r="B133" s="127">
        <v>4027</v>
      </c>
      <c r="C133" s="128" t="s">
        <v>141</v>
      </c>
      <c r="D133" s="128" t="s">
        <v>212</v>
      </c>
      <c r="E133" s="129">
        <v>42590.773043981484</v>
      </c>
      <c r="F133" s="129">
        <v>42590.774016203701</v>
      </c>
      <c r="G133" s="127">
        <v>1</v>
      </c>
      <c r="H133" s="129" t="s">
        <v>198</v>
      </c>
      <c r="I133" s="129">
        <v>42590.803541666668</v>
      </c>
      <c r="J133" s="127">
        <v>1</v>
      </c>
      <c r="K133" s="25" t="str">
        <f t="shared" si="28"/>
        <v>4027/4028</v>
      </c>
      <c r="L133" s="25" t="str">
        <f>VLOOKUP(A133,'Trips&amp;Operators'!$C$1:$E$10000,3,FALSE)</f>
        <v>STORY</v>
      </c>
      <c r="M133" s="6">
        <f t="shared" si="29"/>
        <v>2.9525462967285421E-2</v>
      </c>
      <c r="N133" s="7">
        <f t="shared" si="50"/>
        <v>42.516666672891006</v>
      </c>
      <c r="O133" s="7"/>
      <c r="P133" s="7"/>
      <c r="Q133" s="26"/>
      <c r="R133" s="26"/>
      <c r="S133" s="38">
        <f t="shared" si="51"/>
        <v>1</v>
      </c>
      <c r="T133" s="55" t="str">
        <f t="shared" si="30"/>
        <v>NorthBound</v>
      </c>
      <c r="U133" s="14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17:33:11-0600',mode:absolute,to:'2016-08-08 20:17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33" s="57" t="str">
        <f t="shared" si="32"/>
        <v>N</v>
      </c>
      <c r="X133" s="136">
        <f t="shared" si="52"/>
        <v>1</v>
      </c>
      <c r="Y133" s="72">
        <f t="shared" si="53"/>
        <v>4.3999999999999997E-2</v>
      </c>
      <c r="Z133" s="72">
        <f t="shared" si="54"/>
        <v>23.328900000000001</v>
      </c>
      <c r="AA133" s="72">
        <f t="shared" si="35"/>
        <v>23.2849</v>
      </c>
      <c r="AB133" s="69">
        <f>VLOOKUP(A133,Enforcements!$C$7:$J$24,8,0)</f>
        <v>27333</v>
      </c>
      <c r="AC133" s="65" t="str">
        <f>VLOOKUP(A133,Enforcements!$C$7:$E$24,3,0)</f>
        <v>PERMANENT SPEED RESTRICTION</v>
      </c>
      <c r="AD133" s="66" t="str">
        <f t="shared" si="36"/>
        <v>0219-08</v>
      </c>
      <c r="AE133" s="108" t="str">
        <f t="shared" si="37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133" s="105" t="str">
        <f t="shared" si="38"/>
        <v>"C:\Program Files (x86)\AstroGrep\AstroGrep.exe" /spath="%USERPROFILE%\AppData\Local\Temp\OnboardLogs" /stypes="*4027*20160809*" /stext=" 01:.+((SYSTEM_STATE.+slice.+state.+changed )|(ment ac)|(system.+state.+changed )|(\|lc)|(penalty)|(\[timeout)|(PRM\|1\|D)|(kpr)|(kdp))" /e /r /s</v>
      </c>
      <c r="AG133" s="1" t="str">
        <f t="shared" si="39"/>
        <v>EC</v>
      </c>
      <c r="AH133" s="109" t="str">
        <f t="shared" si="40"/>
        <v>"%USERPROFILE%\Documents\GitHub\eaglep3\Utilities\RefineRTDCRunTimes.py" --tripid 219-08 --locoid 4027 --swversion DE.1.0.7.0 --startMP 204:440 --initTime 2016-08-08T18:33:11 --startdatetime 2016-08-08T18:34:35 --delay 1 --endMP 204:233289 --enddatetime 2016-08-08T19:17:06 --enforcementcount 1</v>
      </c>
    </row>
    <row r="134" spans="1:34" x14ac:dyDescent="0.25">
      <c r="A134" s="25" t="s">
        <v>464</v>
      </c>
      <c r="B134" s="127">
        <v>4028</v>
      </c>
      <c r="C134" s="128" t="s">
        <v>141</v>
      </c>
      <c r="D134" s="128" t="s">
        <v>214</v>
      </c>
      <c r="E134" s="129">
        <v>42590.80537037037</v>
      </c>
      <c r="F134" s="129">
        <v>42590.806481481479</v>
      </c>
      <c r="G134" s="127">
        <v>1</v>
      </c>
      <c r="H134" s="129" t="s">
        <v>107</v>
      </c>
      <c r="I134" s="129">
        <v>42590.842002314814</v>
      </c>
      <c r="J134" s="127">
        <v>0</v>
      </c>
      <c r="K134" s="25" t="str">
        <f t="shared" si="28"/>
        <v>4027/4028</v>
      </c>
      <c r="L134" s="25" t="str">
        <f>VLOOKUP(A134,'Trips&amp;Operators'!$C$1:$E$10000,3,FALSE)</f>
        <v>STORY</v>
      </c>
      <c r="M134" s="6">
        <f t="shared" si="29"/>
        <v>3.5520833334885538E-2</v>
      </c>
      <c r="N134" s="7">
        <f t="shared" si="50"/>
        <v>51.150000002235174</v>
      </c>
      <c r="O134" s="7"/>
      <c r="P134" s="7"/>
      <c r="Q134" s="26"/>
      <c r="R134" s="26"/>
      <c r="S134" s="38">
        <f t="shared" si="51"/>
        <v>1</v>
      </c>
      <c r="T134" s="55" t="str">
        <f t="shared" si="30"/>
        <v>Southbound</v>
      </c>
      <c r="U134" s="14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18:19:44-0600',mode:absolute,to:'2016-08-08 21:12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34" s="57" t="str">
        <f t="shared" si="32"/>
        <v>N</v>
      </c>
      <c r="X134" s="136">
        <f t="shared" si="52"/>
        <v>1</v>
      </c>
      <c r="Y134" s="72">
        <f t="shared" si="53"/>
        <v>23.297599999999999</v>
      </c>
      <c r="Z134" s="72">
        <f t="shared" si="54"/>
        <v>1.5599999999999999E-2</v>
      </c>
      <c r="AA134" s="72">
        <f t="shared" si="35"/>
        <v>23.282</v>
      </c>
      <c r="AB134" s="69" t="e">
        <f>VLOOKUP(A134,Enforcements!$C$7:$J$24,8,0)</f>
        <v>#N/A</v>
      </c>
      <c r="AC134" s="65" t="e">
        <f>VLOOKUP(A134,Enforcements!$C$7:$E$24,3,0)</f>
        <v>#N/A</v>
      </c>
      <c r="AD134" s="66" t="str">
        <f t="shared" si="36"/>
        <v>0220-08</v>
      </c>
      <c r="AE134" s="108" t="str">
        <f t="shared" si="37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134" s="105" t="str">
        <f t="shared" si="38"/>
        <v>"C:\Program Files (x86)\AstroGrep\AstroGrep.exe" /spath="%USERPROFILE%\AppData\Local\Temp\OnboardLogs" /stypes="*4028*20160809*" /stext=" 02:.+((SYSTEM_STATE.+slice.+state.+changed )|(ment ac)|(system.+state.+changed )|(\|lc)|(penalty)|(\[timeout)|(PRM\|1\|D)|(kpr)|(kdp))" /e /r /s</v>
      </c>
      <c r="AG134" s="1" t="str">
        <f t="shared" si="39"/>
        <v>EC</v>
      </c>
      <c r="AH134" s="109" t="str">
        <f t="shared" si="40"/>
        <v>"%USERPROFILE%\Documents\GitHub\eaglep3\Utilities\RefineRTDCRunTimes.py" --tripid 220-08 --locoid 4028 --swversion DE.1.0.7.0 --startMP 204:232976 --initTime 2016-08-08T19:19:44 --startdatetime 2016-08-08T19:21:20 --delay 1 --endMP 204:156 --enddatetime 2016-08-08T20:12:29 --enforcementcount 0</v>
      </c>
    </row>
    <row r="135" spans="1:34" x14ac:dyDescent="0.25">
      <c r="A135" s="25" t="s">
        <v>460</v>
      </c>
      <c r="B135" s="127">
        <v>4029</v>
      </c>
      <c r="C135" s="128" t="s">
        <v>141</v>
      </c>
      <c r="D135" s="128" t="s">
        <v>131</v>
      </c>
      <c r="E135" s="129">
        <v>42590.787858796299</v>
      </c>
      <c r="F135" s="129">
        <v>42590.788900462961</v>
      </c>
      <c r="G135" s="127">
        <v>1</v>
      </c>
      <c r="H135" s="129" t="s">
        <v>218</v>
      </c>
      <c r="I135" s="129">
        <v>42590.822233796294</v>
      </c>
      <c r="J135" s="127">
        <v>0</v>
      </c>
      <c r="K135" s="25" t="str">
        <f t="shared" si="28"/>
        <v>4029/4030</v>
      </c>
      <c r="L135" s="25" t="str">
        <f>VLOOKUP(A135,'Trips&amp;Operators'!$C$1:$E$10000,3,FALSE)</f>
        <v>ISHMAEL</v>
      </c>
      <c r="M135" s="6">
        <f t="shared" si="29"/>
        <v>3.3333333332848269E-2</v>
      </c>
      <c r="N135" s="7">
        <f t="shared" si="50"/>
        <v>47.999999999301508</v>
      </c>
      <c r="O135" s="7"/>
      <c r="P135" s="7"/>
      <c r="Q135" s="26"/>
      <c r="R135" s="26"/>
      <c r="S135" s="38">
        <f t="shared" si="51"/>
        <v>1</v>
      </c>
      <c r="T135" s="55" t="str">
        <f t="shared" si="30"/>
        <v>NorthBound</v>
      </c>
      <c r="U135" s="14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17:54:31-0600',mode:absolute,to:'2016-08-08 20:44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35" s="57" t="str">
        <f t="shared" si="32"/>
        <v>N</v>
      </c>
      <c r="X135" s="136">
        <f t="shared" si="52"/>
        <v>1</v>
      </c>
      <c r="Y135" s="72">
        <f t="shared" si="53"/>
        <v>4.6399999999999997E-2</v>
      </c>
      <c r="Z135" s="72">
        <f t="shared" si="54"/>
        <v>23.330400000000001</v>
      </c>
      <c r="AA135" s="72">
        <f t="shared" si="35"/>
        <v>23.284000000000002</v>
      </c>
      <c r="AB135" s="69" t="e">
        <f>VLOOKUP(A135,Enforcements!$C$7:$J$24,8,0)</f>
        <v>#N/A</v>
      </c>
      <c r="AC135" s="65" t="e">
        <f>VLOOKUP(A135,Enforcements!$C$7:$E$24,3,0)</f>
        <v>#N/A</v>
      </c>
      <c r="AD135" s="66" t="str">
        <f t="shared" si="36"/>
        <v>0221-08</v>
      </c>
      <c r="AE135" s="108" t="str">
        <f t="shared" si="37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135" s="105" t="str">
        <f t="shared" si="38"/>
        <v>"C:\Program Files (x86)\AstroGrep\AstroGrep.exe" /spath="%USERPROFILE%\AppData\Local\Temp\OnboardLogs" /stypes="*4029*20160809*" /stext=" 01:.+((SYSTEM_STATE.+slice.+state.+changed )|(ment ac)|(system.+state.+changed )|(\|lc)|(penalty)|(\[timeout)|(PRM\|1\|D)|(kpr)|(kdp))" /e /r /s</v>
      </c>
      <c r="AG135" s="1" t="str">
        <f t="shared" si="39"/>
        <v>EC</v>
      </c>
      <c r="AH135" s="109" t="str">
        <f t="shared" si="40"/>
        <v>"%USERPROFILE%\Documents\GitHub\eaglep3\Utilities\RefineRTDCRunTimes.py" --tripid 221-08 --locoid 4029 --swversion DE.1.0.7.0 --startMP 204:464 --initTime 2016-08-08T18:54:31 --startdatetime 2016-08-08T18:56:01 --delay 1 --endMP 204:233304 --enddatetime 2016-08-08T19:44:01 --enforcementcount 0</v>
      </c>
    </row>
    <row r="136" spans="1:34" x14ac:dyDescent="0.25">
      <c r="A136" s="25" t="s">
        <v>467</v>
      </c>
      <c r="B136" s="127">
        <v>4030</v>
      </c>
      <c r="C136" s="128" t="s">
        <v>141</v>
      </c>
      <c r="D136" s="128" t="s">
        <v>200</v>
      </c>
      <c r="E136" s="129">
        <v>42590.824861111112</v>
      </c>
      <c r="F136" s="129">
        <v>42590.825787037036</v>
      </c>
      <c r="G136" s="127">
        <v>1</v>
      </c>
      <c r="H136" s="129" t="s">
        <v>533</v>
      </c>
      <c r="I136" s="129">
        <v>42590.859375</v>
      </c>
      <c r="J136" s="127">
        <v>0</v>
      </c>
      <c r="K136" s="25" t="str">
        <f t="shared" si="28"/>
        <v>4029/4030</v>
      </c>
      <c r="L136" s="25" t="str">
        <f>VLOOKUP(A136,'Trips&amp;Operators'!$C$1:$E$10000,3,FALSE)</f>
        <v>ISHMAEL</v>
      </c>
      <c r="M136" s="6">
        <f t="shared" si="29"/>
        <v>3.3587962963792961E-2</v>
      </c>
      <c r="N136" s="7">
        <f t="shared" si="50"/>
        <v>48.366666667861864</v>
      </c>
      <c r="O136" s="7"/>
      <c r="P136" s="7"/>
      <c r="Q136" s="26"/>
      <c r="R136" s="26"/>
      <c r="S136" s="38">
        <f t="shared" si="51"/>
        <v>1</v>
      </c>
      <c r="T136" s="55" t="str">
        <f t="shared" si="30"/>
        <v>Southbound</v>
      </c>
      <c r="U136" s="14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18:47:48-0600',mode:absolute,to:'2016-08-08 21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36" s="57" t="str">
        <f t="shared" si="32"/>
        <v>N</v>
      </c>
      <c r="X136" s="136">
        <f t="shared" si="52"/>
        <v>1</v>
      </c>
      <c r="Y136" s="72">
        <f t="shared" si="53"/>
        <v>23.299399999999999</v>
      </c>
      <c r="Z136" s="72">
        <f t="shared" si="54"/>
        <v>1.6899999999999998E-2</v>
      </c>
      <c r="AA136" s="72">
        <f t="shared" si="35"/>
        <v>23.282499999999999</v>
      </c>
      <c r="AB136" s="69" t="e">
        <f>VLOOKUP(A136,Enforcements!$C$7:$J$24,8,0)</f>
        <v>#N/A</v>
      </c>
      <c r="AC136" s="65" t="e">
        <f>VLOOKUP(A136,Enforcements!$C$7:$E$24,3,0)</f>
        <v>#N/A</v>
      </c>
      <c r="AD136" s="66" t="str">
        <f t="shared" si="36"/>
        <v>0222-08</v>
      </c>
      <c r="AE136" s="108" t="str">
        <f t="shared" si="37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136" s="105" t="str">
        <f t="shared" si="38"/>
        <v>"C:\Program Files (x86)\AstroGrep\AstroGrep.exe" /spath="%USERPROFILE%\AppData\Local\Temp\OnboardLogs" /stypes="*4030*20160809*" /stext=" 02:.+((SYSTEM_STATE.+slice.+state.+changed )|(ment ac)|(system.+state.+changed )|(\|lc)|(penalty)|(\[timeout)|(PRM\|1\|D)|(kpr)|(kdp))" /e /r /s</v>
      </c>
      <c r="AG136" s="1" t="str">
        <f t="shared" si="39"/>
        <v>EC</v>
      </c>
      <c r="AH136" s="109" t="str">
        <f t="shared" si="40"/>
        <v>"%USERPROFILE%\Documents\GitHub\eaglep3\Utilities\RefineRTDCRunTimes.py" --tripid 222-08 --locoid 4030 --swversion DE.1.0.7.0 --startMP 204:232994 --initTime 2016-08-08T19:47:48 --startdatetime 2016-08-08T19:49:08 --delay 1 --endMP 204:169 --enddatetime 2016-08-08T20:37:30 --enforcementcount 0</v>
      </c>
    </row>
    <row r="137" spans="1:34" x14ac:dyDescent="0.25">
      <c r="A137" s="25" t="s">
        <v>465</v>
      </c>
      <c r="B137" s="127">
        <v>4007</v>
      </c>
      <c r="C137" s="128" t="s">
        <v>141</v>
      </c>
      <c r="D137" s="128" t="s">
        <v>268</v>
      </c>
      <c r="E137" s="129">
        <v>42590.810636574075</v>
      </c>
      <c r="F137" s="129">
        <v>42590.811759259261</v>
      </c>
      <c r="G137" s="127">
        <v>1</v>
      </c>
      <c r="H137" s="129" t="s">
        <v>522</v>
      </c>
      <c r="I137" s="129">
        <v>42590.838680555556</v>
      </c>
      <c r="J137" s="127">
        <v>0</v>
      </c>
      <c r="K137" s="25" t="str">
        <f t="shared" si="28"/>
        <v>4007/4008</v>
      </c>
      <c r="L137" s="25" t="str">
        <f>VLOOKUP(A137,'Trips&amp;Operators'!$C$1:$E$10000,3,FALSE)</f>
        <v>NEWELL</v>
      </c>
      <c r="M137" s="6">
        <f t="shared" si="29"/>
        <v>2.6921296295768116E-2</v>
      </c>
      <c r="N137" s="7">
        <f t="shared" si="50"/>
        <v>38.766666665906087</v>
      </c>
      <c r="O137" s="7"/>
      <c r="P137" s="7"/>
      <c r="Q137" s="26"/>
      <c r="R137" s="26"/>
      <c r="S137" s="38">
        <f t="shared" si="51"/>
        <v>1</v>
      </c>
      <c r="T137" s="55" t="str">
        <f t="shared" si="30"/>
        <v>NorthBound</v>
      </c>
      <c r="U137" s="14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18:27:19-0600',mode:absolute,to:'2016-08-08 21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37" s="57" t="str">
        <f t="shared" si="32"/>
        <v>N</v>
      </c>
      <c r="X137" s="136">
        <f t="shared" si="52"/>
        <v>1</v>
      </c>
      <c r="Y137" s="72">
        <f t="shared" si="53"/>
        <v>4.9099999999999998E-2</v>
      </c>
      <c r="Z137" s="72">
        <f t="shared" si="54"/>
        <v>23.3291</v>
      </c>
      <c r="AA137" s="72">
        <f t="shared" si="35"/>
        <v>23.28</v>
      </c>
      <c r="AB137" s="69" t="e">
        <f>VLOOKUP(A137,Enforcements!$C$7:$J$24,8,0)</f>
        <v>#N/A</v>
      </c>
      <c r="AC137" s="65" t="e">
        <f>VLOOKUP(A137,Enforcements!$C$7:$E$24,3,0)</f>
        <v>#N/A</v>
      </c>
      <c r="AD137" s="66" t="str">
        <f t="shared" si="36"/>
        <v>0223-08</v>
      </c>
      <c r="AE137" s="108" t="str">
        <f t="shared" si="37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137" s="105" t="str">
        <f t="shared" si="38"/>
        <v>"C:\Program Files (x86)\AstroGrep\AstroGrep.exe" /spath="%USERPROFILE%\AppData\Local\Temp\OnboardLogs" /stypes="*4007*20160809*" /stext=" 02:.+((SYSTEM_STATE.+slice.+state.+changed )|(ment ac)|(system.+state.+changed )|(\|lc)|(penalty)|(\[timeout)|(PRM\|1\|D)|(kpr)|(kdp))" /e /r /s</v>
      </c>
      <c r="AG137" s="1" t="str">
        <f t="shared" si="39"/>
        <v>EC</v>
      </c>
      <c r="AH137" s="109" t="str">
        <f t="shared" si="40"/>
        <v>"%USERPROFILE%\Documents\GitHub\eaglep3\Utilities\RefineRTDCRunTimes.py" --tripid 223-08 --locoid 4007 --swversion DE.1.0.7.0 --startMP 204:491 --initTime 2016-08-08T19:27:19 --startdatetime 2016-08-08T19:28:56 --delay 1 --endMP 204:233291 --enddatetime 2016-08-08T20:07:42 --enforcementcount 0</v>
      </c>
    </row>
    <row r="138" spans="1:34" x14ac:dyDescent="0.25">
      <c r="A138" s="25" t="s">
        <v>471</v>
      </c>
      <c r="B138" s="127">
        <v>4008</v>
      </c>
      <c r="C138" s="128" t="s">
        <v>141</v>
      </c>
      <c r="D138" s="128" t="s">
        <v>167</v>
      </c>
      <c r="E138" s="129">
        <v>42590.849606481483</v>
      </c>
      <c r="F138" s="129">
        <v>42590.850706018522</v>
      </c>
      <c r="G138" s="127">
        <v>1</v>
      </c>
      <c r="H138" s="129" t="s">
        <v>58</v>
      </c>
      <c r="I138" s="129">
        <v>42590.878136574072</v>
      </c>
      <c r="J138" s="127">
        <v>0</v>
      </c>
      <c r="K138" s="25" t="str">
        <f t="shared" si="28"/>
        <v>4007/4008</v>
      </c>
      <c r="L138" s="25" t="str">
        <f>VLOOKUP(A138,'Trips&amp;Operators'!$C$1:$E$10000,3,FALSE)</f>
        <v>NEWELL</v>
      </c>
      <c r="M138" s="6">
        <f t="shared" si="29"/>
        <v>2.7430555550381541E-2</v>
      </c>
      <c r="N138" s="7">
        <f t="shared" si="50"/>
        <v>39.499999992549419</v>
      </c>
      <c r="O138" s="7"/>
      <c r="P138" s="7"/>
      <c r="Q138" s="26"/>
      <c r="R138" s="26"/>
      <c r="S138" s="38">
        <f t="shared" si="51"/>
        <v>1</v>
      </c>
      <c r="T138" s="55" t="str">
        <f t="shared" si="30"/>
        <v>Southbound</v>
      </c>
      <c r="U138" s="14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19:23:26-0600',mode:absolute,to:'2016-08-08 22:04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38" s="57" t="str">
        <f t="shared" si="32"/>
        <v>N</v>
      </c>
      <c r="X138" s="136">
        <f t="shared" si="52"/>
        <v>1</v>
      </c>
      <c r="Y138" s="72">
        <f t="shared" si="53"/>
        <v>23.299800000000001</v>
      </c>
      <c r="Z138" s="72">
        <f t="shared" si="54"/>
        <v>1.52E-2</v>
      </c>
      <c r="AA138" s="72">
        <f t="shared" si="35"/>
        <v>23.284600000000001</v>
      </c>
      <c r="AB138" s="69" t="e">
        <f>VLOOKUP(A138,Enforcements!$C$7:$J$24,8,0)</f>
        <v>#N/A</v>
      </c>
      <c r="AC138" s="65" t="e">
        <f>VLOOKUP(A138,Enforcements!$C$7:$E$24,3,0)</f>
        <v>#N/A</v>
      </c>
      <c r="AD138" s="66" t="str">
        <f t="shared" si="36"/>
        <v>0224-08</v>
      </c>
      <c r="AE138" s="108" t="str">
        <f t="shared" si="37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138" s="105" t="str">
        <f t="shared" si="38"/>
        <v>"C:\Program Files (x86)\AstroGrep\AstroGrep.exe" /spath="%USERPROFILE%\AppData\Local\Temp\OnboardLogs" /stypes="*4008*20160809*" /stext=" 03:.+((SYSTEM_STATE.+slice.+state.+changed )|(ment ac)|(system.+state.+changed )|(\|lc)|(penalty)|(\[timeout)|(PRM\|1\|D)|(kpr)|(kdp))" /e /r /s</v>
      </c>
      <c r="AG138" s="1" t="str">
        <f t="shared" si="39"/>
        <v>EC</v>
      </c>
      <c r="AH138" s="109" t="str">
        <f t="shared" si="40"/>
        <v>"%USERPROFILE%\Documents\GitHub\eaglep3\Utilities\RefineRTDCRunTimes.py" --tripid 224-08 --locoid 4008 --swversion DE.1.0.7.0 --startMP 204:232998 --initTime 2016-08-08T20:23:26 --startdatetime 2016-08-08T20:25:01 --delay 1 --endMP 204:152 --enddatetime 2016-08-08T21:04:31 --enforcementcount 0</v>
      </c>
    </row>
    <row r="139" spans="1:34" x14ac:dyDescent="0.25">
      <c r="A139" s="25" t="s">
        <v>468</v>
      </c>
      <c r="B139" s="127">
        <v>4020</v>
      </c>
      <c r="C139" s="128" t="s">
        <v>141</v>
      </c>
      <c r="D139" s="128" t="s">
        <v>569</v>
      </c>
      <c r="E139" s="129">
        <v>42590.837233796294</v>
      </c>
      <c r="F139" s="129">
        <v>42590.838009259256</v>
      </c>
      <c r="G139" s="127">
        <v>1</v>
      </c>
      <c r="H139" s="129" t="s">
        <v>536</v>
      </c>
      <c r="I139" s="129">
        <v>42590.865011574075</v>
      </c>
      <c r="J139" s="127">
        <v>0</v>
      </c>
      <c r="K139" s="25" t="str">
        <f t="shared" si="28"/>
        <v>4019/4020</v>
      </c>
      <c r="L139" s="25" t="str">
        <f>VLOOKUP(A139,'Trips&amp;Operators'!$C$1:$E$10000,3,FALSE)</f>
        <v>CHANDLER</v>
      </c>
      <c r="M139" s="6">
        <f t="shared" si="29"/>
        <v>2.7002314818673767E-2</v>
      </c>
      <c r="N139" s="7">
        <f t="shared" si="50"/>
        <v>38.883333338890225</v>
      </c>
      <c r="O139" s="7"/>
      <c r="P139" s="7"/>
      <c r="Q139" s="26"/>
      <c r="R139" s="26"/>
      <c r="S139" s="38">
        <f t="shared" si="51"/>
        <v>1</v>
      </c>
      <c r="T139" s="55" t="str">
        <f t="shared" si="30"/>
        <v>NorthBound</v>
      </c>
      <c r="U139" s="14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19:05:37-0600',mode:absolute,to:'2016-08-08 21:45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39" s="57" t="str">
        <f t="shared" si="32"/>
        <v>N</v>
      </c>
      <c r="X139" s="136">
        <f t="shared" si="52"/>
        <v>1</v>
      </c>
      <c r="Y139" s="72">
        <f t="shared" si="53"/>
        <v>4.7500000000000001E-2</v>
      </c>
      <c r="Z139" s="72">
        <f t="shared" si="54"/>
        <v>23.328700000000001</v>
      </c>
      <c r="AA139" s="72">
        <f t="shared" si="35"/>
        <v>23.281200000000002</v>
      </c>
      <c r="AB139" s="69" t="e">
        <f>VLOOKUP(A139,Enforcements!$C$7:$J$24,8,0)</f>
        <v>#N/A</v>
      </c>
      <c r="AC139" s="65" t="e">
        <f>VLOOKUP(A139,Enforcements!$C$7:$E$24,3,0)</f>
        <v>#N/A</v>
      </c>
      <c r="AD139" s="66" t="str">
        <f t="shared" si="36"/>
        <v>0225-08</v>
      </c>
      <c r="AE139" s="108" t="str">
        <f t="shared" si="37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139" s="105" t="str">
        <f t="shared" si="38"/>
        <v>"C:\Program Files (x86)\AstroGrep\AstroGrep.exe" /spath="%USERPROFILE%\AppData\Local\Temp\OnboardLogs" /stypes="*4020*20160809*" /stext=" 02:.+((SYSTEM_STATE.+slice.+state.+changed )|(ment ac)|(system.+state.+changed )|(\|lc)|(penalty)|(\[timeout)|(PRM\|1\|D)|(kpr)|(kdp))" /e /r /s</v>
      </c>
      <c r="AG139" s="1" t="str">
        <f t="shared" si="39"/>
        <v>EC</v>
      </c>
      <c r="AH139" s="109" t="str">
        <f t="shared" si="40"/>
        <v>"%USERPROFILE%\Documents\GitHub\eaglep3\Utilities\RefineRTDCRunTimes.py" --tripid 225-08 --locoid 4020 --swversion DE.1.0.7.0 --startMP 204:475 --initTime 2016-08-08T20:05:37 --startdatetime 2016-08-08T20:06:44 --delay 1 --endMP 204:233287 --enddatetime 2016-08-08T20:45:37 --enforcementcount 0</v>
      </c>
    </row>
    <row r="140" spans="1:34" x14ac:dyDescent="0.25">
      <c r="A140" s="25" t="s">
        <v>473</v>
      </c>
      <c r="B140" s="127">
        <v>4019</v>
      </c>
      <c r="C140" s="128" t="s">
        <v>141</v>
      </c>
      <c r="D140" s="128" t="s">
        <v>512</v>
      </c>
      <c r="E140" s="129">
        <v>42590.871689814812</v>
      </c>
      <c r="F140" s="129">
        <v>42590.872673611113</v>
      </c>
      <c r="G140" s="127">
        <v>1</v>
      </c>
      <c r="H140" s="129" t="s">
        <v>130</v>
      </c>
      <c r="I140" s="129">
        <v>42590.902546296296</v>
      </c>
      <c r="J140" s="127">
        <v>0</v>
      </c>
      <c r="K140" s="25" t="str">
        <f t="shared" si="28"/>
        <v>4019/4020</v>
      </c>
      <c r="L140" s="25" t="str">
        <f>VLOOKUP(A140,'Trips&amp;Operators'!$C$1:$E$10000,3,FALSE)</f>
        <v>CHANDLER</v>
      </c>
      <c r="M140" s="6">
        <f t="shared" si="29"/>
        <v>2.9872685183363501E-2</v>
      </c>
      <c r="N140" s="7">
        <f t="shared" si="50"/>
        <v>43.016666664043441</v>
      </c>
      <c r="O140" s="7"/>
      <c r="P140" s="7"/>
      <c r="Q140" s="26"/>
      <c r="R140" s="26"/>
      <c r="S140" s="38">
        <f t="shared" si="51"/>
        <v>1</v>
      </c>
      <c r="T140" s="55" t="str">
        <f t="shared" si="30"/>
        <v>Southbound</v>
      </c>
      <c r="U140" s="14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19:55:14-0600',mode:absolute,to:'2016-08-08 22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40" s="57" t="str">
        <f t="shared" si="32"/>
        <v>N</v>
      </c>
      <c r="X140" s="136">
        <f t="shared" si="52"/>
        <v>1</v>
      </c>
      <c r="Y140" s="72">
        <f t="shared" si="53"/>
        <v>23.296800000000001</v>
      </c>
      <c r="Z140" s="72">
        <f t="shared" si="54"/>
        <v>1.4999999999999999E-2</v>
      </c>
      <c r="AA140" s="72">
        <f t="shared" si="35"/>
        <v>23.2818</v>
      </c>
      <c r="AB140" s="69" t="e">
        <f>VLOOKUP(A140,Enforcements!$C$7:$J$24,8,0)</f>
        <v>#N/A</v>
      </c>
      <c r="AC140" s="65" t="e">
        <f>VLOOKUP(A140,Enforcements!$C$7:$E$24,3,0)</f>
        <v>#N/A</v>
      </c>
      <c r="AD140" s="66" t="str">
        <f t="shared" si="36"/>
        <v>0226-08</v>
      </c>
      <c r="AE140" s="108" t="str">
        <f t="shared" si="37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140" s="105" t="str">
        <f t="shared" si="38"/>
        <v>"C:\Program Files (x86)\AstroGrep\AstroGrep.exe" /spath="%USERPROFILE%\AppData\Local\Temp\OnboardLogs" /stypes="*4019*20160809*" /stext=" 03:.+((SYSTEM_STATE.+slice.+state.+changed )|(ment ac)|(system.+state.+changed )|(\|lc)|(penalty)|(\[timeout)|(PRM\|1\|D)|(kpr)|(kdp))" /e /r /s</v>
      </c>
      <c r="AG140" s="1" t="str">
        <f t="shared" si="39"/>
        <v>EC</v>
      </c>
      <c r="AH140" s="109" t="str">
        <f t="shared" si="40"/>
        <v>"%USERPROFILE%\Documents\GitHub\eaglep3\Utilities\RefineRTDCRunTimes.py" --tripid 226-08 --locoid 4019 --swversion DE.1.0.7.0 --startMP 204:232968 --initTime 2016-08-08T20:55:14 --startdatetime 2016-08-08T20:56:39 --delay 1 --endMP 204:150 --enddatetime 2016-08-08T21:39:40 --enforcementcount 0</v>
      </c>
    </row>
    <row r="141" spans="1:34" x14ac:dyDescent="0.25">
      <c r="A141" s="25" t="s">
        <v>470</v>
      </c>
      <c r="B141" s="127">
        <v>4027</v>
      </c>
      <c r="C141" s="128" t="s">
        <v>141</v>
      </c>
      <c r="D141" s="128" t="s">
        <v>570</v>
      </c>
      <c r="E141" s="129">
        <v>42590.84784722222</v>
      </c>
      <c r="F141" s="129">
        <v>42590.848796296297</v>
      </c>
      <c r="G141" s="127">
        <v>1</v>
      </c>
      <c r="H141" s="129" t="s">
        <v>139</v>
      </c>
      <c r="I141" s="129">
        <v>42590.881435185183</v>
      </c>
      <c r="J141" s="127">
        <v>0</v>
      </c>
      <c r="K141" s="25" t="str">
        <f t="shared" ref="K141:K204" si="55">IF(ISEVEN(B141),(B141-1)&amp;"/"&amp;B141,B141&amp;"/"&amp;(B141+1))</f>
        <v>4027/4028</v>
      </c>
      <c r="L141" s="25" t="str">
        <f>VLOOKUP(A141,'Trips&amp;Operators'!$C$1:$E$10000,3,FALSE)</f>
        <v>STORY</v>
      </c>
      <c r="M141" s="6">
        <f t="shared" ref="M141:M204" si="56">I141-F141</f>
        <v>3.2638888886140194E-2</v>
      </c>
      <c r="N141" s="7">
        <f t="shared" si="50"/>
        <v>46.999999996041879</v>
      </c>
      <c r="O141" s="7"/>
      <c r="P141" s="7"/>
      <c r="Q141" s="26"/>
      <c r="R141" s="26"/>
      <c r="S141" s="38">
        <f t="shared" si="51"/>
        <v>1</v>
      </c>
      <c r="T141" s="55" t="str">
        <f t="shared" ref="T141:T204" si="57">IF(ISEVEN(LEFT(AD141,4)),"Southbound","NorthBound")</f>
        <v>NorthBound</v>
      </c>
      <c r="U141" s="14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5" t="str">
        <f t="shared" ref="V141:V204" si="58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https://search-rtdc-monitor-bjffxe2xuh6vdkpspy63sjmuny.us-east-1.es.amazonaws.com/_plugin/kibana/#/discover/Steve-Slow-Train-Analysis-(2080s-and-2083s)?_g=(refreshInterval:(display:Off,section:0,value:0),time:(from:'2016-08-08 19:20:54-0600',mode:absolute,to:'2016-08-08 22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41" s="57" t="str">
        <f t="shared" ref="W141:W204" si="59">IF(AA141&lt;IF(AG141="EC",23,5.65),"Y","N")</f>
        <v>N</v>
      </c>
      <c r="X141" s="136">
        <f t="shared" si="52"/>
        <v>1</v>
      </c>
      <c r="Y141" s="72">
        <f t="shared" si="53"/>
        <v>4.58E-2</v>
      </c>
      <c r="Z141" s="72">
        <f t="shared" si="54"/>
        <v>23.329499999999999</v>
      </c>
      <c r="AA141" s="72">
        <f t="shared" ref="AA141:AA204" si="60">ABS(Z141-Y141)</f>
        <v>23.2837</v>
      </c>
      <c r="AB141" s="69" t="e">
        <f>VLOOKUP(A141,Enforcements!$C$7:$J$24,8,0)</f>
        <v>#N/A</v>
      </c>
      <c r="AC141" s="65" t="e">
        <f>VLOOKUP(A141,Enforcements!$C$7:$E$24,3,0)</f>
        <v>#N/A</v>
      </c>
      <c r="AD141" s="66" t="str">
        <f t="shared" ref="AD141:AD204" si="61">IF(LEN(A141)=6,"0"&amp;A141,A141)</f>
        <v>0227-08</v>
      </c>
      <c r="AE141" s="108" t="str">
        <f t="shared" ref="AE141:AE204" si="62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141" s="105" t="str">
        <f t="shared" ref="AF141:AF204" si="63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/stypes="*4027*20160809*" /stext=" 03:.+((SYSTEM_STATE.+slice.+state.+changed )|(ment ac)|(system.+state.+changed )|(\|lc)|(penalty)|(\[timeout)|(PRM\|1\|D)|(kpr)|(kdp))" /e /r /s</v>
      </c>
      <c r="AG141" s="1" t="str">
        <f t="shared" ref="AG141:AG204" si="64">IF(VALUE(LEFT(AD141,2))&lt;=2,"EC",IF(OR(VALUE(LEFT(AD141,2))=8,VALUE(LEFT(AD141,2))=18),"NW","Other"))</f>
        <v>EC</v>
      </c>
      <c r="AH141" s="109" t="str">
        <f t="shared" si="40"/>
        <v>"%USERPROFILE%\Documents\GitHub\eaglep3\Utilities\RefineRTDCRunTimes.py" --tripid 227-08 --locoid 4027 --swversion DE.1.0.7.0 --startMP 204:458 --initTime 2016-08-08T20:20:54 --startdatetime 2016-08-08T20:22:16 --delay 1 --endMP 204:233295 --enddatetime 2016-08-08T21:09:16 --enforcementcount 0</v>
      </c>
    </row>
    <row r="142" spans="1:34" x14ac:dyDescent="0.25">
      <c r="A142" s="25" t="s">
        <v>327</v>
      </c>
      <c r="B142" s="127">
        <v>4028</v>
      </c>
      <c r="C142" s="128" t="s">
        <v>141</v>
      </c>
      <c r="D142" s="128" t="s">
        <v>241</v>
      </c>
      <c r="E142" s="129">
        <v>42590.889016203706</v>
      </c>
      <c r="F142" s="129">
        <v>42590.890069444446</v>
      </c>
      <c r="G142" s="127">
        <v>1</v>
      </c>
      <c r="H142" s="129" t="s">
        <v>130</v>
      </c>
      <c r="I142" s="129">
        <v>42590.933506944442</v>
      </c>
      <c r="J142" s="127">
        <v>2</v>
      </c>
      <c r="K142" s="25" t="str">
        <f t="shared" si="55"/>
        <v>4027/4028</v>
      </c>
      <c r="L142" s="25" t="str">
        <f>VLOOKUP(A142,'Trips&amp;Operators'!$C$1:$E$10000,3,FALSE)</f>
        <v>STORY</v>
      </c>
      <c r="M142" s="6">
        <f t="shared" si="56"/>
        <v>4.3437499996798579E-2</v>
      </c>
      <c r="N142" s="7">
        <f t="shared" si="50"/>
        <v>62.549999995389953</v>
      </c>
      <c r="O142" s="7"/>
      <c r="P142" s="7"/>
      <c r="Q142" s="26"/>
      <c r="R142" s="26"/>
      <c r="S142" s="38">
        <f t="shared" si="51"/>
        <v>1</v>
      </c>
      <c r="T142" s="55" t="str">
        <f t="shared" si="57"/>
        <v>Southbound</v>
      </c>
      <c r="U142" s="14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20:20:11-0600',mode:absolute,to:'2016-08-08 23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42" s="57" t="str">
        <f t="shared" si="59"/>
        <v>N</v>
      </c>
      <c r="X142" s="136">
        <f t="shared" si="52"/>
        <v>1</v>
      </c>
      <c r="Y142" s="72">
        <f t="shared" si="53"/>
        <v>23.298100000000002</v>
      </c>
      <c r="Z142" s="72">
        <f t="shared" si="54"/>
        <v>1.4999999999999999E-2</v>
      </c>
      <c r="AA142" s="72">
        <f t="shared" si="60"/>
        <v>23.283100000000001</v>
      </c>
      <c r="AB142" s="69" t="e">
        <f>VLOOKUP(A142,Enforcements!$C$7:$J$24,8,0)</f>
        <v>#N/A</v>
      </c>
      <c r="AC142" s="65" t="e">
        <f>VLOOKUP(A142,Enforcements!$C$7:$E$24,3,0)</f>
        <v>#N/A</v>
      </c>
      <c r="AD142" s="66" t="str">
        <f t="shared" si="61"/>
        <v>0228-08</v>
      </c>
      <c r="AE142" s="108" t="str">
        <f t="shared" si="62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142" s="105" t="str">
        <f t="shared" si="63"/>
        <v>"C:\Program Files (x86)\AstroGrep\AstroGrep.exe" /spath="%USERPROFILE%\AppData\Local\Temp\OnboardLogs" /stypes="*4028*20160809*" /stext=" 04:.+((SYSTEM_STATE.+slice.+state.+changed )|(ment ac)|(system.+state.+changed )|(\|lc)|(penalty)|(\[timeout)|(PRM\|1\|D)|(kpr)|(kdp))" /e /r /s</v>
      </c>
      <c r="AG142" s="1" t="str">
        <f t="shared" si="64"/>
        <v>EC</v>
      </c>
      <c r="AH142" s="109" t="str">
        <f t="shared" ref="AH142:AH204" si="6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</f>
        <v>"%USERPROFILE%\Documents\GitHub\eaglep3\Utilities\RefineRTDCRunTimes.py" --tripid 228-08 --locoid 4028 --swversion DE.1.0.7.0 --startMP 204:232981 --initTime 2016-08-08T21:20:11 --startdatetime 2016-08-08T21:21:42 --delay 1 --endMP 204:150 --enddatetime 2016-08-08T22:24:15 --enforcementcount 2</v>
      </c>
    </row>
    <row r="143" spans="1:34" x14ac:dyDescent="0.25">
      <c r="A143" s="25" t="s">
        <v>325</v>
      </c>
      <c r="B143" s="127">
        <v>4029</v>
      </c>
      <c r="C143" s="128" t="s">
        <v>141</v>
      </c>
      <c r="D143" s="128" t="s">
        <v>164</v>
      </c>
      <c r="E143" s="129">
        <v>42590.86074074074</v>
      </c>
      <c r="F143" s="129">
        <v>42590.861724537041</v>
      </c>
      <c r="G143" s="127">
        <v>1</v>
      </c>
      <c r="H143" s="129" t="s">
        <v>571</v>
      </c>
      <c r="I143" s="129">
        <v>42590.899027777778</v>
      </c>
      <c r="J143" s="127">
        <v>2</v>
      </c>
      <c r="K143" s="25" t="str">
        <f t="shared" si="55"/>
        <v>4029/4030</v>
      </c>
      <c r="L143" s="25" t="str">
        <f>VLOOKUP(A143,'Trips&amp;Operators'!$C$1:$E$10000,3,FALSE)</f>
        <v>ISHMAEL</v>
      </c>
      <c r="M143" s="6">
        <f t="shared" si="56"/>
        <v>3.7303240736946464E-2</v>
      </c>
      <c r="N143" s="7"/>
      <c r="O143" s="7"/>
      <c r="P143" s="7">
        <f>24*60*SUM($M143:$M143)</f>
        <v>53.716666661202908</v>
      </c>
      <c r="Q143" s="26"/>
      <c r="R143" s="26" t="s">
        <v>648</v>
      </c>
      <c r="S143" s="38">
        <f t="shared" si="51"/>
        <v>1</v>
      </c>
      <c r="T143" s="55" t="str">
        <f t="shared" si="57"/>
        <v>NorthBound</v>
      </c>
      <c r="U143" s="14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19:39:28-0600',mode:absolute,to:'2016-08-08 22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43" s="57" t="str">
        <f t="shared" si="59"/>
        <v>Y</v>
      </c>
      <c r="X143" s="136">
        <f t="shared" si="52"/>
        <v>1</v>
      </c>
      <c r="Y143" s="72">
        <f t="shared" si="53"/>
        <v>4.4699999999999997E-2</v>
      </c>
      <c r="Z143" s="72">
        <f t="shared" si="54"/>
        <v>15.565</v>
      </c>
      <c r="AA143" s="72">
        <f t="shared" si="60"/>
        <v>15.520299999999999</v>
      </c>
      <c r="AB143" s="69">
        <f>VLOOKUP(A143,Enforcements!$C$7:$J$24,8,0)</f>
        <v>4677</v>
      </c>
      <c r="AC143" s="65" t="str">
        <f>VLOOKUP(A143,Enforcements!$C$7:$E$24,3,0)</f>
        <v>PERMANENT SPEED RESTRICTION</v>
      </c>
      <c r="AD143" s="66" t="str">
        <f t="shared" si="61"/>
        <v>0229-08</v>
      </c>
      <c r="AE143" s="108" t="str">
        <f t="shared" si="62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143" s="105" t="str">
        <f t="shared" si="63"/>
        <v>"C:\Program Files (x86)\AstroGrep\AstroGrep.exe" /spath="%USERPROFILE%\AppData\Local\Temp\OnboardLogs" /stypes="*4029*20160809*" /stext=" 03:.+((SYSTEM_STATE.+slice.+state.+changed )|(ment ac)|(system.+state.+changed )|(\|lc)|(penalty)|(\[timeout)|(PRM\|1\|D)|(kpr)|(kdp))" /e /r /s</v>
      </c>
      <c r="AG143" s="1" t="str">
        <f t="shared" si="64"/>
        <v>EC</v>
      </c>
      <c r="AH143" s="109" t="str">
        <f t="shared" si="65"/>
        <v>"%USERPROFILE%\Documents\GitHub\eaglep3\Utilities\RefineRTDCRunTimes.py" --tripid 229-08 --locoid 4029 --swversion DE.1.0.7.0 --startMP 204:447 --initTime 2016-08-08T20:39:28 --startdatetime 2016-08-08T20:40:53 --delay 1 --endMP 204:155650 --enddatetime 2016-08-08T21:34:36 --enforcementcount 2</v>
      </c>
    </row>
    <row r="144" spans="1:34" x14ac:dyDescent="0.25">
      <c r="A144" s="25" t="s">
        <v>476</v>
      </c>
      <c r="B144" s="127">
        <v>4030</v>
      </c>
      <c r="C144" s="128" t="s">
        <v>141</v>
      </c>
      <c r="D144" s="128" t="s">
        <v>190</v>
      </c>
      <c r="E144" s="129">
        <v>42590.918425925927</v>
      </c>
      <c r="F144" s="129">
        <v>42590.919247685182</v>
      </c>
      <c r="G144" s="127">
        <v>1</v>
      </c>
      <c r="H144" s="129" t="s">
        <v>195</v>
      </c>
      <c r="I144" s="129">
        <v>42590.947881944441</v>
      </c>
      <c r="J144" s="127">
        <v>0</v>
      </c>
      <c r="K144" s="25" t="str">
        <f t="shared" si="55"/>
        <v>4029/4030</v>
      </c>
      <c r="L144" s="25" t="str">
        <f>VLOOKUP(A144,'Trips&amp;Operators'!$C$1:$E$10000,3,FALSE)</f>
        <v>ISHMAEL</v>
      </c>
      <c r="M144" s="6">
        <f t="shared" si="56"/>
        <v>2.8634259258979E-2</v>
      </c>
      <c r="N144" s="7">
        <f>24*60*SUM($M144:$M144)</f>
        <v>41.23333333292976</v>
      </c>
      <c r="O144" s="7"/>
      <c r="P144" s="7"/>
      <c r="Q144" s="26"/>
      <c r="R144" s="26"/>
      <c r="S144" s="38">
        <f t="shared" si="51"/>
        <v>1</v>
      </c>
      <c r="T144" s="55" t="str">
        <f t="shared" si="57"/>
        <v>Southbound</v>
      </c>
      <c r="U144" s="14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21:02:32-0600',mode:absolute,to:'2016-08-08 23:44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44" s="57" t="str">
        <f t="shared" si="59"/>
        <v>N</v>
      </c>
      <c r="X144" s="136">
        <f t="shared" si="52"/>
        <v>1</v>
      </c>
      <c r="Y144" s="72">
        <f t="shared" si="53"/>
        <v>23.2989</v>
      </c>
      <c r="Z144" s="72">
        <f t="shared" si="54"/>
        <v>1.61E-2</v>
      </c>
      <c r="AA144" s="72">
        <f t="shared" si="60"/>
        <v>23.282799999999998</v>
      </c>
      <c r="AB144" s="69" t="e">
        <f>VLOOKUP(A144,Enforcements!$C$7:$J$24,8,0)</f>
        <v>#N/A</v>
      </c>
      <c r="AC144" s="65" t="e">
        <f>VLOOKUP(A144,Enforcements!$C$7:$E$24,3,0)</f>
        <v>#N/A</v>
      </c>
      <c r="AD144" s="66" t="str">
        <f t="shared" si="61"/>
        <v>0230-08</v>
      </c>
      <c r="AE144" s="108" t="str">
        <f t="shared" si="62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144" s="105" t="str">
        <f t="shared" si="63"/>
        <v>"C:\Program Files (x86)\AstroGrep\AstroGrep.exe" /spath="%USERPROFILE%\AppData\Local\Temp\OnboardLogs" /stypes="*4030*20160809*" /stext=" 04:.+((SYSTEM_STATE.+slice.+state.+changed )|(ment ac)|(system.+state.+changed )|(\|lc)|(penalty)|(\[timeout)|(PRM\|1\|D)|(kpr)|(kdp))" /e /r /s</v>
      </c>
      <c r="AG144" s="1" t="str">
        <f t="shared" si="64"/>
        <v>EC</v>
      </c>
      <c r="AH144" s="109" t="str">
        <f t="shared" si="65"/>
        <v>"%USERPROFILE%\Documents\GitHub\eaglep3\Utilities\RefineRTDCRunTimes.py" --tripid 230-08 --locoid 4030 --swversion DE.1.0.7.0 --startMP 204:232989 --initTime 2016-08-08T22:02:32 --startdatetime 2016-08-08T22:03:43 --delay 1 --endMP 204:161 --enddatetime 2016-08-08T22:44:57 --enforcementcount 0</v>
      </c>
    </row>
    <row r="145" spans="1:34" x14ac:dyDescent="0.25">
      <c r="A145" s="25" t="s">
        <v>474</v>
      </c>
      <c r="B145" s="127">
        <v>4007</v>
      </c>
      <c r="C145" s="128" t="s">
        <v>141</v>
      </c>
      <c r="D145" s="128" t="s">
        <v>539</v>
      </c>
      <c r="E145" s="129">
        <v>42590.879710648151</v>
      </c>
      <c r="F145" s="129">
        <v>42590.880648148152</v>
      </c>
      <c r="G145" s="127">
        <v>1</v>
      </c>
      <c r="H145" s="129" t="s">
        <v>135</v>
      </c>
      <c r="I145" s="129">
        <v>42590.921111111114</v>
      </c>
      <c r="J145" s="127">
        <v>0</v>
      </c>
      <c r="K145" s="25" t="str">
        <f t="shared" si="55"/>
        <v>4007/4008</v>
      </c>
      <c r="L145" s="25" t="str">
        <f>VLOOKUP(A145,'Trips&amp;Operators'!$C$1:$E$10000,3,FALSE)</f>
        <v>NEWELL</v>
      </c>
      <c r="M145" s="6">
        <f t="shared" si="56"/>
        <v>4.0462962962919846E-2</v>
      </c>
      <c r="N145" s="7">
        <f>24*60*SUM($M145:$M145)</f>
        <v>58.266666666604578</v>
      </c>
      <c r="O145" s="7"/>
      <c r="P145" s="7"/>
      <c r="Q145" s="26"/>
      <c r="R145" s="26"/>
      <c r="S145" s="38">
        <f t="shared" si="51"/>
        <v>1</v>
      </c>
      <c r="T145" s="55" t="str">
        <f t="shared" si="57"/>
        <v>NorthBound</v>
      </c>
      <c r="U145" s="14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20:06:47-0600',mode:absolute,to:'2016-08-08 23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45" s="57" t="str">
        <f t="shared" si="59"/>
        <v>N</v>
      </c>
      <c r="X145" s="136">
        <f t="shared" si="52"/>
        <v>1</v>
      </c>
      <c r="Y145" s="72">
        <f t="shared" si="53"/>
        <v>4.6899999999999997E-2</v>
      </c>
      <c r="Z145" s="72">
        <f t="shared" si="54"/>
        <v>23.3293</v>
      </c>
      <c r="AA145" s="72">
        <f t="shared" si="60"/>
        <v>23.282399999999999</v>
      </c>
      <c r="AB145" s="69" t="e">
        <f>VLOOKUP(A145,Enforcements!$C$7:$J$24,8,0)</f>
        <v>#N/A</v>
      </c>
      <c r="AC145" s="65" t="e">
        <f>VLOOKUP(A145,Enforcements!$C$7:$E$24,3,0)</f>
        <v>#N/A</v>
      </c>
      <c r="AD145" s="66" t="str">
        <f t="shared" si="61"/>
        <v>0231-08</v>
      </c>
      <c r="AE145" s="108" t="str">
        <f t="shared" si="62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145" s="105" t="str">
        <f t="shared" si="63"/>
        <v>"C:\Program Files (x86)\AstroGrep\AstroGrep.exe" /spath="%USERPROFILE%\AppData\Local\Temp\OnboardLogs" /stypes="*4007*20160809*" /stext=" 04:.+((SYSTEM_STATE.+slice.+state.+changed )|(ment ac)|(system.+state.+changed )|(\|lc)|(penalty)|(\[timeout)|(PRM\|1\|D)|(kpr)|(kdp))" /e /r /s</v>
      </c>
      <c r="AG145" s="1" t="str">
        <f t="shared" si="64"/>
        <v>EC</v>
      </c>
      <c r="AH145" s="109" t="str">
        <f t="shared" si="65"/>
        <v>"%USERPROFILE%\Documents\GitHub\eaglep3\Utilities\RefineRTDCRunTimes.py" --tripid 231-08 --locoid 4007 --swversion DE.1.0.7.0 --startMP 204:469 --initTime 2016-08-08T21:06:47 --startdatetime 2016-08-08T21:08:08 --delay 1 --endMP 204:233293 --enddatetime 2016-08-08T22:06:24 --enforcementcount 0</v>
      </c>
    </row>
    <row r="146" spans="1:34" x14ac:dyDescent="0.25">
      <c r="A146" s="25" t="s">
        <v>478</v>
      </c>
      <c r="B146" s="127">
        <v>4008</v>
      </c>
      <c r="C146" s="128" t="s">
        <v>141</v>
      </c>
      <c r="D146" s="128" t="s">
        <v>572</v>
      </c>
      <c r="E146" s="129">
        <v>42590.930300925924</v>
      </c>
      <c r="F146" s="129">
        <v>42590.931585648148</v>
      </c>
      <c r="G146" s="127">
        <v>1</v>
      </c>
      <c r="H146" s="129" t="s">
        <v>195</v>
      </c>
      <c r="I146" s="129">
        <v>42590.964884259258</v>
      </c>
      <c r="J146" s="127">
        <v>0</v>
      </c>
      <c r="K146" s="25" t="str">
        <f t="shared" si="55"/>
        <v>4007/4008</v>
      </c>
      <c r="L146" s="25" t="str">
        <f>VLOOKUP(A146,'Trips&amp;Operators'!$C$1:$E$10000,3,FALSE)</f>
        <v>NEWELL</v>
      </c>
      <c r="M146" s="6">
        <f t="shared" si="56"/>
        <v>3.329861110978527E-2</v>
      </c>
      <c r="N146" s="7">
        <f>24*60*SUM($M146:$M146)</f>
        <v>47.949999998090789</v>
      </c>
      <c r="O146" s="7"/>
      <c r="P146" s="7"/>
      <c r="Q146" s="26"/>
      <c r="R146" s="26"/>
      <c r="S146" s="38">
        <f t="shared" si="51"/>
        <v>1</v>
      </c>
      <c r="T146" s="55" t="str">
        <f t="shared" si="57"/>
        <v>Southbound</v>
      </c>
      <c r="U146" s="14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21:19:38-0600',mode:absolute,to:'2016-08-09 00:09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46" s="57" t="str">
        <f t="shared" si="59"/>
        <v>N</v>
      </c>
      <c r="X146" s="136">
        <f t="shared" si="52"/>
        <v>1</v>
      </c>
      <c r="Y146" s="72">
        <f t="shared" si="53"/>
        <v>23.298200000000001</v>
      </c>
      <c r="Z146" s="72">
        <f t="shared" si="54"/>
        <v>1.61E-2</v>
      </c>
      <c r="AA146" s="72">
        <f t="shared" si="60"/>
        <v>23.2821</v>
      </c>
      <c r="AB146" s="69" t="e">
        <f>VLOOKUP(A146,Enforcements!$C$7:$J$24,8,0)</f>
        <v>#N/A</v>
      </c>
      <c r="AC146" s="65" t="e">
        <f>VLOOKUP(A146,Enforcements!$C$7:$E$24,3,0)</f>
        <v>#N/A</v>
      </c>
      <c r="AD146" s="66" t="str">
        <f t="shared" si="61"/>
        <v>0232-08</v>
      </c>
      <c r="AE146" s="108" t="str">
        <f t="shared" si="62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146" s="105" t="str">
        <f t="shared" si="63"/>
        <v>"C:\Program Files (x86)\AstroGrep\AstroGrep.exe" /spath="%USERPROFILE%\AppData\Local\Temp\OnboardLogs" /stypes="*4008*20160809*" /stext=" 05:.+((SYSTEM_STATE.+slice.+state.+changed )|(ment ac)|(system.+state.+changed )|(\|lc)|(penalty)|(\[timeout)|(PRM\|1\|D)|(kpr)|(kdp))" /e /r /s</v>
      </c>
      <c r="AG146" s="1" t="str">
        <f t="shared" si="64"/>
        <v>EC</v>
      </c>
      <c r="AH146" s="109" t="str">
        <f t="shared" si="65"/>
        <v>"%USERPROFILE%\Documents\GitHub\eaglep3\Utilities\RefineRTDCRunTimes.py" --tripid 232-08 --locoid 4008 --swversion DE.1.0.7.0 --startMP 204:232982 --initTime 2016-08-08T22:19:38 --startdatetime 2016-08-08T22:21:29 --delay 1 --endMP 204:161 --enddatetime 2016-08-08T23:09:26 --enforcementcount 0</v>
      </c>
    </row>
    <row r="147" spans="1:34" x14ac:dyDescent="0.25">
      <c r="A147" s="25" t="s">
        <v>475</v>
      </c>
      <c r="B147" s="127">
        <v>4020</v>
      </c>
      <c r="C147" s="128" t="s">
        <v>141</v>
      </c>
      <c r="D147" s="128" t="s">
        <v>205</v>
      </c>
      <c r="E147" s="129">
        <v>42590.913194444445</v>
      </c>
      <c r="F147" s="129">
        <v>42590.914398148147</v>
      </c>
      <c r="G147" s="127">
        <v>1</v>
      </c>
      <c r="H147" s="129" t="s">
        <v>532</v>
      </c>
      <c r="I147" s="129">
        <v>42590.945393518516</v>
      </c>
      <c r="J147" s="127">
        <v>0</v>
      </c>
      <c r="K147" s="25" t="str">
        <f t="shared" si="55"/>
        <v>4019/4020</v>
      </c>
      <c r="L147" s="25" t="str">
        <f>VLOOKUP(A147,'Trips&amp;Operators'!$C$1:$E$10000,3,FALSE)</f>
        <v>CHANDLER</v>
      </c>
      <c r="M147" s="6">
        <f t="shared" si="56"/>
        <v>3.0995370369055308E-2</v>
      </c>
      <c r="N147" s="7">
        <f>24*60*SUM($M147:$M147)</f>
        <v>44.633333331439644</v>
      </c>
      <c r="O147" s="7"/>
      <c r="P147" s="7"/>
      <c r="Q147" s="26"/>
      <c r="R147" s="26"/>
      <c r="S147" s="38">
        <f t="shared" si="51"/>
        <v>1</v>
      </c>
      <c r="T147" s="55" t="str">
        <f t="shared" si="57"/>
        <v>NorthBound</v>
      </c>
      <c r="U147" s="14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20:55:00-0600',mode:absolute,to:'2016-08-08 23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47" s="57" t="str">
        <f t="shared" si="59"/>
        <v>N</v>
      </c>
      <c r="X147" s="136">
        <f t="shared" si="52"/>
        <v>1</v>
      </c>
      <c r="Y147" s="72">
        <f t="shared" si="53"/>
        <v>4.6600000000000003E-2</v>
      </c>
      <c r="Z147" s="72">
        <f t="shared" si="54"/>
        <v>23.328399999999998</v>
      </c>
      <c r="AA147" s="72">
        <f t="shared" si="60"/>
        <v>23.281799999999997</v>
      </c>
      <c r="AB147" s="69" t="e">
        <f>VLOOKUP(A147,Enforcements!$C$7:$J$24,8,0)</f>
        <v>#N/A</v>
      </c>
      <c r="AC147" s="65" t="e">
        <f>VLOOKUP(A147,Enforcements!$C$7:$E$24,3,0)</f>
        <v>#N/A</v>
      </c>
      <c r="AD147" s="66" t="str">
        <f t="shared" si="61"/>
        <v>0233-08</v>
      </c>
      <c r="AE147" s="108" t="str">
        <f t="shared" si="62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147" s="105" t="str">
        <f t="shared" si="63"/>
        <v>"C:\Program Files (x86)\AstroGrep\AstroGrep.exe" /spath="%USERPROFILE%\AppData\Local\Temp\OnboardLogs" /stypes="*4020*20160809*" /stext=" 04:.+((SYSTEM_STATE.+slice.+state.+changed )|(ment ac)|(system.+state.+changed )|(\|lc)|(penalty)|(\[timeout)|(PRM\|1\|D)|(kpr)|(kdp))" /e /r /s</v>
      </c>
      <c r="AG147" s="1" t="str">
        <f t="shared" si="64"/>
        <v>EC</v>
      </c>
      <c r="AH147" s="109" t="str">
        <f t="shared" si="65"/>
        <v>"%USERPROFILE%\Documents\GitHub\eaglep3\Utilities\RefineRTDCRunTimes.py" --tripid 233-08 --locoid 4020 --swversion DE.1.0.7.0 --startMP 204:466 --initTime 2016-08-08T21:55:00 --startdatetime 2016-08-08T21:56:44 --delay 1 --endMP 204:233284 --enddatetime 2016-08-08T22:41:22 --enforcementcount 0</v>
      </c>
    </row>
    <row r="148" spans="1:34" x14ac:dyDescent="0.25">
      <c r="A148" s="25" t="s">
        <v>481</v>
      </c>
      <c r="B148" s="127">
        <v>4019</v>
      </c>
      <c r="C148" s="128" t="s">
        <v>141</v>
      </c>
      <c r="D148" s="128" t="s">
        <v>544</v>
      </c>
      <c r="E148" s="129">
        <v>42590.952511574076</v>
      </c>
      <c r="F148" s="129">
        <v>42590.953263888892</v>
      </c>
      <c r="G148" s="127">
        <v>1</v>
      </c>
      <c r="H148" s="129" t="s">
        <v>573</v>
      </c>
      <c r="I148" s="129">
        <v>42590.961527777778</v>
      </c>
      <c r="J148" s="127">
        <v>0</v>
      </c>
      <c r="K148" s="25" t="str">
        <f t="shared" si="55"/>
        <v>4019/4020</v>
      </c>
      <c r="L148" s="25" t="str">
        <f>VLOOKUP(A148,'Trips&amp;Operators'!$C$1:$E$10000,3,FALSE)</f>
        <v>CHANDLER</v>
      </c>
      <c r="M148" s="6">
        <f t="shared" si="56"/>
        <v>8.2638888852670789E-3</v>
      </c>
      <c r="N148" s="7"/>
      <c r="O148" s="7"/>
      <c r="P148" s="7">
        <f>24*60*SUM($M148:$M148)</f>
        <v>11.899999994784594</v>
      </c>
      <c r="Q148" s="26"/>
      <c r="R148" s="26" t="s">
        <v>649</v>
      </c>
      <c r="S148" s="38">
        <f t="shared" si="51"/>
        <v>0</v>
      </c>
      <c r="T148" s="55" t="str">
        <f t="shared" si="57"/>
        <v>Southbound</v>
      </c>
      <c r="U148" s="14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21:51:37-0600',mode:absolute,to:'2016-08-09 00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48" s="57" t="str">
        <f t="shared" si="59"/>
        <v>Y</v>
      </c>
      <c r="X148" s="136">
        <f t="shared" si="52"/>
        <v>1</v>
      </c>
      <c r="Y148" s="72">
        <f t="shared" si="53"/>
        <v>23.2971</v>
      </c>
      <c r="Z148" s="72">
        <f t="shared" si="54"/>
        <v>22.197900000000001</v>
      </c>
      <c r="AA148" s="72">
        <f t="shared" si="60"/>
        <v>1.0991999999999997</v>
      </c>
      <c r="AB148" s="69" t="e">
        <f>VLOOKUP(A148,Enforcements!$C$7:$J$24,8,0)</f>
        <v>#N/A</v>
      </c>
      <c r="AC148" s="65" t="e">
        <f>VLOOKUP(A148,Enforcements!$C$7:$E$24,3,0)</f>
        <v>#N/A</v>
      </c>
      <c r="AD148" s="66" t="str">
        <f t="shared" si="61"/>
        <v>0234-08</v>
      </c>
      <c r="AE148" s="108" t="str">
        <f t="shared" si="62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148" s="105" t="str">
        <f t="shared" si="63"/>
        <v>"C:\Program Files (x86)\AstroGrep\AstroGrep.exe" /spath="%USERPROFILE%\AppData\Local\Temp\OnboardLogs" /stypes="*4019*20160809*" /stext=" 05:.+((SYSTEM_STATE.+slice.+state.+changed )|(ment ac)|(system.+state.+changed )|(\|lc)|(penalty)|(\[timeout)|(PRM\|1\|D)|(kpr)|(kdp))" /e /r /s</v>
      </c>
      <c r="AG148" s="1" t="str">
        <f t="shared" si="64"/>
        <v>EC</v>
      </c>
      <c r="AH148" s="109" t="str">
        <f t="shared" si="65"/>
        <v>"%USERPROFILE%\Documents\GitHub\eaglep3\Utilities\RefineRTDCRunTimes.py" --tripid 234-08 --locoid 4019 --swversion DE.1.0.7.0 --startMP 204:232971 --initTime 2016-08-08T22:51:37 --startdatetime 2016-08-08T22:52:42 --delay 1 --endMP 204:221979 --enddatetime 2016-08-08T23:04:36 --enforcementcount 0</v>
      </c>
    </row>
    <row r="149" spans="1:34" x14ac:dyDescent="0.25">
      <c r="A149" s="25" t="s">
        <v>329</v>
      </c>
      <c r="B149" s="127">
        <v>4027</v>
      </c>
      <c r="C149" s="128" t="s">
        <v>141</v>
      </c>
      <c r="D149" s="128" t="s">
        <v>570</v>
      </c>
      <c r="E149" s="129">
        <v>42590.935254629629</v>
      </c>
      <c r="F149" s="129">
        <v>42590.936377314814</v>
      </c>
      <c r="G149" s="127">
        <v>1</v>
      </c>
      <c r="H149" s="129" t="s">
        <v>574</v>
      </c>
      <c r="I149" s="129">
        <v>42590.957800925928</v>
      </c>
      <c r="J149" s="127">
        <v>1</v>
      </c>
      <c r="K149" s="25" t="str">
        <f t="shared" si="55"/>
        <v>4027/4028</v>
      </c>
      <c r="L149" s="25" t="str">
        <f>VLOOKUP(A149,'Trips&amp;Operators'!$C$1:$E$10000,3,FALSE)</f>
        <v>STORY</v>
      </c>
      <c r="M149" s="6">
        <f t="shared" si="56"/>
        <v>2.142361111327773E-2</v>
      </c>
      <c r="N149" s="7"/>
      <c r="O149" s="7"/>
      <c r="P149" s="7">
        <f>24*60*SUM($M149:$M149)</f>
        <v>30.850000003119931</v>
      </c>
      <c r="Q149" s="26"/>
      <c r="R149" s="26" t="s">
        <v>648</v>
      </c>
      <c r="S149" s="38">
        <f t="shared" si="51"/>
        <v>1</v>
      </c>
      <c r="T149" s="55" t="str">
        <f t="shared" si="57"/>
        <v>NorthBound</v>
      </c>
      <c r="U149" s="14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21:26:46-0600',mode:absolute,to:'2016-08-08 23:59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49" s="57" t="str">
        <f t="shared" si="59"/>
        <v>Y</v>
      </c>
      <c r="X149" s="136">
        <f t="shared" si="52"/>
        <v>1</v>
      </c>
      <c r="Y149" s="72">
        <f t="shared" si="53"/>
        <v>4.58E-2</v>
      </c>
      <c r="Z149" s="72">
        <f t="shared" si="54"/>
        <v>15.456</v>
      </c>
      <c r="AA149" s="72">
        <f t="shared" si="60"/>
        <v>15.4102</v>
      </c>
      <c r="AB149" s="69" t="e">
        <f>VLOOKUP(A149,Enforcements!$C$7:$J$24,8,0)</f>
        <v>#N/A</v>
      </c>
      <c r="AC149" s="65" t="e">
        <f>VLOOKUP(A149,Enforcements!$C$7:$E$24,3,0)</f>
        <v>#N/A</v>
      </c>
      <c r="AD149" s="66" t="str">
        <f t="shared" si="61"/>
        <v>0235-08</v>
      </c>
      <c r="AE149" s="108" t="str">
        <f t="shared" si="62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149" s="105" t="str">
        <f t="shared" si="63"/>
        <v>"C:\Program Files (x86)\AstroGrep\AstroGrep.exe" /spath="%USERPROFILE%\AppData\Local\Temp\OnboardLogs" /stypes="*4027*20160809*" /stext=" 04:.+((SYSTEM_STATE.+slice.+state.+changed )|(ment ac)|(system.+state.+changed )|(\|lc)|(penalty)|(\[timeout)|(PRM\|1\|D)|(kpr)|(kdp))" /e /r /s</v>
      </c>
      <c r="AG149" s="1" t="str">
        <f t="shared" si="64"/>
        <v>EC</v>
      </c>
      <c r="AH149" s="109" t="str">
        <f t="shared" si="65"/>
        <v>"%USERPROFILE%\Documents\GitHub\eaglep3\Utilities\RefineRTDCRunTimes.py" --tripid 235-08 --locoid 4027 --swversion DE.1.0.7.0 --startMP 204:458 --initTime 2016-08-08T22:26:46 --startdatetime 2016-08-08T22:28:23 --delay 1 --endMP 204:154560 --enddatetime 2016-08-08T22:59:14 --enforcementcount 1</v>
      </c>
    </row>
    <row r="150" spans="1:34" x14ac:dyDescent="0.25">
      <c r="A150" s="25" t="s">
        <v>330</v>
      </c>
      <c r="B150" s="127">
        <v>4028</v>
      </c>
      <c r="C150" s="128" t="s">
        <v>141</v>
      </c>
      <c r="D150" s="128" t="s">
        <v>575</v>
      </c>
      <c r="E150" s="129">
        <v>42590.978460648148</v>
      </c>
      <c r="F150" s="129">
        <v>42590.979363425926</v>
      </c>
      <c r="G150" s="127">
        <v>1</v>
      </c>
      <c r="H150" s="129" t="s">
        <v>215</v>
      </c>
      <c r="I150" s="129">
        <v>42591.009652777779</v>
      </c>
      <c r="J150" s="127">
        <v>1</v>
      </c>
      <c r="K150" s="25" t="str">
        <f t="shared" si="55"/>
        <v>4027/4028</v>
      </c>
      <c r="L150" s="25" t="str">
        <f>VLOOKUP(A150,'Trips&amp;Operators'!$C$1:$E$10000,3,FALSE)</f>
        <v>STORY</v>
      </c>
      <c r="M150" s="6">
        <f t="shared" si="56"/>
        <v>3.0289351852843538E-2</v>
      </c>
      <c r="N150" s="7">
        <f t="shared" ref="N150:N166" si="66">24*60*SUM($M150:$M150)</f>
        <v>43.616666668094695</v>
      </c>
      <c r="O150" s="7"/>
      <c r="P150" s="7"/>
      <c r="Q150" s="26"/>
      <c r="R150" s="26"/>
      <c r="S150" s="38">
        <f t="shared" si="51"/>
        <v>1</v>
      </c>
      <c r="T150" s="55" t="str">
        <f t="shared" si="57"/>
        <v>Southbound</v>
      </c>
      <c r="U150" s="14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22:28:59-0600',mode:absolute,to:'2016-08-09 01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50" s="57" t="str">
        <f t="shared" si="59"/>
        <v>N</v>
      </c>
      <c r="X150" s="136">
        <f t="shared" si="52"/>
        <v>1</v>
      </c>
      <c r="Y150" s="72">
        <f t="shared" si="53"/>
        <v>23.294799999999999</v>
      </c>
      <c r="Z150" s="72">
        <f t="shared" si="54"/>
        <v>1.41E-2</v>
      </c>
      <c r="AA150" s="72">
        <f t="shared" si="60"/>
        <v>23.2807</v>
      </c>
      <c r="AB150" s="69" t="e">
        <f>VLOOKUP(A150,Enforcements!$C$7:$J$24,8,0)</f>
        <v>#N/A</v>
      </c>
      <c r="AC150" s="65" t="e">
        <f>VLOOKUP(A150,Enforcements!$C$7:$E$24,3,0)</f>
        <v>#N/A</v>
      </c>
      <c r="AD150" s="66" t="str">
        <f t="shared" si="61"/>
        <v>0236-08</v>
      </c>
      <c r="AE150" s="108" t="str">
        <f t="shared" si="62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150" s="105" t="str">
        <f t="shared" si="63"/>
        <v>"C:\Program Files (x86)\AstroGrep\AstroGrep.exe" /spath="%USERPROFILE%\AppData\Local\Temp\OnboardLogs" /stypes="*4028*20160809*" /stext=" 06:.+((SYSTEM_STATE.+slice.+state.+changed )|(ment ac)|(system.+state.+changed )|(\|lc)|(penalty)|(\[timeout)|(PRM\|1\|D)|(kpr)|(kdp))" /e /r /s</v>
      </c>
      <c r="AG150" s="1" t="str">
        <f t="shared" si="64"/>
        <v>EC</v>
      </c>
      <c r="AH150" s="109" t="str">
        <f t="shared" si="65"/>
        <v>"%USERPROFILE%\Documents\GitHub\eaglep3\Utilities\RefineRTDCRunTimes.py" --tripid 236-08 --locoid 4028 --swversion DE.1.0.7.0 --startMP 204:232948 --initTime 2016-08-08T23:28:59 --startdatetime 2016-08-08T23:30:17 --delay 1 --endMP 204:141 --enddatetime 2016-08-09T00:13:54 --enforcementcount 1</v>
      </c>
    </row>
    <row r="151" spans="1:34" x14ac:dyDescent="0.25">
      <c r="A151" s="25" t="s">
        <v>480</v>
      </c>
      <c r="B151" s="127">
        <v>4029</v>
      </c>
      <c r="C151" s="128" t="s">
        <v>141</v>
      </c>
      <c r="D151" s="128" t="s">
        <v>63</v>
      </c>
      <c r="E151" s="129">
        <v>42590.951226851852</v>
      </c>
      <c r="F151" s="129">
        <v>42590.952210648145</v>
      </c>
      <c r="G151" s="127">
        <v>1</v>
      </c>
      <c r="H151" s="129" t="s">
        <v>558</v>
      </c>
      <c r="I151" s="129">
        <v>42590.985995370371</v>
      </c>
      <c r="J151" s="127">
        <v>0</v>
      </c>
      <c r="K151" s="25" t="str">
        <f t="shared" si="55"/>
        <v>4029/4030</v>
      </c>
      <c r="L151" s="25" t="str">
        <f>VLOOKUP(A151,'Trips&amp;Operators'!$C$1:$E$10000,3,FALSE)</f>
        <v>ISHMAEL</v>
      </c>
      <c r="M151" s="6">
        <f t="shared" si="56"/>
        <v>3.3784722225391306E-2</v>
      </c>
      <c r="N151" s="7">
        <f t="shared" si="66"/>
        <v>48.650000004563481</v>
      </c>
      <c r="O151" s="7"/>
      <c r="P151" s="7"/>
      <c r="Q151" s="26"/>
      <c r="R151" s="26"/>
      <c r="S151" s="38">
        <f t="shared" si="51"/>
        <v>1</v>
      </c>
      <c r="T151" s="55" t="str">
        <f t="shared" si="57"/>
        <v>NorthBound</v>
      </c>
      <c r="U151" s="14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21:49:46-0600',mode:absolute,to:'2016-08-09 00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51" s="57" t="str">
        <f t="shared" si="59"/>
        <v>N</v>
      </c>
      <c r="X151" s="136">
        <f t="shared" si="52"/>
        <v>1</v>
      </c>
      <c r="Y151" s="72">
        <f t="shared" si="53"/>
        <v>4.5999999999999999E-2</v>
      </c>
      <c r="Z151" s="72">
        <f t="shared" si="54"/>
        <v>23.327000000000002</v>
      </c>
      <c r="AA151" s="72">
        <f t="shared" si="60"/>
        <v>23.281000000000002</v>
      </c>
      <c r="AB151" s="69" t="e">
        <f>VLOOKUP(A151,Enforcements!$C$7:$J$24,8,0)</f>
        <v>#N/A</v>
      </c>
      <c r="AC151" s="65" t="e">
        <f>VLOOKUP(A151,Enforcements!$C$7:$E$24,3,0)</f>
        <v>#N/A</v>
      </c>
      <c r="AD151" s="66" t="str">
        <f t="shared" si="61"/>
        <v>0237-08</v>
      </c>
      <c r="AE151" s="108" t="str">
        <f t="shared" si="62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151" s="105" t="str">
        <f t="shared" si="63"/>
        <v>"C:\Program Files (x86)\AstroGrep\AstroGrep.exe" /spath="%USERPROFILE%\AppData\Local\Temp\OnboardLogs" /stypes="*4029*20160809*" /stext=" 05:.+((SYSTEM_STATE.+slice.+state.+changed )|(ment ac)|(system.+state.+changed )|(\|lc)|(penalty)|(\[timeout)|(PRM\|1\|D)|(kpr)|(kdp))" /e /r /s</v>
      </c>
      <c r="AG151" s="1" t="str">
        <f t="shared" si="64"/>
        <v>EC</v>
      </c>
      <c r="AH151" s="109" t="str">
        <f t="shared" si="65"/>
        <v>"%USERPROFILE%\Documents\GitHub\eaglep3\Utilities\RefineRTDCRunTimes.py" --tripid 237-08 --locoid 4029 --swversion DE.1.0.7.0 --startMP 204:460 --initTime 2016-08-08T22:49:46 --startdatetime 2016-08-08T22:51:11 --delay 1 --endMP 204:233270 --enddatetime 2016-08-08T23:39:50 --enforcementcount 0</v>
      </c>
    </row>
    <row r="152" spans="1:34" x14ac:dyDescent="0.25">
      <c r="A152" s="25" t="s">
        <v>483</v>
      </c>
      <c r="B152" s="127">
        <v>4030</v>
      </c>
      <c r="C152" s="128" t="s">
        <v>141</v>
      </c>
      <c r="D152" s="128" t="s">
        <v>64</v>
      </c>
      <c r="E152" s="129">
        <v>42590.990324074075</v>
      </c>
      <c r="F152" s="129">
        <v>42590.991527777776</v>
      </c>
      <c r="G152" s="127">
        <v>1</v>
      </c>
      <c r="H152" s="129" t="s">
        <v>191</v>
      </c>
      <c r="I152" s="129">
        <v>42591.025995370372</v>
      </c>
      <c r="J152" s="127">
        <v>0</v>
      </c>
      <c r="K152" s="25" t="str">
        <f t="shared" si="55"/>
        <v>4029/4030</v>
      </c>
      <c r="L152" s="25" t="str">
        <f>VLOOKUP(A152,'Trips&amp;Operators'!$C$1:$E$10000,3,FALSE)</f>
        <v>ISHMAEL</v>
      </c>
      <c r="M152" s="6">
        <f t="shared" si="56"/>
        <v>3.4467592595319729E-2</v>
      </c>
      <c r="N152" s="7">
        <f t="shared" si="66"/>
        <v>49.63333333726041</v>
      </c>
      <c r="O152" s="7"/>
      <c r="P152" s="7"/>
      <c r="Q152" s="26"/>
      <c r="R152" s="26"/>
      <c r="S152" s="38">
        <f t="shared" si="51"/>
        <v>1</v>
      </c>
      <c r="T152" s="55" t="str">
        <f t="shared" si="57"/>
        <v>Southbound</v>
      </c>
      <c r="U152" s="14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22:46:04-0600',mode:absolute,to:'2016-08-09 01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52" s="57" t="str">
        <f t="shared" si="59"/>
        <v>N</v>
      </c>
      <c r="X152" s="136">
        <f t="shared" si="52"/>
        <v>1</v>
      </c>
      <c r="Y152" s="72">
        <f t="shared" si="53"/>
        <v>23.297699999999999</v>
      </c>
      <c r="Z152" s="72">
        <f t="shared" si="54"/>
        <v>1.47E-2</v>
      </c>
      <c r="AA152" s="72">
        <f t="shared" si="60"/>
        <v>23.282999999999998</v>
      </c>
      <c r="AB152" s="69" t="e">
        <f>VLOOKUP(A152,Enforcements!$C$7:$J$24,8,0)</f>
        <v>#N/A</v>
      </c>
      <c r="AC152" s="65" t="e">
        <f>VLOOKUP(A152,Enforcements!$C$7:$E$24,3,0)</f>
        <v>#N/A</v>
      </c>
      <c r="AD152" s="66" t="str">
        <f t="shared" si="61"/>
        <v>0238-08</v>
      </c>
      <c r="AE152" s="108" t="str">
        <f t="shared" si="62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152" s="105" t="str">
        <f t="shared" si="63"/>
        <v>"C:\Program Files (x86)\AstroGrep\AstroGrep.exe" /spath="%USERPROFILE%\AppData\Local\Temp\OnboardLogs" /stypes="*4030*20160809*" /stext=" 06:.+((SYSTEM_STATE.+slice.+state.+changed )|(ment ac)|(system.+state.+changed )|(\|lc)|(penalty)|(\[timeout)|(PRM\|1\|D)|(kpr)|(kdp))" /e /r /s</v>
      </c>
      <c r="AG152" s="1" t="str">
        <f t="shared" si="64"/>
        <v>EC</v>
      </c>
      <c r="AH152" s="109" t="str">
        <f t="shared" si="65"/>
        <v>"%USERPROFILE%\Documents\GitHub\eaglep3\Utilities\RefineRTDCRunTimes.py" --tripid 238-08 --locoid 4030 --swversion DE.1.0.7.0 --startMP 204:232977 --initTime 2016-08-08T23:46:04 --startdatetime 2016-08-08T23:47:48 --delay 1 --endMP 204:147 --enddatetime 2016-08-09T00:37:26 --enforcementcount 0</v>
      </c>
    </row>
    <row r="153" spans="1:34" x14ac:dyDescent="0.25">
      <c r="A153" s="25" t="s">
        <v>482</v>
      </c>
      <c r="B153" s="127">
        <v>4007</v>
      </c>
      <c r="C153" s="128" t="s">
        <v>141</v>
      </c>
      <c r="D153" s="128" t="s">
        <v>166</v>
      </c>
      <c r="E153" s="129">
        <v>42590.974733796298</v>
      </c>
      <c r="F153" s="129">
        <v>42590.975706018522</v>
      </c>
      <c r="G153" s="127">
        <v>1</v>
      </c>
      <c r="H153" s="129" t="s">
        <v>198</v>
      </c>
      <c r="I153" s="129">
        <v>42591.00571759259</v>
      </c>
      <c r="J153" s="127">
        <v>0</v>
      </c>
      <c r="K153" s="25" t="str">
        <f t="shared" si="55"/>
        <v>4007/4008</v>
      </c>
      <c r="L153" s="25" t="str">
        <f>VLOOKUP(A153,'Trips&amp;Operators'!$C$1:$E$10000,3,FALSE)</f>
        <v>NEWELL</v>
      </c>
      <c r="M153" s="6">
        <f t="shared" si="56"/>
        <v>3.0011574068339542E-2</v>
      </c>
      <c r="N153" s="7">
        <f t="shared" si="66"/>
        <v>43.21666665840894</v>
      </c>
      <c r="O153" s="7"/>
      <c r="P153" s="7"/>
      <c r="Q153" s="26"/>
      <c r="R153" s="26"/>
      <c r="S153" s="38">
        <f t="shared" si="51"/>
        <v>1</v>
      </c>
      <c r="T153" s="55" t="str">
        <f t="shared" si="57"/>
        <v>NorthBound</v>
      </c>
      <c r="U153" s="14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22:23:37-0600',mode:absolute,to:'2016-08-09 01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53" s="57" t="str">
        <f t="shared" si="59"/>
        <v>N</v>
      </c>
      <c r="X153" s="136">
        <f t="shared" si="52"/>
        <v>1</v>
      </c>
      <c r="Y153" s="72">
        <f t="shared" si="53"/>
        <v>4.5699999999999998E-2</v>
      </c>
      <c r="Z153" s="72">
        <f t="shared" si="54"/>
        <v>23.328900000000001</v>
      </c>
      <c r="AA153" s="72">
        <f t="shared" si="60"/>
        <v>23.283200000000001</v>
      </c>
      <c r="AB153" s="69" t="e">
        <f>VLOOKUP(A153,Enforcements!$C$7:$J$24,8,0)</f>
        <v>#N/A</v>
      </c>
      <c r="AC153" s="65" t="e">
        <f>VLOOKUP(A153,Enforcements!$C$7:$E$24,3,0)</f>
        <v>#N/A</v>
      </c>
      <c r="AD153" s="66" t="str">
        <f t="shared" si="61"/>
        <v>0239-08</v>
      </c>
      <c r="AE153" s="108" t="str">
        <f t="shared" si="62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153" s="105" t="str">
        <f t="shared" si="63"/>
        <v>"C:\Program Files (x86)\AstroGrep\AstroGrep.exe" /spath="%USERPROFILE%\AppData\Local\Temp\OnboardLogs" /stypes="*4007*20160809*" /stext=" 06:.+((SYSTEM_STATE.+slice.+state.+changed )|(ment ac)|(system.+state.+changed )|(\|lc)|(penalty)|(\[timeout)|(PRM\|1\|D)|(kpr)|(kdp))" /e /r /s</v>
      </c>
      <c r="AG153" s="1" t="str">
        <f t="shared" si="64"/>
        <v>EC</v>
      </c>
      <c r="AH153" s="109" t="str">
        <f t="shared" si="65"/>
        <v>"%USERPROFILE%\Documents\GitHub\eaglep3\Utilities\RefineRTDCRunTimes.py" --tripid 239-08 --locoid 4007 --swversion DE.1.0.7.0 --startMP 204:457 --initTime 2016-08-08T23:23:37 --startdatetime 2016-08-08T23:25:01 --delay 1 --endMP 204:233289 --enddatetime 2016-08-09T00:08:14 --enforcementcount 0</v>
      </c>
    </row>
    <row r="154" spans="1:34" x14ac:dyDescent="0.25">
      <c r="A154" s="25" t="s">
        <v>486</v>
      </c>
      <c r="B154" s="127">
        <v>4008</v>
      </c>
      <c r="C154" s="128" t="s">
        <v>141</v>
      </c>
      <c r="D154" s="128" t="s">
        <v>165</v>
      </c>
      <c r="E154" s="129">
        <v>42591.015347222223</v>
      </c>
      <c r="F154" s="129">
        <v>42591.016076388885</v>
      </c>
      <c r="G154" s="127">
        <v>1</v>
      </c>
      <c r="H154" s="129" t="s">
        <v>130</v>
      </c>
      <c r="I154" s="129">
        <v>42591.045671296299</v>
      </c>
      <c r="J154" s="127">
        <v>0</v>
      </c>
      <c r="K154" s="25" t="str">
        <f t="shared" si="55"/>
        <v>4007/4008</v>
      </c>
      <c r="L154" s="25" t="str">
        <f>VLOOKUP(A154,'Trips&amp;Operators'!$C$1:$E$10000,3,FALSE)</f>
        <v>NEWELL</v>
      </c>
      <c r="M154" s="6">
        <f t="shared" si="56"/>
        <v>2.959490741341142E-2</v>
      </c>
      <c r="N154" s="7">
        <f t="shared" si="66"/>
        <v>42.616666675312445</v>
      </c>
      <c r="O154" s="7"/>
      <c r="P154" s="7"/>
      <c r="Q154" s="26"/>
      <c r="R154" s="26"/>
      <c r="S154" s="38">
        <f t="shared" si="51"/>
        <v>1</v>
      </c>
      <c r="T154" s="55" t="str">
        <f t="shared" si="57"/>
        <v>Southbound</v>
      </c>
      <c r="U154" s="14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23:22:06-0600',mode:absolute,to:'2016-08-09 02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54" s="57" t="str">
        <f t="shared" si="59"/>
        <v>N</v>
      </c>
      <c r="X154" s="136">
        <f t="shared" si="52"/>
        <v>1</v>
      </c>
      <c r="Y154" s="72">
        <f t="shared" si="53"/>
        <v>23.297499999999999</v>
      </c>
      <c r="Z154" s="72">
        <f t="shared" si="54"/>
        <v>1.4999999999999999E-2</v>
      </c>
      <c r="AA154" s="72">
        <f t="shared" si="60"/>
        <v>23.282499999999999</v>
      </c>
      <c r="AB154" s="69" t="e">
        <f>VLOOKUP(A154,Enforcements!$C$7:$J$24,8,0)</f>
        <v>#N/A</v>
      </c>
      <c r="AC154" s="65" t="e">
        <f>VLOOKUP(A154,Enforcements!$C$7:$E$24,3,0)</f>
        <v>#N/A</v>
      </c>
      <c r="AD154" s="66" t="str">
        <f t="shared" si="61"/>
        <v>0240-08</v>
      </c>
      <c r="AE154" s="108" t="str">
        <f t="shared" si="62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54" s="105" t="str">
        <f t="shared" si="63"/>
        <v>"C:\Program Files (x86)\AstroGrep\AstroGrep.exe" /spath="%USERPROFILE%\AppData\Local\Temp\OnboardLogs" /stypes="*4008*20160809*" /stext=" 07:.+((SYSTEM_STATE.+slice.+state.+changed )|(ment ac)|(system.+state.+changed )|(\|lc)|(penalty)|(\[timeout)|(PRM\|1\|D)|(kpr)|(kdp))" /e /r /s</v>
      </c>
      <c r="AG154" s="1" t="str">
        <f t="shared" si="64"/>
        <v>EC</v>
      </c>
      <c r="AH154" s="109" t="str">
        <f t="shared" si="65"/>
        <v>"%USERPROFILE%\Documents\GitHub\eaglep3\Utilities\RefineRTDCRunTimes.py" --tripid 240-08 --locoid 4008 --swversion DE.1.0.7.0 --startMP 204:232975 --initTime 2016-08-09T00:22:06 --startdatetime 2016-08-09T00:23:09 --delay 1 --endMP 204:150 --enddatetime 2016-08-09T01:05:46 --enforcementcount 0</v>
      </c>
    </row>
    <row r="155" spans="1:34" x14ac:dyDescent="0.25">
      <c r="A155" s="25" t="s">
        <v>484</v>
      </c>
      <c r="B155" s="127">
        <v>4020</v>
      </c>
      <c r="C155" s="128" t="s">
        <v>141</v>
      </c>
      <c r="D155" s="128" t="s">
        <v>569</v>
      </c>
      <c r="E155" s="129">
        <v>42591.000648148147</v>
      </c>
      <c r="F155" s="129">
        <v>42591.00141203704</v>
      </c>
      <c r="G155" s="127">
        <v>1</v>
      </c>
      <c r="H155" s="129" t="s">
        <v>576</v>
      </c>
      <c r="I155" s="129">
        <v>42591.029004629629</v>
      </c>
      <c r="J155" s="127">
        <v>0</v>
      </c>
      <c r="K155" s="25" t="str">
        <f t="shared" si="55"/>
        <v>4019/4020</v>
      </c>
      <c r="L155" s="25" t="str">
        <f>VLOOKUP(A155,'Trips&amp;Operators'!$C$1:$E$10000,3,FALSE)</f>
        <v>CHANDLER</v>
      </c>
      <c r="M155" s="6">
        <f t="shared" si="56"/>
        <v>2.7592592588916887E-2</v>
      </c>
      <c r="N155" s="7">
        <f t="shared" si="66"/>
        <v>39.733333328040317</v>
      </c>
      <c r="O155" s="7"/>
      <c r="P155" s="7"/>
      <c r="Q155" s="26"/>
      <c r="R155" s="26"/>
      <c r="S155" s="38">
        <f t="shared" si="51"/>
        <v>1</v>
      </c>
      <c r="T155" s="55" t="str">
        <f t="shared" si="57"/>
        <v>NorthBound</v>
      </c>
      <c r="U155" s="14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23:00:56-0600',mode:absolute,to:'2016-08-09 01:41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55" s="57" t="str">
        <f t="shared" si="59"/>
        <v>N</v>
      </c>
      <c r="X155" s="136">
        <f t="shared" si="52"/>
        <v>1</v>
      </c>
      <c r="Y155" s="72">
        <f t="shared" si="53"/>
        <v>4.7500000000000001E-2</v>
      </c>
      <c r="Z155" s="72">
        <f t="shared" si="54"/>
        <v>23.327400000000001</v>
      </c>
      <c r="AA155" s="72">
        <f t="shared" si="60"/>
        <v>23.279900000000001</v>
      </c>
      <c r="AB155" s="69" t="e">
        <f>VLOOKUP(A155,Enforcements!$C$7:$J$24,8,0)</f>
        <v>#N/A</v>
      </c>
      <c r="AC155" s="65" t="e">
        <f>VLOOKUP(A155,Enforcements!$C$7:$E$24,3,0)</f>
        <v>#N/A</v>
      </c>
      <c r="AD155" s="66" t="str">
        <f t="shared" si="61"/>
        <v>0241-08</v>
      </c>
      <c r="AE155" s="108" t="str">
        <f t="shared" si="62"/>
        <v>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 &amp; 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</v>
      </c>
      <c r="AF155" s="105" t="str">
        <f t="shared" si="63"/>
        <v>"C:\Program Files (x86)\AstroGrep\AstroGrep.exe" /spath="%USERPROFILE%\AppData\Local\Temp\OnboardLogs" /stypes="*4020*20160809*" /stext=" 06:.+((SYSTEM_STATE.+slice.+state.+changed )|(ment ac)|(system.+state.+changed )|(\|lc)|(penalty)|(\[timeout)|(PRM\|1\|D)|(kpr)|(kdp))" /e /r /s</v>
      </c>
      <c r="AG155" s="1" t="str">
        <f t="shared" si="64"/>
        <v>EC</v>
      </c>
      <c r="AH155" s="109" t="str">
        <f t="shared" si="65"/>
        <v>"%USERPROFILE%\Documents\GitHub\eaglep3\Utilities\RefineRTDCRunTimes.py" --tripid 241-08 --locoid 4020 --swversion DE.1.0.7.0 --startMP 204:475 --initTime 2016-08-09T00:00:56 --startdatetime 2016-08-09T00:02:02 --delay 1 --endMP 204:233274 --enddatetime 2016-08-09T00:41:46 --enforcementcount 0</v>
      </c>
    </row>
    <row r="156" spans="1:34" x14ac:dyDescent="0.25">
      <c r="A156" s="25" t="s">
        <v>488</v>
      </c>
      <c r="B156" s="127">
        <v>4019</v>
      </c>
      <c r="C156" s="128" t="s">
        <v>141</v>
      </c>
      <c r="D156" s="128" t="s">
        <v>240</v>
      </c>
      <c r="E156" s="129">
        <v>42591.037893518522</v>
      </c>
      <c r="F156" s="129">
        <v>42591.038784722223</v>
      </c>
      <c r="G156" s="127">
        <v>1</v>
      </c>
      <c r="H156" s="129" t="s">
        <v>531</v>
      </c>
      <c r="I156" s="129">
        <v>42591.066840277781</v>
      </c>
      <c r="J156" s="127">
        <v>0</v>
      </c>
      <c r="K156" s="25" t="str">
        <f t="shared" si="55"/>
        <v>4019/4020</v>
      </c>
      <c r="L156" s="25" t="str">
        <f>VLOOKUP(A156,'Trips&amp;Operators'!$C$1:$E$10000,3,FALSE)</f>
        <v>CHANDLER</v>
      </c>
      <c r="M156" s="6">
        <f t="shared" si="56"/>
        <v>2.8055555558239575E-2</v>
      </c>
      <c r="N156" s="7">
        <f t="shared" si="66"/>
        <v>40.400000003864989</v>
      </c>
      <c r="O156" s="7"/>
      <c r="P156" s="7"/>
      <c r="Q156" s="26"/>
      <c r="R156" s="26"/>
      <c r="S156" s="38">
        <f t="shared" si="51"/>
        <v>1</v>
      </c>
      <c r="T156" s="55" t="str">
        <f t="shared" si="57"/>
        <v>Southbound</v>
      </c>
      <c r="U156" s="14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23:54:34-0600',mode:absolute,to:'2016-08-09 02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56" s="57" t="str">
        <f t="shared" si="59"/>
        <v>N</v>
      </c>
      <c r="X156" s="136">
        <f t="shared" si="52"/>
        <v>1</v>
      </c>
      <c r="Y156" s="72">
        <f t="shared" si="53"/>
        <v>23.2959</v>
      </c>
      <c r="Z156" s="72">
        <f t="shared" si="54"/>
        <v>1.67E-2</v>
      </c>
      <c r="AA156" s="72">
        <f t="shared" si="60"/>
        <v>23.279199999999999</v>
      </c>
      <c r="AB156" s="69" t="e">
        <f>VLOOKUP(A156,Enforcements!$C$7:$J$24,8,0)</f>
        <v>#N/A</v>
      </c>
      <c r="AC156" s="65" t="e">
        <f>VLOOKUP(A156,Enforcements!$C$7:$E$24,3,0)</f>
        <v>#N/A</v>
      </c>
      <c r="AD156" s="66" t="str">
        <f t="shared" si="61"/>
        <v>0242-08</v>
      </c>
      <c r="AE156" s="108" t="str">
        <f t="shared" si="62"/>
        <v>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 &amp; 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</v>
      </c>
      <c r="AF156" s="105" t="str">
        <f t="shared" si="63"/>
        <v>"C:\Program Files (x86)\AstroGrep\AstroGrep.exe" /spath="%USERPROFILE%\AppData\Local\Temp\OnboardLogs" /stypes="*4019*20160809*" /stext=" 07:.+((SYSTEM_STATE.+slice.+state.+changed )|(ment ac)|(system.+state.+changed )|(\|lc)|(penalty)|(\[timeout)|(PRM\|1\|D)|(kpr)|(kdp))" /e /r /s</v>
      </c>
      <c r="AG156" s="1" t="str">
        <f t="shared" si="64"/>
        <v>EC</v>
      </c>
      <c r="AH156" s="109" t="str">
        <f t="shared" si="65"/>
        <v>"%USERPROFILE%\Documents\GitHub\eaglep3\Utilities\RefineRTDCRunTimes.py" --tripid 242-08 --locoid 4019 --swversion DE.1.0.7.0 --startMP 204:232959 --initTime 2016-08-09T00:54:34 --startdatetime 2016-08-09T00:55:51 --delay 1 --endMP 204:167 --enddatetime 2016-08-09T01:36:15 --enforcementcount 0</v>
      </c>
    </row>
    <row r="157" spans="1:34" x14ac:dyDescent="0.25">
      <c r="A157" s="25" t="s">
        <v>485</v>
      </c>
      <c r="B157" s="127">
        <v>4027</v>
      </c>
      <c r="C157" s="128" t="s">
        <v>141</v>
      </c>
      <c r="D157" s="128" t="s">
        <v>209</v>
      </c>
      <c r="E157" s="129">
        <v>42591.014201388891</v>
      </c>
      <c r="F157" s="129">
        <v>42591.01494212963</v>
      </c>
      <c r="G157" s="127">
        <v>1</v>
      </c>
      <c r="H157" s="129" t="s">
        <v>576</v>
      </c>
      <c r="I157" s="129">
        <v>42591.046631944446</v>
      </c>
      <c r="J157" s="127">
        <v>0</v>
      </c>
      <c r="K157" s="25" t="str">
        <f t="shared" si="55"/>
        <v>4027/4028</v>
      </c>
      <c r="L157" s="25" t="str">
        <f>VLOOKUP(A157,'Trips&amp;Operators'!$C$1:$E$10000,3,FALSE)</f>
        <v>STORY</v>
      </c>
      <c r="M157" s="6">
        <f t="shared" si="56"/>
        <v>3.1689814815763384E-2</v>
      </c>
      <c r="N157" s="7">
        <f t="shared" si="66"/>
        <v>45.633333334699273</v>
      </c>
      <c r="O157" s="7"/>
      <c r="P157" s="7"/>
      <c r="Q157" s="26"/>
      <c r="R157" s="26"/>
      <c r="S157" s="38">
        <f t="shared" si="51"/>
        <v>1</v>
      </c>
      <c r="T157" s="55" t="str">
        <f t="shared" si="57"/>
        <v>NorthBound</v>
      </c>
      <c r="U157" s="14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23:20:27-0600',mode:absolute,to:'2016-08-09 02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57" s="57" t="str">
        <f t="shared" si="59"/>
        <v>N</v>
      </c>
      <c r="X157" s="136">
        <f t="shared" si="52"/>
        <v>1</v>
      </c>
      <c r="Y157" s="72">
        <f t="shared" si="53"/>
        <v>4.3299999999999998E-2</v>
      </c>
      <c r="Z157" s="72">
        <f t="shared" si="54"/>
        <v>23.327400000000001</v>
      </c>
      <c r="AA157" s="72">
        <f t="shared" si="60"/>
        <v>23.284100000000002</v>
      </c>
      <c r="AB157" s="69" t="e">
        <f>VLOOKUP(A157,Enforcements!$C$7:$J$24,8,0)</f>
        <v>#N/A</v>
      </c>
      <c r="AC157" s="65" t="e">
        <f>VLOOKUP(A157,Enforcements!$C$7:$E$24,3,0)</f>
        <v>#N/A</v>
      </c>
      <c r="AD157" s="66" t="str">
        <f t="shared" si="61"/>
        <v>0243-08</v>
      </c>
      <c r="AE157" s="108" t="str">
        <f t="shared" si="62"/>
        <v>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 &amp; aws s3 cp s3://rtdc.mdm.uploadarchive/RTDC4027/2016-08-10/ "%USERPROFILE%\AppData\Local\Temp\OnboardLogs"\RTDC4027\2016-08-10 --recursive &amp; "%USERPROFILE%\Documents\GitHub\mrs-test-scripts\Headless Mode &amp; Sideloading\WalkAndUnGZ.bat" "%USERPROFILE%\AppData\Local\Temp\OnboardLogs"\RTDC4027\2016-08-10</v>
      </c>
      <c r="AF157" s="105" t="str">
        <f t="shared" si="63"/>
        <v>"C:\Program Files (x86)\AstroGrep\AstroGrep.exe" /spath="%USERPROFILE%\AppData\Local\Temp\OnboardLogs" /stypes="*4027*20160809*" /stext=" 07:.+((SYSTEM_STATE.+slice.+state.+changed )|(ment ac)|(system.+state.+changed )|(\|lc)|(penalty)|(\[timeout)|(PRM\|1\|D)|(kpr)|(kdp))" /e /r /s</v>
      </c>
      <c r="AG157" s="1" t="str">
        <f t="shared" si="64"/>
        <v>EC</v>
      </c>
      <c r="AH157" s="109" t="str">
        <f t="shared" si="65"/>
        <v>"%USERPROFILE%\Documents\GitHub\eaglep3\Utilities\RefineRTDCRunTimes.py" --tripid 243-08 --locoid 4027 --swversion DE.1.0.7.0 --startMP 204:433 --initTime 2016-08-09T00:20:27 --startdatetime 2016-08-09T00:21:31 --delay 1 --endMP 204:233274 --enddatetime 2016-08-09T01:07:09 --enforcementcount 0</v>
      </c>
    </row>
    <row r="158" spans="1:34" s="24" customFormat="1" x14ac:dyDescent="0.25">
      <c r="A158" s="25" t="s">
        <v>490</v>
      </c>
      <c r="B158" s="127">
        <v>4028</v>
      </c>
      <c r="C158" s="128" t="s">
        <v>141</v>
      </c>
      <c r="D158" s="128" t="s">
        <v>515</v>
      </c>
      <c r="E158" s="129">
        <v>42591.055706018517</v>
      </c>
      <c r="F158" s="129">
        <v>42591.057071759256</v>
      </c>
      <c r="G158" s="127">
        <v>1</v>
      </c>
      <c r="H158" s="129" t="s">
        <v>577</v>
      </c>
      <c r="I158" s="129">
        <v>42591.087199074071</v>
      </c>
      <c r="J158" s="127">
        <v>0</v>
      </c>
      <c r="K158" s="25" t="str">
        <f t="shared" si="55"/>
        <v>4027/4028</v>
      </c>
      <c r="L158" s="25" t="str">
        <f>VLOOKUP(A158,'Trips&amp;Operators'!$C$1:$E$10000,3,FALSE)</f>
        <v>STORY</v>
      </c>
      <c r="M158" s="6">
        <f t="shared" si="56"/>
        <v>3.0127314814308193E-2</v>
      </c>
      <c r="N158" s="7">
        <f t="shared" si="66"/>
        <v>43.383333332603797</v>
      </c>
      <c r="O158" s="7"/>
      <c r="P158" s="7"/>
      <c r="Q158" s="26"/>
      <c r="R158" s="26"/>
      <c r="S158" s="38">
        <f t="shared" si="51"/>
        <v>1</v>
      </c>
      <c r="T158" s="55" t="str">
        <f t="shared" si="57"/>
        <v>Southbound</v>
      </c>
      <c r="U158" s="14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https://search-rtdc-monitor-bjffxe2xuh6vdkpspy63sjmuny.us-east-1.es.amazonaws.com/_plugin/kibana/#/discover/Steve-Slow-Train-Analysis-(2080s-and-2083s)?_g=(refreshInterval:(display:Off,section:0,value:0),time:(from:'2016-08-09 00:20:13-0600',mode:absolute,to:'2016-08-09 03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58" s="57" t="str">
        <f t="shared" si="59"/>
        <v>N</v>
      </c>
      <c r="X158" s="136">
        <f t="shared" si="52"/>
        <v>1</v>
      </c>
      <c r="Y158" s="72">
        <f t="shared" si="53"/>
        <v>23.296099999999999</v>
      </c>
      <c r="Z158" s="72">
        <f t="shared" si="54"/>
        <v>2.1999999999999999E-2</v>
      </c>
      <c r="AA158" s="72">
        <f t="shared" si="60"/>
        <v>23.274100000000001</v>
      </c>
      <c r="AB158" s="69" t="e">
        <f>VLOOKUP(A158,Enforcements!$C$7:$J$24,8,0)</f>
        <v>#N/A</v>
      </c>
      <c r="AC158" s="65" t="e">
        <f>VLOOKUP(A158,Enforcements!$C$7:$E$24,3,0)</f>
        <v>#N/A</v>
      </c>
      <c r="AD158" s="66" t="str">
        <f t="shared" si="61"/>
        <v>0244-08</v>
      </c>
      <c r="AE158" s="108" t="str">
        <f t="shared" si="62"/>
        <v>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 &amp; aws s3 cp s3://rtdc.mdm.uploadarchive/RTDC4028/2016-08-10/ "%USERPROFILE%\AppData\Local\Temp\OnboardLogs"\RTDC4028\2016-08-10 --recursive &amp; "%USERPROFILE%\Documents\GitHub\mrs-test-scripts\Headless Mode &amp; Sideloading\WalkAndUnGZ.bat" "%USERPROFILE%\AppData\Local\Temp\OnboardLogs"\RTDC4028\2016-08-10</v>
      </c>
      <c r="AF158" s="105" t="str">
        <f t="shared" si="63"/>
        <v>"C:\Program Files (x86)\AstroGrep\AstroGrep.exe" /spath="%USERPROFILE%\AppData\Local\Temp\OnboardLogs" /stypes="*4028*20160809*" /stext=" 08:.+((SYSTEM_STATE.+slice.+state.+changed )|(ment ac)|(system.+state.+changed )|(\|lc)|(penalty)|(\[timeout)|(PRM\|1\|D)|(kpr)|(kdp))" /e /r /s</v>
      </c>
      <c r="AG158" s="1" t="str">
        <f t="shared" si="64"/>
        <v>EC</v>
      </c>
      <c r="AH158" s="109" t="str">
        <f t="shared" si="65"/>
        <v>"%USERPROFILE%\Documents\GitHub\eaglep3\Utilities\RefineRTDCRunTimes.py" --tripid 244-08 --locoid 4028 --swversion DE.1.0.7.0 --startMP 204:232961 --initTime 2016-08-09T01:20:13 --startdatetime 2016-08-09T01:22:11 --delay 1 --endMP 204:220 --enddatetime 2016-08-09T02:05:34 --enforcementcount 0</v>
      </c>
    </row>
    <row r="159" spans="1:34" x14ac:dyDescent="0.25">
      <c r="A159" s="25" t="s">
        <v>343</v>
      </c>
      <c r="B159" s="127">
        <v>4015</v>
      </c>
      <c r="C159" s="128" t="s">
        <v>141</v>
      </c>
      <c r="D159" s="128" t="s">
        <v>254</v>
      </c>
      <c r="E159" s="129">
        <v>42590.207708333335</v>
      </c>
      <c r="F159" s="129">
        <v>42590.209282407406</v>
      </c>
      <c r="G159" s="127">
        <v>2</v>
      </c>
      <c r="H159" s="129" t="s">
        <v>582</v>
      </c>
      <c r="I159" s="129">
        <v>42590.228275462963</v>
      </c>
      <c r="J159" s="127">
        <v>0</v>
      </c>
      <c r="K159" s="25" t="str">
        <f t="shared" si="55"/>
        <v>4015/4016</v>
      </c>
      <c r="L159" s="25" t="str">
        <f>VLOOKUP(A159,'Trips&amp;Operators'!$C$1:$E$10000,3,FALSE)</f>
        <v>DAVIS</v>
      </c>
      <c r="M159" s="6">
        <f t="shared" si="56"/>
        <v>1.8993055557075422E-2</v>
      </c>
      <c r="N159" s="7">
        <f t="shared" si="66"/>
        <v>27.350000002188608</v>
      </c>
      <c r="O159" s="7"/>
      <c r="P159" s="7"/>
      <c r="Q159" s="26"/>
      <c r="R159" s="26"/>
      <c r="S159" s="38">
        <f t="shared" si="51"/>
        <v>1</v>
      </c>
      <c r="T159" s="55" t="str">
        <f t="shared" si="57"/>
        <v>Southbound</v>
      </c>
      <c r="U159" s="14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03:59:06-0600',mode:absolute,to:'2016-08-08 06:28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59" s="57" t="str">
        <f t="shared" si="59"/>
        <v>N</v>
      </c>
      <c r="X159" s="136">
        <f t="shared" si="52"/>
        <v>556</v>
      </c>
      <c r="Y159" s="72">
        <f t="shared" si="53"/>
        <v>5.8609</v>
      </c>
      <c r="Z159" s="72">
        <f t="shared" si="54"/>
        <v>6.2899999999999998E-2</v>
      </c>
      <c r="AA159" s="72">
        <f t="shared" si="60"/>
        <v>5.798</v>
      </c>
      <c r="AB159" s="69" t="e">
        <f>VLOOKUP(A159,Enforcements!$C$7:$J$24,8,0)</f>
        <v>#N/A</v>
      </c>
      <c r="AC159" s="65" t="e">
        <f>VLOOKUP(A159,Enforcements!$C$7:$E$24,3,0)</f>
        <v>#N/A</v>
      </c>
      <c r="AD159" s="66" t="str">
        <f t="shared" si="61"/>
        <v>0800-08</v>
      </c>
      <c r="AE159" s="108" t="str">
        <f t="shared" si="62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159" s="105" t="str">
        <f t="shared" si="63"/>
        <v>"C:\Program Files (x86)\AstroGrep\AstroGrep.exe" /spath="%USERPROFILE%\AppData\Local\Temp\OnboardLogs" /stypes="*4015*20160808*" /stext=" 11:.+((SYSTEM_STATE.+slice.+state.+changed )|(ment ac)|(system.+state.+changed )|(\|lc)|(penalty)|(\[timeout)|(PRM\|1\|D)|(kpr)|(kdp))" /e /r /s</v>
      </c>
      <c r="AG159" s="1" t="str">
        <f t="shared" si="64"/>
        <v>NW</v>
      </c>
      <c r="AH159" s="109" t="str">
        <f t="shared" si="65"/>
        <v>"%USERPROFILE%\Documents\GitHub\eaglep3\Utilities\RefineRTDCRunTimes.py" --tripid 800-08 --locoid 4015 --swversion DE.1.0.7.0 --startMP 300:58609 --initTime 2016-08-08T04:59:06 --startdatetime 2016-08-08T05:01:22 --delay 2 --endMP 204:629 --enddatetime 2016-08-08T05:28:43 --enforcementcount 0</v>
      </c>
    </row>
    <row r="160" spans="1:34" x14ac:dyDescent="0.25">
      <c r="A160" s="25" t="s">
        <v>347</v>
      </c>
      <c r="B160" s="127">
        <v>4016</v>
      </c>
      <c r="C160" s="128" t="s">
        <v>141</v>
      </c>
      <c r="D160" s="128" t="s">
        <v>583</v>
      </c>
      <c r="E160" s="129">
        <v>42590.238842592589</v>
      </c>
      <c r="F160" s="129">
        <v>42590.23982638889</v>
      </c>
      <c r="G160" s="127">
        <v>1</v>
      </c>
      <c r="H160" s="129" t="s">
        <v>584</v>
      </c>
      <c r="I160" s="129">
        <v>42590.254537037035</v>
      </c>
      <c r="J160" s="127">
        <v>0</v>
      </c>
      <c r="K160" s="25" t="str">
        <f t="shared" si="55"/>
        <v>4015/4016</v>
      </c>
      <c r="L160" s="25" t="str">
        <f>VLOOKUP(A160,'Trips&amp;Operators'!$C$1:$E$10000,3,FALSE)</f>
        <v>DAVIS</v>
      </c>
      <c r="M160" s="6">
        <f t="shared" si="56"/>
        <v>1.4710648145410232E-2</v>
      </c>
      <c r="N160" s="7">
        <f t="shared" si="66"/>
        <v>21.183333329390734</v>
      </c>
      <c r="O160" s="7"/>
      <c r="P160" s="7"/>
      <c r="Q160" s="26"/>
      <c r="R160" s="26"/>
      <c r="S160" s="38">
        <f t="shared" si="51"/>
        <v>1</v>
      </c>
      <c r="T160" s="55" t="str">
        <f t="shared" si="57"/>
        <v>NorthBound</v>
      </c>
      <c r="U160" s="14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04:43:56-0600',mode:absolute,to:'2016-08-08 07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60" s="57" t="str">
        <f t="shared" si="59"/>
        <v>N</v>
      </c>
      <c r="X160" s="136">
        <f t="shared" si="52"/>
        <v>1</v>
      </c>
      <c r="Y160" s="72">
        <f t="shared" si="53"/>
        <v>9.3600000000000003E-2</v>
      </c>
      <c r="Z160" s="72">
        <f t="shared" si="54"/>
        <v>5.8924000000000003</v>
      </c>
      <c r="AA160" s="72">
        <f t="shared" si="60"/>
        <v>5.7988</v>
      </c>
      <c r="AB160" s="69" t="e">
        <f>VLOOKUP(A160,Enforcements!$C$7:$J$24,8,0)</f>
        <v>#N/A</v>
      </c>
      <c r="AC160" s="65" t="e">
        <f>VLOOKUP(A160,Enforcements!$C$7:$E$24,3,0)</f>
        <v>#N/A</v>
      </c>
      <c r="AD160" s="66" t="str">
        <f t="shared" si="61"/>
        <v>0801-08</v>
      </c>
      <c r="AE160" s="108" t="str">
        <f t="shared" si="62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160" s="105" t="str">
        <f t="shared" si="63"/>
        <v>"C:\Program Files (x86)\AstroGrep\AstroGrep.exe" /spath="%USERPROFILE%\AppData\Local\Temp\OnboardLogs" /stypes="*4016*20160808*" /stext=" 12:.+((SYSTEM_STATE.+slice.+state.+changed )|(ment ac)|(system.+state.+changed )|(\|lc)|(penalty)|(\[timeout)|(PRM\|1\|D)|(kpr)|(kdp))" /e /r /s</v>
      </c>
      <c r="AG160" s="1" t="str">
        <f t="shared" si="64"/>
        <v>NW</v>
      </c>
      <c r="AH160" s="109" t="str">
        <f t="shared" si="65"/>
        <v>"%USERPROFILE%\Documents\GitHub\eaglep3\Utilities\RefineRTDCRunTimes.py" --tripid 801-08 --locoid 4016 --swversion DE.1.0.7.0 --startMP 204:936 --initTime 2016-08-08T05:43:56 --startdatetime 2016-08-08T05:45:21 --delay 1 --endMP 300:58924 --enddatetime 2016-08-08T06:06:32 --enforcementcount 0</v>
      </c>
    </row>
    <row r="161" spans="1:34" x14ac:dyDescent="0.25">
      <c r="A161" s="25" t="s">
        <v>353</v>
      </c>
      <c r="B161" s="127">
        <v>4015</v>
      </c>
      <c r="C161" s="128" t="s">
        <v>141</v>
      </c>
      <c r="D161" s="128" t="s">
        <v>250</v>
      </c>
      <c r="E161" s="129">
        <v>42590.255567129629</v>
      </c>
      <c r="F161" s="129">
        <v>42590.256377314814</v>
      </c>
      <c r="G161" s="127">
        <v>1</v>
      </c>
      <c r="H161" s="129" t="s">
        <v>585</v>
      </c>
      <c r="I161" s="129">
        <v>42590.268634259257</v>
      </c>
      <c r="J161" s="127">
        <v>0</v>
      </c>
      <c r="K161" s="25" t="str">
        <f t="shared" si="55"/>
        <v>4015/4016</v>
      </c>
      <c r="L161" s="25" t="str">
        <f>VLOOKUP(A161,'Trips&amp;Operators'!$C$1:$E$10000,3,FALSE)</f>
        <v>DAVIS</v>
      </c>
      <c r="M161" s="6">
        <f t="shared" si="56"/>
        <v>1.2256944442924578E-2</v>
      </c>
      <c r="N161" s="7">
        <f t="shared" si="66"/>
        <v>17.649999997811392</v>
      </c>
      <c r="O161" s="7"/>
      <c r="P161" s="7"/>
      <c r="Q161" s="26"/>
      <c r="R161" s="26"/>
      <c r="S161" s="38">
        <f t="shared" ref="S161:S192" si="67">SUM(U161:U161)/IF(AG161="EC",12,1)</f>
        <v>1</v>
      </c>
      <c r="T161" s="55" t="str">
        <f t="shared" si="57"/>
        <v>Southbound</v>
      </c>
      <c r="U161" s="14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05:08:01-0600',mode:absolute,to:'2016-08-08 07:26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61" s="57" t="str">
        <f t="shared" si="59"/>
        <v>N</v>
      </c>
      <c r="X161" s="136">
        <f t="shared" si="52"/>
        <v>1</v>
      </c>
      <c r="Y161" s="72">
        <f t="shared" si="53"/>
        <v>5.8611000000000004</v>
      </c>
      <c r="Z161" s="72">
        <f t="shared" si="54"/>
        <v>6.4299999999999996E-2</v>
      </c>
      <c r="AA161" s="72">
        <f t="shared" si="60"/>
        <v>5.7968000000000002</v>
      </c>
      <c r="AB161" s="69" t="e">
        <f>VLOOKUP(A161,Enforcements!$C$7:$J$24,8,0)</f>
        <v>#N/A</v>
      </c>
      <c r="AC161" s="65" t="e">
        <f>VLOOKUP(A161,Enforcements!$C$7:$E$24,3,0)</f>
        <v>#N/A</v>
      </c>
      <c r="AD161" s="66" t="str">
        <f t="shared" si="61"/>
        <v>0802-08</v>
      </c>
      <c r="AE161" s="108" t="str">
        <f t="shared" si="62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161" s="105" t="str">
        <f t="shared" si="63"/>
        <v>"C:\Program Files (x86)\AstroGrep\AstroGrep.exe" /spath="%USERPROFILE%\AppData\Local\Temp\OnboardLogs" /stypes="*4015*20160808*" /stext=" 12:.+((SYSTEM_STATE.+slice.+state.+changed )|(ment ac)|(system.+state.+changed )|(\|lc)|(penalty)|(\[timeout)|(PRM\|1\|D)|(kpr)|(kdp))" /e /r /s</v>
      </c>
      <c r="AG161" s="1" t="str">
        <f t="shared" si="64"/>
        <v>NW</v>
      </c>
      <c r="AH161" s="109" t="str">
        <f t="shared" si="65"/>
        <v>"%USERPROFILE%\Documents\GitHub\eaglep3\Utilities\RefineRTDCRunTimes.py" --tripid 802-08 --locoid 4015 --swversion DE.1.0.7.0 --startMP 300:58611 --initTime 2016-08-08T06:08:01 --startdatetime 2016-08-08T06:09:11 --delay 1 --endMP 204:643 --enddatetime 2016-08-08T06:26:50 --enforcementcount 0</v>
      </c>
    </row>
    <row r="162" spans="1:34" x14ac:dyDescent="0.25">
      <c r="A162" s="25" t="s">
        <v>356</v>
      </c>
      <c r="B162" s="127">
        <v>4040</v>
      </c>
      <c r="C162" s="128" t="s">
        <v>141</v>
      </c>
      <c r="D162" s="128" t="s">
        <v>244</v>
      </c>
      <c r="E162" s="129">
        <v>42590.259456018517</v>
      </c>
      <c r="F162" s="129">
        <v>42590.260243055556</v>
      </c>
      <c r="G162" s="127">
        <v>1</v>
      </c>
      <c r="H162" s="129" t="s">
        <v>255</v>
      </c>
      <c r="I162" s="129">
        <v>42590.275266203702</v>
      </c>
      <c r="J162" s="127">
        <v>0</v>
      </c>
      <c r="K162" s="25" t="str">
        <f t="shared" si="55"/>
        <v>4039/4040</v>
      </c>
      <c r="L162" s="25" t="str">
        <f>VLOOKUP(A162,'Trips&amp;Operators'!$C$1:$E$10000,3,FALSE)</f>
        <v>GRASTON</v>
      </c>
      <c r="M162" s="6">
        <f t="shared" si="56"/>
        <v>1.5023148145701271E-2</v>
      </c>
      <c r="N162" s="7">
        <f t="shared" si="66"/>
        <v>21.63333332980983</v>
      </c>
      <c r="O162" s="7"/>
      <c r="P162" s="7"/>
      <c r="Q162" s="26"/>
      <c r="R162" s="26"/>
      <c r="S162" s="38">
        <f t="shared" si="67"/>
        <v>1</v>
      </c>
      <c r="T162" s="55" t="str">
        <f t="shared" si="57"/>
        <v>NorthBound</v>
      </c>
      <c r="U162" s="14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05:13:37-0600',mode:absolute,to:'2016-08-08 07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162" s="57" t="str">
        <f t="shared" si="59"/>
        <v>N</v>
      </c>
      <c r="X162" s="136">
        <f t="shared" si="52"/>
        <v>1</v>
      </c>
      <c r="Y162" s="72">
        <f t="shared" si="53"/>
        <v>9.64E-2</v>
      </c>
      <c r="Z162" s="72">
        <f t="shared" si="54"/>
        <v>5.8886000000000003</v>
      </c>
      <c r="AA162" s="72">
        <f t="shared" si="60"/>
        <v>5.7922000000000002</v>
      </c>
      <c r="AB162" s="69" t="e">
        <f>VLOOKUP(A162,Enforcements!$C$7:$J$24,8,0)</f>
        <v>#N/A</v>
      </c>
      <c r="AC162" s="65" t="e">
        <f>VLOOKUP(A162,Enforcements!$C$7:$E$24,3,0)</f>
        <v>#N/A</v>
      </c>
      <c r="AD162" s="66" t="str">
        <f t="shared" si="61"/>
        <v>0803-08</v>
      </c>
      <c r="AE162" s="108" t="str">
        <f t="shared" si="62"/>
        <v>aws s3 cp s3://rtdc.mdm.uploadarchive/RTDC4040/2016-08-08/ "%USERPROFILE%\AppData\Local\Temp\OnboardLogs"\RTDC4040\2016-08-08 --recursive &amp; "%USERPROFILE%\Documents\GitHub\mrs-test-scripts\Headless Mode &amp; Sideloading\WalkAndUnGZ.bat" "%USERPROFILE%\AppData\Local\Temp\OnboardLogs"\RTDC4040\2016-08-08 &amp; 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</v>
      </c>
      <c r="AF162" s="105" t="str">
        <f t="shared" si="63"/>
        <v>"C:\Program Files (x86)\AstroGrep\AstroGrep.exe" /spath="%USERPROFILE%\AppData\Local\Temp\OnboardLogs" /stypes="*4040*20160808*" /stext=" 12:.+((SYSTEM_STATE.+slice.+state.+changed )|(ment ac)|(system.+state.+changed )|(\|lc)|(penalty)|(\[timeout)|(PRM\|1\|D)|(kpr)|(kdp))" /e /r /s</v>
      </c>
      <c r="AG162" s="1" t="str">
        <f t="shared" si="64"/>
        <v>NW</v>
      </c>
      <c r="AH162" s="109" t="str">
        <f t="shared" si="65"/>
        <v>"%USERPROFILE%\Documents\GitHub\eaglep3\Utilities\RefineRTDCRunTimes.py" --tripid 803-08 --locoid 4040 --swversion DE.1.0.7.0 --startMP 204:964 --initTime 2016-08-08T06:13:37 --startdatetime 2016-08-08T06:14:45 --delay 1 --endMP 300:58886 --enddatetime 2016-08-08T06:36:23 --enforcementcount 0</v>
      </c>
    </row>
    <row r="163" spans="1:34" x14ac:dyDescent="0.25">
      <c r="A163" s="25" t="s">
        <v>358</v>
      </c>
      <c r="B163" s="127">
        <v>4039</v>
      </c>
      <c r="C163" s="128" t="s">
        <v>141</v>
      </c>
      <c r="D163" s="128" t="s">
        <v>586</v>
      </c>
      <c r="E163" s="129">
        <v>42590.276423611111</v>
      </c>
      <c r="F163" s="129">
        <v>42590.277418981481</v>
      </c>
      <c r="G163" s="127">
        <v>1</v>
      </c>
      <c r="H163" s="129" t="s">
        <v>258</v>
      </c>
      <c r="I163" s="129">
        <v>42590.288541666669</v>
      </c>
      <c r="J163" s="127">
        <v>0</v>
      </c>
      <c r="K163" s="25" t="str">
        <f t="shared" si="55"/>
        <v>4039/4040</v>
      </c>
      <c r="L163" s="25" t="str">
        <f>VLOOKUP(A163,'Trips&amp;Operators'!$C$1:$E$10000,3,FALSE)</f>
        <v>GRASTON</v>
      </c>
      <c r="M163" s="6">
        <f t="shared" si="56"/>
        <v>1.1122685187729076E-2</v>
      </c>
      <c r="N163" s="7">
        <f t="shared" si="66"/>
        <v>16.016666670329869</v>
      </c>
      <c r="O163" s="7"/>
      <c r="P163" s="7"/>
      <c r="Q163" s="26"/>
      <c r="R163" s="26"/>
      <c r="S163" s="38">
        <f t="shared" si="67"/>
        <v>1</v>
      </c>
      <c r="T163" s="55" t="str">
        <f t="shared" si="57"/>
        <v>Southbound</v>
      </c>
      <c r="U163" s="14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05:38:03-0600',mode:absolute,to:'2016-08-08 07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163" s="57" t="str">
        <f t="shared" si="59"/>
        <v>N</v>
      </c>
      <c r="X163" s="136">
        <f t="shared" ref="X163:X182" si="68">VALUE(LEFT(AD163,4))-VALUE(LEFT(AD162,4))</f>
        <v>1</v>
      </c>
      <c r="Y163" s="72">
        <f t="shared" ref="Y163:Y194" si="69">RIGHT(D163,LEN(D163)-4)/10000</f>
        <v>5.8571999999999997</v>
      </c>
      <c r="Z163" s="72">
        <f t="shared" ref="Z163:Z194" si="70">RIGHT(H163,LEN(H163)-4)/10000</f>
        <v>6.8000000000000005E-2</v>
      </c>
      <c r="AA163" s="72">
        <f t="shared" si="60"/>
        <v>5.7892000000000001</v>
      </c>
      <c r="AB163" s="69" t="e">
        <f>VLOOKUP(A163,Enforcements!$C$7:$J$24,8,0)</f>
        <v>#N/A</v>
      </c>
      <c r="AC163" s="65" t="e">
        <f>VLOOKUP(A163,Enforcements!$C$7:$E$24,3,0)</f>
        <v>#N/A</v>
      </c>
      <c r="AD163" s="66" t="str">
        <f t="shared" si="61"/>
        <v>0804-08</v>
      </c>
      <c r="AE163" s="108" t="str">
        <f t="shared" si="62"/>
        <v>aws s3 cp s3://rtdc.mdm.uploadarchive/RTDC4039/2016-08-08/ "%USERPROFILE%\AppData\Local\Temp\OnboardLogs"\RTDC4039\2016-08-08 --recursive &amp; "%USERPROFILE%\Documents\GitHub\mrs-test-scripts\Headless Mode &amp; Sideloading\WalkAndUnGZ.bat" "%USERPROFILE%\AppData\Local\Temp\OnboardLogs"\RTDC4039\2016-08-08 &amp; 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</v>
      </c>
      <c r="AF163" s="105" t="str">
        <f t="shared" si="63"/>
        <v>"C:\Program Files (x86)\AstroGrep\AstroGrep.exe" /spath="%USERPROFILE%\AppData\Local\Temp\OnboardLogs" /stypes="*4039*20160808*" /stext=" 12:.+((SYSTEM_STATE.+slice.+state.+changed )|(ment ac)|(system.+state.+changed )|(\|lc)|(penalty)|(\[timeout)|(PRM\|1\|D)|(kpr)|(kdp))" /e /r /s</v>
      </c>
      <c r="AG163" s="1" t="str">
        <f t="shared" si="64"/>
        <v>NW</v>
      </c>
      <c r="AH163" s="109" t="str">
        <f t="shared" si="65"/>
        <v>"%USERPROFILE%\Documents\GitHub\eaglep3\Utilities\RefineRTDCRunTimes.py" --tripid 804-08 --locoid 4039 --swversion DE.1.0.7.0 --startMP 300:58572 --initTime 2016-08-08T06:38:03 --startdatetime 2016-08-08T06:39:29 --delay 1 --endMP 204:680 --enddatetime 2016-08-08T06:55:30 --enforcementcount 0</v>
      </c>
    </row>
    <row r="164" spans="1:34" s="24" customFormat="1" x14ac:dyDescent="0.25">
      <c r="A164" s="25" t="s">
        <v>359</v>
      </c>
      <c r="B164" s="127">
        <v>4016</v>
      </c>
      <c r="C164" s="128" t="s">
        <v>141</v>
      </c>
      <c r="D164" s="128" t="s">
        <v>587</v>
      </c>
      <c r="E164" s="129">
        <v>42590.281851851854</v>
      </c>
      <c r="F164" s="129">
        <v>42590.28261574074</v>
      </c>
      <c r="G164" s="127">
        <v>1</v>
      </c>
      <c r="H164" s="129" t="s">
        <v>588</v>
      </c>
      <c r="I164" s="129">
        <v>42590.296168981484</v>
      </c>
      <c r="J164" s="127">
        <v>0</v>
      </c>
      <c r="K164" s="25" t="str">
        <f t="shared" si="55"/>
        <v>4015/4016</v>
      </c>
      <c r="L164" s="25" t="str">
        <f>VLOOKUP(A164,'Trips&amp;Operators'!$C$1:$E$10000,3,FALSE)</f>
        <v>DAVIS</v>
      </c>
      <c r="M164" s="6">
        <f t="shared" si="56"/>
        <v>1.3553240743931383E-2</v>
      </c>
      <c r="N164" s="7">
        <f t="shared" si="66"/>
        <v>19.516666671261191</v>
      </c>
      <c r="O164" s="7"/>
      <c r="P164" s="7"/>
      <c r="Q164" s="26"/>
      <c r="R164" s="26"/>
      <c r="S164" s="38">
        <f t="shared" si="67"/>
        <v>1</v>
      </c>
      <c r="T164" s="55" t="str">
        <f t="shared" si="57"/>
        <v>NorthBound</v>
      </c>
      <c r="U164" s="14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05:45:52-0600',mode:absolute,to:'2016-08-08 08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64" s="57" t="str">
        <f t="shared" si="59"/>
        <v>N</v>
      </c>
      <c r="X164" s="136">
        <f t="shared" si="68"/>
        <v>1</v>
      </c>
      <c r="Y164" s="72">
        <f t="shared" si="69"/>
        <v>9.2999999999999999E-2</v>
      </c>
      <c r="Z164" s="72">
        <f t="shared" si="70"/>
        <v>5.8928000000000003</v>
      </c>
      <c r="AA164" s="72">
        <f t="shared" si="60"/>
        <v>5.7998000000000003</v>
      </c>
      <c r="AB164" s="69" t="e">
        <f>VLOOKUP(A164,Enforcements!$C$7:$J$24,8,0)</f>
        <v>#N/A</v>
      </c>
      <c r="AC164" s="65" t="e">
        <f>VLOOKUP(A164,Enforcements!$C$7:$E$24,3,0)</f>
        <v>#N/A</v>
      </c>
      <c r="AD164" s="66" t="str">
        <f t="shared" si="61"/>
        <v>0805-08</v>
      </c>
      <c r="AE164" s="108" t="str">
        <f t="shared" si="62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164" s="105" t="str">
        <f t="shared" si="63"/>
        <v>"C:\Program Files (x86)\AstroGrep\AstroGrep.exe" /spath="%USERPROFILE%\AppData\Local\Temp\OnboardLogs" /stypes="*4016*20160808*" /stext=" 13:.+((SYSTEM_STATE.+slice.+state.+changed )|(ment ac)|(system.+state.+changed )|(\|lc)|(penalty)|(\[timeout)|(PRM\|1\|D)|(kpr)|(kdp))" /e /r /s</v>
      </c>
      <c r="AG164" s="1" t="str">
        <f t="shared" si="64"/>
        <v>NW</v>
      </c>
      <c r="AH164" s="109" t="str">
        <f t="shared" si="65"/>
        <v>"%USERPROFILE%\Documents\GitHub\eaglep3\Utilities\RefineRTDCRunTimes.py" --tripid 805-08 --locoid 4016 --swversion DE.1.0.7.0 --startMP 204:930 --initTime 2016-08-08T06:45:52 --startdatetime 2016-08-08T06:46:58 --delay 1 --endMP 300:58928 --enddatetime 2016-08-08T07:06:29 --enforcementcount 0</v>
      </c>
    </row>
    <row r="165" spans="1:34" x14ac:dyDescent="0.25">
      <c r="A165" s="25" t="s">
        <v>361</v>
      </c>
      <c r="B165" s="127">
        <v>4015</v>
      </c>
      <c r="C165" s="128" t="s">
        <v>141</v>
      </c>
      <c r="D165" s="128" t="s">
        <v>248</v>
      </c>
      <c r="E165" s="129">
        <v>42590.297303240739</v>
      </c>
      <c r="F165" s="129">
        <v>42590.298055555555</v>
      </c>
      <c r="G165" s="127">
        <v>1</v>
      </c>
      <c r="H165" s="129" t="s">
        <v>589</v>
      </c>
      <c r="I165" s="129">
        <v>42590.310046296298</v>
      </c>
      <c r="J165" s="127">
        <v>0</v>
      </c>
      <c r="K165" s="25" t="str">
        <f t="shared" si="55"/>
        <v>4015/4016</v>
      </c>
      <c r="L165" s="25" t="str">
        <f>VLOOKUP(A165,'Trips&amp;Operators'!$C$1:$E$10000,3,FALSE)</f>
        <v>DAVIS</v>
      </c>
      <c r="M165" s="6">
        <f t="shared" si="56"/>
        <v>1.1990740742476191E-2</v>
      </c>
      <c r="N165" s="7">
        <f t="shared" si="66"/>
        <v>17.266666669165716</v>
      </c>
      <c r="O165" s="7"/>
      <c r="P165" s="7"/>
      <c r="Q165" s="26"/>
      <c r="R165" s="26"/>
      <c r="S165" s="38">
        <f t="shared" si="67"/>
        <v>1</v>
      </c>
      <c r="T165" s="55" t="str">
        <f t="shared" si="57"/>
        <v>Southbound</v>
      </c>
      <c r="U165" s="14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06:08:07-0600',mode:absolute,to:'2016-08-08 08:26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65" s="57" t="str">
        <f t="shared" si="59"/>
        <v>N</v>
      </c>
      <c r="X165" s="136">
        <f t="shared" si="68"/>
        <v>1</v>
      </c>
      <c r="Y165" s="72">
        <f t="shared" si="69"/>
        <v>5.8615000000000004</v>
      </c>
      <c r="Z165" s="72">
        <f t="shared" si="70"/>
        <v>6.4500000000000002E-2</v>
      </c>
      <c r="AA165" s="72">
        <f t="shared" si="60"/>
        <v>5.7970000000000006</v>
      </c>
      <c r="AB165" s="69" t="e">
        <f>VLOOKUP(A165,Enforcements!$C$7:$J$24,8,0)</f>
        <v>#N/A</v>
      </c>
      <c r="AC165" s="65" t="e">
        <f>VLOOKUP(A165,Enforcements!$C$7:$E$24,3,0)</f>
        <v>#N/A</v>
      </c>
      <c r="AD165" s="66" t="str">
        <f t="shared" si="61"/>
        <v>0806-08</v>
      </c>
      <c r="AE165" s="108" t="str">
        <f t="shared" si="62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165" s="105" t="str">
        <f t="shared" si="63"/>
        <v>"C:\Program Files (x86)\AstroGrep\AstroGrep.exe" /spath="%USERPROFILE%\AppData\Local\Temp\OnboardLogs" /stypes="*4015*20160808*" /stext=" 13:.+((SYSTEM_STATE.+slice.+state.+changed )|(ment ac)|(system.+state.+changed )|(\|lc)|(penalty)|(\[timeout)|(PRM\|1\|D)|(kpr)|(kdp))" /e /r /s</v>
      </c>
      <c r="AG165" s="1" t="str">
        <f t="shared" si="64"/>
        <v>NW</v>
      </c>
      <c r="AH165" s="109" t="str">
        <f t="shared" si="65"/>
        <v>"%USERPROFILE%\Documents\GitHub\eaglep3\Utilities\RefineRTDCRunTimes.py" --tripid 806-08 --locoid 4015 --swversion DE.1.0.7.0 --startMP 300:58615 --initTime 2016-08-08T07:08:07 --startdatetime 2016-08-08T07:09:12 --delay 1 --endMP 204:645 --enddatetime 2016-08-08T07:26:28 --enforcementcount 0</v>
      </c>
    </row>
    <row r="166" spans="1:34" x14ac:dyDescent="0.25">
      <c r="A166" s="25" t="s">
        <v>364</v>
      </c>
      <c r="B166" s="127">
        <v>4040</v>
      </c>
      <c r="C166" s="128" t="s">
        <v>141</v>
      </c>
      <c r="D166" s="128" t="s">
        <v>590</v>
      </c>
      <c r="E166" s="129">
        <v>42590.303101851852</v>
      </c>
      <c r="F166" s="129">
        <v>42590.303796296299</v>
      </c>
      <c r="G166" s="127">
        <v>0</v>
      </c>
      <c r="H166" s="129" t="s">
        <v>591</v>
      </c>
      <c r="I166" s="129">
        <v>42590.316122685188</v>
      </c>
      <c r="J166" s="127">
        <v>0</v>
      </c>
      <c r="K166" s="25" t="str">
        <f t="shared" si="55"/>
        <v>4039/4040</v>
      </c>
      <c r="L166" s="25" t="str">
        <f>VLOOKUP(A166,'Trips&amp;Operators'!$C$1:$E$10000,3,FALSE)</f>
        <v>GRASTON</v>
      </c>
      <c r="M166" s="6">
        <f t="shared" si="56"/>
        <v>1.2326388889050577E-2</v>
      </c>
      <c r="N166" s="7">
        <f t="shared" si="66"/>
        <v>17.750000000232831</v>
      </c>
      <c r="O166" s="7"/>
      <c r="P166" s="7"/>
      <c r="Q166" s="26"/>
      <c r="R166" s="26"/>
      <c r="S166" s="38">
        <f t="shared" si="67"/>
        <v>1</v>
      </c>
      <c r="T166" s="55" t="str">
        <f t="shared" si="57"/>
        <v>NorthBound</v>
      </c>
      <c r="U166" s="14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06:16:28-0600',mode:absolute,to:'2016-08-08 08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166" s="57" t="str">
        <f t="shared" si="59"/>
        <v>N</v>
      </c>
      <c r="X166" s="136">
        <f t="shared" si="68"/>
        <v>1</v>
      </c>
      <c r="Y166" s="72">
        <f t="shared" si="69"/>
        <v>9.5799999999999996E-2</v>
      </c>
      <c r="Z166" s="72">
        <f t="shared" si="70"/>
        <v>5.8897000000000004</v>
      </c>
      <c r="AA166" s="72">
        <f t="shared" si="60"/>
        <v>5.7939000000000007</v>
      </c>
      <c r="AB166" s="69" t="e">
        <f>VLOOKUP(A166,Enforcements!$C$7:$J$24,8,0)</f>
        <v>#N/A</v>
      </c>
      <c r="AC166" s="65" t="e">
        <f>VLOOKUP(A166,Enforcements!$C$7:$E$24,3,0)</f>
        <v>#N/A</v>
      </c>
      <c r="AD166" s="66" t="str">
        <f t="shared" si="61"/>
        <v>0807-08</v>
      </c>
      <c r="AE166" s="108" t="str">
        <f t="shared" si="62"/>
        <v>aws s3 cp s3://rtdc.mdm.uploadarchive/RTDC4040/2016-08-08/ "%USERPROFILE%\AppData\Local\Temp\OnboardLogs"\RTDC4040\2016-08-08 --recursive &amp; "%USERPROFILE%\Documents\GitHub\mrs-test-scripts\Headless Mode &amp; Sideloading\WalkAndUnGZ.bat" "%USERPROFILE%\AppData\Local\Temp\OnboardLogs"\RTDC4040\2016-08-08 &amp; 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</v>
      </c>
      <c r="AF166" s="105" t="str">
        <f t="shared" si="63"/>
        <v>"C:\Program Files (x86)\AstroGrep\AstroGrep.exe" /spath="%USERPROFILE%\AppData\Local\Temp\OnboardLogs" /stypes="*4040*20160808*" /stext=" 13:.+((SYSTEM_STATE.+slice.+state.+changed )|(ment ac)|(system.+state.+changed )|(\|lc)|(penalty)|(\[timeout)|(PRM\|1\|D)|(kpr)|(kdp))" /e /r /s</v>
      </c>
      <c r="AG166" s="1" t="str">
        <f t="shared" si="64"/>
        <v>NW</v>
      </c>
      <c r="AH166" s="109" t="str">
        <f t="shared" si="65"/>
        <v>"%USERPROFILE%\Documents\GitHub\eaglep3\Utilities\RefineRTDCRunTimes.py" --tripid 807-08 --locoid 4040 --swversion DE.1.0.7.0 --startMP 204:958 --initTime 2016-08-08T07:16:28 --startdatetime 2016-08-08T07:17:28 --delay 0 --endMP 300:58897 --enddatetime 2016-08-08T07:35:13 --enforcementcount 0</v>
      </c>
    </row>
    <row r="167" spans="1:34" x14ac:dyDescent="0.25">
      <c r="A167" s="25" t="s">
        <v>366</v>
      </c>
      <c r="B167" s="127">
        <v>4039</v>
      </c>
      <c r="C167" s="128" t="s">
        <v>141</v>
      </c>
      <c r="D167" s="128" t="s">
        <v>592</v>
      </c>
      <c r="E167" s="129">
        <v>42590.317106481481</v>
      </c>
      <c r="F167" s="129">
        <v>42590.318067129629</v>
      </c>
      <c r="G167" s="127">
        <v>1</v>
      </c>
      <c r="H167" s="129" t="s">
        <v>593</v>
      </c>
      <c r="I167" s="129">
        <v>42590.323113425926</v>
      </c>
      <c r="J167" s="127">
        <v>0</v>
      </c>
      <c r="K167" s="25" t="str">
        <f t="shared" si="55"/>
        <v>4039/4040</v>
      </c>
      <c r="L167" s="25" t="str">
        <f>VLOOKUP(A167,'Trips&amp;Operators'!$C$1:$E$10000,3,FALSE)</f>
        <v>GRASTON</v>
      </c>
      <c r="M167" s="6">
        <f t="shared" si="56"/>
        <v>5.0462962972233072E-3</v>
      </c>
      <c r="N167" s="7"/>
      <c r="O167" s="7"/>
      <c r="P167" s="7">
        <f>24*60*SUM($M167:$M167)</f>
        <v>7.2666666680015624</v>
      </c>
      <c r="Q167" s="26"/>
      <c r="R167" s="26" t="s">
        <v>273</v>
      </c>
      <c r="S167" s="38">
        <f t="shared" si="67"/>
        <v>0</v>
      </c>
      <c r="T167" s="55" t="str">
        <f t="shared" si="57"/>
        <v>Southbound</v>
      </c>
      <c r="U167" s="14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0</v>
      </c>
      <c r="V167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06:36:38-0600',mode:absolute,to:'2016-08-08 08:45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167" s="57" t="str">
        <f t="shared" si="59"/>
        <v>Y</v>
      </c>
      <c r="X167" s="136">
        <f t="shared" si="68"/>
        <v>1</v>
      </c>
      <c r="Y167" s="72">
        <f t="shared" si="69"/>
        <v>5.8581000000000003</v>
      </c>
      <c r="Z167" s="72">
        <f t="shared" si="70"/>
        <v>5.7321999999999997</v>
      </c>
      <c r="AA167" s="72">
        <f t="shared" si="60"/>
        <v>0.12590000000000057</v>
      </c>
      <c r="AB167" s="69" t="e">
        <f>VLOOKUP(A167,Enforcements!$C$7:$J$24,8,0)</f>
        <v>#N/A</v>
      </c>
      <c r="AC167" s="65" t="e">
        <f>VLOOKUP(A167,Enforcements!$C$7:$E$24,3,0)</f>
        <v>#N/A</v>
      </c>
      <c r="AD167" s="66" t="str">
        <f t="shared" si="61"/>
        <v>0808-08</v>
      </c>
      <c r="AE167" s="108" t="str">
        <f t="shared" si="62"/>
        <v>aws s3 cp s3://rtdc.mdm.uploadarchive/RTDC4039/2016-08-08/ "%USERPROFILE%\AppData\Local\Temp\OnboardLogs"\RTDC4039\2016-08-08 --recursive &amp; "%USERPROFILE%\Documents\GitHub\mrs-test-scripts\Headless Mode &amp; Sideloading\WalkAndUnGZ.bat" "%USERPROFILE%\AppData\Local\Temp\OnboardLogs"\RTDC4039\2016-08-08 &amp; 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</v>
      </c>
      <c r="AF167" s="105" t="str">
        <f t="shared" si="63"/>
        <v>"C:\Program Files (x86)\AstroGrep\AstroGrep.exe" /spath="%USERPROFILE%\AppData\Local\Temp\OnboardLogs" /stypes="*4039*20160808*" /stext=" 13:.+((SYSTEM_STATE.+slice.+state.+changed )|(ment ac)|(system.+state.+changed )|(\|lc)|(penalty)|(\[timeout)|(PRM\|1\|D)|(kpr)|(kdp))" /e /r /s</v>
      </c>
      <c r="AG167" s="1" t="str">
        <f t="shared" si="64"/>
        <v>NW</v>
      </c>
      <c r="AH167" s="109" t="str">
        <f t="shared" si="65"/>
        <v>"%USERPROFILE%\Documents\GitHub\eaglep3\Utilities\RefineRTDCRunTimes.py" --tripid 808-08 --locoid 4039 --swversion DE.1.0.7.0 --startMP 300:58581 --initTime 2016-08-08T07:36:38 --startdatetime 2016-08-08T07:38:01 --delay 1 --endMP 300:57322 --enddatetime 2016-08-08T07:45:17 --enforcementcount 0</v>
      </c>
    </row>
    <row r="168" spans="1:34" x14ac:dyDescent="0.25">
      <c r="A168" s="25" t="s">
        <v>368</v>
      </c>
      <c r="B168" s="127">
        <v>4016</v>
      </c>
      <c r="C168" s="128" t="s">
        <v>141</v>
      </c>
      <c r="D168" s="128" t="s">
        <v>594</v>
      </c>
      <c r="E168" s="129">
        <v>42590.324016203704</v>
      </c>
      <c r="F168" s="129">
        <v>42590.324687499997</v>
      </c>
      <c r="G168" s="127">
        <v>0</v>
      </c>
      <c r="H168" s="129" t="s">
        <v>246</v>
      </c>
      <c r="I168" s="129">
        <v>42590.337777777779</v>
      </c>
      <c r="J168" s="127">
        <v>0</v>
      </c>
      <c r="K168" s="25" t="str">
        <f t="shared" si="55"/>
        <v>4015/4016</v>
      </c>
      <c r="L168" s="25" t="str">
        <f>VLOOKUP(A168,'Trips&amp;Operators'!$C$1:$E$10000,3,FALSE)</f>
        <v>DAVIS</v>
      </c>
      <c r="M168" s="6">
        <f t="shared" si="56"/>
        <v>1.3090277781884652E-2</v>
      </c>
      <c r="N168" s="7">
        <f t="shared" ref="N168:N199" si="71">24*60*SUM($M168:$M168)</f>
        <v>18.850000005913898</v>
      </c>
      <c r="O168" s="7"/>
      <c r="P168" s="7"/>
      <c r="Q168" s="26"/>
      <c r="R168" s="26"/>
      <c r="S168" s="38">
        <f t="shared" si="67"/>
        <v>1</v>
      </c>
      <c r="T168" s="55" t="str">
        <f t="shared" si="57"/>
        <v>NorthBound</v>
      </c>
      <c r="U168" s="14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06:46:35-0600',mode:absolute,to:'2016-08-08 09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68" s="57" t="str">
        <f t="shared" si="59"/>
        <v>N</v>
      </c>
      <c r="X168" s="136">
        <f t="shared" si="68"/>
        <v>1</v>
      </c>
      <c r="Y168" s="72">
        <f t="shared" si="69"/>
        <v>9.4600000000000004E-2</v>
      </c>
      <c r="Z168" s="72">
        <f t="shared" si="70"/>
        <v>5.8929</v>
      </c>
      <c r="AA168" s="72">
        <f t="shared" si="60"/>
        <v>5.7983000000000002</v>
      </c>
      <c r="AB168" s="69" t="e">
        <f>VLOOKUP(A168,Enforcements!$C$7:$J$24,8,0)</f>
        <v>#N/A</v>
      </c>
      <c r="AC168" s="65" t="e">
        <f>VLOOKUP(A168,Enforcements!$C$7:$E$24,3,0)</f>
        <v>#N/A</v>
      </c>
      <c r="AD168" s="66" t="str">
        <f t="shared" si="61"/>
        <v>0809-08</v>
      </c>
      <c r="AE168" s="108" t="str">
        <f t="shared" si="62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168" s="105" t="str">
        <f t="shared" si="63"/>
        <v>"C:\Program Files (x86)\AstroGrep\AstroGrep.exe" /spath="%USERPROFILE%\AppData\Local\Temp\OnboardLogs" /stypes="*4016*20160808*" /stext=" 14:.+((SYSTEM_STATE.+slice.+state.+changed )|(ment ac)|(system.+state.+changed )|(\|lc)|(penalty)|(\[timeout)|(PRM\|1\|D)|(kpr)|(kdp))" /e /r /s</v>
      </c>
      <c r="AG168" s="1" t="str">
        <f t="shared" si="64"/>
        <v>NW</v>
      </c>
      <c r="AH168" s="109" t="str">
        <f t="shared" si="65"/>
        <v>"%USERPROFILE%\Documents\GitHub\eaglep3\Utilities\RefineRTDCRunTimes.py" --tripid 809-08 --locoid 4016 --swversion DE.1.0.7.0 --startMP 204:946 --initTime 2016-08-08T07:46:35 --startdatetime 2016-08-08T07:47:33 --delay 0 --endMP 300:58929 --enddatetime 2016-08-08T08:06:24 --enforcementcount 0</v>
      </c>
    </row>
    <row r="169" spans="1:34" x14ac:dyDescent="0.25">
      <c r="A169" s="25" t="s">
        <v>370</v>
      </c>
      <c r="B169" s="127">
        <v>4015</v>
      </c>
      <c r="C169" s="128" t="s">
        <v>141</v>
      </c>
      <c r="D169" s="128" t="s">
        <v>248</v>
      </c>
      <c r="E169" s="129">
        <v>42590.338819444441</v>
      </c>
      <c r="F169" s="129">
        <v>42590.339687500003</v>
      </c>
      <c r="G169" s="127">
        <v>1</v>
      </c>
      <c r="H169" s="129" t="s">
        <v>595</v>
      </c>
      <c r="I169" s="129">
        <v>42590.352048611108</v>
      </c>
      <c r="J169" s="127">
        <v>0</v>
      </c>
      <c r="K169" s="25" t="str">
        <f t="shared" si="55"/>
        <v>4015/4016</v>
      </c>
      <c r="L169" s="25" t="str">
        <f>VLOOKUP(A169,'Trips&amp;Operators'!$C$1:$E$10000,3,FALSE)</f>
        <v>DAVIS</v>
      </c>
      <c r="M169" s="6">
        <f t="shared" si="56"/>
        <v>1.2361111104837619E-2</v>
      </c>
      <c r="N169" s="7">
        <f t="shared" si="71"/>
        <v>17.799999990966171</v>
      </c>
      <c r="O169" s="7"/>
      <c r="P169" s="7"/>
      <c r="Q169" s="26"/>
      <c r="R169" s="26"/>
      <c r="S169" s="38">
        <f t="shared" si="67"/>
        <v>1</v>
      </c>
      <c r="T169" s="55" t="str">
        <f t="shared" si="57"/>
        <v>Southbound</v>
      </c>
      <c r="U169" s="14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07:07:54-0600',mode:absolute,to:'2016-08-08 09:26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69" s="57" t="str">
        <f t="shared" si="59"/>
        <v>N</v>
      </c>
      <c r="X169" s="136">
        <f t="shared" si="68"/>
        <v>1</v>
      </c>
      <c r="Y169" s="72">
        <f t="shared" si="69"/>
        <v>5.8615000000000004</v>
      </c>
      <c r="Z169" s="72">
        <f t="shared" si="70"/>
        <v>6.6299999999999998E-2</v>
      </c>
      <c r="AA169" s="72">
        <f t="shared" si="60"/>
        <v>5.7952000000000004</v>
      </c>
      <c r="AB169" s="69" t="e">
        <f>VLOOKUP(A169,Enforcements!$C$7:$J$24,8,0)</f>
        <v>#N/A</v>
      </c>
      <c r="AC169" s="65" t="e">
        <f>VLOOKUP(A169,Enforcements!$C$7:$E$24,3,0)</f>
        <v>#N/A</v>
      </c>
      <c r="AD169" s="66" t="str">
        <f t="shared" si="61"/>
        <v>0810-08</v>
      </c>
      <c r="AE169" s="108" t="str">
        <f t="shared" si="62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169" s="105" t="str">
        <f t="shared" si="63"/>
        <v>"C:\Program Files (x86)\AstroGrep\AstroGrep.exe" /spath="%USERPROFILE%\AppData\Local\Temp\OnboardLogs" /stypes="*4015*20160808*" /stext=" 14:.+((SYSTEM_STATE.+slice.+state.+changed )|(ment ac)|(system.+state.+changed )|(\|lc)|(penalty)|(\[timeout)|(PRM\|1\|D)|(kpr)|(kdp))" /e /r /s</v>
      </c>
      <c r="AG169" s="1" t="str">
        <f t="shared" si="64"/>
        <v>NW</v>
      </c>
      <c r="AH169" s="109" t="str">
        <f t="shared" si="65"/>
        <v>"%USERPROFILE%\Documents\GitHub\eaglep3\Utilities\RefineRTDCRunTimes.py" --tripid 810-08 --locoid 4015 --swversion DE.1.0.7.0 --startMP 300:58615 --initTime 2016-08-08T08:07:54 --startdatetime 2016-08-08T08:09:09 --delay 1 --endMP 204:663 --enddatetime 2016-08-08T08:26:57 --enforcementcount 0</v>
      </c>
    </row>
    <row r="170" spans="1:34" x14ac:dyDescent="0.25">
      <c r="A170" s="25" t="s">
        <v>373</v>
      </c>
      <c r="B170" s="127">
        <v>4031</v>
      </c>
      <c r="C170" s="128" t="s">
        <v>141</v>
      </c>
      <c r="D170" s="128" t="s">
        <v>596</v>
      </c>
      <c r="E170" s="129">
        <v>42590.346805555557</v>
      </c>
      <c r="F170" s="129">
        <v>42590.347662037035</v>
      </c>
      <c r="G170" s="127">
        <v>1</v>
      </c>
      <c r="H170" s="129" t="s">
        <v>597</v>
      </c>
      <c r="I170" s="129">
        <v>42590.358587962961</v>
      </c>
      <c r="J170" s="127">
        <v>0</v>
      </c>
      <c r="K170" s="25" t="str">
        <f t="shared" si="55"/>
        <v>4031/4032</v>
      </c>
      <c r="L170" s="25" t="str">
        <f>VLOOKUP(A170,'Trips&amp;Operators'!$C$1:$E$10000,3,FALSE)</f>
        <v>GRASTON</v>
      </c>
      <c r="M170" s="6">
        <f t="shared" si="56"/>
        <v>1.0925925926130731E-2</v>
      </c>
      <c r="N170" s="7">
        <f t="shared" si="71"/>
        <v>15.733333333628252</v>
      </c>
      <c r="O170" s="7"/>
      <c r="P170" s="7"/>
      <c r="Q170" s="26"/>
      <c r="R170" s="26"/>
      <c r="S170" s="38">
        <f t="shared" si="67"/>
        <v>1</v>
      </c>
      <c r="T170" s="55" t="str">
        <f t="shared" si="57"/>
        <v>NorthBound</v>
      </c>
      <c r="U170" s="14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07:19:24-0600',mode:absolute,to:'2016-08-08 09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70" s="57" t="str">
        <f t="shared" si="59"/>
        <v>N</v>
      </c>
      <c r="X170" s="136">
        <f t="shared" si="68"/>
        <v>1</v>
      </c>
      <c r="Y170" s="72">
        <f t="shared" si="69"/>
        <v>9.7199999999999995E-2</v>
      </c>
      <c r="Z170" s="72">
        <f t="shared" si="70"/>
        <v>5.8912000000000004</v>
      </c>
      <c r="AA170" s="72">
        <f t="shared" si="60"/>
        <v>5.7940000000000005</v>
      </c>
      <c r="AB170" s="69" t="e">
        <f>VLOOKUP(A170,Enforcements!$C$7:$J$24,8,0)</f>
        <v>#N/A</v>
      </c>
      <c r="AC170" s="65" t="e">
        <f>VLOOKUP(A170,Enforcements!$C$7:$E$24,3,0)</f>
        <v>#N/A</v>
      </c>
      <c r="AD170" s="66" t="str">
        <f t="shared" si="61"/>
        <v>0811-08</v>
      </c>
      <c r="AE170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70" s="105" t="str">
        <f t="shared" si="63"/>
        <v>"C:\Program Files (x86)\AstroGrep\AstroGrep.exe" /spath="%USERPROFILE%\AppData\Local\Temp\OnboardLogs" /stypes="*4031*20160808*" /stext=" 14:.+((SYSTEM_STATE.+slice.+state.+changed )|(ment ac)|(system.+state.+changed )|(\|lc)|(penalty)|(\[timeout)|(PRM\|1\|D)|(kpr)|(kdp))" /e /r /s</v>
      </c>
      <c r="AG170" s="1" t="str">
        <f t="shared" si="64"/>
        <v>NW</v>
      </c>
      <c r="AH170" s="109" t="str">
        <f t="shared" si="65"/>
        <v>"%USERPROFILE%\Documents\GitHub\eaglep3\Utilities\RefineRTDCRunTimes.py" --tripid 811-08 --locoid 4031 --swversion DE.1.0.7.0 --startMP 204:972 --initTime 2016-08-08T08:19:24 --startdatetime 2016-08-08T08:20:38 --delay 1 --endMP 300:58912 --enddatetime 2016-08-08T08:36:22 --enforcementcount 0</v>
      </c>
    </row>
    <row r="171" spans="1:34" x14ac:dyDescent="0.25">
      <c r="A171" s="25" t="s">
        <v>375</v>
      </c>
      <c r="B171" s="127">
        <v>4032</v>
      </c>
      <c r="C171" s="128" t="s">
        <v>141</v>
      </c>
      <c r="D171" s="128" t="s">
        <v>598</v>
      </c>
      <c r="E171" s="129">
        <v>42590.359606481485</v>
      </c>
      <c r="F171" s="129">
        <v>42590.360578703701</v>
      </c>
      <c r="G171" s="127">
        <v>1</v>
      </c>
      <c r="H171" s="129" t="s">
        <v>599</v>
      </c>
      <c r="I171" s="129">
        <v>42590.371921296297</v>
      </c>
      <c r="J171" s="127">
        <v>0</v>
      </c>
      <c r="K171" s="25" t="str">
        <f t="shared" si="55"/>
        <v>4031/4032</v>
      </c>
      <c r="L171" s="25" t="str">
        <f>VLOOKUP(A171,'Trips&amp;Operators'!$C$1:$E$10000,3,FALSE)</f>
        <v>GRASTON</v>
      </c>
      <c r="M171" s="6">
        <f t="shared" si="56"/>
        <v>1.1342592595610768E-2</v>
      </c>
      <c r="N171" s="7">
        <f t="shared" si="71"/>
        <v>16.333333337679505</v>
      </c>
      <c r="O171" s="7"/>
      <c r="P171" s="7"/>
      <c r="Q171" s="26"/>
      <c r="R171" s="26"/>
      <c r="S171" s="38">
        <f t="shared" si="67"/>
        <v>1</v>
      </c>
      <c r="T171" s="55" t="str">
        <f t="shared" si="57"/>
        <v>Southbound</v>
      </c>
      <c r="U171" s="14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07:37:50-0600',mode:absolute,to:'2016-08-08 09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71" s="57" t="str">
        <f t="shared" si="59"/>
        <v>N</v>
      </c>
      <c r="X171" s="136">
        <f t="shared" si="68"/>
        <v>1</v>
      </c>
      <c r="Y171" s="72">
        <f t="shared" si="69"/>
        <v>5.8596000000000004</v>
      </c>
      <c r="Z171" s="72">
        <f t="shared" si="70"/>
        <v>6.8900000000000003E-2</v>
      </c>
      <c r="AA171" s="72">
        <f t="shared" si="60"/>
        <v>5.7907000000000002</v>
      </c>
      <c r="AB171" s="69" t="e">
        <f>VLOOKUP(A171,Enforcements!$C$7:$J$24,8,0)</f>
        <v>#N/A</v>
      </c>
      <c r="AC171" s="65" t="e">
        <f>VLOOKUP(A171,Enforcements!$C$7:$E$24,3,0)</f>
        <v>#N/A</v>
      </c>
      <c r="AD171" s="66" t="str">
        <f t="shared" si="61"/>
        <v>0812-08</v>
      </c>
      <c r="AE171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71" s="105" t="str">
        <f t="shared" si="63"/>
        <v>"C:\Program Files (x86)\AstroGrep\AstroGrep.exe" /spath="%USERPROFILE%\AppData\Local\Temp\OnboardLogs" /stypes="*4032*20160808*" /stext=" 14:.+((SYSTEM_STATE.+slice.+state.+changed )|(ment ac)|(system.+state.+changed )|(\|lc)|(penalty)|(\[timeout)|(PRM\|1\|D)|(kpr)|(kdp))" /e /r /s</v>
      </c>
      <c r="AG171" s="1" t="str">
        <f t="shared" si="64"/>
        <v>NW</v>
      </c>
      <c r="AH171" s="109" t="str">
        <f t="shared" si="65"/>
        <v>"%USERPROFILE%\Documents\GitHub\eaglep3\Utilities\RefineRTDCRunTimes.py" --tripid 812-08 --locoid 4032 --swversion DE.1.0.7.0 --startMP 300:58596 --initTime 2016-08-08T08:37:50 --startdatetime 2016-08-08T08:39:14 --delay 1 --endMP 204:689 --enddatetime 2016-08-08T08:55:34 --enforcementcount 0</v>
      </c>
    </row>
    <row r="172" spans="1:34" x14ac:dyDescent="0.25">
      <c r="A172" s="25" t="s">
        <v>381</v>
      </c>
      <c r="B172" s="127">
        <v>4031</v>
      </c>
      <c r="C172" s="128" t="s">
        <v>141</v>
      </c>
      <c r="D172" s="128" t="s">
        <v>600</v>
      </c>
      <c r="E172" s="129">
        <v>42590.386701388888</v>
      </c>
      <c r="F172" s="129">
        <v>42590.387453703705</v>
      </c>
      <c r="G172" s="127">
        <v>1</v>
      </c>
      <c r="H172" s="129" t="s">
        <v>601</v>
      </c>
      <c r="I172" s="129">
        <v>42590.399675925924</v>
      </c>
      <c r="J172" s="127">
        <v>0</v>
      </c>
      <c r="K172" s="25" t="str">
        <f t="shared" si="55"/>
        <v>4031/4032</v>
      </c>
      <c r="L172" s="25" t="str">
        <f>VLOOKUP(A172,'Trips&amp;Operators'!$C$1:$E$10000,3,FALSE)</f>
        <v>GRASTON</v>
      </c>
      <c r="M172" s="6">
        <f t="shared" si="56"/>
        <v>1.2222222219861578E-2</v>
      </c>
      <c r="N172" s="7">
        <f t="shared" si="71"/>
        <v>17.599999996600673</v>
      </c>
      <c r="O172" s="7"/>
      <c r="P172" s="7"/>
      <c r="Q172" s="26"/>
      <c r="R172" s="26"/>
      <c r="S172" s="38">
        <f t="shared" si="67"/>
        <v>1</v>
      </c>
      <c r="T172" s="55" t="str">
        <f t="shared" si="57"/>
        <v>NorthBound</v>
      </c>
      <c r="U172" s="14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08:16:51-0600',mode:absolute,to:'2016-08-08 10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72" s="57" t="str">
        <f t="shared" si="59"/>
        <v>N</v>
      </c>
      <c r="X172" s="136">
        <f t="shared" si="68"/>
        <v>1</v>
      </c>
      <c r="Y172" s="72">
        <f t="shared" si="69"/>
        <v>9.7799999999999998E-2</v>
      </c>
      <c r="Z172" s="72">
        <f t="shared" si="70"/>
        <v>5.8906999999999998</v>
      </c>
      <c r="AA172" s="72">
        <f t="shared" si="60"/>
        <v>5.7928999999999995</v>
      </c>
      <c r="AB172" s="69" t="e">
        <f>VLOOKUP(A172,Enforcements!$C$7:$J$24,8,0)</f>
        <v>#N/A</v>
      </c>
      <c r="AC172" s="65" t="e">
        <f>VLOOKUP(A172,Enforcements!$C$7:$E$24,3,0)</f>
        <v>#N/A</v>
      </c>
      <c r="AD172" s="66" t="str">
        <f t="shared" si="61"/>
        <v>0813-08</v>
      </c>
      <c r="AE172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72" s="105" t="str">
        <f t="shared" si="63"/>
        <v>"C:\Program Files (x86)\AstroGrep\AstroGrep.exe" /spath="%USERPROFILE%\AppData\Local\Temp\OnboardLogs" /stypes="*4031*20160808*" /stext=" 15:.+((SYSTEM_STATE.+slice.+state.+changed )|(ment ac)|(system.+state.+changed )|(\|lc)|(penalty)|(\[timeout)|(PRM\|1\|D)|(kpr)|(kdp))" /e /r /s</v>
      </c>
      <c r="AG172" s="1" t="str">
        <f t="shared" si="64"/>
        <v>NW</v>
      </c>
      <c r="AH172" s="109" t="str">
        <f t="shared" si="65"/>
        <v>"%USERPROFILE%\Documents\GitHub\eaglep3\Utilities\RefineRTDCRunTimes.py" --tripid 813-08 --locoid 4031 --swversion DE.1.0.7.0 --startMP 204:978 --initTime 2016-08-08T09:16:51 --startdatetime 2016-08-08T09:17:56 --delay 1 --endMP 300:58907 --enddatetime 2016-08-08T09:35:32 --enforcementcount 0</v>
      </c>
    </row>
    <row r="173" spans="1:34" x14ac:dyDescent="0.25">
      <c r="A173" s="25" t="s">
        <v>384</v>
      </c>
      <c r="B173" s="127">
        <v>4032</v>
      </c>
      <c r="C173" s="128" t="s">
        <v>141</v>
      </c>
      <c r="D173" s="128" t="s">
        <v>602</v>
      </c>
      <c r="E173" s="129">
        <v>42590.400833333333</v>
      </c>
      <c r="F173" s="129">
        <v>42590.401782407411</v>
      </c>
      <c r="G173" s="127">
        <v>1</v>
      </c>
      <c r="H173" s="129" t="s">
        <v>603</v>
      </c>
      <c r="I173" s="129">
        <v>42590.414722222224</v>
      </c>
      <c r="J173" s="127">
        <v>0</v>
      </c>
      <c r="K173" s="25" t="str">
        <f t="shared" si="55"/>
        <v>4031/4032</v>
      </c>
      <c r="L173" s="25" t="str">
        <f>VLOOKUP(A173,'Trips&amp;Operators'!$C$1:$E$10000,3,FALSE)</f>
        <v>GRASTON</v>
      </c>
      <c r="M173" s="6">
        <f t="shared" si="56"/>
        <v>1.2939814812853001E-2</v>
      </c>
      <c r="N173" s="7">
        <f t="shared" si="71"/>
        <v>18.633333330508322</v>
      </c>
      <c r="O173" s="7"/>
      <c r="P173" s="7"/>
      <c r="Q173" s="26"/>
      <c r="R173" s="26"/>
      <c r="S173" s="38">
        <f t="shared" si="67"/>
        <v>1</v>
      </c>
      <c r="T173" s="55" t="str">
        <f t="shared" si="57"/>
        <v>Southbound</v>
      </c>
      <c r="U173" s="14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08:37:12-0600',mode:absolute,to:'2016-08-08 10:57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73" s="57" t="str">
        <f t="shared" si="59"/>
        <v>N</v>
      </c>
      <c r="X173" s="136">
        <f t="shared" si="68"/>
        <v>1</v>
      </c>
      <c r="Y173" s="72">
        <f t="shared" si="69"/>
        <v>5.8586999999999998</v>
      </c>
      <c r="Z173" s="72">
        <f t="shared" si="70"/>
        <v>6.7299999999999999E-2</v>
      </c>
      <c r="AA173" s="72">
        <f t="shared" si="60"/>
        <v>5.7913999999999994</v>
      </c>
      <c r="AB173" s="69" t="e">
        <f>VLOOKUP(A173,Enforcements!$C$7:$J$24,8,0)</f>
        <v>#N/A</v>
      </c>
      <c r="AC173" s="65" t="e">
        <f>VLOOKUP(A173,Enforcements!$C$7:$E$24,3,0)</f>
        <v>#N/A</v>
      </c>
      <c r="AD173" s="66" t="str">
        <f t="shared" si="61"/>
        <v>0814-08</v>
      </c>
      <c r="AE173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73" s="105" t="str">
        <f t="shared" si="63"/>
        <v>"C:\Program Files (x86)\AstroGrep\AstroGrep.exe" /spath="%USERPROFILE%\AppData\Local\Temp\OnboardLogs" /stypes="*4032*20160808*" /stext=" 15:.+((SYSTEM_STATE.+slice.+state.+changed )|(ment ac)|(system.+state.+changed )|(\|lc)|(penalty)|(\[timeout)|(PRM\|1\|D)|(kpr)|(kdp))" /e /r /s</v>
      </c>
      <c r="AG173" s="1" t="str">
        <f t="shared" si="64"/>
        <v>NW</v>
      </c>
      <c r="AH173" s="109" t="str">
        <f t="shared" si="65"/>
        <v>"%USERPROFILE%\Documents\GitHub\eaglep3\Utilities\RefineRTDCRunTimes.py" --tripid 814-08 --locoid 4032 --swversion DE.1.0.7.0 --startMP 300:58587 --initTime 2016-08-08T09:37:12 --startdatetime 2016-08-08T09:38:34 --delay 1 --endMP 204:673 --enddatetime 2016-08-08T09:57:12 --enforcementcount 0</v>
      </c>
    </row>
    <row r="174" spans="1:34" x14ac:dyDescent="0.25">
      <c r="A174" s="25" t="s">
        <v>389</v>
      </c>
      <c r="B174" s="127">
        <v>4031</v>
      </c>
      <c r="C174" s="128" t="s">
        <v>141</v>
      </c>
      <c r="D174" s="128" t="s">
        <v>596</v>
      </c>
      <c r="E174" s="129">
        <v>42590.428483796299</v>
      </c>
      <c r="F174" s="129">
        <v>42590.429201388892</v>
      </c>
      <c r="G174" s="127">
        <v>1</v>
      </c>
      <c r="H174" s="129" t="s">
        <v>591</v>
      </c>
      <c r="I174" s="129">
        <v>42590.485532407409</v>
      </c>
      <c r="J174" s="127">
        <v>0</v>
      </c>
      <c r="K174" s="25" t="str">
        <f t="shared" si="55"/>
        <v>4031/4032</v>
      </c>
      <c r="L174" s="25" t="str">
        <f>VLOOKUP(A174,'Trips&amp;Operators'!$C$1:$E$10000,3,FALSE)</f>
        <v>GRASTON</v>
      </c>
      <c r="M174" s="6">
        <f t="shared" si="56"/>
        <v>5.6331018517084885E-2</v>
      </c>
      <c r="N174" s="7">
        <f t="shared" si="71"/>
        <v>81.116666664602235</v>
      </c>
      <c r="O174" s="7"/>
      <c r="P174" s="7"/>
      <c r="Q174" s="26"/>
      <c r="R174" s="26"/>
      <c r="S174" s="38">
        <f t="shared" si="67"/>
        <v>1</v>
      </c>
      <c r="T174" s="55" t="str">
        <f t="shared" si="57"/>
        <v>NorthBound</v>
      </c>
      <c r="U174" s="14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09:17:01-0600',mode:absolute,to:'2016-08-08 12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74" s="57" t="str">
        <f t="shared" si="59"/>
        <v>N</v>
      </c>
      <c r="X174" s="136">
        <f t="shared" si="68"/>
        <v>1</v>
      </c>
      <c r="Y174" s="72">
        <f t="shared" si="69"/>
        <v>9.7199999999999995E-2</v>
      </c>
      <c r="Z174" s="72">
        <f t="shared" si="70"/>
        <v>5.8897000000000004</v>
      </c>
      <c r="AA174" s="72">
        <f t="shared" si="60"/>
        <v>5.7925000000000004</v>
      </c>
      <c r="AB174" s="69" t="e">
        <f>VLOOKUP(A174,Enforcements!$C$7:$J$24,8,0)</f>
        <v>#N/A</v>
      </c>
      <c r="AC174" s="65" t="e">
        <f>VLOOKUP(A174,Enforcements!$C$7:$E$24,3,0)</f>
        <v>#N/A</v>
      </c>
      <c r="AD174" s="66" t="str">
        <f t="shared" si="61"/>
        <v>0815-08</v>
      </c>
      <c r="AE174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74" s="105" t="str">
        <f t="shared" si="63"/>
        <v>"C:\Program Files (x86)\AstroGrep\AstroGrep.exe" /spath="%USERPROFILE%\AppData\Local\Temp\OnboardLogs" /stypes="*4031*20160808*" /stext=" 17:.+((SYSTEM_STATE.+slice.+state.+changed )|(ment ac)|(system.+state.+changed )|(\|lc)|(penalty)|(\[timeout)|(PRM\|1\|D)|(kpr)|(kdp))" /e /r /s</v>
      </c>
      <c r="AG174" s="1" t="str">
        <f t="shared" si="64"/>
        <v>NW</v>
      </c>
      <c r="AH174" s="109" t="str">
        <f t="shared" si="65"/>
        <v>"%USERPROFILE%\Documents\GitHub\eaglep3\Utilities\RefineRTDCRunTimes.py" --tripid 815-08 --locoid 4031 --swversion DE.1.0.7.0 --startMP 204:972 --initTime 2016-08-08T10:17:01 --startdatetime 2016-08-08T10:18:03 --delay 1 --endMP 300:58897 --enddatetime 2016-08-08T11:39:10 --enforcementcount 0</v>
      </c>
    </row>
    <row r="175" spans="1:34" x14ac:dyDescent="0.25">
      <c r="A175" s="25" t="s">
        <v>297</v>
      </c>
      <c r="B175" s="127">
        <v>4032</v>
      </c>
      <c r="C175" s="128" t="s">
        <v>141</v>
      </c>
      <c r="D175" s="128" t="s">
        <v>604</v>
      </c>
      <c r="E175" s="129">
        <v>42590.442442129628</v>
      </c>
      <c r="F175" s="129">
        <v>42590.443171296298</v>
      </c>
      <c r="G175" s="127">
        <v>1</v>
      </c>
      <c r="H175" s="129" t="s">
        <v>605</v>
      </c>
      <c r="I175" s="129">
        <v>42590.455046296294</v>
      </c>
      <c r="J175" s="127">
        <v>1</v>
      </c>
      <c r="K175" s="25" t="str">
        <f t="shared" si="55"/>
        <v>4031/4032</v>
      </c>
      <c r="L175" s="25" t="str">
        <f>VLOOKUP(A175,'Trips&amp;Operators'!$C$1:$E$10000,3,FALSE)</f>
        <v>GRASTON</v>
      </c>
      <c r="M175" s="6">
        <f t="shared" si="56"/>
        <v>1.187499999650754E-2</v>
      </c>
      <c r="N175" s="7">
        <f t="shared" si="71"/>
        <v>17.099999994970858</v>
      </c>
      <c r="O175" s="7"/>
      <c r="P175" s="7"/>
      <c r="Q175" s="26"/>
      <c r="R175" s="26"/>
      <c r="S175" s="38">
        <f t="shared" si="67"/>
        <v>1</v>
      </c>
      <c r="T175" s="55" t="str">
        <f t="shared" si="57"/>
        <v>Southbound</v>
      </c>
      <c r="U175" s="14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09:37:07-0600',mode:absolute,to:'2016-08-08 11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75" s="57" t="str">
        <f t="shared" si="59"/>
        <v>N</v>
      </c>
      <c r="X175" s="136">
        <f t="shared" si="68"/>
        <v>1</v>
      </c>
      <c r="Y175" s="72">
        <f t="shared" si="69"/>
        <v>5.8632</v>
      </c>
      <c r="Z175" s="72">
        <f t="shared" si="70"/>
        <v>6.8400000000000002E-2</v>
      </c>
      <c r="AA175" s="72">
        <f t="shared" si="60"/>
        <v>5.7948000000000004</v>
      </c>
      <c r="AB175" s="69" t="e">
        <f>VLOOKUP(A175,Enforcements!$C$7:$J$24,8,0)</f>
        <v>#N/A</v>
      </c>
      <c r="AC175" s="65" t="e">
        <f>VLOOKUP(A175,Enforcements!$C$7:$E$24,3,0)</f>
        <v>#N/A</v>
      </c>
      <c r="AD175" s="66" t="str">
        <f t="shared" si="61"/>
        <v>0816-08</v>
      </c>
      <c r="AE175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75" s="105" t="str">
        <f t="shared" si="63"/>
        <v>"C:\Program Files (x86)\AstroGrep\AstroGrep.exe" /spath="%USERPROFILE%\AppData\Local\Temp\OnboardLogs" /stypes="*4032*20160808*" /stext=" 16:.+((SYSTEM_STATE.+slice.+state.+changed )|(ment ac)|(system.+state.+changed )|(\|lc)|(penalty)|(\[timeout)|(PRM\|1\|D)|(kpr)|(kdp))" /e /r /s</v>
      </c>
      <c r="AG175" s="1" t="str">
        <f t="shared" si="64"/>
        <v>NW</v>
      </c>
      <c r="AH175" s="109" t="str">
        <f t="shared" si="65"/>
        <v>"%USERPROFILE%\Documents\GitHub\eaglep3\Utilities\RefineRTDCRunTimes.py" --tripid 816-08 --locoid 4032 --swversion DE.1.0.7.0 --startMP 300:58632 --initTime 2016-08-08T10:37:07 --startdatetime 2016-08-08T10:38:10 --delay 1 --endMP 204:684 --enddatetime 2016-08-08T10:55:16 --enforcementcount 1</v>
      </c>
    </row>
    <row r="176" spans="1:34" x14ac:dyDescent="0.25">
      <c r="A176" s="25" t="s">
        <v>396</v>
      </c>
      <c r="B176" s="127">
        <v>4031</v>
      </c>
      <c r="C176" s="128" t="s">
        <v>141</v>
      </c>
      <c r="D176" s="128" t="s">
        <v>606</v>
      </c>
      <c r="E176" s="129">
        <v>42590.470034722224</v>
      </c>
      <c r="F176" s="129">
        <v>42590.470960648148</v>
      </c>
      <c r="G176" s="127">
        <v>1</v>
      </c>
      <c r="H176" s="129" t="s">
        <v>591</v>
      </c>
      <c r="I176" s="129">
        <v>42590.485532407409</v>
      </c>
      <c r="J176" s="127">
        <v>0</v>
      </c>
      <c r="K176" s="25" t="str">
        <f t="shared" si="55"/>
        <v>4031/4032</v>
      </c>
      <c r="L176" s="25" t="str">
        <f>VLOOKUP(A176,'Trips&amp;Operators'!$C$1:$E$10000,3,FALSE)</f>
        <v>GRASTON</v>
      </c>
      <c r="M176" s="6">
        <f t="shared" si="56"/>
        <v>1.4571759260434192E-2</v>
      </c>
      <c r="N176" s="7">
        <f t="shared" si="71"/>
        <v>20.983333335025236</v>
      </c>
      <c r="O176" s="7"/>
      <c r="P176" s="7"/>
      <c r="Q176" s="26"/>
      <c r="R176" s="26"/>
      <c r="S176" s="38">
        <f t="shared" si="67"/>
        <v>1</v>
      </c>
      <c r="T176" s="55" t="str">
        <f t="shared" si="57"/>
        <v>NorthBound</v>
      </c>
      <c r="U176" s="14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10:16:51-0600',mode:absolute,to:'2016-08-08 12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76" s="57" t="str">
        <f t="shared" si="59"/>
        <v>N</v>
      </c>
      <c r="X176" s="136">
        <f t="shared" si="68"/>
        <v>1</v>
      </c>
      <c r="Y176" s="72">
        <f t="shared" si="69"/>
        <v>9.7600000000000006E-2</v>
      </c>
      <c r="Z176" s="72">
        <f t="shared" si="70"/>
        <v>5.8897000000000004</v>
      </c>
      <c r="AA176" s="72">
        <f t="shared" si="60"/>
        <v>5.7921000000000005</v>
      </c>
      <c r="AB176" s="69" t="e">
        <f>VLOOKUP(A176,Enforcements!$C$7:$J$24,8,0)</f>
        <v>#N/A</v>
      </c>
      <c r="AC176" s="65" t="e">
        <f>VLOOKUP(A176,Enforcements!$C$7:$E$24,3,0)</f>
        <v>#N/A</v>
      </c>
      <c r="AD176" s="66" t="str">
        <f t="shared" si="61"/>
        <v>0817-08</v>
      </c>
      <c r="AE176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76" s="105" t="str">
        <f t="shared" si="63"/>
        <v>"C:\Program Files (x86)\AstroGrep\AstroGrep.exe" /spath="%USERPROFILE%\AppData\Local\Temp\OnboardLogs" /stypes="*4031*20160808*" /stext=" 17:.+((SYSTEM_STATE.+slice.+state.+changed )|(ment ac)|(system.+state.+changed )|(\|lc)|(penalty)|(\[timeout)|(PRM\|1\|D)|(kpr)|(kdp))" /e /r /s</v>
      </c>
      <c r="AG176" s="1" t="str">
        <f t="shared" si="64"/>
        <v>NW</v>
      </c>
      <c r="AH176" s="109" t="str">
        <f t="shared" si="65"/>
        <v>"%USERPROFILE%\Documents\GitHub\eaglep3\Utilities\RefineRTDCRunTimes.py" --tripid 817-08 --locoid 4031 --swversion DE.1.0.7.0 --startMP 204:976 --initTime 2016-08-08T11:16:51 --startdatetime 2016-08-08T11:18:11 --delay 1 --endMP 300:58897 --enddatetime 2016-08-08T11:39:10 --enforcementcount 0</v>
      </c>
    </row>
    <row r="177" spans="1:34" x14ac:dyDescent="0.25">
      <c r="A177" s="25" t="s">
        <v>401</v>
      </c>
      <c r="B177" s="127">
        <v>4032</v>
      </c>
      <c r="C177" s="128" t="s">
        <v>141</v>
      </c>
      <c r="D177" s="128" t="s">
        <v>602</v>
      </c>
      <c r="E177" s="129">
        <v>42590.486250000002</v>
      </c>
      <c r="F177" s="129">
        <v>42590.487129629626</v>
      </c>
      <c r="G177" s="127">
        <v>1</v>
      </c>
      <c r="H177" s="129" t="s">
        <v>259</v>
      </c>
      <c r="I177" s="129">
        <v>42590.497118055559</v>
      </c>
      <c r="J177" s="127">
        <v>0</v>
      </c>
      <c r="K177" s="25" t="str">
        <f t="shared" si="55"/>
        <v>4031/4032</v>
      </c>
      <c r="L177" s="25" t="str">
        <f>VLOOKUP(A177,'Trips&amp;Operators'!$C$1:$E$10000,3,FALSE)</f>
        <v>GRASTON</v>
      </c>
      <c r="M177" s="6">
        <f t="shared" si="56"/>
        <v>9.9884259325335734E-3</v>
      </c>
      <c r="N177" s="7">
        <f t="shared" si="71"/>
        <v>14.383333342848346</v>
      </c>
      <c r="O177" s="7"/>
      <c r="P177" s="7"/>
      <c r="Q177" s="26"/>
      <c r="R177" s="26"/>
      <c r="S177" s="38">
        <f t="shared" si="67"/>
        <v>1</v>
      </c>
      <c r="T177" s="55" t="str">
        <f t="shared" si="57"/>
        <v>Southbound</v>
      </c>
      <c r="U177" s="14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10:40:12-0600',mode:absolute,to:'2016-08-08 12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77" s="57" t="str">
        <f t="shared" si="59"/>
        <v>N</v>
      </c>
      <c r="X177" s="136">
        <f t="shared" si="68"/>
        <v>1</v>
      </c>
      <c r="Y177" s="72">
        <f t="shared" si="69"/>
        <v>5.8586999999999998</v>
      </c>
      <c r="Z177" s="72">
        <f t="shared" si="70"/>
        <v>6.8500000000000005E-2</v>
      </c>
      <c r="AA177" s="72">
        <f t="shared" si="60"/>
        <v>5.7901999999999996</v>
      </c>
      <c r="AB177" s="69" t="e">
        <f>VLOOKUP(A177,Enforcements!$C$7:$J$24,8,0)</f>
        <v>#N/A</v>
      </c>
      <c r="AC177" s="65" t="e">
        <f>VLOOKUP(A177,Enforcements!$C$7:$E$24,3,0)</f>
        <v>#N/A</v>
      </c>
      <c r="AD177" s="66" t="str">
        <f t="shared" si="61"/>
        <v>0818-08</v>
      </c>
      <c r="AE177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77" s="105" t="str">
        <f t="shared" si="63"/>
        <v>"C:\Program Files (x86)\AstroGrep\AstroGrep.exe" /spath="%USERPROFILE%\AppData\Local\Temp\OnboardLogs" /stypes="*4032*20160808*" /stext=" 17:.+((SYSTEM_STATE.+slice.+state.+changed )|(ment ac)|(system.+state.+changed )|(\|lc)|(penalty)|(\[timeout)|(PRM\|1\|D)|(kpr)|(kdp))" /e /r /s</v>
      </c>
      <c r="AG177" s="1" t="str">
        <f t="shared" si="64"/>
        <v>NW</v>
      </c>
      <c r="AH177" s="109" t="str">
        <f t="shared" si="65"/>
        <v>"%USERPROFILE%\Documents\GitHub\eaglep3\Utilities\RefineRTDCRunTimes.py" --tripid 818-08 --locoid 4032 --swversion DE.1.0.7.0 --startMP 300:58587 --initTime 2016-08-08T11:40:12 --startdatetime 2016-08-08T11:41:28 --delay 1 --endMP 204:685 --enddatetime 2016-08-08T11:55:51 --enforcementcount 0</v>
      </c>
    </row>
    <row r="178" spans="1:34" x14ac:dyDescent="0.25">
      <c r="A178" s="25" t="s">
        <v>407</v>
      </c>
      <c r="B178" s="127">
        <v>4031</v>
      </c>
      <c r="C178" s="128" t="s">
        <v>141</v>
      </c>
      <c r="D178" s="128" t="s">
        <v>606</v>
      </c>
      <c r="E178" s="129">
        <v>42590.512754629628</v>
      </c>
      <c r="F178" s="129">
        <v>42590.513796296298</v>
      </c>
      <c r="G178" s="127">
        <v>1</v>
      </c>
      <c r="H178" s="129" t="s">
        <v>601</v>
      </c>
      <c r="I178" s="129">
        <v>42590.524398148147</v>
      </c>
      <c r="J178" s="127">
        <v>0</v>
      </c>
      <c r="K178" s="25" t="str">
        <f t="shared" si="55"/>
        <v>4031/4032</v>
      </c>
      <c r="L178" s="25" t="str">
        <f>VLOOKUP(A178,'Trips&amp;Operators'!$C$1:$E$10000,3,FALSE)</f>
        <v>GRASTON</v>
      </c>
      <c r="M178" s="6">
        <f t="shared" si="56"/>
        <v>1.060185184906004E-2</v>
      </c>
      <c r="N178" s="7">
        <f t="shared" si="71"/>
        <v>15.266666662646458</v>
      </c>
      <c r="O178" s="7"/>
      <c r="P178" s="7"/>
      <c r="Q178" s="26"/>
      <c r="R178" s="26"/>
      <c r="S178" s="38">
        <f t="shared" si="67"/>
        <v>1</v>
      </c>
      <c r="T178" s="55" t="str">
        <f t="shared" si="57"/>
        <v>NorthBound</v>
      </c>
      <c r="U178" s="14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11:18:22-0600',mode:absolute,to:'2016-08-08 13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78" s="57" t="str">
        <f t="shared" si="59"/>
        <v>N</v>
      </c>
      <c r="X178" s="136">
        <f t="shared" si="68"/>
        <v>1</v>
      </c>
      <c r="Y178" s="72">
        <f t="shared" si="69"/>
        <v>9.7600000000000006E-2</v>
      </c>
      <c r="Z178" s="72">
        <f t="shared" si="70"/>
        <v>5.8906999999999998</v>
      </c>
      <c r="AA178" s="72">
        <f t="shared" si="60"/>
        <v>5.7930999999999999</v>
      </c>
      <c r="AB178" s="69" t="e">
        <f>VLOOKUP(A178,Enforcements!$C$7:$J$24,8,0)</f>
        <v>#N/A</v>
      </c>
      <c r="AC178" s="65" t="e">
        <f>VLOOKUP(A178,Enforcements!$C$7:$E$24,3,0)</f>
        <v>#N/A</v>
      </c>
      <c r="AD178" s="66" t="str">
        <f t="shared" si="61"/>
        <v>0819-08</v>
      </c>
      <c r="AE178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78" s="105" t="str">
        <f t="shared" si="63"/>
        <v>"C:\Program Files (x86)\AstroGrep\AstroGrep.exe" /spath="%USERPROFILE%\AppData\Local\Temp\OnboardLogs" /stypes="*4031*20160808*" /stext=" 18:.+((SYSTEM_STATE.+slice.+state.+changed )|(ment ac)|(system.+state.+changed )|(\|lc)|(penalty)|(\[timeout)|(PRM\|1\|D)|(kpr)|(kdp))" /e /r /s</v>
      </c>
      <c r="AG178" s="1" t="str">
        <f t="shared" si="64"/>
        <v>NW</v>
      </c>
      <c r="AH178" s="109" t="str">
        <f t="shared" si="65"/>
        <v>"%USERPROFILE%\Documents\GitHub\eaglep3\Utilities\RefineRTDCRunTimes.py" --tripid 819-08 --locoid 4031 --swversion DE.1.0.7.0 --startMP 204:976 --initTime 2016-08-08T12:18:22 --startdatetime 2016-08-08T12:19:52 --delay 1 --endMP 300:58907 --enddatetime 2016-08-08T12:35:08 --enforcementcount 0</v>
      </c>
    </row>
    <row r="179" spans="1:34" x14ac:dyDescent="0.25">
      <c r="A179" s="25" t="s">
        <v>410</v>
      </c>
      <c r="B179" s="127">
        <v>4032</v>
      </c>
      <c r="C179" s="128" t="s">
        <v>141</v>
      </c>
      <c r="D179" s="128" t="s">
        <v>607</v>
      </c>
      <c r="E179" s="129">
        <v>42590.525555555556</v>
      </c>
      <c r="F179" s="129">
        <v>42590.526655092595</v>
      </c>
      <c r="G179" s="127">
        <v>1</v>
      </c>
      <c r="H179" s="129" t="s">
        <v>259</v>
      </c>
      <c r="I179" s="129">
        <v>42590.538414351853</v>
      </c>
      <c r="J179" s="127">
        <v>0</v>
      </c>
      <c r="K179" s="25" t="str">
        <f t="shared" si="55"/>
        <v>4031/4032</v>
      </c>
      <c r="L179" s="25" t="str">
        <f>VLOOKUP(A179,'Trips&amp;Operators'!$C$1:$E$10000,3,FALSE)</f>
        <v>GRASTON</v>
      </c>
      <c r="M179" s="6">
        <f t="shared" si="56"/>
        <v>1.1759259257814847E-2</v>
      </c>
      <c r="N179" s="7">
        <f t="shared" si="71"/>
        <v>16.93333333125338</v>
      </c>
      <c r="O179" s="7"/>
      <c r="P179" s="7"/>
      <c r="Q179" s="26"/>
      <c r="R179" s="26"/>
      <c r="S179" s="38">
        <f t="shared" si="67"/>
        <v>1</v>
      </c>
      <c r="T179" s="55" t="str">
        <f t="shared" si="57"/>
        <v>Southbound</v>
      </c>
      <c r="U179" s="14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11:36:48-0600',mode:absolute,to:'2016-08-08 13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79" s="57" t="str">
        <f t="shared" si="59"/>
        <v>N</v>
      </c>
      <c r="X179" s="136">
        <f t="shared" si="68"/>
        <v>1</v>
      </c>
      <c r="Y179" s="72">
        <f t="shared" si="69"/>
        <v>5.8585000000000003</v>
      </c>
      <c r="Z179" s="72">
        <f t="shared" si="70"/>
        <v>6.8500000000000005E-2</v>
      </c>
      <c r="AA179" s="72">
        <f t="shared" si="60"/>
        <v>5.79</v>
      </c>
      <c r="AB179" s="69" t="e">
        <f>VLOOKUP(A179,Enforcements!$C$7:$J$24,8,0)</f>
        <v>#N/A</v>
      </c>
      <c r="AC179" s="65" t="e">
        <f>VLOOKUP(A179,Enforcements!$C$7:$E$24,3,0)</f>
        <v>#N/A</v>
      </c>
      <c r="AD179" s="66" t="str">
        <f t="shared" si="61"/>
        <v>0820-08</v>
      </c>
      <c r="AE179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79" s="105" t="str">
        <f t="shared" si="63"/>
        <v>"C:\Program Files (x86)\AstroGrep\AstroGrep.exe" /spath="%USERPROFILE%\AppData\Local\Temp\OnboardLogs" /stypes="*4032*20160808*" /stext=" 18:.+((SYSTEM_STATE.+slice.+state.+changed )|(ment ac)|(system.+state.+changed )|(\|lc)|(penalty)|(\[timeout)|(PRM\|1\|D)|(kpr)|(kdp))" /e /r /s</v>
      </c>
      <c r="AG179" s="1" t="str">
        <f t="shared" si="64"/>
        <v>NW</v>
      </c>
      <c r="AH179" s="109" t="str">
        <f t="shared" si="65"/>
        <v>"%USERPROFILE%\Documents\GitHub\eaglep3\Utilities\RefineRTDCRunTimes.py" --tripid 820-08 --locoid 4032 --swversion DE.1.0.7.0 --startMP 300:58585 --initTime 2016-08-08T12:36:48 --startdatetime 2016-08-08T12:38:23 --delay 1 --endMP 204:685 --enddatetime 2016-08-08T12:55:19 --enforcementcount 0</v>
      </c>
    </row>
    <row r="180" spans="1:34" x14ac:dyDescent="0.25">
      <c r="A180" s="25" t="s">
        <v>415</v>
      </c>
      <c r="B180" s="127">
        <v>4031</v>
      </c>
      <c r="C180" s="128" t="s">
        <v>141</v>
      </c>
      <c r="D180" s="128" t="s">
        <v>606</v>
      </c>
      <c r="E180" s="129">
        <v>42590.547615740739</v>
      </c>
      <c r="F180" s="129">
        <v>42590.549131944441</v>
      </c>
      <c r="G180" s="127">
        <v>2</v>
      </c>
      <c r="H180" s="129" t="s">
        <v>608</v>
      </c>
      <c r="I180" s="129">
        <v>42590.566967592589</v>
      </c>
      <c r="J180" s="127">
        <v>0</v>
      </c>
      <c r="K180" s="25" t="str">
        <f t="shared" si="55"/>
        <v>4031/4032</v>
      </c>
      <c r="L180" s="25" t="str">
        <f>VLOOKUP(A180,'Trips&amp;Operators'!$C$1:$E$10000,3,FALSE)</f>
        <v>HAITHCOX</v>
      </c>
      <c r="M180" s="6">
        <f t="shared" si="56"/>
        <v>1.7835648148320615E-2</v>
      </c>
      <c r="N180" s="7">
        <f t="shared" si="71"/>
        <v>25.683333333581686</v>
      </c>
      <c r="O180" s="7"/>
      <c r="P180" s="7"/>
      <c r="Q180" s="26"/>
      <c r="R180" s="26"/>
      <c r="S180" s="38">
        <f t="shared" si="67"/>
        <v>1</v>
      </c>
      <c r="T180" s="55" t="str">
        <f t="shared" si="57"/>
        <v>NorthBound</v>
      </c>
      <c r="U180" s="14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12:08:34-0600',mode:absolute,to:'2016-08-08 14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80" s="57" t="str">
        <f t="shared" si="59"/>
        <v>N</v>
      </c>
      <c r="X180" s="136">
        <f t="shared" si="68"/>
        <v>1</v>
      </c>
      <c r="Y180" s="72">
        <f t="shared" si="69"/>
        <v>9.7600000000000006E-2</v>
      </c>
      <c r="Z180" s="72">
        <f t="shared" si="70"/>
        <v>5.8860000000000001</v>
      </c>
      <c r="AA180" s="72">
        <f t="shared" si="60"/>
        <v>5.7884000000000002</v>
      </c>
      <c r="AB180" s="69" t="e">
        <f>VLOOKUP(A180,Enforcements!$C$7:$J$24,8,0)</f>
        <v>#N/A</v>
      </c>
      <c r="AC180" s="65" t="e">
        <f>VLOOKUP(A180,Enforcements!$C$7:$E$24,3,0)</f>
        <v>#N/A</v>
      </c>
      <c r="AD180" s="66" t="str">
        <f t="shared" si="61"/>
        <v>0821-08</v>
      </c>
      <c r="AE180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80" s="105" t="str">
        <f t="shared" si="63"/>
        <v>"C:\Program Files (x86)\AstroGrep\AstroGrep.exe" /spath="%USERPROFILE%\AppData\Local\Temp\OnboardLogs" /stypes="*4031*20160808*" /stext=" 19:.+((SYSTEM_STATE.+slice.+state.+changed )|(ment ac)|(system.+state.+changed )|(\|lc)|(penalty)|(\[timeout)|(PRM\|1\|D)|(kpr)|(kdp))" /e /r /s</v>
      </c>
      <c r="AG180" s="1" t="str">
        <f t="shared" si="64"/>
        <v>NW</v>
      </c>
      <c r="AH180" s="109" t="str">
        <f t="shared" si="65"/>
        <v>"%USERPROFILE%\Documents\GitHub\eaglep3\Utilities\RefineRTDCRunTimes.py" --tripid 821-08 --locoid 4031 --swversion DE.1.0.7.0 --startMP 204:976 --initTime 2016-08-08T13:08:34 --startdatetime 2016-08-08T13:10:45 --delay 2 --endMP 300:58860 --enddatetime 2016-08-08T13:36:26 --enforcementcount 0</v>
      </c>
    </row>
    <row r="181" spans="1:34" x14ac:dyDescent="0.25">
      <c r="A181" s="25" t="s">
        <v>420</v>
      </c>
      <c r="B181" s="127">
        <v>4032</v>
      </c>
      <c r="C181" s="128" t="s">
        <v>141</v>
      </c>
      <c r="D181" s="128" t="s">
        <v>609</v>
      </c>
      <c r="E181" s="129">
        <v>42590.56790509259</v>
      </c>
      <c r="F181" s="129">
        <v>42590.568923611114</v>
      </c>
      <c r="G181" s="127">
        <v>1</v>
      </c>
      <c r="H181" s="129" t="s">
        <v>595</v>
      </c>
      <c r="I181" s="129">
        <v>42590.582349537035</v>
      </c>
      <c r="J181" s="127">
        <v>0</v>
      </c>
      <c r="K181" s="25" t="str">
        <f t="shared" si="55"/>
        <v>4031/4032</v>
      </c>
      <c r="L181" s="25" t="str">
        <f>VLOOKUP(A181,'Trips&amp;Operators'!$C$1:$E$10000,3,FALSE)</f>
        <v>HAITHCOX</v>
      </c>
      <c r="M181" s="6">
        <f t="shared" si="56"/>
        <v>1.3425925921183079E-2</v>
      </c>
      <c r="N181" s="7">
        <f t="shared" si="71"/>
        <v>19.333333326503634</v>
      </c>
      <c r="O181" s="7"/>
      <c r="P181" s="7"/>
      <c r="Q181" s="26"/>
      <c r="R181" s="26"/>
      <c r="S181" s="38">
        <f t="shared" si="67"/>
        <v>1</v>
      </c>
      <c r="T181" s="55" t="str">
        <f t="shared" si="57"/>
        <v>Southbound</v>
      </c>
      <c r="U181" s="14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12:37:47-0600',mode:absolute,to:'2016-08-08 14:58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81" s="57" t="str">
        <f t="shared" si="59"/>
        <v>N</v>
      </c>
      <c r="X181" s="136">
        <f t="shared" si="68"/>
        <v>1</v>
      </c>
      <c r="Y181" s="72">
        <f t="shared" si="69"/>
        <v>5.8525</v>
      </c>
      <c r="Z181" s="72">
        <f t="shared" si="70"/>
        <v>6.6299999999999998E-2</v>
      </c>
      <c r="AA181" s="72">
        <f t="shared" si="60"/>
        <v>5.7862</v>
      </c>
      <c r="AB181" s="69" t="e">
        <f>VLOOKUP(A181,Enforcements!$C$7:$J$24,8,0)</f>
        <v>#N/A</v>
      </c>
      <c r="AC181" s="65" t="e">
        <f>VLOOKUP(A181,Enforcements!$C$7:$E$24,3,0)</f>
        <v>#N/A</v>
      </c>
      <c r="AD181" s="66" t="str">
        <f t="shared" si="61"/>
        <v>0822-08</v>
      </c>
      <c r="AE181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81" s="105" t="str">
        <f t="shared" si="63"/>
        <v>"C:\Program Files (x86)\AstroGrep\AstroGrep.exe" /spath="%USERPROFILE%\AppData\Local\Temp\OnboardLogs" /stypes="*4032*20160808*" /stext=" 19:.+((SYSTEM_STATE.+slice.+state.+changed )|(ment ac)|(system.+state.+changed )|(\|lc)|(penalty)|(\[timeout)|(PRM\|1\|D)|(kpr)|(kdp))" /e /r /s</v>
      </c>
      <c r="AG181" s="1" t="str">
        <f t="shared" si="64"/>
        <v>NW</v>
      </c>
      <c r="AH181" s="109" t="str">
        <f t="shared" si="65"/>
        <v>"%USERPROFILE%\Documents\GitHub\eaglep3\Utilities\RefineRTDCRunTimes.py" --tripid 822-08 --locoid 4032 --swversion DE.1.0.7.0 --startMP 300:58525 --initTime 2016-08-08T13:37:47 --startdatetime 2016-08-08T13:39:15 --delay 1 --endMP 204:663 --enddatetime 2016-08-08T13:58:35 --enforcementcount 0</v>
      </c>
    </row>
    <row r="182" spans="1:34" x14ac:dyDescent="0.25">
      <c r="A182" s="25" t="s">
        <v>304</v>
      </c>
      <c r="B182" s="127">
        <v>4031</v>
      </c>
      <c r="C182" s="128" t="s">
        <v>141</v>
      </c>
      <c r="D182" s="128" t="s">
        <v>590</v>
      </c>
      <c r="E182" s="129">
        <v>42590.591643518521</v>
      </c>
      <c r="F182" s="129">
        <v>42590.593032407407</v>
      </c>
      <c r="G182" s="127">
        <v>1</v>
      </c>
      <c r="H182" s="129" t="s">
        <v>610</v>
      </c>
      <c r="I182" s="129">
        <v>42590.607743055552</v>
      </c>
      <c r="J182" s="127">
        <v>1</v>
      </c>
      <c r="K182" s="25" t="str">
        <f t="shared" si="55"/>
        <v>4031/4032</v>
      </c>
      <c r="L182" s="25" t="str">
        <f>VLOOKUP(A182,'Trips&amp;Operators'!$C$1:$E$10000,3,FALSE)</f>
        <v>HAITHCOX</v>
      </c>
      <c r="M182" s="6">
        <f t="shared" si="56"/>
        <v>1.4710648145410232E-2</v>
      </c>
      <c r="N182" s="7">
        <f t="shared" si="71"/>
        <v>21.183333329390734</v>
      </c>
      <c r="O182" s="7"/>
      <c r="P182" s="7"/>
      <c r="Q182" s="26"/>
      <c r="R182" s="26"/>
      <c r="S182" s="38">
        <f t="shared" si="67"/>
        <v>1</v>
      </c>
      <c r="T182" s="55" t="str">
        <f t="shared" si="57"/>
        <v>NorthBound</v>
      </c>
      <c r="U182" s="14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13:11:58-0600',mode:absolute,to:'2016-08-08 15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82" s="57" t="str">
        <f t="shared" si="59"/>
        <v>N</v>
      </c>
      <c r="X182" s="136">
        <f t="shared" si="68"/>
        <v>1</v>
      </c>
      <c r="Y182" s="72">
        <f t="shared" si="69"/>
        <v>9.5799999999999996E-2</v>
      </c>
      <c r="Z182" s="72">
        <f t="shared" si="70"/>
        <v>5.8994999999999997</v>
      </c>
      <c r="AA182" s="72">
        <f t="shared" si="60"/>
        <v>5.8037000000000001</v>
      </c>
      <c r="AB182" s="69" t="e">
        <f>VLOOKUP(A182,Enforcements!$C$7:$J$24,8,0)</f>
        <v>#N/A</v>
      </c>
      <c r="AC182" s="65" t="e">
        <f>VLOOKUP(A182,Enforcements!$C$7:$E$24,3,0)</f>
        <v>#N/A</v>
      </c>
      <c r="AD182" s="66" t="str">
        <f t="shared" si="61"/>
        <v>0823-08</v>
      </c>
      <c r="AE182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82" s="105" t="str">
        <f t="shared" si="63"/>
        <v>"C:\Program Files (x86)\AstroGrep\AstroGrep.exe" /spath="%USERPROFILE%\AppData\Local\Temp\OnboardLogs" /stypes="*4031*20160808*" /stext=" 20:.+((SYSTEM_STATE.+slice.+state.+changed )|(ment ac)|(system.+state.+changed )|(\|lc)|(penalty)|(\[timeout)|(PRM\|1\|D)|(kpr)|(kdp))" /e /r /s</v>
      </c>
      <c r="AG182" s="1" t="str">
        <f t="shared" si="64"/>
        <v>NW</v>
      </c>
      <c r="AH182" s="109" t="str">
        <f t="shared" si="65"/>
        <v>"%USERPROFILE%\Documents\GitHub\eaglep3\Utilities\RefineRTDCRunTimes.py" --tripid 823-08 --locoid 4031 --swversion DE.1.0.7.0 --startMP 204:958 --initTime 2016-08-08T14:11:58 --startdatetime 2016-08-08T14:13:58 --delay 1 --endMP 300:58995 --enddatetime 2016-08-08T14:35:09 --enforcementcount 1</v>
      </c>
    </row>
    <row r="183" spans="1:34" x14ac:dyDescent="0.25">
      <c r="A183" s="25" t="s">
        <v>427</v>
      </c>
      <c r="B183" s="127">
        <v>4032</v>
      </c>
      <c r="C183" s="128" t="s">
        <v>141</v>
      </c>
      <c r="D183" s="128" t="s">
        <v>611</v>
      </c>
      <c r="E183" s="129">
        <v>42590.609456018516</v>
      </c>
      <c r="F183" s="129">
        <v>42590.610277777778</v>
      </c>
      <c r="G183" s="127">
        <v>1</v>
      </c>
      <c r="H183" s="129" t="s">
        <v>243</v>
      </c>
      <c r="I183" s="129">
        <v>42590.62164351852</v>
      </c>
      <c r="J183" s="127">
        <v>0</v>
      </c>
      <c r="K183" s="25" t="str">
        <f t="shared" si="55"/>
        <v>4031/4032</v>
      </c>
      <c r="L183" s="25" t="str">
        <f>VLOOKUP(A183,'Trips&amp;Operators'!$C$1:$E$10000,3,FALSE)</f>
        <v>HAITHCOX</v>
      </c>
      <c r="M183" s="6">
        <f t="shared" si="56"/>
        <v>1.1365740741894115E-2</v>
      </c>
      <c r="N183" s="7">
        <f t="shared" si="71"/>
        <v>16.366666668327525</v>
      </c>
      <c r="O183" s="7"/>
      <c r="P183" s="7"/>
      <c r="Q183" s="26"/>
      <c r="R183" s="26"/>
      <c r="S183" s="38">
        <f t="shared" si="67"/>
        <v>1</v>
      </c>
      <c r="T183" s="55" t="str">
        <f t="shared" si="57"/>
        <v>Southbound</v>
      </c>
      <c r="U183" s="14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13:37:37-0600',mode:absolute,to:'2016-08-08 15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83" s="57" t="str">
        <f t="shared" si="59"/>
        <v>N</v>
      </c>
      <c r="X183" s="136">
        <f t="shared" ref="X183:X191" si="72">VALUE(LEFT(AD183,4))-VALUE(LEFT(AD182,4))</f>
        <v>1</v>
      </c>
      <c r="Y183" s="72">
        <f t="shared" si="69"/>
        <v>5.8674999999999997</v>
      </c>
      <c r="Z183" s="72">
        <f t="shared" si="70"/>
        <v>6.6100000000000006E-2</v>
      </c>
      <c r="AA183" s="72">
        <f t="shared" si="60"/>
        <v>5.8014000000000001</v>
      </c>
      <c r="AB183" s="69" t="e">
        <f>VLOOKUP(A183,Enforcements!$C$7:$J$24,8,0)</f>
        <v>#N/A</v>
      </c>
      <c r="AC183" s="65" t="e">
        <f>VLOOKUP(A183,Enforcements!$C$7:$E$24,3,0)</f>
        <v>#N/A</v>
      </c>
      <c r="AD183" s="66" t="str">
        <f t="shared" si="61"/>
        <v>0824-08</v>
      </c>
      <c r="AE183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83" s="105" t="str">
        <f t="shared" si="63"/>
        <v>"C:\Program Files (x86)\AstroGrep\AstroGrep.exe" /spath="%USERPROFILE%\AppData\Local\Temp\OnboardLogs" /stypes="*4032*20160808*" /stext=" 20:.+((SYSTEM_STATE.+slice.+state.+changed )|(ment ac)|(system.+state.+changed )|(\|lc)|(penalty)|(\[timeout)|(PRM\|1\|D)|(kpr)|(kdp))" /e /r /s</v>
      </c>
      <c r="AG183" s="1" t="str">
        <f t="shared" si="64"/>
        <v>NW</v>
      </c>
      <c r="AH183" s="109" t="str">
        <f t="shared" si="65"/>
        <v>"%USERPROFILE%\Documents\GitHub\eaglep3\Utilities\RefineRTDCRunTimes.py" --tripid 824-08 --locoid 4032 --swversion DE.1.0.7.0 --startMP 300:58675 --initTime 2016-08-08T14:37:37 --startdatetime 2016-08-08T14:38:48 --delay 1 --endMP 204:661 --enddatetime 2016-08-08T14:55:10 --enforcementcount 0</v>
      </c>
    </row>
    <row r="184" spans="1:34" x14ac:dyDescent="0.25">
      <c r="A184" s="25" t="s">
        <v>432</v>
      </c>
      <c r="B184" s="127">
        <v>4031</v>
      </c>
      <c r="C184" s="128" t="s">
        <v>141</v>
      </c>
      <c r="D184" s="128" t="s">
        <v>257</v>
      </c>
      <c r="E184" s="129">
        <v>42590.634375000001</v>
      </c>
      <c r="F184" s="129">
        <v>42590.635682870372</v>
      </c>
      <c r="G184" s="127">
        <v>1</v>
      </c>
      <c r="H184" s="129" t="s">
        <v>588</v>
      </c>
      <c r="I184" s="129">
        <v>42590.650821759256</v>
      </c>
      <c r="J184" s="127">
        <v>0</v>
      </c>
      <c r="K184" s="25" t="str">
        <f t="shared" si="55"/>
        <v>4031/4032</v>
      </c>
      <c r="L184" s="25" t="str">
        <f>VLOOKUP(A184,'Trips&amp;Operators'!$C$1:$E$10000,3,FALSE)</f>
        <v>HAITHCOX</v>
      </c>
      <c r="M184" s="6">
        <f t="shared" si="56"/>
        <v>1.5138888884393964E-2</v>
      </c>
      <c r="N184" s="7">
        <f t="shared" si="71"/>
        <v>21.799999993527308</v>
      </c>
      <c r="O184" s="7"/>
      <c r="P184" s="7"/>
      <c r="Q184" s="26"/>
      <c r="R184" s="26"/>
      <c r="S184" s="38">
        <f t="shared" si="67"/>
        <v>1</v>
      </c>
      <c r="T184" s="55" t="str">
        <f t="shared" si="57"/>
        <v>NorthBound</v>
      </c>
      <c r="U184" s="14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14:13:30-0600',mode:absolute,to:'2016-08-08 16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84" s="57" t="str">
        <f t="shared" si="59"/>
        <v>N</v>
      </c>
      <c r="X184" s="136">
        <f t="shared" si="72"/>
        <v>1</v>
      </c>
      <c r="Y184" s="72">
        <f t="shared" si="69"/>
        <v>9.8100000000000007E-2</v>
      </c>
      <c r="Z184" s="72">
        <f t="shared" si="70"/>
        <v>5.8928000000000003</v>
      </c>
      <c r="AA184" s="72">
        <f t="shared" si="60"/>
        <v>5.7947000000000006</v>
      </c>
      <c r="AB184" s="69" t="e">
        <f>VLOOKUP(A184,Enforcements!$C$7:$J$24,8,0)</f>
        <v>#N/A</v>
      </c>
      <c r="AC184" s="65" t="e">
        <f>VLOOKUP(A184,Enforcements!$C$7:$E$24,3,0)</f>
        <v>#N/A</v>
      </c>
      <c r="AD184" s="66" t="str">
        <f t="shared" si="61"/>
        <v>0825-08</v>
      </c>
      <c r="AE184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84" s="105" t="str">
        <f t="shared" si="63"/>
        <v>"C:\Program Files (x86)\AstroGrep\AstroGrep.exe" /spath="%USERPROFILE%\AppData\Local\Temp\OnboardLogs" /stypes="*4031*20160808*" /stext=" 21:.+((SYSTEM_STATE.+slice.+state.+changed )|(ment ac)|(system.+state.+changed )|(\|lc)|(penalty)|(\[timeout)|(PRM\|1\|D)|(kpr)|(kdp))" /e /r /s</v>
      </c>
      <c r="AG184" s="1" t="str">
        <f t="shared" si="64"/>
        <v>NW</v>
      </c>
      <c r="AH184" s="109" t="str">
        <f t="shared" si="65"/>
        <v>"%USERPROFILE%\Documents\GitHub\eaglep3\Utilities\RefineRTDCRunTimes.py" --tripid 825-08 --locoid 4031 --swversion DE.1.0.7.0 --startMP 204:981 --initTime 2016-08-08T15:13:30 --startdatetime 2016-08-08T15:15:23 --delay 1 --endMP 300:58928 --enddatetime 2016-08-08T15:37:11 --enforcementcount 0</v>
      </c>
    </row>
    <row r="185" spans="1:34" x14ac:dyDescent="0.25">
      <c r="A185" s="25" t="s">
        <v>307</v>
      </c>
      <c r="B185" s="127">
        <v>4032</v>
      </c>
      <c r="C185" s="128" t="s">
        <v>141</v>
      </c>
      <c r="D185" s="128" t="s">
        <v>612</v>
      </c>
      <c r="E185" s="129">
        <v>42590.651724537034</v>
      </c>
      <c r="F185" s="129">
        <v>42590.652870370373</v>
      </c>
      <c r="G185" s="127">
        <v>1</v>
      </c>
      <c r="H185" s="129" t="s">
        <v>613</v>
      </c>
      <c r="I185" s="129">
        <v>42590.664803240739</v>
      </c>
      <c r="J185" s="127">
        <v>1</v>
      </c>
      <c r="K185" s="25" t="str">
        <f t="shared" si="55"/>
        <v>4031/4032</v>
      </c>
      <c r="L185" s="25" t="str">
        <f>VLOOKUP(A185,'Trips&amp;Operators'!$C$1:$E$10000,3,FALSE)</f>
        <v>HAITHCOX</v>
      </c>
      <c r="M185" s="6">
        <f t="shared" si="56"/>
        <v>1.1932870365853887E-2</v>
      </c>
      <c r="N185" s="7">
        <f t="shared" si="71"/>
        <v>17.183333326829597</v>
      </c>
      <c r="O185" s="7"/>
      <c r="P185" s="7"/>
      <c r="Q185" s="26"/>
      <c r="R185" s="26"/>
      <c r="S185" s="38">
        <f t="shared" si="67"/>
        <v>1</v>
      </c>
      <c r="T185" s="55" t="str">
        <f t="shared" si="57"/>
        <v>Southbound</v>
      </c>
      <c r="U185" s="14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14:38:29-0600',mode:absolute,to:'2016-08-08 16:57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85" s="57" t="str">
        <f t="shared" si="59"/>
        <v>N</v>
      </c>
      <c r="X185" s="136">
        <f t="shared" si="72"/>
        <v>1</v>
      </c>
      <c r="Y185" s="72">
        <f t="shared" si="69"/>
        <v>5.8616999999999999</v>
      </c>
      <c r="Z185" s="72">
        <f t="shared" si="70"/>
        <v>7.4499999999999997E-2</v>
      </c>
      <c r="AA185" s="72">
        <f t="shared" si="60"/>
        <v>5.7872000000000003</v>
      </c>
      <c r="AB185" s="69" t="e">
        <f>VLOOKUP(A185,Enforcements!$C$7:$J$24,8,0)</f>
        <v>#N/A</v>
      </c>
      <c r="AC185" s="65" t="e">
        <f>VLOOKUP(A185,Enforcements!$C$7:$E$24,3,0)</f>
        <v>#N/A</v>
      </c>
      <c r="AD185" s="66" t="str">
        <f t="shared" si="61"/>
        <v>0826-08</v>
      </c>
      <c r="AE185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85" s="105" t="str">
        <f t="shared" si="63"/>
        <v>"C:\Program Files (x86)\AstroGrep\AstroGrep.exe" /spath="%USERPROFILE%\AppData\Local\Temp\OnboardLogs" /stypes="*4032*20160808*" /stext=" 21:.+((SYSTEM_STATE.+slice.+state.+changed )|(ment ac)|(system.+state.+changed )|(\|lc)|(penalty)|(\[timeout)|(PRM\|1\|D)|(kpr)|(kdp))" /e /r /s</v>
      </c>
      <c r="AG185" s="1" t="str">
        <f t="shared" si="64"/>
        <v>NW</v>
      </c>
      <c r="AH185" s="109" t="str">
        <f t="shared" si="65"/>
        <v>"%USERPROFILE%\Documents\GitHub\eaglep3\Utilities\RefineRTDCRunTimes.py" --tripid 826-08 --locoid 4032 --swversion DE.1.0.7.0 --startMP 300:58617 --initTime 2016-08-08T15:38:29 --startdatetime 2016-08-08T15:40:08 --delay 1 --endMP 204:745 --enddatetime 2016-08-08T15:57:19 --enforcementcount 1</v>
      </c>
    </row>
    <row r="186" spans="1:34" x14ac:dyDescent="0.25">
      <c r="A186" s="25" t="s">
        <v>438</v>
      </c>
      <c r="B186" s="127">
        <v>4016</v>
      </c>
      <c r="C186" s="128" t="s">
        <v>141</v>
      </c>
      <c r="D186" s="128" t="s">
        <v>614</v>
      </c>
      <c r="E186" s="129">
        <v>42590.66</v>
      </c>
      <c r="F186" s="129">
        <v>42590.661157407405</v>
      </c>
      <c r="G186" s="127">
        <v>1</v>
      </c>
      <c r="H186" s="129" t="s">
        <v>615</v>
      </c>
      <c r="I186" s="129">
        <v>42590.672152777777</v>
      </c>
      <c r="J186" s="127">
        <v>0</v>
      </c>
      <c r="K186" s="25" t="str">
        <f t="shared" si="55"/>
        <v>4015/4016</v>
      </c>
      <c r="L186" s="25" t="str">
        <f>VLOOKUP(A186,'Trips&amp;Operators'!$C$1:$E$10000,3,FALSE)</f>
        <v>COOLAHAN</v>
      </c>
      <c r="M186" s="6">
        <f t="shared" si="56"/>
        <v>1.099537037225673E-2</v>
      </c>
      <c r="N186" s="7">
        <f t="shared" si="71"/>
        <v>15.833333336049691</v>
      </c>
      <c r="O186" s="7"/>
      <c r="P186" s="7"/>
      <c r="Q186" s="26"/>
      <c r="R186" s="26"/>
      <c r="S186" s="38">
        <f t="shared" si="67"/>
        <v>1</v>
      </c>
      <c r="T186" s="55" t="str">
        <f t="shared" si="57"/>
        <v>NorthBound</v>
      </c>
      <c r="U186" s="14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14:50:24-0600',mode:absolute,to:'2016-08-08 17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86" s="57" t="str">
        <f t="shared" si="59"/>
        <v>N</v>
      </c>
      <c r="X186" s="136">
        <f t="shared" si="72"/>
        <v>1</v>
      </c>
      <c r="Y186" s="72">
        <f t="shared" si="69"/>
        <v>9.6699999999999994E-2</v>
      </c>
      <c r="Z186" s="72">
        <f t="shared" si="70"/>
        <v>5.8979999999999997</v>
      </c>
      <c r="AA186" s="72">
        <f t="shared" si="60"/>
        <v>5.8012999999999995</v>
      </c>
      <c r="AB186" s="69" t="e">
        <f>VLOOKUP(A186,Enforcements!$C$7:$J$24,8,0)</f>
        <v>#N/A</v>
      </c>
      <c r="AC186" s="65" t="e">
        <f>VLOOKUP(A186,Enforcements!$C$7:$E$24,3,0)</f>
        <v>#N/A</v>
      </c>
      <c r="AD186" s="66" t="str">
        <f t="shared" si="61"/>
        <v>0827-08</v>
      </c>
      <c r="AE186" s="108" t="str">
        <f t="shared" si="62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186" s="105" t="str">
        <f t="shared" si="63"/>
        <v>"C:\Program Files (x86)\AstroGrep\AstroGrep.exe" /spath="%USERPROFILE%\AppData\Local\Temp\OnboardLogs" /stypes="*4016*20160808*" /stext=" 22:.+((SYSTEM_STATE.+slice.+state.+changed )|(ment ac)|(system.+state.+changed )|(\|lc)|(penalty)|(\[timeout)|(PRM\|1\|D)|(kpr)|(kdp))" /e /r /s</v>
      </c>
      <c r="AG186" s="1" t="str">
        <f t="shared" si="64"/>
        <v>NW</v>
      </c>
      <c r="AH186" s="109" t="str">
        <f t="shared" si="65"/>
        <v>"%USERPROFILE%\Documents\GitHub\eaglep3\Utilities\RefineRTDCRunTimes.py" --tripid 827-08 --locoid 4016 --swversion DE.1.0.7.0 --startMP 204:967 --initTime 2016-08-08T15:50:24 --startdatetime 2016-08-08T15:52:04 --delay 1 --endMP 300:58980 --enddatetime 2016-08-08T16:07:54 --enforcementcount 0</v>
      </c>
    </row>
    <row r="187" spans="1:34" x14ac:dyDescent="0.25">
      <c r="A187" s="25" t="s">
        <v>441</v>
      </c>
      <c r="B187" s="127">
        <v>4015</v>
      </c>
      <c r="C187" s="128" t="s">
        <v>141</v>
      </c>
      <c r="D187" s="128" t="s">
        <v>611</v>
      </c>
      <c r="E187" s="129">
        <v>42590.673356481479</v>
      </c>
      <c r="F187" s="129">
        <v>42590.67454861111</v>
      </c>
      <c r="G187" s="127">
        <v>1</v>
      </c>
      <c r="H187" s="129" t="s">
        <v>616</v>
      </c>
      <c r="I187" s="129">
        <v>42590.685219907406</v>
      </c>
      <c r="J187" s="127">
        <v>0</v>
      </c>
      <c r="K187" s="25" t="str">
        <f t="shared" si="55"/>
        <v>4015/4016</v>
      </c>
      <c r="L187" s="25" t="str">
        <f>VLOOKUP(A187,'Trips&amp;Operators'!$C$1:$E$10000,3,FALSE)</f>
        <v>COOLAHAN</v>
      </c>
      <c r="M187" s="6">
        <f t="shared" si="56"/>
        <v>1.0671296295186039E-2</v>
      </c>
      <c r="N187" s="7">
        <f t="shared" si="71"/>
        <v>15.366666665067896</v>
      </c>
      <c r="O187" s="7"/>
      <c r="P187" s="7"/>
      <c r="Q187" s="26"/>
      <c r="R187" s="26"/>
      <c r="S187" s="38">
        <f t="shared" si="67"/>
        <v>1</v>
      </c>
      <c r="T187" s="55" t="str">
        <f t="shared" si="57"/>
        <v>Southbound</v>
      </c>
      <c r="U187" s="14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15:09:38-0600',mode:absolute,to:'2016-08-08 17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87" s="57" t="str">
        <f t="shared" si="59"/>
        <v>N</v>
      </c>
      <c r="X187" s="136">
        <f t="shared" si="72"/>
        <v>1</v>
      </c>
      <c r="Y187" s="72">
        <f t="shared" si="69"/>
        <v>5.8674999999999997</v>
      </c>
      <c r="Z187" s="72">
        <f t="shared" si="70"/>
        <v>6.6799999999999998E-2</v>
      </c>
      <c r="AA187" s="72">
        <f t="shared" si="60"/>
        <v>5.8007</v>
      </c>
      <c r="AB187" s="69" t="e">
        <f>VLOOKUP(A187,Enforcements!$C$7:$J$24,8,0)</f>
        <v>#N/A</v>
      </c>
      <c r="AC187" s="65" t="e">
        <f>VLOOKUP(A187,Enforcements!$C$7:$E$24,3,0)</f>
        <v>#N/A</v>
      </c>
      <c r="AD187" s="66" t="str">
        <f t="shared" si="61"/>
        <v>0828-08</v>
      </c>
      <c r="AE187" s="108" t="str">
        <f t="shared" si="62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187" s="105" t="str">
        <f t="shared" si="63"/>
        <v>"C:\Program Files (x86)\AstroGrep\AstroGrep.exe" /spath="%USERPROFILE%\AppData\Local\Temp\OnboardLogs" /stypes="*4015*20160808*" /stext=" 22:.+((SYSTEM_STATE.+slice.+state.+changed )|(ment ac)|(system.+state.+changed )|(\|lc)|(penalty)|(\[timeout)|(PRM\|1\|D)|(kpr)|(kdp))" /e /r /s</v>
      </c>
      <c r="AG187" s="1" t="str">
        <f t="shared" si="64"/>
        <v>NW</v>
      </c>
      <c r="AH187" s="109" t="str">
        <f t="shared" si="65"/>
        <v>"%USERPROFILE%\Documents\GitHub\eaglep3\Utilities\RefineRTDCRunTimes.py" --tripid 828-08 --locoid 4015 --swversion DE.1.0.7.0 --startMP 300:58675 --initTime 2016-08-08T16:09:38 --startdatetime 2016-08-08T16:11:21 --delay 1 --endMP 204:668 --enddatetime 2016-08-08T16:26:43 --enforcementcount 0</v>
      </c>
    </row>
    <row r="188" spans="1:34" x14ac:dyDescent="0.25">
      <c r="A188" s="25" t="s">
        <v>309</v>
      </c>
      <c r="B188" s="127">
        <v>4031</v>
      </c>
      <c r="C188" s="128" t="s">
        <v>141</v>
      </c>
      <c r="D188" s="128" t="s">
        <v>617</v>
      </c>
      <c r="E188" s="129">
        <v>42590.666898148149</v>
      </c>
      <c r="F188" s="129">
        <v>42590.667858796296</v>
      </c>
      <c r="G188" s="127">
        <v>1</v>
      </c>
      <c r="H188" s="129" t="s">
        <v>597</v>
      </c>
      <c r="I188" s="129">
        <v>42590.691458333335</v>
      </c>
      <c r="J188" s="127">
        <v>1</v>
      </c>
      <c r="K188" s="25" t="str">
        <f t="shared" si="55"/>
        <v>4031/4032</v>
      </c>
      <c r="L188" s="25" t="str">
        <f>VLOOKUP(A188,'Trips&amp;Operators'!$C$1:$E$10000,3,FALSE)</f>
        <v>HAITHCOX</v>
      </c>
      <c r="M188" s="6">
        <f t="shared" si="56"/>
        <v>2.3599537038535345E-2</v>
      </c>
      <c r="N188" s="7">
        <f t="shared" si="71"/>
        <v>33.983333335490897</v>
      </c>
      <c r="O188" s="7"/>
      <c r="P188" s="7"/>
      <c r="Q188" s="26"/>
      <c r="R188" s="26"/>
      <c r="S188" s="38">
        <f t="shared" si="67"/>
        <v>1</v>
      </c>
      <c r="T188" s="55" t="str">
        <f t="shared" si="57"/>
        <v>NorthBound</v>
      </c>
      <c r="U188" s="14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15:00:20-0600',mode:absolute,to:'2016-08-08 17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88" s="57" t="str">
        <f t="shared" si="59"/>
        <v>N</v>
      </c>
      <c r="X188" s="136">
        <f t="shared" si="72"/>
        <v>1</v>
      </c>
      <c r="Y188" s="72">
        <f t="shared" si="69"/>
        <v>0.10349999999999999</v>
      </c>
      <c r="Z188" s="72">
        <f t="shared" si="70"/>
        <v>5.8912000000000004</v>
      </c>
      <c r="AA188" s="72">
        <f t="shared" si="60"/>
        <v>5.7877000000000001</v>
      </c>
      <c r="AB188" s="69" t="e">
        <f>VLOOKUP(A188,Enforcements!$C$7:$J$24,8,0)</f>
        <v>#N/A</v>
      </c>
      <c r="AC188" s="65" t="e">
        <f>VLOOKUP(A188,Enforcements!$C$7:$E$24,3,0)</f>
        <v>#N/A</v>
      </c>
      <c r="AD188" s="66" t="str">
        <f t="shared" si="61"/>
        <v>0829-08</v>
      </c>
      <c r="AE188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88" s="105" t="str">
        <f t="shared" si="63"/>
        <v>"C:\Program Files (x86)\AstroGrep\AstroGrep.exe" /spath="%USERPROFILE%\AppData\Local\Temp\OnboardLogs" /stypes="*4031*20160808*" /stext=" 22:.+((SYSTEM_STATE.+slice.+state.+changed )|(ment ac)|(system.+state.+changed )|(\|lc)|(penalty)|(\[timeout)|(PRM\|1\|D)|(kpr)|(kdp))" /e /r /s</v>
      </c>
      <c r="AG188" s="1" t="str">
        <f t="shared" si="64"/>
        <v>NW</v>
      </c>
      <c r="AH188" s="109" t="str">
        <f t="shared" si="65"/>
        <v>"%USERPROFILE%\Documents\GitHub\eaglep3\Utilities\RefineRTDCRunTimes.py" --tripid 829-08 --locoid 4031 --swversion DE.1.0.7.0 --startMP 204:1035 --initTime 2016-08-08T16:00:20 --startdatetime 2016-08-08T16:01:43 --delay 1 --endMP 300:58912 --enddatetime 2016-08-08T16:35:42 --enforcementcount 1</v>
      </c>
    </row>
    <row r="189" spans="1:34" x14ac:dyDescent="0.25">
      <c r="A189" s="25" t="s">
        <v>444</v>
      </c>
      <c r="B189" s="127">
        <v>4032</v>
      </c>
      <c r="C189" s="128" t="s">
        <v>141</v>
      </c>
      <c r="D189" s="128" t="s">
        <v>618</v>
      </c>
      <c r="E189" s="129">
        <v>42590.692499999997</v>
      </c>
      <c r="F189" s="129">
        <v>42590.693599537037</v>
      </c>
      <c r="G189" s="127">
        <v>1</v>
      </c>
      <c r="H189" s="129" t="s">
        <v>619</v>
      </c>
      <c r="I189" s="129">
        <v>42590.705520833333</v>
      </c>
      <c r="J189" s="127">
        <v>0</v>
      </c>
      <c r="K189" s="25" t="str">
        <f t="shared" si="55"/>
        <v>4031/4032</v>
      </c>
      <c r="L189" s="25" t="str">
        <f>VLOOKUP(A189,'Trips&amp;Operators'!$C$1:$E$10000,3,FALSE)</f>
        <v>HAITHCOX</v>
      </c>
      <c r="M189" s="6">
        <f t="shared" si="56"/>
        <v>1.1921296296350192E-2</v>
      </c>
      <c r="N189" s="7">
        <f t="shared" si="71"/>
        <v>17.166666666744277</v>
      </c>
      <c r="O189" s="7"/>
      <c r="P189" s="7"/>
      <c r="Q189" s="26"/>
      <c r="R189" s="26"/>
      <c r="S189" s="38">
        <f t="shared" si="67"/>
        <v>1</v>
      </c>
      <c r="T189" s="55" t="str">
        <f t="shared" si="57"/>
        <v>Southbound</v>
      </c>
      <c r="U189" s="14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15:37:12-0600',mode:absolute,to:'2016-08-08 17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89" s="57" t="str">
        <f t="shared" si="59"/>
        <v>N</v>
      </c>
      <c r="X189" s="136">
        <f t="shared" si="72"/>
        <v>1</v>
      </c>
      <c r="Y189" s="72">
        <f t="shared" si="69"/>
        <v>5.8589000000000002</v>
      </c>
      <c r="Z189" s="72">
        <f t="shared" si="70"/>
        <v>6.6600000000000006E-2</v>
      </c>
      <c r="AA189" s="72">
        <f t="shared" si="60"/>
        <v>5.7923</v>
      </c>
      <c r="AB189" s="69" t="e">
        <f>VLOOKUP(A189,Enforcements!$C$7:$J$24,8,0)</f>
        <v>#N/A</v>
      </c>
      <c r="AC189" s="65" t="e">
        <f>VLOOKUP(A189,Enforcements!$C$7:$E$24,3,0)</f>
        <v>#N/A</v>
      </c>
      <c r="AD189" s="66" t="str">
        <f t="shared" si="61"/>
        <v>0830-08</v>
      </c>
      <c r="AE189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89" s="105" t="str">
        <f t="shared" si="63"/>
        <v>"C:\Program Files (x86)\AstroGrep\AstroGrep.exe" /spath="%USERPROFILE%\AppData\Local\Temp\OnboardLogs" /stypes="*4032*20160808*" /stext=" 22:.+((SYSTEM_STATE.+slice.+state.+changed )|(ment ac)|(system.+state.+changed )|(\|lc)|(penalty)|(\[timeout)|(PRM\|1\|D)|(kpr)|(kdp))" /e /r /s</v>
      </c>
      <c r="AG189" s="1" t="str">
        <f t="shared" si="64"/>
        <v>NW</v>
      </c>
      <c r="AH189" s="109" t="str">
        <f t="shared" si="65"/>
        <v>"%USERPROFILE%\Documents\GitHub\eaglep3\Utilities\RefineRTDCRunTimes.py" --tripid 830-08 --locoid 4032 --swversion DE.1.0.7.0 --startMP 300:58589 --initTime 2016-08-08T16:37:12 --startdatetime 2016-08-08T16:38:47 --delay 1 --endMP 204:666 --enddatetime 2016-08-08T16:55:57 --enforcementcount 0</v>
      </c>
    </row>
    <row r="190" spans="1:34" x14ac:dyDescent="0.25">
      <c r="A190" s="25" t="s">
        <v>445</v>
      </c>
      <c r="B190" s="127">
        <v>4016</v>
      </c>
      <c r="C190" s="128" t="s">
        <v>141</v>
      </c>
      <c r="D190" s="128" t="s">
        <v>600</v>
      </c>
      <c r="E190" s="129">
        <v>42590.698831018519</v>
      </c>
      <c r="F190" s="129">
        <v>42590.700127314813</v>
      </c>
      <c r="G190" s="127">
        <v>1</v>
      </c>
      <c r="H190" s="129" t="s">
        <v>620</v>
      </c>
      <c r="I190" s="129">
        <v>42590.712581018517</v>
      </c>
      <c r="J190" s="127">
        <v>0</v>
      </c>
      <c r="K190" s="25" t="str">
        <f t="shared" si="55"/>
        <v>4015/4016</v>
      </c>
      <c r="L190" s="25" t="str">
        <f>VLOOKUP(A190,'Trips&amp;Operators'!$C$1:$E$10000,3,FALSE)</f>
        <v>COOLAHAN</v>
      </c>
      <c r="M190" s="6">
        <f t="shared" si="56"/>
        <v>1.2453703704522923E-2</v>
      </c>
      <c r="N190" s="7">
        <f t="shared" si="71"/>
        <v>17.933333334513009</v>
      </c>
      <c r="O190" s="7"/>
      <c r="P190" s="7"/>
      <c r="Q190" s="26"/>
      <c r="R190" s="26"/>
      <c r="S190" s="38">
        <f t="shared" si="67"/>
        <v>1</v>
      </c>
      <c r="T190" s="55" t="str">
        <f t="shared" si="57"/>
        <v>NorthBound</v>
      </c>
      <c r="U190" s="14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15:46:19-0600',mode:absolute,to:'2016-08-08 18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90" s="57" t="str">
        <f t="shared" si="59"/>
        <v>N</v>
      </c>
      <c r="X190" s="136">
        <f t="shared" si="72"/>
        <v>1</v>
      </c>
      <c r="Y190" s="72">
        <f t="shared" si="69"/>
        <v>9.7799999999999998E-2</v>
      </c>
      <c r="Z190" s="72">
        <f t="shared" si="70"/>
        <v>5.9002999999999997</v>
      </c>
      <c r="AA190" s="72">
        <f t="shared" si="60"/>
        <v>5.8024999999999993</v>
      </c>
      <c r="AB190" s="69" t="e">
        <f>VLOOKUP(A190,Enforcements!$C$7:$J$24,8,0)</f>
        <v>#N/A</v>
      </c>
      <c r="AC190" s="65" t="e">
        <f>VLOOKUP(A190,Enforcements!$C$7:$E$24,3,0)</f>
        <v>#N/A</v>
      </c>
      <c r="AD190" s="66" t="str">
        <f t="shared" si="61"/>
        <v>0831-08</v>
      </c>
      <c r="AE190" s="108" t="str">
        <f t="shared" si="62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190" s="105" t="str">
        <f t="shared" si="63"/>
        <v>"C:\Program Files (x86)\AstroGrep\AstroGrep.exe" /spath="%USERPROFILE%\AppData\Local\Temp\OnboardLogs" /stypes="*4016*20160808*" /stext=" 23:.+((SYSTEM_STATE.+slice.+state.+changed )|(ment ac)|(system.+state.+changed )|(\|lc)|(penalty)|(\[timeout)|(PRM\|1\|D)|(kpr)|(kdp))" /e /r /s</v>
      </c>
      <c r="AG190" s="1" t="str">
        <f t="shared" si="64"/>
        <v>NW</v>
      </c>
      <c r="AH190" s="109" t="str">
        <f t="shared" si="65"/>
        <v>"%USERPROFILE%\Documents\GitHub\eaglep3\Utilities\RefineRTDCRunTimes.py" --tripid 831-08 --locoid 4016 --swversion DE.1.0.7.0 --startMP 204:978 --initTime 2016-08-08T16:46:19 --startdatetime 2016-08-08T16:48:11 --delay 1 --endMP 300:59003 --enddatetime 2016-08-08T17:06:07 --enforcementcount 0</v>
      </c>
    </row>
    <row r="191" spans="1:34" x14ac:dyDescent="0.25">
      <c r="A191" s="25" t="s">
        <v>313</v>
      </c>
      <c r="B191" s="127">
        <v>4015</v>
      </c>
      <c r="C191" s="128" t="s">
        <v>141</v>
      </c>
      <c r="D191" s="128" t="s">
        <v>256</v>
      </c>
      <c r="E191" s="129">
        <v>42590.713368055556</v>
      </c>
      <c r="F191" s="129">
        <v>42590.714525462965</v>
      </c>
      <c r="G191" s="127">
        <v>1</v>
      </c>
      <c r="H191" s="129" t="s">
        <v>621</v>
      </c>
      <c r="I191" s="129">
        <v>42590.726458333331</v>
      </c>
      <c r="J191" s="127">
        <v>1</v>
      </c>
      <c r="K191" s="25" t="str">
        <f t="shared" si="55"/>
        <v>4015/4016</v>
      </c>
      <c r="L191" s="25" t="str">
        <f>VLOOKUP(A191,'Trips&amp;Operators'!$C$1:$E$10000,3,FALSE)</f>
        <v>COOLAHAN</v>
      </c>
      <c r="M191" s="6">
        <f t="shared" si="56"/>
        <v>1.1932870365853887E-2</v>
      </c>
      <c r="N191" s="7">
        <f t="shared" si="71"/>
        <v>17.183333326829597</v>
      </c>
      <c r="O191" s="7"/>
      <c r="P191" s="7"/>
      <c r="Q191" s="26"/>
      <c r="R191" s="26"/>
      <c r="S191" s="38">
        <f t="shared" si="67"/>
        <v>1</v>
      </c>
      <c r="T191" s="55" t="str">
        <f t="shared" si="57"/>
        <v>Southbound</v>
      </c>
      <c r="U191" s="14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16:07:15-0600',mode:absolute,to:'2016-08-08 18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91" s="57" t="str">
        <f t="shared" si="59"/>
        <v>N</v>
      </c>
      <c r="X191" s="136">
        <f t="shared" si="72"/>
        <v>1</v>
      </c>
      <c r="Y191" s="72">
        <f t="shared" si="69"/>
        <v>5.8686999999999996</v>
      </c>
      <c r="Z191" s="72">
        <f t="shared" si="70"/>
        <v>7.5899999999999995E-2</v>
      </c>
      <c r="AA191" s="72">
        <f t="shared" si="60"/>
        <v>5.7927999999999997</v>
      </c>
      <c r="AB191" s="69" t="e">
        <f>VLOOKUP(A191,Enforcements!$C$7:$J$24,8,0)</f>
        <v>#N/A</v>
      </c>
      <c r="AC191" s="65" t="e">
        <f>VLOOKUP(A191,Enforcements!$C$7:$E$24,3,0)</f>
        <v>#N/A</v>
      </c>
      <c r="AD191" s="66" t="str">
        <f t="shared" si="61"/>
        <v>0832-08</v>
      </c>
      <c r="AE191" s="108" t="str">
        <f t="shared" si="62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191" s="105" t="str">
        <f t="shared" si="63"/>
        <v>"C:\Program Files (x86)\AstroGrep\AstroGrep.exe" /spath="%USERPROFILE%\AppData\Local\Temp\OnboardLogs" /stypes="*4015*20160808*" /stext=" 23:.+((SYSTEM_STATE.+slice.+state.+changed )|(ment ac)|(system.+state.+changed )|(\|lc)|(penalty)|(\[timeout)|(PRM\|1\|D)|(kpr)|(kdp))" /e /r /s</v>
      </c>
      <c r="AG191" s="1" t="str">
        <f t="shared" si="64"/>
        <v>NW</v>
      </c>
      <c r="AH191" s="109" t="str">
        <f t="shared" si="65"/>
        <v>"%USERPROFILE%\Documents\GitHub\eaglep3\Utilities\RefineRTDCRunTimes.py" --tripid 832-08 --locoid 4015 --swversion DE.1.0.7.0 --startMP 300:58687 --initTime 2016-08-08T17:07:15 --startdatetime 2016-08-08T17:08:55 --delay 1 --endMP 204:759 --enddatetime 2016-08-08T17:26:06 --enforcementcount 1</v>
      </c>
    </row>
    <row r="192" spans="1:34" x14ac:dyDescent="0.25">
      <c r="A192" s="25" t="s">
        <v>446</v>
      </c>
      <c r="B192" s="127">
        <v>4031</v>
      </c>
      <c r="C192" s="128" t="s">
        <v>141</v>
      </c>
      <c r="D192" s="128" t="s">
        <v>614</v>
      </c>
      <c r="E192" s="129">
        <v>42590.706886574073</v>
      </c>
      <c r="F192" s="129">
        <v>42590.707789351851</v>
      </c>
      <c r="G192" s="127">
        <v>1</v>
      </c>
      <c r="H192" s="129" t="s">
        <v>622</v>
      </c>
      <c r="I192" s="129">
        <v>42590.732719907406</v>
      </c>
      <c r="J192" s="127">
        <v>0</v>
      </c>
      <c r="K192" s="25" t="str">
        <f t="shared" si="55"/>
        <v>4031/4032</v>
      </c>
      <c r="L192" s="25" t="str">
        <f>VLOOKUP(A192,'Trips&amp;Operators'!$C$1:$E$10000,3,FALSE)</f>
        <v>HAITHCOX</v>
      </c>
      <c r="M192" s="6">
        <f t="shared" si="56"/>
        <v>2.4930555555329192E-2</v>
      </c>
      <c r="N192" s="7">
        <f t="shared" si="71"/>
        <v>35.899999999674037</v>
      </c>
      <c r="O192" s="7"/>
      <c r="P192" s="7"/>
      <c r="Q192" s="26"/>
      <c r="R192" s="26"/>
      <c r="S192" s="38">
        <f t="shared" si="67"/>
        <v>1</v>
      </c>
      <c r="T192" s="55" t="str">
        <f t="shared" si="57"/>
        <v>NorthBound</v>
      </c>
      <c r="U192" s="14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15:57:55-0600',mode:absolute,to:'2016-08-08 18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92" s="57" t="str">
        <f t="shared" si="59"/>
        <v>N</v>
      </c>
      <c r="X192" s="136">
        <f t="shared" ref="X192:X217" si="73">VALUE(LEFT(AD192,4))-VALUE(LEFT(AD191,4))</f>
        <v>1</v>
      </c>
      <c r="Y192" s="72">
        <f t="shared" si="69"/>
        <v>9.6699999999999994E-2</v>
      </c>
      <c r="Z192" s="72">
        <f t="shared" si="70"/>
        <v>5.8917999999999999</v>
      </c>
      <c r="AA192" s="72">
        <f t="shared" si="60"/>
        <v>5.7950999999999997</v>
      </c>
      <c r="AB192" s="69" t="e">
        <f>VLOOKUP(A192,Enforcements!$C$7:$J$24,8,0)</f>
        <v>#N/A</v>
      </c>
      <c r="AC192" s="65" t="e">
        <f>VLOOKUP(A192,Enforcements!$C$7:$E$24,3,0)</f>
        <v>#N/A</v>
      </c>
      <c r="AD192" s="66" t="str">
        <f t="shared" si="61"/>
        <v>0833-08</v>
      </c>
      <c r="AE192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92" s="105" t="str">
        <f t="shared" si="63"/>
        <v>"C:\Program Files (x86)\AstroGrep\AstroGrep.exe" /spath="%USERPROFILE%\AppData\Local\Temp\OnboardLogs" /stypes="*4031*20160808*" /stext=" 23:.+((SYSTEM_STATE.+slice.+state.+changed )|(ment ac)|(system.+state.+changed )|(\|lc)|(penalty)|(\[timeout)|(PRM\|1\|D)|(kpr)|(kdp))" /e /r /s</v>
      </c>
      <c r="AG192" s="1" t="str">
        <f t="shared" si="64"/>
        <v>NW</v>
      </c>
      <c r="AH192" s="109" t="str">
        <f t="shared" si="65"/>
        <v>"%USERPROFILE%\Documents\GitHub\eaglep3\Utilities\RefineRTDCRunTimes.py" --tripid 833-08 --locoid 4031 --swversion DE.1.0.7.0 --startMP 204:967 --initTime 2016-08-08T16:57:55 --startdatetime 2016-08-08T16:59:13 --delay 1 --endMP 300:58918 --enddatetime 2016-08-08T17:35:07 --enforcementcount 0</v>
      </c>
    </row>
    <row r="193" spans="1:35" x14ac:dyDescent="0.25">
      <c r="A193" s="25" t="s">
        <v>452</v>
      </c>
      <c r="B193" s="127">
        <v>4032</v>
      </c>
      <c r="C193" s="128" t="s">
        <v>141</v>
      </c>
      <c r="D193" s="128" t="s">
        <v>598</v>
      </c>
      <c r="E193" s="129">
        <v>42590.733680555553</v>
      </c>
      <c r="F193" s="129">
        <v>42590.734803240739</v>
      </c>
      <c r="G193" s="127">
        <v>1</v>
      </c>
      <c r="H193" s="129" t="s">
        <v>623</v>
      </c>
      <c r="I193" s="129">
        <v>42590.747499999998</v>
      </c>
      <c r="J193" s="127">
        <v>0</v>
      </c>
      <c r="K193" s="25" t="str">
        <f t="shared" si="55"/>
        <v>4031/4032</v>
      </c>
      <c r="L193" s="25" t="str">
        <f>VLOOKUP(A193,'Trips&amp;Operators'!$C$1:$E$10000,3,FALSE)</f>
        <v>HAITHCOX</v>
      </c>
      <c r="M193" s="6">
        <f t="shared" si="56"/>
        <v>1.2696759258687962E-2</v>
      </c>
      <c r="N193" s="7">
        <f t="shared" si="71"/>
        <v>18.283333332510665</v>
      </c>
      <c r="O193" s="7"/>
      <c r="P193" s="7"/>
      <c r="Q193" s="26"/>
      <c r="R193" s="26"/>
      <c r="S193" s="38">
        <f t="shared" ref="S193:S217" si="74">SUM(U193:U193)/IF(AG193="EC",12,1)</f>
        <v>1</v>
      </c>
      <c r="T193" s="55" t="str">
        <f t="shared" si="57"/>
        <v>Southbound</v>
      </c>
      <c r="U193" s="14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16:36:30-0600',mode:absolute,to:'2016-08-08 18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93" s="57" t="str">
        <f t="shared" si="59"/>
        <v>N</v>
      </c>
      <c r="X193" s="136">
        <f t="shared" si="73"/>
        <v>1</v>
      </c>
      <c r="Y193" s="72">
        <f t="shared" si="69"/>
        <v>5.8596000000000004</v>
      </c>
      <c r="Z193" s="72">
        <f t="shared" si="70"/>
        <v>6.9900000000000004E-2</v>
      </c>
      <c r="AA193" s="72">
        <f t="shared" si="60"/>
        <v>5.7897000000000007</v>
      </c>
      <c r="AB193" s="69" t="e">
        <f>VLOOKUP(A193,Enforcements!$C$7:$J$24,8,0)</f>
        <v>#N/A</v>
      </c>
      <c r="AC193" s="65" t="e">
        <f>VLOOKUP(A193,Enforcements!$C$7:$E$24,3,0)</f>
        <v>#N/A</v>
      </c>
      <c r="AD193" s="66" t="str">
        <f t="shared" si="61"/>
        <v>0834-08</v>
      </c>
      <c r="AE193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93" s="105" t="str">
        <f t="shared" si="63"/>
        <v>"C:\Program Files (x86)\AstroGrep\AstroGrep.exe" /spath="%USERPROFILE%\AppData\Local\Temp\OnboardLogs" /stypes="*4032*20160808*" /stext=" 23:.+((SYSTEM_STATE.+slice.+state.+changed )|(ment ac)|(system.+state.+changed )|(\|lc)|(penalty)|(\[timeout)|(PRM\|1\|D)|(kpr)|(kdp))" /e /r /s</v>
      </c>
      <c r="AG193" s="1" t="str">
        <f t="shared" si="64"/>
        <v>NW</v>
      </c>
      <c r="AH193" s="109" t="str">
        <f t="shared" si="65"/>
        <v>"%USERPROFILE%\Documents\GitHub\eaglep3\Utilities\RefineRTDCRunTimes.py" --tripid 834-08 --locoid 4032 --swversion DE.1.0.7.0 --startMP 300:58596 --initTime 2016-08-08T17:36:30 --startdatetime 2016-08-08T17:38:07 --delay 1 --endMP 204:699 --enddatetime 2016-08-08T17:56:24 --enforcementcount 0</v>
      </c>
      <c r="AI193" s="24"/>
    </row>
    <row r="194" spans="1:35" x14ac:dyDescent="0.25">
      <c r="A194" s="25" t="s">
        <v>454</v>
      </c>
      <c r="B194" s="127">
        <v>4016</v>
      </c>
      <c r="C194" s="128" t="s">
        <v>141</v>
      </c>
      <c r="D194" s="128" t="s">
        <v>624</v>
      </c>
      <c r="E194" s="129">
        <v>42590.740231481483</v>
      </c>
      <c r="F194" s="129">
        <v>42590.741446759261</v>
      </c>
      <c r="G194" s="127">
        <v>1</v>
      </c>
      <c r="H194" s="129" t="s">
        <v>625</v>
      </c>
      <c r="I194" s="129">
        <v>42590.753472222219</v>
      </c>
      <c r="J194" s="127">
        <v>0</v>
      </c>
      <c r="K194" s="25" t="str">
        <f t="shared" si="55"/>
        <v>4015/4016</v>
      </c>
      <c r="L194" s="25" t="str">
        <f>VLOOKUP(A194,'Trips&amp;Operators'!$C$1:$E$10000,3,FALSE)</f>
        <v>COOLAHAN</v>
      </c>
      <c r="M194" s="6">
        <f t="shared" si="56"/>
        <v>1.2025462958263233E-2</v>
      </c>
      <c r="N194" s="7">
        <f t="shared" si="71"/>
        <v>17.316666659899056</v>
      </c>
      <c r="O194" s="7"/>
      <c r="P194" s="7"/>
      <c r="Q194" s="26"/>
      <c r="R194" s="26"/>
      <c r="S194" s="38">
        <f t="shared" si="74"/>
        <v>1</v>
      </c>
      <c r="T194" s="55" t="str">
        <f t="shared" si="57"/>
        <v>NorthBound</v>
      </c>
      <c r="U194" s="14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16:45:56-0600',mode:absolute,to:'2016-08-08 19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94" s="57" t="str">
        <f t="shared" si="59"/>
        <v>N</v>
      </c>
      <c r="X194" s="136">
        <f t="shared" si="73"/>
        <v>1</v>
      </c>
      <c r="Y194" s="72">
        <f t="shared" si="69"/>
        <v>0.10390000000000001</v>
      </c>
      <c r="Z194" s="72">
        <f t="shared" si="70"/>
        <v>5.9006999999999996</v>
      </c>
      <c r="AA194" s="72">
        <f t="shared" si="60"/>
        <v>5.7967999999999993</v>
      </c>
      <c r="AB194" s="69" t="e">
        <f>VLOOKUP(A194,Enforcements!$C$7:$J$24,8,0)</f>
        <v>#N/A</v>
      </c>
      <c r="AC194" s="65" t="e">
        <f>VLOOKUP(A194,Enforcements!$C$7:$E$24,3,0)</f>
        <v>#N/A</v>
      </c>
      <c r="AD194" s="66" t="str">
        <f t="shared" si="61"/>
        <v>0835-08</v>
      </c>
      <c r="AE194" s="108" t="str">
        <f t="shared" si="62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194" s="105" t="str">
        <f t="shared" si="63"/>
        <v>"C:\Program Files (x86)\AstroGrep\AstroGrep.exe" /spath="%USERPROFILE%\AppData\Local\Temp\OnboardLogs" /stypes="*4016*20160809*" /stext=" 00:.+((SYSTEM_STATE.+slice.+state.+changed )|(ment ac)|(system.+state.+changed )|(\|lc)|(penalty)|(\[timeout)|(PRM\|1\|D)|(kpr)|(kdp))" /e /r /s</v>
      </c>
      <c r="AG194" s="1" t="str">
        <f t="shared" si="64"/>
        <v>NW</v>
      </c>
      <c r="AH194" s="109" t="str">
        <f t="shared" si="65"/>
        <v>"%USERPROFILE%\Documents\GitHub\eaglep3\Utilities\RefineRTDCRunTimes.py" --tripid 835-08 --locoid 4016 --swversion DE.1.0.7.0 --startMP 204:1039 --initTime 2016-08-08T17:45:56 --startdatetime 2016-08-08T17:47:41 --delay 1 --endMP 300:59007 --enddatetime 2016-08-08T18:05:00 --enforcementcount 0</v>
      </c>
      <c r="AI194" s="24"/>
    </row>
    <row r="195" spans="1:35" x14ac:dyDescent="0.25">
      <c r="A195" s="25" t="s">
        <v>318</v>
      </c>
      <c r="B195" s="127">
        <v>4015</v>
      </c>
      <c r="C195" s="128" t="s">
        <v>141</v>
      </c>
      <c r="D195" s="128" t="s">
        <v>626</v>
      </c>
      <c r="E195" s="129">
        <v>42590.754479166666</v>
      </c>
      <c r="F195" s="129">
        <v>42590.755578703705</v>
      </c>
      <c r="G195" s="127">
        <v>1</v>
      </c>
      <c r="H195" s="129" t="s">
        <v>259</v>
      </c>
      <c r="I195" s="129">
        <v>42590.76766203704</v>
      </c>
      <c r="J195" s="127">
        <v>1</v>
      </c>
      <c r="K195" s="25" t="str">
        <f t="shared" si="55"/>
        <v>4015/4016</v>
      </c>
      <c r="L195" s="25" t="str">
        <f>VLOOKUP(A195,'Trips&amp;Operators'!$C$1:$E$10000,3,FALSE)</f>
        <v>COOLAHAN</v>
      </c>
      <c r="M195" s="6">
        <f t="shared" si="56"/>
        <v>1.2083333334885538E-2</v>
      </c>
      <c r="N195" s="7">
        <f t="shared" si="71"/>
        <v>17.400000002235174</v>
      </c>
      <c r="O195" s="7"/>
      <c r="P195" s="7"/>
      <c r="Q195" s="26"/>
      <c r="R195" s="26"/>
      <c r="S195" s="38">
        <f t="shared" si="74"/>
        <v>1</v>
      </c>
      <c r="T195" s="55" t="str">
        <f t="shared" si="57"/>
        <v>Southbound</v>
      </c>
      <c r="U195" s="14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17:06:27-0600',mode:absolute,to:'2016-08-08 19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95" s="57" t="str">
        <f t="shared" si="59"/>
        <v>N</v>
      </c>
      <c r="X195" s="136">
        <f t="shared" si="73"/>
        <v>1</v>
      </c>
      <c r="Y195" s="72">
        <f t="shared" ref="Y195:Y217" si="75">RIGHT(D195,LEN(D195)-4)/10000</f>
        <v>5.8678999999999997</v>
      </c>
      <c r="Z195" s="72">
        <f t="shared" ref="Z195:Z217" si="76">RIGHT(H195,LEN(H195)-4)/10000</f>
        <v>6.8500000000000005E-2</v>
      </c>
      <c r="AA195" s="72">
        <f t="shared" si="60"/>
        <v>5.7993999999999994</v>
      </c>
      <c r="AB195" s="69" t="e">
        <f>VLOOKUP(A195,Enforcements!$C$7:$J$24,8,0)</f>
        <v>#N/A</v>
      </c>
      <c r="AC195" s="65" t="e">
        <f>VLOOKUP(A195,Enforcements!$C$7:$E$24,3,0)</f>
        <v>#N/A</v>
      </c>
      <c r="AD195" s="66" t="str">
        <f t="shared" si="61"/>
        <v>0836-08</v>
      </c>
      <c r="AE195" s="108" t="str">
        <f t="shared" si="62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195" s="105" t="str">
        <f t="shared" si="63"/>
        <v>"C:\Program Files (x86)\AstroGrep\AstroGrep.exe" /spath="%USERPROFILE%\AppData\Local\Temp\OnboardLogs" /stypes="*4015*20160809*" /stext=" 00:.+((SYSTEM_STATE.+slice.+state.+changed )|(ment ac)|(system.+state.+changed )|(\|lc)|(penalty)|(\[timeout)|(PRM\|1\|D)|(kpr)|(kdp))" /e /r /s</v>
      </c>
      <c r="AG195" s="1" t="str">
        <f t="shared" si="64"/>
        <v>NW</v>
      </c>
      <c r="AH195" s="109" t="str">
        <f t="shared" si="65"/>
        <v>"%USERPROFILE%\Documents\GitHub\eaglep3\Utilities\RefineRTDCRunTimes.py" --tripid 836-08 --locoid 4015 --swversion DE.1.0.7.0 --startMP 300:58679 --initTime 2016-08-08T18:06:27 --startdatetime 2016-08-08T18:08:02 --delay 1 --endMP 204:685 --enddatetime 2016-08-08T18:25:26 --enforcementcount 1</v>
      </c>
      <c r="AI195" s="24"/>
    </row>
    <row r="196" spans="1:35" x14ac:dyDescent="0.25">
      <c r="A196" s="25" t="s">
        <v>456</v>
      </c>
      <c r="B196" s="127">
        <v>4031</v>
      </c>
      <c r="C196" s="128" t="s">
        <v>141</v>
      </c>
      <c r="D196" s="128" t="s">
        <v>627</v>
      </c>
      <c r="E196" s="129">
        <v>42590.755601851852</v>
      </c>
      <c r="F196" s="129">
        <v>42590.756412037037</v>
      </c>
      <c r="G196" s="127">
        <v>1</v>
      </c>
      <c r="H196" s="129" t="s">
        <v>245</v>
      </c>
      <c r="I196" s="129">
        <v>42590.774247685185</v>
      </c>
      <c r="J196" s="127">
        <v>0</v>
      </c>
      <c r="K196" s="25" t="str">
        <f t="shared" si="55"/>
        <v>4031/4032</v>
      </c>
      <c r="L196" s="25" t="str">
        <f>VLOOKUP(A196,'Trips&amp;Operators'!$C$1:$E$10000,3,FALSE)</f>
        <v>HAITHCOX</v>
      </c>
      <c r="M196" s="6">
        <f t="shared" si="56"/>
        <v>1.7835648148320615E-2</v>
      </c>
      <c r="N196" s="7">
        <f t="shared" si="71"/>
        <v>25.683333333581686</v>
      </c>
      <c r="O196" s="7"/>
      <c r="P196" s="7"/>
      <c r="Q196" s="26"/>
      <c r="R196" s="26"/>
      <c r="S196" s="38">
        <f t="shared" si="74"/>
        <v>1</v>
      </c>
      <c r="T196" s="55" t="str">
        <f t="shared" si="57"/>
        <v>NorthBound</v>
      </c>
      <c r="U196" s="14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17:08:04-0600',mode:absolute,to:'2016-08-08 19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96" s="57" t="str">
        <f t="shared" si="59"/>
        <v>N</v>
      </c>
      <c r="X196" s="136">
        <f t="shared" si="73"/>
        <v>1</v>
      </c>
      <c r="Y196" s="72">
        <f t="shared" si="75"/>
        <v>9.6199999999999994E-2</v>
      </c>
      <c r="Z196" s="72">
        <f t="shared" si="76"/>
        <v>5.8930999999999996</v>
      </c>
      <c r="AA196" s="72">
        <f t="shared" si="60"/>
        <v>5.7968999999999999</v>
      </c>
      <c r="AB196" s="69" t="e">
        <f>VLOOKUP(A196,Enforcements!$C$7:$J$24,8,0)</f>
        <v>#N/A</v>
      </c>
      <c r="AC196" s="65" t="e">
        <f>VLOOKUP(A196,Enforcements!$C$7:$E$24,3,0)</f>
        <v>#N/A</v>
      </c>
      <c r="AD196" s="66" t="str">
        <f t="shared" si="61"/>
        <v>0837-08</v>
      </c>
      <c r="AE196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96" s="105" t="str">
        <f t="shared" si="63"/>
        <v>"C:\Program Files (x86)\AstroGrep\AstroGrep.exe" /spath="%USERPROFILE%\AppData\Local\Temp\OnboardLogs" /stypes="*4031*20160809*" /stext=" 00:.+((SYSTEM_STATE.+slice.+state.+changed )|(ment ac)|(system.+state.+changed )|(\|lc)|(penalty)|(\[timeout)|(PRM\|1\|D)|(kpr)|(kdp))" /e /r /s</v>
      </c>
      <c r="AG196" s="1" t="str">
        <f t="shared" si="64"/>
        <v>NW</v>
      </c>
      <c r="AH196" s="109" t="str">
        <f t="shared" si="65"/>
        <v>"%USERPROFILE%\Documents\GitHub\eaglep3\Utilities\RefineRTDCRunTimes.py" --tripid 837-08 --locoid 4031 --swversion DE.1.0.7.0 --startMP 204:962 --initTime 2016-08-08T18:08:04 --startdatetime 2016-08-08T18:09:14 --delay 1 --endMP 300:58931 --enddatetime 2016-08-08T18:34:55 --enforcementcount 0</v>
      </c>
      <c r="AI196" s="24"/>
    </row>
    <row r="197" spans="1:35" x14ac:dyDescent="0.25">
      <c r="A197" s="25" t="s">
        <v>459</v>
      </c>
      <c r="B197" s="127">
        <v>4032</v>
      </c>
      <c r="C197" s="128" t="s">
        <v>141</v>
      </c>
      <c r="D197" s="128" t="s">
        <v>242</v>
      </c>
      <c r="E197" s="129">
        <v>42590.775208333333</v>
      </c>
      <c r="F197" s="129">
        <v>42590.776180555556</v>
      </c>
      <c r="G197" s="127">
        <v>1</v>
      </c>
      <c r="H197" s="129" t="s">
        <v>603</v>
      </c>
      <c r="I197" s="129">
        <v>42590.788599537038</v>
      </c>
      <c r="J197" s="127">
        <v>0</v>
      </c>
      <c r="K197" s="25" t="str">
        <f t="shared" si="55"/>
        <v>4031/4032</v>
      </c>
      <c r="L197" s="25" t="str">
        <f>VLOOKUP(A197,'Trips&amp;Operators'!$C$1:$E$10000,3,FALSE)</f>
        <v>HAITHCOX</v>
      </c>
      <c r="M197" s="6">
        <f t="shared" si="56"/>
        <v>1.2418981481459923E-2</v>
      </c>
      <c r="N197" s="7">
        <f t="shared" si="71"/>
        <v>17.883333333302289</v>
      </c>
      <c r="O197" s="7"/>
      <c r="P197" s="7"/>
      <c r="Q197" s="26"/>
      <c r="R197" s="26"/>
      <c r="S197" s="38">
        <f t="shared" si="74"/>
        <v>1</v>
      </c>
      <c r="T197" s="55" t="str">
        <f t="shared" si="57"/>
        <v>Southbound</v>
      </c>
      <c r="U197" s="14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17:36:18-0600',mode:absolute,to:'2016-08-08 19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97" s="57" t="str">
        <f t="shared" si="59"/>
        <v>N</v>
      </c>
      <c r="X197" s="136">
        <f t="shared" si="73"/>
        <v>1</v>
      </c>
      <c r="Y197" s="72">
        <f t="shared" si="75"/>
        <v>5.8604000000000003</v>
      </c>
      <c r="Z197" s="72">
        <f t="shared" si="76"/>
        <v>6.7299999999999999E-2</v>
      </c>
      <c r="AA197" s="72">
        <f t="shared" si="60"/>
        <v>5.7930999999999999</v>
      </c>
      <c r="AB197" s="69" t="e">
        <f>VLOOKUP(A197,Enforcements!$C$7:$J$24,8,0)</f>
        <v>#N/A</v>
      </c>
      <c r="AC197" s="65" t="e">
        <f>VLOOKUP(A197,Enforcements!$C$7:$E$24,3,0)</f>
        <v>#N/A</v>
      </c>
      <c r="AD197" s="66" t="str">
        <f t="shared" si="61"/>
        <v>0838-08</v>
      </c>
      <c r="AE197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97" s="105" t="str">
        <f t="shared" si="63"/>
        <v>"C:\Program Files (x86)\AstroGrep\AstroGrep.exe" /spath="%USERPROFILE%\AppData\Local\Temp\OnboardLogs" /stypes="*4032*20160809*" /stext=" 00:.+((SYSTEM_STATE.+slice.+state.+changed )|(ment ac)|(system.+state.+changed )|(\|lc)|(penalty)|(\[timeout)|(PRM\|1\|D)|(kpr)|(kdp))" /e /r /s</v>
      </c>
      <c r="AG197" s="1" t="str">
        <f t="shared" si="64"/>
        <v>NW</v>
      </c>
      <c r="AH197" s="109" t="str">
        <f t="shared" si="65"/>
        <v>"%USERPROFILE%\Documents\GitHub\eaglep3\Utilities\RefineRTDCRunTimes.py" --tripid 838-08 --locoid 4032 --swversion DE.1.0.7.0 --startMP 300:58604 --initTime 2016-08-08T18:36:18 --startdatetime 2016-08-08T18:37:42 --delay 1 --endMP 204:673 --enddatetime 2016-08-08T18:55:35 --enforcementcount 0</v>
      </c>
      <c r="AI197" s="24"/>
    </row>
    <row r="198" spans="1:35" x14ac:dyDescent="0.25">
      <c r="A198" s="25" t="s">
        <v>322</v>
      </c>
      <c r="B198" s="127">
        <v>4016</v>
      </c>
      <c r="C198" s="128" t="s">
        <v>141</v>
      </c>
      <c r="D198" s="128" t="s">
        <v>628</v>
      </c>
      <c r="E198" s="129">
        <v>42590.782256944447</v>
      </c>
      <c r="F198" s="129">
        <v>42590.783935185187</v>
      </c>
      <c r="G198" s="127">
        <v>2</v>
      </c>
      <c r="H198" s="129" t="s">
        <v>249</v>
      </c>
      <c r="I198" s="129">
        <v>42590.795208333337</v>
      </c>
      <c r="J198" s="127">
        <v>1</v>
      </c>
      <c r="K198" s="25" t="str">
        <f t="shared" si="55"/>
        <v>4015/4016</v>
      </c>
      <c r="L198" s="25" t="str">
        <f>VLOOKUP(A198,'Trips&amp;Operators'!$C$1:$E$10000,3,FALSE)</f>
        <v>COOLAHAN</v>
      </c>
      <c r="M198" s="6">
        <f t="shared" si="56"/>
        <v>1.1273148149484769E-2</v>
      </c>
      <c r="N198" s="7">
        <f t="shared" si="71"/>
        <v>16.233333335258067</v>
      </c>
      <c r="O198" s="7"/>
      <c r="P198" s="7"/>
      <c r="Q198" s="26"/>
      <c r="R198" s="26"/>
      <c r="S198" s="38">
        <f t="shared" si="74"/>
        <v>1</v>
      </c>
      <c r="T198" s="55" t="str">
        <f t="shared" si="57"/>
        <v>NorthBound</v>
      </c>
      <c r="U198" s="14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17:46:27-0600',mode:absolute,to:'2016-08-08 20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98" s="57" t="str">
        <f t="shared" si="59"/>
        <v>N</v>
      </c>
      <c r="X198" s="136">
        <f t="shared" si="73"/>
        <v>1</v>
      </c>
      <c r="Y198" s="72">
        <f t="shared" si="75"/>
        <v>9.8599999999999993E-2</v>
      </c>
      <c r="Z198" s="72">
        <f t="shared" si="76"/>
        <v>5.8921999999999999</v>
      </c>
      <c r="AA198" s="72">
        <f t="shared" si="60"/>
        <v>5.7935999999999996</v>
      </c>
      <c r="AB198" s="69" t="e">
        <f>VLOOKUP(A198,Enforcements!$C$7:$J$24,8,0)</f>
        <v>#N/A</v>
      </c>
      <c r="AC198" s="65" t="e">
        <f>VLOOKUP(A198,Enforcements!$C$7:$E$24,3,0)</f>
        <v>#N/A</v>
      </c>
      <c r="AD198" s="66" t="str">
        <f t="shared" si="61"/>
        <v>0839-08</v>
      </c>
      <c r="AE198" s="108" t="str">
        <f t="shared" si="62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198" s="105" t="str">
        <f t="shared" si="63"/>
        <v>"C:\Program Files (x86)\AstroGrep\AstroGrep.exe" /spath="%USERPROFILE%\AppData\Local\Temp\OnboardLogs" /stypes="*4016*20160809*" /stext=" 01:.+((SYSTEM_STATE.+slice.+state.+changed )|(ment ac)|(system.+state.+changed )|(\|lc)|(penalty)|(\[timeout)|(PRM\|1\|D)|(kpr)|(kdp))" /e /r /s</v>
      </c>
      <c r="AG198" s="1" t="str">
        <f t="shared" si="64"/>
        <v>NW</v>
      </c>
      <c r="AH198" s="109" t="str">
        <f t="shared" si="65"/>
        <v>"%USERPROFILE%\Documents\GitHub\eaglep3\Utilities\RefineRTDCRunTimes.py" --tripid 839-08 --locoid 4016 --swversion DE.1.0.7.0 --startMP 204:986 --initTime 2016-08-08T18:46:27 --startdatetime 2016-08-08T18:48:52 --delay 2 --endMP 300:58922 --enddatetime 2016-08-08T19:05:06 --enforcementcount 1</v>
      </c>
      <c r="AI198" s="24"/>
    </row>
    <row r="199" spans="1:35" x14ac:dyDescent="0.25">
      <c r="A199" s="25" t="s">
        <v>466</v>
      </c>
      <c r="B199" s="127">
        <v>4032</v>
      </c>
      <c r="C199" s="128" t="s">
        <v>141</v>
      </c>
      <c r="D199" s="128" t="s">
        <v>629</v>
      </c>
      <c r="E199" s="129">
        <v>42590.817187499997</v>
      </c>
      <c r="F199" s="129">
        <v>42590.817893518521</v>
      </c>
      <c r="G199" s="127">
        <v>1</v>
      </c>
      <c r="H199" s="129" t="s">
        <v>630</v>
      </c>
      <c r="I199" s="129">
        <v>42590.830474537041</v>
      </c>
      <c r="J199" s="127">
        <v>0</v>
      </c>
      <c r="K199" s="25" t="str">
        <f t="shared" si="55"/>
        <v>4031/4032</v>
      </c>
      <c r="L199" s="25" t="str">
        <f>VLOOKUP(A199,'Trips&amp;Operators'!$C$1:$E$10000,3,FALSE)</f>
        <v>HAITHCOX</v>
      </c>
      <c r="M199" s="6">
        <f t="shared" si="56"/>
        <v>1.2581018519995268E-2</v>
      </c>
      <c r="N199" s="7">
        <f t="shared" si="71"/>
        <v>18.116666668793187</v>
      </c>
      <c r="O199" s="7"/>
      <c r="P199" s="7"/>
      <c r="Q199" s="26"/>
      <c r="R199" s="26"/>
      <c r="S199" s="38">
        <f t="shared" si="74"/>
        <v>1</v>
      </c>
      <c r="T199" s="55" t="str">
        <f t="shared" si="57"/>
        <v>Southbound</v>
      </c>
      <c r="U199" s="14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18:36:45-0600',mode:absolute,to:'2016-08-08 20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99" s="57" t="str">
        <f t="shared" si="59"/>
        <v>N</v>
      </c>
      <c r="X199" s="136">
        <f t="shared" si="73"/>
        <v>1</v>
      </c>
      <c r="Y199" s="72">
        <f t="shared" si="75"/>
        <v>5.8613</v>
      </c>
      <c r="Z199" s="72">
        <f t="shared" si="76"/>
        <v>6.7100000000000007E-2</v>
      </c>
      <c r="AA199" s="72">
        <f t="shared" si="60"/>
        <v>5.7942</v>
      </c>
      <c r="AB199" s="69" t="e">
        <f>VLOOKUP(A199,Enforcements!$C$7:$J$24,8,0)</f>
        <v>#N/A</v>
      </c>
      <c r="AC199" s="65" t="e">
        <f>VLOOKUP(A199,Enforcements!$C$7:$E$24,3,0)</f>
        <v>#N/A</v>
      </c>
      <c r="AD199" s="66" t="str">
        <f t="shared" si="61"/>
        <v>0840-08</v>
      </c>
      <c r="AE199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99" s="105" t="str">
        <f t="shared" si="63"/>
        <v>"C:\Program Files (x86)\AstroGrep\AstroGrep.exe" /spath="%USERPROFILE%\AppData\Local\Temp\OnboardLogs" /stypes="*4032*20160809*" /stext=" 01:.+((SYSTEM_STATE.+slice.+state.+changed )|(ment ac)|(system.+state.+changed )|(\|lc)|(penalty)|(\[timeout)|(PRM\|1\|D)|(kpr)|(kdp))" /e /r /s</v>
      </c>
      <c r="AG199" s="1" t="str">
        <f t="shared" si="64"/>
        <v>NW</v>
      </c>
      <c r="AH199" s="109" t="str">
        <f t="shared" si="65"/>
        <v>"%USERPROFILE%\Documents\GitHub\eaglep3\Utilities\RefineRTDCRunTimes.py" --tripid 840-08 --locoid 4032 --swversion DE.1.0.7.0 --startMP 300:58613 --initTime 2016-08-08T19:36:45 --startdatetime 2016-08-08T19:37:46 --delay 1 --endMP 204:671 --enddatetime 2016-08-08T19:55:53 --enforcementcount 0</v>
      </c>
      <c r="AI199" s="24"/>
    </row>
    <row r="200" spans="1:35" x14ac:dyDescent="0.25">
      <c r="A200" s="25" t="s">
        <v>461</v>
      </c>
      <c r="B200" s="127">
        <v>4031</v>
      </c>
      <c r="C200" s="128" t="s">
        <v>141</v>
      </c>
      <c r="D200" s="128" t="s">
        <v>253</v>
      </c>
      <c r="E200" s="129">
        <v>42590.789710648147</v>
      </c>
      <c r="F200" s="129">
        <v>42590.790578703702</v>
      </c>
      <c r="G200" s="127">
        <v>1</v>
      </c>
      <c r="H200" s="129" t="s">
        <v>246</v>
      </c>
      <c r="I200" s="129">
        <v>42590.816145833334</v>
      </c>
      <c r="J200" s="127">
        <v>0</v>
      </c>
      <c r="K200" s="25" t="str">
        <f t="shared" si="55"/>
        <v>4031/4032</v>
      </c>
      <c r="L200" s="25" t="str">
        <f>VLOOKUP(A200,'Trips&amp;Operators'!$C$1:$E$10000,3,FALSE)</f>
        <v>HAITHCOX</v>
      </c>
      <c r="M200" s="6">
        <f t="shared" si="56"/>
        <v>2.5567129632690921E-2</v>
      </c>
      <c r="N200" s="7">
        <f t="shared" ref="N200:N217" si="77">24*60*SUM($M200:$M200)</f>
        <v>36.816666671074927</v>
      </c>
      <c r="O200" s="7"/>
      <c r="P200" s="7"/>
      <c r="Q200" s="26"/>
      <c r="R200" s="26"/>
      <c r="S200" s="38">
        <f t="shared" si="74"/>
        <v>1</v>
      </c>
      <c r="T200" s="55" t="str">
        <f t="shared" si="57"/>
        <v>NorthBound</v>
      </c>
      <c r="U200" s="14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17:57:11-0600',mode:absolute,to:'2016-08-08 20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00" s="57" t="str">
        <f t="shared" si="59"/>
        <v>N</v>
      </c>
      <c r="X200" s="136">
        <f t="shared" si="73"/>
        <v>1</v>
      </c>
      <c r="Y200" s="72">
        <f t="shared" si="75"/>
        <v>9.6000000000000002E-2</v>
      </c>
      <c r="Z200" s="72">
        <f t="shared" si="76"/>
        <v>5.8929</v>
      </c>
      <c r="AA200" s="72">
        <f t="shared" si="60"/>
        <v>5.7968999999999999</v>
      </c>
      <c r="AB200" s="69" t="e">
        <f>VLOOKUP(A200,Enforcements!$C$7:$J$24,8,0)</f>
        <v>#N/A</v>
      </c>
      <c r="AC200" s="65" t="e">
        <f>VLOOKUP(A200,Enforcements!$C$7:$E$24,3,0)</f>
        <v>#N/A</v>
      </c>
      <c r="AD200" s="66" t="str">
        <f t="shared" si="61"/>
        <v>0841-08</v>
      </c>
      <c r="AE200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200" s="105" t="str">
        <f t="shared" si="63"/>
        <v>"C:\Program Files (x86)\AstroGrep\AstroGrep.exe" /spath="%USERPROFILE%\AppData\Local\Temp\OnboardLogs" /stypes="*4031*20160809*" /stext=" 01:.+((SYSTEM_STATE.+slice.+state.+changed )|(ment ac)|(system.+state.+changed )|(\|lc)|(penalty)|(\[timeout)|(PRM\|1\|D)|(kpr)|(kdp))" /e /r /s</v>
      </c>
      <c r="AG200" s="1" t="str">
        <f t="shared" si="64"/>
        <v>NW</v>
      </c>
      <c r="AH200" s="109" t="str">
        <f t="shared" si="65"/>
        <v>"%USERPROFILE%\Documents\GitHub\eaglep3\Utilities\RefineRTDCRunTimes.py" --tripid 841-08 --locoid 4031 --swversion DE.1.0.7.0 --startMP 204:960 --initTime 2016-08-08T18:57:11 --startdatetime 2016-08-08T18:58:26 --delay 1 --endMP 300:58929 --enddatetime 2016-08-08T19:35:15 --enforcementcount 0</v>
      </c>
      <c r="AI200" s="24"/>
    </row>
    <row r="201" spans="1:35" x14ac:dyDescent="0.25">
      <c r="A201" s="25" t="s">
        <v>472</v>
      </c>
      <c r="B201" s="127">
        <v>4032</v>
      </c>
      <c r="C201" s="128" t="s">
        <v>141</v>
      </c>
      <c r="D201" s="128" t="s">
        <v>252</v>
      </c>
      <c r="E201" s="129">
        <v>42590.859224537038</v>
      </c>
      <c r="F201" s="129">
        <v>42590.86</v>
      </c>
      <c r="G201" s="127">
        <v>1</v>
      </c>
      <c r="H201" s="129" t="s">
        <v>631</v>
      </c>
      <c r="I201" s="129">
        <v>42590.872187499997</v>
      </c>
      <c r="J201" s="127">
        <v>0</v>
      </c>
      <c r="K201" s="25" t="str">
        <f t="shared" si="55"/>
        <v>4031/4032</v>
      </c>
      <c r="L201" s="25" t="str">
        <f>VLOOKUP(A201,'Trips&amp;Operators'!$C$1:$E$10000,3,FALSE)</f>
        <v>HAITHCOX</v>
      </c>
      <c r="M201" s="6">
        <f t="shared" si="56"/>
        <v>1.2187499996798579E-2</v>
      </c>
      <c r="N201" s="7">
        <f t="shared" si="77"/>
        <v>17.549999995389953</v>
      </c>
      <c r="O201" s="7"/>
      <c r="P201" s="7"/>
      <c r="Q201" s="26"/>
      <c r="R201" s="26"/>
      <c r="S201" s="38">
        <f t="shared" si="74"/>
        <v>1</v>
      </c>
      <c r="T201" s="55" t="str">
        <f t="shared" si="57"/>
        <v>Southbound</v>
      </c>
      <c r="U201" s="14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19:37:17-0600',mode:absolute,to:'2016-08-08 21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201" s="57" t="str">
        <f t="shared" si="59"/>
        <v>N</v>
      </c>
      <c r="X201" s="136">
        <f t="shared" si="73"/>
        <v>1</v>
      </c>
      <c r="Y201" s="72">
        <f t="shared" si="75"/>
        <v>5.8605999999999998</v>
      </c>
      <c r="Z201" s="72">
        <f t="shared" si="76"/>
        <v>6.7699999999999996E-2</v>
      </c>
      <c r="AA201" s="72">
        <f t="shared" si="60"/>
        <v>5.7928999999999995</v>
      </c>
      <c r="AB201" s="69" t="e">
        <f>VLOOKUP(A201,Enforcements!$C$7:$J$24,8,0)</f>
        <v>#N/A</v>
      </c>
      <c r="AC201" s="65" t="e">
        <f>VLOOKUP(A201,Enforcements!$C$7:$E$24,3,0)</f>
        <v>#N/A</v>
      </c>
      <c r="AD201" s="66" t="str">
        <f t="shared" si="61"/>
        <v>0842-08</v>
      </c>
      <c r="AE201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201" s="105" t="str">
        <f t="shared" si="63"/>
        <v>"C:\Program Files (x86)\AstroGrep\AstroGrep.exe" /spath="%USERPROFILE%\AppData\Local\Temp\OnboardLogs" /stypes="*4032*20160809*" /stext=" 02:.+((SYSTEM_STATE.+slice.+state.+changed )|(ment ac)|(system.+state.+changed )|(\|lc)|(penalty)|(\[timeout)|(PRM\|1\|D)|(kpr)|(kdp))" /e /r /s</v>
      </c>
      <c r="AG201" s="1" t="str">
        <f t="shared" si="64"/>
        <v>NW</v>
      </c>
      <c r="AH201" s="109" t="str">
        <f t="shared" si="65"/>
        <v>"%USERPROFILE%\Documents\GitHub\eaglep3\Utilities\RefineRTDCRunTimes.py" --tripid 842-08 --locoid 4032 --swversion DE.1.0.7.0 --startMP 300:58606 --initTime 2016-08-08T20:37:17 --startdatetime 2016-08-08T20:38:24 --delay 1 --endMP 204:677 --enddatetime 2016-08-08T20:55:57 --enforcementcount 0</v>
      </c>
    </row>
    <row r="202" spans="1:35" x14ac:dyDescent="0.25">
      <c r="A202" s="25" t="s">
        <v>469</v>
      </c>
      <c r="B202" s="127">
        <v>4031</v>
      </c>
      <c r="C202" s="128" t="s">
        <v>141</v>
      </c>
      <c r="D202" s="128" t="s">
        <v>632</v>
      </c>
      <c r="E202" s="129">
        <v>42590.8434837963</v>
      </c>
      <c r="F202" s="129">
        <v>42590.844409722224</v>
      </c>
      <c r="G202" s="127">
        <v>1</v>
      </c>
      <c r="H202" s="129" t="s">
        <v>247</v>
      </c>
      <c r="I202" s="129">
        <v>42590.858206018522</v>
      </c>
      <c r="J202" s="127">
        <v>0</v>
      </c>
      <c r="K202" s="25" t="str">
        <f t="shared" si="55"/>
        <v>4031/4032</v>
      </c>
      <c r="L202" s="25" t="str">
        <f>VLOOKUP(A202,'Trips&amp;Operators'!$C$1:$E$10000,3,FALSE)</f>
        <v>HAITHCOX</v>
      </c>
      <c r="M202" s="6">
        <f t="shared" si="56"/>
        <v>1.3796296298096422E-2</v>
      </c>
      <c r="N202" s="7">
        <f t="shared" si="77"/>
        <v>19.866666669258848</v>
      </c>
      <c r="O202" s="7"/>
      <c r="P202" s="7"/>
      <c r="Q202" s="26"/>
      <c r="R202" s="26"/>
      <c r="S202" s="38">
        <f t="shared" si="74"/>
        <v>1</v>
      </c>
      <c r="T202" s="55" t="str">
        <f t="shared" si="57"/>
        <v>NorthBound</v>
      </c>
      <c r="U202" s="14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19:14:37-0600',mode:absolute,to:'2016-08-08 21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02" s="57" t="str">
        <f t="shared" si="59"/>
        <v>N</v>
      </c>
      <c r="X202" s="136">
        <f t="shared" si="73"/>
        <v>1</v>
      </c>
      <c r="Y202" s="72">
        <f t="shared" si="75"/>
        <v>9.74E-2</v>
      </c>
      <c r="Z202" s="72">
        <f t="shared" si="76"/>
        <v>5.8925999999999998</v>
      </c>
      <c r="AA202" s="72">
        <f t="shared" si="60"/>
        <v>5.7951999999999995</v>
      </c>
      <c r="AB202" s="69" t="e">
        <f>VLOOKUP(A202,Enforcements!$C$7:$J$24,8,0)</f>
        <v>#N/A</v>
      </c>
      <c r="AC202" s="65" t="e">
        <f>VLOOKUP(A202,Enforcements!$C$7:$E$24,3,0)</f>
        <v>#N/A</v>
      </c>
      <c r="AD202" s="66" t="str">
        <f t="shared" si="61"/>
        <v>0843-08</v>
      </c>
      <c r="AE202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202" s="105" t="str">
        <f t="shared" si="63"/>
        <v>"C:\Program Files (x86)\AstroGrep\AstroGrep.exe" /spath="%USERPROFILE%\AppData\Local\Temp\OnboardLogs" /stypes="*4031*20160809*" /stext=" 02:.+((SYSTEM_STATE.+slice.+state.+changed )|(ment ac)|(system.+state.+changed )|(\|lc)|(penalty)|(\[timeout)|(PRM\|1\|D)|(kpr)|(kdp))" /e /r /s</v>
      </c>
      <c r="AG202" s="1" t="str">
        <f t="shared" si="64"/>
        <v>NW</v>
      </c>
      <c r="AH202" s="109" t="str">
        <f t="shared" si="65"/>
        <v>"%USERPROFILE%\Documents\GitHub\eaglep3\Utilities\RefineRTDCRunTimes.py" --tripid 843-08 --locoid 4031 --swversion DE.1.0.7.0 --startMP 204:974 --initTime 2016-08-08T20:14:37 --startdatetime 2016-08-08T20:15:57 --delay 1 --endMP 300:58926 --enddatetime 2016-08-08T20:35:49 --enforcementcount 0</v>
      </c>
    </row>
    <row r="203" spans="1:35" x14ac:dyDescent="0.25">
      <c r="A203" s="25" t="s">
        <v>328</v>
      </c>
      <c r="B203" s="127">
        <v>4032</v>
      </c>
      <c r="C203" s="128" t="s">
        <v>141</v>
      </c>
      <c r="D203" s="128" t="s">
        <v>633</v>
      </c>
      <c r="E203" s="129">
        <v>42590.901909722219</v>
      </c>
      <c r="F203" s="129">
        <v>42590.903055555558</v>
      </c>
      <c r="G203" s="127">
        <v>1</v>
      </c>
      <c r="H203" s="129" t="s">
        <v>634</v>
      </c>
      <c r="I203" s="129">
        <v>42590.914537037039</v>
      </c>
      <c r="J203" s="127">
        <v>1</v>
      </c>
      <c r="K203" s="25" t="str">
        <f t="shared" si="55"/>
        <v>4031/4032</v>
      </c>
      <c r="L203" s="25" t="str">
        <f>VLOOKUP(A203,'Trips&amp;Operators'!$C$1:$E$10000,3,FALSE)</f>
        <v>COOLAHAN</v>
      </c>
      <c r="M203" s="6">
        <f t="shared" si="56"/>
        <v>1.1481481480586808E-2</v>
      </c>
      <c r="N203" s="7">
        <f t="shared" si="77"/>
        <v>16.533333332045004</v>
      </c>
      <c r="O203" s="7"/>
      <c r="P203" s="7"/>
      <c r="Q203" s="26"/>
      <c r="R203" s="26"/>
      <c r="S203" s="38">
        <f t="shared" si="74"/>
        <v>1</v>
      </c>
      <c r="T203" s="55" t="str">
        <f t="shared" si="57"/>
        <v>Southbound</v>
      </c>
      <c r="U203" s="14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20:38:45-0600',mode:absolute,to:'2016-08-08 22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203" s="57" t="str">
        <f t="shared" si="59"/>
        <v>N</v>
      </c>
      <c r="X203" s="136">
        <f t="shared" si="73"/>
        <v>1</v>
      </c>
      <c r="Y203" s="72">
        <f t="shared" si="75"/>
        <v>5.8663999999999996</v>
      </c>
      <c r="Z203" s="72">
        <f t="shared" si="76"/>
        <v>7.0999999999999994E-2</v>
      </c>
      <c r="AA203" s="72">
        <f t="shared" si="60"/>
        <v>5.7953999999999999</v>
      </c>
      <c r="AB203" s="69" t="e">
        <f>VLOOKUP(A203,Enforcements!$C$7:$J$24,8,0)</f>
        <v>#N/A</v>
      </c>
      <c r="AC203" s="65" t="e">
        <f>VLOOKUP(A203,Enforcements!$C$7:$E$24,3,0)</f>
        <v>#N/A</v>
      </c>
      <c r="AD203" s="66" t="str">
        <f t="shared" si="61"/>
        <v>0844-08</v>
      </c>
      <c r="AE203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203" s="105" t="str">
        <f t="shared" si="63"/>
        <v>"C:\Program Files (x86)\AstroGrep\AstroGrep.exe" /spath="%USERPROFILE%\AppData\Local\Temp\OnboardLogs" /stypes="*4032*20160809*" /stext=" 03:.+((SYSTEM_STATE.+slice.+state.+changed )|(ment ac)|(system.+state.+changed )|(\|lc)|(penalty)|(\[timeout)|(PRM\|1\|D)|(kpr)|(kdp))" /e /r /s</v>
      </c>
      <c r="AG203" s="1" t="str">
        <f t="shared" si="64"/>
        <v>NW</v>
      </c>
      <c r="AH203" s="109" t="str">
        <f t="shared" si="65"/>
        <v>"%USERPROFILE%\Documents\GitHub\eaglep3\Utilities\RefineRTDCRunTimes.py" --tripid 844-08 --locoid 4032 --swversion DE.1.0.7.0 --startMP 300:58664 --initTime 2016-08-08T21:38:45 --startdatetime 2016-08-08T21:40:24 --delay 1 --endMP 204:710 --enddatetime 2016-08-08T21:56:56 --enforcementcount 1</v>
      </c>
    </row>
    <row r="204" spans="1:35" x14ac:dyDescent="0.25">
      <c r="A204" s="25" t="s">
        <v>326</v>
      </c>
      <c r="B204" s="127">
        <v>4031</v>
      </c>
      <c r="C204" s="128" t="s">
        <v>141</v>
      </c>
      <c r="D204" s="128" t="s">
        <v>632</v>
      </c>
      <c r="E204" s="129">
        <v>42590.881828703707</v>
      </c>
      <c r="F204" s="129">
        <v>42590.883125</v>
      </c>
      <c r="G204" s="127">
        <v>1</v>
      </c>
      <c r="H204" s="129" t="s">
        <v>635</v>
      </c>
      <c r="I204" s="129">
        <v>42590.901076388887</v>
      </c>
      <c r="J204" s="127">
        <v>1</v>
      </c>
      <c r="K204" s="25" t="str">
        <f t="shared" si="55"/>
        <v>4031/4032</v>
      </c>
      <c r="L204" s="25" t="str">
        <f>VLOOKUP(A204,'Trips&amp;Operators'!$C$1:$E$10000,3,FALSE)</f>
        <v>COOLAHAN</v>
      </c>
      <c r="M204" s="6">
        <f t="shared" si="56"/>
        <v>1.7951388887013309E-2</v>
      </c>
      <c r="N204" s="7">
        <f t="shared" si="77"/>
        <v>25.849999997299165</v>
      </c>
      <c r="O204" s="7"/>
      <c r="P204" s="7"/>
      <c r="Q204" s="26"/>
      <c r="R204" s="26"/>
      <c r="S204" s="38">
        <f t="shared" si="74"/>
        <v>1</v>
      </c>
      <c r="T204" s="55" t="str">
        <f t="shared" si="57"/>
        <v>NorthBound</v>
      </c>
      <c r="U204" s="14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20:09:50-0600',mode:absolute,to:'2016-08-08 22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04" s="57" t="str">
        <f t="shared" si="59"/>
        <v>N</v>
      </c>
      <c r="X204" s="136">
        <f t="shared" si="73"/>
        <v>1</v>
      </c>
      <c r="Y204" s="72">
        <f t="shared" si="75"/>
        <v>9.74E-2</v>
      </c>
      <c r="Z204" s="72">
        <f t="shared" si="76"/>
        <v>5.8978000000000002</v>
      </c>
      <c r="AA204" s="72">
        <f t="shared" si="60"/>
        <v>5.8003999999999998</v>
      </c>
      <c r="AB204" s="69" t="e">
        <f>VLOOKUP(A204,Enforcements!$C$7:$J$24,8,0)</f>
        <v>#N/A</v>
      </c>
      <c r="AC204" s="65" t="e">
        <f>VLOOKUP(A204,Enforcements!$C$7:$E$24,3,0)</f>
        <v>#N/A</v>
      </c>
      <c r="AD204" s="66" t="str">
        <f t="shared" si="61"/>
        <v>0845-08</v>
      </c>
      <c r="AE204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204" s="105" t="str">
        <f t="shared" si="63"/>
        <v>"C:\Program Files (x86)\AstroGrep\AstroGrep.exe" /spath="%USERPROFILE%\AppData\Local\Temp\OnboardLogs" /stypes="*4031*20160809*" /stext=" 03:.+((SYSTEM_STATE.+slice.+state.+changed )|(ment ac)|(system.+state.+changed )|(\|lc)|(penalty)|(\[timeout)|(PRM\|1\|D)|(kpr)|(kdp))" /e /r /s</v>
      </c>
      <c r="AG204" s="1" t="str">
        <f t="shared" si="64"/>
        <v>NW</v>
      </c>
      <c r="AH204" s="109" t="str">
        <f t="shared" si="65"/>
        <v>"%USERPROFILE%\Documents\GitHub\eaglep3\Utilities\RefineRTDCRunTimes.py" --tripid 845-08 --locoid 4031 --swversion DE.1.0.7.0 --startMP 204:974 --initTime 2016-08-08T21:09:50 --startdatetime 2016-08-08T21:11:42 --delay 1 --endMP 300:58978 --enddatetime 2016-08-08T21:37:33 --enforcementcount 1</v>
      </c>
    </row>
    <row r="205" spans="1:35" x14ac:dyDescent="0.25">
      <c r="A205" s="25" t="s">
        <v>477</v>
      </c>
      <c r="B205" s="127">
        <v>4031</v>
      </c>
      <c r="C205" s="128" t="s">
        <v>141</v>
      </c>
      <c r="D205" s="128" t="s">
        <v>636</v>
      </c>
      <c r="E205" s="129">
        <v>42590.92728009259</v>
      </c>
      <c r="F205" s="129">
        <v>42590.928668981483</v>
      </c>
      <c r="G205" s="127">
        <v>2</v>
      </c>
      <c r="H205" s="129" t="s">
        <v>637</v>
      </c>
      <c r="I205" s="129">
        <v>42590.941990740743</v>
      </c>
      <c r="J205" s="127">
        <v>0</v>
      </c>
      <c r="K205" s="25" t="str">
        <f t="shared" ref="K205:K217" si="78">IF(ISEVEN(B205),(B205-1)&amp;"/"&amp;B205,B205&amp;"/"&amp;(B205+1))</f>
        <v>4031/4032</v>
      </c>
      <c r="L205" s="25" t="str">
        <f>VLOOKUP(A205,'Trips&amp;Operators'!$C$1:$E$10000,3,FALSE)</f>
        <v>COOLAHAN</v>
      </c>
      <c r="M205" s="6">
        <f t="shared" ref="M205:M217" si="79">I205-F205</f>
        <v>1.3321759259270038E-2</v>
      </c>
      <c r="N205" s="7">
        <f t="shared" si="77"/>
        <v>19.183333333348855</v>
      </c>
      <c r="O205" s="7"/>
      <c r="P205" s="7"/>
      <c r="Q205" s="26"/>
      <c r="R205" s="26"/>
      <c r="S205" s="38">
        <f t="shared" si="74"/>
        <v>1</v>
      </c>
      <c r="T205" s="55" t="str">
        <f t="shared" ref="T205:T217" si="80">IF(ISEVEN(LEFT(AD205,4)),"Southbound","NorthBound")</f>
        <v>NorthBound</v>
      </c>
      <c r="U205" s="14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15" t="str">
        <f t="shared" ref="V205:V217" si="81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https://search-rtdc-monitor-bjffxe2xuh6vdkpspy63sjmuny.us-east-1.es.amazonaws.com/_plugin/kibana/#/discover/Steve-Slow-Train-Analysis-(2080s-and-2083s)?_g=(refreshInterval:(display:Off,section:0,value:0),time:(from:'2016-08-08 21:15:17-0600',mode:absolute,to:'2016-08-08 23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05" s="57" t="str">
        <f t="shared" ref="W205:W217" si="82">IF(AA205&lt;IF(AG205="EC",23,5.65),"Y","N")</f>
        <v>N</v>
      </c>
      <c r="X205" s="136">
        <f t="shared" si="73"/>
        <v>2</v>
      </c>
      <c r="Y205" s="72">
        <f t="shared" si="75"/>
        <v>0.1002</v>
      </c>
      <c r="Z205" s="72">
        <f t="shared" si="76"/>
        <v>5.9009</v>
      </c>
      <c r="AA205" s="72">
        <f t="shared" ref="AA205:AA268" si="83">ABS(Z205-Y205)</f>
        <v>5.8007</v>
      </c>
      <c r="AB205" s="69" t="e">
        <f>VLOOKUP(A205,Enforcements!$C$7:$J$24,8,0)</f>
        <v>#N/A</v>
      </c>
      <c r="AC205" s="65" t="e">
        <f>VLOOKUP(A205,Enforcements!$C$7:$E$24,3,0)</f>
        <v>#N/A</v>
      </c>
      <c r="AD205" s="66" t="str">
        <f t="shared" ref="AD205:AD217" si="84">IF(LEN(A205)=6,"0"&amp;A205,A205)</f>
        <v>0847-08</v>
      </c>
      <c r="AE205" s="108" t="str">
        <f t="shared" ref="AE205:AE217" si="85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205" s="105" t="str">
        <f t="shared" ref="AF205:AF217" si="86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/stypes="*4031*20160809*" /stext=" 04:.+((SYSTEM_STATE.+slice.+state.+changed )|(ment ac)|(system.+state.+changed )|(\|lc)|(penalty)|(\[timeout)|(PRM\|1\|D)|(kpr)|(kdp))" /e /r /s</v>
      </c>
      <c r="AG205" s="1" t="str">
        <f t="shared" ref="AG205:AG217" si="87">IF(VALUE(LEFT(AD205,2))&lt;=2,"EC",IF(OR(VALUE(LEFT(AD205,2))=8,VALUE(LEFT(AD205,2))=18),"NW","Other"))</f>
        <v>NW</v>
      </c>
      <c r="AH205" s="109" t="str">
        <f t="shared" ref="AH205:AH217" si="88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</f>
        <v>"%USERPROFILE%\Documents\GitHub\eaglep3\Utilities\RefineRTDCRunTimes.py" --tripid 847-08 --locoid 4031 --swversion DE.1.0.7.0 --startMP 204:1002 --initTime 2016-08-08T22:15:17 --startdatetime 2016-08-08T22:17:17 --delay 2 --endMP 300:59009 --enddatetime 2016-08-08T22:36:28 --enforcementcount 0</v>
      </c>
    </row>
    <row r="206" spans="1:35" x14ac:dyDescent="0.25">
      <c r="A206" s="25" t="s">
        <v>462</v>
      </c>
      <c r="B206" s="127">
        <v>4038</v>
      </c>
      <c r="C206" s="128" t="s">
        <v>141</v>
      </c>
      <c r="D206" s="128" t="s">
        <v>196</v>
      </c>
      <c r="E206" s="129">
        <v>42590.796319444446</v>
      </c>
      <c r="F206" s="129">
        <v>42590.797500000001</v>
      </c>
      <c r="G206" s="127">
        <v>1</v>
      </c>
      <c r="H206" s="129" t="s">
        <v>225</v>
      </c>
      <c r="I206" s="129">
        <v>42590.807071759256</v>
      </c>
      <c r="J206" s="127">
        <v>0</v>
      </c>
      <c r="K206" s="25" t="str">
        <f t="shared" si="78"/>
        <v>4037/4038</v>
      </c>
      <c r="L206" s="25" t="str">
        <f>VLOOKUP(A206,'Trips&amp;Operators'!$C$1:$E$10000,3,FALSE)</f>
        <v>MAYBERRY</v>
      </c>
      <c r="M206" s="6">
        <f t="shared" si="79"/>
        <v>9.5717592557775788E-3</v>
      </c>
      <c r="N206" s="7">
        <f t="shared" si="77"/>
        <v>13.783333328319713</v>
      </c>
      <c r="O206" s="7"/>
      <c r="P206" s="7"/>
      <c r="Q206" s="26"/>
      <c r="R206" s="26"/>
      <c r="S206" s="38">
        <f t="shared" si="74"/>
        <v>1</v>
      </c>
      <c r="T206" s="55" t="str">
        <f t="shared" si="80"/>
        <v>NorthBound</v>
      </c>
      <c r="U206" s="14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18:06:42-0600',mode:absolute,to:'2016-08-08 20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06" s="57" t="str">
        <f t="shared" si="82"/>
        <v>Y</v>
      </c>
      <c r="X206" s="136">
        <f t="shared" si="73"/>
        <v>-544</v>
      </c>
      <c r="Y206" s="72">
        <f t="shared" si="75"/>
        <v>4.53E-2</v>
      </c>
      <c r="Z206" s="72">
        <f t="shared" si="76"/>
        <v>2.3306</v>
      </c>
      <c r="AA206" s="72">
        <f t="shared" si="83"/>
        <v>2.2852999999999999</v>
      </c>
      <c r="AB206" s="69" t="e">
        <f>VLOOKUP(A206,Enforcements!$C$7:$J$24,8,0)</f>
        <v>#N/A</v>
      </c>
      <c r="AC206" s="65" t="e">
        <f>VLOOKUP(A206,Enforcements!$C$7:$E$24,3,0)</f>
        <v>#N/A</v>
      </c>
      <c r="AD206" s="66" t="str">
        <f t="shared" si="84"/>
        <v>0303-08</v>
      </c>
      <c r="AE206" s="108" t="str">
        <f t="shared" si="85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206" s="105" t="str">
        <f t="shared" si="86"/>
        <v>"C:\Program Files (x86)\AstroGrep\AstroGrep.exe" /spath="%USERPROFILE%\AppData\Local\Temp\OnboardLogs" /stypes="*4038*20160809*" /stext=" 01:.+((SYSTEM_STATE.+slice.+state.+changed )|(ment ac)|(system.+state.+changed )|(\|lc)|(penalty)|(\[timeout)|(PRM\|1\|D)|(kpr)|(kdp))" /e /r /s</v>
      </c>
      <c r="AG206" s="1" t="str">
        <f t="shared" si="87"/>
        <v>Other</v>
      </c>
      <c r="AH206" s="109" t="str">
        <f t="shared" si="88"/>
        <v>"%USERPROFILE%\Documents\GitHub\eaglep3\Utilities\RefineRTDCRunTimes.py" --tripid 303-08 --locoid 4038 --swversion DE.1.0.7.0 --startMP 204:453 --initTime 2016-08-08T19:06:42 --startdatetime 2016-08-08T19:08:24 --delay 1 --endMP 300:23306 --enddatetime 2016-08-08T19:22:11 --enforcementcount 0</v>
      </c>
    </row>
    <row r="207" spans="1:35" x14ac:dyDescent="0.25">
      <c r="A207" s="25" t="s">
        <v>487</v>
      </c>
      <c r="B207" s="127">
        <v>4029</v>
      </c>
      <c r="C207" s="128" t="s">
        <v>141</v>
      </c>
      <c r="D207" s="128" t="s">
        <v>188</v>
      </c>
      <c r="E207" s="129">
        <v>42591.028634259259</v>
      </c>
      <c r="F207" s="129">
        <v>42591.029456018521</v>
      </c>
      <c r="G207" s="127">
        <v>1</v>
      </c>
      <c r="H207" s="129" t="s">
        <v>578</v>
      </c>
      <c r="I207" s="129">
        <v>42591.037280092591</v>
      </c>
      <c r="J207" s="127">
        <v>0</v>
      </c>
      <c r="K207" s="25" t="str">
        <f t="shared" si="78"/>
        <v>4029/4030</v>
      </c>
      <c r="L207" s="25" t="str">
        <f>VLOOKUP(A207,'Trips&amp;Operators'!$C$1:$E$10000,3,FALSE)</f>
        <v>ISHMAEL</v>
      </c>
      <c r="M207" s="6">
        <f t="shared" si="79"/>
        <v>7.8240740695036948E-3</v>
      </c>
      <c r="N207" s="7">
        <f t="shared" si="77"/>
        <v>11.26666666008532</v>
      </c>
      <c r="O207" s="7"/>
      <c r="P207" s="7"/>
      <c r="Q207" s="26"/>
      <c r="R207" s="26"/>
      <c r="S207" s="38">
        <f t="shared" si="74"/>
        <v>1</v>
      </c>
      <c r="T207" s="55" t="str">
        <f t="shared" si="80"/>
        <v>NorthBound</v>
      </c>
      <c r="U207" s="14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23:41:14-0600',mode:absolute,to:'2016-08-09 01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207" s="57" t="str">
        <f t="shared" si="82"/>
        <v>Y</v>
      </c>
      <c r="X207" s="136">
        <f t="shared" si="73"/>
        <v>6</v>
      </c>
      <c r="Y207" s="72">
        <f t="shared" si="75"/>
        <v>4.7100000000000003E-2</v>
      </c>
      <c r="Z207" s="72">
        <f t="shared" si="76"/>
        <v>2.3298999999999999</v>
      </c>
      <c r="AA207" s="72">
        <f t="shared" si="83"/>
        <v>2.2827999999999999</v>
      </c>
      <c r="AB207" s="69" t="e">
        <f>VLOOKUP(A207,Enforcements!$C$7:$J$24,8,0)</f>
        <v>#N/A</v>
      </c>
      <c r="AC207" s="65" t="e">
        <f>VLOOKUP(A207,Enforcements!$C$7:$E$24,3,0)</f>
        <v>#N/A</v>
      </c>
      <c r="AD207" s="66" t="str">
        <f t="shared" si="84"/>
        <v>0309-08</v>
      </c>
      <c r="AE207" s="108" t="str">
        <f t="shared" si="85"/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AF207" s="105" t="str">
        <f t="shared" si="86"/>
        <v>"C:\Program Files (x86)\AstroGrep\AstroGrep.exe" /spath="%USERPROFILE%\AppData\Local\Temp\OnboardLogs" /stypes="*4029*20160809*" /stext=" 06:.+((SYSTEM_STATE.+slice.+state.+changed )|(ment ac)|(system.+state.+changed )|(\|lc)|(penalty)|(\[timeout)|(PRM\|1\|D)|(kpr)|(kdp))" /e /r /s</v>
      </c>
      <c r="AG207" s="1" t="str">
        <f t="shared" si="87"/>
        <v>Other</v>
      </c>
      <c r="AH207" s="109" t="str">
        <f t="shared" si="88"/>
        <v>"%USERPROFILE%\Documents\GitHub\eaglep3\Utilities\RefineRTDCRunTimes.py" --tripid 309-08 --locoid 4029 --swversion DE.1.0.7.0 --startMP 204:471 --initTime 2016-08-09T00:41:14 --startdatetime 2016-08-09T00:42:25 --delay 1 --endMP 300:23299 --enddatetime 2016-08-09T00:53:41 --enforcementcount 0</v>
      </c>
    </row>
    <row r="208" spans="1:35" x14ac:dyDescent="0.25">
      <c r="A208" s="25" t="s">
        <v>489</v>
      </c>
      <c r="B208" s="127">
        <v>4007</v>
      </c>
      <c r="C208" s="128" t="s">
        <v>141</v>
      </c>
      <c r="D208" s="128" t="s">
        <v>205</v>
      </c>
      <c r="E208" s="129">
        <v>42591.04965277778</v>
      </c>
      <c r="F208" s="129">
        <v>42591.05064814815</v>
      </c>
      <c r="G208" s="127">
        <v>1</v>
      </c>
      <c r="H208" s="129" t="s">
        <v>579</v>
      </c>
      <c r="I208" s="129">
        <v>42591.055844907409</v>
      </c>
      <c r="J208" s="127">
        <v>0</v>
      </c>
      <c r="K208" s="25" t="str">
        <f t="shared" si="78"/>
        <v>4007/4008</v>
      </c>
      <c r="L208" s="25" t="str">
        <f>VLOOKUP(A208,'Trips&amp;Operators'!$C$1:$E$10000,3,FALSE)</f>
        <v>NEWELL</v>
      </c>
      <c r="M208" s="6">
        <f t="shared" si="79"/>
        <v>5.1967592589790002E-3</v>
      </c>
      <c r="N208" s="7">
        <f t="shared" si="77"/>
        <v>7.4833333329297602</v>
      </c>
      <c r="O208" s="7"/>
      <c r="P208" s="7"/>
      <c r="Q208" s="26"/>
      <c r="R208" s="26"/>
      <c r="S208" s="38">
        <f t="shared" si="74"/>
        <v>1</v>
      </c>
      <c r="T208" s="55" t="str">
        <f t="shared" si="80"/>
        <v>NorthBound</v>
      </c>
      <c r="U208" s="14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00:11:30-0600',mode:absolute,to:'2016-08-09 02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208" s="57" t="str">
        <f t="shared" si="82"/>
        <v>Y</v>
      </c>
      <c r="X208" s="136">
        <f t="shared" si="73"/>
        <v>2</v>
      </c>
      <c r="Y208" s="72">
        <f t="shared" si="75"/>
        <v>4.6600000000000003E-2</v>
      </c>
      <c r="Z208" s="72">
        <f t="shared" si="76"/>
        <v>2.2974999999999999</v>
      </c>
      <c r="AA208" s="72">
        <f t="shared" si="83"/>
        <v>2.2508999999999997</v>
      </c>
      <c r="AB208" s="69" t="e">
        <f>VLOOKUP(A208,Enforcements!$C$7:$J$24,8,0)</f>
        <v>#N/A</v>
      </c>
      <c r="AC208" s="65" t="e">
        <f>VLOOKUP(A208,Enforcements!$C$7:$E$24,3,0)</f>
        <v>#N/A</v>
      </c>
      <c r="AD208" s="66" t="str">
        <f t="shared" si="84"/>
        <v>0311-08</v>
      </c>
      <c r="AE208" s="108" t="str">
        <f t="shared" si="85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208" s="105" t="str">
        <f t="shared" si="86"/>
        <v>"C:\Program Files (x86)\AstroGrep\AstroGrep.exe" /spath="%USERPROFILE%\AppData\Local\Temp\OnboardLogs" /stypes="*4007*20160809*" /stext=" 07:.+((SYSTEM_STATE.+slice.+state.+changed )|(ment ac)|(system.+state.+changed )|(\|lc)|(penalty)|(\[timeout)|(PRM\|1\|D)|(kpr)|(kdp))" /e /r /s</v>
      </c>
      <c r="AG208" s="1" t="str">
        <f t="shared" si="87"/>
        <v>Other</v>
      </c>
      <c r="AH208" s="109" t="str">
        <f t="shared" si="88"/>
        <v>"%USERPROFILE%\Documents\GitHub\eaglep3\Utilities\RefineRTDCRunTimes.py" --tripid 311-08 --locoid 4007 --swversion DE.1.0.7.0 --startMP 204:466 --initTime 2016-08-09T01:11:30 --startdatetime 2016-08-09T01:12:56 --delay 1 --endMP 300:22975 --enddatetime 2016-08-09T01:20:25 --enforcementcount 0</v>
      </c>
    </row>
    <row r="209" spans="1:34" x14ac:dyDescent="0.25">
      <c r="A209" s="25" t="s">
        <v>491</v>
      </c>
      <c r="B209" s="127">
        <v>4020</v>
      </c>
      <c r="C209" s="128" t="s">
        <v>141</v>
      </c>
      <c r="D209" s="128" t="s">
        <v>188</v>
      </c>
      <c r="E209" s="129">
        <v>42591.071122685185</v>
      </c>
      <c r="F209" s="129">
        <v>42591.07203703704</v>
      </c>
      <c r="G209" s="127">
        <v>1</v>
      </c>
      <c r="H209" s="129" t="s">
        <v>578</v>
      </c>
      <c r="I209" s="129">
        <v>42591.080590277779</v>
      </c>
      <c r="J209" s="127">
        <v>0</v>
      </c>
      <c r="K209" s="25" t="str">
        <f t="shared" si="78"/>
        <v>4019/4020</v>
      </c>
      <c r="L209" s="25" t="str">
        <f>VLOOKUP(A209,'Trips&amp;Operators'!$C$1:$E$10000,3,FALSE)</f>
        <v>CHANDLER</v>
      </c>
      <c r="M209" s="6">
        <f t="shared" si="79"/>
        <v>8.55324073927477E-3</v>
      </c>
      <c r="N209" s="7">
        <f t="shared" si="77"/>
        <v>12.316666664555669</v>
      </c>
      <c r="O209" s="7"/>
      <c r="P209" s="7"/>
      <c r="Q209" s="26"/>
      <c r="R209" s="26"/>
      <c r="S209" s="38">
        <f t="shared" si="74"/>
        <v>1</v>
      </c>
      <c r="T209" s="55" t="str">
        <f t="shared" si="80"/>
        <v>NorthBound</v>
      </c>
      <c r="U209" s="14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00:42:25-0600',mode:absolute,to:'2016-08-09 02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209" s="57" t="str">
        <f t="shared" si="82"/>
        <v>Y</v>
      </c>
      <c r="X209" s="136">
        <f t="shared" si="73"/>
        <v>2</v>
      </c>
      <c r="Y209" s="72">
        <f t="shared" si="75"/>
        <v>4.7100000000000003E-2</v>
      </c>
      <c r="Z209" s="72">
        <f t="shared" si="76"/>
        <v>2.3298999999999999</v>
      </c>
      <c r="AA209" s="72">
        <f t="shared" si="83"/>
        <v>2.2827999999999999</v>
      </c>
      <c r="AB209" s="69" t="e">
        <f>VLOOKUP(A209,Enforcements!$C$7:$J$24,8,0)</f>
        <v>#N/A</v>
      </c>
      <c r="AC209" s="65" t="e">
        <f>VLOOKUP(A209,Enforcements!$C$7:$E$24,3,0)</f>
        <v>#N/A</v>
      </c>
      <c r="AD209" s="66" t="str">
        <f t="shared" si="84"/>
        <v>0313-08</v>
      </c>
      <c r="AE209" s="108" t="str">
        <f t="shared" si="85"/>
        <v>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 &amp; 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</v>
      </c>
      <c r="AF209" s="105" t="str">
        <f t="shared" si="86"/>
        <v>"C:\Program Files (x86)\AstroGrep\AstroGrep.exe" /spath="%USERPROFILE%\AppData\Local\Temp\OnboardLogs" /stypes="*4020*20160809*" /stext=" 07:.+((SYSTEM_STATE.+slice.+state.+changed )|(ment ac)|(system.+state.+changed )|(\|lc)|(penalty)|(\[timeout)|(PRM\|1\|D)|(kpr)|(kdp))" /e /r /s</v>
      </c>
      <c r="AG209" s="1" t="str">
        <f t="shared" si="87"/>
        <v>Other</v>
      </c>
      <c r="AH209" s="109" t="str">
        <f t="shared" si="88"/>
        <v>"%USERPROFILE%\Documents\GitHub\eaglep3\Utilities\RefineRTDCRunTimes.py" --tripid 313-08 --locoid 4020 --swversion DE.1.0.7.0 --startMP 204:471 --initTime 2016-08-09T01:42:25 --startdatetime 2016-08-09T01:43:44 --delay 1 --endMP 300:23299 --enddatetime 2016-08-09T01:56:03 --enforcementcount 0</v>
      </c>
    </row>
    <row r="210" spans="1:34" x14ac:dyDescent="0.25">
      <c r="A210" s="25" t="s">
        <v>270</v>
      </c>
      <c r="B210" s="127">
        <v>4018</v>
      </c>
      <c r="C210" s="128" t="s">
        <v>141</v>
      </c>
      <c r="D210" s="128" t="s">
        <v>271</v>
      </c>
      <c r="E210" s="129">
        <v>42590.090416666666</v>
      </c>
      <c r="F210" s="129">
        <v>42590.091458333336</v>
      </c>
      <c r="G210" s="127">
        <v>1</v>
      </c>
      <c r="H210" s="129" t="s">
        <v>225</v>
      </c>
      <c r="I210" s="129">
        <v>42590.098645833335</v>
      </c>
      <c r="J210" s="127">
        <v>0</v>
      </c>
      <c r="K210" s="25" t="str">
        <f t="shared" si="78"/>
        <v>4017/4018</v>
      </c>
      <c r="L210" s="25" t="str">
        <f>VLOOKUP(A210,'Trips&amp;Operators'!$C$1:$E$10000,3,FALSE)</f>
        <v>CHANDLER</v>
      </c>
      <c r="M210" s="6">
        <f t="shared" si="79"/>
        <v>7.1874999994179234E-3</v>
      </c>
      <c r="N210" s="7">
        <f t="shared" si="77"/>
        <v>10.34999999916181</v>
      </c>
      <c r="O210" s="7"/>
      <c r="P210" s="7"/>
      <c r="Q210" s="26"/>
      <c r="R210" s="26"/>
      <c r="S210" s="38">
        <f t="shared" si="74"/>
        <v>1</v>
      </c>
      <c r="T210" s="55" t="str">
        <f t="shared" si="80"/>
        <v>NorthBound</v>
      </c>
      <c r="U210" s="14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01:10:12-0600',mode:absolute,to:'2016-08-08 03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210" s="57" t="str">
        <f t="shared" si="82"/>
        <v>Y</v>
      </c>
      <c r="X210" s="136">
        <f t="shared" si="73"/>
        <v>2</v>
      </c>
      <c r="Y210" s="72">
        <f t="shared" si="75"/>
        <v>4.8000000000000001E-2</v>
      </c>
      <c r="Z210" s="72">
        <f t="shared" si="76"/>
        <v>2.3306</v>
      </c>
      <c r="AA210" s="72">
        <f t="shared" si="83"/>
        <v>2.2826</v>
      </c>
      <c r="AB210" s="69" t="e">
        <f>VLOOKUP(A210,Enforcements!$C$7:$J$24,8,0)</f>
        <v>#N/A</v>
      </c>
      <c r="AC210" s="65" t="e">
        <f>VLOOKUP(A210,Enforcements!$C$7:$E$24,3,0)</f>
        <v>#N/A</v>
      </c>
      <c r="AD210" s="66" t="str">
        <f t="shared" si="84"/>
        <v>0315-07</v>
      </c>
      <c r="AE210" s="108" t="str">
        <f t="shared" si="85"/>
        <v>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 &amp; 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</v>
      </c>
      <c r="AF210" s="105" t="str">
        <f t="shared" si="86"/>
        <v>"C:\Program Files (x86)\AstroGrep\AstroGrep.exe" /spath="%USERPROFILE%\AppData\Local\Temp\OnboardLogs" /stypes="*4018*20160808*" /stext=" 08:.+((SYSTEM_STATE.+slice.+state.+changed )|(ment ac)|(system.+state.+changed )|(\|lc)|(penalty)|(\[timeout)|(PRM\|1\|D)|(kpr)|(kdp))" /e /r /s</v>
      </c>
      <c r="AG210" s="1" t="str">
        <f t="shared" si="87"/>
        <v>Other</v>
      </c>
      <c r="AH210" s="109" t="str">
        <f t="shared" si="88"/>
        <v>"%USERPROFILE%\Documents\GitHub\eaglep3\Utilities\RefineRTDCRunTimes.py" --tripid 315-07 --locoid 4018 --swversion DE.1.0.7.0 --startMP 204:480 --initTime 2016-08-08T02:10:12 --startdatetime 2016-08-08T02:11:42 --delay 1 --endMP 300:23306 --enddatetime 2016-08-08T02:22:03 --enforcementcount 0</v>
      </c>
    </row>
    <row r="211" spans="1:34" x14ac:dyDescent="0.25">
      <c r="A211" s="25" t="s">
        <v>492</v>
      </c>
      <c r="B211" s="127">
        <v>4027</v>
      </c>
      <c r="C211" s="128" t="s">
        <v>141</v>
      </c>
      <c r="D211" s="128" t="s">
        <v>580</v>
      </c>
      <c r="E211" s="129">
        <v>42591.089328703703</v>
      </c>
      <c r="F211" s="129">
        <v>42591.090081018519</v>
      </c>
      <c r="G211" s="127">
        <v>1</v>
      </c>
      <c r="H211" s="129" t="s">
        <v>581</v>
      </c>
      <c r="I211" s="129">
        <v>42591.096203703702</v>
      </c>
      <c r="J211" s="127">
        <v>0</v>
      </c>
      <c r="K211" s="25" t="str">
        <f t="shared" si="78"/>
        <v>4027/4028</v>
      </c>
      <c r="L211" s="25" t="str">
        <f>VLOOKUP(A211,'Trips&amp;Operators'!$C$1:$E$10000,3,FALSE)</f>
        <v>STORY</v>
      </c>
      <c r="M211" s="6">
        <f t="shared" si="79"/>
        <v>6.1226851830724627E-3</v>
      </c>
      <c r="N211" s="7">
        <f t="shared" si="77"/>
        <v>8.8166666636243463</v>
      </c>
      <c r="O211" s="7"/>
      <c r="P211" s="7"/>
      <c r="Q211" s="26"/>
      <c r="R211" s="26"/>
      <c r="S211" s="38">
        <f t="shared" si="74"/>
        <v>1</v>
      </c>
      <c r="T211" s="55" t="str">
        <f t="shared" si="80"/>
        <v>NorthBound</v>
      </c>
      <c r="U211" s="14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01:08:38-0600',mode:absolute,to:'2016-08-09 03:18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211" s="57" t="str">
        <f t="shared" si="82"/>
        <v>Y</v>
      </c>
      <c r="X211" s="136">
        <f t="shared" si="73"/>
        <v>0</v>
      </c>
      <c r="Y211" s="72">
        <f t="shared" si="75"/>
        <v>5.1900000000000002E-2</v>
      </c>
      <c r="Z211" s="72">
        <f t="shared" si="76"/>
        <v>2.3048999999999999</v>
      </c>
      <c r="AA211" s="72">
        <f t="shared" si="83"/>
        <v>2.2530000000000001</v>
      </c>
      <c r="AB211" s="69" t="e">
        <f>VLOOKUP(A211,Enforcements!$C$7:$J$24,8,0)</f>
        <v>#N/A</v>
      </c>
      <c r="AC211" s="65" t="e">
        <f>VLOOKUP(A211,Enforcements!$C$7:$E$24,3,0)</f>
        <v>#N/A</v>
      </c>
      <c r="AD211" s="66" t="str">
        <f t="shared" si="84"/>
        <v>0315-08</v>
      </c>
      <c r="AE211" s="108" t="str">
        <f t="shared" si="85"/>
        <v>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 &amp; aws s3 cp s3://rtdc.mdm.uploadarchive/RTDC4027/2016-08-10/ "%USERPROFILE%\AppData\Local\Temp\OnboardLogs"\RTDC4027\2016-08-10 --recursive &amp; "%USERPROFILE%\Documents\GitHub\mrs-test-scripts\Headless Mode &amp; Sideloading\WalkAndUnGZ.bat" "%USERPROFILE%\AppData\Local\Temp\OnboardLogs"\RTDC4027\2016-08-10</v>
      </c>
      <c r="AF211" s="105" t="str">
        <f t="shared" si="86"/>
        <v>"C:\Program Files (x86)\AstroGrep\AstroGrep.exe" /spath="%USERPROFILE%\AppData\Local\Temp\OnboardLogs" /stypes="*4027*20160809*" /stext=" 08:.+((SYSTEM_STATE.+slice.+state.+changed )|(ment ac)|(system.+state.+changed )|(\|lc)|(penalty)|(\[timeout)|(PRM\|1\|D)|(kpr)|(kdp))" /e /r /s</v>
      </c>
      <c r="AG211" s="1" t="str">
        <f t="shared" si="87"/>
        <v>Other</v>
      </c>
      <c r="AH211" s="109" t="str">
        <f t="shared" si="88"/>
        <v>"%USERPROFILE%\Documents\GitHub\eaglep3\Utilities\RefineRTDCRunTimes.py" --tripid 315-08 --locoid 4027 --swversion DE.1.0.7.0 --startMP 204:519 --initTime 2016-08-09T02:08:38 --startdatetime 2016-08-09T02:09:43 --delay 1 --endMP 300:23049 --enddatetime 2016-08-09T02:18:32 --enforcementcount 0</v>
      </c>
    </row>
    <row r="212" spans="1:34" x14ac:dyDescent="0.25">
      <c r="A212" s="25" t="s">
        <v>341</v>
      </c>
      <c r="B212" s="127">
        <v>4016</v>
      </c>
      <c r="C212" s="128" t="s">
        <v>141</v>
      </c>
      <c r="D212" s="128" t="s">
        <v>638</v>
      </c>
      <c r="E212" s="129">
        <v>42590.196087962962</v>
      </c>
      <c r="F212" s="129">
        <v>42590.197314814817</v>
      </c>
      <c r="G212" s="127">
        <v>1</v>
      </c>
      <c r="H212" s="129" t="s">
        <v>639</v>
      </c>
      <c r="I212" s="129">
        <v>42590.198217592595</v>
      </c>
      <c r="J212" s="127">
        <v>0</v>
      </c>
      <c r="K212" s="25" t="str">
        <f t="shared" si="78"/>
        <v>4015/4016</v>
      </c>
      <c r="L212" s="25" t="str">
        <f>VLOOKUP(A212,'Trips&amp;Operators'!$C$1:$E$10000,3,FALSE)</f>
        <v>DAVIS</v>
      </c>
      <c r="M212" s="6">
        <f t="shared" si="79"/>
        <v>9.0277777781011537E-4</v>
      </c>
      <c r="N212" s="7">
        <f t="shared" si="77"/>
        <v>1.3000000000465661</v>
      </c>
      <c r="O212" s="7"/>
      <c r="P212" s="7"/>
      <c r="Q212" s="26"/>
      <c r="R212" s="26"/>
      <c r="S212" s="38">
        <f t="shared" si="74"/>
        <v>0</v>
      </c>
      <c r="T212" s="55" t="str">
        <f t="shared" si="80"/>
        <v>NorthBound</v>
      </c>
      <c r="U212" s="14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03:42:22-0600',mode:absolute,to:'2016-08-08 05:45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12" s="57" t="str">
        <f t="shared" si="82"/>
        <v>Y</v>
      </c>
      <c r="X212" s="136">
        <f t="shared" si="73"/>
        <v>586</v>
      </c>
      <c r="Y212" s="72">
        <f t="shared" si="75"/>
        <v>2.8563000000000001</v>
      </c>
      <c r="Z212" s="72">
        <f t="shared" si="76"/>
        <v>2.8826999999999998</v>
      </c>
      <c r="AA212" s="72">
        <f t="shared" si="83"/>
        <v>2.6399999999999757E-2</v>
      </c>
      <c r="AB212" s="69" t="e">
        <f>VLOOKUP(A212,Enforcements!$C$7:$J$24,8,0)</f>
        <v>#N/A</v>
      </c>
      <c r="AC212" s="65" t="e">
        <f>VLOOKUP(A212,Enforcements!$C$7:$E$24,3,0)</f>
        <v>#N/A</v>
      </c>
      <c r="AD212" s="66" t="str">
        <f t="shared" si="84"/>
        <v>0901-08</v>
      </c>
      <c r="AE212" s="108" t="str">
        <f t="shared" si="85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212" s="105" t="str">
        <f t="shared" si="86"/>
        <v>"C:\Program Files (x86)\AstroGrep\AstroGrep.exe" /spath="%USERPROFILE%\AppData\Local\Temp\OnboardLogs" /stypes="*4016*20160808*" /stext=" 10:.+((SYSTEM_STATE.+slice.+state.+changed )|(ment ac)|(system.+state.+changed )|(\|lc)|(penalty)|(\[timeout)|(PRM\|1\|D)|(kpr)|(kdp))" /e /r /s</v>
      </c>
      <c r="AG212" s="1" t="str">
        <f t="shared" si="87"/>
        <v>Other</v>
      </c>
      <c r="AH212" s="109" t="str">
        <f t="shared" si="88"/>
        <v>"%USERPROFILE%\Documents\GitHub\eaglep3\Utilities\RefineRTDCRunTimes.py" --tripid 901-08 --locoid 4016 --swversion DE.1.0.7.0 --startMP 300:28563 --initTime 2016-08-08T04:42:22 --startdatetime 2016-08-08T04:44:08 --delay 1 --endMP 300:28827 --enddatetime 2016-08-08T04:45:26 --enforcementcount 0</v>
      </c>
    </row>
    <row r="213" spans="1:34" x14ac:dyDescent="0.25">
      <c r="A213" s="25" t="s">
        <v>341</v>
      </c>
      <c r="B213" s="127">
        <v>4016</v>
      </c>
      <c r="C213" s="128" t="s">
        <v>141</v>
      </c>
      <c r="D213" s="128" t="s">
        <v>640</v>
      </c>
      <c r="E213" s="129">
        <v>42590.190486111111</v>
      </c>
      <c r="F213" s="129">
        <v>42590.194780092592</v>
      </c>
      <c r="G213" s="127">
        <v>6</v>
      </c>
      <c r="H213" s="129" t="s">
        <v>639</v>
      </c>
      <c r="I213" s="129">
        <v>42590.198217592595</v>
      </c>
      <c r="J213" s="127">
        <v>0</v>
      </c>
      <c r="K213" s="25" t="str">
        <f t="shared" si="78"/>
        <v>4015/4016</v>
      </c>
      <c r="L213" s="25" t="str">
        <f>VLOOKUP(A213,'Trips&amp;Operators'!$C$1:$E$10000,3,FALSE)</f>
        <v>DAVIS</v>
      </c>
      <c r="M213" s="6">
        <f t="shared" si="79"/>
        <v>3.4375000032014214E-3</v>
      </c>
      <c r="N213" s="7">
        <f t="shared" si="77"/>
        <v>4.9500000046100467</v>
      </c>
      <c r="O213" s="7"/>
      <c r="P213" s="7"/>
      <c r="Q213" s="26"/>
      <c r="R213" s="26"/>
      <c r="S213" s="38">
        <f t="shared" si="74"/>
        <v>0</v>
      </c>
      <c r="T213" s="55" t="str">
        <f t="shared" si="80"/>
        <v>NorthBound</v>
      </c>
      <c r="U213" s="14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03:34:18-0600',mode:absolute,to:'2016-08-08 05:45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13" s="57" t="str">
        <f t="shared" si="82"/>
        <v>Y</v>
      </c>
      <c r="X213" s="136">
        <f t="shared" si="73"/>
        <v>0</v>
      </c>
      <c r="Y213" s="72">
        <f t="shared" si="75"/>
        <v>2.8565999999999998</v>
      </c>
      <c r="Z213" s="72">
        <f t="shared" si="76"/>
        <v>2.8826999999999998</v>
      </c>
      <c r="AA213" s="72">
        <f t="shared" si="83"/>
        <v>2.6100000000000012E-2</v>
      </c>
      <c r="AB213" s="69" t="e">
        <f>VLOOKUP(A213,Enforcements!$C$7:$J$24,8,0)</f>
        <v>#N/A</v>
      </c>
      <c r="AC213" s="65" t="e">
        <f>VLOOKUP(A213,Enforcements!$C$7:$E$24,3,0)</f>
        <v>#N/A</v>
      </c>
      <c r="AD213" s="66" t="str">
        <f t="shared" si="84"/>
        <v>0901-08</v>
      </c>
      <c r="AE213" s="108" t="str">
        <f t="shared" si="85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213" s="105" t="str">
        <f t="shared" si="86"/>
        <v>"C:\Program Files (x86)\AstroGrep\AstroGrep.exe" /spath="%USERPROFILE%\AppData\Local\Temp\OnboardLogs" /stypes="*4016*20160808*" /stext=" 10:.+((SYSTEM_STATE.+slice.+state.+changed )|(ment ac)|(system.+state.+changed )|(\|lc)|(penalty)|(\[timeout)|(PRM\|1\|D)|(kpr)|(kdp))" /e /r /s</v>
      </c>
      <c r="AG213" s="1" t="str">
        <f t="shared" si="87"/>
        <v>Other</v>
      </c>
      <c r="AH213" s="109" t="str">
        <f t="shared" si="88"/>
        <v>"%USERPROFILE%\Documents\GitHub\eaglep3\Utilities\RefineRTDCRunTimes.py" --tripid 901-08 --locoid 4016 --swversion DE.1.0.7.0 --startMP 300:28566 --initTime 2016-08-08T04:34:18 --startdatetime 2016-08-08T04:40:29 --delay 6 --endMP 300:28827 --enddatetime 2016-08-08T04:45:26 --enforcementcount 0</v>
      </c>
    </row>
    <row r="214" spans="1:34" x14ac:dyDescent="0.25">
      <c r="A214" s="25" t="s">
        <v>349</v>
      </c>
      <c r="B214" s="127">
        <v>4039</v>
      </c>
      <c r="C214" s="128" t="s">
        <v>141</v>
      </c>
      <c r="D214" s="128" t="s">
        <v>641</v>
      </c>
      <c r="E214" s="129">
        <v>42590.248020833336</v>
      </c>
      <c r="F214" s="129">
        <v>42590.25204861111</v>
      </c>
      <c r="G214" s="127">
        <v>5</v>
      </c>
      <c r="H214" s="129" t="s">
        <v>251</v>
      </c>
      <c r="I214" s="129">
        <v>42590.258217592593</v>
      </c>
      <c r="J214" s="127">
        <v>0</v>
      </c>
      <c r="K214" s="25" t="str">
        <f t="shared" si="78"/>
        <v>4039/4040</v>
      </c>
      <c r="L214" s="25" t="str">
        <f>VLOOKUP(A214,'Trips&amp;Operators'!$C$1:$E$10000,3,FALSE)</f>
        <v>GRASTON</v>
      </c>
      <c r="M214" s="6">
        <f t="shared" si="79"/>
        <v>6.1689814829151146E-3</v>
      </c>
      <c r="N214" s="7">
        <f t="shared" si="77"/>
        <v>8.883333335397765</v>
      </c>
      <c r="O214" s="7"/>
      <c r="P214" s="7"/>
      <c r="Q214" s="26"/>
      <c r="R214" s="26"/>
      <c r="S214" s="38">
        <f t="shared" si="74"/>
        <v>1</v>
      </c>
      <c r="T214" s="55" t="str">
        <f t="shared" si="80"/>
        <v>Southbound</v>
      </c>
      <c r="U214" s="14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04:57:09-0600',mode:absolute,to:'2016-08-08 07:11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214" s="57" t="str">
        <f t="shared" si="82"/>
        <v>Y</v>
      </c>
      <c r="X214" s="136">
        <f t="shared" si="73"/>
        <v>1</v>
      </c>
      <c r="Y214" s="72">
        <f t="shared" si="75"/>
        <v>2.2343999999999999</v>
      </c>
      <c r="Z214" s="72">
        <f t="shared" si="76"/>
        <v>6.6400000000000001E-2</v>
      </c>
      <c r="AA214" s="72">
        <f t="shared" si="83"/>
        <v>2.1680000000000001</v>
      </c>
      <c r="AB214" s="69" t="e">
        <f>VLOOKUP(A214,Enforcements!$C$7:$J$24,8,0)</f>
        <v>#N/A</v>
      </c>
      <c r="AC214" s="65" t="e">
        <f>VLOOKUP(A214,Enforcements!$C$7:$E$24,3,0)</f>
        <v>#N/A</v>
      </c>
      <c r="AD214" s="66" t="str">
        <f t="shared" si="84"/>
        <v>0902-08</v>
      </c>
      <c r="AE214" s="108" t="str">
        <f t="shared" si="85"/>
        <v>aws s3 cp s3://rtdc.mdm.uploadarchive/RTDC4039/2016-08-08/ "%USERPROFILE%\AppData\Local\Temp\OnboardLogs"\RTDC4039\2016-08-08 --recursive &amp; "%USERPROFILE%\Documents\GitHub\mrs-test-scripts\Headless Mode &amp; Sideloading\WalkAndUnGZ.bat" "%USERPROFILE%\AppData\Local\Temp\OnboardLogs"\RTDC4039\2016-08-08 &amp; 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</v>
      </c>
      <c r="AF214" s="105" t="str">
        <f t="shared" si="86"/>
        <v>"C:\Program Files (x86)\AstroGrep\AstroGrep.exe" /spath="%USERPROFILE%\AppData\Local\Temp\OnboardLogs" /stypes="*4039*20160808*" /stext=" 12:.+((SYSTEM_STATE.+slice.+state.+changed )|(ment ac)|(system.+state.+changed )|(\|lc)|(penalty)|(\[timeout)|(PRM\|1\|D)|(kpr)|(kdp))" /e /r /s</v>
      </c>
      <c r="AG214" s="1" t="str">
        <f t="shared" si="87"/>
        <v>Other</v>
      </c>
      <c r="AH214" s="109" t="str">
        <f t="shared" si="88"/>
        <v>"%USERPROFILE%\Documents\GitHub\eaglep3\Utilities\RefineRTDCRunTimes.py" --tripid 902-08 --locoid 4039 --swversion DE.1.0.7.0 --startMP 300:22344 --initTime 2016-08-08T05:57:09 --startdatetime 2016-08-08T06:02:57 --delay 5 --endMP 204:664 --enddatetime 2016-08-08T06:11:50 --enforcementcount 0</v>
      </c>
    </row>
    <row r="215" spans="1:34" x14ac:dyDescent="0.25">
      <c r="A215" s="25" t="s">
        <v>435</v>
      </c>
      <c r="B215" s="127">
        <v>4015</v>
      </c>
      <c r="C215" s="128" t="s">
        <v>141</v>
      </c>
      <c r="D215" s="128" t="s">
        <v>642</v>
      </c>
      <c r="E215" s="129">
        <v>42590.647199074076</v>
      </c>
      <c r="F215" s="129">
        <v>42590.651631944442</v>
      </c>
      <c r="G215" s="127">
        <v>6</v>
      </c>
      <c r="H215" s="129" t="s">
        <v>259</v>
      </c>
      <c r="I215" s="129">
        <v>42590.658159722225</v>
      </c>
      <c r="J215" s="127">
        <v>0</v>
      </c>
      <c r="K215" s="25" t="str">
        <f t="shared" si="78"/>
        <v>4015/4016</v>
      </c>
      <c r="L215" s="25" t="str">
        <f>VLOOKUP(A215,'Trips&amp;Operators'!$C$1:$E$10000,3,FALSE)</f>
        <v>COOLAHAN</v>
      </c>
      <c r="M215" s="6">
        <f t="shared" si="79"/>
        <v>6.5277777830488048E-3</v>
      </c>
      <c r="N215" s="7">
        <f t="shared" si="77"/>
        <v>9.400000007590279</v>
      </c>
      <c r="O215" s="7"/>
      <c r="P215" s="7"/>
      <c r="Q215" s="26"/>
      <c r="R215" s="26"/>
      <c r="S215" s="38">
        <f t="shared" si="74"/>
        <v>1</v>
      </c>
      <c r="T215" s="55" t="str">
        <f t="shared" si="80"/>
        <v>Southbound</v>
      </c>
      <c r="U215" s="14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14:31:58-0600',mode:absolute,to:'2016-08-08 16:47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215" s="57" t="str">
        <f t="shared" si="82"/>
        <v>Y</v>
      </c>
      <c r="X215" s="136">
        <f t="shared" si="73"/>
        <v>2</v>
      </c>
      <c r="Y215" s="72">
        <f t="shared" si="75"/>
        <v>2.2681</v>
      </c>
      <c r="Z215" s="72">
        <f t="shared" si="76"/>
        <v>6.8500000000000005E-2</v>
      </c>
      <c r="AA215" s="72">
        <f t="shared" si="83"/>
        <v>2.1996000000000002</v>
      </c>
      <c r="AB215" s="69" t="e">
        <f>VLOOKUP(A215,Enforcements!$C$7:$J$24,8,0)</f>
        <v>#N/A</v>
      </c>
      <c r="AC215" s="65" t="e">
        <f>VLOOKUP(A215,Enforcements!$C$7:$E$24,3,0)</f>
        <v>#N/A</v>
      </c>
      <c r="AD215" s="66" t="str">
        <f t="shared" si="84"/>
        <v>0904-08</v>
      </c>
      <c r="AE215" s="108" t="str">
        <f t="shared" si="85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215" s="105" t="str">
        <f t="shared" si="86"/>
        <v>"C:\Program Files (x86)\AstroGrep\AstroGrep.exe" /spath="%USERPROFILE%\AppData\Local\Temp\OnboardLogs" /stypes="*4015*20160808*" /stext=" 21:.+((SYSTEM_STATE.+slice.+state.+changed )|(ment ac)|(system.+state.+changed )|(\|lc)|(penalty)|(\[timeout)|(PRM\|1\|D)|(kpr)|(kdp))" /e /r /s</v>
      </c>
      <c r="AG215" s="1" t="str">
        <f t="shared" si="87"/>
        <v>Other</v>
      </c>
      <c r="AH215" s="109" t="str">
        <f t="shared" si="88"/>
        <v>"%USERPROFILE%\Documents\GitHub\eaglep3\Utilities\RefineRTDCRunTimes.py" --tripid 904-08 --locoid 4015 --swversion DE.1.0.7.0 --startMP 300:22681 --initTime 2016-08-08T15:31:58 --startdatetime 2016-08-08T15:38:21 --delay 6 --endMP 204:685 --enddatetime 2016-08-08T15:47:45 --enforcementcount 0</v>
      </c>
    </row>
    <row r="216" spans="1:34" x14ac:dyDescent="0.25">
      <c r="A216" s="25" t="s">
        <v>463</v>
      </c>
      <c r="B216" s="127">
        <v>4015</v>
      </c>
      <c r="C216" s="128" t="s">
        <v>141</v>
      </c>
      <c r="D216" s="128" t="s">
        <v>643</v>
      </c>
      <c r="E216" s="129">
        <v>42590.797071759262</v>
      </c>
      <c r="F216" s="129">
        <v>42590.798611111109</v>
      </c>
      <c r="G216" s="127">
        <v>2</v>
      </c>
      <c r="H216" s="129" t="s">
        <v>644</v>
      </c>
      <c r="I216" s="129">
        <v>42590.805995370371</v>
      </c>
      <c r="J216" s="127">
        <v>0</v>
      </c>
      <c r="K216" s="25" t="str">
        <f t="shared" si="78"/>
        <v>4015/4016</v>
      </c>
      <c r="L216" s="25" t="str">
        <f>VLOOKUP(A216,'Trips&amp;Operators'!$C$1:$E$10000,3,FALSE)</f>
        <v>COOLAHAN</v>
      </c>
      <c r="M216" s="6">
        <f t="shared" si="79"/>
        <v>7.3842592610162683E-3</v>
      </c>
      <c r="N216" s="7">
        <f t="shared" si="77"/>
        <v>10.633333335863426</v>
      </c>
      <c r="O216" s="7"/>
      <c r="P216" s="7"/>
      <c r="Q216" s="26"/>
      <c r="R216" s="26"/>
      <c r="S216" s="38">
        <f t="shared" si="74"/>
        <v>0</v>
      </c>
      <c r="T216" s="55" t="str">
        <f t="shared" si="80"/>
        <v>Southbound</v>
      </c>
      <c r="U216" s="14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18:07:47-0600',mode:absolute,to:'2016-08-08 20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216" s="57" t="str">
        <f t="shared" si="82"/>
        <v>Y</v>
      </c>
      <c r="X216" s="136">
        <f t="shared" si="73"/>
        <v>2</v>
      </c>
      <c r="Y216" s="72">
        <f t="shared" si="75"/>
        <v>5.8688000000000002</v>
      </c>
      <c r="Z216" s="72">
        <f t="shared" si="76"/>
        <v>2.8793000000000002</v>
      </c>
      <c r="AA216" s="72">
        <f t="shared" si="83"/>
        <v>2.9895</v>
      </c>
      <c r="AB216" s="69" t="e">
        <f>VLOOKUP(A216,Enforcements!$C$7:$J$24,8,0)</f>
        <v>#N/A</v>
      </c>
      <c r="AC216" s="65" t="e">
        <f>VLOOKUP(A216,Enforcements!$C$7:$E$24,3,0)</f>
        <v>#N/A</v>
      </c>
      <c r="AD216" s="66" t="str">
        <f t="shared" si="84"/>
        <v>0906-08</v>
      </c>
      <c r="AE216" s="108" t="str">
        <f t="shared" si="85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216" s="105" t="str">
        <f t="shared" si="86"/>
        <v>"C:\Program Files (x86)\AstroGrep\AstroGrep.exe" /spath="%USERPROFILE%\AppData\Local\Temp\OnboardLogs" /stypes="*4015*20160809*" /stext=" 01:.+((SYSTEM_STATE.+slice.+state.+changed )|(ment ac)|(system.+state.+changed )|(\|lc)|(penalty)|(\[timeout)|(PRM\|1\|D)|(kpr)|(kdp))" /e /r /s</v>
      </c>
      <c r="AG216" s="1" t="str">
        <f t="shared" si="87"/>
        <v>Other</v>
      </c>
      <c r="AH216" s="109" t="str">
        <f t="shared" si="88"/>
        <v>"%USERPROFILE%\Documents\GitHub\eaglep3\Utilities\RefineRTDCRunTimes.py" --tripid 906-08 --locoid 4015 --swversion DE.1.0.7.0 --startMP 300:58688 --initTime 2016-08-08T19:07:47 --startdatetime 2016-08-08T19:10:00 --delay 2 --endMP 300:28793 --enddatetime 2016-08-08T19:20:38 --enforcementcount 0</v>
      </c>
    </row>
    <row r="217" spans="1:34" x14ac:dyDescent="0.25">
      <c r="A217" s="25" t="s">
        <v>479</v>
      </c>
      <c r="B217" s="127">
        <v>4032</v>
      </c>
      <c r="C217" s="128" t="s">
        <v>141</v>
      </c>
      <c r="D217" s="128" t="s">
        <v>645</v>
      </c>
      <c r="E217" s="129">
        <v>42590.942662037036</v>
      </c>
      <c r="F217" s="129">
        <v>42590.944201388891</v>
      </c>
      <c r="G217" s="127">
        <v>2</v>
      </c>
      <c r="H217" s="129" t="s">
        <v>646</v>
      </c>
      <c r="I217" s="129">
        <v>42590.951840277776</v>
      </c>
      <c r="J217" s="127">
        <v>0</v>
      </c>
      <c r="K217" s="25" t="str">
        <f t="shared" si="78"/>
        <v>4031/4032</v>
      </c>
      <c r="L217" s="25" t="str">
        <f>VLOOKUP(A217,'Trips&amp;Operators'!$C$1:$E$10000,3,FALSE)</f>
        <v>COOLAHAN</v>
      </c>
      <c r="M217" s="6">
        <f t="shared" si="79"/>
        <v>7.6388888846850023E-3</v>
      </c>
      <c r="N217" s="7">
        <f t="shared" si="77"/>
        <v>10.999999993946403</v>
      </c>
      <c r="O217" s="7"/>
      <c r="P217" s="7"/>
      <c r="Q217" s="26"/>
      <c r="R217" s="26"/>
      <c r="S217" s="38">
        <f t="shared" si="74"/>
        <v>0</v>
      </c>
      <c r="T217" s="55" t="str">
        <f t="shared" si="80"/>
        <v>Southbound</v>
      </c>
      <c r="U217" s="14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21:37:26-0600',mode:absolute,to:'2016-08-08 23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217" s="57" t="str">
        <f t="shared" si="82"/>
        <v>Y</v>
      </c>
      <c r="X217" s="136">
        <f t="shared" si="73"/>
        <v>2</v>
      </c>
      <c r="Y217" s="72">
        <f t="shared" si="75"/>
        <v>5.8691000000000004</v>
      </c>
      <c r="Z217" s="72">
        <f t="shared" si="76"/>
        <v>2.1768999999999998</v>
      </c>
      <c r="AA217" s="72">
        <f t="shared" si="83"/>
        <v>3.6922000000000006</v>
      </c>
      <c r="AB217" s="69" t="e">
        <f>VLOOKUP(A217,Enforcements!$C$7:$J$24,8,0)</f>
        <v>#N/A</v>
      </c>
      <c r="AC217" s="65" t="e">
        <f>VLOOKUP(A217,Enforcements!$C$7:$E$24,3,0)</f>
        <v>#N/A</v>
      </c>
      <c r="AD217" s="66" t="str">
        <f t="shared" si="84"/>
        <v>0908-08</v>
      </c>
      <c r="AE217" s="108" t="str">
        <f t="shared" si="85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217" s="105" t="str">
        <f t="shared" si="86"/>
        <v>"C:\Program Files (x86)\AstroGrep\AstroGrep.exe" /spath="%USERPROFILE%\AppData\Local\Temp\OnboardLogs" /stypes="*4032*20160809*" /stext=" 04:.+((SYSTEM_STATE.+slice.+state.+changed )|(ment ac)|(system.+state.+changed )|(\|lc)|(penalty)|(\[timeout)|(PRM\|1\|D)|(kpr)|(kdp))" /e /r /s</v>
      </c>
      <c r="AG217" s="1" t="str">
        <f t="shared" si="87"/>
        <v>Other</v>
      </c>
      <c r="AH217" s="109" t="str">
        <f t="shared" si="88"/>
        <v>"%USERPROFILE%\Documents\GitHub\eaglep3\Utilities\RefineRTDCRunTimes.py" --tripid 908-08 --locoid 4032 --swversion DE.1.0.7.0 --startMP 300:58691 --initTime 2016-08-08T22:37:26 --startdatetime 2016-08-08T22:39:39 --delay 2 --endMP 300:21769 --enddatetime 2016-08-08T22:50:39 --enforcementcount 0</v>
      </c>
    </row>
  </sheetData>
  <autoFilter ref="A12:AG217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44" priority="151" operator="equal">
      <formula>"Y"</formula>
    </cfRule>
  </conditionalFormatting>
  <conditionalFormatting sqref="X13:X1048576">
    <cfRule type="cellIs" dxfId="43" priority="134" operator="greaterThan">
      <formula>1</formula>
    </cfRule>
  </conditionalFormatting>
  <conditionalFormatting sqref="X12:X1048576">
    <cfRule type="cellIs" dxfId="42" priority="131" operator="equal">
      <formula>0</formula>
    </cfRule>
  </conditionalFormatting>
  <conditionalFormatting sqref="O13:O42 Q13:S42 Q44:S46 O44:O46 O48:O120 Q48:S120 A13:M217 N48:N217 O121:S217">
    <cfRule type="expression" dxfId="41" priority="127">
      <formula>$O13&gt;0</formula>
    </cfRule>
  </conditionalFormatting>
  <conditionalFormatting sqref="O13:O42 Q13:S42 Q44:S46 O44:O46 O48:O120 Q48:S120 A13:M217 N48:N217 O121:S217">
    <cfRule type="expression" dxfId="40" priority="126">
      <formula>$P13&gt;0</formula>
    </cfRule>
  </conditionalFormatting>
  <conditionalFormatting sqref="P13:P20 P26:P29 P33:P42 P44:P46 P48:P119">
    <cfRule type="expression" dxfId="39" priority="69">
      <formula>$O13&gt;0</formula>
    </cfRule>
  </conditionalFormatting>
  <conditionalFormatting sqref="P13:P20 P26:P29 P33:P42 P44:P46 P48:P119">
    <cfRule type="expression" dxfId="38" priority="68">
      <formula>$P13&gt;0</formula>
    </cfRule>
  </conditionalFormatting>
  <conditionalFormatting sqref="N13:N42 N44:N46">
    <cfRule type="expression" dxfId="37" priority="66">
      <formula>$O13&gt;0</formula>
    </cfRule>
  </conditionalFormatting>
  <conditionalFormatting sqref="N13:N42 N44:N46">
    <cfRule type="expression" dxfId="36" priority="65">
      <formula>$P13&gt;0</formula>
    </cfRule>
  </conditionalFormatting>
  <conditionalFormatting sqref="P21:P25">
    <cfRule type="expression" dxfId="35" priority="30">
      <formula>$O21&gt;0</formula>
    </cfRule>
  </conditionalFormatting>
  <conditionalFormatting sqref="P21:P25">
    <cfRule type="expression" dxfId="34" priority="29">
      <formula>$P21&gt;0</formula>
    </cfRule>
  </conditionalFormatting>
  <conditionalFormatting sqref="P31:P32">
    <cfRule type="expression" dxfId="33" priority="24">
      <formula>$O31&gt;0</formula>
    </cfRule>
  </conditionalFormatting>
  <conditionalFormatting sqref="P31:P32">
    <cfRule type="expression" dxfId="32" priority="23">
      <formula>$P31&gt;0</formula>
    </cfRule>
  </conditionalFormatting>
  <conditionalFormatting sqref="P43">
    <cfRule type="expression" dxfId="31" priority="15">
      <formula>$O43&gt;0</formula>
    </cfRule>
  </conditionalFormatting>
  <conditionalFormatting sqref="P43">
    <cfRule type="expression" dxfId="30" priority="14">
      <formula>$P43&gt;0</formula>
    </cfRule>
  </conditionalFormatting>
  <conditionalFormatting sqref="O47 Q47:S47">
    <cfRule type="expression" dxfId="29" priority="12">
      <formula>$O47&gt;0</formula>
    </cfRule>
  </conditionalFormatting>
  <conditionalFormatting sqref="O47 Q47:S47">
    <cfRule type="expression" dxfId="28" priority="11">
      <formula>$P47&gt;0</formula>
    </cfRule>
  </conditionalFormatting>
  <conditionalFormatting sqref="P30">
    <cfRule type="expression" dxfId="27" priority="27">
      <formula>$O30&gt;0</formula>
    </cfRule>
  </conditionalFormatting>
  <conditionalFormatting sqref="P30">
    <cfRule type="expression" dxfId="26" priority="26">
      <formula>$P30&gt;0</formula>
    </cfRule>
  </conditionalFormatting>
  <conditionalFormatting sqref="P120">
    <cfRule type="expression" dxfId="25" priority="3">
      <formula>$O120&gt;0</formula>
    </cfRule>
  </conditionalFormatting>
  <conditionalFormatting sqref="P120">
    <cfRule type="expression" dxfId="24" priority="2">
      <formula>$P120&gt;0</formula>
    </cfRule>
  </conditionalFormatting>
  <conditionalFormatting sqref="N47">
    <cfRule type="expression" dxfId="23" priority="9">
      <formula>$O47&gt;0</formula>
    </cfRule>
  </conditionalFormatting>
  <conditionalFormatting sqref="N47">
    <cfRule type="expression" dxfId="22" priority="8">
      <formula>$P47&gt;0</formula>
    </cfRule>
  </conditionalFormatting>
  <conditionalFormatting sqref="P47">
    <cfRule type="expression" dxfId="21" priority="6">
      <formula>$O47&gt;0</formula>
    </cfRule>
  </conditionalFormatting>
  <conditionalFormatting sqref="P47">
    <cfRule type="expression" dxfId="20" priority="5">
      <formula>$P47&gt;0</formula>
    </cfRule>
  </conditionalFormatting>
  <conditionalFormatting sqref="O43 Q43:S43">
    <cfRule type="expression" dxfId="19" priority="21">
      <formula>$O43&gt;0</formula>
    </cfRule>
  </conditionalFormatting>
  <conditionalFormatting sqref="O43 Q43:S43">
    <cfRule type="expression" dxfId="18" priority="20">
      <formula>$P43&gt;0</formula>
    </cfRule>
  </conditionalFormatting>
  <conditionalFormatting sqref="N43">
    <cfRule type="expression" dxfId="17" priority="18">
      <formula>$O43&gt;0</formula>
    </cfRule>
  </conditionalFormatting>
  <conditionalFormatting sqref="N43">
    <cfRule type="expression" dxfId="16" priority="17">
      <formula>$P43&gt;0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5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O13:O42 Q13:S42 Q44:S46 O44:O46 O48:O120 Q48:S120 A13:M217 N48:N217 O121:S217</xm:sqref>
        </x14:conditionalFormatting>
        <x14:conditionalFormatting xmlns:xm="http://schemas.microsoft.com/office/excel/2006/main">
          <x14:cfRule type="expression" priority="67" id="{BE0B9365-755C-4C72-8A87-8E3413FE342D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P13:P20 P26:P29 P33:P42 P44:P46 P48:P119</xm:sqref>
        </x14:conditionalFormatting>
        <x14:conditionalFormatting xmlns:xm="http://schemas.microsoft.com/office/excel/2006/main">
          <x14:cfRule type="expression" priority="64" id="{E2A8EF86-9D39-4B83-AC99-075494DA667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N13:N42 N44:N46</xm:sqref>
        </x14:conditionalFormatting>
        <x14:conditionalFormatting xmlns:xm="http://schemas.microsoft.com/office/excel/2006/main">
          <x14:cfRule type="expression" priority="28" id="{28EBB153-07F9-4D49-9B66-3B82DB024DF9}">
            <xm:f>IF($AG21="EC",$N21&gt;Variables!$C$2,$N21&gt;Variables!$D$2)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P21:P25</xm:sqref>
        </x14:conditionalFormatting>
        <x14:conditionalFormatting xmlns:xm="http://schemas.microsoft.com/office/excel/2006/main">
          <x14:cfRule type="expression" priority="22" id="{D0B68A9B-81DC-4F75-A365-B11D4E1C89FD}">
            <xm:f>IF($AG31="EC",$N31&gt;Variables!$C$2,$N31&gt;Variables!$D$2)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P31:P32</xm:sqref>
        </x14:conditionalFormatting>
        <x14:conditionalFormatting xmlns:xm="http://schemas.microsoft.com/office/excel/2006/main">
          <x14:cfRule type="expression" priority="13" id="{FF34A910-9A27-4B24-8E86-97EF14B7E13B}">
            <xm:f>IF($AG43="EC",$N43&gt;Variables!$C$2,$N43&gt;Variables!$D$2)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P43</xm:sqref>
        </x14:conditionalFormatting>
        <x14:conditionalFormatting xmlns:xm="http://schemas.microsoft.com/office/excel/2006/main">
          <x14:cfRule type="expression" priority="10" id="{07CD7983-CA5E-4AA3-B607-22A300F68566}">
            <xm:f>IF($AG47="EC",$N47&gt;Variables!$C$2,$N47&gt;Variables!$D$2)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O47 Q47:S47</xm:sqref>
        </x14:conditionalFormatting>
        <x14:conditionalFormatting xmlns:xm="http://schemas.microsoft.com/office/excel/2006/main">
          <x14:cfRule type="expression" priority="25" id="{073212B6-2A48-4C88-A3DB-554045338E30}">
            <xm:f>IF($AG30="EC",$N30&gt;Variables!$C$2,$N30&gt;Variables!$D$2)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P30</xm:sqref>
        </x14:conditionalFormatting>
        <x14:conditionalFormatting xmlns:xm="http://schemas.microsoft.com/office/excel/2006/main">
          <x14:cfRule type="expression" priority="1" id="{D13D351F-70E0-4C99-827F-DA682E725A56}">
            <xm:f>IF($AG120="EC",$N120&gt;Variables!$C$2,$N120&gt;Variables!$D$2)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P120</xm:sqref>
        </x14:conditionalFormatting>
        <x14:conditionalFormatting xmlns:xm="http://schemas.microsoft.com/office/excel/2006/main">
          <x14:cfRule type="expression" priority="7" id="{C2B443BE-C611-4B59-8994-B7E246DDA655}">
            <xm:f>IF($AG47="EC",$N47&gt;Variables!$C$2,$N47&gt;Variables!$D$2)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N47</xm:sqref>
        </x14:conditionalFormatting>
        <x14:conditionalFormatting xmlns:xm="http://schemas.microsoft.com/office/excel/2006/main">
          <x14:cfRule type="expression" priority="4" id="{6EEF9863-1E73-4E7B-9FC1-6571C6EC2F73}">
            <xm:f>IF($AG47="EC",$N47&gt;Variables!$C$2,$N47&gt;Variables!$D$2)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P47</xm:sqref>
        </x14:conditionalFormatting>
        <x14:conditionalFormatting xmlns:xm="http://schemas.microsoft.com/office/excel/2006/main">
          <x14:cfRule type="expression" priority="19" id="{191733A6-7F84-4031-9F74-543412D93042}">
            <xm:f>IF($AG43="EC",$N43&gt;Variables!$C$2,$N43&gt;Variables!$D$2)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O43 Q43:S43</xm:sqref>
        </x14:conditionalFormatting>
        <x14:conditionalFormatting xmlns:xm="http://schemas.microsoft.com/office/excel/2006/main">
          <x14:cfRule type="expression" priority="16" id="{9B6A375B-0BC3-4381-AAEE-1E481E6FE977}">
            <xm:f>IF($AG43="EC",$N43&gt;Variables!$C$2,$N43&gt;Variables!$D$2)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69"/>
  <sheetViews>
    <sheetView topLeftCell="A16" workbookViewId="0">
      <selection activeCell="M35" sqref="M35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30" customWidth="1"/>
    <col min="14" max="14" width="24.140625" customWidth="1"/>
    <col min="15" max="15" width="5" hidden="1" customWidth="1"/>
    <col min="16" max="16" width="5.7109375" style="106" customWidth="1"/>
    <col min="17" max="17" width="5.7109375" style="120" customWidth="1"/>
    <col min="18" max="18" width="6" style="103" customWidth="1"/>
    <col min="19" max="19" width="5.28515625" customWidth="1"/>
    <col min="20" max="20" width="20" style="53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30"/>
      <c r="P1" s="106"/>
      <c r="Q1" s="120"/>
      <c r="R1" s="103"/>
      <c r="T1" s="53"/>
    </row>
    <row r="2" spans="1:22" s="24" customFormat="1" ht="30" x14ac:dyDescent="0.25">
      <c r="A2" s="8"/>
      <c r="F2" s="2"/>
      <c r="G2" s="2"/>
      <c r="H2" s="2"/>
      <c r="J2" s="2"/>
      <c r="K2" s="39" t="s">
        <v>96</v>
      </c>
      <c r="L2" s="75"/>
      <c r="M2" s="147">
        <f>COUNTIF($M$7:$M$444,"=Y")</f>
        <v>13</v>
      </c>
      <c r="P2" s="106"/>
      <c r="Q2" s="120"/>
      <c r="R2" s="103"/>
      <c r="T2" s="53"/>
    </row>
    <row r="3" spans="1:22" s="24" customFormat="1" ht="15.75" thickBot="1" x14ac:dyDescent="0.3">
      <c r="A3" s="8"/>
      <c r="F3" s="2"/>
      <c r="G3" s="2"/>
      <c r="H3" s="2"/>
      <c r="J3" s="2"/>
      <c r="K3" s="40" t="s">
        <v>97</v>
      </c>
      <c r="L3" s="76"/>
      <c r="M3" s="148">
        <f>COUNTA($M$7:$M$444)-M2</f>
        <v>50</v>
      </c>
      <c r="P3" s="106"/>
      <c r="Q3" s="120"/>
      <c r="R3" s="103"/>
      <c r="T3" s="53"/>
    </row>
    <row r="4" spans="1:22" s="24" customFormat="1" x14ac:dyDescent="0.25">
      <c r="A4" s="8"/>
      <c r="F4" s="2"/>
      <c r="G4" s="2"/>
      <c r="H4" s="2"/>
      <c r="J4" s="2"/>
      <c r="L4" s="31"/>
      <c r="M4" s="130"/>
      <c r="P4" s="106"/>
      <c r="Q4" s="120"/>
      <c r="R4" s="103"/>
      <c r="T4" s="53"/>
    </row>
    <row r="5" spans="1:22" s="12" customFormat="1" ht="15" customHeight="1" x14ac:dyDescent="0.25">
      <c r="A5" s="152" t="str">
        <f>"Eagle P3 Braking Events - "&amp;TEXT(Variables!$A$2,"YYYY-mm-dd")</f>
        <v>Eagle P3 Braking Events - 2016-08-06</v>
      </c>
      <c r="B5" s="152"/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3"/>
      <c r="P5" s="117"/>
      <c r="Q5" s="121"/>
      <c r="R5" s="124"/>
      <c r="T5" s="54"/>
    </row>
    <row r="6" spans="1:22" s="1" customFormat="1" ht="105" x14ac:dyDescent="0.25">
      <c r="A6" s="11" t="s">
        <v>38</v>
      </c>
      <c r="B6" s="77" t="s">
        <v>37</v>
      </c>
      <c r="C6" s="77" t="s">
        <v>36</v>
      </c>
      <c r="D6" s="77" t="s">
        <v>35</v>
      </c>
      <c r="E6" s="77" t="s">
        <v>34</v>
      </c>
      <c r="F6" s="78" t="s">
        <v>33</v>
      </c>
      <c r="G6" s="78" t="s">
        <v>32</v>
      </c>
      <c r="H6" s="78" t="s">
        <v>31</v>
      </c>
      <c r="I6" s="77" t="s">
        <v>30</v>
      </c>
      <c r="J6" s="78" t="s">
        <v>29</v>
      </c>
      <c r="K6" s="77" t="s">
        <v>28</v>
      </c>
      <c r="L6" s="17" t="s">
        <v>47</v>
      </c>
      <c r="M6" s="149" t="s">
        <v>27</v>
      </c>
      <c r="N6" s="77" t="s">
        <v>24</v>
      </c>
      <c r="O6" s="55"/>
      <c r="P6" s="118" t="s">
        <v>118</v>
      </c>
      <c r="Q6" s="122" t="s">
        <v>65</v>
      </c>
      <c r="R6" s="125" t="s">
        <v>117</v>
      </c>
      <c r="S6" s="77" t="s">
        <v>112</v>
      </c>
      <c r="T6" s="79" t="s">
        <v>113</v>
      </c>
      <c r="U6" s="55" t="s">
        <v>129</v>
      </c>
      <c r="V6" s="55" t="s">
        <v>133</v>
      </c>
    </row>
    <row r="7" spans="1:22" s="1" customFormat="1" x14ac:dyDescent="0.25">
      <c r="A7" s="41">
        <v>42590.269282407404</v>
      </c>
      <c r="B7" s="34" t="s">
        <v>106</v>
      </c>
      <c r="C7" s="34" t="s">
        <v>285</v>
      </c>
      <c r="D7" s="34" t="s">
        <v>134</v>
      </c>
      <c r="E7" s="34" t="s">
        <v>125</v>
      </c>
      <c r="F7" s="52">
        <v>0</v>
      </c>
      <c r="G7" s="52">
        <v>270</v>
      </c>
      <c r="H7" s="52">
        <v>42812</v>
      </c>
      <c r="I7" s="34" t="s">
        <v>126</v>
      </c>
      <c r="J7" s="52">
        <v>42779</v>
      </c>
      <c r="K7" s="34" t="s">
        <v>52</v>
      </c>
      <c r="L7" s="101" t="str">
        <f>VLOOKUP(C7,'Trips&amp;Operators'!$C$1:$E$9999,3,0)</f>
        <v>SPECTOR</v>
      </c>
      <c r="M7" s="150" t="s">
        <v>95</v>
      </c>
      <c r="N7" s="10" t="s">
        <v>227</v>
      </c>
      <c r="O7" s="34"/>
      <c r="P7" s="119" t="str">
        <f>VLOOKUP(C7,'Train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7" s="123" t="str">
        <f>VLOOKUP(C7,'Train Runs'!$A$13:$AE$523,22,0)</f>
        <v>https://search-rtdc-monitor-bjffxe2xuh6vdkpspy63sjmuny.us-east-1.es.amazonaws.com/_plugin/kibana/#/discover/Steve-Slow-Train-Analysis-(2080s-and-2083s)?_g=(refreshInterval:(display:Off,section:0,value:0),time:(from:'2016-08-08 05:14:10-0600',mode:absolute,to:'2016-08-08 07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7" s="126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/stypes="*4027*201608081*" /stext=" 12:.+((SYSTEM_STATE.+slice.+state.+changed )|(ment ac)|(system.+state.+changed )|(\|lc)|(penalty)|(\[timeout)|(PRM\|1\|D)|(kpr)|(kdp))" /e /r /s</v>
      </c>
      <c r="S7" s="9" t="str">
        <f t="shared" ref="S7:S38" si="1">MID(B7,13,4)</f>
        <v>4027</v>
      </c>
      <c r="T7" s="41">
        <f t="shared" ref="T7:T38" si="2">A7+6/24</f>
        <v>42590.519282407404</v>
      </c>
      <c r="U7" s="55" t="str">
        <f t="shared" ref="U7:U38" si="3">IF(VALUE(LEFT(IF(LEN(C7)=6,"0"&amp;C7,C7),2))&lt;=2,"EC",IF(OR(VALUE(LEFT(IF(LEN(C7)=6,"0"&amp;C7,C7),2))=8,VALUE(LEFT(IF(LEN(C7)=6,"0"&amp;C7,C7),2))=18),"NW","GL"))</f>
        <v>EC</v>
      </c>
      <c r="V7" s="55" t="str">
        <f t="shared" ref="V7:V38" si="4">IF(AND(E7="TRACK WARRANT AUTHORITY",G7&lt;10),"OMIT","KEEP")</f>
        <v>KEEP</v>
      </c>
    </row>
    <row r="8" spans="1:22" s="1" customFormat="1" x14ac:dyDescent="0.25">
      <c r="A8" s="41">
        <v>42590.308009259257</v>
      </c>
      <c r="B8" s="34" t="s">
        <v>66</v>
      </c>
      <c r="C8" s="34" t="s">
        <v>290</v>
      </c>
      <c r="D8" s="34" t="s">
        <v>49</v>
      </c>
      <c r="E8" s="34" t="s">
        <v>125</v>
      </c>
      <c r="F8" s="52">
        <v>0</v>
      </c>
      <c r="G8" s="52">
        <v>626</v>
      </c>
      <c r="H8" s="52">
        <v>45638</v>
      </c>
      <c r="I8" s="34" t="s">
        <v>126</v>
      </c>
      <c r="J8" s="52">
        <v>42961</v>
      </c>
      <c r="K8" s="34" t="s">
        <v>53</v>
      </c>
      <c r="L8" s="101" t="str">
        <f>VLOOKUP(C8,'Trips&amp;Operators'!$C$1:$E$9999,3,0)</f>
        <v>GEBRETEKLE</v>
      </c>
      <c r="M8" s="150" t="s">
        <v>95</v>
      </c>
      <c r="N8" s="10" t="s">
        <v>227</v>
      </c>
      <c r="O8" s="34"/>
      <c r="P8" s="119" t="str">
        <f>VLOOKUP(C8,'Train Runs'!$A$13:$AE$523,31,0)</f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Q8" s="123" t="str">
        <f>VLOOKUP(C8,'Train Runs'!$A$13:$AE$523,22,0)</f>
        <v>https://search-rtdc-monitor-bjffxe2xuh6vdkpspy63sjmuny.us-east-1.es.amazonaws.com/_plugin/kibana/#/discover/Steve-Slow-Train-Analysis-(2080s-and-2083s)?_g=(refreshInterval:(display:Off,section:0,value:0),time:(from:'2016-08-08 05:51:32-0600',mode:absolute,to:'2016-08-08 08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8" s="126" t="str">
        <f t="shared" si="0"/>
        <v>"C:\Program Files (x86)\AstroGrep\AstroGrep.exe" /spath="%USERPROFILE%\AppData\Local\Temp\OnboardLogs" /stypes="*4019*201608081*" /stext=" 13:.+((SYSTEM_STATE.+slice.+state.+changed )|(ment ac)|(system.+state.+changed )|(\|lc)|(penalty)|(\[timeout)|(PRM\|1\|D)|(kpr)|(kdp))" /e /r /s</v>
      </c>
      <c r="S8" s="9" t="str">
        <f t="shared" si="1"/>
        <v>4019</v>
      </c>
      <c r="T8" s="41">
        <f t="shared" si="2"/>
        <v>42590.558009259257</v>
      </c>
      <c r="U8" s="55" t="str">
        <f t="shared" si="3"/>
        <v>EC</v>
      </c>
      <c r="V8" s="55" t="str">
        <f t="shared" si="4"/>
        <v>KEEP</v>
      </c>
    </row>
    <row r="9" spans="1:22" s="1" customFormat="1" x14ac:dyDescent="0.25">
      <c r="A9" s="41">
        <v>42590.728900462964</v>
      </c>
      <c r="B9" s="34" t="s">
        <v>108</v>
      </c>
      <c r="C9" s="34" t="s">
        <v>311</v>
      </c>
      <c r="D9" s="34" t="s">
        <v>49</v>
      </c>
      <c r="E9" s="34" t="s">
        <v>125</v>
      </c>
      <c r="F9" s="52">
        <v>0</v>
      </c>
      <c r="G9" s="52">
        <v>54</v>
      </c>
      <c r="H9" s="52">
        <v>59051</v>
      </c>
      <c r="I9" s="34" t="s">
        <v>126</v>
      </c>
      <c r="J9" s="52">
        <v>58904</v>
      </c>
      <c r="K9" s="34" t="s">
        <v>53</v>
      </c>
      <c r="L9" s="101" t="str">
        <f>VLOOKUP(C9,'Trips&amp;Operators'!$C$1:$E$9999,3,0)</f>
        <v>SHOOK</v>
      </c>
      <c r="M9" s="150" t="s">
        <v>95</v>
      </c>
      <c r="N9" s="10" t="s">
        <v>228</v>
      </c>
      <c r="O9" s="34"/>
      <c r="P9" s="119" t="str">
        <f>VLOOKUP(C9,'Train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9" s="123" t="str">
        <f>VLOOKUP(C9,'Train Runs'!$A$13:$AE$523,22,0)</f>
        <v>https://search-rtdc-monitor-bjffxe2xuh6vdkpspy63sjmuny.us-east-1.es.amazonaws.com/_plugin/kibana/#/discover/Steve-Slow-Train-Analysis-(2080s-and-2083s)?_g=(refreshInterval:(display:Off,section:0,value:0),time:(from:'2016-08-08 15:50:19-0600',mode:absolute,to:'2016-08-08 18:45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9" s="126" t="str">
        <f t="shared" si="0"/>
        <v>"C:\Program Files (x86)\AstroGrep\AstroGrep.exe" /spath="%USERPROFILE%\AppData\Local\Temp\OnboardLogs" /stypes="*4008*201608082*" /stext=" 23:.+((SYSTEM_STATE.+slice.+state.+changed )|(ment ac)|(system.+state.+changed )|(\|lc)|(penalty)|(\[timeout)|(PRM\|1\|D)|(kpr)|(kdp))" /e /r /s</v>
      </c>
      <c r="S9" s="9" t="str">
        <f t="shared" si="1"/>
        <v>4008</v>
      </c>
      <c r="T9" s="41">
        <f t="shared" si="2"/>
        <v>42590.978900462964</v>
      </c>
      <c r="U9" s="55" t="str">
        <f t="shared" si="3"/>
        <v>EC</v>
      </c>
      <c r="V9" s="55" t="str">
        <f t="shared" si="4"/>
        <v>KEEP</v>
      </c>
    </row>
    <row r="10" spans="1:22" s="1" customFormat="1" x14ac:dyDescent="0.25">
      <c r="A10" s="41">
        <v>42590.3434837963</v>
      </c>
      <c r="B10" s="34" t="s">
        <v>106</v>
      </c>
      <c r="C10" s="34" t="s">
        <v>291</v>
      </c>
      <c r="D10" s="34" t="s">
        <v>49</v>
      </c>
      <c r="E10" s="34" t="s">
        <v>125</v>
      </c>
      <c r="F10" s="52">
        <v>340</v>
      </c>
      <c r="G10" s="52">
        <v>498</v>
      </c>
      <c r="H10" s="52">
        <v>60915</v>
      </c>
      <c r="I10" s="34" t="s">
        <v>126</v>
      </c>
      <c r="J10" s="52">
        <v>63069</v>
      </c>
      <c r="K10" s="34" t="s">
        <v>52</v>
      </c>
      <c r="L10" s="101" t="str">
        <f>VLOOKUP(C10,'Trips&amp;Operators'!$C$1:$E$9999,3,0)</f>
        <v>SPECTOR</v>
      </c>
      <c r="M10" s="150" t="s">
        <v>95</v>
      </c>
      <c r="N10" s="10" t="s">
        <v>227</v>
      </c>
      <c r="O10" s="34"/>
      <c r="P10" s="119" t="str">
        <f>VLOOKUP(C10,'Train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10" s="123" t="str">
        <f>VLOOKUP(C10,'Train Runs'!$A$13:$AE$523,22,0)</f>
        <v>https://search-rtdc-monitor-bjffxe2xuh6vdkpspy63sjmuny.us-east-1.es.amazonaws.com/_plugin/kibana/#/discover/Steve-Slow-Train-Analysis-(2080s-and-2083s)?_g=(refreshInterval:(display:Off,section:0,value:0),time:(from:'2016-08-08 06:54:49-0600',mode:absolute,to:'2016-08-08 09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10" s="126" t="str">
        <f t="shared" si="0"/>
        <v>"C:\Program Files (x86)\AstroGrep\AstroGrep.exe" /spath="%USERPROFILE%\AppData\Local\Temp\OnboardLogs" /stypes="*4027*201608081*" /stext=" 14:.+((SYSTEM_STATE.+slice.+state.+changed )|(ment ac)|(system.+state.+changed )|(\|lc)|(penalty)|(\[timeout)|(PRM\|1\|D)|(kpr)|(kdp))" /e /r /s</v>
      </c>
      <c r="S10" s="9" t="str">
        <f t="shared" si="1"/>
        <v>4027</v>
      </c>
      <c r="T10" s="41">
        <f t="shared" si="2"/>
        <v>42590.5934837963</v>
      </c>
      <c r="U10" s="55" t="str">
        <f t="shared" si="3"/>
        <v>EC</v>
      </c>
      <c r="V10" s="55" t="str">
        <f t="shared" si="4"/>
        <v>KEEP</v>
      </c>
    </row>
    <row r="11" spans="1:22" s="1" customFormat="1" x14ac:dyDescent="0.25">
      <c r="A11" s="41">
        <v>42590.241898148146</v>
      </c>
      <c r="B11" s="34" t="s">
        <v>103</v>
      </c>
      <c r="C11" s="34" t="s">
        <v>281</v>
      </c>
      <c r="D11" s="34" t="s">
        <v>49</v>
      </c>
      <c r="E11" s="34" t="s">
        <v>125</v>
      </c>
      <c r="F11" s="52">
        <v>530</v>
      </c>
      <c r="G11" s="52">
        <v>590</v>
      </c>
      <c r="H11" s="52">
        <v>104278</v>
      </c>
      <c r="I11" s="34" t="s">
        <v>126</v>
      </c>
      <c r="J11" s="52">
        <v>103800</v>
      </c>
      <c r="K11" s="34" t="s">
        <v>53</v>
      </c>
      <c r="L11" s="101" t="str">
        <f>VLOOKUP(C11,'Trips&amp;Operators'!$C$1:$E$9999,3,0)</f>
        <v>SPECTOR</v>
      </c>
      <c r="M11" s="150" t="s">
        <v>95</v>
      </c>
      <c r="N11" s="10" t="s">
        <v>227</v>
      </c>
      <c r="O11" s="34"/>
      <c r="P11" s="119" t="str">
        <f>VLOOKUP(C11,'Train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11" s="123" t="str">
        <f>VLOOKUP(C11,'Train Runs'!$A$13:$AE$523,22,0)</f>
        <v>https://search-rtdc-monitor-bjffxe2xuh6vdkpspy63sjmuny.us-east-1.es.amazonaws.com/_plugin/kibana/#/discover/Steve-Slow-Train-Analysis-(2080s-and-2083s)?_g=(refreshInterval:(display:Off,section:0,value:0),time:(from:'2016-08-08 04:20:25-0600',mode:absolute,to:'2016-08-08 07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11" s="126" t="str">
        <f t="shared" si="0"/>
        <v>"C:\Program Files (x86)\AstroGrep\AstroGrep.exe" /spath="%USERPROFILE%\AppData\Local\Temp\OnboardLogs" /stypes="*4028*201608081*" /stext=" 11:.+((SYSTEM_STATE.+slice.+state.+changed )|(ment ac)|(system.+state.+changed )|(\|lc)|(penalty)|(\[timeout)|(PRM\|1\|D)|(kpr)|(kdp))" /e /r /s</v>
      </c>
      <c r="S11" s="9" t="str">
        <f t="shared" si="1"/>
        <v>4028</v>
      </c>
      <c r="T11" s="41">
        <f t="shared" si="2"/>
        <v>42590.491898148146</v>
      </c>
      <c r="U11" s="55" t="str">
        <f t="shared" si="3"/>
        <v>EC</v>
      </c>
      <c r="V11" s="55" t="str">
        <f t="shared" si="4"/>
        <v>KEEP</v>
      </c>
    </row>
    <row r="12" spans="1:22" s="1" customFormat="1" x14ac:dyDescent="0.25">
      <c r="A12" s="41">
        <v>42590.349027777775</v>
      </c>
      <c r="B12" s="34" t="s">
        <v>106</v>
      </c>
      <c r="C12" s="34" t="s">
        <v>291</v>
      </c>
      <c r="D12" s="34" t="s">
        <v>49</v>
      </c>
      <c r="E12" s="34" t="s">
        <v>125</v>
      </c>
      <c r="F12" s="52">
        <v>0</v>
      </c>
      <c r="G12" s="52">
        <v>673</v>
      </c>
      <c r="H12" s="52">
        <v>108199</v>
      </c>
      <c r="I12" s="34" t="s">
        <v>126</v>
      </c>
      <c r="J12" s="52">
        <v>108954</v>
      </c>
      <c r="K12" s="34" t="s">
        <v>52</v>
      </c>
      <c r="L12" s="101" t="str">
        <f>VLOOKUP(C12,'Trips&amp;Operators'!$C$1:$E$9999,3,0)</f>
        <v>SPECTOR</v>
      </c>
      <c r="M12" s="150" t="s">
        <v>95</v>
      </c>
      <c r="N12" s="10" t="s">
        <v>227</v>
      </c>
      <c r="O12" s="34"/>
      <c r="P12" s="119" t="str">
        <f>VLOOKUP(C12,'Train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12" s="123" t="str">
        <f>VLOOKUP(C12,'Train Runs'!$A$13:$AE$523,22,0)</f>
        <v>https://search-rtdc-monitor-bjffxe2xuh6vdkpspy63sjmuny.us-east-1.es.amazonaws.com/_plugin/kibana/#/discover/Steve-Slow-Train-Analysis-(2080s-and-2083s)?_g=(refreshInterval:(display:Off,section:0,value:0),time:(from:'2016-08-08 06:54:49-0600',mode:absolute,to:'2016-08-08 09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12" s="126" t="str">
        <f t="shared" si="0"/>
        <v>"C:\Program Files (x86)\AstroGrep\AstroGrep.exe" /spath="%USERPROFILE%\AppData\Local\Temp\OnboardLogs" /stypes="*4027*201608081*" /stext=" 14:.+((SYSTEM_STATE.+slice.+state.+changed )|(ment ac)|(system.+state.+changed )|(\|lc)|(penalty)|(\[timeout)|(PRM\|1\|D)|(kpr)|(kdp))" /e /r /s</v>
      </c>
      <c r="S12" s="9" t="str">
        <f t="shared" si="1"/>
        <v>4027</v>
      </c>
      <c r="T12" s="41">
        <f t="shared" si="2"/>
        <v>42590.599027777775</v>
      </c>
      <c r="U12" s="55" t="str">
        <f t="shared" si="3"/>
        <v>EC</v>
      </c>
      <c r="V12" s="55" t="str">
        <f t="shared" si="4"/>
        <v>KEEP</v>
      </c>
    </row>
    <row r="13" spans="1:22" s="1" customFormat="1" x14ac:dyDescent="0.25">
      <c r="A13" s="41">
        <v>42590.344976851855</v>
      </c>
      <c r="B13" s="34" t="s">
        <v>99</v>
      </c>
      <c r="C13" s="34" t="s">
        <v>292</v>
      </c>
      <c r="D13" s="34" t="s">
        <v>134</v>
      </c>
      <c r="E13" s="34" t="s">
        <v>56</v>
      </c>
      <c r="F13" s="52">
        <v>150</v>
      </c>
      <c r="G13" s="52">
        <v>202</v>
      </c>
      <c r="H13" s="52">
        <v>2386</v>
      </c>
      <c r="I13" s="34" t="s">
        <v>57</v>
      </c>
      <c r="J13" s="52">
        <v>0</v>
      </c>
      <c r="K13" s="34" t="s">
        <v>52</v>
      </c>
      <c r="L13" s="101" t="str">
        <f>VLOOKUP(C13,'Trips&amp;Operators'!$C$1:$E$9999,3,0)</f>
        <v>YORK</v>
      </c>
      <c r="M13" s="150" t="s">
        <v>95</v>
      </c>
      <c r="N13" s="10"/>
      <c r="O13" s="34"/>
      <c r="P13" s="119" t="str">
        <f>VLOOKUP(C13,'Train Runs'!$A$13:$AE$523,31,0)</f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Q13" s="123" t="str">
        <f>VLOOKUP(C13,'Train Runs'!$A$13:$AE$523,22,0)</f>
        <v>https://search-rtdc-monitor-bjffxe2xuh6vdkpspy63sjmuny.us-east-1.es.amazonaws.com/_plugin/kibana/#/discover/Steve-Slow-Train-Analysis-(2080s-and-2083s)?_g=(refreshInterval:(display:Off,section:0,value:0),time:(from:'2016-08-08 07:08:54-0600',mode:absolute,to:'2016-08-08 09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3" s="126" t="str">
        <f t="shared" si="0"/>
        <v>"C:\Program Files (x86)\AstroGrep\AstroGrep.exe" /spath="%USERPROFILE%\AppData\Local\Temp\OnboardLogs" /stypes="*4038*201608081*" /stext=" 14:.+((SYSTEM_STATE.+slice.+state.+changed )|(ment ac)|(system.+state.+changed )|(\|lc)|(penalty)|(\[timeout)|(PRM\|1\|D)|(kpr)|(kdp))" /e /r /s</v>
      </c>
      <c r="S13" s="9" t="str">
        <f t="shared" si="1"/>
        <v>4038</v>
      </c>
      <c r="T13" s="41">
        <f t="shared" si="2"/>
        <v>42590.594976851855</v>
      </c>
      <c r="U13" s="55" t="str">
        <f t="shared" si="3"/>
        <v>EC</v>
      </c>
      <c r="V13" s="55" t="str">
        <f t="shared" si="4"/>
        <v>KEEP</v>
      </c>
    </row>
    <row r="14" spans="1:22" s="1" customFormat="1" x14ac:dyDescent="0.25">
      <c r="A14" s="41">
        <v>42590.428449074076</v>
      </c>
      <c r="B14" s="34" t="s">
        <v>104</v>
      </c>
      <c r="C14" s="34" t="s">
        <v>295</v>
      </c>
      <c r="D14" s="34" t="s">
        <v>134</v>
      </c>
      <c r="E14" s="34" t="s">
        <v>56</v>
      </c>
      <c r="F14" s="52">
        <v>150</v>
      </c>
      <c r="G14" s="52">
        <v>202</v>
      </c>
      <c r="H14" s="52">
        <v>3217</v>
      </c>
      <c r="I14" s="34" t="s">
        <v>57</v>
      </c>
      <c r="J14" s="52">
        <v>0</v>
      </c>
      <c r="K14" s="34" t="s">
        <v>52</v>
      </c>
      <c r="L14" s="101" t="str">
        <f>VLOOKUP(C14,'Trips&amp;Operators'!$C$1:$E$9999,3,0)</f>
        <v>STARKS</v>
      </c>
      <c r="M14" s="150" t="s">
        <v>95</v>
      </c>
      <c r="N14" s="10"/>
      <c r="O14" s="34"/>
      <c r="P14" s="119" t="str">
        <f>VLOOKUP(C14,'Train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14" s="123" t="str">
        <f>VLOOKUP(C14,'Train Runs'!$A$13:$AE$523,22,0)</f>
        <v>https://search-rtdc-monitor-bjffxe2xuh6vdkpspy63sjmuny.us-east-1.es.amazonaws.com/_plugin/kibana/#/discover/Steve-Slow-Train-Analysis-(2080s-and-2083s)?_g=(refreshInterval:(display:Off,section:0,value:0),time:(from:'2016-08-08 09:12:33-0600',mode:absolute,to:'2016-08-08 11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14" s="126" t="str">
        <f t="shared" si="0"/>
        <v>"C:\Program Files (x86)\AstroGrep\AstroGrep.exe" /spath="%USERPROFILE%\AppData\Local\Temp\OnboardLogs" /stypes="*4029*201608081*" /stext=" 16:.+((SYSTEM_STATE.+slice.+state.+changed )|(ment ac)|(system.+state.+changed )|(\|lc)|(penalty)|(\[timeout)|(PRM\|1\|D)|(kpr)|(kdp))" /e /r /s</v>
      </c>
      <c r="S14" s="9" t="str">
        <f t="shared" si="1"/>
        <v>4029</v>
      </c>
      <c r="T14" s="41">
        <f t="shared" si="2"/>
        <v>42590.678449074076</v>
      </c>
      <c r="U14" s="55" t="str">
        <f t="shared" si="3"/>
        <v>EC</v>
      </c>
      <c r="V14" s="55" t="str">
        <f t="shared" si="4"/>
        <v>KEEP</v>
      </c>
    </row>
    <row r="15" spans="1:22" s="1" customFormat="1" x14ac:dyDescent="0.25">
      <c r="A15" s="41">
        <v>42590.877025462964</v>
      </c>
      <c r="B15" s="34" t="s">
        <v>104</v>
      </c>
      <c r="C15" s="34" t="s">
        <v>325</v>
      </c>
      <c r="D15" s="34" t="s">
        <v>134</v>
      </c>
      <c r="E15" s="34" t="s">
        <v>56</v>
      </c>
      <c r="F15" s="52">
        <v>200</v>
      </c>
      <c r="G15" s="52">
        <v>253</v>
      </c>
      <c r="H15" s="52">
        <v>5501</v>
      </c>
      <c r="I15" s="34" t="s">
        <v>57</v>
      </c>
      <c r="J15" s="52">
        <v>4677</v>
      </c>
      <c r="K15" s="34" t="s">
        <v>52</v>
      </c>
      <c r="L15" s="101" t="str">
        <f>VLOOKUP(C15,'Trips&amp;Operators'!$C$1:$E$9999,3,0)</f>
        <v>ISHMAEL</v>
      </c>
      <c r="M15" s="150" t="s">
        <v>95</v>
      </c>
      <c r="N15" s="10"/>
      <c r="O15" s="34"/>
      <c r="P15" s="119" t="str">
        <f>VLOOKUP(C15,'Train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15" s="123" t="str">
        <f>VLOOKUP(C15,'Train Runs'!$A$13:$AE$523,22,0)</f>
        <v>https://search-rtdc-monitor-bjffxe2xuh6vdkpspy63sjmuny.us-east-1.es.amazonaws.com/_plugin/kibana/#/discover/Steve-Slow-Train-Analysis-(2080s-and-2083s)?_g=(refreshInterval:(display:Off,section:0,value:0),time:(from:'2016-08-08 19:39:28-0600',mode:absolute,to:'2016-08-08 22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15" s="126" t="str">
        <f t="shared" si="0"/>
        <v>"C:\Program Files (x86)\AstroGrep\AstroGrep.exe" /spath="%USERPROFILE%\AppData\Local\Temp\OnboardLogs" /stypes="*4029*201608090*" /stext=" 03:.+((SYSTEM_STATE.+slice.+state.+changed )|(ment ac)|(system.+state.+changed )|(\|lc)|(penalty)|(\[timeout)|(PRM\|1\|D)|(kpr)|(kdp))" /e /r /s</v>
      </c>
      <c r="S15" s="9" t="str">
        <f t="shared" si="1"/>
        <v>4029</v>
      </c>
      <c r="T15" s="41">
        <f t="shared" si="2"/>
        <v>42591.127025462964</v>
      </c>
      <c r="U15" s="55" t="str">
        <f t="shared" si="3"/>
        <v>EC</v>
      </c>
      <c r="V15" s="55" t="str">
        <f t="shared" si="4"/>
        <v>KEEP</v>
      </c>
    </row>
    <row r="16" spans="1:22" s="1" customFormat="1" x14ac:dyDescent="0.25">
      <c r="A16" s="41">
        <v>42590.469421296293</v>
      </c>
      <c r="B16" s="34" t="s">
        <v>103</v>
      </c>
      <c r="C16" s="34" t="s">
        <v>299</v>
      </c>
      <c r="D16" s="34" t="s">
        <v>49</v>
      </c>
      <c r="E16" s="34" t="s">
        <v>56</v>
      </c>
      <c r="F16" s="52">
        <v>600</v>
      </c>
      <c r="G16" s="52">
        <v>651</v>
      </c>
      <c r="H16" s="52">
        <v>12809</v>
      </c>
      <c r="I16" s="34" t="s">
        <v>57</v>
      </c>
      <c r="J16" s="52">
        <v>10694</v>
      </c>
      <c r="K16" s="34" t="s">
        <v>53</v>
      </c>
      <c r="L16" s="101" t="str">
        <f>VLOOKUP(C16,'Trips&amp;Operators'!$C$1:$E$9999,3,0)</f>
        <v>SPECTOR</v>
      </c>
      <c r="M16" s="150" t="s">
        <v>95</v>
      </c>
      <c r="N16" s="10"/>
      <c r="O16" s="34"/>
      <c r="P16" s="119" t="str">
        <f>VLOOKUP(C16,'Train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16" s="123" t="str">
        <f>VLOOKUP(C16,'Train Runs'!$A$13:$AE$523,22,0)</f>
        <v>https://search-rtdc-monitor-bjffxe2xuh6vdkpspy63sjmuny.us-east-1.es.amazonaws.com/_plugin/kibana/#/discover/Steve-Slow-Train-Analysis-(2080s-and-2083s)?_g=(refreshInterval:(display:Off,section:0,value:0),time:(from:'2016-08-08 09:33:48-0600',mode:absolute,to:'2016-08-08 12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16" s="126" t="str">
        <f t="shared" si="0"/>
        <v>"C:\Program Files (x86)\AstroGrep\AstroGrep.exe" /spath="%USERPROFILE%\AppData\Local\Temp\OnboardLogs" /stypes="*4028*201608081*" /stext=" 17:.+((SYSTEM_STATE.+slice.+state.+changed )|(ment ac)|(system.+state.+changed )|(\|lc)|(penalty)|(\[timeout)|(PRM\|1\|D)|(kpr)|(kdp))" /e /r /s</v>
      </c>
      <c r="S16" s="9" t="str">
        <f t="shared" si="1"/>
        <v>4028</v>
      </c>
      <c r="T16" s="41">
        <f t="shared" si="2"/>
        <v>42590.719421296293</v>
      </c>
      <c r="U16" s="55" t="str">
        <f t="shared" si="3"/>
        <v>EC</v>
      </c>
      <c r="V16" s="55" t="str">
        <f t="shared" si="4"/>
        <v>KEEP</v>
      </c>
    </row>
    <row r="17" spans="1:24" s="1" customFormat="1" x14ac:dyDescent="0.25">
      <c r="A17" s="41">
        <v>42590.7734837963</v>
      </c>
      <c r="B17" s="34" t="s">
        <v>150</v>
      </c>
      <c r="C17" s="34" t="s">
        <v>319</v>
      </c>
      <c r="D17" s="34" t="s">
        <v>49</v>
      </c>
      <c r="E17" s="34" t="s">
        <v>56</v>
      </c>
      <c r="F17" s="52">
        <v>450</v>
      </c>
      <c r="G17" s="52">
        <v>501</v>
      </c>
      <c r="H17" s="52">
        <v>17151</v>
      </c>
      <c r="I17" s="34" t="s">
        <v>57</v>
      </c>
      <c r="J17" s="52">
        <v>15167</v>
      </c>
      <c r="K17" s="34" t="s">
        <v>53</v>
      </c>
      <c r="L17" s="101" t="str">
        <f>VLOOKUP(C17,'Trips&amp;Operators'!$C$1:$E$9999,3,0)</f>
        <v>SWANSON</v>
      </c>
      <c r="M17" s="150" t="s">
        <v>95</v>
      </c>
      <c r="N17" s="10"/>
      <c r="O17" s="34"/>
      <c r="P17" s="119" t="str">
        <f>VLOOKUP(C17,'Train Runs'!$A$13:$AE$523,31,0)</f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Q17" s="123" t="str">
        <f>VLOOKUP(C17,'Train Runs'!$A$13:$AE$523,22,0)</f>
        <v>https://search-rtdc-monitor-bjffxe2xuh6vdkpspy63sjmuny.us-east-1.es.amazonaws.com/_plugin/kibana/#/discover/Steve-Slow-Train-Analysis-(2080s-and-2083s)?_g=(refreshInterval:(display:Off,section:0,value:0),time:(from:'2016-08-08 16:55:22-0600',mode:absolute,to:'2016-08-08 19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7" s="126" t="str">
        <f t="shared" si="0"/>
        <v>"C:\Program Files (x86)\AstroGrep\AstroGrep.exe" /spath="%USERPROFILE%\AppData\Local\Temp\OnboardLogs" /stypes="*4037*201608090*" /stext=" 00:.+((SYSTEM_STATE.+slice.+state.+changed )|(ment ac)|(system.+state.+changed )|(\|lc)|(penalty)|(\[timeout)|(PRM\|1\|D)|(kpr)|(kdp))" /e /r /s</v>
      </c>
      <c r="S17" s="9" t="str">
        <f t="shared" si="1"/>
        <v>4037</v>
      </c>
      <c r="T17" s="41">
        <f t="shared" si="2"/>
        <v>42591.0234837963</v>
      </c>
      <c r="U17" s="55" t="str">
        <f t="shared" si="3"/>
        <v>EC</v>
      </c>
      <c r="V17" s="55" t="str">
        <f t="shared" si="4"/>
        <v>KEEP</v>
      </c>
    </row>
    <row r="18" spans="1:24" s="1" customFormat="1" x14ac:dyDescent="0.25">
      <c r="A18" s="41">
        <v>42590.274016203701</v>
      </c>
      <c r="B18" s="34" t="s">
        <v>99</v>
      </c>
      <c r="C18" s="34" t="s">
        <v>287</v>
      </c>
      <c r="D18" s="34" t="s">
        <v>49</v>
      </c>
      <c r="E18" s="34" t="s">
        <v>56</v>
      </c>
      <c r="F18" s="52">
        <v>400</v>
      </c>
      <c r="G18" s="52">
        <v>529</v>
      </c>
      <c r="H18" s="52">
        <v>16776</v>
      </c>
      <c r="I18" s="34" t="s">
        <v>57</v>
      </c>
      <c r="J18" s="52">
        <v>17867</v>
      </c>
      <c r="K18" s="34" t="s">
        <v>52</v>
      </c>
      <c r="L18" s="101" t="str">
        <f>VLOOKUP(C18,'Trips&amp;Operators'!$C$1:$E$9999,3,0)</f>
        <v>HOMIK</v>
      </c>
      <c r="M18" s="150" t="s">
        <v>95</v>
      </c>
      <c r="N18" s="10"/>
      <c r="O18" s="34"/>
      <c r="P18" s="119" t="str">
        <f>VLOOKUP(C18,'Train Runs'!$A$13:$AE$523,31,0)</f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Q18" s="123" t="str">
        <f>VLOOKUP(C18,'Train Runs'!$A$13:$AE$523,22,0)</f>
        <v>https://search-rtdc-monitor-bjffxe2xuh6vdkpspy63sjmuny.us-east-1.es.amazonaws.com/_plugin/kibana/#/discover/Steve-Slow-Train-Analysis-(2080s-and-2083s)?_g=(refreshInterval:(display:Off,section:0,value:0),time:(from:'2016-08-08 05:27:07-0600',mode:absolute,to:'2016-08-08 08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8" s="126" t="str">
        <f t="shared" si="0"/>
        <v>"C:\Program Files (x86)\AstroGrep\AstroGrep.exe" /spath="%USERPROFILE%\AppData\Local\Temp\OnboardLogs" /stypes="*4038*201608081*" /stext=" 12:.+((SYSTEM_STATE.+slice.+state.+changed )|(ment ac)|(system.+state.+changed )|(\|lc)|(penalty)|(\[timeout)|(PRM\|1\|D)|(kpr)|(kdp))" /e /r /s</v>
      </c>
      <c r="S18" s="9" t="str">
        <f t="shared" si="1"/>
        <v>4038</v>
      </c>
      <c r="T18" s="41">
        <f t="shared" si="2"/>
        <v>42590.524016203701</v>
      </c>
      <c r="U18" s="55" t="str">
        <f t="shared" si="3"/>
        <v>EC</v>
      </c>
      <c r="V18" s="55" t="str">
        <f t="shared" si="4"/>
        <v>KEEP</v>
      </c>
    </row>
    <row r="19" spans="1:24" s="1" customFormat="1" x14ac:dyDescent="0.25">
      <c r="A19" s="41">
        <v>42590.758796296293</v>
      </c>
      <c r="B19" s="34" t="s">
        <v>140</v>
      </c>
      <c r="C19" s="34" t="s">
        <v>316</v>
      </c>
      <c r="D19" s="34" t="s">
        <v>49</v>
      </c>
      <c r="E19" s="34" t="s">
        <v>56</v>
      </c>
      <c r="F19" s="52">
        <v>400</v>
      </c>
      <c r="G19" s="52">
        <v>530</v>
      </c>
      <c r="H19" s="52">
        <v>14403</v>
      </c>
      <c r="I19" s="34" t="s">
        <v>57</v>
      </c>
      <c r="J19" s="52">
        <v>17867</v>
      </c>
      <c r="K19" s="34" t="s">
        <v>52</v>
      </c>
      <c r="L19" s="101" t="str">
        <f>VLOOKUP(C19,'Trips&amp;Operators'!$C$1:$E$9999,3,0)</f>
        <v>SHOOK</v>
      </c>
      <c r="M19" s="150" t="s">
        <v>95</v>
      </c>
      <c r="N19" s="10"/>
      <c r="O19" s="34"/>
      <c r="P19" s="119" t="str">
        <f>VLOOKUP(C19,'Train Runs'!$A$13:$AE$523,31,0)</f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Q19" s="123" t="str">
        <f>VLOOKUP(C19,'Train Runs'!$A$13:$AE$523,22,0)</f>
        <v>https://search-rtdc-monitor-bjffxe2xuh6vdkpspy63sjmuny.us-east-1.es.amazonaws.com/_plugin/kibana/#/discover/Steve-Slow-Train-Analysis-(2080s-and-2083s)?_g=(refreshInterval:(display:Off,section:0,value:0),time:(from:'2016-08-08 17:04:32-0600',mode:absolute,to:'2016-08-08 19:48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19" s="126" t="str">
        <f t="shared" si="0"/>
        <v>"C:\Program Files (x86)\AstroGrep\AstroGrep.exe" /spath="%USERPROFILE%\AppData\Local\Temp\OnboardLogs" /stypes="*4014*201608090*" /stext=" 00:.+((SYSTEM_STATE.+slice.+state.+changed )|(ment ac)|(system.+state.+changed )|(\|lc)|(penalty)|(\[timeout)|(PRM\|1\|D)|(kpr)|(kdp))" /e /r /s</v>
      </c>
      <c r="S19" s="9" t="str">
        <f t="shared" si="1"/>
        <v>4014</v>
      </c>
      <c r="T19" s="41">
        <f t="shared" si="2"/>
        <v>42591.008796296293</v>
      </c>
      <c r="U19" s="55" t="str">
        <f t="shared" si="3"/>
        <v>EC</v>
      </c>
      <c r="V19" s="55" t="str">
        <f t="shared" si="4"/>
        <v>KEEP</v>
      </c>
    </row>
    <row r="20" spans="1:24" s="1" customFormat="1" x14ac:dyDescent="0.25">
      <c r="A20" s="41">
        <v>42590.489930555559</v>
      </c>
      <c r="B20" s="34" t="s">
        <v>105</v>
      </c>
      <c r="C20" s="34" t="s">
        <v>300</v>
      </c>
      <c r="D20" s="34" t="s">
        <v>49</v>
      </c>
      <c r="E20" s="34" t="s">
        <v>56</v>
      </c>
      <c r="F20" s="52">
        <v>300</v>
      </c>
      <c r="G20" s="52">
        <v>469</v>
      </c>
      <c r="H20" s="52">
        <v>23679</v>
      </c>
      <c r="I20" s="34" t="s">
        <v>57</v>
      </c>
      <c r="J20" s="52">
        <v>21848</v>
      </c>
      <c r="K20" s="34" t="s">
        <v>53</v>
      </c>
      <c r="L20" s="101" t="str">
        <f>VLOOKUP(C20,'Trips&amp;Operators'!$C$1:$E$9999,3,0)</f>
        <v>STARKS</v>
      </c>
      <c r="M20" s="150" t="s">
        <v>95</v>
      </c>
      <c r="N20" s="10"/>
      <c r="O20" s="34"/>
      <c r="P20" s="119" t="str">
        <f>VLOOKUP(C20,'Train Runs'!$A$13:$AE$523,31,0)</f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Q20" s="123" t="str">
        <f>VLOOKUP(C20,'Train Runs'!$A$13:$AE$523,22,0)</f>
        <v>https://search-rtdc-monitor-bjffxe2xuh6vdkpspy63sjmuny.us-east-1.es.amazonaws.com/_plugin/kibana/#/discover/Steve-Slow-Train-Analysis-(2080s-and-2083s)?_g=(refreshInterval:(display:Off,section:0,value:0),time:(from:'2016-08-08 10:08:08-0600',mode:absolute,to:'2016-08-08 12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20" s="126" t="str">
        <f t="shared" si="0"/>
        <v>"C:\Program Files (x86)\AstroGrep\AstroGrep.exe" /spath="%USERPROFILE%\AppData\Local\Temp\OnboardLogs" /stypes="*4030*201608081*" /stext=" 17:.+((SYSTEM_STATE.+slice.+state.+changed )|(ment ac)|(system.+state.+changed )|(\|lc)|(penalty)|(\[timeout)|(PRM\|1\|D)|(kpr)|(kdp))" /e /r /s</v>
      </c>
      <c r="S20" s="9" t="str">
        <f t="shared" si="1"/>
        <v>4030</v>
      </c>
      <c r="T20" s="41">
        <f t="shared" si="2"/>
        <v>42590.739930555559</v>
      </c>
      <c r="U20" s="55" t="str">
        <f t="shared" si="3"/>
        <v>EC</v>
      </c>
      <c r="V20" s="55" t="str">
        <f t="shared" si="4"/>
        <v>KEEP</v>
      </c>
    </row>
    <row r="21" spans="1:24" s="1" customFormat="1" x14ac:dyDescent="0.25">
      <c r="A21" s="41">
        <v>42590.542928240742</v>
      </c>
      <c r="B21" s="34" t="s">
        <v>103</v>
      </c>
      <c r="C21" s="34" t="s">
        <v>301</v>
      </c>
      <c r="D21" s="34" t="s">
        <v>49</v>
      </c>
      <c r="E21" s="34" t="s">
        <v>56</v>
      </c>
      <c r="F21" s="52">
        <v>300</v>
      </c>
      <c r="G21" s="52">
        <v>431</v>
      </c>
      <c r="H21" s="52">
        <v>22856</v>
      </c>
      <c r="I21" s="34" t="s">
        <v>57</v>
      </c>
      <c r="J21" s="52">
        <v>21848</v>
      </c>
      <c r="K21" s="34" t="s">
        <v>53</v>
      </c>
      <c r="L21" s="101" t="str">
        <f>VLOOKUP(C21,'Trips&amp;Operators'!$C$1:$E$9999,3,0)</f>
        <v>STORY</v>
      </c>
      <c r="M21" s="150" t="s">
        <v>95</v>
      </c>
      <c r="N21" s="10"/>
      <c r="O21" s="34"/>
      <c r="P21" s="119" t="str">
        <f>VLOOKUP(C21,'Train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21" s="123" t="str">
        <f>VLOOKUP(C21,'Train Runs'!$A$13:$AE$523,22,0)</f>
        <v>https://search-rtdc-monitor-bjffxe2xuh6vdkpspy63sjmuny.us-east-1.es.amazonaws.com/_plugin/kibana/#/discover/Steve-Slow-Train-Analysis-(2080s-and-2083s)?_g=(refreshInterval:(display:Off,section:0,value:0),time:(from:'2016-08-08 11:11:32-0600',mode:absolute,to:'2016-08-08 14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1" s="126" t="str">
        <f t="shared" si="0"/>
        <v>"C:\Program Files (x86)\AstroGrep\AstroGrep.exe" /spath="%USERPROFILE%\AppData\Local\Temp\OnboardLogs" /stypes="*4028*201608081*" /stext=" 19:.+((SYSTEM_STATE.+slice.+state.+changed )|(ment ac)|(system.+state.+changed )|(\|lc)|(penalty)|(\[timeout)|(PRM\|1\|D)|(kpr)|(kdp))" /e /r /s</v>
      </c>
      <c r="S21" s="9" t="str">
        <f t="shared" si="1"/>
        <v>4028</v>
      </c>
      <c r="T21" s="41">
        <f t="shared" si="2"/>
        <v>42590.792928240742</v>
      </c>
      <c r="U21" s="55" t="str">
        <f t="shared" si="3"/>
        <v>EC</v>
      </c>
      <c r="V21" s="55" t="str">
        <f t="shared" si="4"/>
        <v>KEEP</v>
      </c>
    </row>
    <row r="22" spans="1:24" s="1" customFormat="1" x14ac:dyDescent="0.25">
      <c r="A22" s="41">
        <v>42590.766284722224</v>
      </c>
      <c r="B22" s="34" t="s">
        <v>103</v>
      </c>
      <c r="C22" s="34" t="s">
        <v>317</v>
      </c>
      <c r="D22" s="34" t="s">
        <v>49</v>
      </c>
      <c r="E22" s="34" t="s">
        <v>56</v>
      </c>
      <c r="F22" s="52">
        <v>300</v>
      </c>
      <c r="G22" s="52">
        <v>389</v>
      </c>
      <c r="H22" s="52">
        <v>22705</v>
      </c>
      <c r="I22" s="34" t="s">
        <v>57</v>
      </c>
      <c r="J22" s="52">
        <v>21848</v>
      </c>
      <c r="K22" s="34" t="s">
        <v>53</v>
      </c>
      <c r="L22" s="101" t="str">
        <f>VLOOKUP(C22,'Trips&amp;Operators'!$C$1:$E$9999,3,0)</f>
        <v>STORY</v>
      </c>
      <c r="M22" s="150" t="s">
        <v>95</v>
      </c>
      <c r="N22" s="10"/>
      <c r="O22" s="34"/>
      <c r="P22" s="119" t="str">
        <f>VLOOKUP(C22,'Train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22" s="123" t="str">
        <f>VLOOKUP(C22,'Train Runs'!$A$13:$AE$523,22,0)</f>
        <v>https://search-rtdc-monitor-bjffxe2xuh6vdkpspy63sjmuny.us-east-1.es.amazonaws.com/_plugin/kibana/#/discover/Steve-Slow-Train-Analysis-(2080s-and-2083s)?_g=(refreshInterval:(display:Off,section:0,value:0),time:(from:'2016-08-08 17:00:30-0600',mode:absolute,to:'2016-08-08 19:30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2" s="126" t="str">
        <f t="shared" si="0"/>
        <v>"C:\Program Files (x86)\AstroGrep\AstroGrep.exe" /spath="%USERPROFILE%\AppData\Local\Temp\OnboardLogs" /stypes="*4028*201608090*" /stext=" 00:.+((SYSTEM_STATE.+slice.+state.+changed )|(ment ac)|(system.+state.+changed )|(\|lc)|(penalty)|(\[timeout)|(PRM\|1\|D)|(kpr)|(kdp))" /e /r /s</v>
      </c>
      <c r="S22" s="9" t="str">
        <f t="shared" si="1"/>
        <v>4028</v>
      </c>
      <c r="T22" s="41">
        <f t="shared" si="2"/>
        <v>42591.016284722224</v>
      </c>
      <c r="U22" s="55" t="str">
        <f t="shared" si="3"/>
        <v>EC</v>
      </c>
      <c r="V22" s="55" t="str">
        <f t="shared" si="4"/>
        <v>KEEP</v>
      </c>
    </row>
    <row r="23" spans="1:24" x14ac:dyDescent="0.25">
      <c r="A23" s="41">
        <v>42590.779780092591</v>
      </c>
      <c r="B23" s="34" t="s">
        <v>106</v>
      </c>
      <c r="C23" s="34" t="s">
        <v>320</v>
      </c>
      <c r="D23" s="34" t="s">
        <v>49</v>
      </c>
      <c r="E23" s="34" t="s">
        <v>56</v>
      </c>
      <c r="F23" s="52">
        <v>200</v>
      </c>
      <c r="G23" s="52">
        <v>378</v>
      </c>
      <c r="H23" s="52">
        <v>25911</v>
      </c>
      <c r="I23" s="34" t="s">
        <v>57</v>
      </c>
      <c r="J23" s="52">
        <v>27333</v>
      </c>
      <c r="K23" s="34" t="s">
        <v>52</v>
      </c>
      <c r="L23" s="101" t="str">
        <f>VLOOKUP(C23,'Trips&amp;Operators'!$C$1:$E$9999,3,0)</f>
        <v>STORY</v>
      </c>
      <c r="M23" s="150" t="s">
        <v>95</v>
      </c>
      <c r="N23" s="10"/>
      <c r="O23" s="34"/>
      <c r="P23" s="119" t="str">
        <f>VLOOKUP(C23,'Train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23" s="123" t="str">
        <f>VLOOKUP(C23,'Train Runs'!$A$13:$AE$523,22,0)</f>
        <v>https://search-rtdc-monitor-bjffxe2xuh6vdkpspy63sjmuny.us-east-1.es.amazonaws.com/_plugin/kibana/#/discover/Steve-Slow-Train-Analysis-(2080s-and-2083s)?_g=(refreshInterval:(display:Off,section:0,value:0),time:(from:'2016-08-08 17:33:11-0600',mode:absolute,to:'2016-08-08 20:17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23" s="126" t="str">
        <f t="shared" si="0"/>
        <v>"C:\Program Files (x86)\AstroGrep\AstroGrep.exe" /spath="%USERPROFILE%\AppData\Local\Temp\OnboardLogs" /stypes="*4027*201608090*" /stext=" 00:.+((SYSTEM_STATE.+slice.+state.+changed )|(ment ac)|(system.+state.+changed )|(\|lc)|(penalty)|(\[timeout)|(PRM\|1\|D)|(kpr)|(kdp))" /e /r /s</v>
      </c>
      <c r="S23" s="9" t="str">
        <f t="shared" si="1"/>
        <v>4027</v>
      </c>
      <c r="T23" s="41">
        <f t="shared" si="2"/>
        <v>42591.029780092591</v>
      </c>
      <c r="U23" s="55" t="str">
        <f t="shared" si="3"/>
        <v>EC</v>
      </c>
      <c r="V23" s="55" t="str">
        <f t="shared" si="4"/>
        <v>KEEP</v>
      </c>
    </row>
    <row r="24" spans="1:24" s="1" customFormat="1" x14ac:dyDescent="0.25">
      <c r="A24" s="41">
        <v>42590.468113425923</v>
      </c>
      <c r="B24" s="34" t="s">
        <v>109</v>
      </c>
      <c r="C24" s="34" t="s">
        <v>298</v>
      </c>
      <c r="D24" s="34" t="s">
        <v>134</v>
      </c>
      <c r="E24" s="34" t="s">
        <v>56</v>
      </c>
      <c r="F24" s="52">
        <v>700</v>
      </c>
      <c r="G24" s="52">
        <v>750</v>
      </c>
      <c r="H24" s="52">
        <v>170187</v>
      </c>
      <c r="I24" s="34" t="s">
        <v>57</v>
      </c>
      <c r="J24" s="52">
        <v>161962</v>
      </c>
      <c r="K24" s="34" t="s">
        <v>52</v>
      </c>
      <c r="L24" s="101" t="str">
        <f>VLOOKUP(C24,'Trips&amp;Operators'!$C$1:$E$9999,3,0)</f>
        <v>MALAVE</v>
      </c>
      <c r="M24" s="150" t="s">
        <v>95</v>
      </c>
      <c r="N24" s="10"/>
      <c r="O24" s="34"/>
      <c r="P24" s="119" t="str">
        <f>VLOOKUP(C24,'Train Runs'!$A$13:$AE$523,31,0)</f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Q24" s="123" t="str">
        <f>VLOOKUP(C24,'Train Runs'!$A$13:$AE$523,22,0)</f>
        <v>https://search-rtdc-monitor-bjffxe2xuh6vdkpspy63sjmuny.us-east-1.es.amazonaws.com/_plugin/kibana/#/discover/Steve-Slow-Train-Analysis-(2080s-and-2083s)?_g=(refreshInterval:(display:Off,section:0,value:0),time:(from:'2016-08-08 09:44:03-0600',mode:absolute,to:'2016-08-08 12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24" s="126" t="str">
        <f t="shared" si="0"/>
        <v>"C:\Program Files (x86)\AstroGrep\AstroGrep.exe" /spath="%USERPROFILE%\AppData\Local\Temp\OnboardLogs" /stypes="*4007*201608081*" /stext=" 17:.+((SYSTEM_STATE.+slice.+state.+changed )|(ment ac)|(system.+state.+changed )|(\|lc)|(penalty)|(\[timeout)|(PRM\|1\|D)|(kpr)|(kdp))" /e /r /s</v>
      </c>
      <c r="S24" s="9" t="str">
        <f t="shared" si="1"/>
        <v>4007</v>
      </c>
      <c r="T24" s="41">
        <f t="shared" si="2"/>
        <v>42590.718113425923</v>
      </c>
      <c r="U24" s="55" t="str">
        <f t="shared" si="3"/>
        <v>EC</v>
      </c>
      <c r="V24" s="55" t="str">
        <f t="shared" si="4"/>
        <v>KEEP</v>
      </c>
    </row>
    <row r="25" spans="1:24" x14ac:dyDescent="0.25">
      <c r="A25" s="41">
        <v>42590.302337962959</v>
      </c>
      <c r="B25" s="34" t="s">
        <v>104</v>
      </c>
      <c r="C25" s="34" t="s">
        <v>289</v>
      </c>
      <c r="D25" s="34" t="s">
        <v>49</v>
      </c>
      <c r="E25" s="34" t="s">
        <v>56</v>
      </c>
      <c r="F25" s="52">
        <v>600</v>
      </c>
      <c r="G25" s="52">
        <v>666</v>
      </c>
      <c r="H25" s="52">
        <v>182258</v>
      </c>
      <c r="I25" s="34" t="s">
        <v>57</v>
      </c>
      <c r="J25" s="52">
        <v>183829</v>
      </c>
      <c r="K25" s="34" t="s">
        <v>52</v>
      </c>
      <c r="L25" s="101" t="str">
        <f>VLOOKUP(C25,'Trips&amp;Operators'!$C$1:$E$9999,3,0)</f>
        <v>STARKS</v>
      </c>
      <c r="M25" s="150" t="s">
        <v>95</v>
      </c>
      <c r="N25" s="10"/>
      <c r="O25" s="34"/>
      <c r="P25" s="119" t="str">
        <f>VLOOKUP(C25,'Train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25" s="123" t="str">
        <f>VLOOKUP(C25,'Train Runs'!$A$13:$AE$523,22,0)</f>
        <v>https://search-rtdc-monitor-bjffxe2xuh6vdkpspy63sjmuny.us-east-1.es.amazonaws.com/_plugin/kibana/#/discover/Steve-Slow-Train-Analysis-(2080s-and-2083s)?_g=(refreshInterval:(display:Off,section:0,value:0),time:(from:'2016-08-08 05:43:15-0600',mode:absolute,to:'2016-08-08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25" s="126" t="str">
        <f t="shared" si="0"/>
        <v>"C:\Program Files (x86)\AstroGrep\AstroGrep.exe" /spath="%USERPROFILE%\AppData\Local\Temp\OnboardLogs" /stypes="*4029*201608081*" /stext=" 13:.+((SYSTEM_STATE.+slice.+state.+changed )|(ment ac)|(system.+state.+changed )|(\|lc)|(penalty)|(\[timeout)|(PRM\|1\|D)|(kpr)|(kdp))" /e /r /s</v>
      </c>
      <c r="S25" s="9" t="str">
        <f t="shared" si="1"/>
        <v>4029</v>
      </c>
      <c r="T25" s="41">
        <f t="shared" si="2"/>
        <v>42590.552337962959</v>
      </c>
      <c r="U25" s="55" t="str">
        <f t="shared" si="3"/>
        <v>EC</v>
      </c>
      <c r="V25" s="55" t="str">
        <f t="shared" si="4"/>
        <v>KEEP</v>
      </c>
    </row>
    <row r="26" spans="1:24" x14ac:dyDescent="0.25">
      <c r="A26" s="41">
        <v>42590.593009259261</v>
      </c>
      <c r="B26" s="34" t="s">
        <v>103</v>
      </c>
      <c r="C26" s="34" t="s">
        <v>303</v>
      </c>
      <c r="D26" s="34" t="s">
        <v>134</v>
      </c>
      <c r="E26" s="34" t="s">
        <v>56</v>
      </c>
      <c r="F26" s="52">
        <v>350</v>
      </c>
      <c r="G26" s="52">
        <v>401</v>
      </c>
      <c r="H26" s="52">
        <v>225924</v>
      </c>
      <c r="I26" s="34" t="s">
        <v>57</v>
      </c>
      <c r="J26" s="52">
        <v>228668</v>
      </c>
      <c r="K26" s="34" t="s">
        <v>53</v>
      </c>
      <c r="L26" s="101" t="str">
        <f>VLOOKUP(C26,'Trips&amp;Operators'!$C$1:$E$9999,3,0)</f>
        <v>STORY</v>
      </c>
      <c r="M26" s="150" t="s">
        <v>95</v>
      </c>
      <c r="N26" s="10"/>
      <c r="O26" s="34"/>
      <c r="P26" s="119" t="str">
        <f>VLOOKUP(C26,'Train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26" s="123" t="str">
        <f>VLOOKUP(C26,'Train Runs'!$A$13:$AE$523,22,0)</f>
        <v>https://search-rtdc-monitor-bjffxe2xuh6vdkpspy63sjmuny.us-east-1.es.amazonaws.com/_plugin/kibana/#/discover/Steve-Slow-Train-Analysis-(2080s-and-2083s)?_g=(refreshInterval:(display:Off,section:0,value:0),time:(from:'2016-08-08 13:05:10-0600',mode:absolute,to:'2016-08-08 15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6" s="126" t="str">
        <f t="shared" si="0"/>
        <v>"C:\Program Files (x86)\AstroGrep\AstroGrep.exe" /spath="%USERPROFILE%\AppData\Local\Temp\OnboardLogs" /stypes="*4028*201608082*" /stext=" 20:.+((SYSTEM_STATE.+slice.+state.+changed )|(ment ac)|(system.+state.+changed )|(\|lc)|(penalty)|(\[timeout)|(PRM\|1\|D)|(kpr)|(kdp))" /e /r /s</v>
      </c>
      <c r="S26" s="9" t="str">
        <f t="shared" si="1"/>
        <v>4028</v>
      </c>
      <c r="T26" s="41">
        <f t="shared" si="2"/>
        <v>42590.843009259261</v>
      </c>
      <c r="U26" s="55" t="str">
        <f t="shared" si="3"/>
        <v>EC</v>
      </c>
      <c r="V26" s="55" t="str">
        <f t="shared" si="4"/>
        <v>KEEP</v>
      </c>
    </row>
    <row r="27" spans="1:24" x14ac:dyDescent="0.25">
      <c r="A27" s="41">
        <v>42590.982939814814</v>
      </c>
      <c r="B27" s="34" t="s">
        <v>103</v>
      </c>
      <c r="C27" s="34" t="s">
        <v>330</v>
      </c>
      <c r="D27" s="34" t="s">
        <v>134</v>
      </c>
      <c r="E27" s="34" t="s">
        <v>56</v>
      </c>
      <c r="F27" s="52">
        <v>350</v>
      </c>
      <c r="G27" s="52">
        <v>401</v>
      </c>
      <c r="H27" s="52">
        <v>225100</v>
      </c>
      <c r="I27" s="34" t="s">
        <v>57</v>
      </c>
      <c r="J27" s="52">
        <v>228668</v>
      </c>
      <c r="K27" s="34" t="s">
        <v>331</v>
      </c>
      <c r="L27" s="101" t="str">
        <f>VLOOKUP(C27,'Trips&amp;Operators'!$C$1:$E$9999,3,0)</f>
        <v>STORY</v>
      </c>
      <c r="M27" s="150" t="s">
        <v>95</v>
      </c>
      <c r="N27" s="10"/>
      <c r="O27" s="34"/>
      <c r="P27" s="119" t="str">
        <f>VLOOKUP(C27,'Train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27" s="123" t="str">
        <f>VLOOKUP(C27,'Train Runs'!$A$13:$AE$523,22,0)</f>
        <v>https://search-rtdc-monitor-bjffxe2xuh6vdkpspy63sjmuny.us-east-1.es.amazonaws.com/_plugin/kibana/#/discover/Steve-Slow-Train-Analysis-(2080s-and-2083s)?_g=(refreshInterval:(display:Off,section:0,value:0),time:(from:'2016-08-08 22:28:59-0600',mode:absolute,to:'2016-08-09 01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7" s="126" t="str">
        <f t="shared" si="0"/>
        <v>"C:\Program Files (x86)\AstroGrep\AstroGrep.exe" /spath="%USERPROFILE%\AppData\Local\Temp\OnboardLogs" /stypes="*4028*201608090*" /stext=" 05:.+((SYSTEM_STATE.+slice.+state.+changed )|(ment ac)|(system.+state.+changed )|(\|lc)|(penalty)|(\[timeout)|(PRM\|1\|D)|(kpr)|(kdp))" /e /r /s</v>
      </c>
      <c r="S27" s="9" t="str">
        <f t="shared" si="1"/>
        <v>4028</v>
      </c>
      <c r="T27" s="41">
        <f t="shared" si="2"/>
        <v>42591.232939814814</v>
      </c>
      <c r="U27" s="55" t="str">
        <f t="shared" si="3"/>
        <v>EC</v>
      </c>
      <c r="V27" s="55" t="str">
        <f t="shared" si="4"/>
        <v>KEEP</v>
      </c>
      <c r="W27" s="24" t="s">
        <v>276</v>
      </c>
    </row>
    <row r="28" spans="1:24" x14ac:dyDescent="0.25">
      <c r="A28" s="41">
        <v>42590.707314814812</v>
      </c>
      <c r="B28" s="34" t="s">
        <v>108</v>
      </c>
      <c r="C28" s="34" t="s">
        <v>311</v>
      </c>
      <c r="D28" s="34" t="s">
        <v>134</v>
      </c>
      <c r="E28" s="34" t="s">
        <v>56</v>
      </c>
      <c r="F28" s="52">
        <v>350</v>
      </c>
      <c r="G28" s="52">
        <v>402</v>
      </c>
      <c r="H28" s="52">
        <v>224878</v>
      </c>
      <c r="I28" s="34" t="s">
        <v>57</v>
      </c>
      <c r="J28" s="52">
        <v>232107</v>
      </c>
      <c r="K28" s="34" t="s">
        <v>53</v>
      </c>
      <c r="L28" s="101" t="str">
        <f>VLOOKUP(C28,'Trips&amp;Operators'!$C$1:$E$9999,3,0)</f>
        <v>SHOOK</v>
      </c>
      <c r="M28" s="150" t="s">
        <v>95</v>
      </c>
      <c r="N28" s="10"/>
      <c r="O28" s="34"/>
      <c r="P28" s="119" t="str">
        <f>VLOOKUP(C28,'Train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28" s="123" t="str">
        <f>VLOOKUP(C28,'Train Runs'!$A$13:$AE$523,22,0)</f>
        <v>https://search-rtdc-monitor-bjffxe2xuh6vdkpspy63sjmuny.us-east-1.es.amazonaws.com/_plugin/kibana/#/discover/Steve-Slow-Train-Analysis-(2080s-and-2083s)?_g=(refreshInterval:(display:Off,section:0,value:0),time:(from:'2016-08-08 15:50:19-0600',mode:absolute,to:'2016-08-08 18:45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28" s="126" t="str">
        <f t="shared" si="0"/>
        <v>"C:\Program Files (x86)\AstroGrep\AstroGrep.exe" /spath="%USERPROFILE%\AppData\Local\Temp\OnboardLogs" /stypes="*4008*201608082*" /stext=" 22:.+((SYSTEM_STATE.+slice.+state.+changed )|(ment ac)|(system.+state.+changed )|(\|lc)|(penalty)|(\[timeout)|(PRM\|1\|D)|(kpr)|(kdp))" /e /r /s</v>
      </c>
      <c r="S28" s="9" t="str">
        <f t="shared" si="1"/>
        <v>4008</v>
      </c>
      <c r="T28" s="41">
        <f t="shared" si="2"/>
        <v>42590.957314814812</v>
      </c>
      <c r="U28" s="55" t="str">
        <f t="shared" si="3"/>
        <v>EC</v>
      </c>
      <c r="V28" s="55" t="str">
        <f t="shared" si="4"/>
        <v>KEEP</v>
      </c>
      <c r="W28" s="24" t="s">
        <v>275</v>
      </c>
      <c r="X28" t="s">
        <v>279</v>
      </c>
    </row>
    <row r="29" spans="1:24" x14ac:dyDescent="0.25">
      <c r="A29" s="41">
        <v>42590.529421296298</v>
      </c>
      <c r="B29" s="34" t="s">
        <v>103</v>
      </c>
      <c r="C29" s="34" t="s">
        <v>301</v>
      </c>
      <c r="D29" s="34" t="s">
        <v>49</v>
      </c>
      <c r="E29" s="34" t="s">
        <v>54</v>
      </c>
      <c r="F29" s="52">
        <v>0</v>
      </c>
      <c r="G29" s="52">
        <v>336</v>
      </c>
      <c r="H29" s="52">
        <v>128854</v>
      </c>
      <c r="I29" s="34" t="s">
        <v>55</v>
      </c>
      <c r="J29" s="52">
        <v>127587</v>
      </c>
      <c r="K29" s="34" t="s">
        <v>53</v>
      </c>
      <c r="L29" s="101" t="str">
        <f>VLOOKUP(C29,'Trips&amp;Operators'!$C$1:$E$9999,3,0)</f>
        <v>STORY</v>
      </c>
      <c r="M29" s="150" t="s">
        <v>95</v>
      </c>
      <c r="N29" s="10" t="s">
        <v>650</v>
      </c>
      <c r="O29" s="34"/>
      <c r="P29" s="119" t="str">
        <f>VLOOKUP(C29,'Train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29" s="123" t="str">
        <f>VLOOKUP(C29,'Train Runs'!$A$13:$AE$523,22,0)</f>
        <v>https://search-rtdc-monitor-bjffxe2xuh6vdkpspy63sjmuny.us-east-1.es.amazonaws.com/_plugin/kibana/#/discover/Steve-Slow-Train-Analysis-(2080s-and-2083s)?_g=(refreshInterval:(display:Off,section:0,value:0),time:(from:'2016-08-08 11:11:32-0600',mode:absolute,to:'2016-08-08 14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9" s="126" t="str">
        <f t="shared" si="0"/>
        <v>"C:\Program Files (x86)\AstroGrep\AstroGrep.exe" /spath="%USERPROFILE%\AppData\Local\Temp\OnboardLogs" /stypes="*4028*201608081*" /stext=" 18:.+((SYSTEM_STATE.+slice.+state.+changed )|(ment ac)|(system.+state.+changed )|(\|lc)|(penalty)|(\[timeout)|(PRM\|1\|D)|(kpr)|(kdp))" /e /r /s</v>
      </c>
      <c r="S29" s="9" t="str">
        <f t="shared" si="1"/>
        <v>4028</v>
      </c>
      <c r="T29" s="41">
        <f t="shared" si="2"/>
        <v>42590.779421296298</v>
      </c>
      <c r="U29" s="55" t="str">
        <f t="shared" si="3"/>
        <v>EC</v>
      </c>
      <c r="V29" s="55" t="str">
        <f t="shared" si="4"/>
        <v>KEEP</v>
      </c>
      <c r="W29" s="24" t="s">
        <v>277</v>
      </c>
      <c r="X29" s="24" t="s">
        <v>279</v>
      </c>
    </row>
    <row r="30" spans="1:24" x14ac:dyDescent="0.25">
      <c r="A30" s="41">
        <v>42590.790324074071</v>
      </c>
      <c r="B30" s="34" t="s">
        <v>108</v>
      </c>
      <c r="C30" s="34" t="s">
        <v>321</v>
      </c>
      <c r="D30" s="34" t="s">
        <v>49</v>
      </c>
      <c r="E30" s="34" t="s">
        <v>54</v>
      </c>
      <c r="F30" s="52">
        <v>0</v>
      </c>
      <c r="G30" s="52">
        <v>421</v>
      </c>
      <c r="H30" s="52">
        <v>129502</v>
      </c>
      <c r="I30" s="34" t="s">
        <v>55</v>
      </c>
      <c r="J30" s="52">
        <v>127587</v>
      </c>
      <c r="K30" s="34" t="s">
        <v>53</v>
      </c>
      <c r="L30" s="101" t="str">
        <f>VLOOKUP(C30,'Trips&amp;Operators'!$C$1:$E$9999,3,0)</f>
        <v>NEWELL</v>
      </c>
      <c r="M30" s="150" t="s">
        <v>95</v>
      </c>
      <c r="N30" s="10" t="s">
        <v>650</v>
      </c>
      <c r="O30" s="34"/>
      <c r="P30" s="119" t="str">
        <f>VLOOKUP(C30,'Train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30" s="123" t="str">
        <f>VLOOKUP(C30,'Train Runs'!$A$13:$AE$523,22,0)</f>
        <v>https://search-rtdc-monitor-bjffxe2xuh6vdkpspy63sjmuny.us-east-1.es.amazonaws.com/_plugin/kibana/#/discover/Steve-Slow-Train-Analysis-(2080s-and-2083s)?_g=(refreshInterval:(display:Off,section:0,value:0),time:(from:'2016-08-08 17:35:56-0600',mode:absolute,to:'2016-08-08 20:25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30" s="126" t="str">
        <f t="shared" si="0"/>
        <v>"C:\Program Files (x86)\AstroGrep\AstroGrep.exe" /spath="%USERPROFILE%\AppData\Local\Temp\OnboardLogs" /stypes="*4008*201608090*" /stext=" 00:.+((SYSTEM_STATE.+slice.+state.+changed )|(ment ac)|(system.+state.+changed )|(\|lc)|(penalty)|(\[timeout)|(PRM\|1\|D)|(kpr)|(kdp))" /e /r /s</v>
      </c>
      <c r="S30" s="9" t="str">
        <f t="shared" si="1"/>
        <v>4008</v>
      </c>
      <c r="T30" s="41">
        <f t="shared" si="2"/>
        <v>42591.040324074071</v>
      </c>
      <c r="U30" s="55" t="str">
        <f t="shared" si="3"/>
        <v>EC</v>
      </c>
      <c r="V30" s="55" t="str">
        <f t="shared" si="4"/>
        <v>KEEP</v>
      </c>
      <c r="W30" s="24" t="s">
        <v>278</v>
      </c>
      <c r="X30" s="24" t="s">
        <v>279</v>
      </c>
    </row>
    <row r="31" spans="1:24" x14ac:dyDescent="0.25">
      <c r="A31" s="41">
        <v>42590.721203703702</v>
      </c>
      <c r="B31" s="34" t="s">
        <v>106</v>
      </c>
      <c r="C31" s="34" t="s">
        <v>312</v>
      </c>
      <c r="D31" s="34" t="s">
        <v>49</v>
      </c>
      <c r="E31" s="34" t="s">
        <v>54</v>
      </c>
      <c r="F31" s="52">
        <v>0</v>
      </c>
      <c r="G31" s="52">
        <v>596</v>
      </c>
      <c r="H31" s="52">
        <v>151448</v>
      </c>
      <c r="I31" s="34" t="s">
        <v>55</v>
      </c>
      <c r="J31" s="52">
        <v>155600</v>
      </c>
      <c r="K31" s="34" t="s">
        <v>52</v>
      </c>
      <c r="L31" s="101" t="str">
        <f>VLOOKUP(C31,'Trips&amp;Operators'!$C$1:$E$9999,3,0)</f>
        <v>STORY</v>
      </c>
      <c r="M31" s="150" t="s">
        <v>95</v>
      </c>
      <c r="N31" s="10" t="s">
        <v>651</v>
      </c>
      <c r="O31" s="34"/>
      <c r="P31" s="119" t="str">
        <f>VLOOKUP(C31,'Train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31" s="123" t="str">
        <f>VLOOKUP(C31,'Train Runs'!$A$13:$AE$523,22,0)</f>
        <v>https://search-rtdc-monitor-bjffxe2xuh6vdkpspy63sjmuny.us-east-1.es.amazonaws.com/_plugin/kibana/#/discover/Steve-Slow-Train-Analysis-(2080s-and-2083s)?_g=(refreshInterval:(display:Off,section:0,value:0),time:(from:'2016-08-08 15:46:20-0600',mode:absolute,to:'2016-08-08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1" s="126" t="str">
        <f t="shared" si="0"/>
        <v>"C:\Program Files (x86)\AstroGrep\AstroGrep.exe" /spath="%USERPROFILE%\AppData\Local\Temp\OnboardLogs" /stypes="*4027*201608082*" /stext=" 23:.+((SYSTEM_STATE.+slice.+state.+changed )|(ment ac)|(system.+state.+changed )|(\|lc)|(penalty)|(\[timeout)|(PRM\|1\|D)|(kpr)|(kdp))" /e /r /s</v>
      </c>
      <c r="S31" s="9" t="str">
        <f t="shared" si="1"/>
        <v>4027</v>
      </c>
      <c r="T31" s="41">
        <f t="shared" si="2"/>
        <v>42590.971203703702</v>
      </c>
      <c r="U31" s="55" t="str">
        <f t="shared" si="3"/>
        <v>EC</v>
      </c>
      <c r="V31" s="55" t="str">
        <f t="shared" si="4"/>
        <v>KEEP</v>
      </c>
    </row>
    <row r="32" spans="1:24" x14ac:dyDescent="0.25">
      <c r="A32" s="41">
        <v>42590.721724537034</v>
      </c>
      <c r="B32" s="34" t="s">
        <v>106</v>
      </c>
      <c r="C32" s="34" t="s">
        <v>312</v>
      </c>
      <c r="D32" s="34" t="s">
        <v>49</v>
      </c>
      <c r="E32" s="34" t="s">
        <v>54</v>
      </c>
      <c r="F32" s="52">
        <v>0</v>
      </c>
      <c r="G32" s="52">
        <v>67</v>
      </c>
      <c r="H32" s="52">
        <v>153698</v>
      </c>
      <c r="I32" s="34" t="s">
        <v>55</v>
      </c>
      <c r="J32" s="52">
        <v>155600</v>
      </c>
      <c r="K32" s="34" t="s">
        <v>52</v>
      </c>
      <c r="L32" s="101" t="str">
        <f>VLOOKUP(C32,'Trips&amp;Operators'!$C$1:$E$9999,3,0)</f>
        <v>STORY</v>
      </c>
      <c r="M32" s="150" t="s">
        <v>95</v>
      </c>
      <c r="N32" s="10" t="s">
        <v>651</v>
      </c>
      <c r="O32" s="34"/>
      <c r="P32" s="119" t="str">
        <f>VLOOKUP(C32,'Train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32" s="123" t="str">
        <f>VLOOKUP(C32,'Train Runs'!$A$13:$AE$523,22,0)</f>
        <v>https://search-rtdc-monitor-bjffxe2xuh6vdkpspy63sjmuny.us-east-1.es.amazonaws.com/_plugin/kibana/#/discover/Steve-Slow-Train-Analysis-(2080s-and-2083s)?_g=(refreshInterval:(display:Off,section:0,value:0),time:(from:'2016-08-08 15:46:20-0600',mode:absolute,to:'2016-08-08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2" s="126" t="str">
        <f t="shared" si="0"/>
        <v>"C:\Program Files (x86)\AstroGrep\AstroGrep.exe" /spath="%USERPROFILE%\AppData\Local\Temp\OnboardLogs" /stypes="*4027*201608082*" /stext=" 23:.+((SYSTEM_STATE.+slice.+state.+changed )|(ment ac)|(system.+state.+changed )|(\|lc)|(penalty)|(\[timeout)|(PRM\|1\|D)|(kpr)|(kdp))" /e /r /s</v>
      </c>
      <c r="S32" s="9" t="str">
        <f t="shared" si="1"/>
        <v>4027</v>
      </c>
      <c r="T32" s="41">
        <f t="shared" si="2"/>
        <v>42590.971724537034</v>
      </c>
      <c r="U32" s="55" t="str">
        <f t="shared" si="3"/>
        <v>EC</v>
      </c>
      <c r="V32" s="55" t="str">
        <f t="shared" si="4"/>
        <v>KEEP</v>
      </c>
    </row>
    <row r="33" spans="1:22" x14ac:dyDescent="0.25">
      <c r="A33" s="41">
        <v>42590.895509259259</v>
      </c>
      <c r="B33" s="34" t="s">
        <v>104</v>
      </c>
      <c r="C33" s="34" t="s">
        <v>325</v>
      </c>
      <c r="D33" s="34" t="s">
        <v>49</v>
      </c>
      <c r="E33" s="34" t="s">
        <v>54</v>
      </c>
      <c r="F33" s="52">
        <v>0</v>
      </c>
      <c r="G33" s="52">
        <v>267</v>
      </c>
      <c r="H33" s="52">
        <v>155390</v>
      </c>
      <c r="I33" s="34" t="s">
        <v>55</v>
      </c>
      <c r="J33" s="52">
        <v>155600</v>
      </c>
      <c r="K33" s="34" t="s">
        <v>52</v>
      </c>
      <c r="L33" s="101" t="str">
        <f>VLOOKUP(C33,'Trips&amp;Operators'!$C$1:$E$9999,3,0)</f>
        <v>ISHMAEL</v>
      </c>
      <c r="M33" s="150" t="s">
        <v>94</v>
      </c>
      <c r="N33" s="10" t="s">
        <v>648</v>
      </c>
      <c r="O33" s="34"/>
      <c r="P33" s="119" t="str">
        <f>VLOOKUP(C33,'Train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33" s="123" t="str">
        <f>VLOOKUP(C33,'Train Runs'!$A$13:$AE$523,22,0)</f>
        <v>https://search-rtdc-monitor-bjffxe2xuh6vdkpspy63sjmuny.us-east-1.es.amazonaws.com/_plugin/kibana/#/discover/Steve-Slow-Train-Analysis-(2080s-and-2083s)?_g=(refreshInterval:(display:Off,section:0,value:0),time:(from:'2016-08-08 19:39:28-0600',mode:absolute,to:'2016-08-08 22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33" s="126" t="str">
        <f t="shared" si="0"/>
        <v>"C:\Program Files (x86)\AstroGrep\AstroGrep.exe" /spath="%USERPROFILE%\AppData\Local\Temp\OnboardLogs" /stypes="*4029*201608090*" /stext=" 03:.+((SYSTEM_STATE.+slice.+state.+changed )|(ment ac)|(system.+state.+changed )|(\|lc)|(penalty)|(\[timeout)|(PRM\|1\|D)|(kpr)|(kdp))" /e /r /s</v>
      </c>
      <c r="S33" s="9" t="str">
        <f t="shared" si="1"/>
        <v>4029</v>
      </c>
      <c r="T33" s="41">
        <f t="shared" si="2"/>
        <v>42591.145509259259</v>
      </c>
      <c r="U33" s="55" t="str">
        <f t="shared" si="3"/>
        <v>EC</v>
      </c>
      <c r="V33" s="55" t="str">
        <f t="shared" si="4"/>
        <v>KEEP</v>
      </c>
    </row>
    <row r="34" spans="1:22" x14ac:dyDescent="0.25">
      <c r="A34" s="41">
        <v>42590.957708333335</v>
      </c>
      <c r="B34" s="34" t="s">
        <v>106</v>
      </c>
      <c r="C34" s="34" t="s">
        <v>329</v>
      </c>
      <c r="D34" s="34" t="s">
        <v>49</v>
      </c>
      <c r="E34" s="34" t="s">
        <v>54</v>
      </c>
      <c r="F34" s="52">
        <v>0</v>
      </c>
      <c r="G34" s="52">
        <v>86</v>
      </c>
      <c r="H34" s="52">
        <v>154527</v>
      </c>
      <c r="I34" s="34" t="s">
        <v>55</v>
      </c>
      <c r="J34" s="52">
        <v>155600</v>
      </c>
      <c r="K34" s="34" t="s">
        <v>52</v>
      </c>
      <c r="L34" s="101" t="str">
        <f>VLOOKUP(C34,'Trips&amp;Operators'!$C$1:$E$9999,3,0)</f>
        <v>STORY</v>
      </c>
      <c r="M34" s="150" t="s">
        <v>94</v>
      </c>
      <c r="N34" s="10" t="s">
        <v>648</v>
      </c>
      <c r="O34" s="34"/>
      <c r="P34" s="119" t="str">
        <f>VLOOKUP(C34,'Train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34" s="123" t="str">
        <f>VLOOKUP(C34,'Train Runs'!$A$13:$AE$523,22,0)</f>
        <v>https://search-rtdc-monitor-bjffxe2xuh6vdkpspy63sjmuny.us-east-1.es.amazonaws.com/_plugin/kibana/#/discover/Steve-Slow-Train-Analysis-(2080s-and-2083s)?_g=(refreshInterval:(display:Off,section:0,value:0),time:(from:'2016-08-08 21:26:46-0600',mode:absolute,to:'2016-08-08 23:59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4" s="126" t="str">
        <f t="shared" si="0"/>
        <v>"C:\Program Files (x86)\AstroGrep\AstroGrep.exe" /spath="%USERPROFILE%\AppData\Local\Temp\OnboardLogs" /stypes="*4027*201608090*" /stext=" 04:.+((SYSTEM_STATE.+slice.+state.+changed )|(ment ac)|(system.+state.+changed )|(\|lc)|(penalty)|(\[timeout)|(PRM\|1\|D)|(kpr)|(kdp))" /e /r /s</v>
      </c>
      <c r="S34" s="9" t="str">
        <f t="shared" si="1"/>
        <v>4027</v>
      </c>
      <c r="T34" s="41">
        <f t="shared" si="2"/>
        <v>42591.207708333335</v>
      </c>
      <c r="U34" s="55" t="str">
        <f t="shared" si="3"/>
        <v>EC</v>
      </c>
      <c r="V34" s="55" t="str">
        <f t="shared" si="4"/>
        <v>KEEP</v>
      </c>
    </row>
    <row r="35" spans="1:22" x14ac:dyDescent="0.25">
      <c r="A35" s="41">
        <v>42590.900219907409</v>
      </c>
      <c r="B35" s="34" t="s">
        <v>103</v>
      </c>
      <c r="C35" s="34" t="s">
        <v>327</v>
      </c>
      <c r="D35" s="34" t="s">
        <v>49</v>
      </c>
      <c r="E35" s="34" t="s">
        <v>54</v>
      </c>
      <c r="F35" s="52">
        <v>0</v>
      </c>
      <c r="G35" s="52">
        <v>73</v>
      </c>
      <c r="H35" s="52">
        <v>198552</v>
      </c>
      <c r="I35" s="34" t="s">
        <v>55</v>
      </c>
      <c r="J35" s="52">
        <v>198256</v>
      </c>
      <c r="K35" s="34" t="s">
        <v>53</v>
      </c>
      <c r="L35" s="101" t="str">
        <f>VLOOKUP(C35,'Trips&amp;Operators'!$C$1:$E$9999,3,0)</f>
        <v>STORY</v>
      </c>
      <c r="M35" s="150" t="s">
        <v>94</v>
      </c>
      <c r="N35" s="10" t="s">
        <v>652</v>
      </c>
      <c r="O35" s="34"/>
      <c r="P35" s="119" t="str">
        <f>VLOOKUP(C35,'Train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35" s="123" t="str">
        <f>VLOOKUP(C35,'Train Runs'!$A$13:$AE$523,22,0)</f>
        <v>https://search-rtdc-monitor-bjffxe2xuh6vdkpspy63sjmuny.us-east-1.es.amazonaws.com/_plugin/kibana/#/discover/Steve-Slow-Train-Analysis-(2080s-and-2083s)?_g=(refreshInterval:(display:Off,section:0,value:0),time:(from:'2016-08-08 20:20:11-0600',mode:absolute,to:'2016-08-08 23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5" s="126" t="str">
        <f t="shared" si="0"/>
        <v>"C:\Program Files (x86)\AstroGrep\AstroGrep.exe" /spath="%USERPROFILE%\AppData\Local\Temp\OnboardLogs" /stypes="*4028*201608090*" /stext=" 03:.+((SYSTEM_STATE.+slice.+state.+changed )|(ment ac)|(system.+state.+changed )|(\|lc)|(penalty)|(\[timeout)|(PRM\|1\|D)|(kpr)|(kdp))" /e /r /s</v>
      </c>
      <c r="S35" s="9" t="str">
        <f t="shared" si="1"/>
        <v>4028</v>
      </c>
      <c r="T35" s="41">
        <f t="shared" si="2"/>
        <v>42591.150219907409</v>
      </c>
      <c r="U35" s="55" t="str">
        <f t="shared" si="3"/>
        <v>EC</v>
      </c>
      <c r="V35" s="55" t="str">
        <f t="shared" si="4"/>
        <v>KEEP</v>
      </c>
    </row>
    <row r="36" spans="1:22" x14ac:dyDescent="0.25">
      <c r="A36" s="41">
        <v>42590.895752314813</v>
      </c>
      <c r="B36" s="34" t="s">
        <v>103</v>
      </c>
      <c r="C36" s="34" t="s">
        <v>327</v>
      </c>
      <c r="D36" s="34" t="s">
        <v>49</v>
      </c>
      <c r="E36" s="34" t="s">
        <v>54</v>
      </c>
      <c r="F36" s="52">
        <v>0</v>
      </c>
      <c r="G36" s="52">
        <v>720</v>
      </c>
      <c r="H36" s="52">
        <v>213839</v>
      </c>
      <c r="I36" s="34" t="s">
        <v>55</v>
      </c>
      <c r="J36" s="52">
        <v>210941</v>
      </c>
      <c r="K36" s="34" t="s">
        <v>53</v>
      </c>
      <c r="L36" s="101" t="str">
        <f>VLOOKUP(C36,'Trips&amp;Operators'!$C$1:$E$9999,3,0)</f>
        <v>STORY</v>
      </c>
      <c r="M36" s="150" t="s">
        <v>94</v>
      </c>
      <c r="N36" s="10" t="s">
        <v>653</v>
      </c>
      <c r="O36" s="34"/>
      <c r="P36" s="119" t="str">
        <f>VLOOKUP(C36,'Train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36" s="123" t="str">
        <f>VLOOKUP(C36,'Train Runs'!$A$13:$AE$523,22,0)</f>
        <v>https://search-rtdc-monitor-bjffxe2xuh6vdkpspy63sjmuny.us-east-1.es.amazonaws.com/_plugin/kibana/#/discover/Steve-Slow-Train-Analysis-(2080s-and-2083s)?_g=(refreshInterval:(display:Off,section:0,value:0),time:(from:'2016-08-08 20:20:11-0600',mode:absolute,to:'2016-08-08 23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6" s="126" t="str">
        <f t="shared" si="0"/>
        <v>"C:\Program Files (x86)\AstroGrep\AstroGrep.exe" /spath="%USERPROFILE%\AppData\Local\Temp\OnboardLogs" /stypes="*4028*201608090*" /stext=" 03:.+((SYSTEM_STATE.+slice.+state.+changed )|(ment ac)|(system.+state.+changed )|(\|lc)|(penalty)|(\[timeout)|(PRM\|1\|D)|(kpr)|(kdp))" /e /r /s</v>
      </c>
      <c r="S36" s="9" t="str">
        <f t="shared" si="1"/>
        <v>4028</v>
      </c>
      <c r="T36" s="41">
        <f t="shared" si="2"/>
        <v>42591.145752314813</v>
      </c>
      <c r="U36" s="55" t="str">
        <f t="shared" si="3"/>
        <v>EC</v>
      </c>
      <c r="V36" s="55" t="str">
        <f t="shared" si="4"/>
        <v>KEEP</v>
      </c>
    </row>
    <row r="37" spans="1:22" x14ac:dyDescent="0.25">
      <c r="A37" s="41">
        <v>42590.243391203701</v>
      </c>
      <c r="B37" s="34" t="s">
        <v>137</v>
      </c>
      <c r="C37" s="34" t="s">
        <v>282</v>
      </c>
      <c r="D37" s="34" t="s">
        <v>49</v>
      </c>
      <c r="E37" s="34" t="s">
        <v>54</v>
      </c>
      <c r="F37" s="52">
        <v>0</v>
      </c>
      <c r="G37" s="52">
        <v>356</v>
      </c>
      <c r="H37" s="52">
        <v>222990</v>
      </c>
      <c r="I37" s="34" t="s">
        <v>55</v>
      </c>
      <c r="J37" s="52">
        <v>224231</v>
      </c>
      <c r="K37" s="34" t="s">
        <v>52</v>
      </c>
      <c r="L37" s="101" t="str">
        <f>VLOOKUP(C37,'Trips&amp;Operators'!$C$1:$E$9999,3,0)</f>
        <v>OUN</v>
      </c>
      <c r="M37" s="150" t="s">
        <v>94</v>
      </c>
      <c r="N37" s="10" t="s">
        <v>647</v>
      </c>
      <c r="O37" s="34"/>
      <c r="P37" s="119" t="str">
        <f>VLOOKUP(C37,'Train Runs'!$A$13:$AE$523,31,0)</f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Q37" s="123" t="str">
        <f>VLOOKUP(C37,'Train Runs'!$A$13:$AE$523,22,0)</f>
        <v>https://search-rtdc-monitor-bjffxe2xuh6vdkpspy63sjmuny.us-east-1.es.amazonaws.com/_plugin/kibana/#/discover/Steve-Slow-Train-Analysis-(2080s-and-2083s)?_g=(refreshInterval:(display:Off,section:0,value:0),time:(from:'2016-08-08 03:58:12-0600',mode:absolute,to:'2016-08-08 06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37" s="126" t="str">
        <f t="shared" si="0"/>
        <v>"C:\Program Files (x86)\AstroGrep\AstroGrep.exe" /spath="%USERPROFILE%\AppData\Local\Temp\OnboardLogs" /stypes="*4011*201608081*" /stext=" 11:.+((SYSTEM_STATE.+slice.+state.+changed )|(ment ac)|(system.+state.+changed )|(\|lc)|(penalty)|(\[timeout)|(PRM\|1\|D)|(kpr)|(kdp))" /e /r /s</v>
      </c>
      <c r="S37" s="9" t="str">
        <f t="shared" si="1"/>
        <v>4011</v>
      </c>
      <c r="T37" s="41">
        <f t="shared" si="2"/>
        <v>42590.493391203701</v>
      </c>
      <c r="U37" s="55" t="str">
        <f t="shared" si="3"/>
        <v>EC</v>
      </c>
      <c r="V37" s="55" t="str">
        <f t="shared" si="4"/>
        <v>KEEP</v>
      </c>
    </row>
    <row r="38" spans="1:22" x14ac:dyDescent="0.25">
      <c r="A38" s="41">
        <v>42590.253622685188</v>
      </c>
      <c r="B38" s="34" t="s">
        <v>109</v>
      </c>
      <c r="C38" s="34" t="s">
        <v>284</v>
      </c>
      <c r="D38" s="34" t="s">
        <v>49</v>
      </c>
      <c r="E38" s="34" t="s">
        <v>54</v>
      </c>
      <c r="F38" s="52">
        <v>0</v>
      </c>
      <c r="G38" s="52">
        <v>689</v>
      </c>
      <c r="H38" s="52">
        <v>219550</v>
      </c>
      <c r="I38" s="34" t="s">
        <v>55</v>
      </c>
      <c r="J38" s="52">
        <v>224231</v>
      </c>
      <c r="K38" s="34" t="s">
        <v>52</v>
      </c>
      <c r="L38" s="101" t="str">
        <f>VLOOKUP(C38,'Trips&amp;Operators'!$C$1:$E$9999,3,0)</f>
        <v>MALAVE</v>
      </c>
      <c r="M38" s="150" t="s">
        <v>94</v>
      </c>
      <c r="N38" s="10" t="s">
        <v>647</v>
      </c>
      <c r="O38" s="34"/>
      <c r="P38" s="119" t="str">
        <f>VLOOKUP(C38,'Train Runs'!$A$13:$AE$523,31,0)</f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Q38" s="123" t="str">
        <f>VLOOKUP(C38,'Train Runs'!$A$13:$AE$523,22,0)</f>
        <v>https://search-rtdc-monitor-bjffxe2xuh6vdkpspy63sjmuny.us-east-1.es.amazonaws.com/_plugin/kibana/#/discover/Steve-Slow-Train-Analysis-(2080s-and-2083s)?_g=(refreshInterval:(display:Off,section:0,value:0),time:(from:'2016-08-08 04:26:08-0600',mode:absolute,to:'2016-08-08 07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38" s="126" t="str">
        <f t="shared" si="0"/>
        <v>"C:\Program Files (x86)\AstroGrep\AstroGrep.exe" /spath="%USERPROFILE%\AppData\Local\Temp\OnboardLogs" /stypes="*4007*201608081*" /stext=" 12:.+((SYSTEM_STATE.+slice.+state.+changed )|(ment ac)|(system.+state.+changed )|(\|lc)|(penalty)|(\[timeout)|(PRM\|1\|D)|(kpr)|(kdp))" /e /r /s</v>
      </c>
      <c r="S38" s="9" t="str">
        <f t="shared" si="1"/>
        <v>4007</v>
      </c>
      <c r="T38" s="41">
        <f t="shared" si="2"/>
        <v>42590.503622685188</v>
      </c>
      <c r="U38" s="55" t="str">
        <f t="shared" si="3"/>
        <v>EC</v>
      </c>
      <c r="V38" s="55" t="str">
        <f t="shared" si="4"/>
        <v>KEEP</v>
      </c>
    </row>
    <row r="39" spans="1:22" x14ac:dyDescent="0.25">
      <c r="A39" s="41">
        <v>42590.345902777779</v>
      </c>
      <c r="B39" s="34" t="s">
        <v>67</v>
      </c>
      <c r="C39" s="34" t="s">
        <v>293</v>
      </c>
      <c r="D39" s="34" t="s">
        <v>49</v>
      </c>
      <c r="E39" s="34" t="s">
        <v>54</v>
      </c>
      <c r="F39" s="52">
        <v>0</v>
      </c>
      <c r="G39" s="52">
        <v>478</v>
      </c>
      <c r="H39" s="52">
        <v>222749</v>
      </c>
      <c r="I39" s="34" t="s">
        <v>55</v>
      </c>
      <c r="J39" s="52">
        <v>224231</v>
      </c>
      <c r="K39" s="34" t="s">
        <v>52</v>
      </c>
      <c r="L39" s="101" t="str">
        <f>VLOOKUP(C39,'Trips&amp;Operators'!$C$1:$E$9999,3,0)</f>
        <v>GEBRETEKLE</v>
      </c>
      <c r="M39" s="150" t="s">
        <v>94</v>
      </c>
      <c r="N39" s="10" t="s">
        <v>647</v>
      </c>
      <c r="O39" s="34"/>
      <c r="P39" s="119" t="str">
        <f>VLOOKUP(C39,'Train Runs'!$A$13:$AE$523,31,0)</f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Q39" s="123" t="str">
        <f>VLOOKUP(C39,'Train Runs'!$A$13:$AE$523,22,0)</f>
        <v>https://search-rtdc-monitor-bjffxe2xuh6vdkpspy63sjmuny.us-east-1.es.amazonaws.com/_plugin/kibana/#/discover/Steve-Slow-Train-Analysis-(2080s-and-2083s)?_g=(refreshInterval:(display:Off,section:0,value:0),time:(from:'2016-08-08 06:40:43-0600',mode:absolute,to:'2016-08-08 09:19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39" s="126" t="str">
        <f t="shared" ref="R39:R70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/stypes="*4020*201608081*" /stext=" 14:.+((SYSTEM_STATE.+slice.+state.+changed )|(ment ac)|(system.+state.+changed )|(\|lc)|(penalty)|(\[timeout)|(PRM\|1\|D)|(kpr)|(kdp))" /e /r /s</v>
      </c>
      <c r="S39" s="9" t="str">
        <f t="shared" ref="S39:S69" si="6">MID(B39,13,4)</f>
        <v>4020</v>
      </c>
      <c r="T39" s="41">
        <f t="shared" ref="T39:T69" si="7">A39+6/24</f>
        <v>42590.595902777779</v>
      </c>
      <c r="U39" s="55" t="str">
        <f t="shared" ref="U39:U69" si="8">IF(VALUE(LEFT(IF(LEN(C39)=6,"0"&amp;C39,C39),2))&lt;=2,"EC",IF(OR(VALUE(LEFT(IF(LEN(C39)=6,"0"&amp;C39,C39),2))=8,VALUE(LEFT(IF(LEN(C39)=6,"0"&amp;C39,C39),2))=18),"NW","GL"))</f>
        <v>EC</v>
      </c>
      <c r="V39" s="55" t="str">
        <f t="shared" ref="V39:V69" si="9">IF(AND(E39="TRACK WARRANT AUTHORITY",G39&lt;10),"OMIT","KEEP")</f>
        <v>KEEP</v>
      </c>
    </row>
    <row r="40" spans="1:22" x14ac:dyDescent="0.25">
      <c r="A40" s="41">
        <v>42590.346631944441</v>
      </c>
      <c r="B40" s="34" t="s">
        <v>67</v>
      </c>
      <c r="C40" s="34" t="s">
        <v>293</v>
      </c>
      <c r="D40" s="34" t="s">
        <v>49</v>
      </c>
      <c r="E40" s="34" t="s">
        <v>54</v>
      </c>
      <c r="F40" s="52">
        <v>0</v>
      </c>
      <c r="G40" s="52">
        <v>103</v>
      </c>
      <c r="H40" s="52">
        <v>224195</v>
      </c>
      <c r="I40" s="34" t="s">
        <v>55</v>
      </c>
      <c r="J40" s="52">
        <v>224231</v>
      </c>
      <c r="K40" s="34" t="s">
        <v>52</v>
      </c>
      <c r="L40" s="101" t="str">
        <f>VLOOKUP(C40,'Trips&amp;Operators'!$C$1:$E$9999,3,0)</f>
        <v>GEBRETEKLE</v>
      </c>
      <c r="M40" s="150" t="s">
        <v>94</v>
      </c>
      <c r="N40" s="10" t="s">
        <v>647</v>
      </c>
      <c r="O40" s="34"/>
      <c r="P40" s="119" t="str">
        <f>VLOOKUP(C40,'Train Runs'!$A$13:$AE$523,31,0)</f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Q40" s="123" t="str">
        <f>VLOOKUP(C40,'Train Runs'!$A$13:$AE$523,22,0)</f>
        <v>https://search-rtdc-monitor-bjffxe2xuh6vdkpspy63sjmuny.us-east-1.es.amazonaws.com/_plugin/kibana/#/discover/Steve-Slow-Train-Analysis-(2080s-and-2083s)?_g=(refreshInterval:(display:Off,section:0,value:0),time:(from:'2016-08-08 06:40:43-0600',mode:absolute,to:'2016-08-08 09:19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40" s="126" t="str">
        <f t="shared" si="5"/>
        <v>"C:\Program Files (x86)\AstroGrep\AstroGrep.exe" /spath="%USERPROFILE%\AppData\Local\Temp\OnboardLogs" /stypes="*4020*201608081*" /stext=" 14:.+((SYSTEM_STATE.+slice.+state.+changed )|(ment ac)|(system.+state.+changed )|(\|lc)|(penalty)|(\[timeout)|(PRM\|1\|D)|(kpr)|(kdp))" /e /r /s</v>
      </c>
      <c r="S40" s="9" t="str">
        <f t="shared" si="6"/>
        <v>4020</v>
      </c>
      <c r="T40" s="41">
        <f t="shared" si="7"/>
        <v>42590.596631944441</v>
      </c>
      <c r="U40" s="55" t="str">
        <f t="shared" si="8"/>
        <v>EC</v>
      </c>
      <c r="V40" s="55" t="str">
        <f t="shared" si="9"/>
        <v>KEEP</v>
      </c>
    </row>
    <row r="41" spans="1:22" x14ac:dyDescent="0.25">
      <c r="A41" s="41">
        <v>42590.269745370373</v>
      </c>
      <c r="B41" s="34" t="s">
        <v>108</v>
      </c>
      <c r="C41" s="34" t="s">
        <v>286</v>
      </c>
      <c r="D41" s="34" t="s">
        <v>49</v>
      </c>
      <c r="E41" s="34" t="s">
        <v>54</v>
      </c>
      <c r="F41" s="52">
        <v>0</v>
      </c>
      <c r="G41" s="52">
        <v>325</v>
      </c>
      <c r="H41" s="52">
        <v>224878</v>
      </c>
      <c r="I41" s="34" t="s">
        <v>55</v>
      </c>
      <c r="J41" s="52">
        <v>224244</v>
      </c>
      <c r="K41" s="34" t="s">
        <v>53</v>
      </c>
      <c r="L41" s="101" t="str">
        <f>VLOOKUP(C41,'Trips&amp;Operators'!$C$1:$E$9999,3,0)</f>
        <v>MALAVE</v>
      </c>
      <c r="M41" s="150" t="s">
        <v>94</v>
      </c>
      <c r="N41" s="10" t="s">
        <v>647</v>
      </c>
      <c r="O41" s="34"/>
      <c r="P41" s="119" t="str">
        <f>VLOOKUP(C41,'Train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41" s="123" t="str">
        <f>VLOOKUP(C41,'Train Runs'!$A$13:$AE$523,22,0)</f>
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1" s="126" t="str">
        <f t="shared" si="5"/>
        <v>"C:\Program Files (x86)\AstroGrep\AstroGrep.exe" /spath="%USERPROFILE%\AppData\Local\Temp\OnboardLogs" /stypes="*4008*201608081*" /stext=" 12:.+((SYSTEM_STATE.+slice.+state.+changed )|(ment ac)|(system.+state.+changed )|(\|lc)|(penalty)|(\[timeout)|(PRM\|1\|D)|(kpr)|(kdp))" /e /r /s</v>
      </c>
      <c r="S41" s="9" t="str">
        <f t="shared" si="6"/>
        <v>4008</v>
      </c>
      <c r="T41" s="41">
        <f t="shared" si="7"/>
        <v>42590.519745370373</v>
      </c>
      <c r="U41" s="55" t="str">
        <f t="shared" si="8"/>
        <v>EC</v>
      </c>
      <c r="V41" s="55" t="str">
        <f t="shared" si="9"/>
        <v>KEEP</v>
      </c>
    </row>
    <row r="42" spans="1:22" x14ac:dyDescent="0.25">
      <c r="A42" s="41">
        <v>42590.301712962966</v>
      </c>
      <c r="B42" s="34" t="s">
        <v>103</v>
      </c>
      <c r="C42" s="34" t="s">
        <v>288</v>
      </c>
      <c r="D42" s="34" t="s">
        <v>49</v>
      </c>
      <c r="E42" s="34" t="s">
        <v>54</v>
      </c>
      <c r="F42" s="52">
        <v>0</v>
      </c>
      <c r="G42" s="52">
        <v>46</v>
      </c>
      <c r="H42" s="52">
        <v>224444</v>
      </c>
      <c r="I42" s="34" t="s">
        <v>55</v>
      </c>
      <c r="J42" s="52">
        <v>224244</v>
      </c>
      <c r="K42" s="34" t="s">
        <v>53</v>
      </c>
      <c r="L42" s="101" t="str">
        <f>VLOOKUP(C42,'Trips&amp;Operators'!$C$1:$E$9999,3,0)</f>
        <v>SPECTOR</v>
      </c>
      <c r="M42" s="150" t="s">
        <v>94</v>
      </c>
      <c r="N42" s="10" t="s">
        <v>647</v>
      </c>
      <c r="O42" s="34"/>
      <c r="P42" s="119" t="str">
        <f>VLOOKUP(C42,'Train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42" s="123" t="str">
        <f>VLOOKUP(C42,'Train Runs'!$A$13:$AE$523,22,0)</f>
        <v>https://search-rtdc-monitor-bjffxe2xuh6vdkpspy63sjmuny.us-east-1.es.amazonaws.com/_plugin/kibana/#/discover/Steve-Slow-Train-Analysis-(2080s-and-2083s)?_g=(refreshInterval:(display:Off,section:0,value:0),time:(from:'2016-08-08 06:03:32-0600',mode:absolute,to:'2016-08-08 08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42" s="126" t="str">
        <f t="shared" si="5"/>
        <v>"C:\Program Files (x86)\AstroGrep\AstroGrep.exe" /spath="%USERPROFILE%\AppData\Local\Temp\OnboardLogs" /stypes="*4028*201608081*" /stext=" 13:.+((SYSTEM_STATE.+slice.+state.+changed )|(ment ac)|(system.+state.+changed )|(\|lc)|(penalty)|(\[timeout)|(PRM\|1\|D)|(kpr)|(kdp))" /e /r /s</v>
      </c>
      <c r="S42" s="9" t="str">
        <f t="shared" si="6"/>
        <v>4028</v>
      </c>
      <c r="T42" s="41">
        <f t="shared" si="7"/>
        <v>42590.551712962966</v>
      </c>
      <c r="U42" s="55" t="str">
        <f t="shared" si="8"/>
        <v>EC</v>
      </c>
      <c r="V42" s="55" t="str">
        <f t="shared" si="9"/>
        <v>KEEP</v>
      </c>
    </row>
    <row r="43" spans="1:22" x14ac:dyDescent="0.25">
      <c r="A43" s="41">
        <v>42590.270671296297</v>
      </c>
      <c r="B43" s="34" t="s">
        <v>108</v>
      </c>
      <c r="C43" s="34" t="s">
        <v>286</v>
      </c>
      <c r="D43" s="34" t="s">
        <v>134</v>
      </c>
      <c r="E43" s="34" t="s">
        <v>54</v>
      </c>
      <c r="F43" s="52">
        <v>200</v>
      </c>
      <c r="G43" s="52">
        <v>252</v>
      </c>
      <c r="H43" s="52">
        <v>222289</v>
      </c>
      <c r="I43" s="34" t="s">
        <v>55</v>
      </c>
      <c r="J43" s="52">
        <v>224244</v>
      </c>
      <c r="K43" s="34" t="s">
        <v>53</v>
      </c>
      <c r="L43" s="101" t="str">
        <f>VLOOKUP(C43,'Trips&amp;Operators'!$C$1:$E$9999,3,0)</f>
        <v>MALAVE</v>
      </c>
      <c r="M43" s="150" t="s">
        <v>94</v>
      </c>
      <c r="N43" s="10" t="s">
        <v>647</v>
      </c>
      <c r="O43" s="34"/>
      <c r="P43" s="119" t="str">
        <f>VLOOKUP(C43,'Train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43" s="123" t="str">
        <f>VLOOKUP(C43,'Train Runs'!$A$13:$AE$523,22,0)</f>
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3" s="126" t="str">
        <f t="shared" si="5"/>
        <v>"C:\Program Files (x86)\AstroGrep\AstroGrep.exe" /spath="%USERPROFILE%\AppData\Local\Temp\OnboardLogs" /stypes="*4008*201608081*" /stext=" 12:.+((SYSTEM_STATE.+slice.+state.+changed )|(ment ac)|(system.+state.+changed )|(\|lc)|(penalty)|(\[timeout)|(PRM\|1\|D)|(kpr)|(kdp))" /e /r /s</v>
      </c>
      <c r="S43" s="9" t="str">
        <f t="shared" si="6"/>
        <v>4008</v>
      </c>
      <c r="T43" s="41">
        <f t="shared" si="7"/>
        <v>42590.520671296297</v>
      </c>
      <c r="U43" s="55" t="str">
        <f t="shared" si="8"/>
        <v>EC</v>
      </c>
      <c r="V43" s="55" t="str">
        <f t="shared" si="9"/>
        <v>KEEP</v>
      </c>
    </row>
    <row r="44" spans="1:22" x14ac:dyDescent="0.25">
      <c r="A44" s="41">
        <v>42590.271261574075</v>
      </c>
      <c r="B44" s="34" t="s">
        <v>108</v>
      </c>
      <c r="C44" s="34" t="s">
        <v>286</v>
      </c>
      <c r="D44" s="34" t="s">
        <v>134</v>
      </c>
      <c r="E44" s="34" t="s">
        <v>54</v>
      </c>
      <c r="F44" s="52">
        <v>200</v>
      </c>
      <c r="G44" s="52">
        <v>266</v>
      </c>
      <c r="H44" s="52">
        <v>221218</v>
      </c>
      <c r="I44" s="34" t="s">
        <v>55</v>
      </c>
      <c r="J44" s="52">
        <v>224244</v>
      </c>
      <c r="K44" s="34" t="s">
        <v>53</v>
      </c>
      <c r="L44" s="101" t="str">
        <f>VLOOKUP(C44,'Trips&amp;Operators'!$C$1:$E$9999,3,0)</f>
        <v>MALAVE</v>
      </c>
      <c r="M44" s="150" t="s">
        <v>94</v>
      </c>
      <c r="N44" s="10" t="s">
        <v>647</v>
      </c>
      <c r="O44" s="34"/>
      <c r="P44" s="119" t="str">
        <f>VLOOKUP(C44,'Train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44" s="123" t="str">
        <f>VLOOKUP(C44,'Train Runs'!$A$13:$AE$523,22,0)</f>
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4" s="126" t="str">
        <f t="shared" si="5"/>
        <v>"C:\Program Files (x86)\AstroGrep\AstroGrep.exe" /spath="%USERPROFILE%\AppData\Local\Temp\OnboardLogs" /stypes="*4008*201608081*" /stext=" 12:.+((SYSTEM_STATE.+slice.+state.+changed )|(ment ac)|(system.+state.+changed )|(\|lc)|(penalty)|(\[timeout)|(PRM\|1\|D)|(kpr)|(kdp))" /e /r /s</v>
      </c>
      <c r="S44" s="9" t="str">
        <f t="shared" si="6"/>
        <v>4008</v>
      </c>
      <c r="T44" s="41">
        <f t="shared" si="7"/>
        <v>42590.521261574075</v>
      </c>
      <c r="U44" s="55" t="str">
        <f t="shared" si="8"/>
        <v>EC</v>
      </c>
      <c r="V44" s="55" t="str">
        <f t="shared" si="9"/>
        <v>KEEP</v>
      </c>
    </row>
    <row r="45" spans="1:22" x14ac:dyDescent="0.25">
      <c r="A45" s="41">
        <v>42590.244942129626</v>
      </c>
      <c r="B45" s="34" t="s">
        <v>143</v>
      </c>
      <c r="C45" s="34" t="s">
        <v>283</v>
      </c>
      <c r="D45" s="34" t="s">
        <v>49</v>
      </c>
      <c r="E45" s="34" t="s">
        <v>50</v>
      </c>
      <c r="F45" s="52">
        <v>0</v>
      </c>
      <c r="G45" s="52">
        <v>62</v>
      </c>
      <c r="H45" s="52">
        <v>232</v>
      </c>
      <c r="I45" s="34" t="s">
        <v>51</v>
      </c>
      <c r="J45" s="52">
        <v>1</v>
      </c>
      <c r="K45" s="34" t="s">
        <v>53</v>
      </c>
      <c r="L45" s="101" t="str">
        <f>VLOOKUP(C45,'Trips&amp;Operators'!$C$1:$E$9999,3,0)</f>
        <v>GEBRETEKLE</v>
      </c>
      <c r="M45" s="150" t="s">
        <v>95</v>
      </c>
      <c r="N45" s="10"/>
      <c r="O45" s="34"/>
      <c r="P45" s="119" t="str">
        <f>VLOOKUP(C45,'Train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Q45" s="123" t="str">
        <f>VLOOKUP(C45,'Train Runs'!$A$13:$AE$523,22,0)</f>
        <v>https://search-rtdc-monitor-bjffxe2xuh6vdkpspy63sjmuny.us-east-1.es.amazonaws.com/_plugin/kibana/#/discover/Steve-Slow-Train-Analysis-(2080s-and-2083s)?_g=(refreshInterval:(display:Off,section:0,value:0),time:(from:'2016-08-08 04:07:30-0600',mode:absolute,to:'2016-08-08 06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5" s="126" t="str">
        <f t="shared" si="5"/>
        <v>"C:\Program Files (x86)\AstroGrep\AstroGrep.exe" /spath="%USERPROFILE%\AppData\Local\Temp\OnboardLogs" /stypes="*4032*201608081*" /stext=" 11:.+((SYSTEM_STATE.+slice.+state.+changed )|(ment ac)|(system.+state.+changed )|(\|lc)|(penalty)|(\[timeout)|(PRM\|1\|D)|(kpr)|(kdp))" /e /r /s</v>
      </c>
      <c r="S45" s="9" t="str">
        <f t="shared" si="6"/>
        <v>4032</v>
      </c>
      <c r="T45" s="41">
        <f t="shared" si="7"/>
        <v>42590.494942129626</v>
      </c>
      <c r="U45" s="55" t="str">
        <f t="shared" si="8"/>
        <v>EC</v>
      </c>
      <c r="V45" s="55" t="str">
        <f t="shared" si="9"/>
        <v>KEEP</v>
      </c>
    </row>
    <row r="46" spans="1:22" x14ac:dyDescent="0.25">
      <c r="A46" s="41">
        <v>42590.245405092595</v>
      </c>
      <c r="B46" s="34" t="s">
        <v>143</v>
      </c>
      <c r="C46" s="34" t="s">
        <v>283</v>
      </c>
      <c r="D46" s="34" t="s">
        <v>49</v>
      </c>
      <c r="E46" s="34" t="s">
        <v>50</v>
      </c>
      <c r="F46" s="52">
        <v>0</v>
      </c>
      <c r="G46" s="52">
        <v>23</v>
      </c>
      <c r="H46" s="52">
        <v>183</v>
      </c>
      <c r="I46" s="34" t="s">
        <v>51</v>
      </c>
      <c r="J46" s="52">
        <v>1</v>
      </c>
      <c r="K46" s="34" t="s">
        <v>53</v>
      </c>
      <c r="L46" s="101" t="str">
        <f>VLOOKUP(C46,'Trips&amp;Operators'!$C$1:$E$9999,3,0)</f>
        <v>GEBRETEKLE</v>
      </c>
      <c r="M46" s="150" t="s">
        <v>95</v>
      </c>
      <c r="N46" s="10"/>
      <c r="O46" s="34"/>
      <c r="P46" s="119" t="str">
        <f>VLOOKUP(C46,'Train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Q46" s="123" t="str">
        <f>VLOOKUP(C46,'Train Runs'!$A$13:$AE$523,22,0)</f>
        <v>https://search-rtdc-monitor-bjffxe2xuh6vdkpspy63sjmuny.us-east-1.es.amazonaws.com/_plugin/kibana/#/discover/Steve-Slow-Train-Analysis-(2080s-and-2083s)?_g=(refreshInterval:(display:Off,section:0,value:0),time:(from:'2016-08-08 04:07:30-0600',mode:absolute,to:'2016-08-08 06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6" s="126" t="str">
        <f t="shared" si="5"/>
        <v>"C:\Program Files (x86)\AstroGrep\AstroGrep.exe" /spath="%USERPROFILE%\AppData\Local\Temp\OnboardLogs" /stypes="*4032*201608081*" /stext=" 11:.+((SYSTEM_STATE.+slice.+state.+changed )|(ment ac)|(system.+state.+changed )|(\|lc)|(penalty)|(\[timeout)|(PRM\|1\|D)|(kpr)|(kdp))" /e /r /s</v>
      </c>
      <c r="S46" s="9" t="str">
        <f t="shared" si="6"/>
        <v>4032</v>
      </c>
      <c r="T46" s="41">
        <f t="shared" si="7"/>
        <v>42590.495405092595</v>
      </c>
      <c r="U46" s="55" t="str">
        <f t="shared" si="8"/>
        <v>EC</v>
      </c>
      <c r="V46" s="55" t="str">
        <f t="shared" si="9"/>
        <v>KEEP</v>
      </c>
    </row>
    <row r="47" spans="1:22" x14ac:dyDescent="0.25">
      <c r="A47" s="41">
        <v>42590.431932870371</v>
      </c>
      <c r="B47" s="34" t="s">
        <v>138</v>
      </c>
      <c r="C47" s="34" t="s">
        <v>296</v>
      </c>
      <c r="D47" s="34" t="s">
        <v>49</v>
      </c>
      <c r="E47" s="34" t="s">
        <v>50</v>
      </c>
      <c r="F47" s="52">
        <v>0</v>
      </c>
      <c r="G47" s="52">
        <v>49</v>
      </c>
      <c r="H47" s="52">
        <v>165</v>
      </c>
      <c r="I47" s="34" t="s">
        <v>51</v>
      </c>
      <c r="J47" s="52">
        <v>1</v>
      </c>
      <c r="K47" s="34" t="s">
        <v>53</v>
      </c>
      <c r="L47" s="101" t="str">
        <f>VLOOKUP(C47,'Trips&amp;Operators'!$C$1:$E$9999,3,0)</f>
        <v>OUN</v>
      </c>
      <c r="M47" s="150" t="s">
        <v>95</v>
      </c>
      <c r="N47" s="10"/>
      <c r="O47" s="34"/>
      <c r="P47" s="119" t="str">
        <f>VLOOKUP(C47,'Train Runs'!$A$13:$AE$523,31,0)</f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Q47" s="123" t="str">
        <f>VLOOKUP(C47,'Train Runs'!$A$13:$AE$523,22,0)</f>
        <v>https://search-rtdc-monitor-bjffxe2xuh6vdkpspy63sjmuny.us-east-1.es.amazonaws.com/_plugin/kibana/#/discover/Steve-Slow-Train-Analysis-(2080s-and-2083s)?_g=(refreshInterval:(display:Off,section:0,value:0),time:(from:'2016-08-08 08:36:19-0600',mode:absolute,to:'2016-08-08 11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47" s="126" t="str">
        <f t="shared" si="5"/>
        <v>"C:\Program Files (x86)\AstroGrep\AstroGrep.exe" /spath="%USERPROFILE%\AppData\Local\Temp\OnboardLogs" /stypes="*4012*201608081*" /stext=" 16:.+((SYSTEM_STATE.+slice.+state.+changed )|(ment ac)|(system.+state.+changed )|(\|lc)|(penalty)|(\[timeout)|(PRM\|1\|D)|(kpr)|(kdp))" /e /r /s</v>
      </c>
      <c r="S47" s="9" t="str">
        <f t="shared" si="6"/>
        <v>4012</v>
      </c>
      <c r="T47" s="41">
        <f t="shared" si="7"/>
        <v>42590.681932870371</v>
      </c>
      <c r="U47" s="55" t="str">
        <f t="shared" si="8"/>
        <v>EC</v>
      </c>
      <c r="V47" s="55" t="str">
        <f t="shared" si="9"/>
        <v>KEEP</v>
      </c>
    </row>
    <row r="48" spans="1:22" x14ac:dyDescent="0.25">
      <c r="A48" s="41">
        <v>42590.652974537035</v>
      </c>
      <c r="B48" s="34" t="s">
        <v>138</v>
      </c>
      <c r="C48" s="34" t="s">
        <v>306</v>
      </c>
      <c r="D48" s="34" t="s">
        <v>49</v>
      </c>
      <c r="E48" s="34" t="s">
        <v>50</v>
      </c>
      <c r="F48" s="52">
        <v>0</v>
      </c>
      <c r="G48" s="52">
        <v>57</v>
      </c>
      <c r="H48" s="52">
        <v>201</v>
      </c>
      <c r="I48" s="34" t="s">
        <v>51</v>
      </c>
      <c r="J48" s="52">
        <v>1</v>
      </c>
      <c r="K48" s="34" t="s">
        <v>53</v>
      </c>
      <c r="L48" s="101" t="str">
        <f>VLOOKUP(C48,'Trips&amp;Operators'!$C$1:$E$9999,3,0)</f>
        <v>HELVIE</v>
      </c>
      <c r="M48" s="150" t="s">
        <v>95</v>
      </c>
      <c r="N48" s="10"/>
      <c r="O48" s="34"/>
      <c r="P48" s="119" t="str">
        <f>VLOOKUP(C48,'Train Runs'!$A$13:$AE$523,31,0)</f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Q48" s="123" t="str">
        <f>VLOOKUP(C48,'Train Runs'!$A$13:$AE$523,22,0)</f>
        <v>https://search-rtdc-monitor-bjffxe2xuh6vdkpspy63sjmuny.us-east-1.es.amazonaws.com/_plugin/kibana/#/discover/Steve-Slow-Train-Analysis-(2080s-and-2083s)?_g=(refreshInterval:(display:Off,section:0,value:0),time:(from:'2016-08-08 13:51:50-0600',mode:absolute,to:'2016-08-08 16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48" s="126" t="str">
        <f t="shared" si="5"/>
        <v>"C:\Program Files (x86)\AstroGrep\AstroGrep.exe" /spath="%USERPROFILE%\AppData\Local\Temp\OnboardLogs" /stypes="*4012*201608082*" /stext=" 21:.+((SYSTEM_STATE.+slice.+state.+changed )|(ment ac)|(system.+state.+changed )|(\|lc)|(penalty)|(\[timeout)|(PRM\|1\|D)|(kpr)|(kdp))" /e /r /s</v>
      </c>
      <c r="S48" s="9" t="str">
        <f t="shared" si="6"/>
        <v>4012</v>
      </c>
      <c r="T48" s="41">
        <f t="shared" si="7"/>
        <v>42590.902974537035</v>
      </c>
      <c r="U48" s="55" t="str">
        <f t="shared" si="8"/>
        <v>EC</v>
      </c>
      <c r="V48" s="55" t="str">
        <f t="shared" si="9"/>
        <v>KEEP</v>
      </c>
    </row>
    <row r="49" spans="1:22" x14ac:dyDescent="0.25">
      <c r="A49" s="41">
        <v>42590.673460648148</v>
      </c>
      <c r="B49" s="34" t="s">
        <v>101</v>
      </c>
      <c r="C49" s="34" t="s">
        <v>308</v>
      </c>
      <c r="D49" s="34" t="s">
        <v>49</v>
      </c>
      <c r="E49" s="34" t="s">
        <v>50</v>
      </c>
      <c r="F49" s="52">
        <v>0</v>
      </c>
      <c r="G49" s="52">
        <v>63</v>
      </c>
      <c r="H49" s="52">
        <v>227</v>
      </c>
      <c r="I49" s="34" t="s">
        <v>51</v>
      </c>
      <c r="J49" s="52">
        <v>1</v>
      </c>
      <c r="K49" s="34" t="s">
        <v>53</v>
      </c>
      <c r="L49" s="101" t="str">
        <f>VLOOKUP(C49,'Trips&amp;Operators'!$C$1:$E$9999,3,0)</f>
        <v>STEWART</v>
      </c>
      <c r="M49" s="150" t="s">
        <v>95</v>
      </c>
      <c r="N49" s="10"/>
      <c r="O49" s="34"/>
      <c r="P49" s="119" t="str">
        <f>VLOOKUP(C49,'Train Runs'!$A$13:$AE$523,31,0)</f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Q49" s="123" t="str">
        <f>VLOOKUP(C49,'Train Runs'!$A$13:$AE$523,22,0)</f>
        <v>https://search-rtdc-monitor-bjffxe2xuh6vdkpspy63sjmuny.us-east-1.es.amazonaws.com/_plugin/kibana/#/discover/Steve-Slow-Train-Analysis-(2080s-and-2083s)?_g=(refreshInterval:(display:Off,section:0,value:0),time:(from:'2016-08-08 14:20:56-0600',mode:absolute,to:'2016-08-08 17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49" s="126" t="str">
        <f t="shared" si="5"/>
        <v>"C:\Program Files (x86)\AstroGrep\AstroGrep.exe" /spath="%USERPROFILE%\AppData\Local\Temp\OnboardLogs" /stypes="*4013*201608082*" /stext=" 22:.+((SYSTEM_STATE.+slice.+state.+changed )|(ment ac)|(system.+state.+changed )|(\|lc)|(penalty)|(\[timeout)|(PRM\|1\|D)|(kpr)|(kdp))" /e /r /s</v>
      </c>
      <c r="S49" s="9" t="str">
        <f t="shared" si="6"/>
        <v>4013</v>
      </c>
      <c r="T49" s="41">
        <f t="shared" si="7"/>
        <v>42590.923460648148</v>
      </c>
      <c r="U49" s="55" t="str">
        <f t="shared" si="8"/>
        <v>EC</v>
      </c>
      <c r="V49" s="55" t="str">
        <f t="shared" si="9"/>
        <v>KEEP</v>
      </c>
    </row>
    <row r="50" spans="1:22" x14ac:dyDescent="0.25">
      <c r="A50" s="41">
        <v>42590.728125000001</v>
      </c>
      <c r="B50" s="34" t="s">
        <v>138</v>
      </c>
      <c r="C50" s="34" t="s">
        <v>314</v>
      </c>
      <c r="D50" s="34" t="s">
        <v>49</v>
      </c>
      <c r="E50" s="34" t="s">
        <v>50</v>
      </c>
      <c r="F50" s="52">
        <v>0</v>
      </c>
      <c r="G50" s="52">
        <v>60</v>
      </c>
      <c r="H50" s="52">
        <v>216</v>
      </c>
      <c r="I50" s="34" t="s">
        <v>51</v>
      </c>
      <c r="J50" s="52">
        <v>1</v>
      </c>
      <c r="K50" s="34" t="s">
        <v>53</v>
      </c>
      <c r="L50" s="101" t="str">
        <f>VLOOKUP(C50,'Trips&amp;Operators'!$C$1:$E$9999,3,0)</f>
        <v>HELVIE</v>
      </c>
      <c r="M50" s="150" t="s">
        <v>95</v>
      </c>
      <c r="N50" s="10"/>
      <c r="O50" s="34"/>
      <c r="P50" s="119" t="str">
        <f>VLOOKUP(C50,'Train Runs'!$A$13:$AE$523,31,0)</f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Q50" s="123" t="str">
        <f>VLOOKUP(C50,'Train Runs'!$A$13:$AE$523,22,0)</f>
        <v>https://search-rtdc-monitor-bjffxe2xuh6vdkpspy63sjmuny.us-east-1.es.amazonaws.com/_plugin/kibana/#/discover/Steve-Slow-Train-Analysis-(2080s-and-2083s)?_g=(refreshInterval:(display:Off,section:0,value:0),time:(from:'2016-08-08 15:36:13-0600',mode:absolute,to:'2016-08-08 18:28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50" s="126" t="str">
        <f t="shared" si="5"/>
        <v>"C:\Program Files (x86)\AstroGrep\AstroGrep.exe" /spath="%USERPROFILE%\AppData\Local\Temp\OnboardLogs" /stypes="*4012*201608082*" /stext=" 23:.+((SYSTEM_STATE.+slice.+state.+changed )|(ment ac)|(system.+state.+changed )|(\|lc)|(penalty)|(\[timeout)|(PRM\|1\|D)|(kpr)|(kdp))" /e /r /s</v>
      </c>
      <c r="S50" s="9" t="str">
        <f t="shared" si="6"/>
        <v>4012</v>
      </c>
      <c r="T50" s="41">
        <f t="shared" si="7"/>
        <v>42590.978125000001</v>
      </c>
      <c r="U50" s="55" t="str">
        <f t="shared" si="8"/>
        <v>EC</v>
      </c>
      <c r="V50" s="55" t="str">
        <f t="shared" si="9"/>
        <v>KEEP</v>
      </c>
    </row>
    <row r="51" spans="1:22" x14ac:dyDescent="0.25">
      <c r="A51" s="41">
        <v>42590.755254629628</v>
      </c>
      <c r="B51" s="34" t="s">
        <v>66</v>
      </c>
      <c r="C51" s="34" t="s">
        <v>315</v>
      </c>
      <c r="D51" s="34" t="s">
        <v>49</v>
      </c>
      <c r="E51" s="34" t="s">
        <v>50</v>
      </c>
      <c r="F51" s="52">
        <v>0</v>
      </c>
      <c r="G51" s="52">
        <v>46</v>
      </c>
      <c r="H51" s="52">
        <v>161</v>
      </c>
      <c r="I51" s="34" t="s">
        <v>51</v>
      </c>
      <c r="J51" s="52">
        <v>1</v>
      </c>
      <c r="K51" s="34" t="s">
        <v>53</v>
      </c>
      <c r="L51" s="101" t="str">
        <f>VLOOKUP(C51,'Trips&amp;Operators'!$C$1:$E$9999,3,0)</f>
        <v>BARTLETT</v>
      </c>
      <c r="M51" s="150" t="s">
        <v>95</v>
      </c>
      <c r="N51" s="10"/>
      <c r="O51" s="34"/>
      <c r="P51" s="119" t="str">
        <f>VLOOKUP(C51,'Train Runs'!$A$13:$AE$523,31,0)</f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Q51" s="123" t="str">
        <f>VLOOKUP(C51,'Train Runs'!$A$13:$AE$523,22,0)</f>
        <v>https://search-rtdc-monitor-bjffxe2xuh6vdkpspy63sjmuny.us-east-1.es.amazonaws.com/_plugin/kibana/#/discover/Steve-Slow-Train-Analysis-(2080s-and-2083s)?_g=(refreshInterval:(display:Off,section:0,value:0),time:(from:'2016-08-08 16:14:35-0600',mode:absolute,to:'2016-08-08 19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51" s="126" t="str">
        <f t="shared" si="5"/>
        <v>"C:\Program Files (x86)\AstroGrep\AstroGrep.exe" /spath="%USERPROFILE%\AppData\Local\Temp\OnboardLogs" /stypes="*4019*201608090*" /stext=" 00:.+((SYSTEM_STATE.+slice.+state.+changed )|(ment ac)|(system.+state.+changed )|(\|lc)|(penalty)|(\[timeout)|(PRM\|1\|D)|(kpr)|(kdp))" /e /r /s</v>
      </c>
      <c r="S51" s="9" t="str">
        <f t="shared" si="6"/>
        <v>4019</v>
      </c>
      <c r="T51" s="41">
        <f t="shared" si="7"/>
        <v>42591.005254629628</v>
      </c>
      <c r="U51" s="55" t="str">
        <f t="shared" si="8"/>
        <v>EC</v>
      </c>
      <c r="V51" s="55" t="str">
        <f t="shared" si="9"/>
        <v>KEEP</v>
      </c>
    </row>
    <row r="52" spans="1:22" x14ac:dyDescent="0.25">
      <c r="A52" s="41">
        <v>42590.818101851852</v>
      </c>
      <c r="B52" s="34" t="s">
        <v>101</v>
      </c>
      <c r="C52" s="34" t="s">
        <v>323</v>
      </c>
      <c r="D52" s="34" t="s">
        <v>49</v>
      </c>
      <c r="E52" s="34" t="s">
        <v>50</v>
      </c>
      <c r="F52" s="52">
        <v>0</v>
      </c>
      <c r="G52" s="52">
        <v>36</v>
      </c>
      <c r="H52" s="52">
        <v>121</v>
      </c>
      <c r="I52" s="34" t="s">
        <v>51</v>
      </c>
      <c r="J52" s="52">
        <v>1</v>
      </c>
      <c r="K52" s="34" t="s">
        <v>53</v>
      </c>
      <c r="L52" s="101" t="str">
        <f>VLOOKUP(C52,'Trips&amp;Operators'!$C$1:$E$9999,3,0)</f>
        <v>SHOOK</v>
      </c>
      <c r="M52" s="150" t="s">
        <v>95</v>
      </c>
      <c r="N52" s="10"/>
      <c r="O52" s="34"/>
      <c r="P52" s="119" t="str">
        <f>VLOOKUP(C52,'Train Runs'!$A$13:$AE$523,31,0)</f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Q52" s="123" t="str">
        <f>VLOOKUP(C52,'Train Runs'!$A$13:$AE$523,22,0)</f>
        <v>https://search-rtdc-monitor-bjffxe2xuh6vdkpspy63sjmuny.us-east-1.es.amazonaws.com/_plugin/kibana/#/discover/Steve-Slow-Train-Analysis-(2080s-and-2083s)?_g=(refreshInterval:(display:Off,section:0,value:0),time:(from:'2016-08-08 17:54:22-0600',mode:absolute,to:'2016-08-08 20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2" s="126" t="str">
        <f t="shared" si="5"/>
        <v>"C:\Program Files (x86)\AstroGrep\AstroGrep.exe" /spath="%USERPROFILE%\AppData\Local\Temp\OnboardLogs" /stypes="*4013*201608090*" /stext=" 01:.+((SYSTEM_STATE.+slice.+state.+changed )|(ment ac)|(system.+state.+changed )|(\|lc)|(penalty)|(\[timeout)|(PRM\|1\|D)|(kpr)|(kdp))" /e /r /s</v>
      </c>
      <c r="S52" s="9" t="str">
        <f t="shared" si="6"/>
        <v>4013</v>
      </c>
      <c r="T52" s="41">
        <f t="shared" si="7"/>
        <v>42591.068101851852</v>
      </c>
      <c r="U52" s="55" t="str">
        <f t="shared" si="8"/>
        <v>EC</v>
      </c>
      <c r="V52" s="55" t="str">
        <f t="shared" si="9"/>
        <v>KEEP</v>
      </c>
    </row>
    <row r="53" spans="1:22" x14ac:dyDescent="0.25">
      <c r="A53" s="41">
        <v>42590.835046296299</v>
      </c>
      <c r="B53" s="34" t="s">
        <v>66</v>
      </c>
      <c r="C53" s="34" t="s">
        <v>324</v>
      </c>
      <c r="D53" s="34" t="s">
        <v>49</v>
      </c>
      <c r="E53" s="34" t="s">
        <v>50</v>
      </c>
      <c r="F53" s="52">
        <v>0</v>
      </c>
      <c r="G53" s="52">
        <v>68</v>
      </c>
      <c r="H53" s="52">
        <v>216</v>
      </c>
      <c r="I53" s="34" t="s">
        <v>51</v>
      </c>
      <c r="J53" s="52">
        <v>1</v>
      </c>
      <c r="K53" s="34" t="s">
        <v>53</v>
      </c>
      <c r="L53" s="101" t="str">
        <f>VLOOKUP(C53,'Trips&amp;Operators'!$C$1:$E$9999,3,0)</f>
        <v>CHANDLER</v>
      </c>
      <c r="M53" s="150" t="s">
        <v>95</v>
      </c>
      <c r="N53" s="10"/>
      <c r="O53" s="34"/>
      <c r="P53" s="119" t="str">
        <f>VLOOKUP(C53,'Train Runs'!$A$13:$AE$523,31,0)</f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Q53" s="123" t="str">
        <f>VLOOKUP(C53,'Train Runs'!$A$13:$AE$523,22,0)</f>
        <v>https://search-rtdc-monitor-bjffxe2xuh6vdkpspy63sjmuny.us-east-1.es.amazonaws.com/_plugin/kibana/#/discover/Steve-Slow-Train-Analysis-(2080s-and-2083s)?_g=(refreshInterval:(display:Off,section:0,value:0),time:(from:'2016-08-08 18:07:28-0600',mode:absolute,to:'2016-08-08 21:02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53" s="126" t="str">
        <f t="shared" si="5"/>
        <v>"C:\Program Files (x86)\AstroGrep\AstroGrep.exe" /spath="%USERPROFILE%\AppData\Local\Temp\OnboardLogs" /stypes="*4019*201608090*" /stext=" 02:.+((SYSTEM_STATE.+slice.+state.+changed )|(ment ac)|(system.+state.+changed )|(\|lc)|(penalty)|(\[timeout)|(PRM\|1\|D)|(kpr)|(kdp))" /e /r /s</v>
      </c>
      <c r="S53" s="9" t="str">
        <f t="shared" si="6"/>
        <v>4019</v>
      </c>
      <c r="T53" s="41">
        <f t="shared" si="7"/>
        <v>42591.085046296299</v>
      </c>
      <c r="U53" s="55" t="str">
        <f t="shared" si="8"/>
        <v>EC</v>
      </c>
      <c r="V53" s="55" t="str">
        <f t="shared" si="9"/>
        <v>KEEP</v>
      </c>
    </row>
    <row r="54" spans="1:22" x14ac:dyDescent="0.25">
      <c r="A54" s="41">
        <v>42590.162268518521</v>
      </c>
      <c r="B54" s="34" t="s">
        <v>104</v>
      </c>
      <c r="C54" s="34" t="s">
        <v>280</v>
      </c>
      <c r="D54" s="34" t="s">
        <v>49</v>
      </c>
      <c r="E54" s="34" t="s">
        <v>50</v>
      </c>
      <c r="F54" s="52">
        <v>0</v>
      </c>
      <c r="G54" s="52">
        <v>101</v>
      </c>
      <c r="H54" s="52">
        <v>233025</v>
      </c>
      <c r="I54" s="34" t="s">
        <v>51</v>
      </c>
      <c r="J54" s="52">
        <v>233491</v>
      </c>
      <c r="K54" s="34" t="s">
        <v>52</v>
      </c>
      <c r="L54" s="101" t="str">
        <f>VLOOKUP(C54,'Trips&amp;Operators'!$C$1:$E$9999,3,0)</f>
        <v>OUN</v>
      </c>
      <c r="M54" s="150" t="s">
        <v>95</v>
      </c>
      <c r="N54" s="10"/>
      <c r="O54" s="34"/>
      <c r="P54" s="119" t="str">
        <f>VLOOKUP(C54,'Train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54" s="123" t="str">
        <f>VLOOKUP(C54,'Train Runs'!$A$13:$AE$523,22,0)</f>
        <v>https://search-rtdc-monitor-bjffxe2xuh6vdkpspy63sjmuny.us-east-1.es.amazonaws.com/_plugin/kibana/#/discover/Steve-Slow-Train-Analysis-(2080s-and-2083s)?_g=(refreshInterval:(display:Off,section:0,value:0),time:(from:'2016-08-08 02:03:11-0600',mode:absolute,to:'2016-08-08 04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54" s="126" t="str">
        <f t="shared" si="5"/>
        <v>"C:\Program Files (x86)\AstroGrep\AstroGrep.exe" /spath="%USERPROFILE%\AppData\Local\Temp\OnboardLogs" /stypes="*4029*201608080*" /stext=" 09:.+((SYSTEM_STATE.+slice.+state.+changed )|(ment ac)|(system.+state.+changed )|(\|lc)|(penalty)|(\[timeout)|(PRM\|1\|D)|(kpr)|(kdp))" /e /r /s</v>
      </c>
      <c r="S54" s="9" t="str">
        <f t="shared" si="6"/>
        <v>4029</v>
      </c>
      <c r="T54" s="41">
        <f t="shared" si="7"/>
        <v>42590.412268518521</v>
      </c>
      <c r="U54" s="55" t="str">
        <f t="shared" si="8"/>
        <v>EC</v>
      </c>
      <c r="V54" s="55" t="str">
        <f t="shared" si="9"/>
        <v>KEEP</v>
      </c>
    </row>
    <row r="55" spans="1:22" x14ac:dyDescent="0.25">
      <c r="A55" s="41">
        <v>42590.162673611114</v>
      </c>
      <c r="B55" s="34" t="s">
        <v>104</v>
      </c>
      <c r="C55" s="34" t="s">
        <v>280</v>
      </c>
      <c r="D55" s="34" t="s">
        <v>49</v>
      </c>
      <c r="E55" s="34" t="s">
        <v>50</v>
      </c>
      <c r="F55" s="52">
        <v>0</v>
      </c>
      <c r="G55" s="52">
        <v>42</v>
      </c>
      <c r="H55" s="52">
        <v>233186</v>
      </c>
      <c r="I55" s="34" t="s">
        <v>51</v>
      </c>
      <c r="J55" s="52">
        <v>233491</v>
      </c>
      <c r="K55" s="34" t="s">
        <v>52</v>
      </c>
      <c r="L55" s="101" t="str">
        <f>VLOOKUP(C55,'Trips&amp;Operators'!$C$1:$E$9999,3,0)</f>
        <v>OUN</v>
      </c>
      <c r="M55" s="150" t="s">
        <v>95</v>
      </c>
      <c r="N55" s="10"/>
      <c r="O55" s="34"/>
      <c r="P55" s="119" t="str">
        <f>VLOOKUP(C55,'Train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55" s="123" t="str">
        <f>VLOOKUP(C55,'Train Runs'!$A$13:$AE$523,22,0)</f>
        <v>https://search-rtdc-monitor-bjffxe2xuh6vdkpspy63sjmuny.us-east-1.es.amazonaws.com/_plugin/kibana/#/discover/Steve-Slow-Train-Analysis-(2080s-and-2083s)?_g=(refreshInterval:(display:Off,section:0,value:0),time:(from:'2016-08-08 02:03:11-0600',mode:absolute,to:'2016-08-08 04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55" s="126" t="str">
        <f t="shared" si="5"/>
        <v>"C:\Program Files (x86)\AstroGrep\AstroGrep.exe" /spath="%USERPROFILE%\AppData\Local\Temp\OnboardLogs" /stypes="*4029*201608080*" /stext=" 09:.+((SYSTEM_STATE.+slice.+state.+changed )|(ment ac)|(system.+state.+changed )|(\|lc)|(penalty)|(\[timeout)|(PRM\|1\|D)|(kpr)|(kdp))" /e /r /s</v>
      </c>
      <c r="S55" s="9" t="str">
        <f t="shared" si="6"/>
        <v>4029</v>
      </c>
      <c r="T55" s="41">
        <f t="shared" si="7"/>
        <v>42590.412673611114</v>
      </c>
      <c r="U55" s="55" t="str">
        <f t="shared" si="8"/>
        <v>EC</v>
      </c>
      <c r="V55" s="55" t="str">
        <f t="shared" si="9"/>
        <v>KEEP</v>
      </c>
    </row>
    <row r="56" spans="1:22" x14ac:dyDescent="0.25">
      <c r="A56" s="41">
        <v>42590.307337962964</v>
      </c>
      <c r="B56" s="34" t="s">
        <v>104</v>
      </c>
      <c r="C56" s="34" t="s">
        <v>289</v>
      </c>
      <c r="D56" s="34" t="s">
        <v>49</v>
      </c>
      <c r="E56" s="34" t="s">
        <v>50</v>
      </c>
      <c r="F56" s="52">
        <v>0</v>
      </c>
      <c r="G56" s="52">
        <v>42</v>
      </c>
      <c r="H56" s="52">
        <v>233305</v>
      </c>
      <c r="I56" s="34" t="s">
        <v>51</v>
      </c>
      <c r="J56" s="52">
        <v>233491</v>
      </c>
      <c r="K56" s="34" t="s">
        <v>52</v>
      </c>
      <c r="L56" s="101" t="str">
        <f>VLOOKUP(C56,'Trips&amp;Operators'!$C$1:$E$9999,3,0)</f>
        <v>STARKS</v>
      </c>
      <c r="M56" s="150" t="s">
        <v>95</v>
      </c>
      <c r="N56" s="10"/>
      <c r="O56" s="34"/>
      <c r="P56" s="119" t="str">
        <f>VLOOKUP(C56,'Train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56" s="123" t="str">
        <f>VLOOKUP(C56,'Train Runs'!$A$13:$AE$523,22,0)</f>
        <v>https://search-rtdc-monitor-bjffxe2xuh6vdkpspy63sjmuny.us-east-1.es.amazonaws.com/_plugin/kibana/#/discover/Steve-Slow-Train-Analysis-(2080s-and-2083s)?_g=(refreshInterval:(display:Off,section:0,value:0),time:(from:'2016-08-08 05:43:15-0600',mode:absolute,to:'2016-08-08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56" s="126" t="str">
        <f t="shared" si="5"/>
        <v>"C:\Program Files (x86)\AstroGrep\AstroGrep.exe" /spath="%USERPROFILE%\AppData\Local\Temp\OnboardLogs" /stypes="*4029*201608081*" /stext=" 13:.+((SYSTEM_STATE.+slice.+state.+changed )|(ment ac)|(system.+state.+changed )|(\|lc)|(penalty)|(\[timeout)|(PRM\|1\|D)|(kpr)|(kdp))" /e /r /s</v>
      </c>
      <c r="S56" s="9" t="str">
        <f t="shared" si="6"/>
        <v>4029</v>
      </c>
      <c r="T56" s="41">
        <f t="shared" si="7"/>
        <v>42590.557337962964</v>
      </c>
      <c r="U56" s="55" t="str">
        <f t="shared" si="8"/>
        <v>EC</v>
      </c>
      <c r="V56" s="55" t="str">
        <f t="shared" si="9"/>
        <v>KEEP</v>
      </c>
    </row>
    <row r="57" spans="1:22" x14ac:dyDescent="0.25">
      <c r="A57" s="41">
        <v>42590.382152777776</v>
      </c>
      <c r="B57" s="34" t="s">
        <v>104</v>
      </c>
      <c r="C57" s="34" t="s">
        <v>294</v>
      </c>
      <c r="D57" s="34" t="s">
        <v>49</v>
      </c>
      <c r="E57" s="34" t="s">
        <v>50</v>
      </c>
      <c r="F57" s="52">
        <v>0</v>
      </c>
      <c r="G57" s="52">
        <v>147</v>
      </c>
      <c r="H57" s="52">
        <v>232826</v>
      </c>
      <c r="I57" s="34" t="s">
        <v>51</v>
      </c>
      <c r="J57" s="52">
        <v>233491</v>
      </c>
      <c r="K57" s="34" t="s">
        <v>52</v>
      </c>
      <c r="L57" s="101" t="str">
        <f>VLOOKUP(C57,'Trips&amp;Operators'!$C$1:$E$9999,3,0)</f>
        <v>STARKS</v>
      </c>
      <c r="M57" s="150" t="s">
        <v>95</v>
      </c>
      <c r="N57" s="10"/>
      <c r="O57" s="34"/>
      <c r="P57" s="119" t="str">
        <f>VLOOKUP(C57,'Train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57" s="123" t="str">
        <f>VLOOKUP(C57,'Train Runs'!$A$13:$AE$523,22,0)</f>
        <v>https://search-rtdc-monitor-bjffxe2xuh6vdkpspy63sjmuny.us-east-1.es.amazonaws.com/_plugin/kibana/#/discover/Steve-Slow-Train-Analysis-(2080s-and-2083s)?_g=(refreshInterval:(display:Off,section:0,value:0),time:(from:'2016-08-08 07:25:21-0600',mode:absolute,to:'2016-08-08 10:11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57" s="126" t="str">
        <f t="shared" si="5"/>
        <v>"C:\Program Files (x86)\AstroGrep\AstroGrep.exe" /spath="%USERPROFILE%\AppData\Local\Temp\OnboardLogs" /stypes="*4029*201608081*" /stext=" 15:.+((SYSTEM_STATE.+slice.+state.+changed )|(ment ac)|(system.+state.+changed )|(\|lc)|(penalty)|(\[timeout)|(PRM\|1\|D)|(kpr)|(kdp))" /e /r /s</v>
      </c>
      <c r="S57" s="9" t="str">
        <f t="shared" si="6"/>
        <v>4029</v>
      </c>
      <c r="T57" s="41">
        <f t="shared" si="7"/>
        <v>42590.632152777776</v>
      </c>
      <c r="U57" s="55" t="str">
        <f t="shared" si="8"/>
        <v>EC</v>
      </c>
      <c r="V57" s="55" t="str">
        <f t="shared" si="9"/>
        <v>KEEP</v>
      </c>
    </row>
    <row r="58" spans="1:22" x14ac:dyDescent="0.25">
      <c r="A58" s="41">
        <v>42590.577268518522</v>
      </c>
      <c r="B58" s="34" t="s">
        <v>106</v>
      </c>
      <c r="C58" s="34" t="s">
        <v>302</v>
      </c>
      <c r="D58" s="34" t="s">
        <v>49</v>
      </c>
      <c r="E58" s="34" t="s">
        <v>50</v>
      </c>
      <c r="F58" s="52">
        <v>0</v>
      </c>
      <c r="G58" s="52">
        <v>55</v>
      </c>
      <c r="H58" s="52">
        <v>233299</v>
      </c>
      <c r="I58" s="34" t="s">
        <v>51</v>
      </c>
      <c r="J58" s="52">
        <v>233491</v>
      </c>
      <c r="K58" s="34" t="s">
        <v>52</v>
      </c>
      <c r="L58" s="101" t="str">
        <f>VLOOKUP(C58,'Trips&amp;Operators'!$C$1:$E$9999,3,0)</f>
        <v>STORY</v>
      </c>
      <c r="M58" s="150" t="s">
        <v>95</v>
      </c>
      <c r="N58" s="10"/>
      <c r="O58" s="34"/>
      <c r="P58" s="119" t="str">
        <f>VLOOKUP(C58,'Train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58" s="123" t="str">
        <f>VLOOKUP(C58,'Train Runs'!$A$13:$AE$523,22,0)</f>
        <v>https://search-rtdc-monitor-bjffxe2xuh6vdkpspy63sjmuny.us-east-1.es.amazonaws.com/_plugin/kibana/#/discover/Steve-Slow-Train-Analysis-(2080s-and-2083s)?_g=(refreshInterval:(display:Off,section:0,value:0),time:(from:'2016-08-08 12:12:23-0600',mode:absolute,to:'2016-08-08 14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58" s="126" t="str">
        <f t="shared" si="5"/>
        <v>"C:\Program Files (x86)\AstroGrep\AstroGrep.exe" /spath="%USERPROFILE%\AppData\Local\Temp\OnboardLogs" /stypes="*4027*201608081*" /stext=" 19:.+((SYSTEM_STATE.+slice.+state.+changed )|(ment ac)|(system.+state.+changed )|(\|lc)|(penalty)|(\[timeout)|(PRM\|1\|D)|(kpr)|(kdp))" /e /r /s</v>
      </c>
      <c r="S58" s="9" t="str">
        <f t="shared" si="6"/>
        <v>4027</v>
      </c>
      <c r="T58" s="41">
        <f t="shared" si="7"/>
        <v>42590.827268518522</v>
      </c>
      <c r="U58" s="55" t="str">
        <f t="shared" si="8"/>
        <v>EC</v>
      </c>
      <c r="V58" s="55" t="str">
        <f t="shared" si="9"/>
        <v>KEEP</v>
      </c>
    </row>
    <row r="59" spans="1:22" x14ac:dyDescent="0.25">
      <c r="A59" s="41">
        <v>42590.631145833337</v>
      </c>
      <c r="B59" s="34" t="s">
        <v>140</v>
      </c>
      <c r="C59" s="34" t="s">
        <v>305</v>
      </c>
      <c r="D59" s="34" t="s">
        <v>49</v>
      </c>
      <c r="E59" s="34" t="s">
        <v>50</v>
      </c>
      <c r="F59" s="52">
        <v>0</v>
      </c>
      <c r="G59" s="52">
        <v>71</v>
      </c>
      <c r="H59" s="52">
        <v>233238</v>
      </c>
      <c r="I59" s="34" t="s">
        <v>51</v>
      </c>
      <c r="J59" s="52">
        <v>233491</v>
      </c>
      <c r="K59" s="34" t="s">
        <v>52</v>
      </c>
      <c r="L59" s="101" t="str">
        <f>VLOOKUP(C59,'Trips&amp;Operators'!$C$1:$E$9999,3,0)</f>
        <v>STEWART</v>
      </c>
      <c r="M59" s="150" t="s">
        <v>95</v>
      </c>
      <c r="N59" s="10"/>
      <c r="O59" s="34"/>
      <c r="P59" s="119" t="str">
        <f>VLOOKUP(C59,'Train Runs'!$A$13:$AE$523,31,0)</f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Q59" s="123" t="str">
        <f>VLOOKUP(C59,'Train Runs'!$A$13:$AE$523,22,0)</f>
        <v>https://search-rtdc-monitor-bjffxe2xuh6vdkpspy63sjmuny.us-east-1.es.amazonaws.com/_plugin/kibana/#/discover/Steve-Slow-Train-Analysis-(2080s-and-2083s)?_g=(refreshInterval:(display:Off,section:0,value:0),time:(from:'2016-08-08 13:26:37-0600',mode:absolute,to:'2016-08-08 16:09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59" s="126" t="str">
        <f t="shared" si="5"/>
        <v>"C:\Program Files (x86)\AstroGrep\AstroGrep.exe" /spath="%USERPROFILE%\AppData\Local\Temp\OnboardLogs" /stypes="*4014*201608082*" /stext=" 21:.+((SYSTEM_STATE.+slice.+state.+changed )|(ment ac)|(system.+state.+changed )|(\|lc)|(penalty)|(\[timeout)|(PRM\|1\|D)|(kpr)|(kdp))" /e /r /s</v>
      </c>
      <c r="S59" s="9" t="str">
        <f t="shared" si="6"/>
        <v>4014</v>
      </c>
      <c r="T59" s="41">
        <f t="shared" si="7"/>
        <v>42590.881145833337</v>
      </c>
      <c r="U59" s="55" t="str">
        <f t="shared" si="8"/>
        <v>EC</v>
      </c>
      <c r="V59" s="55" t="str">
        <f t="shared" si="9"/>
        <v>KEEP</v>
      </c>
    </row>
    <row r="60" spans="1:22" x14ac:dyDescent="0.25">
      <c r="A60" s="41">
        <v>42590.706469907411</v>
      </c>
      <c r="B60" s="34" t="s">
        <v>140</v>
      </c>
      <c r="C60" s="34" t="s">
        <v>310</v>
      </c>
      <c r="D60" s="34" t="s">
        <v>49</v>
      </c>
      <c r="E60" s="34" t="s">
        <v>50</v>
      </c>
      <c r="F60" s="52">
        <v>0</v>
      </c>
      <c r="G60" s="52">
        <v>110</v>
      </c>
      <c r="H60" s="52">
        <v>232955</v>
      </c>
      <c r="I60" s="34" t="s">
        <v>51</v>
      </c>
      <c r="J60" s="52">
        <v>233491</v>
      </c>
      <c r="K60" s="34" t="s">
        <v>52</v>
      </c>
      <c r="L60" s="101" t="str">
        <f>VLOOKUP(C60,'Trips&amp;Operators'!$C$1:$E$9999,3,0)</f>
        <v>STEWART</v>
      </c>
      <c r="M60" s="150" t="s">
        <v>95</v>
      </c>
      <c r="N60" s="10"/>
      <c r="O60" s="34"/>
      <c r="P60" s="119" t="str">
        <f>VLOOKUP(C60,'Train Runs'!$A$13:$AE$523,31,0)</f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Q60" s="123" t="str">
        <f>VLOOKUP(C60,'Train Runs'!$A$13:$AE$523,22,0)</f>
        <v>https://search-rtdc-monitor-bjffxe2xuh6vdkpspy63sjmuny.us-east-1.es.amazonaws.com/_plugin/kibana/#/discover/Steve-Slow-Train-Analysis-(2080s-and-2083s)?_g=(refreshInterval:(display:Off,section:0,value:0),time:(from:'2016-08-08 15:14:17-0600',mode:absolute,to:'2016-08-08 17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60" s="126" t="str">
        <f t="shared" si="5"/>
        <v>"C:\Program Files (x86)\AstroGrep\AstroGrep.exe" /spath="%USERPROFILE%\AppData\Local\Temp\OnboardLogs" /stypes="*4014*201608082*" /stext=" 22:.+((SYSTEM_STATE.+slice.+state.+changed )|(ment ac)|(system.+state.+changed )|(\|lc)|(penalty)|(\[timeout)|(PRM\|1\|D)|(kpr)|(kdp))" /e /r /s</v>
      </c>
      <c r="S60" s="9" t="str">
        <f t="shared" si="6"/>
        <v>4014</v>
      </c>
      <c r="T60" s="41">
        <f t="shared" si="7"/>
        <v>42590.956469907411</v>
      </c>
      <c r="U60" s="55" t="str">
        <f t="shared" si="8"/>
        <v>EC</v>
      </c>
      <c r="V60" s="55" t="str">
        <f t="shared" si="9"/>
        <v>KEEP</v>
      </c>
    </row>
    <row r="61" spans="1:22" x14ac:dyDescent="0.25">
      <c r="A61" s="41">
        <v>42590.893831018519</v>
      </c>
      <c r="B61" s="34" t="s">
        <v>142</v>
      </c>
      <c r="C61" s="34" t="s">
        <v>326</v>
      </c>
      <c r="D61" s="34" t="s">
        <v>49</v>
      </c>
      <c r="E61" s="34" t="s">
        <v>56</v>
      </c>
      <c r="F61" s="52">
        <v>300</v>
      </c>
      <c r="G61" s="52">
        <v>454</v>
      </c>
      <c r="H61" s="52">
        <v>18767</v>
      </c>
      <c r="I61" s="34" t="s">
        <v>57</v>
      </c>
      <c r="J61" s="52">
        <v>21314</v>
      </c>
      <c r="K61" s="34" t="s">
        <v>52</v>
      </c>
      <c r="L61" s="101" t="str">
        <f>VLOOKUP(C61,'Trips&amp;Operators'!$C$1:$E$9999,3,0)</f>
        <v>COOLAHAN</v>
      </c>
      <c r="M61" s="150" t="s">
        <v>95</v>
      </c>
      <c r="N61" s="10"/>
      <c r="O61" s="34"/>
      <c r="P61" s="119" t="str">
        <f>VLOOKUP(C61,'Train Runs'!$A$13:$AE$523,31,0)</f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Q61" s="123" t="str">
        <f>VLOOKUP(C61,'Train Runs'!$A$13:$AE$523,22,0)</f>
        <v>https://search-rtdc-monitor-bjffxe2xuh6vdkpspy63sjmuny.us-east-1.es.amazonaws.com/_plugin/kibana/#/discover/Steve-Slow-Train-Analysis-(2080s-and-2083s)?_g=(refreshInterval:(display:Off,section:0,value:0),time:(from:'2016-08-08 20:09:50-0600',mode:absolute,to:'2016-08-08 22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61" s="126" t="str">
        <f t="shared" si="5"/>
        <v>"C:\Program Files (x86)\AstroGrep\AstroGrep.exe" /spath="%USERPROFILE%\AppData\Local\Temp\OnboardLogs" /stypes="*4031*201608090*" /stext=" 03:.+((SYSTEM_STATE.+slice.+state.+changed )|(ment ac)|(system.+state.+changed )|(\|lc)|(penalty)|(\[timeout)|(PRM\|1\|D)|(kpr)|(kdp))" /e /r /s</v>
      </c>
      <c r="S61" s="9" t="str">
        <f t="shared" si="6"/>
        <v>4031</v>
      </c>
      <c r="T61" s="41">
        <f t="shared" si="7"/>
        <v>42591.143831018519</v>
      </c>
      <c r="U61" s="55" t="str">
        <f t="shared" si="8"/>
        <v>NW</v>
      </c>
      <c r="V61" s="55" t="str">
        <f t="shared" si="9"/>
        <v>KEEP</v>
      </c>
    </row>
    <row r="62" spans="1:22" x14ac:dyDescent="0.25">
      <c r="A62" s="41">
        <v>42590.910787037035</v>
      </c>
      <c r="B62" s="34" t="s">
        <v>143</v>
      </c>
      <c r="C62" s="34" t="s">
        <v>328</v>
      </c>
      <c r="D62" s="34" t="s">
        <v>134</v>
      </c>
      <c r="E62" s="34" t="s">
        <v>54</v>
      </c>
      <c r="F62" s="52">
        <v>0</v>
      </c>
      <c r="G62" s="52">
        <v>105</v>
      </c>
      <c r="H62" s="52">
        <v>11014</v>
      </c>
      <c r="I62" s="34" t="s">
        <v>55</v>
      </c>
      <c r="J62" s="52">
        <v>11018</v>
      </c>
      <c r="K62" s="34" t="s">
        <v>53</v>
      </c>
      <c r="L62" s="101" t="str">
        <f>VLOOKUP(C62,'Trips&amp;Operators'!$C$1:$E$9999,3,0)</f>
        <v>COOLAHAN</v>
      </c>
      <c r="M62" s="150" t="s">
        <v>94</v>
      </c>
      <c r="N62" s="10" t="s">
        <v>654</v>
      </c>
      <c r="O62" s="34"/>
      <c r="P62" s="119" t="str">
        <f>VLOOKUP(C62,'Train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Q62" s="123" t="str">
        <f>VLOOKUP(C62,'Train Runs'!$A$13:$AE$523,22,0)</f>
        <v>https://search-rtdc-monitor-bjffxe2xuh6vdkpspy63sjmuny.us-east-1.es.amazonaws.com/_plugin/kibana/#/discover/Steve-Slow-Train-Analysis-(2080s-and-2083s)?_g=(refreshInterval:(display:Off,section:0,value:0),time:(from:'2016-08-08 20:38:45-0600',mode:absolute,to:'2016-08-08 22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62" s="126" t="str">
        <f t="shared" si="5"/>
        <v>"C:\Program Files (x86)\AstroGrep\AstroGrep.exe" /spath="%USERPROFILE%\AppData\Local\Temp\OnboardLogs" /stypes="*4032*201608090*" /stext=" 03:.+((SYSTEM_STATE.+slice.+state.+changed )|(ment ac)|(system.+state.+changed )|(\|lc)|(penalty)|(\[timeout)|(PRM\|1\|D)|(kpr)|(kdp))" /e /r /s</v>
      </c>
      <c r="S62" s="9" t="str">
        <f t="shared" si="6"/>
        <v>4032</v>
      </c>
      <c r="T62" s="41">
        <f t="shared" si="7"/>
        <v>42591.160787037035</v>
      </c>
      <c r="U62" s="55" t="str">
        <f t="shared" si="8"/>
        <v>NW</v>
      </c>
      <c r="V62" s="55" t="str">
        <f t="shared" si="9"/>
        <v>KEEP</v>
      </c>
    </row>
    <row r="63" spans="1:22" x14ac:dyDescent="0.25">
      <c r="A63" s="41">
        <v>42590.454953703702</v>
      </c>
      <c r="B63" s="34" t="s">
        <v>143</v>
      </c>
      <c r="C63" s="34" t="s">
        <v>297</v>
      </c>
      <c r="D63" s="34" t="s">
        <v>49</v>
      </c>
      <c r="E63" s="34" t="s">
        <v>50</v>
      </c>
      <c r="F63" s="52">
        <v>0</v>
      </c>
      <c r="G63" s="52">
        <v>36</v>
      </c>
      <c r="H63" s="52">
        <v>694</v>
      </c>
      <c r="I63" s="34" t="s">
        <v>51</v>
      </c>
      <c r="J63" s="52">
        <v>575</v>
      </c>
      <c r="K63" s="34" t="s">
        <v>53</v>
      </c>
      <c r="L63" s="101" t="str">
        <f>VLOOKUP(C63,'Trips&amp;Operators'!$C$1:$E$9999,3,0)</f>
        <v>GRASTON</v>
      </c>
      <c r="M63" s="150" t="s">
        <v>95</v>
      </c>
      <c r="N63" s="10"/>
      <c r="O63" s="34"/>
      <c r="P63" s="119" t="str">
        <f>VLOOKUP(C63,'Train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Q63" s="123" t="str">
        <f>VLOOKUP(C63,'Train Runs'!$A$13:$AE$523,22,0)</f>
        <v>https://search-rtdc-monitor-bjffxe2xuh6vdkpspy63sjmuny.us-east-1.es.amazonaws.com/_plugin/kibana/#/discover/Steve-Slow-Train-Analysis-(2080s-and-2083s)?_g=(refreshInterval:(display:Off,section:0,value:0),time:(from:'2016-08-08 09:37:07-0600',mode:absolute,to:'2016-08-08 11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63" s="126" t="str">
        <f t="shared" si="5"/>
        <v>"C:\Program Files (x86)\AstroGrep\AstroGrep.exe" /spath="%USERPROFILE%\AppData\Local\Temp\OnboardLogs" /stypes="*4032*201608081*" /stext=" 16:.+((SYSTEM_STATE.+slice.+state.+changed )|(ment ac)|(system.+state.+changed )|(\|lc)|(penalty)|(\[timeout)|(PRM\|1\|D)|(kpr)|(kdp))" /e /r /s</v>
      </c>
      <c r="S63" s="9" t="str">
        <f t="shared" si="6"/>
        <v>4032</v>
      </c>
      <c r="T63" s="41">
        <f t="shared" si="7"/>
        <v>42590.704953703702</v>
      </c>
      <c r="U63" s="55" t="str">
        <f t="shared" si="8"/>
        <v>NW</v>
      </c>
      <c r="V63" s="55" t="str">
        <f t="shared" si="9"/>
        <v>KEEP</v>
      </c>
    </row>
    <row r="64" spans="1:22" x14ac:dyDescent="0.25">
      <c r="A64" s="41">
        <v>42590.664606481485</v>
      </c>
      <c r="B64" s="34" t="s">
        <v>143</v>
      </c>
      <c r="C64" s="34" t="s">
        <v>307</v>
      </c>
      <c r="D64" s="34" t="s">
        <v>49</v>
      </c>
      <c r="E64" s="34" t="s">
        <v>50</v>
      </c>
      <c r="F64" s="52">
        <v>0</v>
      </c>
      <c r="G64" s="52">
        <v>53</v>
      </c>
      <c r="H64" s="52">
        <v>769</v>
      </c>
      <c r="I64" s="34" t="s">
        <v>51</v>
      </c>
      <c r="J64" s="52">
        <v>575</v>
      </c>
      <c r="K64" s="34" t="s">
        <v>53</v>
      </c>
      <c r="L64" s="101" t="str">
        <f>VLOOKUP(C64,'Trips&amp;Operators'!$C$1:$E$9999,3,0)</f>
        <v>HAITHCOX</v>
      </c>
      <c r="M64" s="150" t="s">
        <v>95</v>
      </c>
      <c r="N64" s="10"/>
      <c r="O64" s="34"/>
      <c r="P64" s="119" t="str">
        <f>VLOOKUP(C64,'Train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Q64" s="123" t="str">
        <f>VLOOKUP(C64,'Train Runs'!$A$13:$AE$523,22,0)</f>
        <v>https://search-rtdc-monitor-bjffxe2xuh6vdkpspy63sjmuny.us-east-1.es.amazonaws.com/_plugin/kibana/#/discover/Steve-Slow-Train-Analysis-(2080s-and-2083s)?_g=(refreshInterval:(display:Off,section:0,value:0),time:(from:'2016-08-08 14:38:29-0600',mode:absolute,to:'2016-08-08 16:57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64" s="126" t="str">
        <f t="shared" si="5"/>
        <v>"C:\Program Files (x86)\AstroGrep\AstroGrep.exe" /spath="%USERPROFILE%\AppData\Local\Temp\OnboardLogs" /stypes="*4032*201608082*" /stext=" 21:.+((SYSTEM_STATE.+slice.+state.+changed )|(ment ac)|(system.+state.+changed )|(\|lc)|(penalty)|(\[timeout)|(PRM\|1\|D)|(kpr)|(kdp))" /e /r /s</v>
      </c>
      <c r="S64" s="9" t="str">
        <f t="shared" si="6"/>
        <v>4032</v>
      </c>
      <c r="T64" s="41">
        <f t="shared" si="7"/>
        <v>42590.914606481485</v>
      </c>
      <c r="U64" s="55" t="str">
        <f t="shared" si="8"/>
        <v>NW</v>
      </c>
      <c r="V64" s="55" t="str">
        <f t="shared" si="9"/>
        <v>KEEP</v>
      </c>
    </row>
    <row r="65" spans="1:22" x14ac:dyDescent="0.25">
      <c r="A65" s="41">
        <v>42590.726342592592</v>
      </c>
      <c r="B65" s="34" t="s">
        <v>127</v>
      </c>
      <c r="C65" s="34" t="s">
        <v>313</v>
      </c>
      <c r="D65" s="34" t="s">
        <v>49</v>
      </c>
      <c r="E65" s="34" t="s">
        <v>50</v>
      </c>
      <c r="F65" s="52">
        <v>0</v>
      </c>
      <c r="G65" s="52">
        <v>58</v>
      </c>
      <c r="H65" s="52">
        <v>762</v>
      </c>
      <c r="I65" s="34" t="s">
        <v>51</v>
      </c>
      <c r="J65" s="52">
        <v>575</v>
      </c>
      <c r="K65" s="34" t="s">
        <v>53</v>
      </c>
      <c r="L65" s="101" t="str">
        <f>VLOOKUP(C65,'Trips&amp;Operators'!$C$1:$E$9999,3,0)</f>
        <v>COOLAHAN</v>
      </c>
      <c r="M65" s="150" t="s">
        <v>95</v>
      </c>
      <c r="N65" s="10"/>
      <c r="O65" s="34"/>
      <c r="P65" s="119" t="str">
        <f>VLOOKUP(C65,'Train Runs'!$A$13:$AE$523,31,0)</f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Q65" s="123" t="str">
        <f>VLOOKUP(C65,'Train Runs'!$A$13:$AE$523,22,0)</f>
        <v>https://search-rtdc-monitor-bjffxe2xuh6vdkpspy63sjmuny.us-east-1.es.amazonaws.com/_plugin/kibana/#/discover/Steve-Slow-Train-Analysis-(2080s-and-2083s)?_g=(refreshInterval:(display:Off,section:0,value:0),time:(from:'2016-08-08 16:07:15-0600',mode:absolute,to:'2016-08-08 18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65" s="126" t="str">
        <f t="shared" si="5"/>
        <v>"C:\Program Files (x86)\AstroGrep\AstroGrep.exe" /spath="%USERPROFILE%\AppData\Local\Temp\OnboardLogs" /stypes="*4015*201608082*" /stext=" 23:.+((SYSTEM_STATE.+slice.+state.+changed )|(ment ac)|(system.+state.+changed )|(\|lc)|(penalty)|(\[timeout)|(PRM\|1\|D)|(kpr)|(kdp))" /e /r /s</v>
      </c>
      <c r="S65" s="9" t="str">
        <f t="shared" si="6"/>
        <v>4015</v>
      </c>
      <c r="T65" s="41">
        <f t="shared" si="7"/>
        <v>42590.976342592592</v>
      </c>
      <c r="U65" s="55" t="str">
        <f t="shared" si="8"/>
        <v>NW</v>
      </c>
      <c r="V65" s="55" t="str">
        <f t="shared" si="9"/>
        <v>KEEP</v>
      </c>
    </row>
    <row r="66" spans="1:22" x14ac:dyDescent="0.25">
      <c r="A66" s="41">
        <v>42590.767546296294</v>
      </c>
      <c r="B66" s="34" t="s">
        <v>127</v>
      </c>
      <c r="C66" s="34" t="s">
        <v>318</v>
      </c>
      <c r="D66" s="34" t="s">
        <v>49</v>
      </c>
      <c r="E66" s="34" t="s">
        <v>50</v>
      </c>
      <c r="F66" s="52">
        <v>0</v>
      </c>
      <c r="G66" s="52">
        <v>37</v>
      </c>
      <c r="H66" s="52">
        <v>689</v>
      </c>
      <c r="I66" s="34" t="s">
        <v>51</v>
      </c>
      <c r="J66" s="52">
        <v>575</v>
      </c>
      <c r="K66" s="34" t="s">
        <v>53</v>
      </c>
      <c r="L66" s="101" t="str">
        <f>VLOOKUP(C66,'Trips&amp;Operators'!$C$1:$E$9999,3,0)</f>
        <v>COOLAHAN</v>
      </c>
      <c r="M66" s="150" t="s">
        <v>95</v>
      </c>
      <c r="N66" s="10"/>
      <c r="O66" s="34"/>
      <c r="P66" s="119" t="str">
        <f>VLOOKUP(C66,'Train Runs'!$A$13:$AE$523,31,0)</f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Q66" s="123" t="str">
        <f>VLOOKUP(C66,'Train Runs'!$A$13:$AE$523,22,0)</f>
        <v>https://search-rtdc-monitor-bjffxe2xuh6vdkpspy63sjmuny.us-east-1.es.amazonaws.com/_plugin/kibana/#/discover/Steve-Slow-Train-Analysis-(2080s-and-2083s)?_g=(refreshInterval:(display:Off,section:0,value:0),time:(from:'2016-08-08 17:06:27-0600',mode:absolute,to:'2016-08-08 19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66" s="126" t="str">
        <f t="shared" si="5"/>
        <v>"C:\Program Files (x86)\AstroGrep\AstroGrep.exe" /spath="%USERPROFILE%\AppData\Local\Temp\OnboardLogs" /stypes="*4015*201608090*" /stext=" 00:.+((SYSTEM_STATE.+slice.+state.+changed )|(ment ac)|(system.+state.+changed )|(\|lc)|(penalty)|(\[timeout)|(PRM\|1\|D)|(kpr)|(kdp))" /e /r /s</v>
      </c>
      <c r="S66" s="9" t="str">
        <f t="shared" si="6"/>
        <v>4015</v>
      </c>
      <c r="T66" s="41">
        <f t="shared" si="7"/>
        <v>42591.017546296294</v>
      </c>
      <c r="U66" s="55" t="str">
        <f t="shared" si="8"/>
        <v>NW</v>
      </c>
      <c r="V66" s="55" t="str">
        <f t="shared" si="9"/>
        <v>KEEP</v>
      </c>
    </row>
    <row r="67" spans="1:22" x14ac:dyDescent="0.25">
      <c r="A67" s="41">
        <v>42590.607638888891</v>
      </c>
      <c r="B67" s="34" t="s">
        <v>142</v>
      </c>
      <c r="C67" s="34" t="s">
        <v>304</v>
      </c>
      <c r="D67" s="34" t="s">
        <v>49</v>
      </c>
      <c r="E67" s="34" t="s">
        <v>50</v>
      </c>
      <c r="F67" s="52">
        <v>0</v>
      </c>
      <c r="G67" s="52">
        <v>7</v>
      </c>
      <c r="H67" s="52">
        <v>59024</v>
      </c>
      <c r="I67" s="34" t="s">
        <v>51</v>
      </c>
      <c r="J67" s="52">
        <v>59048</v>
      </c>
      <c r="K67" s="34" t="s">
        <v>52</v>
      </c>
      <c r="L67" s="101" t="str">
        <f>VLOOKUP(C67,'Trips&amp;Operators'!$C$1:$E$9999,3,0)</f>
        <v>HAITHCOX</v>
      </c>
      <c r="M67" s="150" t="s">
        <v>95</v>
      </c>
      <c r="N67" s="10"/>
      <c r="O67" s="34"/>
      <c r="P67" s="119" t="str">
        <f>VLOOKUP(C67,'Train Runs'!$A$13:$AE$523,31,0)</f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Q67" s="123" t="str">
        <f>VLOOKUP(C67,'Train Runs'!$A$13:$AE$523,22,0)</f>
        <v>https://search-rtdc-monitor-bjffxe2xuh6vdkpspy63sjmuny.us-east-1.es.amazonaws.com/_plugin/kibana/#/discover/Steve-Slow-Train-Analysis-(2080s-and-2083s)?_g=(refreshInterval:(display:Off,section:0,value:0),time:(from:'2016-08-08 13:11:58-0600',mode:absolute,to:'2016-08-08 15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67" s="126" t="str">
        <f t="shared" si="5"/>
        <v>"C:\Program Files (x86)\AstroGrep\AstroGrep.exe" /spath="%USERPROFILE%\AppData\Local\Temp\OnboardLogs" /stypes="*4031*201608082*" /stext=" 20:.+((SYSTEM_STATE.+slice.+state.+changed )|(ment ac)|(system.+state.+changed )|(\|lc)|(penalty)|(\[timeout)|(PRM\|1\|D)|(kpr)|(kdp))" /e /r /s</v>
      </c>
      <c r="S67" s="9" t="str">
        <f t="shared" si="6"/>
        <v>4031</v>
      </c>
      <c r="T67" s="41">
        <f t="shared" si="7"/>
        <v>42590.857638888891</v>
      </c>
      <c r="U67" s="55" t="str">
        <f t="shared" si="8"/>
        <v>NW</v>
      </c>
      <c r="V67" s="55" t="str">
        <f t="shared" si="9"/>
        <v>OMIT</v>
      </c>
    </row>
    <row r="68" spans="1:22" x14ac:dyDescent="0.25">
      <c r="A68" s="41">
        <v>42590.691354166665</v>
      </c>
      <c r="B68" s="34" t="s">
        <v>142</v>
      </c>
      <c r="C68" s="34" t="s">
        <v>309</v>
      </c>
      <c r="D68" s="34" t="s">
        <v>49</v>
      </c>
      <c r="E68" s="34" t="s">
        <v>50</v>
      </c>
      <c r="F68" s="52">
        <v>0</v>
      </c>
      <c r="G68" s="52">
        <v>43</v>
      </c>
      <c r="H68" s="52">
        <v>58911</v>
      </c>
      <c r="I68" s="34" t="s">
        <v>51</v>
      </c>
      <c r="J68" s="52">
        <v>59048</v>
      </c>
      <c r="K68" s="34" t="s">
        <v>52</v>
      </c>
      <c r="L68" s="101" t="str">
        <f>VLOOKUP(C68,'Trips&amp;Operators'!$C$1:$E$9999,3,0)</f>
        <v>HAITHCOX</v>
      </c>
      <c r="M68" s="150" t="s">
        <v>95</v>
      </c>
      <c r="N68" s="10"/>
      <c r="O68" s="34"/>
      <c r="P68" s="119" t="str">
        <f>VLOOKUP(C68,'Train Runs'!$A$13:$AE$523,31,0)</f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Q68" s="123" t="str">
        <f>VLOOKUP(C68,'Train Runs'!$A$13:$AE$523,22,0)</f>
        <v>https://search-rtdc-monitor-bjffxe2xuh6vdkpspy63sjmuny.us-east-1.es.amazonaws.com/_plugin/kibana/#/discover/Steve-Slow-Train-Analysis-(2080s-and-2083s)?_g=(refreshInterval:(display:Off,section:0,value:0),time:(from:'2016-08-08 15:00:20-0600',mode:absolute,to:'2016-08-08 17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68" s="126" t="str">
        <f t="shared" si="5"/>
        <v>"C:\Program Files (x86)\AstroGrep\AstroGrep.exe" /spath="%USERPROFILE%\AppData\Local\Temp\OnboardLogs" /stypes="*4031*201608082*" /stext=" 22:.+((SYSTEM_STATE.+slice.+state.+changed )|(ment ac)|(system.+state.+changed )|(\|lc)|(penalty)|(\[timeout)|(PRM\|1\|D)|(kpr)|(kdp))" /e /r /s</v>
      </c>
      <c r="S68" s="9" t="str">
        <f t="shared" si="6"/>
        <v>4031</v>
      </c>
      <c r="T68" s="41">
        <f t="shared" si="7"/>
        <v>42590.941354166665</v>
      </c>
      <c r="U68" s="55" t="str">
        <f t="shared" si="8"/>
        <v>NW</v>
      </c>
      <c r="V68" s="55" t="str">
        <f t="shared" si="9"/>
        <v>KEEP</v>
      </c>
    </row>
    <row r="69" spans="1:22" x14ac:dyDescent="0.25">
      <c r="A69" s="41">
        <v>42590.795104166667</v>
      </c>
      <c r="B69" s="34" t="s">
        <v>128</v>
      </c>
      <c r="C69" s="34" t="s">
        <v>322</v>
      </c>
      <c r="D69" s="34" t="s">
        <v>49</v>
      </c>
      <c r="E69" s="34" t="s">
        <v>50</v>
      </c>
      <c r="F69" s="52">
        <v>0</v>
      </c>
      <c r="G69" s="52">
        <v>61</v>
      </c>
      <c r="H69" s="52">
        <v>58899</v>
      </c>
      <c r="I69" s="34" t="s">
        <v>51</v>
      </c>
      <c r="J69" s="52">
        <v>59048</v>
      </c>
      <c r="K69" s="34" t="s">
        <v>52</v>
      </c>
      <c r="L69" s="101" t="str">
        <f>VLOOKUP(C69,'Trips&amp;Operators'!$C$1:$E$9999,3,0)</f>
        <v>COOLAHAN</v>
      </c>
      <c r="M69" s="150" t="s">
        <v>95</v>
      </c>
      <c r="N69" s="10"/>
      <c r="O69" s="34"/>
      <c r="P69" s="119" t="str">
        <f>VLOOKUP(C69,'Train Runs'!$A$13:$AE$523,31,0)</f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Q69" s="123" t="str">
        <f>VLOOKUP(C69,'Train Runs'!$A$13:$AE$523,22,0)</f>
        <v>https://search-rtdc-monitor-bjffxe2xuh6vdkpspy63sjmuny.us-east-1.es.amazonaws.com/_plugin/kibana/#/discover/Steve-Slow-Train-Analysis-(2080s-and-2083s)?_g=(refreshInterval:(display:Off,section:0,value:0),time:(from:'2016-08-08 17:46:27-0600',mode:absolute,to:'2016-08-08 20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69" s="126" t="str">
        <f t="shared" si="5"/>
        <v>"C:\Program Files (x86)\AstroGrep\AstroGrep.exe" /spath="%USERPROFILE%\AppData\Local\Temp\OnboardLogs" /stypes="*4016*201608090*" /stext=" 01:.+((SYSTEM_STATE.+slice.+state.+changed )|(ment ac)|(system.+state.+changed )|(\|lc)|(penalty)|(\[timeout)|(PRM\|1\|D)|(kpr)|(kdp))" /e /r /s</v>
      </c>
      <c r="S69" s="9" t="str">
        <f t="shared" si="6"/>
        <v>4016</v>
      </c>
      <c r="T69" s="41">
        <f t="shared" si="7"/>
        <v>42591.045104166667</v>
      </c>
      <c r="U69" s="55" t="str">
        <f t="shared" si="8"/>
        <v>NW</v>
      </c>
      <c r="V69" s="55" t="str">
        <f t="shared" si="9"/>
        <v>KEEP</v>
      </c>
    </row>
  </sheetData>
  <autoFilter ref="A6:V69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69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7"/>
  <sheetViews>
    <sheetView workbookViewId="0">
      <selection activeCell="A3" sqref="A3"/>
    </sheetView>
  </sheetViews>
  <sheetFormatPr defaultRowHeight="15" x14ac:dyDescent="0.25"/>
  <cols>
    <col min="1" max="1" width="9.140625" style="73" customWidth="1"/>
    <col min="2" max="2" width="8" style="146" bestFit="1" customWidth="1"/>
    <col min="3" max="3" width="9.85546875" style="137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3" t="str">
        <f>"Trips that did not appear in PTC Data "&amp;TEXT(Variables!$A$2,"YYYY-mm-dd")</f>
        <v>Trips that did not appear in PTC Data 2016-08-06</v>
      </c>
      <c r="B1" s="153"/>
      <c r="C1" s="153"/>
      <c r="D1" s="153"/>
      <c r="E1" s="153"/>
    </row>
    <row r="2" spans="1:10" s="27" customFormat="1" ht="45" x14ac:dyDescent="0.25">
      <c r="A2" s="116" t="s">
        <v>72</v>
      </c>
      <c r="B2" s="143" t="s">
        <v>73</v>
      </c>
      <c r="C2" s="144" t="s">
        <v>74</v>
      </c>
      <c r="D2" s="27" t="s">
        <v>70</v>
      </c>
      <c r="E2" s="27" t="s">
        <v>71</v>
      </c>
      <c r="F2" s="27" t="s">
        <v>75</v>
      </c>
      <c r="G2" s="32" t="s">
        <v>76</v>
      </c>
      <c r="H2" s="32" t="s">
        <v>158</v>
      </c>
    </row>
    <row r="3" spans="1:10" x14ac:dyDescent="0.25">
      <c r="A3" s="81" t="s">
        <v>344</v>
      </c>
      <c r="B3" s="145"/>
      <c r="C3" s="145"/>
      <c r="D3" s="55"/>
      <c r="E3" s="25" t="str">
        <f>VLOOKUP(A3,'Trips&amp;Operators'!$C$2:$E$10000,3,FALSE)</f>
        <v>STARKS</v>
      </c>
      <c r="F3" s="25" t="str">
        <f>VLOOKUP(A3,'Trips&amp;Operators'!$C$1:$F$10000,4,FALSE)</f>
        <v>rtdc.l.rtdc.4029:itc</v>
      </c>
      <c r="G3" s="33">
        <f>VLOOKUP(A3,'Trips&amp;Operators'!$C$1:$H$10000,5,FALSE)</f>
        <v>42590.209618055553</v>
      </c>
      <c r="H3" s="32" t="str">
        <f t="shared" ref="H3:H8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22111-08%22)),sort:!(Time,asc))</v>
      </c>
      <c r="I3" s="24"/>
      <c r="J3" s="24"/>
    </row>
    <row r="4" spans="1:10" x14ac:dyDescent="0.25">
      <c r="A4" s="81"/>
      <c r="B4" s="145"/>
      <c r="C4" s="145"/>
      <c r="D4" s="55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81"/>
      <c r="B5" s="145"/>
      <c r="C5" s="145"/>
      <c r="D5" s="55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81"/>
      <c r="B6" s="145"/>
      <c r="C6" s="145"/>
      <c r="D6" s="55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A7" s="81"/>
      <c r="B7" s="145"/>
      <c r="C7" s="145"/>
      <c r="D7" s="55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A8" s="81"/>
      <c r="B8" s="145"/>
      <c r="C8" s="145"/>
      <c r="D8" s="55"/>
      <c r="E8" s="25" t="e">
        <f>VLOOKUP(A8,'Trips&amp;Operators'!$C$2:$E$10000,3,FALSE)</f>
        <v>#N/A</v>
      </c>
      <c r="F8" s="25" t="e">
        <f>VLOOKUP(A8,'Trips&amp;Operators'!$C$1:$F$10000,4,FALSE)</f>
        <v>#N/A</v>
      </c>
      <c r="G8" s="33" t="e">
        <f>VLOOKUP(A8,'Trips&amp;Operators'!$C$1:$H$10000,5,FALSE)</f>
        <v>#N/A</v>
      </c>
      <c r="H8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8" s="24"/>
      <c r="J8" s="24"/>
    </row>
    <row r="9" spans="1:10" x14ac:dyDescent="0.25">
      <c r="B9" s="130"/>
      <c r="C9" s="130"/>
      <c r="H9" s="24"/>
      <c r="I9" s="24"/>
      <c r="J9" s="24"/>
    </row>
    <row r="10" spans="1:10" x14ac:dyDescent="0.25">
      <c r="B10" s="130"/>
      <c r="C10" s="130"/>
      <c r="H10" s="24"/>
      <c r="I10" s="24"/>
      <c r="J10" s="24"/>
    </row>
    <row r="11" spans="1:10" x14ac:dyDescent="0.25">
      <c r="B11" s="130"/>
      <c r="C11" s="130"/>
      <c r="H11" s="24"/>
      <c r="I11" s="24"/>
      <c r="J11" s="24"/>
    </row>
    <row r="12" spans="1:10" x14ac:dyDescent="0.25">
      <c r="B12" s="130"/>
      <c r="C12" s="130"/>
      <c r="H12" s="24"/>
      <c r="I12" s="24"/>
      <c r="J12" s="24"/>
    </row>
    <row r="13" spans="1:10" x14ac:dyDescent="0.25">
      <c r="B13" s="130"/>
      <c r="C13" s="130"/>
      <c r="H13" s="24"/>
      <c r="I13" s="24"/>
      <c r="J13" s="24"/>
    </row>
    <row r="14" spans="1:10" x14ac:dyDescent="0.25">
      <c r="B14" s="130"/>
      <c r="C14" s="130"/>
      <c r="H14" s="24"/>
      <c r="I14" s="24"/>
      <c r="J14" s="24"/>
    </row>
    <row r="15" spans="1:10" x14ac:dyDescent="0.25">
      <c r="B15" s="130"/>
      <c r="C15" s="130"/>
      <c r="H15" s="24"/>
      <c r="I15" s="24"/>
      <c r="J15" s="24"/>
    </row>
    <row r="16" spans="1:10" x14ac:dyDescent="0.25">
      <c r="B16" s="130"/>
      <c r="C16" s="130"/>
      <c r="H16" s="24"/>
      <c r="I16" s="24"/>
      <c r="J16" s="24"/>
    </row>
    <row r="17" spans="2:10" x14ac:dyDescent="0.25">
      <c r="B17" s="130"/>
      <c r="C17" s="130"/>
      <c r="H17" s="24"/>
      <c r="I17" s="24"/>
      <c r="J17" s="24"/>
    </row>
    <row r="18" spans="2:10" x14ac:dyDescent="0.25">
      <c r="B18" s="130"/>
      <c r="C18" s="130"/>
      <c r="H18" s="24"/>
      <c r="I18" s="24"/>
      <c r="J18" s="24"/>
    </row>
    <row r="19" spans="2:10" x14ac:dyDescent="0.25">
      <c r="B19" s="130"/>
      <c r="C19" s="130"/>
      <c r="H19" s="24"/>
      <c r="I19" s="24"/>
      <c r="J19" s="24"/>
    </row>
    <row r="20" spans="2:10" x14ac:dyDescent="0.25">
      <c r="B20" s="130"/>
      <c r="C20" s="130"/>
      <c r="H20" s="24"/>
      <c r="I20" s="24"/>
      <c r="J20" s="24"/>
    </row>
    <row r="21" spans="2:10" x14ac:dyDescent="0.25">
      <c r="B21" s="130"/>
      <c r="C21" s="130"/>
      <c r="H21" s="24"/>
      <c r="I21" s="24"/>
      <c r="J21" s="24"/>
    </row>
    <row r="22" spans="2:10" x14ac:dyDescent="0.25">
      <c r="B22" s="130"/>
      <c r="C22" s="130"/>
      <c r="H22" s="24"/>
      <c r="I22" s="24"/>
      <c r="J22" s="24"/>
    </row>
    <row r="23" spans="2:10" x14ac:dyDescent="0.25">
      <c r="B23" s="130"/>
      <c r="C23" s="130"/>
      <c r="H23" s="24"/>
      <c r="I23" s="24"/>
      <c r="J23" s="24"/>
    </row>
    <row r="24" spans="2:10" x14ac:dyDescent="0.25">
      <c r="B24" s="130"/>
      <c r="C24" s="130"/>
      <c r="H24" s="24"/>
      <c r="I24" s="24"/>
      <c r="J24" s="24"/>
    </row>
    <row r="25" spans="2:10" x14ac:dyDescent="0.25">
      <c r="B25" s="130"/>
      <c r="C25" s="130"/>
      <c r="H25" s="24"/>
      <c r="I25" s="24"/>
      <c r="J25" s="24"/>
    </row>
    <row r="26" spans="2:10" x14ac:dyDescent="0.25">
      <c r="B26" s="130"/>
      <c r="C26" s="130"/>
      <c r="H26" s="24"/>
      <c r="I26" s="24"/>
      <c r="J26" s="24"/>
    </row>
    <row r="27" spans="2:10" x14ac:dyDescent="0.25">
      <c r="B27" s="130"/>
      <c r="C27" s="130"/>
      <c r="H27" s="24"/>
      <c r="I27" s="24"/>
      <c r="J27" s="24"/>
    </row>
    <row r="28" spans="2:10" x14ac:dyDescent="0.25">
      <c r="B28" s="130"/>
      <c r="C28" s="130"/>
      <c r="H28" s="24"/>
      <c r="I28" s="24"/>
      <c r="J28" s="24"/>
    </row>
    <row r="29" spans="2:10" x14ac:dyDescent="0.25">
      <c r="B29" s="130"/>
      <c r="C29" s="130"/>
      <c r="H29" s="24"/>
      <c r="I29" s="24"/>
      <c r="J29" s="24"/>
    </row>
    <row r="30" spans="2:10" x14ac:dyDescent="0.25">
      <c r="B30" s="130"/>
      <c r="C30" s="130"/>
      <c r="H30" s="24"/>
      <c r="I30" s="24"/>
      <c r="J30" s="24"/>
    </row>
    <row r="31" spans="2:10" x14ac:dyDescent="0.25">
      <c r="B31" s="130"/>
      <c r="C31" s="130"/>
      <c r="H31" s="24"/>
      <c r="I31" s="24"/>
      <c r="J31" s="24"/>
    </row>
    <row r="32" spans="2:10" x14ac:dyDescent="0.25">
      <c r="B32" s="130"/>
      <c r="C32" s="130"/>
      <c r="H32" s="24"/>
      <c r="I32" s="24"/>
      <c r="J32" s="24"/>
    </row>
    <row r="33" spans="2:10" x14ac:dyDescent="0.25">
      <c r="B33" s="130"/>
      <c r="C33" s="130"/>
      <c r="H33" s="24"/>
      <c r="I33" s="24"/>
      <c r="J33" s="24"/>
    </row>
    <row r="34" spans="2:10" x14ac:dyDescent="0.25">
      <c r="B34" s="130"/>
      <c r="C34" s="130"/>
      <c r="H34" s="24"/>
      <c r="I34" s="24"/>
      <c r="J34" s="24"/>
    </row>
    <row r="35" spans="2:10" x14ac:dyDescent="0.25">
      <c r="B35" s="130"/>
      <c r="C35" s="130"/>
      <c r="H35" s="24"/>
      <c r="I35" s="24"/>
      <c r="J35" s="24"/>
    </row>
    <row r="36" spans="2:10" x14ac:dyDescent="0.25">
      <c r="B36" s="130"/>
      <c r="C36" s="130"/>
      <c r="H36" s="24"/>
      <c r="I36" s="24"/>
      <c r="J36" s="24"/>
    </row>
    <row r="37" spans="2:10" x14ac:dyDescent="0.25">
      <c r="B37" s="130"/>
      <c r="C37" s="130"/>
      <c r="H37" s="24"/>
      <c r="I37" s="24"/>
      <c r="J37" s="24"/>
    </row>
    <row r="38" spans="2:10" x14ac:dyDescent="0.25">
      <c r="B38" s="130"/>
      <c r="C38" s="130"/>
      <c r="H38" s="24"/>
      <c r="I38" s="24"/>
      <c r="J38" s="24"/>
    </row>
    <row r="39" spans="2:10" x14ac:dyDescent="0.25">
      <c r="B39" s="130"/>
      <c r="C39" s="130"/>
      <c r="H39" s="24"/>
      <c r="I39" s="24"/>
      <c r="J39" s="24"/>
    </row>
    <row r="40" spans="2:10" x14ac:dyDescent="0.25">
      <c r="B40" s="130"/>
      <c r="C40" s="130"/>
      <c r="H40" s="24"/>
      <c r="I40" s="24"/>
      <c r="J40" s="24"/>
    </row>
    <row r="41" spans="2:10" x14ac:dyDescent="0.25">
      <c r="B41" s="130"/>
      <c r="C41" s="130"/>
      <c r="H41" s="24"/>
      <c r="I41" s="24"/>
      <c r="J41" s="24"/>
    </row>
    <row r="42" spans="2:10" x14ac:dyDescent="0.25">
      <c r="B42" s="130"/>
      <c r="C42" s="130"/>
      <c r="H42" s="24"/>
      <c r="I42" s="24"/>
      <c r="J42" s="24"/>
    </row>
    <row r="43" spans="2:10" x14ac:dyDescent="0.25">
      <c r="B43" s="130"/>
      <c r="C43" s="130"/>
      <c r="H43" s="24"/>
      <c r="I43" s="24"/>
      <c r="J43" s="24"/>
    </row>
    <row r="44" spans="2:10" x14ac:dyDescent="0.25">
      <c r="B44" s="130"/>
      <c r="C44" s="130"/>
      <c r="H44" s="24"/>
      <c r="I44" s="24"/>
      <c r="J44" s="24"/>
    </row>
    <row r="45" spans="2:10" x14ac:dyDescent="0.25">
      <c r="B45" s="130"/>
      <c r="C45" s="130"/>
      <c r="H45" s="24"/>
      <c r="I45" s="24"/>
      <c r="J45" s="24"/>
    </row>
    <row r="46" spans="2:10" x14ac:dyDescent="0.25">
      <c r="B46" s="130"/>
      <c r="C46" s="130"/>
      <c r="H46" s="24"/>
      <c r="I46" s="24"/>
      <c r="J46" s="24"/>
    </row>
    <row r="47" spans="2:10" x14ac:dyDescent="0.25">
      <c r="B47" s="130"/>
      <c r="C47" s="130"/>
      <c r="H47" s="24"/>
      <c r="I47" s="24"/>
      <c r="J47" s="24"/>
    </row>
    <row r="48" spans="2:10" x14ac:dyDescent="0.25">
      <c r="B48" s="130"/>
      <c r="C48" s="130"/>
      <c r="H48" s="24"/>
      <c r="I48" s="24"/>
      <c r="J48" s="24"/>
    </row>
    <row r="49" spans="2:10" x14ac:dyDescent="0.25">
      <c r="B49" s="130"/>
      <c r="C49" s="130"/>
      <c r="H49" s="24"/>
      <c r="I49" s="24"/>
      <c r="J49" s="24"/>
    </row>
    <row r="50" spans="2:10" x14ac:dyDescent="0.25">
      <c r="B50" s="130"/>
      <c r="C50" s="130"/>
      <c r="H50" s="24"/>
      <c r="I50" s="24"/>
      <c r="J50" s="24"/>
    </row>
    <row r="51" spans="2:10" x14ac:dyDescent="0.25">
      <c r="B51" s="130"/>
      <c r="C51" s="130"/>
      <c r="H51" s="24"/>
      <c r="I51" s="24"/>
      <c r="J51" s="24"/>
    </row>
    <row r="52" spans="2:10" x14ac:dyDescent="0.25">
      <c r="B52" s="130"/>
      <c r="C52" s="130"/>
      <c r="H52" s="24"/>
      <c r="I52" s="24"/>
      <c r="J52" s="24"/>
    </row>
    <row r="53" spans="2:10" x14ac:dyDescent="0.25">
      <c r="B53" s="130"/>
      <c r="C53" s="130"/>
      <c r="H53" s="24"/>
      <c r="I53" s="24"/>
      <c r="J53" s="24"/>
    </row>
    <row r="54" spans="2:10" x14ac:dyDescent="0.25">
      <c r="B54" s="130"/>
      <c r="C54" s="130"/>
      <c r="H54" s="24"/>
      <c r="I54" s="24"/>
      <c r="J54" s="24"/>
    </row>
    <row r="55" spans="2:10" x14ac:dyDescent="0.25">
      <c r="B55" s="130"/>
      <c r="C55" s="130"/>
      <c r="H55" s="24"/>
      <c r="I55" s="24"/>
      <c r="J55" s="24"/>
    </row>
    <row r="56" spans="2:10" x14ac:dyDescent="0.25">
      <c r="B56" s="130"/>
      <c r="C56" s="130"/>
      <c r="H56" s="24"/>
      <c r="I56" s="24"/>
      <c r="J56" s="24"/>
    </row>
    <row r="57" spans="2:10" x14ac:dyDescent="0.25">
      <c r="B57" s="130"/>
      <c r="C57" s="130"/>
      <c r="H57" s="24"/>
      <c r="I57" s="24"/>
      <c r="J57" s="24"/>
    </row>
    <row r="58" spans="2:10" x14ac:dyDescent="0.25">
      <c r="B58" s="130"/>
      <c r="C58" s="130"/>
      <c r="H58" s="24"/>
      <c r="I58" s="24"/>
      <c r="J58" s="24"/>
    </row>
    <row r="59" spans="2:10" x14ac:dyDescent="0.25">
      <c r="B59" s="130"/>
      <c r="C59" s="130"/>
      <c r="H59" s="24"/>
      <c r="I59" s="24"/>
      <c r="J59" s="24"/>
    </row>
    <row r="60" spans="2:10" x14ac:dyDescent="0.25">
      <c r="B60" s="130"/>
      <c r="C60" s="130"/>
      <c r="H60" s="24"/>
      <c r="I60" s="24"/>
      <c r="J60" s="24"/>
    </row>
    <row r="61" spans="2:10" x14ac:dyDescent="0.25">
      <c r="B61" s="130"/>
      <c r="C61" s="130"/>
      <c r="H61" s="24"/>
      <c r="I61" s="24"/>
      <c r="J61" s="24"/>
    </row>
    <row r="62" spans="2:10" x14ac:dyDescent="0.25">
      <c r="B62" s="130"/>
      <c r="C62" s="130"/>
      <c r="H62" s="24"/>
      <c r="I62" s="24"/>
      <c r="J62" s="24"/>
    </row>
    <row r="63" spans="2:10" x14ac:dyDescent="0.25">
      <c r="B63" s="130"/>
      <c r="C63" s="130"/>
      <c r="H63" s="24"/>
      <c r="I63" s="24"/>
      <c r="J63" s="24"/>
    </row>
    <row r="64" spans="2:10" x14ac:dyDescent="0.25">
      <c r="B64" s="130"/>
      <c r="C64" s="130"/>
      <c r="H64" s="24"/>
      <c r="I64" s="24"/>
      <c r="J64" s="24"/>
    </row>
    <row r="65" spans="2:10" x14ac:dyDescent="0.25">
      <c r="B65" s="130"/>
      <c r="C65" s="130"/>
      <c r="H65" s="24"/>
      <c r="I65" s="24"/>
      <c r="J65" s="24"/>
    </row>
    <row r="66" spans="2:10" x14ac:dyDescent="0.25">
      <c r="B66" s="130"/>
      <c r="C66" s="130"/>
      <c r="H66" s="24"/>
      <c r="I66" s="24"/>
      <c r="J66" s="24"/>
    </row>
    <row r="67" spans="2:10" x14ac:dyDescent="0.25">
      <c r="B67" s="130"/>
      <c r="C67" s="130"/>
      <c r="H67" s="24"/>
      <c r="I67" s="24"/>
      <c r="J67" s="24"/>
    </row>
    <row r="68" spans="2:10" x14ac:dyDescent="0.25">
      <c r="B68" s="130"/>
      <c r="C68" s="130"/>
      <c r="H68" s="24"/>
      <c r="I68" s="24"/>
      <c r="J68" s="24"/>
    </row>
    <row r="69" spans="2:10" x14ac:dyDescent="0.25">
      <c r="B69" s="130"/>
      <c r="C69" s="130"/>
      <c r="H69" s="24"/>
      <c r="I69" s="24"/>
      <c r="J69" s="24"/>
    </row>
    <row r="70" spans="2:10" x14ac:dyDescent="0.25">
      <c r="B70" s="130"/>
      <c r="C70" s="130"/>
      <c r="H70" s="24"/>
      <c r="I70" s="24"/>
      <c r="J70" s="24"/>
    </row>
    <row r="71" spans="2:10" x14ac:dyDescent="0.25">
      <c r="B71" s="130"/>
      <c r="C71" s="130"/>
      <c r="H71" s="24"/>
      <c r="I71" s="24"/>
      <c r="J71" s="24"/>
    </row>
    <row r="72" spans="2:10" x14ac:dyDescent="0.25">
      <c r="B72" s="130"/>
      <c r="C72" s="130"/>
      <c r="H72" s="24"/>
      <c r="I72" s="24"/>
      <c r="J72" s="24"/>
    </row>
    <row r="73" spans="2:10" x14ac:dyDescent="0.25">
      <c r="B73" s="130"/>
      <c r="C73" s="130"/>
      <c r="H73" s="24"/>
      <c r="I73" s="24"/>
      <c r="J73" s="24"/>
    </row>
    <row r="74" spans="2:10" x14ac:dyDescent="0.25">
      <c r="B74" s="130"/>
      <c r="C74" s="130"/>
      <c r="H74" s="24"/>
      <c r="I74" s="24"/>
      <c r="J74" s="24"/>
    </row>
    <row r="75" spans="2:10" x14ac:dyDescent="0.25">
      <c r="B75" s="130"/>
      <c r="C75" s="130"/>
      <c r="H75" s="24"/>
      <c r="I75" s="24"/>
      <c r="J75" s="24"/>
    </row>
    <row r="76" spans="2:10" x14ac:dyDescent="0.25">
      <c r="B76" s="130"/>
      <c r="C76" s="130"/>
      <c r="H76" s="24"/>
      <c r="I76" s="24"/>
      <c r="J76" s="24"/>
    </row>
    <row r="77" spans="2:10" x14ac:dyDescent="0.25">
      <c r="B77" s="130"/>
      <c r="C77" s="130"/>
      <c r="H77" s="24"/>
      <c r="I77" s="24"/>
      <c r="J77" s="24"/>
    </row>
    <row r="78" spans="2:10" x14ac:dyDescent="0.25">
      <c r="B78" s="130"/>
      <c r="C78" s="130"/>
      <c r="H78" s="24"/>
      <c r="I78" s="24"/>
      <c r="J78" s="24"/>
    </row>
    <row r="79" spans="2:10" x14ac:dyDescent="0.25">
      <c r="B79" s="130"/>
      <c r="C79" s="130"/>
      <c r="H79" s="24"/>
      <c r="I79" s="24"/>
      <c r="J79" s="24"/>
    </row>
    <row r="80" spans="2:10" x14ac:dyDescent="0.25">
      <c r="B80" s="130"/>
      <c r="C80" s="130"/>
      <c r="H80" s="24"/>
      <c r="I80" s="24"/>
      <c r="J80" s="24"/>
    </row>
    <row r="81" spans="2:10" x14ac:dyDescent="0.25">
      <c r="B81" s="130"/>
      <c r="C81" s="130"/>
      <c r="H81" s="24"/>
      <c r="I81" s="24"/>
      <c r="J81" s="24"/>
    </row>
    <row r="82" spans="2:10" x14ac:dyDescent="0.25">
      <c r="B82" s="130"/>
      <c r="C82" s="130"/>
      <c r="H82" s="24"/>
      <c r="I82" s="24"/>
      <c r="J82" s="24"/>
    </row>
    <row r="83" spans="2:10" x14ac:dyDescent="0.25">
      <c r="B83" s="130"/>
      <c r="C83" s="130"/>
      <c r="H83" s="24"/>
      <c r="I83" s="24"/>
      <c r="J83" s="24"/>
    </row>
    <row r="84" spans="2:10" x14ac:dyDescent="0.25">
      <c r="B84" s="130"/>
      <c r="C84" s="130"/>
      <c r="H84" s="24"/>
      <c r="I84" s="24"/>
      <c r="J84" s="24"/>
    </row>
    <row r="85" spans="2:10" x14ac:dyDescent="0.25">
      <c r="B85" s="130"/>
      <c r="C85" s="130"/>
      <c r="H85" s="24"/>
      <c r="I85" s="24"/>
      <c r="J85" s="24"/>
    </row>
    <row r="86" spans="2:10" x14ac:dyDescent="0.25">
      <c r="B86" s="130"/>
      <c r="C86" s="130"/>
      <c r="H86" s="24"/>
      <c r="I86" s="24"/>
      <c r="J86" s="24"/>
    </row>
    <row r="87" spans="2:10" x14ac:dyDescent="0.25">
      <c r="B87" s="130"/>
      <c r="C87" s="130"/>
      <c r="H87" s="24"/>
      <c r="I87" s="24"/>
      <c r="J87" s="24"/>
    </row>
    <row r="88" spans="2:10" x14ac:dyDescent="0.25">
      <c r="B88" s="130"/>
      <c r="C88" s="130"/>
      <c r="H88" s="24"/>
      <c r="I88" s="24"/>
      <c r="J88" s="24"/>
    </row>
    <row r="89" spans="2:10" x14ac:dyDescent="0.25">
      <c r="B89" s="130"/>
      <c r="C89" s="130"/>
      <c r="H89" s="24"/>
      <c r="I89" s="24"/>
      <c r="J89" s="24"/>
    </row>
    <row r="90" spans="2:10" x14ac:dyDescent="0.25">
      <c r="B90" s="130"/>
      <c r="C90" s="130"/>
      <c r="H90" s="24"/>
      <c r="I90" s="24"/>
      <c r="J90" s="24"/>
    </row>
    <row r="91" spans="2:10" x14ac:dyDescent="0.25">
      <c r="B91" s="130"/>
      <c r="C91" s="130"/>
      <c r="H91" s="24"/>
      <c r="I91" s="24"/>
      <c r="J91" s="24"/>
    </row>
    <row r="92" spans="2:10" x14ac:dyDescent="0.25">
      <c r="B92" s="130"/>
      <c r="C92" s="130"/>
      <c r="H92" s="24"/>
      <c r="I92" s="24"/>
      <c r="J92" s="24"/>
    </row>
    <row r="93" spans="2:10" x14ac:dyDescent="0.25">
      <c r="B93" s="130"/>
      <c r="C93" s="130"/>
      <c r="H93" s="24"/>
      <c r="I93" s="24"/>
      <c r="J93" s="24"/>
    </row>
    <row r="94" spans="2:10" x14ac:dyDescent="0.25">
      <c r="B94" s="130"/>
      <c r="C94" s="130"/>
      <c r="H94" s="24"/>
      <c r="I94" s="24"/>
      <c r="J94" s="24"/>
    </row>
    <row r="95" spans="2:10" x14ac:dyDescent="0.25">
      <c r="B95" s="130"/>
      <c r="C95" s="130"/>
      <c r="H95" s="24"/>
      <c r="I95" s="24"/>
      <c r="J95" s="24"/>
    </row>
    <row r="96" spans="2:10" x14ac:dyDescent="0.25">
      <c r="B96" s="130"/>
      <c r="C96" s="130"/>
      <c r="H96" s="24"/>
      <c r="I96" s="24"/>
      <c r="J96" s="24"/>
    </row>
    <row r="97" spans="2:10" x14ac:dyDescent="0.25">
      <c r="B97" s="130"/>
      <c r="C97" s="130"/>
      <c r="H97" s="24"/>
      <c r="I97" s="24"/>
      <c r="J97" s="24"/>
    </row>
    <row r="98" spans="2:10" x14ac:dyDescent="0.25">
      <c r="B98" s="130"/>
      <c r="C98" s="130"/>
      <c r="H98" s="24"/>
      <c r="I98" s="24"/>
      <c r="J98" s="24"/>
    </row>
    <row r="99" spans="2:10" x14ac:dyDescent="0.25">
      <c r="B99" s="130"/>
      <c r="C99" s="130"/>
      <c r="H99" s="24"/>
      <c r="I99" s="24"/>
      <c r="J99" s="24"/>
    </row>
    <row r="100" spans="2:10" x14ac:dyDescent="0.25">
      <c r="B100" s="130"/>
      <c r="C100" s="130"/>
      <c r="H100" s="24"/>
      <c r="I100" s="24"/>
      <c r="J100" s="24"/>
    </row>
    <row r="101" spans="2:10" x14ac:dyDescent="0.25">
      <c r="B101" s="130"/>
      <c r="C101" s="130"/>
      <c r="H101" s="24"/>
      <c r="I101" s="24"/>
      <c r="J101" s="24"/>
    </row>
    <row r="102" spans="2:10" x14ac:dyDescent="0.25">
      <c r="B102" s="130"/>
      <c r="C102" s="130"/>
      <c r="H102" s="24"/>
      <c r="I102" s="24"/>
      <c r="J102" s="24"/>
    </row>
    <row r="103" spans="2:10" x14ac:dyDescent="0.25">
      <c r="B103" s="130"/>
      <c r="C103" s="130"/>
      <c r="H103" s="24"/>
      <c r="I103" s="24"/>
      <c r="J103" s="24"/>
    </row>
    <row r="104" spans="2:10" x14ac:dyDescent="0.25">
      <c r="B104" s="130"/>
      <c r="C104" s="130"/>
      <c r="H104" s="24"/>
      <c r="I104" s="24"/>
      <c r="J104" s="24"/>
    </row>
    <row r="105" spans="2:10" x14ac:dyDescent="0.25">
      <c r="B105" s="130"/>
      <c r="C105" s="130"/>
      <c r="H105" s="24"/>
      <c r="I105" s="24"/>
      <c r="J105" s="24"/>
    </row>
    <row r="106" spans="2:10" x14ac:dyDescent="0.25">
      <c r="B106" s="130"/>
      <c r="C106" s="130"/>
      <c r="H106" s="24"/>
      <c r="I106" s="24"/>
      <c r="J106" s="24"/>
    </row>
    <row r="107" spans="2:10" x14ac:dyDescent="0.25">
      <c r="H107" s="24"/>
      <c r="I107" s="24"/>
      <c r="J107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82" workbookViewId="0">
      <selection sqref="A1:E22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42590.037905092591</v>
      </c>
      <c r="B1" s="24" t="s">
        <v>163</v>
      </c>
      <c r="C1" s="24" t="s">
        <v>264</v>
      </c>
      <c r="D1" s="24">
        <v>1810000</v>
      </c>
      <c r="E1" s="24" t="s">
        <v>146</v>
      </c>
      <c r="F1" s="24" t="str">
        <f>B1</f>
        <v>rtdc.l.rtdc.4043:itc</v>
      </c>
      <c r="G1" s="8">
        <f>A1</f>
        <v>42590.037905092591</v>
      </c>
    </row>
    <row r="2" spans="1:7" x14ac:dyDescent="0.25">
      <c r="A2" s="8">
        <v>42590.046759259261</v>
      </c>
      <c r="B2" s="24" t="s">
        <v>102</v>
      </c>
      <c r="C2" s="24" t="s">
        <v>267</v>
      </c>
      <c r="D2" s="24">
        <v>1290000</v>
      </c>
      <c r="E2" s="24" t="s">
        <v>136</v>
      </c>
      <c r="F2" s="24" t="str">
        <f t="shared" ref="F2:F65" si="0">B2</f>
        <v>rtdc.l.rtdc.4025:itc</v>
      </c>
      <c r="G2" s="8">
        <f t="shared" ref="G2:G65" si="1">A2</f>
        <v>42590.046759259261</v>
      </c>
    </row>
    <row r="3" spans="1:7" x14ac:dyDescent="0.25">
      <c r="A3" s="8">
        <v>42590.058900462966</v>
      </c>
      <c r="B3" s="24" t="s">
        <v>69</v>
      </c>
      <c r="C3" s="24" t="s">
        <v>266</v>
      </c>
      <c r="D3" s="24">
        <v>1800000</v>
      </c>
      <c r="E3" s="24" t="s">
        <v>148</v>
      </c>
      <c r="F3" s="24" t="str">
        <f t="shared" si="0"/>
        <v>rtdc.l.rtdc.4017:itc</v>
      </c>
      <c r="G3" s="8">
        <f t="shared" si="1"/>
        <v>42590.058900462966</v>
      </c>
    </row>
    <row r="4" spans="1:7" x14ac:dyDescent="0.25">
      <c r="A4" s="8">
        <v>42590.068159722221</v>
      </c>
      <c r="B4" s="24" t="s">
        <v>173</v>
      </c>
      <c r="C4" s="24" t="s">
        <v>269</v>
      </c>
      <c r="D4" s="24">
        <v>1810000</v>
      </c>
      <c r="E4" s="24" t="s">
        <v>146</v>
      </c>
      <c r="F4" s="24" t="str">
        <f t="shared" si="0"/>
        <v>rtdc.l.rtdc.4044:itc</v>
      </c>
      <c r="G4" s="8">
        <f t="shared" si="1"/>
        <v>42590.068159722221</v>
      </c>
    </row>
    <row r="5" spans="1:7" x14ac:dyDescent="0.25">
      <c r="A5" s="8">
        <v>42590.090868055559</v>
      </c>
      <c r="B5" s="24" t="s">
        <v>68</v>
      </c>
      <c r="C5" s="24" t="s">
        <v>270</v>
      </c>
      <c r="D5" s="24">
        <v>1800000</v>
      </c>
      <c r="E5" s="24" t="s">
        <v>148</v>
      </c>
      <c r="F5" s="24" t="str">
        <f t="shared" si="0"/>
        <v>rtdc.l.rtdc.4018:itc</v>
      </c>
      <c r="G5" s="8">
        <f t="shared" si="1"/>
        <v>42590.090868055559</v>
      </c>
    </row>
    <row r="6" spans="1:7" x14ac:dyDescent="0.25">
      <c r="A6" s="8">
        <v>42590.128437500003</v>
      </c>
      <c r="B6" s="24" t="s">
        <v>104</v>
      </c>
      <c r="C6" s="24" t="s">
        <v>280</v>
      </c>
      <c r="D6" s="24">
        <v>2110000</v>
      </c>
      <c r="E6" s="24" t="s">
        <v>332</v>
      </c>
      <c r="F6" s="24" t="str">
        <f t="shared" si="0"/>
        <v>rtdc.l.rtdc.4029:itc</v>
      </c>
      <c r="G6" s="8">
        <f t="shared" si="1"/>
        <v>42590.128437500003</v>
      </c>
    </row>
    <row r="7" spans="1:7" x14ac:dyDescent="0.25">
      <c r="A7" s="8">
        <v>42590.151979166665</v>
      </c>
      <c r="B7" s="24" t="s">
        <v>109</v>
      </c>
      <c r="C7" s="24" t="s">
        <v>333</v>
      </c>
      <c r="D7" s="24">
        <v>1480000</v>
      </c>
      <c r="E7" s="24" t="s">
        <v>334</v>
      </c>
      <c r="F7" s="24" t="str">
        <f t="shared" si="0"/>
        <v>rtdc.l.rtdc.4007:itc</v>
      </c>
      <c r="G7" s="8">
        <f t="shared" si="1"/>
        <v>42590.151979166665</v>
      </c>
    </row>
    <row r="8" spans="1:7" x14ac:dyDescent="0.25">
      <c r="A8" s="8">
        <v>42590.168703703705</v>
      </c>
      <c r="B8" s="24" t="s">
        <v>67</v>
      </c>
      <c r="C8" s="24" t="s">
        <v>335</v>
      </c>
      <c r="D8" s="24">
        <v>1100000</v>
      </c>
      <c r="E8" s="24" t="s">
        <v>336</v>
      </c>
      <c r="F8" s="24" t="str">
        <f t="shared" si="0"/>
        <v>rtdc.l.rtdc.4020:itc</v>
      </c>
      <c r="G8" s="8">
        <f t="shared" si="1"/>
        <v>42590.168703703705</v>
      </c>
    </row>
    <row r="9" spans="1:7" ht="15.75" thickBot="1" x14ac:dyDescent="0.3">
      <c r="A9" s="28">
        <v>42590.169803240744</v>
      </c>
      <c r="B9" s="24" t="s">
        <v>67</v>
      </c>
      <c r="C9" s="24" t="s">
        <v>335</v>
      </c>
      <c r="D9" s="24">
        <v>1100000</v>
      </c>
      <c r="E9" s="24" t="s">
        <v>336</v>
      </c>
      <c r="F9" s="24" t="str">
        <f t="shared" si="0"/>
        <v>rtdc.l.rtdc.4020:itc</v>
      </c>
      <c r="G9" s="8">
        <f t="shared" si="1"/>
        <v>42590.169803240744</v>
      </c>
    </row>
    <row r="10" spans="1:7" x14ac:dyDescent="0.25">
      <c r="A10" s="8">
        <v>42590.170057870368</v>
      </c>
      <c r="B10" s="24" t="s">
        <v>138</v>
      </c>
      <c r="C10" s="24" t="s">
        <v>337</v>
      </c>
      <c r="D10" s="24">
        <v>2110000</v>
      </c>
      <c r="E10" s="24" t="s">
        <v>332</v>
      </c>
      <c r="F10" s="24" t="str">
        <f t="shared" si="0"/>
        <v>rtdc.l.rtdc.4012:itc</v>
      </c>
      <c r="G10" s="8">
        <f t="shared" si="1"/>
        <v>42590.170057870368</v>
      </c>
    </row>
    <row r="11" spans="1:7" x14ac:dyDescent="0.25">
      <c r="A11" s="8">
        <v>42590.186527777776</v>
      </c>
      <c r="B11" s="24" t="s">
        <v>101</v>
      </c>
      <c r="C11" s="24" t="s">
        <v>338</v>
      </c>
      <c r="D11" s="24">
        <v>1480000</v>
      </c>
      <c r="E11" s="24" t="s">
        <v>334</v>
      </c>
      <c r="F11" s="24" t="str">
        <f t="shared" si="0"/>
        <v>rtdc.l.rtdc.4013:itc</v>
      </c>
      <c r="G11" s="8">
        <f t="shared" si="1"/>
        <v>42590.186527777776</v>
      </c>
    </row>
    <row r="12" spans="1:7" x14ac:dyDescent="0.25">
      <c r="A12" s="8">
        <v>42590.189317129632</v>
      </c>
      <c r="B12" s="24" t="s">
        <v>106</v>
      </c>
      <c r="C12" s="24" t="s">
        <v>339</v>
      </c>
      <c r="D12" s="24">
        <v>1090000</v>
      </c>
      <c r="E12" s="24" t="s">
        <v>340</v>
      </c>
      <c r="F12" s="24" t="str">
        <f t="shared" si="0"/>
        <v>rtdc.l.rtdc.4027:itc</v>
      </c>
      <c r="G12" s="8">
        <f t="shared" si="1"/>
        <v>42590.189317129632</v>
      </c>
    </row>
    <row r="13" spans="1:7" x14ac:dyDescent="0.25">
      <c r="A13" s="8">
        <v>42590.191168981481</v>
      </c>
      <c r="B13" s="24" t="s">
        <v>128</v>
      </c>
      <c r="C13" s="24" t="s">
        <v>341</v>
      </c>
      <c r="D13" s="24">
        <v>1990000</v>
      </c>
      <c r="E13" s="24" t="s">
        <v>151</v>
      </c>
      <c r="F13" s="24" t="str">
        <f t="shared" si="0"/>
        <v>rtdc.l.rtdc.4016:itc</v>
      </c>
      <c r="G13" s="8">
        <f t="shared" si="1"/>
        <v>42590.191168981481</v>
      </c>
    </row>
    <row r="14" spans="1:7" x14ac:dyDescent="0.25">
      <c r="A14" s="8">
        <v>42590.196736111109</v>
      </c>
      <c r="B14" s="24" t="s">
        <v>128</v>
      </c>
      <c r="C14" s="24" t="s">
        <v>341</v>
      </c>
      <c r="D14" s="24">
        <v>1990000</v>
      </c>
      <c r="E14" s="24" t="s">
        <v>151</v>
      </c>
      <c r="F14" s="24" t="str">
        <f t="shared" si="0"/>
        <v>rtdc.l.rtdc.4016:itc</v>
      </c>
      <c r="G14" s="8">
        <f t="shared" si="1"/>
        <v>42590.196736111109</v>
      </c>
    </row>
    <row r="15" spans="1:7" x14ac:dyDescent="0.25">
      <c r="A15" s="8">
        <v>42590.197083333333</v>
      </c>
      <c r="B15" s="24" t="s">
        <v>99</v>
      </c>
      <c r="C15" s="24" t="s">
        <v>342</v>
      </c>
      <c r="D15" s="24">
        <v>1830000</v>
      </c>
      <c r="E15" s="24" t="s">
        <v>162</v>
      </c>
      <c r="F15" s="24" t="str">
        <f t="shared" si="0"/>
        <v>rtdc.l.rtdc.4038:itc</v>
      </c>
      <c r="G15" s="8">
        <f t="shared" si="1"/>
        <v>42590.197083333333</v>
      </c>
    </row>
    <row r="16" spans="1:7" x14ac:dyDescent="0.25">
      <c r="A16" s="8">
        <v>42590.208495370367</v>
      </c>
      <c r="B16" s="24" t="s">
        <v>127</v>
      </c>
      <c r="C16" s="24" t="s">
        <v>343</v>
      </c>
      <c r="D16" s="24">
        <v>1990000</v>
      </c>
      <c r="E16" s="24" t="s">
        <v>151</v>
      </c>
      <c r="F16" s="24" t="str">
        <f t="shared" si="0"/>
        <v>rtdc.l.rtdc.4015:itc</v>
      </c>
      <c r="G16" s="8">
        <f t="shared" si="1"/>
        <v>42590.208495370367</v>
      </c>
    </row>
    <row r="17" spans="1:7" x14ac:dyDescent="0.25">
      <c r="A17" s="8">
        <v>42590.20857638889</v>
      </c>
      <c r="B17" s="24" t="s">
        <v>137</v>
      </c>
      <c r="C17" s="24" t="s">
        <v>282</v>
      </c>
      <c r="D17" s="24">
        <v>2110000</v>
      </c>
      <c r="E17" s="24" t="s">
        <v>332</v>
      </c>
      <c r="F17" s="24" t="str">
        <f t="shared" si="0"/>
        <v>rtdc.l.rtdc.4011:itc</v>
      </c>
      <c r="G17" s="8">
        <f t="shared" si="1"/>
        <v>42590.20857638889</v>
      </c>
    </row>
    <row r="18" spans="1:7" x14ac:dyDescent="0.25">
      <c r="A18" s="8">
        <v>42590.209618055553</v>
      </c>
      <c r="B18" s="24" t="s">
        <v>104</v>
      </c>
      <c r="C18" s="24" t="s">
        <v>344</v>
      </c>
      <c r="D18" s="24">
        <v>1110000</v>
      </c>
      <c r="E18" s="24" t="s">
        <v>111</v>
      </c>
      <c r="F18" s="24" t="str">
        <f t="shared" si="0"/>
        <v>rtdc.l.rtdc.4029:itc</v>
      </c>
      <c r="G18" s="8">
        <f t="shared" si="1"/>
        <v>42590.209618055553</v>
      </c>
    </row>
    <row r="19" spans="1:7" x14ac:dyDescent="0.25">
      <c r="A19" s="8">
        <v>42590.214155092595</v>
      </c>
      <c r="B19" s="24" t="s">
        <v>143</v>
      </c>
      <c r="C19" s="24" t="s">
        <v>283</v>
      </c>
      <c r="D19" s="24">
        <v>1100000</v>
      </c>
      <c r="E19" s="24" t="s">
        <v>336</v>
      </c>
      <c r="F19" s="24" t="str">
        <f t="shared" si="0"/>
        <v>rtdc.l.rtdc.4032:itc</v>
      </c>
      <c r="G19" s="8">
        <f t="shared" si="1"/>
        <v>42590.214155092595</v>
      </c>
    </row>
    <row r="20" spans="1:7" x14ac:dyDescent="0.25">
      <c r="A20" s="8">
        <v>42590.223009259258</v>
      </c>
      <c r="B20" s="24" t="s">
        <v>103</v>
      </c>
      <c r="C20" s="24" t="s">
        <v>281</v>
      </c>
      <c r="D20" s="24">
        <v>1090000</v>
      </c>
      <c r="E20" s="24" t="s">
        <v>340</v>
      </c>
      <c r="F20" s="24" t="str">
        <f t="shared" si="0"/>
        <v>rtdc.l.rtdc.4028:itc</v>
      </c>
      <c r="G20" s="8">
        <f t="shared" si="1"/>
        <v>42590.223009259258</v>
      </c>
    </row>
    <row r="21" spans="1:7" x14ac:dyDescent="0.25">
      <c r="A21" s="8">
        <v>42590.226643518516</v>
      </c>
      <c r="B21" s="24" t="s">
        <v>150</v>
      </c>
      <c r="C21" s="24" t="s">
        <v>345</v>
      </c>
      <c r="D21" s="24">
        <v>1830000</v>
      </c>
      <c r="E21" s="24" t="s">
        <v>162</v>
      </c>
      <c r="F21" s="24" t="str">
        <f t="shared" si="0"/>
        <v>rtdc.l.rtdc.4037:itc</v>
      </c>
      <c r="G21" s="8">
        <f t="shared" si="1"/>
        <v>42590.226643518516</v>
      </c>
    </row>
    <row r="22" spans="1:7" x14ac:dyDescent="0.25">
      <c r="A22" s="30">
        <v>42590.227002314816</v>
      </c>
      <c r="B22" s="24" t="s">
        <v>109</v>
      </c>
      <c r="C22" s="24" t="s">
        <v>284</v>
      </c>
      <c r="D22" s="24">
        <v>1310000</v>
      </c>
      <c r="E22" s="24" t="s">
        <v>183</v>
      </c>
      <c r="F22" s="24" t="str">
        <f t="shared" si="0"/>
        <v>rtdc.l.rtdc.4007:itc</v>
      </c>
      <c r="G22" s="8">
        <f t="shared" si="1"/>
        <v>42590.227002314816</v>
      </c>
    </row>
    <row r="23" spans="1:7" x14ac:dyDescent="0.25">
      <c r="A23" s="8">
        <v>42590.237025462964</v>
      </c>
      <c r="B23" s="24" t="s">
        <v>140</v>
      </c>
      <c r="C23" s="24" t="s">
        <v>346</v>
      </c>
      <c r="D23" s="24">
        <v>1480000</v>
      </c>
      <c r="E23" s="24" t="s">
        <v>334</v>
      </c>
      <c r="F23" s="24" t="str">
        <f t="shared" si="0"/>
        <v>rtdc.l.rtdc.4014:itc</v>
      </c>
      <c r="G23" s="8">
        <f t="shared" si="1"/>
        <v>42590.237025462964</v>
      </c>
    </row>
    <row r="24" spans="1:7" x14ac:dyDescent="0.25">
      <c r="A24" s="8">
        <v>42590.239351851851</v>
      </c>
      <c r="B24" s="24" t="s">
        <v>128</v>
      </c>
      <c r="C24" s="24" t="s">
        <v>347</v>
      </c>
      <c r="D24" s="24">
        <v>1990000</v>
      </c>
      <c r="E24" s="24" t="s">
        <v>151</v>
      </c>
      <c r="F24" s="24" t="str">
        <f t="shared" si="0"/>
        <v>rtdc.l.rtdc.4016:itc</v>
      </c>
      <c r="G24" s="8">
        <f t="shared" si="1"/>
        <v>42590.239351851851</v>
      </c>
    </row>
    <row r="25" spans="1:7" x14ac:dyDescent="0.25">
      <c r="A25" s="8">
        <v>42590.245879629627</v>
      </c>
      <c r="B25" s="24" t="s">
        <v>150</v>
      </c>
      <c r="C25" s="24" t="s">
        <v>345</v>
      </c>
      <c r="D25" s="24">
        <v>1830000</v>
      </c>
      <c r="E25" s="24" t="s">
        <v>162</v>
      </c>
      <c r="F25" s="24" t="str">
        <f t="shared" si="0"/>
        <v>rtdc.l.rtdc.4037:itc</v>
      </c>
      <c r="G25" s="8">
        <f t="shared" si="1"/>
        <v>42590.245879629627</v>
      </c>
    </row>
    <row r="26" spans="1:7" x14ac:dyDescent="0.25">
      <c r="A26" s="8">
        <v>42590.248506944445</v>
      </c>
      <c r="B26" s="24" t="s">
        <v>348</v>
      </c>
      <c r="C26" s="24" t="s">
        <v>349</v>
      </c>
      <c r="D26" s="24">
        <v>1240000</v>
      </c>
      <c r="E26" s="24" t="s">
        <v>350</v>
      </c>
      <c r="F26" s="24" t="str">
        <f t="shared" si="0"/>
        <v>rtdc.l.rtdc.4039:itc</v>
      </c>
      <c r="G26" s="8">
        <f t="shared" si="1"/>
        <v>42590.248506944445</v>
      </c>
    </row>
    <row r="27" spans="1:7" x14ac:dyDescent="0.25">
      <c r="A27" s="8">
        <v>42590.249780092592</v>
      </c>
      <c r="B27" s="24" t="s">
        <v>67</v>
      </c>
      <c r="C27" s="24" t="s">
        <v>351</v>
      </c>
      <c r="D27" s="24">
        <v>1100000</v>
      </c>
      <c r="E27" s="24" t="s">
        <v>336</v>
      </c>
      <c r="F27" s="24" t="str">
        <f t="shared" si="0"/>
        <v>rtdc.l.rtdc.4020:itc</v>
      </c>
      <c r="G27" s="8">
        <f t="shared" si="1"/>
        <v>42590.249780092592</v>
      </c>
    </row>
    <row r="28" spans="1:7" x14ac:dyDescent="0.25">
      <c r="A28" s="8">
        <v>42590.250891203701</v>
      </c>
      <c r="B28" s="24" t="s">
        <v>67</v>
      </c>
      <c r="C28" s="24" t="s">
        <v>351</v>
      </c>
      <c r="D28" s="24">
        <v>1100000</v>
      </c>
      <c r="E28" s="24" t="s">
        <v>336</v>
      </c>
      <c r="F28" s="24" t="str">
        <f t="shared" si="0"/>
        <v>rtdc.l.rtdc.4020:itc</v>
      </c>
      <c r="G28" s="8">
        <f t="shared" si="1"/>
        <v>42590.250891203701</v>
      </c>
    </row>
    <row r="29" spans="1:7" x14ac:dyDescent="0.25">
      <c r="A29" s="8">
        <v>42590.25445601852</v>
      </c>
      <c r="B29" s="24" t="s">
        <v>138</v>
      </c>
      <c r="C29" s="24" t="s">
        <v>352</v>
      </c>
      <c r="D29" s="24">
        <v>2110000</v>
      </c>
      <c r="E29" s="24" t="s">
        <v>332</v>
      </c>
      <c r="F29" s="24" t="str">
        <f t="shared" si="0"/>
        <v>rtdc.l.rtdc.4012:itc</v>
      </c>
      <c r="G29" s="8">
        <f t="shared" si="1"/>
        <v>42590.25445601852</v>
      </c>
    </row>
    <row r="30" spans="1:7" x14ac:dyDescent="0.25">
      <c r="A30" s="8">
        <v>42590.255902777775</v>
      </c>
      <c r="B30" s="24" t="s">
        <v>127</v>
      </c>
      <c r="C30" s="24" t="s">
        <v>353</v>
      </c>
      <c r="D30" s="24">
        <v>1990000</v>
      </c>
      <c r="E30" s="24" t="s">
        <v>151</v>
      </c>
      <c r="F30" s="24" t="str">
        <f t="shared" si="0"/>
        <v>rtdc.l.rtdc.4015:itc</v>
      </c>
      <c r="G30" s="8">
        <f t="shared" si="1"/>
        <v>42590.255902777775</v>
      </c>
    </row>
    <row r="31" spans="1:7" x14ac:dyDescent="0.25">
      <c r="A31" s="8">
        <v>42590.255995370368</v>
      </c>
      <c r="B31" s="24" t="s">
        <v>105</v>
      </c>
      <c r="C31" s="24" t="s">
        <v>354</v>
      </c>
      <c r="D31" s="24">
        <v>1110000</v>
      </c>
      <c r="E31" s="24" t="s">
        <v>111</v>
      </c>
      <c r="F31" s="24" t="str">
        <f t="shared" si="0"/>
        <v>rtdc.l.rtdc.4030:itc</v>
      </c>
      <c r="G31" s="8">
        <f t="shared" si="1"/>
        <v>42590.255995370368</v>
      </c>
    </row>
    <row r="32" spans="1:7" x14ac:dyDescent="0.25">
      <c r="A32" s="8">
        <v>42590.25990740741</v>
      </c>
      <c r="B32" s="24" t="s">
        <v>355</v>
      </c>
      <c r="C32" s="24" t="s">
        <v>356</v>
      </c>
      <c r="D32" s="24">
        <v>1240000</v>
      </c>
      <c r="E32" s="24" t="s">
        <v>350</v>
      </c>
      <c r="F32" s="24" t="str">
        <f t="shared" si="0"/>
        <v>rtdc.l.rtdc.4040:itc</v>
      </c>
      <c r="G32" s="8">
        <f t="shared" si="1"/>
        <v>42590.25990740741</v>
      </c>
    </row>
    <row r="33" spans="1:7" x14ac:dyDescent="0.25">
      <c r="A33" s="8">
        <v>42590.260358796295</v>
      </c>
      <c r="B33" s="24" t="s">
        <v>106</v>
      </c>
      <c r="C33" s="24" t="s">
        <v>285</v>
      </c>
      <c r="D33" s="24">
        <v>1090000</v>
      </c>
      <c r="E33" s="24" t="s">
        <v>340</v>
      </c>
      <c r="F33" s="24" t="str">
        <f t="shared" si="0"/>
        <v>rtdc.l.rtdc.4027:itc</v>
      </c>
      <c r="G33" s="8">
        <f t="shared" si="1"/>
        <v>42590.260358796295</v>
      </c>
    </row>
    <row r="34" spans="1:7" x14ac:dyDescent="0.25">
      <c r="A34" s="8">
        <v>42590.266759259262</v>
      </c>
      <c r="B34" s="24" t="s">
        <v>108</v>
      </c>
      <c r="C34" s="24" t="s">
        <v>286</v>
      </c>
      <c r="D34" s="24">
        <v>1310000</v>
      </c>
      <c r="E34" s="24" t="s">
        <v>183</v>
      </c>
      <c r="F34" s="24" t="str">
        <f t="shared" si="0"/>
        <v>rtdc.l.rtdc.4008:itc</v>
      </c>
      <c r="G34" s="8">
        <f t="shared" si="1"/>
        <v>42590.266759259262</v>
      </c>
    </row>
    <row r="35" spans="1:7" x14ac:dyDescent="0.25">
      <c r="A35" s="8">
        <v>42590.26971064815</v>
      </c>
      <c r="B35" s="24" t="s">
        <v>99</v>
      </c>
      <c r="C35" s="24" t="s">
        <v>287</v>
      </c>
      <c r="D35" s="24">
        <v>730000</v>
      </c>
      <c r="E35" s="24" t="s">
        <v>272</v>
      </c>
      <c r="F35" s="24" t="str">
        <f t="shared" si="0"/>
        <v>rtdc.l.rtdc.4038:itc</v>
      </c>
      <c r="G35" s="8">
        <f t="shared" si="1"/>
        <v>42590.26971064815</v>
      </c>
    </row>
    <row r="36" spans="1:7" x14ac:dyDescent="0.25">
      <c r="A36" s="8">
        <v>42590.271331018521</v>
      </c>
      <c r="B36" s="24" t="s">
        <v>101</v>
      </c>
      <c r="C36" s="24" t="s">
        <v>357</v>
      </c>
      <c r="D36" s="24">
        <v>1480000</v>
      </c>
      <c r="E36" s="24" t="s">
        <v>334</v>
      </c>
      <c r="F36" s="24" t="str">
        <f t="shared" si="0"/>
        <v>rtdc.l.rtdc.4013:itc</v>
      </c>
      <c r="G36" s="8">
        <f t="shared" si="1"/>
        <v>42590.271331018521</v>
      </c>
    </row>
    <row r="37" spans="1:7" x14ac:dyDescent="0.25">
      <c r="A37" s="8">
        <v>42590.276909722219</v>
      </c>
      <c r="B37" s="24" t="s">
        <v>348</v>
      </c>
      <c r="C37" s="24" t="s">
        <v>358</v>
      </c>
      <c r="D37" s="24">
        <v>1240000</v>
      </c>
      <c r="E37" s="24" t="s">
        <v>350</v>
      </c>
      <c r="F37" s="24" t="str">
        <f t="shared" si="0"/>
        <v>rtdc.l.rtdc.4039:itc</v>
      </c>
      <c r="G37" s="8">
        <f t="shared" si="1"/>
        <v>42590.276909722219</v>
      </c>
    </row>
    <row r="38" spans="1:7" x14ac:dyDescent="0.25">
      <c r="A38" s="8">
        <v>42590.280370370368</v>
      </c>
      <c r="B38" s="24" t="s">
        <v>104</v>
      </c>
      <c r="C38" s="24" t="s">
        <v>289</v>
      </c>
      <c r="D38" s="24">
        <v>1110000</v>
      </c>
      <c r="E38" s="24" t="s">
        <v>111</v>
      </c>
      <c r="F38" s="24" t="str">
        <f t="shared" si="0"/>
        <v>rtdc.l.rtdc.4029:itc</v>
      </c>
      <c r="G38" s="8">
        <f t="shared" si="1"/>
        <v>42590.280370370368</v>
      </c>
    </row>
    <row r="39" spans="1:7" x14ac:dyDescent="0.25">
      <c r="A39" s="8">
        <v>42590.28224537037</v>
      </c>
      <c r="B39" s="24" t="s">
        <v>128</v>
      </c>
      <c r="C39" s="24" t="s">
        <v>359</v>
      </c>
      <c r="D39" s="24">
        <v>1990000</v>
      </c>
      <c r="E39" s="24" t="s">
        <v>151</v>
      </c>
      <c r="F39" s="24" t="str">
        <f t="shared" si="0"/>
        <v>rtdc.l.rtdc.4016:itc</v>
      </c>
      <c r="G39" s="8">
        <f t="shared" si="1"/>
        <v>42590.28224537037</v>
      </c>
    </row>
    <row r="40" spans="1:7" x14ac:dyDescent="0.25">
      <c r="A40" s="8">
        <v>42590.286377314813</v>
      </c>
      <c r="B40" s="29" t="s">
        <v>66</v>
      </c>
      <c r="C40" s="24" t="s">
        <v>290</v>
      </c>
      <c r="D40" s="24">
        <v>1100000</v>
      </c>
      <c r="E40" s="24" t="s">
        <v>336</v>
      </c>
      <c r="F40" s="24" t="str">
        <f t="shared" si="0"/>
        <v>rtdc.l.rtdc.4019:itc</v>
      </c>
      <c r="G40" s="8">
        <f t="shared" si="1"/>
        <v>42590.286377314813</v>
      </c>
    </row>
    <row r="41" spans="1:7" x14ac:dyDescent="0.25">
      <c r="A41" s="8">
        <v>42590.287824074076</v>
      </c>
      <c r="B41" s="24" t="s">
        <v>101</v>
      </c>
      <c r="C41" s="24" t="s">
        <v>357</v>
      </c>
      <c r="D41" s="24">
        <v>1480000</v>
      </c>
      <c r="E41" s="24" t="s">
        <v>334</v>
      </c>
      <c r="F41" s="24" t="str">
        <f t="shared" si="0"/>
        <v>rtdc.l.rtdc.4013:itc</v>
      </c>
      <c r="G41" s="8">
        <f t="shared" si="1"/>
        <v>42590.287824074076</v>
      </c>
    </row>
    <row r="42" spans="1:7" x14ac:dyDescent="0.25">
      <c r="A42" s="8">
        <v>42590.288425925923</v>
      </c>
      <c r="B42" s="24" t="s">
        <v>137</v>
      </c>
      <c r="C42" s="24" t="s">
        <v>360</v>
      </c>
      <c r="D42" s="24">
        <v>2110000</v>
      </c>
      <c r="E42" s="24" t="s">
        <v>332</v>
      </c>
      <c r="F42" s="24" t="str">
        <f t="shared" si="0"/>
        <v>rtdc.l.rtdc.4011:itc</v>
      </c>
      <c r="G42" s="8">
        <f t="shared" si="1"/>
        <v>42590.288425925923</v>
      </c>
    </row>
    <row r="43" spans="1:7" x14ac:dyDescent="0.25">
      <c r="A43" s="8">
        <v>42590.294594907406</v>
      </c>
      <c r="B43" s="24" t="s">
        <v>103</v>
      </c>
      <c r="C43" s="24" t="s">
        <v>288</v>
      </c>
      <c r="D43" s="24">
        <v>1090000</v>
      </c>
      <c r="E43" s="24" t="s">
        <v>340</v>
      </c>
      <c r="F43" s="24" t="str">
        <f t="shared" si="0"/>
        <v>rtdc.l.rtdc.4028:itc</v>
      </c>
      <c r="G43" s="8">
        <f t="shared" si="1"/>
        <v>42590.294594907406</v>
      </c>
    </row>
    <row r="44" spans="1:7" x14ac:dyDescent="0.25">
      <c r="A44" s="8">
        <v>42590.297673611109</v>
      </c>
      <c r="B44" s="24" t="s">
        <v>127</v>
      </c>
      <c r="C44" s="24" t="s">
        <v>361</v>
      </c>
      <c r="D44" s="24">
        <v>1990000</v>
      </c>
      <c r="E44" s="24" t="s">
        <v>151</v>
      </c>
      <c r="F44" s="24" t="str">
        <f t="shared" si="0"/>
        <v>rtdc.l.rtdc.4015:itc</v>
      </c>
      <c r="G44" s="8">
        <f t="shared" si="1"/>
        <v>42590.297673611109</v>
      </c>
    </row>
    <row r="45" spans="1:7" x14ac:dyDescent="0.25">
      <c r="A45" s="8">
        <v>42590.299525462964</v>
      </c>
      <c r="B45" s="24" t="s">
        <v>150</v>
      </c>
      <c r="C45" s="24" t="s">
        <v>362</v>
      </c>
      <c r="D45" s="24">
        <v>730000</v>
      </c>
      <c r="E45" s="24" t="s">
        <v>272</v>
      </c>
      <c r="F45" s="24" t="str">
        <f t="shared" si="0"/>
        <v>rtdc.l.rtdc.4037:itc</v>
      </c>
      <c r="G45" s="8">
        <f t="shared" si="1"/>
        <v>42590.299525462964</v>
      </c>
    </row>
    <row r="46" spans="1:7" x14ac:dyDescent="0.25">
      <c r="A46" s="8">
        <v>42590.300613425927</v>
      </c>
      <c r="B46" s="24" t="s">
        <v>109</v>
      </c>
      <c r="C46" s="24" t="s">
        <v>363</v>
      </c>
      <c r="D46" s="24">
        <v>1310000</v>
      </c>
      <c r="E46" s="24" t="s">
        <v>183</v>
      </c>
      <c r="F46" s="24" t="str">
        <f t="shared" si="0"/>
        <v>rtdc.l.rtdc.4007:itc</v>
      </c>
      <c r="G46" s="8">
        <f t="shared" si="1"/>
        <v>42590.300613425927</v>
      </c>
    </row>
    <row r="47" spans="1:7" x14ac:dyDescent="0.25">
      <c r="A47" s="8">
        <v>42590.303414351853</v>
      </c>
      <c r="B47" s="24" t="s">
        <v>355</v>
      </c>
      <c r="C47" s="24" t="s">
        <v>364</v>
      </c>
      <c r="D47" s="24">
        <v>1240000</v>
      </c>
      <c r="E47" s="24" t="s">
        <v>350</v>
      </c>
      <c r="F47" s="24" t="str">
        <f t="shared" si="0"/>
        <v>rtdc.l.rtdc.4040:itc</v>
      </c>
      <c r="G47" s="8">
        <f t="shared" si="1"/>
        <v>42590.303414351853</v>
      </c>
    </row>
    <row r="48" spans="1:7" x14ac:dyDescent="0.25">
      <c r="A48" s="8">
        <v>42590.3127662037</v>
      </c>
      <c r="B48" s="24" t="s">
        <v>140</v>
      </c>
      <c r="C48" s="24" t="s">
        <v>365</v>
      </c>
      <c r="D48" s="24">
        <v>1480000</v>
      </c>
      <c r="E48" s="24" t="s">
        <v>334</v>
      </c>
      <c r="F48" s="24" t="str">
        <f t="shared" si="0"/>
        <v>rtdc.l.rtdc.4014:itc</v>
      </c>
      <c r="G48" s="8">
        <f t="shared" si="1"/>
        <v>42590.3127662037</v>
      </c>
    </row>
    <row r="49" spans="1:7" x14ac:dyDescent="0.25">
      <c r="A49" s="8">
        <v>42590.317488425928</v>
      </c>
      <c r="B49" s="24" t="s">
        <v>348</v>
      </c>
      <c r="C49" s="24" t="s">
        <v>366</v>
      </c>
      <c r="D49" s="24">
        <v>1240000</v>
      </c>
      <c r="E49" s="24" t="s">
        <v>350</v>
      </c>
      <c r="F49" s="24" t="str">
        <f t="shared" si="0"/>
        <v>rtdc.l.rtdc.4039:itc</v>
      </c>
      <c r="G49" s="8">
        <f t="shared" si="1"/>
        <v>42590.317488425928</v>
      </c>
    </row>
    <row r="50" spans="1:7" x14ac:dyDescent="0.25">
      <c r="A50" s="8">
        <v>42590.31753472222</v>
      </c>
      <c r="B50" s="24" t="s">
        <v>105</v>
      </c>
      <c r="C50" s="24" t="s">
        <v>367</v>
      </c>
      <c r="D50" s="24">
        <v>1110000</v>
      </c>
      <c r="E50" s="24" t="s">
        <v>111</v>
      </c>
      <c r="F50" s="24" t="str">
        <f t="shared" si="0"/>
        <v>rtdc.l.rtdc.4030:itc</v>
      </c>
      <c r="G50" s="8">
        <f t="shared" si="1"/>
        <v>42590.31753472222</v>
      </c>
    </row>
    <row r="51" spans="1:7" x14ac:dyDescent="0.25">
      <c r="A51" s="8">
        <v>42590.320937500001</v>
      </c>
      <c r="B51" s="24" t="s">
        <v>67</v>
      </c>
      <c r="C51" s="24" t="s">
        <v>293</v>
      </c>
      <c r="D51" s="24">
        <v>1100000</v>
      </c>
      <c r="E51" s="24" t="s">
        <v>336</v>
      </c>
      <c r="F51" s="24" t="str">
        <f t="shared" si="0"/>
        <v>rtdc.l.rtdc.4020:itc</v>
      </c>
      <c r="G51" s="8">
        <f t="shared" si="1"/>
        <v>42590.320937500001</v>
      </c>
    </row>
    <row r="52" spans="1:7" x14ac:dyDescent="0.25">
      <c r="A52" s="8">
        <v>42590.324374999997</v>
      </c>
      <c r="B52" s="24" t="s">
        <v>128</v>
      </c>
      <c r="C52" s="24" t="s">
        <v>368</v>
      </c>
      <c r="D52" s="24">
        <v>1990000</v>
      </c>
      <c r="E52" s="24" t="s">
        <v>151</v>
      </c>
      <c r="F52" s="24" t="str">
        <f t="shared" si="0"/>
        <v>rtdc.l.rtdc.4016:itc</v>
      </c>
      <c r="G52" s="8">
        <f t="shared" si="1"/>
        <v>42590.324374999997</v>
      </c>
    </row>
    <row r="53" spans="1:7" x14ac:dyDescent="0.25">
      <c r="A53" s="8">
        <v>42590.327245370368</v>
      </c>
      <c r="B53" s="24" t="s">
        <v>138</v>
      </c>
      <c r="C53" s="24" t="s">
        <v>369</v>
      </c>
      <c r="D53" s="24">
        <v>2110000</v>
      </c>
      <c r="E53" s="24" t="s">
        <v>332</v>
      </c>
      <c r="F53" s="24" t="str">
        <f t="shared" si="0"/>
        <v>rtdc.l.rtdc.4012:itc</v>
      </c>
      <c r="G53" s="8">
        <f t="shared" si="1"/>
        <v>42590.327245370368</v>
      </c>
    </row>
    <row r="54" spans="1:7" x14ac:dyDescent="0.25">
      <c r="A54" s="8">
        <v>42590.330381944441</v>
      </c>
      <c r="B54" s="24" t="s">
        <v>106</v>
      </c>
      <c r="C54" s="24" t="s">
        <v>291</v>
      </c>
      <c r="D54" s="24">
        <v>1090000</v>
      </c>
      <c r="E54" s="24" t="s">
        <v>340</v>
      </c>
      <c r="F54" s="24" t="str">
        <f t="shared" si="0"/>
        <v>rtdc.l.rtdc.4027:itc</v>
      </c>
      <c r="G54" s="8">
        <f t="shared" si="1"/>
        <v>42590.330381944441</v>
      </c>
    </row>
    <row r="55" spans="1:7" x14ac:dyDescent="0.25">
      <c r="A55" s="8">
        <v>42590.339236111111</v>
      </c>
      <c r="B55" s="24" t="s">
        <v>127</v>
      </c>
      <c r="C55" s="24" t="s">
        <v>370</v>
      </c>
      <c r="D55" s="24">
        <v>1990000</v>
      </c>
      <c r="E55" s="24" t="s">
        <v>151</v>
      </c>
      <c r="F55" s="24" t="str">
        <f t="shared" si="0"/>
        <v>rtdc.l.rtdc.4015:itc</v>
      </c>
      <c r="G55" s="8">
        <f t="shared" si="1"/>
        <v>42590.339236111111</v>
      </c>
    </row>
    <row r="56" spans="1:7" x14ac:dyDescent="0.25">
      <c r="A56" s="8">
        <v>42590.340509259258</v>
      </c>
      <c r="B56" s="24" t="s">
        <v>108</v>
      </c>
      <c r="C56" s="24" t="s">
        <v>371</v>
      </c>
      <c r="D56" s="24">
        <v>1310000</v>
      </c>
      <c r="E56" s="24" t="s">
        <v>183</v>
      </c>
      <c r="F56" s="24" t="str">
        <f t="shared" si="0"/>
        <v>rtdc.l.rtdc.4008:itc</v>
      </c>
      <c r="G56" s="8">
        <f t="shared" si="1"/>
        <v>42590.340509259258</v>
      </c>
    </row>
    <row r="57" spans="1:7" x14ac:dyDescent="0.25">
      <c r="A57" s="8">
        <v>42590.340520833335</v>
      </c>
      <c r="B57" s="24" t="s">
        <v>99</v>
      </c>
      <c r="C57" s="24" t="s">
        <v>292</v>
      </c>
      <c r="D57" s="24">
        <v>1830000</v>
      </c>
      <c r="E57" s="24" t="s">
        <v>162</v>
      </c>
      <c r="F57" s="24" t="str">
        <f t="shared" si="0"/>
        <v>rtdc.l.rtdc.4038:itc</v>
      </c>
      <c r="G57" s="8">
        <f t="shared" si="1"/>
        <v>42590.340520833335</v>
      </c>
    </row>
    <row r="58" spans="1:7" x14ac:dyDescent="0.25">
      <c r="A58" s="8">
        <v>42590.344583333332</v>
      </c>
      <c r="B58" s="24" t="s">
        <v>101</v>
      </c>
      <c r="C58" s="24" t="s">
        <v>372</v>
      </c>
      <c r="D58" s="24">
        <v>1480000</v>
      </c>
      <c r="E58" s="24" t="s">
        <v>334</v>
      </c>
      <c r="F58" s="24" t="str">
        <f t="shared" si="0"/>
        <v>rtdc.l.rtdc.4013:itc</v>
      </c>
      <c r="G58" s="8">
        <f t="shared" si="1"/>
        <v>42590.344583333332</v>
      </c>
    </row>
    <row r="59" spans="1:7" x14ac:dyDescent="0.25">
      <c r="A59" s="8">
        <v>42590.346412037034</v>
      </c>
      <c r="B59" s="24" t="s">
        <v>142</v>
      </c>
      <c r="C59" s="24" t="s">
        <v>373</v>
      </c>
      <c r="D59" s="24">
        <v>1240000</v>
      </c>
      <c r="E59" s="24" t="s">
        <v>350</v>
      </c>
      <c r="F59" s="24" t="str">
        <f t="shared" si="0"/>
        <v>rtdc.l.rtdc.4031:itc</v>
      </c>
      <c r="G59" s="8">
        <f t="shared" si="1"/>
        <v>42590.346412037034</v>
      </c>
    </row>
    <row r="60" spans="1:7" x14ac:dyDescent="0.25">
      <c r="A60" s="8">
        <v>42590.347118055557</v>
      </c>
      <c r="B60" s="24" t="s">
        <v>142</v>
      </c>
      <c r="C60" s="24" t="s">
        <v>373</v>
      </c>
      <c r="D60" s="24">
        <v>1240000</v>
      </c>
      <c r="E60" s="24" t="s">
        <v>350</v>
      </c>
      <c r="F60" s="24" t="str">
        <f t="shared" si="0"/>
        <v>rtdc.l.rtdc.4031:itc</v>
      </c>
      <c r="G60" s="8">
        <f t="shared" si="1"/>
        <v>42590.347118055557</v>
      </c>
    </row>
    <row r="61" spans="1:7" x14ac:dyDescent="0.25">
      <c r="A61" s="8">
        <v>42590.351307870369</v>
      </c>
      <c r="B61" s="24" t="s">
        <v>104</v>
      </c>
      <c r="C61" s="24" t="s">
        <v>294</v>
      </c>
      <c r="D61" s="24">
        <v>1110000</v>
      </c>
      <c r="E61" s="24" t="s">
        <v>111</v>
      </c>
      <c r="F61" s="24" t="str">
        <f t="shared" si="0"/>
        <v>rtdc.l.rtdc.4029:itc</v>
      </c>
      <c r="G61" s="8">
        <f t="shared" si="1"/>
        <v>42590.351307870369</v>
      </c>
    </row>
    <row r="62" spans="1:7" x14ac:dyDescent="0.25">
      <c r="A62" s="8">
        <v>42590.35833333333</v>
      </c>
      <c r="B62" s="24" t="s">
        <v>66</v>
      </c>
      <c r="C62" s="24" t="s">
        <v>374</v>
      </c>
      <c r="D62" s="24">
        <v>1100000</v>
      </c>
      <c r="E62" s="24" t="s">
        <v>336</v>
      </c>
      <c r="F62" s="24" t="str">
        <f t="shared" si="0"/>
        <v>rtdc.l.rtdc.4019:itc</v>
      </c>
      <c r="G62" s="8">
        <f t="shared" si="1"/>
        <v>42590.35833333333</v>
      </c>
    </row>
    <row r="63" spans="1:7" x14ac:dyDescent="0.25">
      <c r="A63" s="8">
        <v>42590.360046296293</v>
      </c>
      <c r="B63" s="24" t="s">
        <v>143</v>
      </c>
      <c r="C63" s="24" t="s">
        <v>375</v>
      </c>
      <c r="D63" s="24">
        <v>1240000</v>
      </c>
      <c r="E63" s="24" t="s">
        <v>350</v>
      </c>
      <c r="F63" s="24" t="str">
        <f t="shared" si="0"/>
        <v>rtdc.l.rtdc.4032:itc</v>
      </c>
      <c r="G63" s="8">
        <f t="shared" si="1"/>
        <v>42590.360046296293</v>
      </c>
    </row>
    <row r="64" spans="1:7" x14ac:dyDescent="0.25">
      <c r="A64" s="30">
        <v>42590.363275462965</v>
      </c>
      <c r="B64" s="24" t="s">
        <v>137</v>
      </c>
      <c r="C64" s="24" t="s">
        <v>376</v>
      </c>
      <c r="D64" s="24">
        <v>2110000</v>
      </c>
      <c r="E64" s="24" t="s">
        <v>332</v>
      </c>
      <c r="F64" s="24" t="str">
        <f t="shared" si="0"/>
        <v>rtdc.l.rtdc.4011:itc</v>
      </c>
      <c r="G64" s="8">
        <f t="shared" si="1"/>
        <v>42590.363275462965</v>
      </c>
    </row>
    <row r="65" spans="1:7" x14ac:dyDescent="0.25">
      <c r="A65" s="8">
        <v>42590.368773148148</v>
      </c>
      <c r="B65" s="24" t="s">
        <v>103</v>
      </c>
      <c r="C65" s="24" t="s">
        <v>377</v>
      </c>
      <c r="D65" s="24">
        <v>1090000</v>
      </c>
      <c r="E65" s="24" t="s">
        <v>340</v>
      </c>
      <c r="F65" s="24" t="str">
        <f t="shared" si="0"/>
        <v>rtdc.l.rtdc.4028:itc</v>
      </c>
      <c r="G65" s="8">
        <f t="shared" si="1"/>
        <v>42590.368773148148</v>
      </c>
    </row>
    <row r="66" spans="1:7" x14ac:dyDescent="0.25">
      <c r="A66" s="8">
        <v>42590.370208333334</v>
      </c>
      <c r="B66" s="24" t="s">
        <v>150</v>
      </c>
      <c r="C66" s="24" t="s">
        <v>378</v>
      </c>
      <c r="D66" s="24">
        <v>1830000</v>
      </c>
      <c r="E66" s="24" t="s">
        <v>162</v>
      </c>
      <c r="F66" s="24" t="str">
        <f t="shared" ref="F66:F129" si="2">B66</f>
        <v>rtdc.l.rtdc.4037:itc</v>
      </c>
      <c r="G66" s="8">
        <f t="shared" ref="G66:G129" si="3">A66</f>
        <v>42590.370208333334</v>
      </c>
    </row>
    <row r="67" spans="1:7" x14ac:dyDescent="0.25">
      <c r="A67" s="8">
        <v>42590.37122685185</v>
      </c>
      <c r="B67" s="24" t="s">
        <v>150</v>
      </c>
      <c r="C67" s="24" t="s">
        <v>378</v>
      </c>
      <c r="D67" s="24">
        <v>1830000</v>
      </c>
      <c r="E67" s="24" t="s">
        <v>162</v>
      </c>
      <c r="F67" s="24" t="str">
        <f t="shared" si="2"/>
        <v>rtdc.l.rtdc.4037:itc</v>
      </c>
      <c r="G67" s="8">
        <f t="shared" si="3"/>
        <v>42590.37122685185</v>
      </c>
    </row>
    <row r="68" spans="1:7" x14ac:dyDescent="0.25">
      <c r="A68" s="8">
        <v>42590.373877314814</v>
      </c>
      <c r="B68" s="24" t="s">
        <v>109</v>
      </c>
      <c r="C68" s="24" t="s">
        <v>379</v>
      </c>
      <c r="D68" s="24">
        <v>1310000</v>
      </c>
      <c r="E68" s="24" t="s">
        <v>183</v>
      </c>
      <c r="F68" s="24" t="str">
        <f t="shared" si="2"/>
        <v>rtdc.l.rtdc.4007:itc</v>
      </c>
      <c r="G68" s="8">
        <f t="shared" si="3"/>
        <v>42590.373877314814</v>
      </c>
    </row>
    <row r="69" spans="1:7" x14ac:dyDescent="0.25">
      <c r="A69" s="8">
        <v>42590.383900462963</v>
      </c>
      <c r="B69" s="24" t="s">
        <v>140</v>
      </c>
      <c r="C69" s="24" t="s">
        <v>380</v>
      </c>
      <c r="D69" s="24">
        <v>1480000</v>
      </c>
      <c r="E69" s="24" t="s">
        <v>334</v>
      </c>
      <c r="F69" s="24" t="str">
        <f t="shared" si="2"/>
        <v>rtdc.l.rtdc.4014:itc</v>
      </c>
      <c r="G69" s="8">
        <f t="shared" si="3"/>
        <v>42590.383900462963</v>
      </c>
    </row>
    <row r="70" spans="1:7" x14ac:dyDescent="0.25">
      <c r="A70" s="8">
        <v>42590.387025462966</v>
      </c>
      <c r="B70" s="24" t="s">
        <v>142</v>
      </c>
      <c r="C70" s="24" t="s">
        <v>381</v>
      </c>
      <c r="D70" s="24">
        <v>1240000</v>
      </c>
      <c r="E70" s="24" t="s">
        <v>350</v>
      </c>
      <c r="F70" s="24" t="str">
        <f t="shared" si="2"/>
        <v>rtdc.l.rtdc.4031:itc</v>
      </c>
      <c r="G70" s="8">
        <f t="shared" si="3"/>
        <v>42590.387025462966</v>
      </c>
    </row>
    <row r="71" spans="1:7" x14ac:dyDescent="0.25">
      <c r="A71" s="8">
        <v>42590.391238425924</v>
      </c>
      <c r="B71" s="24" t="s">
        <v>105</v>
      </c>
      <c r="C71" s="24" t="s">
        <v>382</v>
      </c>
      <c r="D71" s="24">
        <v>1110000</v>
      </c>
      <c r="E71" s="24" t="s">
        <v>111</v>
      </c>
      <c r="F71" s="24" t="str">
        <f t="shared" si="2"/>
        <v>rtdc.l.rtdc.4030:itc</v>
      </c>
      <c r="G71" s="8">
        <f t="shared" si="3"/>
        <v>42590.391238425924</v>
      </c>
    </row>
    <row r="72" spans="1:7" x14ac:dyDescent="0.25">
      <c r="A72" s="8">
        <v>42590.392962962964</v>
      </c>
      <c r="B72" s="24" t="s">
        <v>67</v>
      </c>
      <c r="C72" s="24" t="s">
        <v>383</v>
      </c>
      <c r="D72" s="24">
        <v>1100000</v>
      </c>
      <c r="E72" s="24" t="s">
        <v>336</v>
      </c>
      <c r="F72" s="24" t="str">
        <f t="shared" si="2"/>
        <v>rtdc.l.rtdc.4020:itc</v>
      </c>
      <c r="G72" s="8">
        <f t="shared" si="3"/>
        <v>42590.392962962964</v>
      </c>
    </row>
    <row r="73" spans="1:7" x14ac:dyDescent="0.25">
      <c r="A73" s="8">
        <v>42590.400555555556</v>
      </c>
      <c r="B73" s="24" t="s">
        <v>138</v>
      </c>
      <c r="C73" s="24" t="s">
        <v>296</v>
      </c>
      <c r="D73" s="24">
        <v>2110000</v>
      </c>
      <c r="E73" s="24" t="s">
        <v>332</v>
      </c>
      <c r="F73" s="24" t="str">
        <f t="shared" si="2"/>
        <v>rtdc.l.rtdc.4012:itc</v>
      </c>
      <c r="G73" s="8">
        <f t="shared" si="3"/>
        <v>42590.400555555556</v>
      </c>
    </row>
    <row r="74" spans="1:7" x14ac:dyDescent="0.25">
      <c r="A74" s="8">
        <v>42590.401180555556</v>
      </c>
      <c r="B74" s="24" t="s">
        <v>143</v>
      </c>
      <c r="C74" s="24" t="s">
        <v>384</v>
      </c>
      <c r="D74" s="24">
        <v>1240000</v>
      </c>
      <c r="E74" s="24" t="s">
        <v>350</v>
      </c>
      <c r="F74" s="24" t="str">
        <f t="shared" si="2"/>
        <v>rtdc.l.rtdc.4032:itc</v>
      </c>
      <c r="G74" s="8">
        <f t="shared" si="3"/>
        <v>42590.401180555556</v>
      </c>
    </row>
    <row r="75" spans="1:7" x14ac:dyDescent="0.25">
      <c r="A75" s="8">
        <v>42590.404930555553</v>
      </c>
      <c r="B75" s="24" t="s">
        <v>106</v>
      </c>
      <c r="C75" s="24" t="s">
        <v>385</v>
      </c>
      <c r="D75" s="24">
        <v>1090000</v>
      </c>
      <c r="E75" s="24" t="s">
        <v>340</v>
      </c>
      <c r="F75" s="24" t="str">
        <f t="shared" si="2"/>
        <v>rtdc.l.rtdc.4027:itc</v>
      </c>
      <c r="G75" s="8">
        <f t="shared" si="3"/>
        <v>42590.404930555553</v>
      </c>
    </row>
    <row r="76" spans="1:7" x14ac:dyDescent="0.25">
      <c r="A76" s="8">
        <v>42590.412557870368</v>
      </c>
      <c r="B76" s="24" t="s">
        <v>108</v>
      </c>
      <c r="C76" s="24" t="s">
        <v>386</v>
      </c>
      <c r="D76" s="24">
        <v>1310000</v>
      </c>
      <c r="E76" s="24" t="s">
        <v>183</v>
      </c>
      <c r="F76" s="24" t="str">
        <f t="shared" si="2"/>
        <v>rtdc.l.rtdc.4008:itc</v>
      </c>
      <c r="G76" s="8">
        <f t="shared" si="3"/>
        <v>42590.412557870368</v>
      </c>
    </row>
    <row r="77" spans="1:7" x14ac:dyDescent="0.25">
      <c r="A77" s="8">
        <v>42590.413263888891</v>
      </c>
      <c r="B77" s="24" t="s">
        <v>99</v>
      </c>
      <c r="C77" s="24" t="s">
        <v>387</v>
      </c>
      <c r="D77" s="24">
        <v>730000</v>
      </c>
      <c r="E77" s="24" t="s">
        <v>272</v>
      </c>
      <c r="F77" s="24" t="str">
        <f t="shared" si="2"/>
        <v>rtdc.l.rtdc.4038:itc</v>
      </c>
      <c r="G77" s="8">
        <f t="shared" si="3"/>
        <v>42590.413263888891</v>
      </c>
    </row>
    <row r="78" spans="1:7" x14ac:dyDescent="0.25">
      <c r="A78" s="8">
        <v>42590.415127314816</v>
      </c>
      <c r="B78" s="24" t="s">
        <v>101</v>
      </c>
      <c r="C78" s="24" t="s">
        <v>388</v>
      </c>
      <c r="D78" s="24">
        <v>1480000</v>
      </c>
      <c r="E78" s="24" t="s">
        <v>334</v>
      </c>
      <c r="F78" s="24" t="str">
        <f t="shared" si="2"/>
        <v>rtdc.l.rtdc.4013:itc</v>
      </c>
      <c r="G78" s="8">
        <f t="shared" si="3"/>
        <v>42590.415127314816</v>
      </c>
    </row>
    <row r="79" spans="1:7" x14ac:dyDescent="0.25">
      <c r="A79" s="8">
        <v>42590.425763888888</v>
      </c>
      <c r="B79" s="24" t="s">
        <v>104</v>
      </c>
      <c r="C79" s="24" t="s">
        <v>295</v>
      </c>
      <c r="D79" s="24">
        <v>1110000</v>
      </c>
      <c r="E79" s="24" t="s">
        <v>111</v>
      </c>
      <c r="F79" s="24" t="str">
        <f t="shared" si="2"/>
        <v>rtdc.l.rtdc.4029:itc</v>
      </c>
      <c r="G79" s="8">
        <f t="shared" si="3"/>
        <v>42590.425763888888</v>
      </c>
    </row>
    <row r="80" spans="1:7" x14ac:dyDescent="0.25">
      <c r="A80" s="8">
        <v>42590.428796296299</v>
      </c>
      <c r="B80" s="24" t="s">
        <v>142</v>
      </c>
      <c r="C80" s="24" t="s">
        <v>389</v>
      </c>
      <c r="D80" s="24">
        <v>1240000</v>
      </c>
      <c r="E80" s="24" t="s">
        <v>350</v>
      </c>
      <c r="F80" s="24" t="str">
        <f t="shared" si="2"/>
        <v>rtdc.l.rtdc.4031:itc</v>
      </c>
      <c r="G80" s="8">
        <f t="shared" si="3"/>
        <v>42590.428796296299</v>
      </c>
    </row>
    <row r="81" spans="1:7" x14ac:dyDescent="0.25">
      <c r="A81" s="8">
        <v>42590.431157407409</v>
      </c>
      <c r="B81" s="24" t="s">
        <v>66</v>
      </c>
      <c r="C81" s="24" t="s">
        <v>390</v>
      </c>
      <c r="D81" s="24">
        <v>1100000</v>
      </c>
      <c r="E81" s="24" t="s">
        <v>336</v>
      </c>
      <c r="F81" s="24" t="str">
        <f t="shared" si="2"/>
        <v>rtdc.l.rtdc.4019:itc</v>
      </c>
      <c r="G81" s="8">
        <f t="shared" si="3"/>
        <v>42590.431157407409</v>
      </c>
    </row>
    <row r="82" spans="1:7" x14ac:dyDescent="0.25">
      <c r="A82" s="8">
        <v>42590.435150462959</v>
      </c>
      <c r="B82" s="24" t="s">
        <v>137</v>
      </c>
      <c r="C82" s="24" t="s">
        <v>391</v>
      </c>
      <c r="D82" s="24">
        <v>1990000</v>
      </c>
      <c r="E82" s="24" t="s">
        <v>151</v>
      </c>
      <c r="F82" s="24" t="str">
        <f t="shared" si="2"/>
        <v>rtdc.l.rtdc.4011:itc</v>
      </c>
      <c r="G82" s="8">
        <f t="shared" si="3"/>
        <v>42590.435150462959</v>
      </c>
    </row>
    <row r="83" spans="1:7" x14ac:dyDescent="0.25">
      <c r="A83" s="8">
        <v>42590.440601851849</v>
      </c>
      <c r="B83" s="24" t="s">
        <v>103</v>
      </c>
      <c r="C83" s="24" t="s">
        <v>299</v>
      </c>
      <c r="D83" s="24">
        <v>1090000</v>
      </c>
      <c r="E83" s="24" t="s">
        <v>340</v>
      </c>
      <c r="F83" s="24" t="str">
        <f t="shared" si="2"/>
        <v>rtdc.l.rtdc.4028:itc</v>
      </c>
      <c r="G83" s="8">
        <f t="shared" si="3"/>
        <v>42590.440601851849</v>
      </c>
    </row>
    <row r="84" spans="1:7" x14ac:dyDescent="0.25">
      <c r="A84" s="8">
        <v>42590.442777777775</v>
      </c>
      <c r="B84" s="24" t="s">
        <v>143</v>
      </c>
      <c r="C84" s="24" t="s">
        <v>297</v>
      </c>
      <c r="D84" s="24">
        <v>1240000</v>
      </c>
      <c r="E84" s="24" t="s">
        <v>350</v>
      </c>
      <c r="F84" s="24" t="str">
        <f t="shared" si="2"/>
        <v>rtdc.l.rtdc.4032:itc</v>
      </c>
      <c r="G84" s="8">
        <f t="shared" si="3"/>
        <v>42590.442777777775</v>
      </c>
    </row>
    <row r="85" spans="1:7" x14ac:dyDescent="0.25">
      <c r="A85" s="8">
        <v>42590.446666666663</v>
      </c>
      <c r="B85" s="24" t="s">
        <v>150</v>
      </c>
      <c r="C85" s="24" t="s">
        <v>392</v>
      </c>
      <c r="D85" s="24">
        <v>730000</v>
      </c>
      <c r="E85" s="24" t="s">
        <v>272</v>
      </c>
      <c r="F85" s="24" t="str">
        <f t="shared" si="2"/>
        <v>rtdc.l.rtdc.4037:itc</v>
      </c>
      <c r="G85" s="8">
        <f t="shared" si="3"/>
        <v>42590.446666666663</v>
      </c>
    </row>
    <row r="86" spans="1:7" x14ac:dyDescent="0.25">
      <c r="A86" s="8">
        <v>42590.44703703704</v>
      </c>
      <c r="B86" s="24" t="s">
        <v>109</v>
      </c>
      <c r="C86" s="24" t="s">
        <v>393</v>
      </c>
      <c r="D86" s="24">
        <v>1310000</v>
      </c>
      <c r="E86" s="24" t="s">
        <v>183</v>
      </c>
      <c r="F86" s="24" t="str">
        <f t="shared" si="2"/>
        <v>rtdc.l.rtdc.4007:itc</v>
      </c>
      <c r="G86" s="8">
        <f t="shared" si="3"/>
        <v>42590.44703703704</v>
      </c>
    </row>
    <row r="87" spans="1:7" x14ac:dyDescent="0.25">
      <c r="A87" s="8">
        <v>42590.447627314818</v>
      </c>
      <c r="B87" s="24" t="s">
        <v>109</v>
      </c>
      <c r="C87" s="24" t="s">
        <v>298</v>
      </c>
      <c r="D87" s="24">
        <v>1310000</v>
      </c>
      <c r="E87" s="24" t="s">
        <v>183</v>
      </c>
      <c r="F87" s="24" t="str">
        <f t="shared" si="2"/>
        <v>rtdc.l.rtdc.4007:itc</v>
      </c>
      <c r="G87" s="8">
        <f t="shared" si="3"/>
        <v>42590.447627314818</v>
      </c>
    </row>
    <row r="88" spans="1:7" x14ac:dyDescent="0.25">
      <c r="A88" s="8">
        <v>42590.457743055558</v>
      </c>
      <c r="B88" s="24" t="s">
        <v>140</v>
      </c>
      <c r="C88" s="24" t="s">
        <v>394</v>
      </c>
      <c r="D88" s="24">
        <v>880000</v>
      </c>
      <c r="E88" s="24" t="s">
        <v>147</v>
      </c>
      <c r="F88" s="24" t="str">
        <f t="shared" si="2"/>
        <v>rtdc.l.rtdc.4014:itc</v>
      </c>
      <c r="G88" s="8">
        <f t="shared" si="3"/>
        <v>42590.457743055558</v>
      </c>
    </row>
    <row r="89" spans="1:7" x14ac:dyDescent="0.25">
      <c r="A89" s="8">
        <v>42590.463564814818</v>
      </c>
      <c r="B89" s="24" t="s">
        <v>105</v>
      </c>
      <c r="C89" s="24" t="s">
        <v>300</v>
      </c>
      <c r="D89" s="24">
        <v>1110000</v>
      </c>
      <c r="E89" s="24" t="s">
        <v>111</v>
      </c>
      <c r="F89" s="24" t="str">
        <f t="shared" si="2"/>
        <v>rtdc.l.rtdc.4030:itc</v>
      </c>
      <c r="G89" s="8">
        <f t="shared" si="3"/>
        <v>42590.463564814818</v>
      </c>
    </row>
    <row r="90" spans="1:7" x14ac:dyDescent="0.25">
      <c r="A90" s="8">
        <v>42590.464398148149</v>
      </c>
      <c r="B90" s="24" t="s">
        <v>105</v>
      </c>
      <c r="C90" s="24" t="s">
        <v>300</v>
      </c>
      <c r="D90" s="24">
        <v>1110000</v>
      </c>
      <c r="E90" s="24" t="s">
        <v>111</v>
      </c>
      <c r="F90" s="24" t="str">
        <f t="shared" si="2"/>
        <v>rtdc.l.rtdc.4030:itc</v>
      </c>
      <c r="G90" s="8">
        <f t="shared" si="3"/>
        <v>42590.464398148149</v>
      </c>
    </row>
    <row r="91" spans="1:7" x14ac:dyDescent="0.25">
      <c r="A91" s="8">
        <v>42590.466064814813</v>
      </c>
      <c r="B91" s="24" t="s">
        <v>67</v>
      </c>
      <c r="C91" s="24" t="s">
        <v>395</v>
      </c>
      <c r="D91" s="24">
        <v>1280000</v>
      </c>
      <c r="E91" s="24" t="s">
        <v>149</v>
      </c>
      <c r="F91" s="24" t="str">
        <f t="shared" si="2"/>
        <v>rtdc.l.rtdc.4020:itc</v>
      </c>
      <c r="G91" s="8">
        <f t="shared" si="3"/>
        <v>42590.466064814813</v>
      </c>
    </row>
    <row r="92" spans="1:7" x14ac:dyDescent="0.25">
      <c r="A92" s="8">
        <v>42590.470381944448</v>
      </c>
      <c r="B92" s="24" t="s">
        <v>142</v>
      </c>
      <c r="C92" s="24" t="s">
        <v>396</v>
      </c>
      <c r="D92" s="24">
        <v>1240000</v>
      </c>
      <c r="E92" s="24" t="s">
        <v>350</v>
      </c>
      <c r="F92" s="24" t="str">
        <f t="shared" si="2"/>
        <v>rtdc.l.rtdc.4031:itc</v>
      </c>
      <c r="G92" s="8">
        <f t="shared" si="3"/>
        <v>42590.470381944448</v>
      </c>
    </row>
    <row r="93" spans="1:7" x14ac:dyDescent="0.25">
      <c r="A93" s="8">
        <v>42590.472384259258</v>
      </c>
      <c r="B93" s="24" t="s">
        <v>138</v>
      </c>
      <c r="C93" s="24" t="s">
        <v>397</v>
      </c>
      <c r="D93" s="24">
        <v>1990000</v>
      </c>
      <c r="E93" s="24" t="s">
        <v>151</v>
      </c>
      <c r="F93" s="24" t="str">
        <f t="shared" si="2"/>
        <v>rtdc.l.rtdc.4012:itc</v>
      </c>
      <c r="G93" s="8">
        <f t="shared" si="3"/>
        <v>42590.472384259258</v>
      </c>
    </row>
    <row r="94" spans="1:7" x14ac:dyDescent="0.25">
      <c r="A94" s="8">
        <v>42590.475983796299</v>
      </c>
      <c r="B94" s="24" t="s">
        <v>106</v>
      </c>
      <c r="C94" s="24" t="s">
        <v>398</v>
      </c>
      <c r="D94" s="24">
        <v>1740000</v>
      </c>
      <c r="E94" s="24" t="s">
        <v>226</v>
      </c>
      <c r="F94" s="24" t="str">
        <f t="shared" si="2"/>
        <v>rtdc.l.rtdc.4027:itc</v>
      </c>
      <c r="G94" s="8">
        <f t="shared" si="3"/>
        <v>42590.475983796299</v>
      </c>
    </row>
    <row r="95" spans="1:7" x14ac:dyDescent="0.25">
      <c r="A95" s="8">
        <v>42590.48541666667</v>
      </c>
      <c r="B95" s="24" t="s">
        <v>108</v>
      </c>
      <c r="C95" s="24" t="s">
        <v>393</v>
      </c>
      <c r="D95" s="24">
        <v>1310000</v>
      </c>
      <c r="E95" s="24" t="s">
        <v>183</v>
      </c>
      <c r="F95" s="24" t="str">
        <f t="shared" si="2"/>
        <v>rtdc.l.rtdc.4008:itc</v>
      </c>
      <c r="G95" s="8">
        <f t="shared" si="3"/>
        <v>42590.48541666667</v>
      </c>
    </row>
    <row r="96" spans="1:7" x14ac:dyDescent="0.25">
      <c r="A96" s="8">
        <v>42590.486296296294</v>
      </c>
      <c r="B96" s="24" t="s">
        <v>99</v>
      </c>
      <c r="C96" s="24" t="s">
        <v>399</v>
      </c>
      <c r="D96" s="24">
        <v>2150000</v>
      </c>
      <c r="E96" s="24" t="s">
        <v>400</v>
      </c>
      <c r="F96" s="24" t="str">
        <f t="shared" si="2"/>
        <v>rtdc.l.rtdc.4038:itc</v>
      </c>
      <c r="G96" s="8">
        <f t="shared" si="3"/>
        <v>42590.486296296294</v>
      </c>
    </row>
    <row r="97" spans="1:7" x14ac:dyDescent="0.25">
      <c r="A97" s="8">
        <v>42590.486562500002</v>
      </c>
      <c r="B97" s="24" t="s">
        <v>143</v>
      </c>
      <c r="C97" s="24" t="s">
        <v>401</v>
      </c>
      <c r="D97" s="24">
        <v>1240000</v>
      </c>
      <c r="E97" s="24" t="s">
        <v>350</v>
      </c>
      <c r="F97" s="24" t="str">
        <f t="shared" si="2"/>
        <v>rtdc.l.rtdc.4032:itc</v>
      </c>
      <c r="G97" s="8">
        <f t="shared" si="3"/>
        <v>42590.486562500002</v>
      </c>
    </row>
    <row r="98" spans="1:7" x14ac:dyDescent="0.25">
      <c r="A98" s="8">
        <v>42590.496631944443</v>
      </c>
      <c r="B98" s="24" t="s">
        <v>101</v>
      </c>
      <c r="C98" s="24" t="s">
        <v>402</v>
      </c>
      <c r="D98" s="24">
        <v>880000</v>
      </c>
      <c r="E98" s="24" t="s">
        <v>147</v>
      </c>
      <c r="F98" s="24" t="str">
        <f t="shared" si="2"/>
        <v>rtdc.l.rtdc.4013:itc</v>
      </c>
      <c r="G98" s="8">
        <f t="shared" si="3"/>
        <v>42590.496631944443</v>
      </c>
    </row>
    <row r="99" spans="1:7" x14ac:dyDescent="0.25">
      <c r="A99" s="8">
        <v>42590.497650462959</v>
      </c>
      <c r="B99" s="24" t="s">
        <v>66</v>
      </c>
      <c r="C99" s="24" t="s">
        <v>403</v>
      </c>
      <c r="D99" s="24">
        <v>1280000</v>
      </c>
      <c r="E99" s="24" t="s">
        <v>149</v>
      </c>
      <c r="F99" s="24" t="str">
        <f t="shared" si="2"/>
        <v>rtdc.l.rtdc.4019:itc</v>
      </c>
      <c r="G99" s="8">
        <f t="shared" si="3"/>
        <v>42590.497650462959</v>
      </c>
    </row>
    <row r="100" spans="1:7" x14ac:dyDescent="0.25">
      <c r="A100" s="8">
        <v>42590.499398148146</v>
      </c>
      <c r="B100" s="24" t="s">
        <v>104</v>
      </c>
      <c r="C100" s="24" t="s">
        <v>404</v>
      </c>
      <c r="D100" s="24">
        <v>1140000</v>
      </c>
      <c r="E100" s="24" t="s">
        <v>145</v>
      </c>
      <c r="F100" s="24" t="str">
        <f t="shared" si="2"/>
        <v>rtdc.l.rtdc.4029:itc</v>
      </c>
      <c r="G100" s="8">
        <f t="shared" si="3"/>
        <v>42590.499398148146</v>
      </c>
    </row>
    <row r="101" spans="1:7" x14ac:dyDescent="0.25">
      <c r="A101" s="8">
        <v>42590.508703703701</v>
      </c>
      <c r="B101" s="24" t="s">
        <v>103</v>
      </c>
      <c r="C101" s="24" t="s">
        <v>301</v>
      </c>
      <c r="D101" s="24">
        <v>1740000</v>
      </c>
      <c r="E101" s="24" t="s">
        <v>226</v>
      </c>
      <c r="F101" s="24" t="str">
        <f t="shared" si="2"/>
        <v>rtdc.l.rtdc.4028:itc</v>
      </c>
      <c r="G101" s="8">
        <f t="shared" si="3"/>
        <v>42590.508703703701</v>
      </c>
    </row>
    <row r="102" spans="1:7" x14ac:dyDescent="0.25">
      <c r="A102" s="8">
        <v>42590.509571759256</v>
      </c>
      <c r="B102" s="24" t="s">
        <v>137</v>
      </c>
      <c r="C102" s="24" t="s">
        <v>405</v>
      </c>
      <c r="D102" s="24">
        <v>1540000</v>
      </c>
      <c r="E102" s="24" t="s">
        <v>406</v>
      </c>
      <c r="F102" s="24" t="str">
        <f t="shared" si="2"/>
        <v>rtdc.l.rtdc.4011:itc</v>
      </c>
      <c r="G102" s="8">
        <f t="shared" si="3"/>
        <v>42590.509571759256</v>
      </c>
    </row>
    <row r="103" spans="1:7" x14ac:dyDescent="0.25">
      <c r="A103" s="8">
        <v>42590.513124999998</v>
      </c>
      <c r="B103" s="24" t="s">
        <v>142</v>
      </c>
      <c r="C103" s="24" t="s">
        <v>407</v>
      </c>
      <c r="D103" s="24">
        <v>1240000</v>
      </c>
      <c r="E103" s="24" t="s">
        <v>350</v>
      </c>
      <c r="F103" s="24" t="str">
        <f t="shared" si="2"/>
        <v>rtdc.l.rtdc.4031:itc</v>
      </c>
      <c r="G103" s="8">
        <f t="shared" si="3"/>
        <v>42590.513124999998</v>
      </c>
    </row>
    <row r="104" spans="1:7" x14ac:dyDescent="0.25">
      <c r="A104" s="8">
        <v>42590.516145833331</v>
      </c>
      <c r="B104" s="24" t="s">
        <v>109</v>
      </c>
      <c r="C104" s="24" t="s">
        <v>408</v>
      </c>
      <c r="D104" s="24">
        <v>2020000</v>
      </c>
      <c r="E104" s="24" t="s">
        <v>189</v>
      </c>
      <c r="F104" s="24" t="str">
        <f t="shared" si="2"/>
        <v>rtdc.l.rtdc.4007:itc</v>
      </c>
      <c r="G104" s="8">
        <f t="shared" si="3"/>
        <v>42590.516145833331</v>
      </c>
    </row>
    <row r="105" spans="1:7" x14ac:dyDescent="0.25">
      <c r="A105" s="8">
        <v>42590.519548611112</v>
      </c>
      <c r="B105" s="24" t="s">
        <v>150</v>
      </c>
      <c r="C105" s="24" t="s">
        <v>409</v>
      </c>
      <c r="D105" s="24">
        <v>2150000</v>
      </c>
      <c r="E105" s="24" t="s">
        <v>400</v>
      </c>
      <c r="F105" s="24" t="str">
        <f t="shared" si="2"/>
        <v>rtdc.l.rtdc.4037:itc</v>
      </c>
      <c r="G105" s="8">
        <f t="shared" si="3"/>
        <v>42590.519548611112</v>
      </c>
    </row>
    <row r="106" spans="1:7" x14ac:dyDescent="0.25">
      <c r="A106" s="8">
        <v>42590.525983796295</v>
      </c>
      <c r="B106" s="24" t="s">
        <v>143</v>
      </c>
      <c r="C106" s="24" t="s">
        <v>410</v>
      </c>
      <c r="D106" s="24">
        <v>1240000</v>
      </c>
      <c r="E106" s="24" t="s">
        <v>350</v>
      </c>
      <c r="F106" s="24" t="str">
        <f t="shared" si="2"/>
        <v>rtdc.l.rtdc.4032:itc</v>
      </c>
      <c r="G106" s="8">
        <f t="shared" si="3"/>
        <v>42590.525983796295</v>
      </c>
    </row>
    <row r="107" spans="1:7" x14ac:dyDescent="0.25">
      <c r="A107" s="8">
        <v>42590.528506944444</v>
      </c>
      <c r="B107" s="24" t="s">
        <v>140</v>
      </c>
      <c r="C107" s="24" t="s">
        <v>411</v>
      </c>
      <c r="D107" s="24">
        <v>880000</v>
      </c>
      <c r="E107" s="24" t="s">
        <v>147</v>
      </c>
      <c r="F107" s="24" t="str">
        <f t="shared" si="2"/>
        <v>rtdc.l.rtdc.4014:itc</v>
      </c>
      <c r="G107" s="8">
        <f t="shared" si="3"/>
        <v>42590.528506944444</v>
      </c>
    </row>
    <row r="108" spans="1:7" x14ac:dyDescent="0.25">
      <c r="A108" s="8">
        <v>42590.535370370373</v>
      </c>
      <c r="B108" s="24" t="s">
        <v>105</v>
      </c>
      <c r="C108" s="24" t="s">
        <v>412</v>
      </c>
      <c r="D108" s="24">
        <v>1140000</v>
      </c>
      <c r="E108" s="24" t="s">
        <v>145</v>
      </c>
      <c r="F108" s="24" t="str">
        <f t="shared" si="2"/>
        <v>rtdc.l.rtdc.4030:itc</v>
      </c>
      <c r="G108" s="8">
        <f t="shared" si="3"/>
        <v>42590.535370370373</v>
      </c>
    </row>
    <row r="109" spans="1:7" x14ac:dyDescent="0.25">
      <c r="A109" s="8">
        <v>42590.538449074076</v>
      </c>
      <c r="B109" s="24" t="s">
        <v>67</v>
      </c>
      <c r="C109" s="24" t="s">
        <v>413</v>
      </c>
      <c r="D109" s="24">
        <v>1280000</v>
      </c>
      <c r="E109" s="24" t="s">
        <v>149</v>
      </c>
      <c r="F109" s="24" t="str">
        <f t="shared" si="2"/>
        <v>rtdc.l.rtdc.4020:itc</v>
      </c>
      <c r="G109" s="8">
        <f t="shared" si="3"/>
        <v>42590.538449074076</v>
      </c>
    </row>
    <row r="110" spans="1:7" x14ac:dyDescent="0.25">
      <c r="A110" s="8">
        <v>42590.545162037037</v>
      </c>
      <c r="B110" s="24" t="s">
        <v>138</v>
      </c>
      <c r="C110" s="24" t="s">
        <v>414</v>
      </c>
      <c r="D110" s="24">
        <v>1540000</v>
      </c>
      <c r="E110" s="24" t="s">
        <v>406</v>
      </c>
      <c r="F110" s="24" t="str">
        <f t="shared" si="2"/>
        <v>rtdc.l.rtdc.4012:itc</v>
      </c>
      <c r="G110" s="8">
        <f t="shared" si="3"/>
        <v>42590.545162037037</v>
      </c>
    </row>
    <row r="111" spans="1:7" x14ac:dyDescent="0.25">
      <c r="A111" s="8">
        <v>42590.548402777778</v>
      </c>
      <c r="B111" s="24" t="s">
        <v>142</v>
      </c>
      <c r="C111" s="24" t="s">
        <v>415</v>
      </c>
      <c r="D111" s="24">
        <v>2090000</v>
      </c>
      <c r="E111" s="24" t="s">
        <v>416</v>
      </c>
      <c r="F111" s="24" t="str">
        <f t="shared" si="2"/>
        <v>rtdc.l.rtdc.4031:itc</v>
      </c>
      <c r="G111" s="8">
        <f t="shared" si="3"/>
        <v>42590.548402777778</v>
      </c>
    </row>
    <row r="112" spans="1:7" x14ac:dyDescent="0.25">
      <c r="A112" s="8">
        <v>42590.550613425927</v>
      </c>
      <c r="B112" s="24" t="s">
        <v>106</v>
      </c>
      <c r="C112" s="24" t="s">
        <v>302</v>
      </c>
      <c r="D112" s="24">
        <v>1740000</v>
      </c>
      <c r="E112" s="24" t="s">
        <v>226</v>
      </c>
      <c r="F112" s="24" t="str">
        <f t="shared" si="2"/>
        <v>rtdc.l.rtdc.4027:itc</v>
      </c>
      <c r="G112" s="8">
        <f t="shared" si="3"/>
        <v>42590.550613425927</v>
      </c>
    </row>
    <row r="113" spans="1:7" x14ac:dyDescent="0.25">
      <c r="A113" s="8">
        <v>42590.556134259263</v>
      </c>
      <c r="B113" s="24" t="s">
        <v>108</v>
      </c>
      <c r="C113" s="24" t="s">
        <v>417</v>
      </c>
      <c r="D113" s="24">
        <v>2020000</v>
      </c>
      <c r="E113" s="24" t="s">
        <v>189</v>
      </c>
      <c r="F113" s="24" t="str">
        <f t="shared" si="2"/>
        <v>rtdc.l.rtdc.4008:itc</v>
      </c>
      <c r="G113" s="8">
        <f t="shared" si="3"/>
        <v>42590.556134259263</v>
      </c>
    </row>
    <row r="114" spans="1:7" x14ac:dyDescent="0.25">
      <c r="A114" s="8">
        <v>42590.55914351852</v>
      </c>
      <c r="B114" s="24" t="s">
        <v>99</v>
      </c>
      <c r="C114" s="24" t="s">
        <v>409</v>
      </c>
      <c r="D114" s="24">
        <v>2150000</v>
      </c>
      <c r="E114" s="24" t="s">
        <v>400</v>
      </c>
      <c r="F114" s="24" t="str">
        <f t="shared" si="2"/>
        <v>rtdc.l.rtdc.4038:itc</v>
      </c>
      <c r="G114" s="8">
        <f t="shared" si="3"/>
        <v>42590.55914351852</v>
      </c>
    </row>
    <row r="115" spans="1:7" x14ac:dyDescent="0.25">
      <c r="A115" s="8">
        <v>42590.559965277775</v>
      </c>
      <c r="B115" s="24" t="s">
        <v>99</v>
      </c>
      <c r="C115" s="24" t="s">
        <v>418</v>
      </c>
      <c r="D115" s="24">
        <v>2150000</v>
      </c>
      <c r="E115" s="24" t="s">
        <v>400</v>
      </c>
      <c r="F115" s="24" t="str">
        <f t="shared" si="2"/>
        <v>rtdc.l.rtdc.4038:itc</v>
      </c>
      <c r="G115" s="8">
        <f t="shared" si="3"/>
        <v>42590.559965277775</v>
      </c>
    </row>
    <row r="116" spans="1:7" x14ac:dyDescent="0.25">
      <c r="A116" s="8">
        <v>42590.567453703705</v>
      </c>
      <c r="B116" s="24" t="s">
        <v>101</v>
      </c>
      <c r="C116" s="24" t="s">
        <v>419</v>
      </c>
      <c r="D116" s="24">
        <v>880000</v>
      </c>
      <c r="E116" s="24" t="s">
        <v>147</v>
      </c>
      <c r="F116" s="24" t="str">
        <f t="shared" si="2"/>
        <v>rtdc.l.rtdc.4013:itc</v>
      </c>
      <c r="G116" s="8">
        <f t="shared" si="3"/>
        <v>42590.567453703705</v>
      </c>
    </row>
    <row r="117" spans="1:7" x14ac:dyDescent="0.25">
      <c r="A117" s="8">
        <v>42590.568576388891</v>
      </c>
      <c r="B117" s="24" t="s">
        <v>143</v>
      </c>
      <c r="C117" s="24" t="s">
        <v>420</v>
      </c>
      <c r="D117" s="24">
        <v>2090000</v>
      </c>
      <c r="E117" s="24" t="s">
        <v>416</v>
      </c>
      <c r="F117" s="24" t="str">
        <f t="shared" si="2"/>
        <v>rtdc.l.rtdc.4032:itc</v>
      </c>
      <c r="G117" s="8">
        <f t="shared" si="3"/>
        <v>42590.568576388891</v>
      </c>
    </row>
    <row r="118" spans="1:7" x14ac:dyDescent="0.25">
      <c r="A118" s="8">
        <v>42590.572071759256</v>
      </c>
      <c r="B118" s="24" t="s">
        <v>104</v>
      </c>
      <c r="C118" s="24" t="s">
        <v>421</v>
      </c>
      <c r="D118" s="24">
        <v>1140000</v>
      </c>
      <c r="E118" s="24" t="s">
        <v>145</v>
      </c>
      <c r="F118" s="24" t="str">
        <f t="shared" si="2"/>
        <v>rtdc.l.rtdc.4029:itc</v>
      </c>
      <c r="G118" s="8">
        <f t="shared" si="3"/>
        <v>42590.572071759256</v>
      </c>
    </row>
    <row r="119" spans="1:7" x14ac:dyDescent="0.25">
      <c r="A119" s="8">
        <v>42590.577685185184</v>
      </c>
      <c r="B119" s="24" t="s">
        <v>66</v>
      </c>
      <c r="C119" s="24" t="s">
        <v>422</v>
      </c>
      <c r="D119" s="24">
        <v>1280000</v>
      </c>
      <c r="E119" s="24" t="s">
        <v>149</v>
      </c>
      <c r="F119" s="24" t="str">
        <f t="shared" si="2"/>
        <v>rtdc.l.rtdc.4019:itc</v>
      </c>
      <c r="G119" s="8">
        <f t="shared" si="3"/>
        <v>42590.577685185184</v>
      </c>
    </row>
    <row r="120" spans="1:7" x14ac:dyDescent="0.25">
      <c r="A120" s="8">
        <v>42590.581157407411</v>
      </c>
      <c r="B120" s="24" t="s">
        <v>137</v>
      </c>
      <c r="C120" s="24" t="s">
        <v>423</v>
      </c>
      <c r="D120" s="24">
        <v>1540000</v>
      </c>
      <c r="E120" s="24" t="s">
        <v>406</v>
      </c>
      <c r="F120" s="24" t="str">
        <f t="shared" si="2"/>
        <v>rtdc.l.rtdc.4011:itc</v>
      </c>
      <c r="G120" s="8">
        <f t="shared" si="3"/>
        <v>42590.581157407411</v>
      </c>
    </row>
    <row r="121" spans="1:7" x14ac:dyDescent="0.25">
      <c r="A121" s="8">
        <v>42590.587256944447</v>
      </c>
      <c r="B121" s="24" t="s">
        <v>103</v>
      </c>
      <c r="C121" s="24" t="s">
        <v>303</v>
      </c>
      <c r="D121" s="24">
        <v>1740000</v>
      </c>
      <c r="E121" s="24" t="s">
        <v>226</v>
      </c>
      <c r="F121" s="24" t="str">
        <f t="shared" si="2"/>
        <v>rtdc.l.rtdc.4028:itc</v>
      </c>
      <c r="G121" s="8">
        <f t="shared" si="3"/>
        <v>42590.587256944447</v>
      </c>
    </row>
    <row r="122" spans="1:7" x14ac:dyDescent="0.25">
      <c r="A122" s="8">
        <v>42590.588518518518</v>
      </c>
      <c r="B122" s="29" t="s">
        <v>109</v>
      </c>
      <c r="C122" s="24" t="s">
        <v>424</v>
      </c>
      <c r="D122" s="24">
        <v>2020000</v>
      </c>
      <c r="E122" s="24" t="s">
        <v>189</v>
      </c>
      <c r="F122" s="24" t="str">
        <f t="shared" si="2"/>
        <v>rtdc.l.rtdc.4007:itc</v>
      </c>
      <c r="G122" s="8">
        <f t="shared" si="3"/>
        <v>42590.588518518518</v>
      </c>
    </row>
    <row r="123" spans="1:7" x14ac:dyDescent="0.25">
      <c r="A123" s="8">
        <v>42590.59002314815</v>
      </c>
      <c r="B123" s="24" t="s">
        <v>150</v>
      </c>
      <c r="C123" s="24" t="s">
        <v>425</v>
      </c>
      <c r="D123" s="24">
        <v>2150000</v>
      </c>
      <c r="E123" s="24" t="s">
        <v>400</v>
      </c>
      <c r="F123" s="24" t="str">
        <f t="shared" si="2"/>
        <v>rtdc.l.rtdc.4037:itc</v>
      </c>
      <c r="G123" s="8">
        <f t="shared" si="3"/>
        <v>42590.59002314815</v>
      </c>
    </row>
    <row r="124" spans="1:7" x14ac:dyDescent="0.25">
      <c r="A124" s="8">
        <v>42590.592534722222</v>
      </c>
      <c r="B124" s="24" t="s">
        <v>142</v>
      </c>
      <c r="C124" s="24" t="s">
        <v>304</v>
      </c>
      <c r="D124" s="24">
        <v>2090000</v>
      </c>
      <c r="E124" s="24" t="s">
        <v>416</v>
      </c>
      <c r="F124" s="24" t="str">
        <f t="shared" si="2"/>
        <v>rtdc.l.rtdc.4031:itc</v>
      </c>
      <c r="G124" s="8">
        <f t="shared" si="3"/>
        <v>42590.592534722222</v>
      </c>
    </row>
    <row r="125" spans="1:7" x14ac:dyDescent="0.25">
      <c r="A125" s="8">
        <v>42590.602326388886</v>
      </c>
      <c r="B125" s="24" t="s">
        <v>140</v>
      </c>
      <c r="C125" s="24" t="s">
        <v>305</v>
      </c>
      <c r="D125" s="24">
        <v>880000</v>
      </c>
      <c r="E125" s="24" t="s">
        <v>147</v>
      </c>
      <c r="F125" s="24" t="str">
        <f t="shared" si="2"/>
        <v>rtdc.l.rtdc.4014:itc</v>
      </c>
      <c r="G125" s="8">
        <f t="shared" si="3"/>
        <v>42590.602326388886</v>
      </c>
    </row>
    <row r="126" spans="1:7" x14ac:dyDescent="0.25">
      <c r="A126" s="8">
        <v>42590.603321759256</v>
      </c>
      <c r="B126" s="24" t="s">
        <v>105</v>
      </c>
      <c r="C126" s="24" t="s">
        <v>426</v>
      </c>
      <c r="D126" s="24">
        <v>1140000</v>
      </c>
      <c r="E126" s="24" t="s">
        <v>145</v>
      </c>
      <c r="F126" s="24" t="str">
        <f t="shared" si="2"/>
        <v>rtdc.l.rtdc.4030:itc</v>
      </c>
      <c r="G126" s="8">
        <f t="shared" si="3"/>
        <v>42590.603321759256</v>
      </c>
    </row>
    <row r="127" spans="1:7" x14ac:dyDescent="0.25">
      <c r="A127" s="8">
        <v>42590.609201388892</v>
      </c>
      <c r="B127" s="24" t="s">
        <v>143</v>
      </c>
      <c r="C127" s="24" t="s">
        <v>304</v>
      </c>
      <c r="D127" s="24">
        <v>2090000</v>
      </c>
      <c r="E127" s="24" t="s">
        <v>416</v>
      </c>
      <c r="F127" s="24" t="str">
        <f t="shared" si="2"/>
        <v>rtdc.l.rtdc.4032:itc</v>
      </c>
      <c r="G127" s="8">
        <f t="shared" si="3"/>
        <v>42590.609201388892</v>
      </c>
    </row>
    <row r="128" spans="1:7" x14ac:dyDescent="0.25">
      <c r="A128" s="8">
        <v>42590.609791666669</v>
      </c>
      <c r="B128" s="24" t="s">
        <v>143</v>
      </c>
      <c r="C128" s="24" t="s">
        <v>427</v>
      </c>
      <c r="D128" s="24">
        <v>2090000</v>
      </c>
      <c r="E128" s="24" t="s">
        <v>416</v>
      </c>
      <c r="F128" s="24" t="str">
        <f t="shared" si="2"/>
        <v>rtdc.l.rtdc.4032:itc</v>
      </c>
      <c r="G128" s="8">
        <f t="shared" si="3"/>
        <v>42590.609791666669</v>
      </c>
    </row>
    <row r="129" spans="1:7" x14ac:dyDescent="0.25">
      <c r="A129" s="8">
        <v>42590.610543981478</v>
      </c>
      <c r="B129" s="24" t="s">
        <v>67</v>
      </c>
      <c r="C129" s="24" t="s">
        <v>428</v>
      </c>
      <c r="D129" s="24">
        <v>1280000</v>
      </c>
      <c r="E129" s="24" t="s">
        <v>149</v>
      </c>
      <c r="F129" s="24" t="str">
        <f t="shared" si="2"/>
        <v>rtdc.l.rtdc.4020:itc</v>
      </c>
      <c r="G129" s="8">
        <f t="shared" si="3"/>
        <v>42590.610543981478</v>
      </c>
    </row>
    <row r="130" spans="1:7" x14ac:dyDescent="0.25">
      <c r="A130" s="8">
        <v>42590.619895833333</v>
      </c>
      <c r="B130" s="24" t="s">
        <v>138</v>
      </c>
      <c r="C130" s="24" t="s">
        <v>306</v>
      </c>
      <c r="D130" s="24">
        <v>1540000</v>
      </c>
      <c r="E130" s="24" t="s">
        <v>406</v>
      </c>
      <c r="F130" s="24" t="str">
        <f t="shared" ref="F130:F193" si="4">B130</f>
        <v>rtdc.l.rtdc.4012:itc</v>
      </c>
      <c r="G130" s="8">
        <f t="shared" ref="G130:G193" si="5">A130</f>
        <v>42590.619895833333</v>
      </c>
    </row>
    <row r="131" spans="1:7" x14ac:dyDescent="0.25">
      <c r="A131" s="8">
        <v>42590.620659722219</v>
      </c>
      <c r="B131" s="24" t="s">
        <v>106</v>
      </c>
      <c r="C131" s="24" t="s">
        <v>429</v>
      </c>
      <c r="D131" s="24">
        <v>1740000</v>
      </c>
      <c r="E131" s="24" t="s">
        <v>226</v>
      </c>
      <c r="F131" s="24" t="str">
        <f t="shared" si="4"/>
        <v>rtdc.l.rtdc.4027:itc</v>
      </c>
      <c r="G131" s="8">
        <f t="shared" si="5"/>
        <v>42590.620659722219</v>
      </c>
    </row>
    <row r="132" spans="1:7" x14ac:dyDescent="0.25">
      <c r="A132" s="8">
        <v>42590.627534722225</v>
      </c>
      <c r="B132" s="24" t="s">
        <v>108</v>
      </c>
      <c r="C132" s="24" t="s">
        <v>430</v>
      </c>
      <c r="D132" s="24">
        <v>2020000</v>
      </c>
      <c r="E132" s="24" t="s">
        <v>189</v>
      </c>
      <c r="F132" s="24" t="str">
        <f t="shared" si="4"/>
        <v>rtdc.l.rtdc.4008:itc</v>
      </c>
      <c r="G132" s="8">
        <f t="shared" si="5"/>
        <v>42590.627534722225</v>
      </c>
    </row>
    <row r="133" spans="1:7" x14ac:dyDescent="0.25">
      <c r="A133" s="8">
        <v>42590.633738425924</v>
      </c>
      <c r="B133" s="24" t="s">
        <v>99</v>
      </c>
      <c r="C133" s="24" t="s">
        <v>431</v>
      </c>
      <c r="D133" s="24">
        <v>2150000</v>
      </c>
      <c r="E133" s="24" t="s">
        <v>400</v>
      </c>
      <c r="F133" s="24" t="str">
        <f t="shared" si="4"/>
        <v>rtdc.l.rtdc.4038:itc</v>
      </c>
      <c r="G133" s="8">
        <f t="shared" si="5"/>
        <v>42590.633738425924</v>
      </c>
    </row>
    <row r="134" spans="1:7" x14ac:dyDescent="0.25">
      <c r="A134" s="8">
        <v>42590.635000000002</v>
      </c>
      <c r="B134" s="24" t="s">
        <v>142</v>
      </c>
      <c r="C134" s="24" t="s">
        <v>432</v>
      </c>
      <c r="D134" s="24">
        <v>2090000</v>
      </c>
      <c r="E134" s="24" t="s">
        <v>416</v>
      </c>
      <c r="F134" s="24" t="str">
        <f t="shared" si="4"/>
        <v>rtdc.l.rtdc.4031:itc</v>
      </c>
      <c r="G134" s="8">
        <f t="shared" si="5"/>
        <v>42590.635000000002</v>
      </c>
    </row>
    <row r="135" spans="1:7" x14ac:dyDescent="0.25">
      <c r="A135" s="8">
        <v>42590.639907407407</v>
      </c>
      <c r="B135" s="24" t="s">
        <v>101</v>
      </c>
      <c r="C135" s="24" t="s">
        <v>308</v>
      </c>
      <c r="D135" s="24">
        <v>880000</v>
      </c>
      <c r="E135" s="24" t="s">
        <v>147</v>
      </c>
      <c r="F135" s="24" t="str">
        <f t="shared" si="4"/>
        <v>rtdc.l.rtdc.4013:itc</v>
      </c>
      <c r="G135" s="8">
        <f t="shared" si="5"/>
        <v>42590.639907407407</v>
      </c>
    </row>
    <row r="136" spans="1:7" x14ac:dyDescent="0.25">
      <c r="A136" s="8">
        <v>42590.643229166664</v>
      </c>
      <c r="B136" s="24" t="s">
        <v>66</v>
      </c>
      <c r="C136" s="24" t="s">
        <v>433</v>
      </c>
      <c r="D136" s="24">
        <v>1280000</v>
      </c>
      <c r="E136" s="24" t="s">
        <v>149</v>
      </c>
      <c r="F136" s="24" t="str">
        <f t="shared" si="4"/>
        <v>rtdc.l.rtdc.4019:itc</v>
      </c>
      <c r="G136" s="8">
        <f t="shared" si="5"/>
        <v>42590.643229166664</v>
      </c>
    </row>
    <row r="137" spans="1:7" x14ac:dyDescent="0.25">
      <c r="A137" s="8">
        <v>42590.643506944441</v>
      </c>
      <c r="B137" s="24" t="s">
        <v>104</v>
      </c>
      <c r="C137" s="24" t="s">
        <v>434</v>
      </c>
      <c r="D137" s="24">
        <v>1140000</v>
      </c>
      <c r="E137" s="24" t="s">
        <v>145</v>
      </c>
      <c r="F137" s="24" t="str">
        <f t="shared" si="4"/>
        <v>rtdc.l.rtdc.4029:itc</v>
      </c>
      <c r="G137" s="8">
        <f t="shared" si="5"/>
        <v>42590.643506944441</v>
      </c>
    </row>
    <row r="138" spans="1:7" x14ac:dyDescent="0.25">
      <c r="A138" s="8">
        <v>42590.648634259262</v>
      </c>
      <c r="B138" s="24" t="s">
        <v>127</v>
      </c>
      <c r="C138" s="24" t="s">
        <v>435</v>
      </c>
      <c r="D138" s="24">
        <v>1290000</v>
      </c>
      <c r="E138" s="24" t="s">
        <v>136</v>
      </c>
      <c r="F138" s="24" t="str">
        <f t="shared" si="4"/>
        <v>rtdc.l.rtdc.4015:itc</v>
      </c>
      <c r="G138" s="8">
        <f t="shared" si="5"/>
        <v>42590.648634259262</v>
      </c>
    </row>
    <row r="139" spans="1:7" x14ac:dyDescent="0.25">
      <c r="A139" s="8">
        <v>42590.652418981481</v>
      </c>
      <c r="B139" s="24" t="s">
        <v>143</v>
      </c>
      <c r="C139" s="24" t="s">
        <v>307</v>
      </c>
      <c r="D139" s="24">
        <v>2090000</v>
      </c>
      <c r="E139" s="24" t="s">
        <v>416</v>
      </c>
      <c r="F139" s="24" t="str">
        <f t="shared" si="4"/>
        <v>rtdc.l.rtdc.4032:itc</v>
      </c>
      <c r="G139" s="8">
        <f t="shared" si="5"/>
        <v>42590.652418981481</v>
      </c>
    </row>
    <row r="140" spans="1:7" x14ac:dyDescent="0.25">
      <c r="A140" s="8">
        <v>42590.654305555552</v>
      </c>
      <c r="B140" s="24" t="s">
        <v>143</v>
      </c>
      <c r="C140" s="24" t="s">
        <v>307</v>
      </c>
      <c r="D140" s="24">
        <v>2090000</v>
      </c>
      <c r="E140" s="24" t="s">
        <v>416</v>
      </c>
      <c r="F140" s="24" t="str">
        <f t="shared" si="4"/>
        <v>rtdc.l.rtdc.4032:itc</v>
      </c>
      <c r="G140" s="8">
        <f t="shared" si="5"/>
        <v>42590.654305555552</v>
      </c>
    </row>
    <row r="141" spans="1:7" x14ac:dyDescent="0.25">
      <c r="A141" s="8">
        <v>42590.654988425929</v>
      </c>
      <c r="B141" s="24" t="s">
        <v>137</v>
      </c>
      <c r="C141" s="24" t="s">
        <v>436</v>
      </c>
      <c r="D141" s="24">
        <v>1540000</v>
      </c>
      <c r="E141" s="24" t="s">
        <v>406</v>
      </c>
      <c r="F141" s="24" t="str">
        <f t="shared" si="4"/>
        <v>rtdc.l.rtdc.4011:itc</v>
      </c>
      <c r="G141" s="8">
        <f t="shared" si="5"/>
        <v>42590.654988425929</v>
      </c>
    </row>
    <row r="142" spans="1:7" x14ac:dyDescent="0.25">
      <c r="A142" s="8">
        <v>42590.660104166665</v>
      </c>
      <c r="B142" s="24" t="s">
        <v>103</v>
      </c>
      <c r="C142" s="24" t="s">
        <v>437</v>
      </c>
      <c r="D142" s="24">
        <v>1740000</v>
      </c>
      <c r="E142" s="24" t="s">
        <v>226</v>
      </c>
      <c r="F142" s="24" t="str">
        <f t="shared" si="4"/>
        <v>rtdc.l.rtdc.4028:itc</v>
      </c>
      <c r="G142" s="8">
        <f t="shared" si="5"/>
        <v>42590.660104166665</v>
      </c>
    </row>
    <row r="143" spans="1:7" x14ac:dyDescent="0.25">
      <c r="A143" s="8">
        <v>42590.660613425927</v>
      </c>
      <c r="B143" s="24" t="s">
        <v>128</v>
      </c>
      <c r="C143" s="24" t="s">
        <v>438</v>
      </c>
      <c r="D143" s="24">
        <v>1290000</v>
      </c>
      <c r="E143" s="24" t="s">
        <v>136</v>
      </c>
      <c r="F143" s="24" t="str">
        <f t="shared" si="4"/>
        <v>rtdc.l.rtdc.4016:itc</v>
      </c>
      <c r="G143" s="8">
        <f t="shared" si="5"/>
        <v>42590.660613425927</v>
      </c>
    </row>
    <row r="144" spans="1:7" x14ac:dyDescent="0.25">
      <c r="A144" s="8">
        <v>42590.66479166667</v>
      </c>
      <c r="B144" s="24" t="s">
        <v>109</v>
      </c>
      <c r="C144" s="24" t="s">
        <v>439</v>
      </c>
      <c r="D144" s="24">
        <v>2020000</v>
      </c>
      <c r="E144" s="24" t="s">
        <v>189</v>
      </c>
      <c r="F144" s="24" t="str">
        <f t="shared" si="4"/>
        <v>rtdc.l.rtdc.4007:itc</v>
      </c>
      <c r="G144" s="8">
        <f t="shared" si="5"/>
        <v>42590.66479166667</v>
      </c>
    </row>
    <row r="145" spans="1:7" x14ac:dyDescent="0.25">
      <c r="A145" s="8">
        <v>42590.665138888886</v>
      </c>
      <c r="B145" s="24" t="s">
        <v>150</v>
      </c>
      <c r="C145" s="24" t="s">
        <v>440</v>
      </c>
      <c r="D145" s="24">
        <v>2150000</v>
      </c>
      <c r="E145" s="24" t="s">
        <v>400</v>
      </c>
      <c r="F145" s="24" t="str">
        <f t="shared" si="4"/>
        <v>rtdc.l.rtdc.4037:itc</v>
      </c>
      <c r="G145" s="8">
        <f t="shared" si="5"/>
        <v>42590.665138888886</v>
      </c>
    </row>
    <row r="146" spans="1:7" x14ac:dyDescent="0.25">
      <c r="A146" s="8">
        <v>42590.667384259257</v>
      </c>
      <c r="B146" s="24" t="s">
        <v>142</v>
      </c>
      <c r="C146" s="24" t="s">
        <v>309</v>
      </c>
      <c r="D146" s="24">
        <v>2090000</v>
      </c>
      <c r="E146" s="24" t="s">
        <v>416</v>
      </c>
      <c r="F146" s="24" t="str">
        <f t="shared" si="4"/>
        <v>rtdc.l.rtdc.4031:itc</v>
      </c>
      <c r="G146" s="8">
        <f t="shared" si="5"/>
        <v>42590.667384259257</v>
      </c>
    </row>
    <row r="147" spans="1:7" x14ac:dyDescent="0.25">
      <c r="A147" s="8">
        <v>42590.673831018517</v>
      </c>
      <c r="B147" s="24" t="s">
        <v>127</v>
      </c>
      <c r="C147" s="24" t="s">
        <v>441</v>
      </c>
      <c r="D147" s="24">
        <v>1290000</v>
      </c>
      <c r="E147" s="24" t="s">
        <v>136</v>
      </c>
      <c r="F147" s="24" t="str">
        <f t="shared" si="4"/>
        <v>rtdc.l.rtdc.4015:itc</v>
      </c>
      <c r="G147" s="8">
        <f t="shared" si="5"/>
        <v>42590.673831018517</v>
      </c>
    </row>
    <row r="148" spans="1:7" x14ac:dyDescent="0.25">
      <c r="A148" s="8">
        <v>42590.676944444444</v>
      </c>
      <c r="B148" s="24" t="s">
        <v>140</v>
      </c>
      <c r="C148" s="24" t="s">
        <v>310</v>
      </c>
      <c r="D148" s="24">
        <v>880000</v>
      </c>
      <c r="E148" s="24" t="s">
        <v>147</v>
      </c>
      <c r="F148" s="24" t="str">
        <f t="shared" si="4"/>
        <v>rtdc.l.rtdc.4014:itc</v>
      </c>
      <c r="G148" s="8">
        <f t="shared" si="5"/>
        <v>42590.676944444444</v>
      </c>
    </row>
    <row r="149" spans="1:7" x14ac:dyDescent="0.25">
      <c r="A149" s="8">
        <v>42590.680347222224</v>
      </c>
      <c r="B149" s="24" t="s">
        <v>105</v>
      </c>
      <c r="C149" s="24" t="s">
        <v>442</v>
      </c>
      <c r="D149" s="24">
        <v>1140000</v>
      </c>
      <c r="E149" s="24" t="s">
        <v>145</v>
      </c>
      <c r="F149" s="24" t="str">
        <f t="shared" si="4"/>
        <v>rtdc.l.rtdc.4030:itc</v>
      </c>
      <c r="G149" s="8">
        <f t="shared" si="5"/>
        <v>42590.680347222224</v>
      </c>
    </row>
    <row r="150" spans="1:7" x14ac:dyDescent="0.25">
      <c r="A150" s="8">
        <v>42590.685393518521</v>
      </c>
      <c r="B150" s="24" t="s">
        <v>67</v>
      </c>
      <c r="C150" s="24" t="s">
        <v>443</v>
      </c>
      <c r="D150" s="24">
        <v>1280000</v>
      </c>
      <c r="E150" s="24" t="s">
        <v>149</v>
      </c>
      <c r="F150" s="24" t="str">
        <f t="shared" si="4"/>
        <v>rtdc.l.rtdc.4020:itc</v>
      </c>
      <c r="G150" s="8">
        <f t="shared" si="5"/>
        <v>42590.685393518521</v>
      </c>
    </row>
    <row r="151" spans="1:7" x14ac:dyDescent="0.25">
      <c r="A151" s="8">
        <v>42590.692384259259</v>
      </c>
      <c r="B151" s="24" t="s">
        <v>138</v>
      </c>
      <c r="C151" s="24" t="s">
        <v>314</v>
      </c>
      <c r="D151" s="24">
        <v>1540000</v>
      </c>
      <c r="E151" s="24" t="s">
        <v>406</v>
      </c>
      <c r="F151" s="24" t="str">
        <f t="shared" si="4"/>
        <v>rtdc.l.rtdc.4012:itc</v>
      </c>
      <c r="G151" s="8">
        <f t="shared" si="5"/>
        <v>42590.692384259259</v>
      </c>
    </row>
    <row r="152" spans="1:7" x14ac:dyDescent="0.25">
      <c r="A152" s="8">
        <v>42590.692939814813</v>
      </c>
      <c r="B152" s="24" t="s">
        <v>143</v>
      </c>
      <c r="C152" s="24" t="s">
        <v>444</v>
      </c>
      <c r="D152" s="24">
        <v>2090000</v>
      </c>
      <c r="E152" s="24" t="s">
        <v>416</v>
      </c>
      <c r="F152" s="24" t="str">
        <f t="shared" si="4"/>
        <v>rtdc.l.rtdc.4032:itc</v>
      </c>
      <c r="G152" s="8">
        <f t="shared" si="5"/>
        <v>42590.692939814813</v>
      </c>
    </row>
    <row r="153" spans="1:7" x14ac:dyDescent="0.25">
      <c r="A153" s="8">
        <v>42590.699212962965</v>
      </c>
      <c r="B153" s="24" t="s">
        <v>106</v>
      </c>
      <c r="C153" s="24" t="s">
        <v>312</v>
      </c>
      <c r="D153" s="24">
        <v>1740000</v>
      </c>
      <c r="E153" s="24" t="s">
        <v>226</v>
      </c>
      <c r="F153" s="24" t="str">
        <f t="shared" si="4"/>
        <v>rtdc.l.rtdc.4027:itc</v>
      </c>
      <c r="G153" s="8">
        <f t="shared" si="5"/>
        <v>42590.699212962965</v>
      </c>
    </row>
    <row r="154" spans="1:7" x14ac:dyDescent="0.25">
      <c r="A154" s="8">
        <v>42590.699687499997</v>
      </c>
      <c r="B154" s="24" t="s">
        <v>128</v>
      </c>
      <c r="C154" s="24" t="s">
        <v>445</v>
      </c>
      <c r="D154" s="24">
        <v>1290000</v>
      </c>
      <c r="E154" s="24" t="s">
        <v>136</v>
      </c>
      <c r="F154" s="24" t="str">
        <f t="shared" si="4"/>
        <v>rtdc.l.rtdc.4016:itc</v>
      </c>
      <c r="G154" s="8">
        <f t="shared" si="5"/>
        <v>42590.699687499997</v>
      </c>
    </row>
    <row r="155" spans="1:7" x14ac:dyDescent="0.25">
      <c r="A155" s="8">
        <v>42590.702013888891</v>
      </c>
      <c r="B155" s="24" t="s">
        <v>108</v>
      </c>
      <c r="C155" s="24" t="s">
        <v>311</v>
      </c>
      <c r="D155" s="24">
        <v>2020000</v>
      </c>
      <c r="E155" s="24" t="s">
        <v>189</v>
      </c>
      <c r="F155" s="24" t="str">
        <f t="shared" si="4"/>
        <v>rtdc.l.rtdc.4008:itc</v>
      </c>
      <c r="G155" s="8">
        <f t="shared" si="5"/>
        <v>42590.702013888891</v>
      </c>
    </row>
    <row r="156" spans="1:7" x14ac:dyDescent="0.25">
      <c r="A156" s="8">
        <v>42590.70722222222</v>
      </c>
      <c r="B156" s="24" t="s">
        <v>142</v>
      </c>
      <c r="C156" s="24" t="s">
        <v>446</v>
      </c>
      <c r="D156" s="24">
        <v>2090000</v>
      </c>
      <c r="E156" s="24" t="s">
        <v>416</v>
      </c>
      <c r="F156" s="24" t="str">
        <f t="shared" si="4"/>
        <v>rtdc.l.rtdc.4031:itc</v>
      </c>
      <c r="G156" s="8">
        <f t="shared" si="5"/>
        <v>42590.70722222222</v>
      </c>
    </row>
    <row r="157" spans="1:7" x14ac:dyDescent="0.25">
      <c r="A157" s="8">
        <v>42590.70925925926</v>
      </c>
      <c r="B157" s="24" t="s">
        <v>99</v>
      </c>
      <c r="C157" s="24" t="s">
        <v>447</v>
      </c>
      <c r="D157" s="24">
        <v>2150000</v>
      </c>
      <c r="E157" s="24" t="s">
        <v>400</v>
      </c>
      <c r="F157" s="24" t="str">
        <f t="shared" si="4"/>
        <v>rtdc.l.rtdc.4038:itc</v>
      </c>
      <c r="G157" s="8">
        <f t="shared" si="5"/>
        <v>42590.70925925926</v>
      </c>
    </row>
    <row r="158" spans="1:7" x14ac:dyDescent="0.25">
      <c r="A158" s="8">
        <v>42590.711342592593</v>
      </c>
      <c r="B158" s="24" t="s">
        <v>101</v>
      </c>
      <c r="C158" s="24" t="s">
        <v>448</v>
      </c>
      <c r="D158" s="24">
        <v>880000</v>
      </c>
      <c r="E158" s="24" t="s">
        <v>147</v>
      </c>
      <c r="F158" s="24" t="str">
        <f t="shared" si="4"/>
        <v>rtdc.l.rtdc.4013:itc</v>
      </c>
      <c r="G158" s="8">
        <f t="shared" si="5"/>
        <v>42590.711342592593</v>
      </c>
    </row>
    <row r="159" spans="1:7" x14ac:dyDescent="0.25">
      <c r="A159" s="8">
        <v>42590.713877314818</v>
      </c>
      <c r="B159" s="24" t="s">
        <v>127</v>
      </c>
      <c r="C159" s="24" t="s">
        <v>313</v>
      </c>
      <c r="D159" s="24">
        <v>1290000</v>
      </c>
      <c r="E159" s="24" t="s">
        <v>136</v>
      </c>
      <c r="F159" s="24" t="str">
        <f t="shared" si="4"/>
        <v>rtdc.l.rtdc.4015:itc</v>
      </c>
      <c r="G159" s="8">
        <f t="shared" si="5"/>
        <v>42590.713877314818</v>
      </c>
    </row>
    <row r="160" spans="1:7" x14ac:dyDescent="0.25">
      <c r="A160" s="8">
        <v>42590.718888888892</v>
      </c>
      <c r="B160" s="24" t="s">
        <v>66</v>
      </c>
      <c r="C160" s="24" t="s">
        <v>315</v>
      </c>
      <c r="D160" s="24">
        <v>1280000</v>
      </c>
      <c r="E160" s="24" t="s">
        <v>149</v>
      </c>
      <c r="F160" s="24" t="str">
        <f t="shared" si="4"/>
        <v>rtdc.l.rtdc.4019:itc</v>
      </c>
      <c r="G160" s="8">
        <f t="shared" si="5"/>
        <v>42590.718888888892</v>
      </c>
    </row>
    <row r="161" spans="1:7" x14ac:dyDescent="0.25">
      <c r="A161" s="8">
        <v>42590.723819444444</v>
      </c>
      <c r="B161" s="24" t="s">
        <v>104</v>
      </c>
      <c r="C161" s="24" t="s">
        <v>449</v>
      </c>
      <c r="D161" s="24">
        <v>2100000</v>
      </c>
      <c r="E161" s="24" t="s">
        <v>450</v>
      </c>
      <c r="F161" s="24" t="str">
        <f t="shared" si="4"/>
        <v>rtdc.l.rtdc.4029:itc</v>
      </c>
      <c r="G161" s="8">
        <f t="shared" si="5"/>
        <v>42590.723819444444</v>
      </c>
    </row>
    <row r="162" spans="1:7" x14ac:dyDescent="0.25">
      <c r="A162" s="8">
        <v>42590.730740740742</v>
      </c>
      <c r="B162" s="24" t="s">
        <v>137</v>
      </c>
      <c r="C162" s="24" t="s">
        <v>451</v>
      </c>
      <c r="D162" s="24">
        <v>1140000</v>
      </c>
      <c r="E162" s="24" t="s">
        <v>145</v>
      </c>
      <c r="F162" s="24" t="str">
        <f t="shared" si="4"/>
        <v>rtdc.l.rtdc.4011:itc</v>
      </c>
      <c r="G162" s="8">
        <f t="shared" si="5"/>
        <v>42590.730740740742</v>
      </c>
    </row>
    <row r="163" spans="1:7" x14ac:dyDescent="0.25">
      <c r="A163" s="8">
        <v>42590.734074074076</v>
      </c>
      <c r="B163" s="24" t="s">
        <v>143</v>
      </c>
      <c r="C163" s="24" t="s">
        <v>452</v>
      </c>
      <c r="D163" s="24">
        <v>2090000</v>
      </c>
      <c r="E163" s="24" t="s">
        <v>416</v>
      </c>
      <c r="F163" s="24" t="str">
        <f t="shared" si="4"/>
        <v>rtdc.l.rtdc.4032:itc</v>
      </c>
      <c r="G163" s="8">
        <f t="shared" si="5"/>
        <v>42590.734074074076</v>
      </c>
    </row>
    <row r="164" spans="1:7" x14ac:dyDescent="0.25">
      <c r="A164" s="8">
        <v>42590.735474537039</v>
      </c>
      <c r="B164" s="24" t="s">
        <v>103</v>
      </c>
      <c r="C164" s="24" t="s">
        <v>317</v>
      </c>
      <c r="D164" s="24">
        <v>1740000</v>
      </c>
      <c r="E164" s="24" t="s">
        <v>226</v>
      </c>
      <c r="F164" s="24" t="str">
        <f t="shared" si="4"/>
        <v>rtdc.l.rtdc.4028:itc</v>
      </c>
      <c r="G164" s="8">
        <f t="shared" si="5"/>
        <v>42590.735474537039</v>
      </c>
    </row>
    <row r="165" spans="1:7" x14ac:dyDescent="0.25">
      <c r="A165" s="8">
        <v>42590.73741898148</v>
      </c>
      <c r="B165" s="24" t="s">
        <v>100</v>
      </c>
      <c r="C165" s="24" t="s">
        <v>453</v>
      </c>
      <c r="D165" s="24">
        <v>1800000</v>
      </c>
      <c r="E165" s="24" t="s">
        <v>148</v>
      </c>
      <c r="F165" s="24" t="str">
        <f t="shared" si="4"/>
        <v>rtdc.l.rtdc.4026:itc</v>
      </c>
      <c r="G165" s="8">
        <f t="shared" si="5"/>
        <v>42590.73741898148</v>
      </c>
    </row>
    <row r="166" spans="1:7" x14ac:dyDescent="0.25">
      <c r="A166" s="8">
        <v>42590.740879629629</v>
      </c>
      <c r="B166" s="24" t="s">
        <v>128</v>
      </c>
      <c r="C166" s="24" t="s">
        <v>454</v>
      </c>
      <c r="D166" s="24">
        <v>1290000</v>
      </c>
      <c r="E166" s="24" t="s">
        <v>136</v>
      </c>
      <c r="F166" s="24" t="str">
        <f t="shared" si="4"/>
        <v>rtdc.l.rtdc.4016:itc</v>
      </c>
      <c r="G166" s="8">
        <f t="shared" si="5"/>
        <v>42590.740879629629</v>
      </c>
    </row>
    <row r="167" spans="1:7" x14ac:dyDescent="0.25">
      <c r="A167" s="8">
        <v>42590.743530092594</v>
      </c>
      <c r="B167" s="24" t="s">
        <v>109</v>
      </c>
      <c r="C167" s="24" t="s">
        <v>455</v>
      </c>
      <c r="D167" s="24">
        <v>1810000</v>
      </c>
      <c r="E167" s="24" t="s">
        <v>146</v>
      </c>
      <c r="F167" s="24" t="str">
        <f t="shared" si="4"/>
        <v>rtdc.l.rtdc.4007:itc</v>
      </c>
      <c r="G167" s="8">
        <f t="shared" si="5"/>
        <v>42590.743530092594</v>
      </c>
    </row>
    <row r="168" spans="1:7" x14ac:dyDescent="0.25">
      <c r="A168" s="8">
        <v>42590.747175925928</v>
      </c>
      <c r="B168" s="24" t="s">
        <v>150</v>
      </c>
      <c r="C168" s="24" t="s">
        <v>319</v>
      </c>
      <c r="D168" s="24">
        <v>2150000</v>
      </c>
      <c r="E168" s="24" t="s">
        <v>400</v>
      </c>
      <c r="F168" s="24" t="str">
        <f t="shared" si="4"/>
        <v>rtdc.l.rtdc.4037:itc</v>
      </c>
      <c r="G168" s="8">
        <f t="shared" si="5"/>
        <v>42590.747175925928</v>
      </c>
    </row>
    <row r="169" spans="1:7" x14ac:dyDescent="0.25">
      <c r="A169" s="8">
        <v>42590.750810185185</v>
      </c>
      <c r="B169" s="24" t="s">
        <v>103</v>
      </c>
      <c r="C169" s="24" t="s">
        <v>317</v>
      </c>
      <c r="D169" s="24">
        <v>1740000</v>
      </c>
      <c r="E169" s="24" t="s">
        <v>226</v>
      </c>
      <c r="F169" s="24" t="str">
        <f t="shared" si="4"/>
        <v>rtdc.l.rtdc.4028:itc</v>
      </c>
      <c r="G169" s="8">
        <f t="shared" si="5"/>
        <v>42590.750810185185</v>
      </c>
    </row>
    <row r="170" spans="1:7" x14ac:dyDescent="0.25">
      <c r="A170" s="8">
        <v>42590.754120370373</v>
      </c>
      <c r="B170" s="24" t="s">
        <v>140</v>
      </c>
      <c r="C170" s="24" t="s">
        <v>316</v>
      </c>
      <c r="D170" s="24">
        <v>2020000</v>
      </c>
      <c r="E170" s="24" t="s">
        <v>189</v>
      </c>
      <c r="F170" s="24" t="str">
        <f t="shared" si="4"/>
        <v>rtdc.l.rtdc.4014:itc</v>
      </c>
      <c r="G170" s="8">
        <f t="shared" si="5"/>
        <v>42590.754120370373</v>
      </c>
    </row>
    <row r="171" spans="1:7" x14ac:dyDescent="0.25">
      <c r="A171" s="8">
        <v>42590.754976851851</v>
      </c>
      <c r="B171" s="24" t="s">
        <v>127</v>
      </c>
      <c r="C171" s="24" t="s">
        <v>318</v>
      </c>
      <c r="D171" s="24">
        <v>1290000</v>
      </c>
      <c r="E171" s="24" t="s">
        <v>136</v>
      </c>
      <c r="F171" s="24" t="str">
        <f t="shared" si="4"/>
        <v>rtdc.l.rtdc.4015:itc</v>
      </c>
      <c r="G171" s="8">
        <f t="shared" si="5"/>
        <v>42590.754976851851</v>
      </c>
    </row>
    <row r="172" spans="1:7" x14ac:dyDescent="0.25">
      <c r="A172" s="8">
        <v>42590.756018518521</v>
      </c>
      <c r="B172" s="24" t="s">
        <v>142</v>
      </c>
      <c r="C172" s="24" t="s">
        <v>456</v>
      </c>
      <c r="D172" s="24">
        <v>2090000</v>
      </c>
      <c r="E172" s="24" t="s">
        <v>416</v>
      </c>
      <c r="F172" s="24" t="str">
        <f t="shared" si="4"/>
        <v>rtdc.l.rtdc.4031:itc</v>
      </c>
      <c r="G172" s="8">
        <f t="shared" si="5"/>
        <v>42590.756018518521</v>
      </c>
    </row>
    <row r="173" spans="1:7" x14ac:dyDescent="0.25">
      <c r="A173" s="8">
        <v>42590.756724537037</v>
      </c>
      <c r="B173" s="24" t="s">
        <v>105</v>
      </c>
      <c r="C173" s="24" t="s">
        <v>457</v>
      </c>
      <c r="D173" s="24">
        <v>2100000</v>
      </c>
      <c r="E173" s="24" t="s">
        <v>450</v>
      </c>
      <c r="F173" s="24" t="str">
        <f t="shared" si="4"/>
        <v>rtdc.l.rtdc.4030:itc</v>
      </c>
      <c r="G173" s="8">
        <f t="shared" si="5"/>
        <v>42590.756724537037</v>
      </c>
    </row>
    <row r="174" spans="1:7" x14ac:dyDescent="0.25">
      <c r="A174" s="8">
        <v>42590.761053240742</v>
      </c>
      <c r="B174" s="24" t="s">
        <v>67</v>
      </c>
      <c r="C174" s="24" t="s">
        <v>453</v>
      </c>
      <c r="D174" s="24">
        <v>1800000</v>
      </c>
      <c r="E174" s="24" t="s">
        <v>148</v>
      </c>
      <c r="F174" s="24" t="str">
        <f t="shared" si="4"/>
        <v>rtdc.l.rtdc.4020:itc</v>
      </c>
      <c r="G174" s="8">
        <f t="shared" si="5"/>
        <v>42590.761053240742</v>
      </c>
    </row>
    <row r="175" spans="1:7" x14ac:dyDescent="0.25">
      <c r="A175" s="8">
        <v>42590.763680555552</v>
      </c>
      <c r="B175" s="24" t="s">
        <v>138</v>
      </c>
      <c r="C175" s="24" t="s">
        <v>451</v>
      </c>
      <c r="D175" s="24">
        <v>1140000</v>
      </c>
      <c r="E175" s="24" t="s">
        <v>145</v>
      </c>
      <c r="F175" s="24" t="str">
        <f t="shared" si="4"/>
        <v>rtdc.l.rtdc.4012:itc</v>
      </c>
      <c r="G175" s="8">
        <f t="shared" si="5"/>
        <v>42590.763680555552</v>
      </c>
    </row>
    <row r="176" spans="1:7" x14ac:dyDescent="0.25">
      <c r="A176" s="8">
        <v>42590.764606481483</v>
      </c>
      <c r="B176" s="24" t="s">
        <v>138</v>
      </c>
      <c r="C176" s="24" t="s">
        <v>458</v>
      </c>
      <c r="D176" s="24">
        <v>1140000</v>
      </c>
      <c r="E176" s="24" t="s">
        <v>145</v>
      </c>
      <c r="F176" s="24" t="str">
        <f t="shared" si="4"/>
        <v>rtdc.l.rtdc.4012:itc</v>
      </c>
      <c r="G176" s="8">
        <f t="shared" si="5"/>
        <v>42590.764606481483</v>
      </c>
    </row>
    <row r="177" spans="1:7" x14ac:dyDescent="0.25">
      <c r="A177" s="8">
        <v>42590.773506944446</v>
      </c>
      <c r="B177" s="24" t="s">
        <v>106</v>
      </c>
      <c r="C177" s="24" t="s">
        <v>320</v>
      </c>
      <c r="D177" s="24">
        <v>1740000</v>
      </c>
      <c r="E177" s="24" t="s">
        <v>226</v>
      </c>
      <c r="F177" s="24" t="str">
        <f t="shared" si="4"/>
        <v>rtdc.l.rtdc.4027:itc</v>
      </c>
      <c r="G177" s="8">
        <f t="shared" si="5"/>
        <v>42590.773506944446</v>
      </c>
    </row>
    <row r="178" spans="1:7" x14ac:dyDescent="0.25">
      <c r="A178" s="8">
        <v>42590.775555555556</v>
      </c>
      <c r="B178" s="24" t="s">
        <v>143</v>
      </c>
      <c r="C178" s="24" t="s">
        <v>459</v>
      </c>
      <c r="D178" s="24">
        <v>2090000</v>
      </c>
      <c r="E178" s="24" t="s">
        <v>416</v>
      </c>
      <c r="F178" s="24" t="str">
        <f t="shared" si="4"/>
        <v>rtdc.l.rtdc.4032:itc</v>
      </c>
      <c r="G178" s="8">
        <f t="shared" si="5"/>
        <v>42590.775555555556</v>
      </c>
    </row>
    <row r="179" spans="1:7" x14ac:dyDescent="0.25">
      <c r="A179" s="8">
        <v>42590.775636574072</v>
      </c>
      <c r="B179" s="24" t="s">
        <v>108</v>
      </c>
      <c r="C179" s="24" t="s">
        <v>321</v>
      </c>
      <c r="D179" s="24">
        <v>1810000</v>
      </c>
      <c r="E179" s="24" t="s">
        <v>146</v>
      </c>
      <c r="F179" s="24" t="str">
        <f t="shared" si="4"/>
        <v>rtdc.l.rtdc.4008:itc</v>
      </c>
      <c r="G179" s="8">
        <f t="shared" si="5"/>
        <v>42590.775636574072</v>
      </c>
    </row>
    <row r="180" spans="1:7" x14ac:dyDescent="0.25">
      <c r="A180" s="8">
        <v>42590.783333333333</v>
      </c>
      <c r="B180" s="24" t="s">
        <v>128</v>
      </c>
      <c r="C180" s="24" t="s">
        <v>322</v>
      </c>
      <c r="D180" s="24">
        <v>1290000</v>
      </c>
      <c r="E180" s="24" t="s">
        <v>136</v>
      </c>
      <c r="F180" s="24" t="str">
        <f t="shared" si="4"/>
        <v>rtdc.l.rtdc.4016:itc</v>
      </c>
      <c r="G180" s="8">
        <f t="shared" si="5"/>
        <v>42590.783333333333</v>
      </c>
    </row>
    <row r="181" spans="1:7" x14ac:dyDescent="0.25">
      <c r="A181" s="8">
        <v>42590.788252314815</v>
      </c>
      <c r="B181" s="24" t="s">
        <v>101</v>
      </c>
      <c r="C181" s="24" t="s">
        <v>323</v>
      </c>
      <c r="D181" s="24">
        <v>2020000</v>
      </c>
      <c r="E181" s="24" t="s">
        <v>189</v>
      </c>
      <c r="F181" s="24" t="str">
        <f t="shared" si="4"/>
        <v>rtdc.l.rtdc.4013:itc</v>
      </c>
      <c r="G181" s="8">
        <f t="shared" si="5"/>
        <v>42590.788252314815</v>
      </c>
    </row>
    <row r="182" spans="1:7" x14ac:dyDescent="0.25">
      <c r="A182" s="8">
        <v>42590.788263888891</v>
      </c>
      <c r="B182" s="24" t="s">
        <v>104</v>
      </c>
      <c r="C182" s="24" t="s">
        <v>460</v>
      </c>
      <c r="D182" s="24">
        <v>2100000</v>
      </c>
      <c r="E182" s="24" t="s">
        <v>450</v>
      </c>
      <c r="F182" s="24" t="str">
        <f t="shared" si="4"/>
        <v>rtdc.l.rtdc.4029:itc</v>
      </c>
      <c r="G182" s="8">
        <f t="shared" si="5"/>
        <v>42590.788263888891</v>
      </c>
    </row>
    <row r="183" spans="1:7" x14ac:dyDescent="0.25">
      <c r="A183" s="8">
        <v>42590.790208333332</v>
      </c>
      <c r="B183" s="24" t="s">
        <v>142</v>
      </c>
      <c r="C183" s="24" t="s">
        <v>461</v>
      </c>
      <c r="D183" s="24">
        <v>2090000</v>
      </c>
      <c r="E183" s="24" t="s">
        <v>416</v>
      </c>
      <c r="F183" s="24" t="str">
        <f t="shared" si="4"/>
        <v>rtdc.l.rtdc.4031:itc</v>
      </c>
      <c r="G183" s="8">
        <f t="shared" si="5"/>
        <v>42590.790208333332</v>
      </c>
    </row>
    <row r="184" spans="1:7" x14ac:dyDescent="0.25">
      <c r="A184" s="8">
        <v>42590.796898148146</v>
      </c>
      <c r="B184" s="24" t="s">
        <v>99</v>
      </c>
      <c r="C184" s="24" t="s">
        <v>462</v>
      </c>
      <c r="D184" s="24">
        <v>1520000</v>
      </c>
      <c r="E184" s="24" t="s">
        <v>144</v>
      </c>
      <c r="F184" s="24" t="str">
        <f t="shared" si="4"/>
        <v>rtdc.l.rtdc.4038:itc</v>
      </c>
      <c r="G184" s="8">
        <f t="shared" si="5"/>
        <v>42590.796898148146</v>
      </c>
    </row>
    <row r="185" spans="1:7" x14ac:dyDescent="0.25">
      <c r="A185" s="8">
        <v>42590.797326388885</v>
      </c>
      <c r="B185" s="24" t="s">
        <v>66</v>
      </c>
      <c r="C185" s="24" t="s">
        <v>324</v>
      </c>
      <c r="D185" s="24">
        <v>1800000</v>
      </c>
      <c r="E185" s="24" t="s">
        <v>148</v>
      </c>
      <c r="F185" s="24" t="str">
        <f t="shared" si="4"/>
        <v>rtdc.l.rtdc.4019:itc</v>
      </c>
      <c r="G185" s="8">
        <f t="shared" si="5"/>
        <v>42590.797326388885</v>
      </c>
    </row>
    <row r="186" spans="1:7" x14ac:dyDescent="0.25">
      <c r="A186" s="8">
        <v>42590.797418981485</v>
      </c>
      <c r="B186" s="24" t="s">
        <v>127</v>
      </c>
      <c r="C186" s="24" t="s">
        <v>463</v>
      </c>
      <c r="D186" s="24">
        <v>1290000</v>
      </c>
      <c r="E186" s="24" t="s">
        <v>136</v>
      </c>
      <c r="F186" s="24" t="str">
        <f t="shared" si="4"/>
        <v>rtdc.l.rtdc.4015:itc</v>
      </c>
      <c r="G186" s="8">
        <f t="shared" si="5"/>
        <v>42590.797418981485</v>
      </c>
    </row>
    <row r="187" spans="1:7" x14ac:dyDescent="0.25">
      <c r="A187" s="8">
        <v>42590.805960648147</v>
      </c>
      <c r="B187" s="24" t="s">
        <v>103</v>
      </c>
      <c r="C187" s="24" t="s">
        <v>464</v>
      </c>
      <c r="D187" s="24">
        <v>1740000</v>
      </c>
      <c r="E187" s="24" t="s">
        <v>226</v>
      </c>
      <c r="F187" s="24" t="str">
        <f t="shared" si="4"/>
        <v>rtdc.l.rtdc.4028:itc</v>
      </c>
      <c r="G187" s="8">
        <f t="shared" si="5"/>
        <v>42590.805960648147</v>
      </c>
    </row>
    <row r="188" spans="1:7" x14ac:dyDescent="0.25">
      <c r="A188" s="8">
        <v>42590.811180555553</v>
      </c>
      <c r="B188" s="24" t="s">
        <v>109</v>
      </c>
      <c r="C188" s="24" t="s">
        <v>465</v>
      </c>
      <c r="D188" s="24">
        <v>1810000</v>
      </c>
      <c r="E188" s="24" t="s">
        <v>146</v>
      </c>
      <c r="F188" s="24" t="str">
        <f t="shared" si="4"/>
        <v>rtdc.l.rtdc.4007:itc</v>
      </c>
      <c r="G188" s="8">
        <f t="shared" si="5"/>
        <v>42590.811180555553</v>
      </c>
    </row>
    <row r="189" spans="1:7" x14ac:dyDescent="0.25">
      <c r="A189" s="8">
        <v>42590.817546296297</v>
      </c>
      <c r="B189" s="24" t="s">
        <v>143</v>
      </c>
      <c r="C189" s="24" t="s">
        <v>466</v>
      </c>
      <c r="D189" s="24">
        <v>2090000</v>
      </c>
      <c r="E189" s="24" t="s">
        <v>416</v>
      </c>
      <c r="F189" s="24" t="str">
        <f t="shared" si="4"/>
        <v>rtdc.l.rtdc.4032:itc</v>
      </c>
      <c r="G189" s="8">
        <f t="shared" si="5"/>
        <v>42590.817546296297</v>
      </c>
    </row>
    <row r="190" spans="1:7" x14ac:dyDescent="0.25">
      <c r="A190" s="8">
        <v>42590.825277777774</v>
      </c>
      <c r="B190" s="24" t="s">
        <v>105</v>
      </c>
      <c r="C190" s="24" t="s">
        <v>467</v>
      </c>
      <c r="D190" s="24">
        <v>2100000</v>
      </c>
      <c r="E190" s="24" t="s">
        <v>450</v>
      </c>
      <c r="F190" s="24" t="str">
        <f t="shared" si="4"/>
        <v>rtdc.l.rtdc.4030:itc</v>
      </c>
      <c r="G190" s="8">
        <f t="shared" si="5"/>
        <v>42590.825277777774</v>
      </c>
    </row>
    <row r="191" spans="1:7" x14ac:dyDescent="0.25">
      <c r="A191" s="8">
        <v>42590.837581018517</v>
      </c>
      <c r="B191" s="24" t="s">
        <v>67</v>
      </c>
      <c r="C191" s="24" t="s">
        <v>468</v>
      </c>
      <c r="D191" s="24">
        <v>1800000</v>
      </c>
      <c r="E191" s="24" t="s">
        <v>148</v>
      </c>
      <c r="F191" s="24" t="str">
        <f t="shared" si="4"/>
        <v>rtdc.l.rtdc.4020:itc</v>
      </c>
      <c r="G191" s="8">
        <f t="shared" si="5"/>
        <v>42590.837581018517</v>
      </c>
    </row>
    <row r="192" spans="1:7" x14ac:dyDescent="0.25">
      <c r="A192" s="8">
        <v>42590.8440625</v>
      </c>
      <c r="B192" s="24" t="s">
        <v>142</v>
      </c>
      <c r="C192" s="24" t="s">
        <v>469</v>
      </c>
      <c r="D192" s="24">
        <v>2090000</v>
      </c>
      <c r="E192" s="24" t="s">
        <v>416</v>
      </c>
      <c r="F192" s="24" t="str">
        <f t="shared" si="4"/>
        <v>rtdc.l.rtdc.4031:itc</v>
      </c>
      <c r="G192" s="8">
        <f t="shared" si="5"/>
        <v>42590.8440625</v>
      </c>
    </row>
    <row r="193" spans="1:7" x14ac:dyDescent="0.25">
      <c r="A193" s="8">
        <v>42590.848275462966</v>
      </c>
      <c r="B193" s="24" t="s">
        <v>106</v>
      </c>
      <c r="C193" s="24" t="s">
        <v>470</v>
      </c>
      <c r="D193" s="24">
        <v>1740000</v>
      </c>
      <c r="E193" s="24" t="s">
        <v>226</v>
      </c>
      <c r="F193" s="24" t="str">
        <f t="shared" si="4"/>
        <v>rtdc.l.rtdc.4027:itc</v>
      </c>
      <c r="G193" s="8">
        <f t="shared" si="5"/>
        <v>42590.848275462966</v>
      </c>
    </row>
    <row r="194" spans="1:7" x14ac:dyDescent="0.25">
      <c r="A194" s="8">
        <v>42590.850092592591</v>
      </c>
      <c r="B194" s="24" t="s">
        <v>108</v>
      </c>
      <c r="C194" s="24" t="s">
        <v>471</v>
      </c>
      <c r="D194" s="24">
        <v>1810000</v>
      </c>
      <c r="E194" s="24" t="s">
        <v>146</v>
      </c>
      <c r="F194" s="24" t="str">
        <f t="shared" ref="F194:F235" si="6">B194</f>
        <v>rtdc.l.rtdc.4008:itc</v>
      </c>
      <c r="G194" s="8">
        <f t="shared" ref="G194:G235" si="7">A194</f>
        <v>42590.850092592591</v>
      </c>
    </row>
    <row r="195" spans="1:7" x14ac:dyDescent="0.25">
      <c r="A195" s="8">
        <v>42590.859652777777</v>
      </c>
      <c r="B195" s="24" t="s">
        <v>143</v>
      </c>
      <c r="C195" s="24" t="s">
        <v>472</v>
      </c>
      <c r="D195" s="24">
        <v>2090000</v>
      </c>
      <c r="E195" s="24" t="s">
        <v>416</v>
      </c>
      <c r="F195" s="24" t="str">
        <f t="shared" si="6"/>
        <v>rtdc.l.rtdc.4032:itc</v>
      </c>
      <c r="G195" s="8">
        <f t="shared" si="7"/>
        <v>42590.859652777777</v>
      </c>
    </row>
    <row r="196" spans="1:7" x14ac:dyDescent="0.25">
      <c r="A196" s="8">
        <v>42590.861122685186</v>
      </c>
      <c r="B196" s="24" t="s">
        <v>104</v>
      </c>
      <c r="C196" s="24" t="s">
        <v>325</v>
      </c>
      <c r="D196" s="24">
        <v>2100000</v>
      </c>
      <c r="E196" s="24" t="s">
        <v>450</v>
      </c>
      <c r="F196" s="24" t="str">
        <f t="shared" si="6"/>
        <v>rtdc.l.rtdc.4029:itc</v>
      </c>
      <c r="G196" s="8">
        <f t="shared" si="7"/>
        <v>42590.861122685186</v>
      </c>
    </row>
    <row r="197" spans="1:7" x14ac:dyDescent="0.25">
      <c r="A197" s="8">
        <v>42590.872106481482</v>
      </c>
      <c r="B197" s="24" t="s">
        <v>66</v>
      </c>
      <c r="C197" s="24" t="s">
        <v>473</v>
      </c>
      <c r="D197" s="24">
        <v>1800000</v>
      </c>
      <c r="E197" s="24" t="s">
        <v>148</v>
      </c>
      <c r="F197" s="24" t="str">
        <f t="shared" si="6"/>
        <v>rtdc.l.rtdc.4019:itc</v>
      </c>
      <c r="G197" s="8">
        <f t="shared" si="7"/>
        <v>42590.872106481482</v>
      </c>
    </row>
    <row r="198" spans="1:7" x14ac:dyDescent="0.25">
      <c r="A198" s="8">
        <v>42590.880069444444</v>
      </c>
      <c r="B198" s="24" t="s">
        <v>109</v>
      </c>
      <c r="C198" s="24" t="s">
        <v>474</v>
      </c>
      <c r="D198" s="24">
        <v>1810000</v>
      </c>
      <c r="E198" s="24" t="s">
        <v>146</v>
      </c>
      <c r="F198" s="24" t="str">
        <f t="shared" si="6"/>
        <v>rtdc.l.rtdc.4007:itc</v>
      </c>
      <c r="G198" s="8">
        <f t="shared" si="7"/>
        <v>42590.880069444444</v>
      </c>
    </row>
    <row r="199" spans="1:7" x14ac:dyDescent="0.25">
      <c r="A199" s="8">
        <v>42590.882685185185</v>
      </c>
      <c r="B199" s="24" t="s">
        <v>142</v>
      </c>
      <c r="C199" s="24" t="s">
        <v>326</v>
      </c>
      <c r="D199" s="24">
        <v>1290000</v>
      </c>
      <c r="E199" s="24" t="s">
        <v>136</v>
      </c>
      <c r="F199" s="24" t="str">
        <f t="shared" si="6"/>
        <v>rtdc.l.rtdc.4031:itc</v>
      </c>
      <c r="G199" s="8">
        <f t="shared" si="7"/>
        <v>42590.882685185185</v>
      </c>
    </row>
    <row r="200" spans="1:7" x14ac:dyDescent="0.25">
      <c r="A200" s="8">
        <v>42590.889513888891</v>
      </c>
      <c r="B200" s="24" t="s">
        <v>103</v>
      </c>
      <c r="C200" s="24" t="s">
        <v>327</v>
      </c>
      <c r="D200" s="24">
        <v>1740000</v>
      </c>
      <c r="E200" s="24" t="s">
        <v>226</v>
      </c>
      <c r="F200" s="24" t="str">
        <f t="shared" si="6"/>
        <v>rtdc.l.rtdc.4028:itc</v>
      </c>
      <c r="G200" s="8">
        <f t="shared" si="7"/>
        <v>42590.889513888891</v>
      </c>
    </row>
    <row r="201" spans="1:7" x14ac:dyDescent="0.25">
      <c r="A201" s="8">
        <v>42590.902499999997</v>
      </c>
      <c r="B201" s="24" t="s">
        <v>143</v>
      </c>
      <c r="C201" s="24" t="s">
        <v>328</v>
      </c>
      <c r="D201" s="24">
        <v>1290000</v>
      </c>
      <c r="E201" s="24" t="s">
        <v>136</v>
      </c>
      <c r="F201" s="24" t="str">
        <f t="shared" si="6"/>
        <v>rtdc.l.rtdc.4032:itc</v>
      </c>
      <c r="G201" s="8">
        <f t="shared" si="7"/>
        <v>42590.902499999997</v>
      </c>
    </row>
    <row r="202" spans="1:7" x14ac:dyDescent="0.25">
      <c r="A202" s="30">
        <v>42590.913761574076</v>
      </c>
      <c r="B202" s="24" t="s">
        <v>67</v>
      </c>
      <c r="C202" s="24" t="s">
        <v>475</v>
      </c>
      <c r="D202" s="24">
        <v>1800000</v>
      </c>
      <c r="E202" s="24" t="s">
        <v>148</v>
      </c>
      <c r="F202" s="24" t="str">
        <f t="shared" si="6"/>
        <v>rtdc.l.rtdc.4020:itc</v>
      </c>
      <c r="G202" s="8">
        <f t="shared" si="7"/>
        <v>42590.913761574076</v>
      </c>
    </row>
    <row r="203" spans="1:7" x14ac:dyDescent="0.25">
      <c r="A203" s="8">
        <v>42590.91878472222</v>
      </c>
      <c r="B203" s="24" t="s">
        <v>105</v>
      </c>
      <c r="C203" s="24" t="s">
        <v>476</v>
      </c>
      <c r="D203" s="24">
        <v>2100000</v>
      </c>
      <c r="E203" s="24" t="s">
        <v>450</v>
      </c>
      <c r="F203" s="24" t="str">
        <f t="shared" si="6"/>
        <v>rtdc.l.rtdc.4030:itc</v>
      </c>
      <c r="G203" s="8">
        <f t="shared" si="7"/>
        <v>42590.91878472222</v>
      </c>
    </row>
    <row r="204" spans="1:7" x14ac:dyDescent="0.25">
      <c r="A204" s="8">
        <v>42590.927893518521</v>
      </c>
      <c r="B204" s="24" t="s">
        <v>142</v>
      </c>
      <c r="C204" s="24" t="s">
        <v>477</v>
      </c>
      <c r="D204" s="24">
        <v>1290000</v>
      </c>
      <c r="E204" s="24" t="s">
        <v>136</v>
      </c>
      <c r="F204" s="24" t="str">
        <f t="shared" si="6"/>
        <v>rtdc.l.rtdc.4031:itc</v>
      </c>
      <c r="G204" s="8">
        <f t="shared" si="7"/>
        <v>42590.927893518521</v>
      </c>
    </row>
    <row r="205" spans="1:7" x14ac:dyDescent="0.25">
      <c r="A205" s="8">
        <v>42590.930972222224</v>
      </c>
      <c r="B205" s="24" t="s">
        <v>108</v>
      </c>
      <c r="C205" s="24" t="s">
        <v>478</v>
      </c>
      <c r="D205" s="24">
        <v>1810000</v>
      </c>
      <c r="E205" s="24" t="s">
        <v>146</v>
      </c>
      <c r="F205" s="24" t="str">
        <f t="shared" si="6"/>
        <v>rtdc.l.rtdc.4008:itc</v>
      </c>
      <c r="G205" s="8">
        <f t="shared" si="7"/>
        <v>42590.930972222224</v>
      </c>
    </row>
    <row r="206" spans="1:7" x14ac:dyDescent="0.25">
      <c r="A206" s="8">
        <v>42590.935810185183</v>
      </c>
      <c r="B206" s="24" t="s">
        <v>106</v>
      </c>
      <c r="C206" s="24" t="s">
        <v>329</v>
      </c>
      <c r="D206" s="24">
        <v>1740000</v>
      </c>
      <c r="E206" s="24" t="s">
        <v>226</v>
      </c>
      <c r="F206" s="24" t="str">
        <f t="shared" si="6"/>
        <v>rtdc.l.rtdc.4027:itc</v>
      </c>
      <c r="G206" s="8">
        <f t="shared" si="7"/>
        <v>42590.935810185183</v>
      </c>
    </row>
    <row r="207" spans="1:7" x14ac:dyDescent="0.25">
      <c r="A207" s="8">
        <v>42590.943067129629</v>
      </c>
      <c r="B207" s="24" t="s">
        <v>143</v>
      </c>
      <c r="C207" s="24" t="s">
        <v>479</v>
      </c>
      <c r="D207" s="24">
        <v>1290000</v>
      </c>
      <c r="E207" s="24" t="s">
        <v>136</v>
      </c>
      <c r="F207" s="24" t="str">
        <f t="shared" si="6"/>
        <v>rtdc.l.rtdc.4032:itc</v>
      </c>
      <c r="G207" s="8">
        <f t="shared" si="7"/>
        <v>42590.943067129629</v>
      </c>
    </row>
    <row r="208" spans="1:7" x14ac:dyDescent="0.25">
      <c r="A208" s="8">
        <v>42590.951527777775</v>
      </c>
      <c r="B208" s="24" t="s">
        <v>104</v>
      </c>
      <c r="C208" s="24" t="s">
        <v>480</v>
      </c>
      <c r="D208" s="24">
        <v>2100000</v>
      </c>
      <c r="E208" s="24" t="s">
        <v>450</v>
      </c>
      <c r="F208" s="24" t="str">
        <f t="shared" si="6"/>
        <v>rtdc.l.rtdc.4029:itc</v>
      </c>
      <c r="G208" s="8">
        <f t="shared" si="7"/>
        <v>42590.951527777775</v>
      </c>
    </row>
    <row r="209" spans="1:7" x14ac:dyDescent="0.25">
      <c r="A209" s="8">
        <v>42590.952916666669</v>
      </c>
      <c r="B209" s="24" t="s">
        <v>66</v>
      </c>
      <c r="C209" s="24" t="s">
        <v>481</v>
      </c>
      <c r="D209" s="24">
        <v>1800000</v>
      </c>
      <c r="E209" s="24" t="s">
        <v>148</v>
      </c>
      <c r="F209" s="24" t="str">
        <f t="shared" si="6"/>
        <v>rtdc.l.rtdc.4019:itc</v>
      </c>
      <c r="G209" s="8">
        <f t="shared" si="7"/>
        <v>42590.952916666669</v>
      </c>
    </row>
    <row r="210" spans="1:7" x14ac:dyDescent="0.25">
      <c r="A210" s="8">
        <v>42590.975138888891</v>
      </c>
      <c r="B210" s="24" t="s">
        <v>109</v>
      </c>
      <c r="C210" s="24" t="s">
        <v>482</v>
      </c>
      <c r="D210" s="24">
        <v>1810000</v>
      </c>
      <c r="E210" s="24" t="s">
        <v>146</v>
      </c>
      <c r="F210" s="24" t="str">
        <f t="shared" si="6"/>
        <v>rtdc.l.rtdc.4007:itc</v>
      </c>
      <c r="G210" s="8">
        <f t="shared" si="7"/>
        <v>42590.975138888891</v>
      </c>
    </row>
    <row r="211" spans="1:7" x14ac:dyDescent="0.25">
      <c r="A211" s="8">
        <v>42590.977048611108</v>
      </c>
      <c r="B211" s="24" t="s">
        <v>106</v>
      </c>
      <c r="C211" s="24" t="s">
        <v>329</v>
      </c>
      <c r="D211" s="24">
        <v>1740000</v>
      </c>
      <c r="E211" s="24" t="s">
        <v>226</v>
      </c>
      <c r="F211" s="24" t="str">
        <f t="shared" si="6"/>
        <v>rtdc.l.rtdc.4027:itc</v>
      </c>
      <c r="G211" s="8">
        <f t="shared" si="7"/>
        <v>42590.977048611108</v>
      </c>
    </row>
    <row r="212" spans="1:7" x14ac:dyDescent="0.25">
      <c r="A212" s="8">
        <v>42590.979050925926</v>
      </c>
      <c r="B212" s="24" t="s">
        <v>103</v>
      </c>
      <c r="C212" s="24" t="s">
        <v>330</v>
      </c>
      <c r="D212" s="24">
        <v>1740000</v>
      </c>
      <c r="E212" s="24" t="s">
        <v>226</v>
      </c>
      <c r="F212" s="24" t="str">
        <f t="shared" si="6"/>
        <v>rtdc.l.rtdc.4028:itc</v>
      </c>
      <c r="G212" s="8">
        <f t="shared" si="7"/>
        <v>42590.979050925926</v>
      </c>
    </row>
    <row r="213" spans="1:7" x14ac:dyDescent="0.25">
      <c r="A213" s="8">
        <v>42590.990937499999</v>
      </c>
      <c r="B213" s="24" t="s">
        <v>105</v>
      </c>
      <c r="C213" s="24" t="s">
        <v>483</v>
      </c>
      <c r="D213" s="24">
        <v>2100000</v>
      </c>
      <c r="E213" s="24" t="s">
        <v>450</v>
      </c>
      <c r="F213" s="24" t="str">
        <f t="shared" si="6"/>
        <v>rtdc.l.rtdc.4030:itc</v>
      </c>
      <c r="G213" s="8">
        <f t="shared" si="7"/>
        <v>42590.990937499999</v>
      </c>
    </row>
    <row r="214" spans="1:7" x14ac:dyDescent="0.25">
      <c r="A214" s="8">
        <v>42591.001030092593</v>
      </c>
      <c r="B214" s="24" t="s">
        <v>67</v>
      </c>
      <c r="C214" s="24" t="s">
        <v>484</v>
      </c>
      <c r="D214" s="24">
        <v>1800000</v>
      </c>
      <c r="E214" s="24" t="s">
        <v>148</v>
      </c>
      <c r="F214" s="24" t="str">
        <f t="shared" si="6"/>
        <v>rtdc.l.rtdc.4020:itc</v>
      </c>
      <c r="G214" s="8">
        <f t="shared" si="7"/>
        <v>42591.001030092593</v>
      </c>
    </row>
    <row r="215" spans="1:7" x14ac:dyDescent="0.25">
      <c r="A215" s="8">
        <v>42591.01458333333</v>
      </c>
      <c r="B215" s="24" t="s">
        <v>106</v>
      </c>
      <c r="C215" s="24" t="s">
        <v>485</v>
      </c>
      <c r="D215" s="24">
        <v>1740000</v>
      </c>
      <c r="E215" s="24" t="s">
        <v>226</v>
      </c>
      <c r="F215" s="24" t="str">
        <f t="shared" si="6"/>
        <v>rtdc.l.rtdc.4027:itc</v>
      </c>
      <c r="G215" s="8">
        <f t="shared" si="7"/>
        <v>42591.01458333333</v>
      </c>
    </row>
    <row r="216" spans="1:7" x14ac:dyDescent="0.25">
      <c r="A216" s="8">
        <v>42591.015717592592</v>
      </c>
      <c r="B216" s="24" t="s">
        <v>108</v>
      </c>
      <c r="C216" s="24" t="s">
        <v>486</v>
      </c>
      <c r="D216" s="24">
        <v>1810000</v>
      </c>
      <c r="E216" s="24" t="s">
        <v>146</v>
      </c>
      <c r="F216" s="24" t="str">
        <f t="shared" si="6"/>
        <v>rtdc.l.rtdc.4008:itc</v>
      </c>
      <c r="G216" s="8">
        <f t="shared" si="7"/>
        <v>42591.015717592592</v>
      </c>
    </row>
    <row r="217" spans="1:7" x14ac:dyDescent="0.25">
      <c r="A217" s="8">
        <v>42591.029039351852</v>
      </c>
      <c r="B217" s="24" t="s">
        <v>104</v>
      </c>
      <c r="C217" s="24" t="s">
        <v>487</v>
      </c>
      <c r="D217" s="24">
        <v>2100000</v>
      </c>
      <c r="E217" s="24" t="s">
        <v>450</v>
      </c>
      <c r="F217" s="24" t="str">
        <f t="shared" si="6"/>
        <v>rtdc.l.rtdc.4029:itc</v>
      </c>
      <c r="G217" s="8">
        <f t="shared" si="7"/>
        <v>42591.029039351852</v>
      </c>
    </row>
    <row r="218" spans="1:7" x14ac:dyDescent="0.25">
      <c r="A218" s="8">
        <v>42591.038287037038</v>
      </c>
      <c r="B218" s="24" t="s">
        <v>66</v>
      </c>
      <c r="C218" s="24" t="s">
        <v>488</v>
      </c>
      <c r="D218" s="24">
        <v>1800000</v>
      </c>
      <c r="E218" s="24" t="s">
        <v>148</v>
      </c>
      <c r="F218" s="24" t="str">
        <f t="shared" si="6"/>
        <v>rtdc.l.rtdc.4019:itc</v>
      </c>
      <c r="G218" s="8">
        <f t="shared" si="7"/>
        <v>42591.038287037038</v>
      </c>
    </row>
    <row r="219" spans="1:7" x14ac:dyDescent="0.25">
      <c r="A219" s="8">
        <v>42591.04828703704</v>
      </c>
      <c r="B219" s="24" t="s">
        <v>109</v>
      </c>
      <c r="C219" s="24" t="s">
        <v>489</v>
      </c>
      <c r="D219" s="24">
        <v>1810000</v>
      </c>
      <c r="E219" s="24" t="s">
        <v>146</v>
      </c>
      <c r="F219" s="24" t="str">
        <f t="shared" si="6"/>
        <v>rtdc.l.rtdc.4007:itc</v>
      </c>
      <c r="G219" s="8">
        <f t="shared" si="7"/>
        <v>42591.04828703704</v>
      </c>
    </row>
    <row r="220" spans="1:7" x14ac:dyDescent="0.25">
      <c r="A220" s="8">
        <v>42591.050057870372</v>
      </c>
      <c r="B220" s="24" t="s">
        <v>109</v>
      </c>
      <c r="C220" s="24" t="s">
        <v>489</v>
      </c>
      <c r="D220" s="24">
        <v>1810000</v>
      </c>
      <c r="E220" s="24" t="s">
        <v>146</v>
      </c>
      <c r="F220" s="24" t="str">
        <f t="shared" si="6"/>
        <v>rtdc.l.rtdc.4007:itc</v>
      </c>
      <c r="G220" s="8">
        <f t="shared" si="7"/>
        <v>42591.050057870372</v>
      </c>
    </row>
    <row r="221" spans="1:7" x14ac:dyDescent="0.25">
      <c r="A221" s="8">
        <v>42591.056469907409</v>
      </c>
      <c r="B221" s="24" t="s">
        <v>103</v>
      </c>
      <c r="C221" s="24" t="s">
        <v>490</v>
      </c>
      <c r="D221" s="24">
        <v>1740000</v>
      </c>
      <c r="E221" s="24" t="s">
        <v>226</v>
      </c>
      <c r="F221" s="24" t="str">
        <f t="shared" si="6"/>
        <v>rtdc.l.rtdc.4028:itc</v>
      </c>
      <c r="G221" s="8">
        <f t="shared" si="7"/>
        <v>42591.056469907409</v>
      </c>
    </row>
    <row r="222" spans="1:7" x14ac:dyDescent="0.25">
      <c r="A222" s="8">
        <v>42591.071446759262</v>
      </c>
      <c r="B222" s="24" t="s">
        <v>67</v>
      </c>
      <c r="C222" s="24" t="s">
        <v>491</v>
      </c>
      <c r="D222" s="24">
        <v>1800000</v>
      </c>
      <c r="E222" s="24" t="s">
        <v>148</v>
      </c>
      <c r="F222" s="24" t="str">
        <f t="shared" si="6"/>
        <v>rtdc.l.rtdc.4020:itc</v>
      </c>
      <c r="G222" s="8">
        <f t="shared" si="7"/>
        <v>42591.071446759262</v>
      </c>
    </row>
    <row r="223" spans="1:7" x14ac:dyDescent="0.25">
      <c r="A223" s="8">
        <v>42591.08902777778</v>
      </c>
      <c r="B223" s="24" t="s">
        <v>106</v>
      </c>
      <c r="C223" s="24" t="s">
        <v>492</v>
      </c>
      <c r="D223" s="24">
        <v>1740000</v>
      </c>
      <c r="E223" s="24" t="s">
        <v>226</v>
      </c>
      <c r="F223" s="24" t="str">
        <f t="shared" si="6"/>
        <v>rtdc.l.rtdc.4027:itc</v>
      </c>
      <c r="G223" s="8">
        <f t="shared" si="7"/>
        <v>42591.08902777778</v>
      </c>
    </row>
    <row r="224" spans="1:7" x14ac:dyDescent="0.25">
      <c r="A224" s="8">
        <v>42591.089687500003</v>
      </c>
      <c r="B224" t="s">
        <v>106</v>
      </c>
      <c r="C224" t="s">
        <v>492</v>
      </c>
      <c r="D224">
        <v>1740000</v>
      </c>
      <c r="E224" t="s">
        <v>226</v>
      </c>
      <c r="F224" s="24" t="str">
        <f t="shared" si="6"/>
        <v>rtdc.l.rtdc.4027:itc</v>
      </c>
      <c r="G224" s="8">
        <f t="shared" si="7"/>
        <v>42591.089687500003</v>
      </c>
    </row>
    <row r="225" spans="1:7" x14ac:dyDescent="0.25">
      <c r="A225" s="8">
        <v>42591.11451388889</v>
      </c>
      <c r="B225" t="s">
        <v>69</v>
      </c>
      <c r="C225" t="s">
        <v>493</v>
      </c>
      <c r="D225">
        <v>2030000</v>
      </c>
      <c r="E225" t="s">
        <v>494</v>
      </c>
      <c r="F225" s="24" t="str">
        <f t="shared" si="6"/>
        <v>rtdc.l.rtdc.4017:itc</v>
      </c>
      <c r="G225" s="8">
        <f t="shared" si="7"/>
        <v>42591.11451388889</v>
      </c>
    </row>
    <row r="226" spans="1:7" x14ac:dyDescent="0.25">
      <c r="F226" s="24">
        <f t="shared" si="6"/>
        <v>0</v>
      </c>
      <c r="G226" s="8">
        <f t="shared" si="7"/>
        <v>0</v>
      </c>
    </row>
    <row r="227" spans="1:7" x14ac:dyDescent="0.25">
      <c r="F227" s="24">
        <f t="shared" si="6"/>
        <v>0</v>
      </c>
      <c r="G227" s="8">
        <f t="shared" si="7"/>
        <v>0</v>
      </c>
    </row>
    <row r="228" spans="1:7" x14ac:dyDescent="0.25">
      <c r="F228" s="24">
        <f t="shared" si="6"/>
        <v>0</v>
      </c>
      <c r="G228" s="8">
        <f t="shared" si="7"/>
        <v>0</v>
      </c>
    </row>
    <row r="229" spans="1:7" x14ac:dyDescent="0.25">
      <c r="F229" s="24">
        <f t="shared" si="6"/>
        <v>0</v>
      </c>
      <c r="G229" s="8">
        <f t="shared" si="7"/>
        <v>0</v>
      </c>
    </row>
    <row r="230" spans="1:7" x14ac:dyDescent="0.25">
      <c r="F230" s="24">
        <f t="shared" si="6"/>
        <v>0</v>
      </c>
      <c r="G230" s="8">
        <f t="shared" si="7"/>
        <v>0</v>
      </c>
    </row>
    <row r="231" spans="1:7" x14ac:dyDescent="0.25">
      <c r="F231" s="24">
        <f t="shared" si="6"/>
        <v>0</v>
      </c>
      <c r="G231" s="8">
        <f t="shared" si="7"/>
        <v>0</v>
      </c>
    </row>
    <row r="232" spans="1:7" x14ac:dyDescent="0.25">
      <c r="F232" s="24">
        <f t="shared" si="6"/>
        <v>0</v>
      </c>
      <c r="G232" s="8">
        <f t="shared" si="7"/>
        <v>0</v>
      </c>
    </row>
    <row r="233" spans="1:7" x14ac:dyDescent="0.25">
      <c r="F233" s="24">
        <f t="shared" si="6"/>
        <v>0</v>
      </c>
      <c r="G233" s="8">
        <f t="shared" si="7"/>
        <v>0</v>
      </c>
    </row>
    <row r="234" spans="1:7" x14ac:dyDescent="0.25">
      <c r="F234" s="24">
        <f t="shared" si="6"/>
        <v>0</v>
      </c>
      <c r="G234" s="8">
        <f t="shared" si="7"/>
        <v>0</v>
      </c>
    </row>
    <row r="235" spans="1:7" x14ac:dyDescent="0.25">
      <c r="F235" s="24">
        <f t="shared" si="6"/>
        <v>0</v>
      </c>
      <c r="G235" s="8">
        <f t="shared" si="7"/>
        <v>0</v>
      </c>
    </row>
    <row r="236" spans="1:7" x14ac:dyDescent="0.25">
      <c r="F236" s="24">
        <f t="shared" ref="F236:F265" si="8">B236</f>
        <v>0</v>
      </c>
      <c r="G236" s="8">
        <f t="shared" ref="G236:G265" si="9">A236</f>
        <v>0</v>
      </c>
    </row>
    <row r="237" spans="1:7" x14ac:dyDescent="0.25">
      <c r="F237" s="24">
        <f t="shared" si="8"/>
        <v>0</v>
      </c>
      <c r="G237" s="8">
        <f t="shared" si="9"/>
        <v>0</v>
      </c>
    </row>
    <row r="238" spans="1:7" x14ac:dyDescent="0.25">
      <c r="F238" s="24">
        <f t="shared" si="8"/>
        <v>0</v>
      </c>
      <c r="G238" s="8">
        <f t="shared" si="9"/>
        <v>0</v>
      </c>
    </row>
    <row r="239" spans="1:7" x14ac:dyDescent="0.25">
      <c r="F239" s="24">
        <f t="shared" si="8"/>
        <v>0</v>
      </c>
      <c r="G239" s="8">
        <f t="shared" si="9"/>
        <v>0</v>
      </c>
    </row>
    <row r="240" spans="1:7" x14ac:dyDescent="0.25">
      <c r="F240" s="24">
        <f t="shared" si="8"/>
        <v>0</v>
      </c>
      <c r="G240" s="8">
        <f t="shared" si="9"/>
        <v>0</v>
      </c>
    </row>
    <row r="241" spans="6:7" x14ac:dyDescent="0.25">
      <c r="F241" s="24">
        <f t="shared" si="8"/>
        <v>0</v>
      </c>
      <c r="G241" s="8">
        <f t="shared" si="9"/>
        <v>0</v>
      </c>
    </row>
    <row r="242" spans="6:7" x14ac:dyDescent="0.25">
      <c r="F242" s="24">
        <f t="shared" si="8"/>
        <v>0</v>
      </c>
      <c r="G242" s="8">
        <f t="shared" si="9"/>
        <v>0</v>
      </c>
    </row>
    <row r="243" spans="6:7" x14ac:dyDescent="0.25">
      <c r="F243" s="24">
        <f t="shared" si="8"/>
        <v>0</v>
      </c>
      <c r="G243" s="8">
        <f t="shared" si="9"/>
        <v>0</v>
      </c>
    </row>
    <row r="244" spans="6:7" x14ac:dyDescent="0.25">
      <c r="F244" s="24">
        <f t="shared" si="8"/>
        <v>0</v>
      </c>
      <c r="G244" s="8">
        <f t="shared" si="9"/>
        <v>0</v>
      </c>
    </row>
    <row r="245" spans="6:7" x14ac:dyDescent="0.25">
      <c r="F245" s="24">
        <f t="shared" si="8"/>
        <v>0</v>
      </c>
      <c r="G245" s="8">
        <f t="shared" si="9"/>
        <v>0</v>
      </c>
    </row>
    <row r="246" spans="6:7" x14ac:dyDescent="0.25">
      <c r="F246" s="24">
        <f t="shared" si="8"/>
        <v>0</v>
      </c>
      <c r="G246" s="8">
        <f t="shared" si="9"/>
        <v>0</v>
      </c>
    </row>
    <row r="247" spans="6:7" x14ac:dyDescent="0.25">
      <c r="F247" s="24">
        <f t="shared" si="8"/>
        <v>0</v>
      </c>
      <c r="G247" s="8">
        <f t="shared" si="9"/>
        <v>0</v>
      </c>
    </row>
    <row r="248" spans="6:7" x14ac:dyDescent="0.25">
      <c r="F248" s="24">
        <f t="shared" si="8"/>
        <v>0</v>
      </c>
      <c r="G248" s="8">
        <f t="shared" si="9"/>
        <v>0</v>
      </c>
    </row>
    <row r="249" spans="6:7" x14ac:dyDescent="0.25">
      <c r="F249" s="24">
        <f t="shared" si="8"/>
        <v>0</v>
      </c>
      <c r="G249" s="8">
        <f t="shared" si="9"/>
        <v>0</v>
      </c>
    </row>
    <row r="250" spans="6:7" x14ac:dyDescent="0.25">
      <c r="F250" s="24">
        <f t="shared" si="8"/>
        <v>0</v>
      </c>
      <c r="G250" s="8">
        <f t="shared" si="9"/>
        <v>0</v>
      </c>
    </row>
    <row r="251" spans="6:7" x14ac:dyDescent="0.25">
      <c r="F251" s="24">
        <f t="shared" si="8"/>
        <v>0</v>
      </c>
      <c r="G251" s="8">
        <f t="shared" si="9"/>
        <v>0</v>
      </c>
    </row>
    <row r="252" spans="6:7" x14ac:dyDescent="0.25">
      <c r="F252" s="24">
        <f t="shared" si="8"/>
        <v>0</v>
      </c>
      <c r="G252" s="8">
        <f t="shared" si="9"/>
        <v>0</v>
      </c>
    </row>
    <row r="253" spans="6:7" x14ac:dyDescent="0.25">
      <c r="F253" s="24">
        <f t="shared" si="8"/>
        <v>0</v>
      </c>
      <c r="G253" s="8">
        <f t="shared" si="9"/>
        <v>0</v>
      </c>
    </row>
    <row r="254" spans="6:7" x14ac:dyDescent="0.25">
      <c r="F254" s="24">
        <f t="shared" si="8"/>
        <v>0</v>
      </c>
      <c r="G254" s="8">
        <f t="shared" si="9"/>
        <v>0</v>
      </c>
    </row>
    <row r="255" spans="6:7" x14ac:dyDescent="0.25">
      <c r="F255" s="24">
        <f t="shared" si="8"/>
        <v>0</v>
      </c>
      <c r="G255" s="8">
        <f t="shared" si="9"/>
        <v>0</v>
      </c>
    </row>
    <row r="256" spans="6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3" bestFit="1" customWidth="1"/>
  </cols>
  <sheetData>
    <row r="1" spans="1:16" ht="45.75" x14ac:dyDescent="0.3">
      <c r="A1" s="14" t="s">
        <v>25</v>
      </c>
      <c r="C1" s="82" t="s">
        <v>153</v>
      </c>
      <c r="D1" s="83" t="s">
        <v>154</v>
      </c>
      <c r="J1" s="35" t="s">
        <v>155</v>
      </c>
      <c r="K1" s="35" t="s">
        <v>80</v>
      </c>
      <c r="L1" s="35" t="s">
        <v>81</v>
      </c>
      <c r="O1" s="86" t="s">
        <v>156</v>
      </c>
    </row>
    <row r="2" spans="1:16" ht="15.75" thickBot="1" x14ac:dyDescent="0.3">
      <c r="A2" s="15">
        <v>42588</v>
      </c>
      <c r="B2" s="4"/>
      <c r="C2" s="84">
        <v>50</v>
      </c>
      <c r="D2" s="85">
        <v>25</v>
      </c>
      <c r="F2" t="s">
        <v>59</v>
      </c>
      <c r="J2" s="35"/>
      <c r="K2" s="35" t="s">
        <v>80</v>
      </c>
      <c r="L2" s="35" t="s">
        <v>81</v>
      </c>
    </row>
    <row r="3" spans="1:16" x14ac:dyDescent="0.25">
      <c r="F3" t="s">
        <v>60</v>
      </c>
      <c r="J3" s="36" t="s">
        <v>82</v>
      </c>
      <c r="K3" s="37">
        <v>2.7052</v>
      </c>
      <c r="L3" s="37">
        <v>2.7349999999999999</v>
      </c>
      <c r="M3" s="73">
        <f t="shared" ref="M3:M14" si="0">AVERAGE(K3:L3)</f>
        <v>2.7201</v>
      </c>
      <c r="O3" t="s">
        <v>157</v>
      </c>
      <c r="P3" s="73">
        <f>AVERAGE(1.0714,1.1016)</f>
        <v>1.0865</v>
      </c>
    </row>
    <row r="4" spans="1:16" x14ac:dyDescent="0.25">
      <c r="F4" t="s">
        <v>61</v>
      </c>
      <c r="J4" s="36" t="s">
        <v>83</v>
      </c>
      <c r="K4" s="37">
        <v>3.0830000000000002</v>
      </c>
      <c r="L4" s="37">
        <v>3.097</v>
      </c>
      <c r="M4" s="73">
        <f t="shared" si="0"/>
        <v>3.09</v>
      </c>
    </row>
    <row r="5" spans="1:16" x14ac:dyDescent="0.25">
      <c r="J5" s="36" t="s">
        <v>84</v>
      </c>
      <c r="K5" s="37">
        <v>3.3136000000000001</v>
      </c>
      <c r="L5" s="37">
        <v>3.3256999999999999</v>
      </c>
      <c r="M5" s="73">
        <f t="shared" si="0"/>
        <v>3.3196500000000002</v>
      </c>
    </row>
    <row r="6" spans="1:16" x14ac:dyDescent="0.25">
      <c r="J6" s="36" t="s">
        <v>85</v>
      </c>
      <c r="K6" s="37">
        <v>4.2778999999999998</v>
      </c>
      <c r="L6" s="37">
        <v>4.2961</v>
      </c>
      <c r="M6" s="73">
        <f t="shared" si="0"/>
        <v>4.2869999999999999</v>
      </c>
    </row>
    <row r="7" spans="1:16" x14ac:dyDescent="0.25">
      <c r="J7" s="36" t="s">
        <v>86</v>
      </c>
      <c r="K7" s="37">
        <v>4.7865000000000002</v>
      </c>
      <c r="L7" s="37">
        <v>4.8048000000000002</v>
      </c>
      <c r="M7" s="73">
        <f t="shared" si="0"/>
        <v>4.7956500000000002</v>
      </c>
    </row>
    <row r="8" spans="1:16" x14ac:dyDescent="0.25">
      <c r="J8" s="36" t="s">
        <v>87</v>
      </c>
      <c r="K8" s="37">
        <v>5.3155000000000001</v>
      </c>
      <c r="L8" s="37">
        <v>5.3277000000000001</v>
      </c>
      <c r="M8" s="73">
        <f t="shared" si="0"/>
        <v>5.3216000000000001</v>
      </c>
    </row>
    <row r="9" spans="1:16" x14ac:dyDescent="0.25">
      <c r="J9" s="36" t="s">
        <v>88</v>
      </c>
      <c r="K9" s="37">
        <v>5.8117000000000001</v>
      </c>
      <c r="L9" s="37">
        <v>5.8300999999999998</v>
      </c>
      <c r="M9" s="73">
        <f t="shared" si="0"/>
        <v>5.8209</v>
      </c>
    </row>
    <row r="10" spans="1:16" x14ac:dyDescent="0.25">
      <c r="J10" s="36" t="s">
        <v>89</v>
      </c>
      <c r="K10" s="37">
        <v>5.8783000000000003</v>
      </c>
      <c r="L10" s="37">
        <v>5.8903999999999996</v>
      </c>
      <c r="M10" s="73">
        <f t="shared" si="0"/>
        <v>5.8843499999999995</v>
      </c>
    </row>
    <row r="11" spans="1:16" x14ac:dyDescent="0.25">
      <c r="J11" s="36" t="s">
        <v>90</v>
      </c>
      <c r="K11" s="37">
        <v>6.3068</v>
      </c>
      <c r="L11" s="37">
        <v>6.3308999999999997</v>
      </c>
      <c r="M11" s="73">
        <f t="shared" si="0"/>
        <v>6.3188499999999994</v>
      </c>
    </row>
    <row r="12" spans="1:16" x14ac:dyDescent="0.25">
      <c r="J12" s="36" t="s">
        <v>91</v>
      </c>
      <c r="K12" s="37">
        <v>7.8349000000000002</v>
      </c>
      <c r="L12" s="37">
        <v>7.8468999999999998</v>
      </c>
      <c r="M12" s="73">
        <f t="shared" si="0"/>
        <v>7.8408999999999995</v>
      </c>
    </row>
    <row r="13" spans="1:16" x14ac:dyDescent="0.25">
      <c r="J13" s="36" t="s">
        <v>92</v>
      </c>
      <c r="K13" s="37">
        <v>10.373799999999999</v>
      </c>
      <c r="L13" s="37">
        <v>10.38</v>
      </c>
      <c r="M13" s="73">
        <f t="shared" si="0"/>
        <v>10.376899999999999</v>
      </c>
    </row>
    <row r="14" spans="1:16" x14ac:dyDescent="0.25">
      <c r="J14" s="36" t="s">
        <v>93</v>
      </c>
      <c r="K14" s="37">
        <v>10.8954</v>
      </c>
      <c r="L14" s="37">
        <v>10.913500000000001</v>
      </c>
      <c r="M14" s="73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114</v>
      </c>
      <c r="K18" s="37"/>
      <c r="L18" s="37"/>
      <c r="M18" s="73" t="str">
        <f>"""C:\Program Files (x86)\AstroGrep\AstroGrep.exe"""</f>
        <v>"C:\Program Files (x86)\AstroGrep\AstroGrep.exe"</v>
      </c>
    </row>
    <row r="19" spans="10:13" x14ac:dyDescent="0.25">
      <c r="J19" s="36" t="s">
        <v>115</v>
      </c>
      <c r="K19" s="37"/>
      <c r="L19" s="37"/>
      <c r="M19" s="73" t="s">
        <v>179</v>
      </c>
    </row>
    <row r="20" spans="10:13" x14ac:dyDescent="0.25">
      <c r="J20" t="s">
        <v>116</v>
      </c>
      <c r="M20" s="73" t="s">
        <v>174</v>
      </c>
    </row>
    <row r="21" spans="10:13" x14ac:dyDescent="0.25">
      <c r="J21" s="24" t="s">
        <v>119</v>
      </c>
      <c r="K21" s="24" t="s">
        <v>120</v>
      </c>
      <c r="M21" s="73" t="s">
        <v>120</v>
      </c>
    </row>
    <row r="22" spans="10:13" x14ac:dyDescent="0.25">
      <c r="J22" s="24" t="s">
        <v>121</v>
      </c>
      <c r="K22" s="24" t="s">
        <v>122</v>
      </c>
      <c r="M22" s="73" t="s">
        <v>178</v>
      </c>
    </row>
    <row r="23" spans="10:13" x14ac:dyDescent="0.25">
      <c r="J23" s="32" t="s">
        <v>124</v>
      </c>
      <c r="K23" s="24"/>
      <c r="M23" s="73">
        <v>-6</v>
      </c>
    </row>
    <row r="24" spans="10:13" x14ac:dyDescent="0.25">
      <c r="J24" s="24" t="s">
        <v>175</v>
      </c>
      <c r="K24" s="24"/>
      <c r="M24" s="73" t="s">
        <v>177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2016-08-09T15:31:14Z</dcterms:modified>
</cp:coreProperties>
</file>