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7" i="1" l="1"/>
  <c r="P141" i="1"/>
  <c r="P140" i="1"/>
  <c r="P138" i="1"/>
  <c r="P137" i="1"/>
  <c r="N133" i="1"/>
  <c r="N135" i="1"/>
  <c r="N136" i="1"/>
  <c r="S131" i="1"/>
  <c r="P131" i="1"/>
  <c r="X133" i="1"/>
  <c r="X134" i="1"/>
  <c r="X135" i="1"/>
  <c r="X136" i="1"/>
  <c r="M129" i="1"/>
  <c r="P129" i="1"/>
  <c r="X95" i="1"/>
  <c r="X9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R18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R24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S9" i="3" s="1"/>
  <c r="Y39" i="1"/>
  <c r="Z39" i="1"/>
  <c r="AB39" i="1"/>
  <c r="AC39" i="1"/>
  <c r="AD39" i="1"/>
  <c r="AG39" i="1" s="1"/>
  <c r="AE39" i="1"/>
  <c r="R9" i="3" s="1"/>
  <c r="AF39" i="1"/>
  <c r="AH39" i="1"/>
  <c r="AM39" i="1"/>
  <c r="AN39" i="1"/>
  <c r="K40" i="1"/>
  <c r="L40" i="1"/>
  <c r="M40" i="1"/>
  <c r="N40" i="1" s="1"/>
  <c r="V40" i="1"/>
  <c r="S26" i="3" s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S27" i="3" s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32" i="3" s="1"/>
  <c r="X49" i="1"/>
  <c r="Y49" i="1"/>
  <c r="Z49" i="1"/>
  <c r="AB49" i="1"/>
  <c r="AC49" i="1"/>
  <c r="AD49" i="1"/>
  <c r="T49" i="1" s="1"/>
  <c r="AE49" i="1"/>
  <c r="AF49" i="1"/>
  <c r="AG49" i="1"/>
  <c r="AH49" i="1"/>
  <c r="AM49" i="1"/>
  <c r="AN49" i="1"/>
  <c r="K50" i="1"/>
  <c r="L50" i="1"/>
  <c r="M50" i="1"/>
  <c r="N50" i="1" s="1"/>
  <c r="V50" i="1"/>
  <c r="S17" i="3" s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14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X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R10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S13" i="3" s="1"/>
  <c r="Y63" i="1"/>
  <c r="Z63" i="1"/>
  <c r="AB63" i="1"/>
  <c r="AC63" i="1"/>
  <c r="AD63" i="1"/>
  <c r="T63" i="1" s="1"/>
  <c r="AE63" i="1"/>
  <c r="R13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S11" i="3" s="1"/>
  <c r="Y65" i="1"/>
  <c r="Z65" i="1"/>
  <c r="AB65" i="1"/>
  <c r="AC65" i="1"/>
  <c r="AD65" i="1"/>
  <c r="AE65" i="1"/>
  <c r="R11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P69" i="1" s="1"/>
  <c r="V69" i="1"/>
  <c r="S25" i="3" s="1"/>
  <c r="Y69" i="1"/>
  <c r="Z69" i="1"/>
  <c r="AB69" i="1"/>
  <c r="AC69" i="1"/>
  <c r="AD69" i="1"/>
  <c r="AG69" i="1" s="1"/>
  <c r="AE69" i="1"/>
  <c r="R25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R22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R7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R16" i="3" s="1"/>
  <c r="AF86" i="1"/>
  <c r="AH86" i="1"/>
  <c r="AM86" i="1"/>
  <c r="AN86" i="1"/>
  <c r="K87" i="1"/>
  <c r="L87" i="1"/>
  <c r="M87" i="1"/>
  <c r="N87" i="1" s="1"/>
  <c r="T87" i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R33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29" i="3" s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W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W104" i="1" s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R30" i="3" s="1"/>
  <c r="AF106" i="1"/>
  <c r="AH106" i="1"/>
  <c r="AM106" i="1"/>
  <c r="AN106" i="1"/>
  <c r="K107" i="1"/>
  <c r="L107" i="1"/>
  <c r="M107" i="1"/>
  <c r="N107" i="1" s="1"/>
  <c r="V107" i="1"/>
  <c r="S34" i="3" s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W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X109" i="1"/>
  <c r="Y109" i="1"/>
  <c r="Z109" i="1"/>
  <c r="AA109" i="1" s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AM110" i="1"/>
  <c r="AN110" i="1"/>
  <c r="K111" i="1"/>
  <c r="L111" i="1"/>
  <c r="M111" i="1"/>
  <c r="N111" i="1" s="1"/>
  <c r="V111" i="1"/>
  <c r="S20" i="3" s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/>
  <c r="T112" i="1"/>
  <c r="V112" i="1"/>
  <c r="Y112" i="1"/>
  <c r="Z112" i="1"/>
  <c r="AA112" i="1" s="1"/>
  <c r="W112" i="1" s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X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/>
  <c r="V115" i="1"/>
  <c r="Y115" i="1"/>
  <c r="AA115" i="1" s="1"/>
  <c r="Z115" i="1"/>
  <c r="AB115" i="1"/>
  <c r="AC115" i="1"/>
  <c r="AD115" i="1"/>
  <c r="AG115" i="1" s="1"/>
  <c r="AI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W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P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P128" i="1" s="1"/>
  <c r="T128" i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28" i="1"/>
  <c r="AM128" i="1"/>
  <c r="AN128" i="1"/>
  <c r="K129" i="1"/>
  <c r="L129" i="1"/>
  <c r="V129" i="1"/>
  <c r="S8" i="3" s="1"/>
  <c r="Y129" i="1"/>
  <c r="Z129" i="1"/>
  <c r="AB129" i="1"/>
  <c r="AC129" i="1"/>
  <c r="AD129" i="1"/>
  <c r="X129" i="1" s="1"/>
  <c r="AE129" i="1"/>
  <c r="R8" i="3" s="1"/>
  <c r="AF129" i="1"/>
  <c r="AH129" i="1"/>
  <c r="AM129" i="1"/>
  <c r="AN129" i="1"/>
  <c r="K130" i="1"/>
  <c r="L130" i="1"/>
  <c r="M130" i="1"/>
  <c r="P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P134" i="1" s="1"/>
  <c r="V134" i="1"/>
  <c r="Y134" i="1"/>
  <c r="Z134" i="1"/>
  <c r="AA134" i="1" s="1"/>
  <c r="W134" i="1" s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V136" i="1"/>
  <c r="S19" i="3" s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31" i="3" s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R21" i="3" s="1"/>
  <c r="AF152" i="1"/>
  <c r="AH152" i="1"/>
  <c r="AM152" i="1"/>
  <c r="AN152" i="1"/>
  <c r="K153" i="1"/>
  <c r="L153" i="1"/>
  <c r="M153" i="1"/>
  <c r="N153" i="1"/>
  <c r="V153" i="1"/>
  <c r="Y153" i="1"/>
  <c r="Z153" i="1"/>
  <c r="AA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V157" i="1"/>
  <c r="Y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G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0" i="1"/>
  <c r="AM180" i="1"/>
  <c r="AN18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1" i="1"/>
  <c r="AM181" i="1"/>
  <c r="AN18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2" i="1"/>
  <c r="AM182" i="1"/>
  <c r="AN18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3" i="1"/>
  <c r="AM183" i="1"/>
  <c r="AN18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4" i="1"/>
  <c r="AM184" i="1"/>
  <c r="AN184" i="1"/>
  <c r="K165" i="1"/>
  <c r="L165" i="1"/>
  <c r="M165" i="1"/>
  <c r="N165" i="1" s="1"/>
  <c r="V165" i="1"/>
  <c r="S41" i="3" s="1"/>
  <c r="Y165" i="1"/>
  <c r="Z165" i="1"/>
  <c r="AA165" i="1" s="1"/>
  <c r="W165" i="1" s="1"/>
  <c r="AB165" i="1"/>
  <c r="AC165" i="1"/>
  <c r="AD165" i="1"/>
  <c r="AG165" i="1" s="1"/>
  <c r="AE165" i="1"/>
  <c r="R41" i="3" s="1"/>
  <c r="AF165" i="1"/>
  <c r="AH185" i="1"/>
  <c r="AM185" i="1"/>
  <c r="AN185" i="1"/>
  <c r="K166" i="1"/>
  <c r="L166" i="1"/>
  <c r="M166" i="1"/>
  <c r="N166" i="1" s="1"/>
  <c r="T166" i="1"/>
  <c r="V166" i="1"/>
  <c r="Y166" i="1"/>
  <c r="Z166" i="1"/>
  <c r="AB166" i="1"/>
  <c r="AC166" i="1"/>
  <c r="AD166" i="1"/>
  <c r="AG166" i="1" s="1"/>
  <c r="AE166" i="1"/>
  <c r="AF166" i="1"/>
  <c r="AH186" i="1"/>
  <c r="AM186" i="1"/>
  <c r="AN18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7" i="1"/>
  <c r="AM187" i="1"/>
  <c r="AN18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8" i="1"/>
  <c r="AM188" i="1"/>
  <c r="AN188" i="1"/>
  <c r="K169" i="1"/>
  <c r="L169" i="1"/>
  <c r="M169" i="1"/>
  <c r="N169" i="1" s="1"/>
  <c r="V169" i="1"/>
  <c r="S42" i="3" s="1"/>
  <c r="Y169" i="1"/>
  <c r="Z169" i="1"/>
  <c r="AB169" i="1"/>
  <c r="AC169" i="1"/>
  <c r="AD169" i="1"/>
  <c r="AG169" i="1" s="1"/>
  <c r="AE169" i="1"/>
  <c r="AF169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90" i="1"/>
  <c r="AM190" i="1"/>
  <c r="AN19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91" i="1"/>
  <c r="AM191" i="1"/>
  <c r="AN191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92" i="1"/>
  <c r="AM192" i="1"/>
  <c r="AN19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93" i="1"/>
  <c r="AM193" i="1"/>
  <c r="AN19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6" i="1"/>
  <c r="AM196" i="1"/>
  <c r="AN196" i="1"/>
  <c r="K172" i="1"/>
  <c r="L172" i="1"/>
  <c r="M172" i="1"/>
  <c r="N172" i="1"/>
  <c r="V172" i="1"/>
  <c r="S38" i="3" s="1"/>
  <c r="Y172" i="1"/>
  <c r="Z172" i="1"/>
  <c r="AB172" i="1"/>
  <c r="AC172" i="1"/>
  <c r="AD172" i="1"/>
  <c r="AG172" i="1" s="1"/>
  <c r="AE172" i="1"/>
  <c r="AF172" i="1"/>
  <c r="AH197" i="1"/>
  <c r="AM197" i="1"/>
  <c r="AN197" i="1"/>
  <c r="K173" i="1"/>
  <c r="L173" i="1"/>
  <c r="M173" i="1"/>
  <c r="N173" i="1" s="1"/>
  <c r="T173" i="1"/>
  <c r="V173" i="1"/>
  <c r="Y173" i="1"/>
  <c r="Z173" i="1"/>
  <c r="AB173" i="1"/>
  <c r="AC173" i="1"/>
  <c r="AD173" i="1"/>
  <c r="AE173" i="1"/>
  <c r="AF173" i="1"/>
  <c r="AG173" i="1"/>
  <c r="AI173" i="1" s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200" i="1"/>
  <c r="AM200" i="1"/>
  <c r="AN200" i="1"/>
  <c r="K176" i="1"/>
  <c r="L176" i="1"/>
  <c r="M176" i="1"/>
  <c r="N176" i="1" s="1"/>
  <c r="V176" i="1"/>
  <c r="S39" i="3" s="1"/>
  <c r="Y176" i="1"/>
  <c r="Z176" i="1"/>
  <c r="AB176" i="1"/>
  <c r="AC176" i="1"/>
  <c r="AD176" i="1"/>
  <c r="AG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3" i="1"/>
  <c r="AM203" i="1"/>
  <c r="AN20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4" i="1"/>
  <c r="AM204" i="1"/>
  <c r="AN204" i="1"/>
  <c r="K180" i="1"/>
  <c r="L180" i="1"/>
  <c r="M180" i="1"/>
  <c r="N180" i="1" s="1"/>
  <c r="V180" i="1"/>
  <c r="Y180" i="1"/>
  <c r="Z180" i="1"/>
  <c r="AA180" i="1" s="1"/>
  <c r="AB180" i="1"/>
  <c r="AC180" i="1"/>
  <c r="AD180" i="1"/>
  <c r="AG180" i="1" s="1"/>
  <c r="AE180" i="1"/>
  <c r="AF180" i="1"/>
  <c r="AH205" i="1"/>
  <c r="AM205" i="1"/>
  <c r="AN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1" i="1"/>
  <c r="AM211" i="1"/>
  <c r="AN21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2" i="1"/>
  <c r="AM212" i="1"/>
  <c r="AN212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3" i="1"/>
  <c r="AM223" i="1"/>
  <c r="AN223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8" i="1"/>
  <c r="AM228" i="1"/>
  <c r="AN22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9" i="1"/>
  <c r="AM229" i="1"/>
  <c r="AN22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0" i="1"/>
  <c r="AM230" i="1"/>
  <c r="AN230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231" i="1"/>
  <c r="AM231" i="1"/>
  <c r="AN231" i="1"/>
  <c r="K238" i="1"/>
  <c r="L238" i="1"/>
  <c r="M238" i="1"/>
  <c r="N238" i="1" s="1"/>
  <c r="T238" i="1"/>
  <c r="V238" i="1"/>
  <c r="Y238" i="1"/>
  <c r="Z238" i="1"/>
  <c r="AB238" i="1"/>
  <c r="AC238" i="1"/>
  <c r="AD238" i="1"/>
  <c r="AG238" i="1" s="1"/>
  <c r="AE238" i="1"/>
  <c r="AF238" i="1"/>
  <c r="AH232" i="1"/>
  <c r="AM232" i="1"/>
  <c r="AN232" i="1"/>
  <c r="K239" i="1"/>
  <c r="L239" i="1"/>
  <c r="M239" i="1"/>
  <c r="N239" i="1" s="1"/>
  <c r="T239" i="1"/>
  <c r="V239" i="1"/>
  <c r="X239" i="1"/>
  <c r="Y239" i="1"/>
  <c r="Z239" i="1"/>
  <c r="AB239" i="1"/>
  <c r="AC239" i="1"/>
  <c r="AD239" i="1"/>
  <c r="AE239" i="1"/>
  <c r="AF239" i="1"/>
  <c r="AG239" i="1"/>
  <c r="AH233" i="1"/>
  <c r="AM233" i="1"/>
  <c r="AN233" i="1"/>
  <c r="K219" i="1"/>
  <c r="L219" i="1"/>
  <c r="M219" i="1"/>
  <c r="N219" i="1" s="1"/>
  <c r="V219" i="1"/>
  <c r="S46" i="3" s="1"/>
  <c r="Y219" i="1"/>
  <c r="Z219" i="1"/>
  <c r="AB219" i="1"/>
  <c r="AC219" i="1"/>
  <c r="AD219" i="1"/>
  <c r="T219" i="1" s="1"/>
  <c r="AE219" i="1"/>
  <c r="AF219" i="1"/>
  <c r="AH234" i="1"/>
  <c r="AM234" i="1"/>
  <c r="AN234" i="1"/>
  <c r="K220" i="1"/>
  <c r="L220" i="1"/>
  <c r="M220" i="1"/>
  <c r="N220" i="1" s="1"/>
  <c r="V220" i="1"/>
  <c r="Y220" i="1"/>
  <c r="Z220" i="1"/>
  <c r="AB220" i="1"/>
  <c r="AC220" i="1"/>
  <c r="AD220" i="1"/>
  <c r="AE220" i="1"/>
  <c r="R43" i="3" s="1"/>
  <c r="AF220" i="1"/>
  <c r="AH235" i="1"/>
  <c r="AM235" i="1"/>
  <c r="AN235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6" i="1"/>
  <c r="AM236" i="1"/>
  <c r="AN236" i="1"/>
  <c r="K222" i="1"/>
  <c r="L222" i="1"/>
  <c r="M222" i="1"/>
  <c r="N222" i="1" s="1"/>
  <c r="V222" i="1"/>
  <c r="S45" i="3" s="1"/>
  <c r="Y222" i="1"/>
  <c r="Z222" i="1"/>
  <c r="AB222" i="1"/>
  <c r="AC222" i="1"/>
  <c r="AD222" i="1"/>
  <c r="AE222" i="1"/>
  <c r="R45" i="3" s="1"/>
  <c r="AF222" i="1"/>
  <c r="AH237" i="1"/>
  <c r="AM237" i="1"/>
  <c r="AN237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8" i="1"/>
  <c r="AM238" i="1"/>
  <c r="AN23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M46" i="3"/>
  <c r="R46" i="3"/>
  <c r="U46" i="3"/>
  <c r="T46" i="3" s="1"/>
  <c r="V46" i="3"/>
  <c r="W46" i="3"/>
  <c r="X46" i="3"/>
  <c r="M36" i="3"/>
  <c r="S36" i="3"/>
  <c r="U36" i="3"/>
  <c r="T36" i="3" s="1"/>
  <c r="V36" i="3"/>
  <c r="W36" i="3"/>
  <c r="X36" i="3"/>
  <c r="AC36" i="3"/>
  <c r="M37" i="3"/>
  <c r="S37" i="3"/>
  <c r="U37" i="3"/>
  <c r="AC37" i="3" s="1"/>
  <c r="V37" i="3"/>
  <c r="W37" i="3"/>
  <c r="X37" i="3"/>
  <c r="M18" i="3"/>
  <c r="S18" i="3"/>
  <c r="U18" i="3"/>
  <c r="AC18" i="3" s="1"/>
  <c r="V18" i="3"/>
  <c r="W18" i="3"/>
  <c r="Y18" i="3" s="1"/>
  <c r="X18" i="3"/>
  <c r="M40" i="3"/>
  <c r="R40" i="3"/>
  <c r="S40" i="3"/>
  <c r="U40" i="3"/>
  <c r="AC40" i="3" s="1"/>
  <c r="V40" i="3"/>
  <c r="W40" i="3"/>
  <c r="X40" i="3"/>
  <c r="M43" i="3"/>
  <c r="S43" i="3"/>
  <c r="U43" i="3"/>
  <c r="T43" i="3" s="1"/>
  <c r="V43" i="3"/>
  <c r="W43" i="3"/>
  <c r="X43" i="3"/>
  <c r="AC43" i="3"/>
  <c r="M24" i="3"/>
  <c r="S24" i="3"/>
  <c r="U24" i="3"/>
  <c r="AC24" i="3" s="1"/>
  <c r="V24" i="3"/>
  <c r="W24" i="3"/>
  <c r="X24" i="3"/>
  <c r="Y24" i="3"/>
  <c r="M41" i="3"/>
  <c r="U41" i="3"/>
  <c r="AC41" i="3" s="1"/>
  <c r="V41" i="3"/>
  <c r="W41" i="3"/>
  <c r="X41" i="3"/>
  <c r="M9" i="3"/>
  <c r="U9" i="3"/>
  <c r="AC9" i="3" s="1"/>
  <c r="V9" i="3"/>
  <c r="W9" i="3"/>
  <c r="X9" i="3"/>
  <c r="M42" i="3"/>
  <c r="R42" i="3"/>
  <c r="U42" i="3"/>
  <c r="V42" i="3"/>
  <c r="W42" i="3"/>
  <c r="X42" i="3"/>
  <c r="AC42" i="3"/>
  <c r="M26" i="3"/>
  <c r="R26" i="3"/>
  <c r="U26" i="3"/>
  <c r="AC26" i="3" s="1"/>
  <c r="V26" i="3"/>
  <c r="W26" i="3"/>
  <c r="Y26" i="3" s="1"/>
  <c r="X26" i="3"/>
  <c r="M23" i="3"/>
  <c r="R23" i="3"/>
  <c r="U23" i="3"/>
  <c r="AC23" i="3" s="1"/>
  <c r="V23" i="3"/>
  <c r="W23" i="3"/>
  <c r="X23" i="3"/>
  <c r="M32" i="3"/>
  <c r="R32" i="3"/>
  <c r="U32" i="3"/>
  <c r="V32" i="3"/>
  <c r="W32" i="3"/>
  <c r="X32" i="3"/>
  <c r="M38" i="3"/>
  <c r="R38" i="3"/>
  <c r="U38" i="3"/>
  <c r="T38" i="3" s="1"/>
  <c r="V38" i="3"/>
  <c r="W38" i="3"/>
  <c r="X38" i="3"/>
  <c r="AC38" i="3"/>
  <c r="M27" i="3"/>
  <c r="R27" i="3"/>
  <c r="U27" i="3"/>
  <c r="V27" i="3"/>
  <c r="W27" i="3"/>
  <c r="X27" i="3"/>
  <c r="M17" i="3"/>
  <c r="R17" i="3"/>
  <c r="U17" i="3"/>
  <c r="AC17" i="3" s="1"/>
  <c r="V17" i="3"/>
  <c r="W17" i="3"/>
  <c r="X17" i="3"/>
  <c r="M10" i="3"/>
  <c r="S10" i="3"/>
  <c r="U10" i="3"/>
  <c r="AC10" i="3" s="1"/>
  <c r="V10" i="3"/>
  <c r="W10" i="3"/>
  <c r="X10" i="3"/>
  <c r="M13" i="3"/>
  <c r="U13" i="3"/>
  <c r="T13" i="3" s="1"/>
  <c r="V13" i="3"/>
  <c r="W13" i="3"/>
  <c r="X13" i="3"/>
  <c r="AC13" i="3"/>
  <c r="M11" i="3"/>
  <c r="U11" i="3"/>
  <c r="AD26" i="3" s="1"/>
  <c r="V11" i="3"/>
  <c r="W11" i="3"/>
  <c r="Y11" i="3" s="1"/>
  <c r="X11" i="3"/>
  <c r="M14" i="3"/>
  <c r="S14" i="3"/>
  <c r="U14" i="3"/>
  <c r="AC14" i="3" s="1"/>
  <c r="V14" i="3"/>
  <c r="W14" i="3"/>
  <c r="X14" i="3"/>
  <c r="M39" i="3"/>
  <c r="R39" i="3"/>
  <c r="U39" i="3"/>
  <c r="AC39" i="3" s="1"/>
  <c r="V39" i="3"/>
  <c r="W39" i="3"/>
  <c r="X39" i="3"/>
  <c r="M25" i="3"/>
  <c r="U25" i="3"/>
  <c r="AD25" i="3" s="1"/>
  <c r="V25" i="3"/>
  <c r="W25" i="3"/>
  <c r="X25" i="3"/>
  <c r="AC25" i="3"/>
  <c r="M7" i="3"/>
  <c r="S7" i="3"/>
  <c r="U7" i="3"/>
  <c r="V7" i="3"/>
  <c r="W7" i="3"/>
  <c r="X7" i="3"/>
  <c r="M22" i="3"/>
  <c r="S22" i="3"/>
  <c r="U22" i="3"/>
  <c r="AC22" i="3" s="1"/>
  <c r="V22" i="3"/>
  <c r="W22" i="3"/>
  <c r="X22" i="3"/>
  <c r="M16" i="3"/>
  <c r="S16" i="3"/>
  <c r="U16" i="3"/>
  <c r="AC16" i="3" s="1"/>
  <c r="V16" i="3"/>
  <c r="W16" i="3"/>
  <c r="Y16" i="3" s="1"/>
  <c r="X16" i="3"/>
  <c r="M33" i="3"/>
  <c r="S33" i="3"/>
  <c r="U33" i="3"/>
  <c r="AD33" i="3" s="1"/>
  <c r="V33" i="3"/>
  <c r="W33" i="3"/>
  <c r="X33" i="3"/>
  <c r="AC33" i="3"/>
  <c r="M28" i="3"/>
  <c r="R28" i="3"/>
  <c r="S28" i="3"/>
  <c r="U28" i="3"/>
  <c r="V28" i="3"/>
  <c r="AE28" i="3" s="1"/>
  <c r="W28" i="3"/>
  <c r="Y28" i="3" s="1"/>
  <c r="X28" i="3"/>
  <c r="AC28" i="3"/>
  <c r="M45" i="3"/>
  <c r="U45" i="3"/>
  <c r="AC45" i="3" s="1"/>
  <c r="V45" i="3"/>
  <c r="W45" i="3"/>
  <c r="X45" i="3"/>
  <c r="M29" i="3"/>
  <c r="R29" i="3"/>
  <c r="U29" i="3"/>
  <c r="V29" i="3"/>
  <c r="W29" i="3"/>
  <c r="X29" i="3"/>
  <c r="AD36" i="3"/>
  <c r="AE36" i="3"/>
  <c r="M20" i="3"/>
  <c r="R20" i="3"/>
  <c r="U20" i="3"/>
  <c r="T20" i="3" s="1"/>
  <c r="V20" i="3"/>
  <c r="W20" i="3"/>
  <c r="X20" i="3"/>
  <c r="AC20" i="3"/>
  <c r="M34" i="3"/>
  <c r="R34" i="3"/>
  <c r="U34" i="3"/>
  <c r="V34" i="3"/>
  <c r="W34" i="3"/>
  <c r="X34" i="3"/>
  <c r="M30" i="3"/>
  <c r="S30" i="3"/>
  <c r="U30" i="3"/>
  <c r="AC30" i="3" s="1"/>
  <c r="V30" i="3"/>
  <c r="W30" i="3"/>
  <c r="X30" i="3"/>
  <c r="Y30" i="3"/>
  <c r="M8" i="3"/>
  <c r="U8" i="3"/>
  <c r="AC8" i="3" s="1"/>
  <c r="V8" i="3"/>
  <c r="W8" i="3"/>
  <c r="X8" i="3"/>
  <c r="AD40" i="3"/>
  <c r="M35" i="3"/>
  <c r="R35" i="3"/>
  <c r="S35" i="3"/>
  <c r="U35" i="3"/>
  <c r="T35" i="3" s="1"/>
  <c r="V35" i="3"/>
  <c r="AE41" i="3" s="1"/>
  <c r="W35" i="3"/>
  <c r="X35" i="3"/>
  <c r="AC35" i="3"/>
  <c r="AD41" i="3"/>
  <c r="M19" i="3"/>
  <c r="U19" i="3"/>
  <c r="AD42" i="3" s="1"/>
  <c r="V19" i="3"/>
  <c r="W19" i="3"/>
  <c r="X19" i="3"/>
  <c r="M15" i="3"/>
  <c r="S15" i="3"/>
  <c r="U15" i="3"/>
  <c r="AC15" i="3" s="1"/>
  <c r="V15" i="3"/>
  <c r="W15" i="3"/>
  <c r="X15" i="3"/>
  <c r="M21" i="3"/>
  <c r="S21" i="3"/>
  <c r="U21" i="3"/>
  <c r="AC21" i="3" s="1"/>
  <c r="V21" i="3"/>
  <c r="W21" i="3"/>
  <c r="X21" i="3"/>
  <c r="M12" i="3"/>
  <c r="R12" i="3"/>
  <c r="U12" i="3"/>
  <c r="V12" i="3"/>
  <c r="W12" i="3"/>
  <c r="X12" i="3"/>
  <c r="AC12" i="3"/>
  <c r="M31" i="3"/>
  <c r="R31" i="3"/>
  <c r="U31" i="3"/>
  <c r="V31" i="3"/>
  <c r="W31" i="3"/>
  <c r="X31" i="3"/>
  <c r="T39" i="3" l="1"/>
  <c r="AA199" i="1"/>
  <c r="AG196" i="1"/>
  <c r="U196" i="1" s="1"/>
  <c r="X196" i="1"/>
  <c r="W175" i="1"/>
  <c r="AA216" i="1"/>
  <c r="AG118" i="1"/>
  <c r="AI118" i="1" s="1"/>
  <c r="X118" i="1"/>
  <c r="S12" i="3"/>
  <c r="AD38" i="3"/>
  <c r="Y38" i="3"/>
  <c r="X238" i="1"/>
  <c r="AG162" i="1"/>
  <c r="X231" i="1"/>
  <c r="Y12" i="3"/>
  <c r="Y45" i="3"/>
  <c r="AA221" i="1"/>
  <c r="AA193" i="1"/>
  <c r="AG91" i="1"/>
  <c r="X83" i="1"/>
  <c r="AA81" i="1"/>
  <c r="AG70" i="1"/>
  <c r="AI69" i="1"/>
  <c r="AI57" i="1"/>
  <c r="AA52" i="1"/>
  <c r="X37" i="1"/>
  <c r="AI35" i="1"/>
  <c r="AA23" i="1"/>
  <c r="AA19" i="1"/>
  <c r="X96" i="1"/>
  <c r="X98" i="1"/>
  <c r="X94" i="1"/>
  <c r="X90" i="1"/>
  <c r="X91" i="1"/>
  <c r="AG223" i="1"/>
  <c r="U223" i="1" s="1"/>
  <c r="S223" i="1" s="1"/>
  <c r="Y22" i="3"/>
  <c r="Y27" i="3"/>
  <c r="X222" i="1"/>
  <c r="AG67" i="1"/>
  <c r="U67" i="1" s="1"/>
  <c r="S67" i="1" s="1"/>
  <c r="X67" i="1"/>
  <c r="AG62" i="1"/>
  <c r="AI62" i="1" s="1"/>
  <c r="X62" i="1"/>
  <c r="X97" i="1"/>
  <c r="AC29" i="3"/>
  <c r="T29" i="3"/>
  <c r="AC32" i="3"/>
  <c r="AD32" i="3"/>
  <c r="S23" i="3"/>
  <c r="AA133" i="1"/>
  <c r="X21" i="1"/>
  <c r="AG21" i="1"/>
  <c r="W21" i="1" s="1"/>
  <c r="T21" i="1"/>
  <c r="W115" i="1"/>
  <c r="AD24" i="3"/>
  <c r="X146" i="1"/>
  <c r="R19" i="3"/>
  <c r="R15" i="3"/>
  <c r="AI86" i="1"/>
  <c r="AG66" i="1"/>
  <c r="U66" i="1" s="1"/>
  <c r="S66" i="1" s="1"/>
  <c r="T66" i="1"/>
  <c r="AI64" i="1"/>
  <c r="AG20" i="1"/>
  <c r="AI20" i="1" s="1"/>
  <c r="X20" i="1"/>
  <c r="AG204" i="1"/>
  <c r="U204" i="1" s="1"/>
  <c r="X204" i="1"/>
  <c r="X182" i="1"/>
  <c r="AG181" i="1"/>
  <c r="AI181" i="1" s="1"/>
  <c r="X181" i="1"/>
  <c r="AA171" i="1"/>
  <c r="R36" i="3"/>
  <c r="R37" i="3"/>
  <c r="AA208" i="1"/>
  <c r="AA149" i="1"/>
  <c r="AI124" i="1"/>
  <c r="X87" i="1"/>
  <c r="AG87" i="1"/>
  <c r="T78" i="1"/>
  <c r="AG78" i="1"/>
  <c r="U78" i="1" s="1"/>
  <c r="S78" i="1" s="1"/>
  <c r="AG61" i="1"/>
  <c r="AI61" i="1" s="1"/>
  <c r="T61" i="1"/>
  <c r="X54" i="1"/>
  <c r="T54" i="1"/>
  <c r="Y14" i="3"/>
  <c r="Y23" i="3"/>
  <c r="Y46" i="3"/>
  <c r="AD46" i="3"/>
  <c r="Y8" i="3"/>
  <c r="Y29" i="3"/>
  <c r="T33" i="3"/>
  <c r="Y7" i="3"/>
  <c r="Y41" i="3"/>
  <c r="Y37" i="3"/>
  <c r="Y36" i="3"/>
  <c r="AA169" i="1"/>
  <c r="W169" i="1" s="1"/>
  <c r="AA166" i="1"/>
  <c r="W166" i="1" s="1"/>
  <c r="X165" i="1"/>
  <c r="AA226" i="1"/>
  <c r="W226" i="1" s="1"/>
  <c r="X209" i="1"/>
  <c r="AA154" i="1"/>
  <c r="X150" i="1"/>
  <c r="AA148" i="1"/>
  <c r="AA146" i="1"/>
  <c r="AA145" i="1"/>
  <c r="AA141" i="1"/>
  <c r="AA137" i="1"/>
  <c r="AA131" i="1"/>
  <c r="W131" i="1" s="1"/>
  <c r="AA129" i="1"/>
  <c r="X128" i="1"/>
  <c r="AA126" i="1"/>
  <c r="AA117" i="1"/>
  <c r="AG97" i="1"/>
  <c r="AI97" i="1" s="1"/>
  <c r="AA91" i="1"/>
  <c r="AA80" i="1"/>
  <c r="X75" i="1"/>
  <c r="AG74" i="1"/>
  <c r="AI74" i="1" s="1"/>
  <c r="AA73" i="1"/>
  <c r="AA60" i="1"/>
  <c r="AG58" i="1"/>
  <c r="AI58" i="1" s="1"/>
  <c r="X58" i="1"/>
  <c r="AA53" i="1"/>
  <c r="AG51" i="1"/>
  <c r="AA48" i="1"/>
  <c r="W48" i="1" s="1"/>
  <c r="AI44" i="1"/>
  <c r="AA35" i="1"/>
  <c r="W35" i="1" s="1"/>
  <c r="AG33" i="1"/>
  <c r="AI33" i="1" s="1"/>
  <c r="Y19" i="3"/>
  <c r="Y13" i="3"/>
  <c r="X203" i="1"/>
  <c r="X195" i="1"/>
  <c r="AA237" i="1"/>
  <c r="AI213" i="1"/>
  <c r="AA211" i="1"/>
  <c r="W211" i="1" s="1"/>
  <c r="AA158" i="1"/>
  <c r="W158" i="1" s="1"/>
  <c r="X138" i="1"/>
  <c r="AA125" i="1"/>
  <c r="AA93" i="1"/>
  <c r="AI90" i="1"/>
  <c r="AA86" i="1"/>
  <c r="W86" i="1" s="1"/>
  <c r="X79" i="1"/>
  <c r="AA69" i="1"/>
  <c r="W69" i="1" s="1"/>
  <c r="AA57" i="1"/>
  <c r="X29" i="1"/>
  <c r="AA29" i="1"/>
  <c r="W29" i="1" s="1"/>
  <c r="X17" i="1"/>
  <c r="AA15" i="1"/>
  <c r="T186" i="1"/>
  <c r="X186" i="1"/>
  <c r="AG186" i="1"/>
  <c r="AI186" i="1" s="1"/>
  <c r="T222" i="1"/>
  <c r="T221" i="1"/>
  <c r="AA238" i="1"/>
  <c r="W238" i="1" s="1"/>
  <c r="AG205" i="1"/>
  <c r="AI205" i="1" s="1"/>
  <c r="T203" i="1"/>
  <c r="AG200" i="1"/>
  <c r="U200" i="1" s="1"/>
  <c r="X200" i="1"/>
  <c r="AA195" i="1"/>
  <c r="AG193" i="1"/>
  <c r="AI193" i="1" s="1"/>
  <c r="X192" i="1"/>
  <c r="T189" i="1"/>
  <c r="AG189" i="1"/>
  <c r="AI189" i="1" s="1"/>
  <c r="W180" i="1"/>
  <c r="T237" i="1"/>
  <c r="X237" i="1"/>
  <c r="AG237" i="1"/>
  <c r="T233" i="1"/>
  <c r="X233" i="1"/>
  <c r="AG233" i="1"/>
  <c r="U233" i="1" s="1"/>
  <c r="S233" i="1" s="1"/>
  <c r="X221" i="1"/>
  <c r="T199" i="1"/>
  <c r="T185" i="1"/>
  <c r="X185" i="1"/>
  <c r="AG185" i="1"/>
  <c r="AI185" i="1" s="1"/>
  <c r="U239" i="1"/>
  <c r="AG222" i="1"/>
  <c r="AG219" i="1"/>
  <c r="U219" i="1" s="1"/>
  <c r="S219" i="1" s="1"/>
  <c r="AA203" i="1"/>
  <c r="W203" i="1" s="1"/>
  <c r="X199" i="1"/>
  <c r="T195" i="1"/>
  <c r="AA192" i="1"/>
  <c r="W192" i="1" s="1"/>
  <c r="T174" i="1"/>
  <c r="X174" i="1"/>
  <c r="AG174" i="1"/>
  <c r="AI174" i="1" s="1"/>
  <c r="T170" i="1"/>
  <c r="X170" i="1"/>
  <c r="AG170" i="1"/>
  <c r="W216" i="1"/>
  <c r="AA50" i="1"/>
  <c r="AA49" i="1"/>
  <c r="W49" i="1" s="1"/>
  <c r="AA16" i="1"/>
  <c r="AA188" i="1"/>
  <c r="W188" i="1" s="1"/>
  <c r="AA183" i="1"/>
  <c r="AA179" i="1"/>
  <c r="W179" i="1" s="1"/>
  <c r="AA177" i="1"/>
  <c r="X234" i="1"/>
  <c r="AA232" i="1"/>
  <c r="T231" i="1"/>
  <c r="AA228" i="1"/>
  <c r="AA227" i="1"/>
  <c r="W227" i="1" s="1"/>
  <c r="X216" i="1"/>
  <c r="AA159" i="1"/>
  <c r="X155" i="1"/>
  <c r="AG151" i="1"/>
  <c r="X151" i="1"/>
  <c r="AG147" i="1"/>
  <c r="X147" i="1"/>
  <c r="AG143" i="1"/>
  <c r="X143" i="1"/>
  <c r="AG132" i="1"/>
  <c r="U132" i="1" s="1"/>
  <c r="X132" i="1"/>
  <c r="AA123" i="1"/>
  <c r="AI120" i="1"/>
  <c r="AG114" i="1"/>
  <c r="X114" i="1"/>
  <c r="AA111" i="1"/>
  <c r="AI108" i="1"/>
  <c r="AG101" i="1"/>
  <c r="U101" i="1" s="1"/>
  <c r="S101" i="1" s="1"/>
  <c r="AI99" i="1"/>
  <c r="AA96" i="1"/>
  <c r="W96" i="1" s="1"/>
  <c r="T96" i="1"/>
  <c r="U96" i="1" s="1"/>
  <c r="S96" i="1" s="1"/>
  <c r="AA95" i="1"/>
  <c r="AG93" i="1"/>
  <c r="AI93" i="1" s="1"/>
  <c r="AA88" i="1"/>
  <c r="AA85" i="1"/>
  <c r="X82" i="1"/>
  <c r="T79" i="1"/>
  <c r="AA74" i="1"/>
  <c r="AA64" i="1"/>
  <c r="W64" i="1" s="1"/>
  <c r="T57" i="1"/>
  <c r="AG54" i="1"/>
  <c r="AI53" i="1"/>
  <c r="AA44" i="1"/>
  <c r="W44" i="1" s="1"/>
  <c r="T37" i="1"/>
  <c r="T36" i="1"/>
  <c r="U33" i="1"/>
  <c r="X32" i="1"/>
  <c r="AA28" i="1"/>
  <c r="AA25" i="1"/>
  <c r="AA22" i="1"/>
  <c r="AA20" i="1"/>
  <c r="W20" i="1" s="1"/>
  <c r="AI162" i="1"/>
  <c r="X227" i="1"/>
  <c r="T213" i="1"/>
  <c r="U91" i="1"/>
  <c r="S91" i="1" s="1"/>
  <c r="AA59" i="1"/>
  <c r="X44" i="1"/>
  <c r="X33" i="1"/>
  <c r="AA31" i="1"/>
  <c r="AA186" i="1"/>
  <c r="AA182" i="1"/>
  <c r="AA181" i="1"/>
  <c r="W181" i="1" s="1"/>
  <c r="AA176" i="1"/>
  <c r="W176" i="1" s="1"/>
  <c r="AA173" i="1"/>
  <c r="AA233" i="1"/>
  <c r="AI169" i="1"/>
  <c r="AI165" i="1"/>
  <c r="AA161" i="1"/>
  <c r="W161" i="1" s="1"/>
  <c r="AG232" i="1"/>
  <c r="X232" i="1"/>
  <c r="AG231" i="1"/>
  <c r="AA229" i="1"/>
  <c r="AA225" i="1"/>
  <c r="W225" i="1" s="1"/>
  <c r="T217" i="1"/>
  <c r="U217" i="1" s="1"/>
  <c r="S217" i="1" s="1"/>
  <c r="AG159" i="1"/>
  <c r="X159" i="1"/>
  <c r="AA151" i="1"/>
  <c r="W151" i="1" s="1"/>
  <c r="AA147" i="1"/>
  <c r="AG142" i="1"/>
  <c r="AI142" i="1" s="1"/>
  <c r="AA138" i="1"/>
  <c r="AI134" i="1"/>
  <c r="AA132" i="1"/>
  <c r="AG129" i="1"/>
  <c r="AI129" i="1" s="1"/>
  <c r="X126" i="1"/>
  <c r="AG125" i="1"/>
  <c r="X125" i="1"/>
  <c r="AG117" i="1"/>
  <c r="AA114" i="1"/>
  <c r="AI104" i="1"/>
  <c r="AA97" i="1"/>
  <c r="W97" i="1" s="1"/>
  <c r="AA94" i="1"/>
  <c r="AA90" i="1"/>
  <c r="W90" i="1" s="1"/>
  <c r="AA89" i="1"/>
  <c r="X86" i="1"/>
  <c r="AG79" i="1"/>
  <c r="AA78" i="1"/>
  <c r="W78" i="1" s="1"/>
  <c r="AA65" i="1"/>
  <c r="U58" i="1"/>
  <c r="S58" i="1" s="1"/>
  <c r="W57" i="1"/>
  <c r="AA47" i="1"/>
  <c r="T45" i="1"/>
  <c r="T41" i="1"/>
  <c r="U41" i="1" s="1"/>
  <c r="S41" i="1" s="1"/>
  <c r="AA40" i="1"/>
  <c r="AG38" i="1"/>
  <c r="X38" i="1"/>
  <c r="AG37" i="1"/>
  <c r="AI37" i="1" s="1"/>
  <c r="AA32" i="1"/>
  <c r="W32" i="1" s="1"/>
  <c r="AA27" i="1"/>
  <c r="AA24" i="1"/>
  <c r="AA17" i="1"/>
  <c r="AI217" i="1"/>
  <c r="W177" i="1"/>
  <c r="AI158" i="1"/>
  <c r="U151" i="1"/>
  <c r="S151" i="1" s="1"/>
  <c r="U147" i="1"/>
  <c r="AI177" i="1"/>
  <c r="U159" i="1"/>
  <c r="AA224" i="1"/>
  <c r="AA223" i="1"/>
  <c r="AA222" i="1"/>
  <c r="W222" i="1" s="1"/>
  <c r="AA220" i="1"/>
  <c r="AA219" i="1"/>
  <c r="W219" i="1" s="1"/>
  <c r="AA239" i="1"/>
  <c r="W239" i="1" s="1"/>
  <c r="AA206" i="1"/>
  <c r="AA205" i="1"/>
  <c r="AA204" i="1"/>
  <c r="W204" i="1" s="1"/>
  <c r="AA202" i="1"/>
  <c r="AA201" i="1"/>
  <c r="AA200" i="1"/>
  <c r="W200" i="1" s="1"/>
  <c r="AA198" i="1"/>
  <c r="AA197" i="1"/>
  <c r="AA196" i="1"/>
  <c r="AA191" i="1"/>
  <c r="W191" i="1" s="1"/>
  <c r="T180" i="1"/>
  <c r="U180" i="1" s="1"/>
  <c r="S180" i="1" s="1"/>
  <c r="T177" i="1"/>
  <c r="U177" i="1" s="1"/>
  <c r="S177" i="1" s="1"/>
  <c r="X176" i="1"/>
  <c r="AA172" i="1"/>
  <c r="W172" i="1" s="1"/>
  <c r="AA170" i="1"/>
  <c r="W170" i="1" s="1"/>
  <c r="T236" i="1"/>
  <c r="AA234" i="1"/>
  <c r="AA168" i="1"/>
  <c r="W168" i="1" s="1"/>
  <c r="AG163" i="1"/>
  <c r="U163" i="1" s="1"/>
  <c r="S163" i="1" s="1"/>
  <c r="X163" i="1"/>
  <c r="AA162" i="1"/>
  <c r="W162" i="1" s="1"/>
  <c r="AA160" i="1"/>
  <c r="W160" i="1" s="1"/>
  <c r="AA231" i="1"/>
  <c r="W231" i="1" s="1"/>
  <c r="AA230" i="1"/>
  <c r="W230" i="1" s="1"/>
  <c r="X226" i="1"/>
  <c r="AG210" i="1"/>
  <c r="U210" i="1" s="1"/>
  <c r="X210" i="1"/>
  <c r="T158" i="1"/>
  <c r="U158" i="1" s="1"/>
  <c r="S158" i="1" s="1"/>
  <c r="AA157" i="1"/>
  <c r="AA156" i="1"/>
  <c r="AA155" i="1"/>
  <c r="W155" i="1" s="1"/>
  <c r="T155" i="1"/>
  <c r="AG154" i="1"/>
  <c r="AI154" i="1" s="1"/>
  <c r="AG150" i="1"/>
  <c r="AI150" i="1" s="1"/>
  <c r="AG146" i="1"/>
  <c r="AI146" i="1" s="1"/>
  <c r="X142" i="1"/>
  <c r="AG139" i="1"/>
  <c r="X139" i="1"/>
  <c r="W109" i="1"/>
  <c r="U45" i="1"/>
  <c r="S45" i="1" s="1"/>
  <c r="AI45" i="1"/>
  <c r="U222" i="1"/>
  <c r="T184" i="1"/>
  <c r="U184" i="1" s="1"/>
  <c r="S184" i="1" s="1"/>
  <c r="W173" i="1"/>
  <c r="W171" i="1"/>
  <c r="AA236" i="1"/>
  <c r="W236" i="1" s="1"/>
  <c r="X169" i="1"/>
  <c r="U166" i="1"/>
  <c r="S166" i="1" s="1"/>
  <c r="U227" i="1"/>
  <c r="S227" i="1" s="1"/>
  <c r="W215" i="1"/>
  <c r="T209" i="1"/>
  <c r="X154" i="1"/>
  <c r="T138" i="1"/>
  <c r="T134" i="1"/>
  <c r="U134" i="1" s="1"/>
  <c r="S134" i="1" s="1"/>
  <c r="AI109" i="1"/>
  <c r="AG201" i="1"/>
  <c r="AI201" i="1" s="1"/>
  <c r="AG197" i="1"/>
  <c r="AI197" i="1" s="1"/>
  <c r="AG190" i="1"/>
  <c r="AI190" i="1" s="1"/>
  <c r="X190" i="1"/>
  <c r="AA189" i="1"/>
  <c r="AA187" i="1"/>
  <c r="W187" i="1" s="1"/>
  <c r="AA185" i="1"/>
  <c r="W185" i="1" s="1"/>
  <c r="AA184" i="1"/>
  <c r="W184" i="1" s="1"/>
  <c r="X180" i="1"/>
  <c r="AA164" i="1"/>
  <c r="W164" i="1" s="1"/>
  <c r="T226" i="1"/>
  <c r="U226" i="1" s="1"/>
  <c r="S226" i="1" s="1"/>
  <c r="AI170" i="1"/>
  <c r="W217" i="1"/>
  <c r="AA212" i="1"/>
  <c r="W212" i="1" s="1"/>
  <c r="AA210" i="1"/>
  <c r="W210" i="1" s="1"/>
  <c r="AG209" i="1"/>
  <c r="AG155" i="1"/>
  <c r="U155" i="1" s="1"/>
  <c r="S155" i="1" s="1"/>
  <c r="AA140" i="1"/>
  <c r="AA139" i="1"/>
  <c r="W139" i="1" s="1"/>
  <c r="AG138" i="1"/>
  <c r="AI138" i="1" s="1"/>
  <c r="AG135" i="1"/>
  <c r="U135" i="1" s="1"/>
  <c r="S135" i="1" s="1"/>
  <c r="AI131" i="1"/>
  <c r="T130" i="1"/>
  <c r="X130" i="1"/>
  <c r="AG130" i="1"/>
  <c r="U193" i="1"/>
  <c r="S193" i="1" s="1"/>
  <c r="T169" i="1"/>
  <c r="U169" i="1" s="1"/>
  <c r="S169" i="1" s="1"/>
  <c r="T230" i="1"/>
  <c r="AG214" i="1"/>
  <c r="AI214" i="1" s="1"/>
  <c r="X214" i="1"/>
  <c r="AA213" i="1"/>
  <c r="W213" i="1" s="1"/>
  <c r="U142" i="1"/>
  <c r="U117" i="1"/>
  <c r="W117" i="1"/>
  <c r="T113" i="1"/>
  <c r="T108" i="1"/>
  <c r="T82" i="1"/>
  <c r="T75" i="1"/>
  <c r="U49" i="1"/>
  <c r="S49" i="1" s="1"/>
  <c r="AA30" i="1"/>
  <c r="T29" i="1"/>
  <c r="AG25" i="1"/>
  <c r="U25" i="1" s="1"/>
  <c r="X25" i="1"/>
  <c r="T24" i="1"/>
  <c r="T17" i="1"/>
  <c r="T129" i="1"/>
  <c r="U129" i="1" s="1"/>
  <c r="S129" i="1" s="1"/>
  <c r="T124" i="1"/>
  <c r="AA121" i="1"/>
  <c r="AG113" i="1"/>
  <c r="AA110" i="1"/>
  <c r="AA107" i="1"/>
  <c r="AG105" i="1"/>
  <c r="W105" i="1" s="1"/>
  <c r="AA98" i="1"/>
  <c r="AI96" i="1"/>
  <c r="T93" i="1"/>
  <c r="U93" i="1" s="1"/>
  <c r="S93" i="1" s="1"/>
  <c r="T86" i="1"/>
  <c r="U86" i="1" s="1"/>
  <c r="S86" i="1" s="1"/>
  <c r="AA84" i="1"/>
  <c r="AA83" i="1"/>
  <c r="T83" i="1"/>
  <c r="U83" i="1" s="1"/>
  <c r="S83" i="1" s="1"/>
  <c r="AG82" i="1"/>
  <c r="AI82" i="1" s="1"/>
  <c r="U79" i="1"/>
  <c r="X78" i="1"/>
  <c r="AG75" i="1"/>
  <c r="X74" i="1"/>
  <c r="AG63" i="1"/>
  <c r="U63" i="1" s="1"/>
  <c r="S63" i="1" s="1"/>
  <c r="X63" i="1"/>
  <c r="AA62" i="1"/>
  <c r="W62" i="1" s="1"/>
  <c r="AA61" i="1"/>
  <c r="AA58" i="1"/>
  <c r="W58" i="1" s="1"/>
  <c r="T48" i="1"/>
  <c r="U48" i="1" s="1"/>
  <c r="S48" i="1" s="1"/>
  <c r="W45" i="1"/>
  <c r="AA39" i="1"/>
  <c r="W39" i="1" s="1"/>
  <c r="T28" i="1"/>
  <c r="AG17" i="1"/>
  <c r="U17" i="1" s="1"/>
  <c r="T16" i="1"/>
  <c r="U16" i="1" s="1"/>
  <c r="S16" i="1" s="1"/>
  <c r="AA14" i="1"/>
  <c r="AG121" i="1"/>
  <c r="AI112" i="1"/>
  <c r="T109" i="1"/>
  <c r="U109" i="1" s="1"/>
  <c r="S109" i="1" s="1"/>
  <c r="X108" i="1"/>
  <c r="T90" i="1"/>
  <c r="U90" i="1" s="1"/>
  <c r="S90" i="1" s="1"/>
  <c r="AI49" i="1"/>
  <c r="AG42" i="1"/>
  <c r="X42" i="1"/>
  <c r="AA41" i="1"/>
  <c r="W41" i="1" s="1"/>
  <c r="AA37" i="1"/>
  <c r="AA36" i="1"/>
  <c r="W36" i="1" s="1"/>
  <c r="AG34" i="1"/>
  <c r="W34" i="1" s="1"/>
  <c r="X34" i="1"/>
  <c r="AA33" i="1"/>
  <c r="AG29" i="1"/>
  <c r="AA26" i="1"/>
  <c r="X24" i="1"/>
  <c r="AA21" i="1"/>
  <c r="T20" i="1"/>
  <c r="AA136" i="1"/>
  <c r="AA130" i="1"/>
  <c r="W130" i="1" s="1"/>
  <c r="AI128" i="1"/>
  <c r="X124" i="1"/>
  <c r="AA116" i="1"/>
  <c r="X112" i="1"/>
  <c r="AG102" i="1"/>
  <c r="X102" i="1"/>
  <c r="AA101" i="1"/>
  <c r="AG98" i="1"/>
  <c r="U98" i="1" s="1"/>
  <c r="S98" i="1" s="1"/>
  <c r="AG83" i="1"/>
  <c r="AI83" i="1" s="1"/>
  <c r="AA76" i="1"/>
  <c r="AA75" i="1"/>
  <c r="AA72" i="1"/>
  <c r="AA70" i="1"/>
  <c r="W70" i="1" s="1"/>
  <c r="AA63" i="1"/>
  <c r="AA56" i="1"/>
  <c r="AA54" i="1"/>
  <c r="W54" i="1" s="1"/>
  <c r="T53" i="1"/>
  <c r="X48" i="1"/>
  <c r="U38" i="1"/>
  <c r="U37" i="1"/>
  <c r="S37" i="1" s="1"/>
  <c r="T32" i="1"/>
  <c r="U32" i="1" s="1"/>
  <c r="S32" i="1" s="1"/>
  <c r="X28" i="1"/>
  <c r="AA18" i="1"/>
  <c r="X16" i="1"/>
  <c r="W221" i="1"/>
  <c r="W199" i="1"/>
  <c r="W195" i="1"/>
  <c r="AI236" i="1"/>
  <c r="U221" i="1"/>
  <c r="S221" i="1" s="1"/>
  <c r="U238" i="1"/>
  <c r="S238" i="1" s="1"/>
  <c r="U203" i="1"/>
  <c r="S203" i="1" s="1"/>
  <c r="U199" i="1"/>
  <c r="S199" i="1" s="1"/>
  <c r="U195" i="1"/>
  <c r="S195" i="1" s="1"/>
  <c r="AI172" i="1"/>
  <c r="AI204" i="1"/>
  <c r="AI188" i="1"/>
  <c r="T194" i="1"/>
  <c r="AI215" i="1"/>
  <c r="T207" i="1"/>
  <c r="X207" i="1"/>
  <c r="T157" i="1"/>
  <c r="X157" i="1"/>
  <c r="AG157" i="1"/>
  <c r="AI156" i="1"/>
  <c r="T144" i="1"/>
  <c r="X144" i="1"/>
  <c r="AG144" i="1"/>
  <c r="AI139" i="1"/>
  <c r="AG224" i="1"/>
  <c r="AI224" i="1" s="1"/>
  <c r="S239" i="1"/>
  <c r="S204" i="1"/>
  <c r="X201" i="1"/>
  <c r="AI225" i="1"/>
  <c r="AG194" i="1"/>
  <c r="AI194" i="1" s="1"/>
  <c r="X194" i="1"/>
  <c r="X189" i="1"/>
  <c r="AI212" i="1"/>
  <c r="T182" i="1"/>
  <c r="AG178" i="1"/>
  <c r="AI178" i="1" s="1"/>
  <c r="X178" i="1"/>
  <c r="X173" i="1"/>
  <c r="T172" i="1"/>
  <c r="U172" i="1" s="1"/>
  <c r="S172" i="1" s="1"/>
  <c r="X236" i="1"/>
  <c r="T235" i="1"/>
  <c r="X235" i="1"/>
  <c r="T234" i="1"/>
  <c r="AG167" i="1"/>
  <c r="X167" i="1"/>
  <c r="X162" i="1"/>
  <c r="T161" i="1"/>
  <c r="U161" i="1" s="1"/>
  <c r="S161" i="1" s="1"/>
  <c r="AI180" i="1"/>
  <c r="X230" i="1"/>
  <c r="T229" i="1"/>
  <c r="X229" i="1"/>
  <c r="T228" i="1"/>
  <c r="AG218" i="1"/>
  <c r="AI218" i="1" s="1"/>
  <c r="X218" i="1"/>
  <c r="X213" i="1"/>
  <c r="T212" i="1"/>
  <c r="U212" i="1" s="1"/>
  <c r="S212" i="1" s="1"/>
  <c r="AI164" i="1"/>
  <c r="T208" i="1"/>
  <c r="X208" i="1"/>
  <c r="AG208" i="1"/>
  <c r="W208" i="1" s="1"/>
  <c r="AG207" i="1"/>
  <c r="T148" i="1"/>
  <c r="X148" i="1"/>
  <c r="AG148" i="1"/>
  <c r="W148" i="1" s="1"/>
  <c r="AI143" i="1"/>
  <c r="AA135" i="1"/>
  <c r="X122" i="1"/>
  <c r="AG122" i="1"/>
  <c r="AI119" i="1"/>
  <c r="X106" i="1"/>
  <c r="AG106" i="1"/>
  <c r="AI103" i="1"/>
  <c r="T92" i="1"/>
  <c r="AG92" i="1"/>
  <c r="T88" i="1"/>
  <c r="X88" i="1"/>
  <c r="AG88" i="1"/>
  <c r="T72" i="1"/>
  <c r="X72" i="1"/>
  <c r="AG72" i="1"/>
  <c r="U201" i="1"/>
  <c r="S201" i="1" s="1"/>
  <c r="U197" i="1"/>
  <c r="S197" i="1" s="1"/>
  <c r="T179" i="1"/>
  <c r="U179" i="1" s="1"/>
  <c r="S179" i="1" s="1"/>
  <c r="X179" i="1"/>
  <c r="AI199" i="1"/>
  <c r="U173" i="1"/>
  <c r="S173" i="1" s="1"/>
  <c r="T168" i="1"/>
  <c r="U168" i="1" s="1"/>
  <c r="S168" i="1" s="1"/>
  <c r="X168" i="1"/>
  <c r="U162" i="1"/>
  <c r="S162" i="1" s="1"/>
  <c r="T225" i="1"/>
  <c r="U225" i="1" s="1"/>
  <c r="S225" i="1" s="1"/>
  <c r="X225" i="1"/>
  <c r="AI167" i="1"/>
  <c r="U213" i="1"/>
  <c r="S213" i="1" s="1"/>
  <c r="AI155" i="1"/>
  <c r="AI67" i="1"/>
  <c r="AA66" i="1"/>
  <c r="X223" i="1"/>
  <c r="S222" i="1"/>
  <c r="AG220" i="1"/>
  <c r="AI220" i="1" s="1"/>
  <c r="X219" i="1"/>
  <c r="AI233" i="1"/>
  <c r="AG206" i="1"/>
  <c r="AI206" i="1" s="1"/>
  <c r="X205" i="1"/>
  <c r="AG202" i="1"/>
  <c r="AI202" i="1" s="1"/>
  <c r="S200" i="1"/>
  <c r="AG198" i="1"/>
  <c r="AI198" i="1" s="1"/>
  <c r="X197" i="1"/>
  <c r="AI221" i="1"/>
  <c r="S196" i="1"/>
  <c r="T188" i="1"/>
  <c r="U188" i="1" s="1"/>
  <c r="S188" i="1" s="1"/>
  <c r="AI210" i="1"/>
  <c r="X184" i="1"/>
  <c r="T183" i="1"/>
  <c r="X183" i="1"/>
  <c r="X224" i="1"/>
  <c r="AI238" i="1"/>
  <c r="X220" i="1"/>
  <c r="T220" i="1"/>
  <c r="X206" i="1"/>
  <c r="T206" i="1"/>
  <c r="AI230" i="1"/>
  <c r="X202" i="1"/>
  <c r="T202" i="1"/>
  <c r="AI226" i="1"/>
  <c r="X198" i="1"/>
  <c r="T198" i="1"/>
  <c r="AI222" i="1"/>
  <c r="X193" i="1"/>
  <c r="T192" i="1"/>
  <c r="U192" i="1" s="1"/>
  <c r="S192" i="1" s="1"/>
  <c r="AI216" i="1"/>
  <c r="AA190" i="1"/>
  <c r="X188" i="1"/>
  <c r="T187" i="1"/>
  <c r="U187" i="1" s="1"/>
  <c r="S187" i="1" s="1"/>
  <c r="X187" i="1"/>
  <c r="AG183" i="1"/>
  <c r="AI183" i="1" s="1"/>
  <c r="AG182" i="1"/>
  <c r="X177" i="1"/>
  <c r="T176" i="1"/>
  <c r="U176" i="1" s="1"/>
  <c r="S176" i="1" s="1"/>
  <c r="AI200" i="1"/>
  <c r="AA174" i="1"/>
  <c r="W174" i="1" s="1"/>
  <c r="X172" i="1"/>
  <c r="T171" i="1"/>
  <c r="U171" i="1" s="1"/>
  <c r="S171" i="1" s="1"/>
  <c r="X171" i="1"/>
  <c r="AG235" i="1"/>
  <c r="W235" i="1" s="1"/>
  <c r="AG234" i="1"/>
  <c r="W234" i="1" s="1"/>
  <c r="X166" i="1"/>
  <c r="T165" i="1"/>
  <c r="U165" i="1" s="1"/>
  <c r="S165" i="1" s="1"/>
  <c r="AI184" i="1"/>
  <c r="AA163" i="1"/>
  <c r="X161" i="1"/>
  <c r="T160" i="1"/>
  <c r="U160" i="1" s="1"/>
  <c r="S160" i="1" s="1"/>
  <c r="X160" i="1"/>
  <c r="AG229" i="1"/>
  <c r="AI229" i="1" s="1"/>
  <c r="AG228" i="1"/>
  <c r="AI228" i="1" s="1"/>
  <c r="X217" i="1"/>
  <c r="T216" i="1"/>
  <c r="U216" i="1" s="1"/>
  <c r="S216" i="1" s="1"/>
  <c r="AI168" i="1"/>
  <c r="AA214" i="1"/>
  <c r="U214" i="1"/>
  <c r="S214" i="1" s="1"/>
  <c r="AI166" i="1"/>
  <c r="X212" i="1"/>
  <c r="T211" i="1"/>
  <c r="U211" i="1" s="1"/>
  <c r="S211" i="1" s="1"/>
  <c r="X211" i="1"/>
  <c r="S159" i="1"/>
  <c r="AI159" i="1"/>
  <c r="X158" i="1"/>
  <c r="W156" i="1"/>
  <c r="T152" i="1"/>
  <c r="X152" i="1"/>
  <c r="AG152" i="1"/>
  <c r="W152" i="1" s="1"/>
  <c r="U150" i="1"/>
  <c r="S150" i="1" s="1"/>
  <c r="S147" i="1"/>
  <c r="U139" i="1"/>
  <c r="T136" i="1"/>
  <c r="AG136" i="1"/>
  <c r="AI132" i="1"/>
  <c r="T123" i="1"/>
  <c r="X123" i="1"/>
  <c r="AG123" i="1"/>
  <c r="W123" i="1" s="1"/>
  <c r="U118" i="1"/>
  <c r="S118" i="1" s="1"/>
  <c r="T107" i="1"/>
  <c r="X107" i="1"/>
  <c r="AG107" i="1"/>
  <c r="AI102" i="1"/>
  <c r="U102" i="1"/>
  <c r="S102" i="1" s="1"/>
  <c r="AA194" i="1"/>
  <c r="T191" i="1"/>
  <c r="U191" i="1" s="1"/>
  <c r="S191" i="1" s="1"/>
  <c r="X191" i="1"/>
  <c r="AI211" i="1"/>
  <c r="AA178" i="1"/>
  <c r="W178" i="1" s="1"/>
  <c r="T175" i="1"/>
  <c r="U175" i="1" s="1"/>
  <c r="S175" i="1" s="1"/>
  <c r="X175" i="1"/>
  <c r="AI195" i="1"/>
  <c r="U236" i="1"/>
  <c r="S236" i="1" s="1"/>
  <c r="AA167" i="1"/>
  <c r="T164" i="1"/>
  <c r="U164" i="1" s="1"/>
  <c r="S164" i="1" s="1"/>
  <c r="X164" i="1"/>
  <c r="AI179" i="1"/>
  <c r="U230" i="1"/>
  <c r="S230" i="1" s="1"/>
  <c r="AA218" i="1"/>
  <c r="T215" i="1"/>
  <c r="U215" i="1" s="1"/>
  <c r="S215" i="1" s="1"/>
  <c r="X215" i="1"/>
  <c r="S210" i="1"/>
  <c r="AA207" i="1"/>
  <c r="W207" i="1" s="1"/>
  <c r="T156" i="1"/>
  <c r="U156" i="1" s="1"/>
  <c r="S156" i="1" s="1"/>
  <c r="X156" i="1"/>
  <c r="U154" i="1"/>
  <c r="S154" i="1" s="1"/>
  <c r="AI151" i="1"/>
  <c r="W144" i="1"/>
  <c r="AA143" i="1"/>
  <c r="W143" i="1" s="1"/>
  <c r="U143" i="1"/>
  <c r="S143" i="1" s="1"/>
  <c r="T140" i="1"/>
  <c r="X140" i="1"/>
  <c r="AG140" i="1"/>
  <c r="U138" i="1"/>
  <c r="S138" i="1" s="1"/>
  <c r="T122" i="1"/>
  <c r="AA119" i="1"/>
  <c r="W119" i="1" s="1"/>
  <c r="S117" i="1"/>
  <c r="AI117" i="1"/>
  <c r="AG116" i="1"/>
  <c r="X116" i="1"/>
  <c r="T116" i="1"/>
  <c r="X117" i="1"/>
  <c r="T106" i="1"/>
  <c r="AA103" i="1"/>
  <c r="W103" i="1" s="1"/>
  <c r="AG100" i="1"/>
  <c r="W100" i="1" s="1"/>
  <c r="X100" i="1"/>
  <c r="T100" i="1"/>
  <c r="X101" i="1"/>
  <c r="U53" i="1"/>
  <c r="S53" i="1" s="1"/>
  <c r="T127" i="1"/>
  <c r="X127" i="1"/>
  <c r="T126" i="1"/>
  <c r="U121" i="1"/>
  <c r="S121" i="1" s="1"/>
  <c r="T111" i="1"/>
  <c r="X111" i="1"/>
  <c r="T110" i="1"/>
  <c r="U105" i="1"/>
  <c r="S105" i="1" s="1"/>
  <c r="T95" i="1"/>
  <c r="T94" i="1"/>
  <c r="AI87" i="1"/>
  <c r="AA79" i="1"/>
  <c r="W79" i="1" s="1"/>
  <c r="T76" i="1"/>
  <c r="X76" i="1"/>
  <c r="AG76" i="1"/>
  <c r="W76" i="1" s="1"/>
  <c r="AA68" i="1"/>
  <c r="W68" i="1" s="1"/>
  <c r="AI66" i="1"/>
  <c r="AG65" i="1"/>
  <c r="W65" i="1" s="1"/>
  <c r="X65" i="1"/>
  <c r="T65" i="1"/>
  <c r="X66" i="1"/>
  <c r="AI55" i="1"/>
  <c r="AI43" i="1"/>
  <c r="AI29" i="1"/>
  <c r="U29" i="1"/>
  <c r="S29" i="1" s="1"/>
  <c r="U20" i="1"/>
  <c r="S20" i="1" s="1"/>
  <c r="AG153" i="1"/>
  <c r="AG149" i="1"/>
  <c r="AG145" i="1"/>
  <c r="AG141" i="1"/>
  <c r="W141" i="1" s="1"/>
  <c r="AG137" i="1"/>
  <c r="AG133" i="1"/>
  <c r="T131" i="1"/>
  <c r="U131" i="1" s="1"/>
  <c r="X131" i="1"/>
  <c r="AG127" i="1"/>
  <c r="AG126" i="1"/>
  <c r="U124" i="1"/>
  <c r="S124" i="1" s="1"/>
  <c r="X121" i="1"/>
  <c r="T120" i="1"/>
  <c r="U120" i="1" s="1"/>
  <c r="S120" i="1" s="1"/>
  <c r="AA118" i="1"/>
  <c r="T115" i="1"/>
  <c r="U115" i="1" s="1"/>
  <c r="S115" i="1" s="1"/>
  <c r="X115" i="1"/>
  <c r="AG111" i="1"/>
  <c r="W111" i="1" s="1"/>
  <c r="AG110" i="1"/>
  <c r="U108" i="1"/>
  <c r="S108" i="1" s="1"/>
  <c r="X105" i="1"/>
  <c r="T104" i="1"/>
  <c r="U104" i="1" s="1"/>
  <c r="S104" i="1" s="1"/>
  <c r="AA102" i="1"/>
  <c r="W102" i="1" s="1"/>
  <c r="T99" i="1"/>
  <c r="U99" i="1" s="1"/>
  <c r="S99" i="1" s="1"/>
  <c r="AG95" i="1"/>
  <c r="AG94" i="1"/>
  <c r="AI91" i="1"/>
  <c r="T80" i="1"/>
  <c r="X80" i="1"/>
  <c r="AG80" i="1"/>
  <c r="AI75" i="1"/>
  <c r="U62" i="1"/>
  <c r="S62" i="1" s="1"/>
  <c r="AI51" i="1"/>
  <c r="U51" i="1"/>
  <c r="S51" i="1" s="1"/>
  <c r="X153" i="1"/>
  <c r="X149" i="1"/>
  <c r="X145" i="1"/>
  <c r="X141" i="1"/>
  <c r="X137" i="1"/>
  <c r="AI130" i="1"/>
  <c r="U128" i="1"/>
  <c r="S128" i="1" s="1"/>
  <c r="AA122" i="1"/>
  <c r="AI121" i="1"/>
  <c r="X120" i="1"/>
  <c r="T119" i="1"/>
  <c r="U119" i="1" s="1"/>
  <c r="S119" i="1" s="1"/>
  <c r="X119" i="1"/>
  <c r="U112" i="1"/>
  <c r="S112" i="1" s="1"/>
  <c r="AA106" i="1"/>
  <c r="W106" i="1" s="1"/>
  <c r="AI105" i="1"/>
  <c r="X104" i="1"/>
  <c r="T103" i="1"/>
  <c r="U103" i="1" s="1"/>
  <c r="S103" i="1" s="1"/>
  <c r="X103" i="1"/>
  <c r="AI98" i="1"/>
  <c r="AA92" i="1"/>
  <c r="W92" i="1" s="1"/>
  <c r="W88" i="1"/>
  <c r="AA87" i="1"/>
  <c r="W87" i="1" s="1"/>
  <c r="U87" i="1"/>
  <c r="S87" i="1" s="1"/>
  <c r="T84" i="1"/>
  <c r="X84" i="1"/>
  <c r="AG84" i="1"/>
  <c r="W84" i="1" s="1"/>
  <c r="U82" i="1"/>
  <c r="S82" i="1" s="1"/>
  <c r="S79" i="1"/>
  <c r="AI79" i="1"/>
  <c r="W72" i="1"/>
  <c r="X71" i="1"/>
  <c r="AG71" i="1"/>
  <c r="AI68" i="1"/>
  <c r="T56" i="1"/>
  <c r="X56" i="1"/>
  <c r="AG56" i="1"/>
  <c r="X57" i="1"/>
  <c r="W53" i="1"/>
  <c r="U70" i="1"/>
  <c r="S70" i="1" s="1"/>
  <c r="X61" i="1"/>
  <c r="T60" i="1"/>
  <c r="X60" i="1"/>
  <c r="T59" i="1"/>
  <c r="X46" i="1"/>
  <c r="AG46" i="1"/>
  <c r="AI42" i="1"/>
  <c r="U42" i="1"/>
  <c r="S42" i="1" s="1"/>
  <c r="AI21" i="1"/>
  <c r="AG89" i="1"/>
  <c r="AG85" i="1"/>
  <c r="AG81" i="1"/>
  <c r="AG77" i="1"/>
  <c r="AG73" i="1"/>
  <c r="X70" i="1"/>
  <c r="T69" i="1"/>
  <c r="U69" i="1" s="1"/>
  <c r="S69" i="1" s="1"/>
  <c r="AA67" i="1"/>
  <c r="T64" i="1"/>
  <c r="U64" i="1" s="1"/>
  <c r="S64" i="1" s="1"/>
  <c r="X64" i="1"/>
  <c r="AG60" i="1"/>
  <c r="W60" i="1" s="1"/>
  <c r="AG59" i="1"/>
  <c r="W59" i="1" s="1"/>
  <c r="AA55" i="1"/>
  <c r="W55" i="1" s="1"/>
  <c r="AA51" i="1"/>
  <c r="W51" i="1" s="1"/>
  <c r="T47" i="1"/>
  <c r="X47" i="1"/>
  <c r="AG47" i="1"/>
  <c r="AA43" i="1"/>
  <c r="W43" i="1" s="1"/>
  <c r="AI41" i="1"/>
  <c r="AG40" i="1"/>
  <c r="X40" i="1"/>
  <c r="T40" i="1"/>
  <c r="X41" i="1"/>
  <c r="X89" i="1"/>
  <c r="X85" i="1"/>
  <c r="X81" i="1"/>
  <c r="X77" i="1"/>
  <c r="X73" i="1"/>
  <c r="AA71" i="1"/>
  <c r="AI70" i="1"/>
  <c r="X69" i="1"/>
  <c r="T68" i="1"/>
  <c r="U68" i="1" s="1"/>
  <c r="S68" i="1" s="1"/>
  <c r="X68" i="1"/>
  <c r="AI63" i="1"/>
  <c r="U57" i="1"/>
  <c r="S57" i="1" s="1"/>
  <c r="T55" i="1"/>
  <c r="U55" i="1" s="1"/>
  <c r="S55" i="1" s="1"/>
  <c r="X55" i="1"/>
  <c r="X53" i="1"/>
  <c r="T52" i="1"/>
  <c r="X52" i="1"/>
  <c r="AG52" i="1"/>
  <c r="W52" i="1" s="1"/>
  <c r="T46" i="1"/>
  <c r="U28" i="1"/>
  <c r="S28" i="1" s="1"/>
  <c r="AI28" i="1"/>
  <c r="AI54" i="1"/>
  <c r="X51" i="1"/>
  <c r="T50" i="1"/>
  <c r="AI39" i="1"/>
  <c r="AA38" i="1"/>
  <c r="W38" i="1" s="1"/>
  <c r="X36" i="1"/>
  <c r="T35" i="1"/>
  <c r="U35" i="1" s="1"/>
  <c r="S35" i="1" s="1"/>
  <c r="X35" i="1"/>
  <c r="W33" i="1"/>
  <c r="T26" i="1"/>
  <c r="X26" i="1"/>
  <c r="AG26" i="1"/>
  <c r="W24" i="1"/>
  <c r="T18" i="1"/>
  <c r="X18" i="1"/>
  <c r="AG18" i="1"/>
  <c r="W18" i="1" s="1"/>
  <c r="W16" i="1"/>
  <c r="AG50" i="1"/>
  <c r="X45" i="1"/>
  <c r="T44" i="1"/>
  <c r="U44" i="1" s="1"/>
  <c r="S44" i="1" s="1"/>
  <c r="AA42" i="1"/>
  <c r="W42" i="1" s="1"/>
  <c r="T39" i="1"/>
  <c r="U39" i="1" s="1"/>
  <c r="S39" i="1" s="1"/>
  <c r="X39" i="1"/>
  <c r="AI34" i="1"/>
  <c r="S33" i="1"/>
  <c r="AI32" i="1"/>
  <c r="S25" i="1"/>
  <c r="U24" i="1"/>
  <c r="S24" i="1" s="1"/>
  <c r="AI24" i="1"/>
  <c r="S17" i="1"/>
  <c r="AI16" i="1"/>
  <c r="T14" i="1"/>
  <c r="AG14" i="1"/>
  <c r="AA46" i="1"/>
  <c r="T43" i="1"/>
  <c r="U43" i="1" s="1"/>
  <c r="S43" i="1" s="1"/>
  <c r="X43" i="1"/>
  <c r="S38" i="1"/>
  <c r="AI38" i="1"/>
  <c r="U36" i="1"/>
  <c r="S36" i="1" s="1"/>
  <c r="T30" i="1"/>
  <c r="X30" i="1"/>
  <c r="AG30" i="1"/>
  <c r="W28" i="1"/>
  <c r="T22" i="1"/>
  <c r="X22" i="1"/>
  <c r="AG22" i="1"/>
  <c r="W22" i="1" s="1"/>
  <c r="AG31" i="1"/>
  <c r="AG27" i="1"/>
  <c r="W27" i="1" s="1"/>
  <c r="AG23" i="1"/>
  <c r="W23" i="1" s="1"/>
  <c r="AG19" i="1"/>
  <c r="AG15" i="1"/>
  <c r="W15" i="1" s="1"/>
  <c r="X31" i="1"/>
  <c r="X27" i="1"/>
  <c r="X23" i="1"/>
  <c r="X19" i="1"/>
  <c r="X15" i="1"/>
  <c r="T21" i="3"/>
  <c r="AD45" i="3"/>
  <c r="AC19" i="3"/>
  <c r="Y34" i="3"/>
  <c r="AD34" i="3"/>
  <c r="AD28" i="3"/>
  <c r="AE25" i="3"/>
  <c r="AD22" i="3"/>
  <c r="T32" i="3"/>
  <c r="AD16" i="3"/>
  <c r="AD12" i="3"/>
  <c r="Y15" i="3"/>
  <c r="Y35" i="3"/>
  <c r="AE33" i="3"/>
  <c r="AD30" i="3"/>
  <c r="Y17" i="3"/>
  <c r="Y32" i="3"/>
  <c r="T9" i="3"/>
  <c r="Y43" i="3"/>
  <c r="AE11" i="3"/>
  <c r="AD9" i="3"/>
  <c r="AD29" i="3"/>
  <c r="AC11" i="3"/>
  <c r="AE20" i="3"/>
  <c r="AD17" i="3"/>
  <c r="Y31" i="3"/>
  <c r="AD20" i="3"/>
  <c r="AE16" i="3"/>
  <c r="T18" i="3"/>
  <c r="AD8" i="3"/>
  <c r="AC31" i="3"/>
  <c r="T12" i="3"/>
  <c r="Y21" i="3"/>
  <c r="T8" i="3"/>
  <c r="AD37" i="3"/>
  <c r="AE37" i="3"/>
  <c r="Y33" i="3"/>
  <c r="AE32" i="3"/>
  <c r="AC7" i="3"/>
  <c r="T25" i="3"/>
  <c r="Y39" i="3"/>
  <c r="T10" i="3"/>
  <c r="AD21" i="3"/>
  <c r="AE21" i="3"/>
  <c r="T23" i="3"/>
  <c r="T42" i="3"/>
  <c r="Y9" i="3"/>
  <c r="AE15" i="3"/>
  <c r="AD13" i="3"/>
  <c r="T40" i="3"/>
  <c r="Y25" i="3"/>
  <c r="Y10" i="3"/>
  <c r="Y42" i="3"/>
  <c r="Y40" i="3"/>
  <c r="AE45" i="3"/>
  <c r="AE40" i="3"/>
  <c r="AC34" i="3"/>
  <c r="T16" i="3"/>
  <c r="AE29" i="3"/>
  <c r="AE24" i="3"/>
  <c r="AC27" i="3"/>
  <c r="AE19" i="3"/>
  <c r="AE17" i="3"/>
  <c r="T41" i="3"/>
  <c r="AE12" i="3"/>
  <c r="Y20" i="3"/>
  <c r="AE23" i="3"/>
  <c r="T17" i="3"/>
  <c r="AE43" i="3"/>
  <c r="T15" i="3"/>
  <c r="AE27" i="3"/>
  <c r="T14" i="3"/>
  <c r="AE46" i="3"/>
  <c r="T31" i="3"/>
  <c r="AD43" i="3"/>
  <c r="AE42" i="3"/>
  <c r="T19" i="3"/>
  <c r="AD39" i="3"/>
  <c r="AE38" i="3"/>
  <c r="T34" i="3"/>
  <c r="AD35" i="3"/>
  <c r="AE34" i="3"/>
  <c r="T28" i="3"/>
  <c r="AD31" i="3"/>
  <c r="AE30" i="3"/>
  <c r="T7" i="3"/>
  <c r="AD27" i="3"/>
  <c r="AE26" i="3"/>
  <c r="T11" i="3"/>
  <c r="AD23" i="3"/>
  <c r="AE22" i="3"/>
  <c r="T27" i="3"/>
  <c r="AD19" i="3"/>
  <c r="AE18" i="3"/>
  <c r="T26" i="3"/>
  <c r="AD15" i="3"/>
  <c r="AE14" i="3"/>
  <c r="T24" i="3"/>
  <c r="AD11" i="3"/>
  <c r="AE10" i="3"/>
  <c r="T37" i="3"/>
  <c r="AC46" i="3"/>
  <c r="AE39" i="3"/>
  <c r="T30" i="3"/>
  <c r="AE35" i="3"/>
  <c r="T45" i="3"/>
  <c r="AE31" i="3"/>
  <c r="T22" i="3"/>
  <c r="AD18" i="3"/>
  <c r="AD14" i="3"/>
  <c r="AE13" i="3"/>
  <c r="AD10" i="3"/>
  <c r="AE9" i="3"/>
  <c r="AE8" i="3"/>
  <c r="AN13" i="1"/>
  <c r="U61" i="1" l="1"/>
  <c r="S61" i="1" s="1"/>
  <c r="W67" i="1"/>
  <c r="U21" i="1"/>
  <c r="S21" i="1" s="1"/>
  <c r="U74" i="1"/>
  <c r="S74" i="1" s="1"/>
  <c r="AI196" i="1"/>
  <c r="W37" i="1"/>
  <c r="W61" i="1"/>
  <c r="U97" i="1"/>
  <c r="S97" i="1" s="1"/>
  <c r="U181" i="1"/>
  <c r="S181" i="1" s="1"/>
  <c r="U130" i="1"/>
  <c r="S130" i="1" s="1"/>
  <c r="W223" i="1"/>
  <c r="W114" i="1"/>
  <c r="W147" i="1"/>
  <c r="W159" i="1"/>
  <c r="U174" i="1"/>
  <c r="S174" i="1" s="1"/>
  <c r="W237" i="1"/>
  <c r="W91" i="1"/>
  <c r="W118" i="1"/>
  <c r="W214" i="1"/>
  <c r="W75" i="1"/>
  <c r="W83" i="1"/>
  <c r="W125" i="1"/>
  <c r="W232" i="1"/>
  <c r="W233" i="1"/>
  <c r="W74" i="1"/>
  <c r="W66" i="1"/>
  <c r="W196" i="1"/>
  <c r="U170" i="1"/>
  <c r="S170" i="1" s="1"/>
  <c r="AI17" i="1"/>
  <c r="AI25" i="1"/>
  <c r="W26" i="1"/>
  <c r="AI114" i="1"/>
  <c r="AI163" i="1"/>
  <c r="W218" i="1"/>
  <c r="AI147" i="1"/>
  <c r="W163" i="1"/>
  <c r="W182" i="1"/>
  <c r="W186" i="1"/>
  <c r="U189" i="1"/>
  <c r="S189" i="1" s="1"/>
  <c r="U146" i="1"/>
  <c r="S146" i="1" s="1"/>
  <c r="AI232" i="1"/>
  <c r="U186" i="1"/>
  <c r="S186" i="1" s="1"/>
  <c r="W63" i="1"/>
  <c r="W101" i="1"/>
  <c r="U114" i="1"/>
  <c r="S114" i="1" s="1"/>
  <c r="AI78" i="1"/>
  <c r="W46" i="1"/>
  <c r="W17" i="1"/>
  <c r="U34" i="1"/>
  <c r="S34" i="1" s="1"/>
  <c r="W110" i="1"/>
  <c r="AI101" i="1"/>
  <c r="AI135" i="1"/>
  <c r="U190" i="1"/>
  <c r="S190" i="1" s="1"/>
  <c r="AI237" i="1"/>
  <c r="W135" i="1"/>
  <c r="U232" i="1"/>
  <c r="S232" i="1" s="1"/>
  <c r="AI125" i="1"/>
  <c r="U125" i="1"/>
  <c r="S125" i="1" s="1"/>
  <c r="U237" i="1"/>
  <c r="S237" i="1" s="1"/>
  <c r="W132" i="1"/>
  <c r="W205" i="1"/>
  <c r="W25" i="1"/>
  <c r="W95" i="1"/>
  <c r="W136" i="1"/>
  <c r="W190" i="1"/>
  <c r="U205" i="1"/>
  <c r="S205" i="1" s="1"/>
  <c r="W189" i="1"/>
  <c r="W154" i="1"/>
  <c r="U231" i="1"/>
  <c r="S231" i="1" s="1"/>
  <c r="U54" i="1"/>
  <c r="S54" i="1" s="1"/>
  <c r="W129" i="1"/>
  <c r="AI182" i="1"/>
  <c r="U75" i="1"/>
  <c r="S75" i="1" s="1"/>
  <c r="W146" i="1"/>
  <c r="U185" i="1"/>
  <c r="S185" i="1" s="1"/>
  <c r="W93" i="1"/>
  <c r="W142" i="1"/>
  <c r="W193" i="1"/>
  <c r="W71" i="1"/>
  <c r="W150" i="1"/>
  <c r="W183" i="1"/>
  <c r="U209" i="1"/>
  <c r="S209" i="1" s="1"/>
  <c r="AI209" i="1"/>
  <c r="W138" i="1"/>
  <c r="W98" i="1"/>
  <c r="U113" i="1"/>
  <c r="S113" i="1" s="1"/>
  <c r="AI113" i="1"/>
  <c r="W113" i="1"/>
  <c r="W201" i="1"/>
  <c r="W209" i="1"/>
  <c r="AI234" i="1"/>
  <c r="W121" i="1"/>
  <c r="W82" i="1"/>
  <c r="W197" i="1"/>
  <c r="U56" i="1"/>
  <c r="S56" i="1" s="1"/>
  <c r="AI56" i="1"/>
  <c r="U133" i="1"/>
  <c r="S133" i="1" s="1"/>
  <c r="AI133" i="1"/>
  <c r="AI235" i="1"/>
  <c r="U220" i="1"/>
  <c r="S220" i="1" s="1"/>
  <c r="AI187" i="1"/>
  <c r="U167" i="1"/>
  <c r="S167" i="1" s="1"/>
  <c r="U194" i="1"/>
  <c r="S194" i="1" s="1"/>
  <c r="AI219" i="1"/>
  <c r="AI14" i="1"/>
  <c r="U14" i="1"/>
  <c r="S14" i="1" s="1"/>
  <c r="U40" i="1"/>
  <c r="S40" i="1" s="1"/>
  <c r="AI40" i="1"/>
  <c r="U60" i="1"/>
  <c r="S60" i="1" s="1"/>
  <c r="AI60" i="1"/>
  <c r="U77" i="1"/>
  <c r="S77" i="1" s="1"/>
  <c r="AI77" i="1"/>
  <c r="W122" i="1"/>
  <c r="AI80" i="1"/>
  <c r="U80" i="1"/>
  <c r="S80" i="1" s="1"/>
  <c r="AI94" i="1"/>
  <c r="U94" i="1"/>
  <c r="S94" i="1" s="1"/>
  <c r="U137" i="1"/>
  <c r="S137" i="1" s="1"/>
  <c r="W137" i="1"/>
  <c r="AI137" i="1"/>
  <c r="U153" i="1"/>
  <c r="S153" i="1" s="1"/>
  <c r="W153" i="1"/>
  <c r="AI153" i="1"/>
  <c r="AI140" i="1"/>
  <c r="U140" i="1"/>
  <c r="S140" i="1" s="1"/>
  <c r="AI176" i="1"/>
  <c r="U229" i="1"/>
  <c r="S229" i="1" s="1"/>
  <c r="U183" i="1"/>
  <c r="S183" i="1" s="1"/>
  <c r="AI208" i="1"/>
  <c r="AI231" i="1"/>
  <c r="U206" i="1"/>
  <c r="S206" i="1" s="1"/>
  <c r="AI72" i="1"/>
  <c r="U72" i="1"/>
  <c r="S72" i="1" s="1"/>
  <c r="W94" i="1"/>
  <c r="AI106" i="1"/>
  <c r="U106" i="1"/>
  <c r="S106" i="1" s="1"/>
  <c r="AI148" i="1"/>
  <c r="U148" i="1"/>
  <c r="S148" i="1" s="1"/>
  <c r="AI160" i="1"/>
  <c r="U207" i="1"/>
  <c r="S207" i="1" s="1"/>
  <c r="AI203" i="1"/>
  <c r="U178" i="1"/>
  <c r="S178" i="1" s="1"/>
  <c r="AI239" i="1"/>
  <c r="U224" i="1"/>
  <c r="S224" i="1" s="1"/>
  <c r="AI144" i="1"/>
  <c r="U144" i="1"/>
  <c r="U31" i="1"/>
  <c r="S31" i="1" s="1"/>
  <c r="AI31" i="1"/>
  <c r="AI59" i="1"/>
  <c r="U59" i="1"/>
  <c r="S59" i="1" s="1"/>
  <c r="U73" i="1"/>
  <c r="S73" i="1" s="1"/>
  <c r="AI73" i="1"/>
  <c r="W73" i="1"/>
  <c r="U89" i="1"/>
  <c r="S89" i="1" s="1"/>
  <c r="AI89" i="1"/>
  <c r="W89" i="1"/>
  <c r="U127" i="1"/>
  <c r="AI127" i="1"/>
  <c r="U149" i="1"/>
  <c r="S149" i="1" s="1"/>
  <c r="AI149" i="1"/>
  <c r="W149" i="1"/>
  <c r="U116" i="1"/>
  <c r="S116" i="1" s="1"/>
  <c r="AI116" i="1"/>
  <c r="AI175" i="1"/>
  <c r="U228" i="1"/>
  <c r="S228" i="1" s="1"/>
  <c r="AI207" i="1"/>
  <c r="U182" i="1"/>
  <c r="S182" i="1" s="1"/>
  <c r="AI122" i="1"/>
  <c r="U122" i="1"/>
  <c r="S122" i="1" s="1"/>
  <c r="U157" i="1"/>
  <c r="S157" i="1" s="1"/>
  <c r="AI157" i="1"/>
  <c r="W157" i="1"/>
  <c r="U19" i="1"/>
  <c r="S19" i="1" s="1"/>
  <c r="AI19" i="1"/>
  <c r="AI50" i="1"/>
  <c r="U50" i="1"/>
  <c r="S50" i="1" s="1"/>
  <c r="AI18" i="1"/>
  <c r="U18" i="1"/>
  <c r="S18" i="1" s="1"/>
  <c r="W31" i="1"/>
  <c r="AI47" i="1"/>
  <c r="U47" i="1"/>
  <c r="S47" i="1" s="1"/>
  <c r="W47" i="1"/>
  <c r="U23" i="1"/>
  <c r="S23" i="1" s="1"/>
  <c r="AI23" i="1"/>
  <c r="W14" i="1"/>
  <c r="AI26" i="1"/>
  <c r="U26" i="1"/>
  <c r="S26" i="1" s="1"/>
  <c r="U81" i="1"/>
  <c r="S81" i="1" s="1"/>
  <c r="W81" i="1"/>
  <c r="AI81" i="1"/>
  <c r="W19" i="1"/>
  <c r="W50" i="1"/>
  <c r="AI71" i="1"/>
  <c r="U71" i="1"/>
  <c r="S71" i="1" s="1"/>
  <c r="U95" i="1"/>
  <c r="S95" i="1" s="1"/>
  <c r="AI95" i="1"/>
  <c r="AI110" i="1"/>
  <c r="U110" i="1"/>
  <c r="S110" i="1" s="1"/>
  <c r="U141" i="1"/>
  <c r="S141" i="1" s="1"/>
  <c r="AI141" i="1"/>
  <c r="AI76" i="1"/>
  <c r="U76" i="1"/>
  <c r="S76" i="1" s="1"/>
  <c r="W80" i="1"/>
  <c r="W77" i="1"/>
  <c r="AI136" i="1"/>
  <c r="U136" i="1"/>
  <c r="S136" i="1" s="1"/>
  <c r="AI191" i="1"/>
  <c r="U234" i="1"/>
  <c r="S234" i="1" s="1"/>
  <c r="AI227" i="1"/>
  <c r="U202" i="1"/>
  <c r="S202" i="1" s="1"/>
  <c r="AI92" i="1"/>
  <c r="U92" i="1"/>
  <c r="S92" i="1" s="1"/>
  <c r="U208" i="1"/>
  <c r="S208" i="1" s="1"/>
  <c r="AI161" i="1"/>
  <c r="W229" i="1"/>
  <c r="U15" i="1"/>
  <c r="S15" i="1" s="1"/>
  <c r="AI15" i="1"/>
  <c r="AI30" i="1"/>
  <c r="U30" i="1"/>
  <c r="S30" i="1" s="1"/>
  <c r="AI52" i="1"/>
  <c r="U52" i="1"/>
  <c r="S52" i="1" s="1"/>
  <c r="AI84" i="1"/>
  <c r="U84" i="1"/>
  <c r="S84" i="1" s="1"/>
  <c r="U65" i="1"/>
  <c r="S65" i="1" s="1"/>
  <c r="AI65" i="1"/>
  <c r="AI123" i="1"/>
  <c r="U123" i="1"/>
  <c r="S123" i="1" s="1"/>
  <c r="AI223" i="1"/>
  <c r="U198" i="1"/>
  <c r="S198" i="1" s="1"/>
  <c r="U27" i="1"/>
  <c r="S27" i="1" s="1"/>
  <c r="AI27" i="1"/>
  <c r="AI22" i="1"/>
  <c r="U22" i="1"/>
  <c r="S22" i="1" s="1"/>
  <c r="W30" i="1"/>
  <c r="U85" i="1"/>
  <c r="S85" i="1" s="1"/>
  <c r="AI85" i="1"/>
  <c r="W40" i="1"/>
  <c r="AI46" i="1"/>
  <c r="U46" i="1"/>
  <c r="S46" i="1" s="1"/>
  <c r="W56" i="1"/>
  <c r="U111" i="1"/>
  <c r="S111" i="1" s="1"/>
  <c r="AI111" i="1"/>
  <c r="AI126" i="1"/>
  <c r="U126" i="1"/>
  <c r="S126" i="1" s="1"/>
  <c r="U145" i="1"/>
  <c r="S145" i="1" s="1"/>
  <c r="AI145" i="1"/>
  <c r="W145" i="1"/>
  <c r="W85" i="1"/>
  <c r="U100" i="1"/>
  <c r="S100" i="1" s="1"/>
  <c r="AI100" i="1"/>
  <c r="W167" i="1"/>
  <c r="W194" i="1"/>
  <c r="AI107" i="1"/>
  <c r="U107" i="1"/>
  <c r="S107" i="1" s="1"/>
  <c r="W116" i="1"/>
  <c r="W127" i="1"/>
  <c r="W140" i="1"/>
  <c r="AI152" i="1"/>
  <c r="U152" i="1"/>
  <c r="S152" i="1" s="1"/>
  <c r="AI192" i="1"/>
  <c r="U235" i="1"/>
  <c r="S235" i="1" s="1"/>
  <c r="W228" i="1"/>
  <c r="AI88" i="1"/>
  <c r="U88" i="1"/>
  <c r="S88" i="1" s="1"/>
  <c r="W107" i="1"/>
  <c r="W126" i="1"/>
  <c r="AI171" i="1"/>
  <c r="U218" i="1"/>
  <c r="S218" i="1" s="1"/>
  <c r="W133" i="1"/>
  <c r="W198" i="1"/>
  <c r="W202" i="1"/>
  <c r="W206" i="1"/>
  <c r="W220" i="1"/>
  <c r="W224" i="1"/>
  <c r="R44" i="3"/>
  <c r="M44" i="3"/>
  <c r="S44" i="3"/>
  <c r="U44" i="3"/>
  <c r="V44" i="3"/>
  <c r="W44" i="3"/>
  <c r="X44" i="3"/>
  <c r="AC44" i="3"/>
  <c r="AE44" i="3" l="1"/>
  <c r="AD44" i="3"/>
  <c r="T44" i="3"/>
  <c r="Y44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46" i="3" s="1"/>
  <c r="G23" i="4"/>
  <c r="G24" i="4"/>
  <c r="G25" i="4"/>
  <c r="G26" i="4"/>
  <c r="G27" i="4"/>
  <c r="G28" i="4"/>
  <c r="G29" i="4"/>
  <c r="N18" i="3" s="1"/>
  <c r="G30" i="4"/>
  <c r="G31" i="4"/>
  <c r="G32" i="4"/>
  <c r="G33" i="4"/>
  <c r="N40" i="3" s="1"/>
  <c r="G34" i="4"/>
  <c r="G35" i="4"/>
  <c r="G36" i="4"/>
  <c r="N43" i="3" s="1"/>
  <c r="G37" i="4"/>
  <c r="G38" i="4"/>
  <c r="G39" i="4"/>
  <c r="N24" i="3" s="1"/>
  <c r="G40" i="4"/>
  <c r="G41" i="4"/>
  <c r="G42" i="4"/>
  <c r="G43" i="4"/>
  <c r="G44" i="4"/>
  <c r="G45" i="4"/>
  <c r="N41" i="3" s="1"/>
  <c r="G46" i="4"/>
  <c r="G47" i="4"/>
  <c r="N9" i="3" s="1"/>
  <c r="G48" i="4"/>
  <c r="G49" i="4"/>
  <c r="G50" i="4"/>
  <c r="G51" i="4"/>
  <c r="G52" i="4"/>
  <c r="G53" i="4"/>
  <c r="G54" i="4"/>
  <c r="G55" i="4"/>
  <c r="G56" i="4"/>
  <c r="N26" i="3" s="1"/>
  <c r="G57" i="4"/>
  <c r="G58" i="4"/>
  <c r="N42" i="3" s="1"/>
  <c r="G59" i="4"/>
  <c r="G60" i="4"/>
  <c r="G61" i="4"/>
  <c r="G62" i="4"/>
  <c r="G63" i="4"/>
  <c r="N27" i="3" s="1"/>
  <c r="G64" i="4"/>
  <c r="G65" i="4"/>
  <c r="G66" i="4"/>
  <c r="G67" i="4"/>
  <c r="N38" i="3" s="1"/>
  <c r="G68" i="4"/>
  <c r="G69" i="4"/>
  <c r="G70" i="4"/>
  <c r="G71" i="4"/>
  <c r="G72" i="4"/>
  <c r="N17" i="3" s="1"/>
  <c r="G73" i="4"/>
  <c r="G74" i="4"/>
  <c r="G75" i="4"/>
  <c r="G76" i="4"/>
  <c r="G77" i="4"/>
  <c r="G78" i="4"/>
  <c r="G79" i="4"/>
  <c r="N10" i="3" s="1"/>
  <c r="G80" i="4"/>
  <c r="G81" i="4"/>
  <c r="N13" i="3" s="1"/>
  <c r="G82" i="4"/>
  <c r="G83" i="4"/>
  <c r="N14" i="3" s="1"/>
  <c r="G84" i="4"/>
  <c r="N11" i="3" s="1"/>
  <c r="G85" i="4"/>
  <c r="G86" i="4"/>
  <c r="G87" i="4"/>
  <c r="G88" i="4"/>
  <c r="G89" i="4"/>
  <c r="N39" i="3" s="1"/>
  <c r="G90" i="4"/>
  <c r="N25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7" i="3" s="1"/>
  <c r="G104" i="4"/>
  <c r="N22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6" i="3" s="1"/>
  <c r="G122" i="4"/>
  <c r="G123" i="4"/>
  <c r="N33" i="3" s="1"/>
  <c r="G124" i="4"/>
  <c r="G125" i="4"/>
  <c r="G126" i="4"/>
  <c r="G127" i="4"/>
  <c r="G128" i="4"/>
  <c r="G129" i="4"/>
  <c r="G130" i="4"/>
  <c r="G131" i="4"/>
  <c r="G132" i="4"/>
  <c r="G133" i="4"/>
  <c r="N28" i="3" s="1"/>
  <c r="G134" i="4"/>
  <c r="G135" i="4"/>
  <c r="G136" i="4"/>
  <c r="G137" i="4"/>
  <c r="N29" i="3" s="1"/>
  <c r="G138" i="4"/>
  <c r="G139" i="4"/>
  <c r="G140" i="4"/>
  <c r="N45" i="3" s="1"/>
  <c r="G141" i="4"/>
  <c r="G142" i="4"/>
  <c r="N34" i="3" s="1"/>
  <c r="G143" i="4"/>
  <c r="G144" i="4"/>
  <c r="G145" i="4"/>
  <c r="G146" i="4"/>
  <c r="G147" i="4"/>
  <c r="G148" i="4"/>
  <c r="N20" i="3" s="1"/>
  <c r="G149" i="4"/>
  <c r="N30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N35" i="3" s="1"/>
  <c r="G177" i="4"/>
  <c r="G178" i="4"/>
  <c r="G179" i="4"/>
  <c r="N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N21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32" i="3"/>
  <c r="N36" i="3"/>
  <c r="N37" i="3"/>
  <c r="N12" i="3"/>
  <c r="N31" i="3"/>
  <c r="N19" i="3"/>
  <c r="N15" i="3"/>
  <c r="N4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<sst xmlns="http://schemas.openxmlformats.org/spreadsheetml/2006/main" count="3218" uniqueCount="1031">
  <si>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</si>
  <si>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</si>
  <si>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</si>
  <si>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</si>
  <si>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</si>
  <si>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</si>
  <si>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</si>
  <si>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</si>
  <si>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</si>
  <si>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</si>
  <si>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</si>
  <si>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</si>
  <si>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</si>
  <si>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</si>
  <si>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</si>
  <si>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</si>
  <si>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</si>
  <si>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</si>
  <si>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</si>
  <si>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</si>
  <si>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</si>
  <si>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</si>
  <si>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</si>
  <si>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</si>
  <si>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</si>
  <si>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</si>
  <si>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</si>
  <si>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</si>
  <si>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</si>
  <si>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</si>
  <si>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</si>
  <si>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</si>
  <si>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</si>
  <si>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</si>
  <si>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</si>
  <si>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</si>
  <si>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</si>
  <si>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</si>
  <si>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</si>
  <si>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</si>
  <si>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</si>
  <si>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</si>
  <si>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</si>
  <si>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</si>
  <si>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</si>
  <si>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</si>
  <si>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</si>
  <si>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</si>
  <si>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</si>
  <si>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</si>
  <si>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</si>
  <si>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</si>
  <si>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</si>
  <si>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</si>
  <si>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</si>
  <si>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</si>
  <si>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</si>
  <si>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</si>
  <si>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</si>
  <si>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</si>
  <si>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</si>
  <si>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</si>
  <si>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</si>
  <si>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</si>
  <si>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</si>
  <si>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</si>
  <si>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</si>
  <si>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</si>
  <si>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</si>
  <si>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</si>
  <si>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</si>
  <si>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</si>
  <si>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</si>
  <si>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</si>
  <si>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</si>
  <si>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</si>
  <si>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</si>
  <si>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</si>
  <si>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</si>
  <si>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</si>
  <si>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</si>
  <si>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</si>
  <si>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</si>
  <si>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</si>
  <si>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</si>
  <si>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</si>
  <si>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</si>
  <si>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</si>
  <si>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</si>
  <si>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</si>
  <si>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</si>
  <si>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</si>
  <si>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</si>
  <si>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</si>
  <si>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</si>
  <si>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</si>
  <si>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</si>
  <si>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</si>
  <si>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</si>
  <si>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</si>
  <si>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</si>
  <si>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</si>
  <si>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</si>
  <si>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</si>
  <si>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</si>
  <si>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</si>
  <si>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</si>
  <si>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</si>
  <si>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</si>
  <si>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</si>
  <si>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</si>
  <si>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</si>
  <si>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</si>
  <si>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</si>
  <si>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</si>
  <si>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</si>
  <si>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</si>
  <si>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</si>
  <si>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</si>
  <si>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</si>
  <si>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</si>
  <si>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</si>
  <si>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</si>
  <si>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</si>
  <si>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</si>
  <si>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</si>
  <si>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</si>
  <si>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</si>
  <si>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</si>
  <si>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</si>
  <si>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</si>
  <si>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</si>
  <si>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</si>
  <si>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</si>
  <si>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</si>
  <si>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</si>
  <si>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</si>
  <si>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</si>
  <si>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</si>
  <si>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</si>
  <si>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</si>
  <si>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</si>
  <si>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</si>
  <si>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</si>
  <si>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</si>
  <si>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</si>
  <si>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</si>
  <si>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</si>
  <si>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</si>
  <si>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</si>
  <si>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</si>
  <si>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</si>
  <si>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</si>
  <si>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</si>
  <si>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</si>
  <si>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</si>
  <si>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</si>
  <si>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</si>
  <si>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</si>
  <si>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</si>
  <si>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</si>
  <si>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</si>
  <si>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</si>
  <si>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</si>
  <si>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</si>
  <si>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</si>
  <si>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</si>
  <si>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</si>
  <si>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</si>
  <si>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</si>
  <si>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</si>
  <si>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</si>
  <si>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</si>
  <si>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</si>
  <si>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</si>
  <si>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</si>
  <si>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</si>
  <si>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</si>
  <si>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</si>
  <si>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</si>
  <si>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</si>
  <si>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</si>
  <si>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</si>
  <si>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</si>
  <si>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</si>
  <si>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</si>
  <si>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</si>
  <si>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</si>
  <si>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</si>
  <si>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</si>
  <si>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</si>
  <si>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</si>
  <si>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</si>
  <si>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</si>
  <si>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</si>
  <si>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</si>
  <si>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</si>
  <si>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</si>
  <si>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</si>
  <si>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</si>
  <si>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</si>
  <si>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</si>
  <si>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</si>
  <si>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</si>
  <si>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</si>
  <si>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</si>
  <si>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</si>
  <si>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</si>
  <si>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</si>
  <si>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</si>
  <si>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</si>
  <si>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</si>
  <si>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</si>
  <si>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</si>
  <si>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</si>
  <si>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</si>
  <si>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</si>
  <si>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</si>
  <si>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</si>
  <si>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</si>
  <si>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</si>
  <si>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</si>
  <si>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</si>
  <si>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</si>
  <si>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</si>
  <si>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</si>
  <si>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</si>
  <si>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</si>
  <si>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</si>
  <si>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</si>
  <si>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</si>
  <si>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</si>
  <si>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</si>
  <si>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</si>
  <si>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</si>
  <si>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</si>
  <si>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</si>
  <si>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</si>
  <si>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</si>
  <si>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</si>
  <si>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</si>
  <si>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</si>
  <si>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</si>
  <si>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</si>
  <si>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</si>
  <si>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</si>
  <si>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</si>
  <si>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</si>
  <si>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</si>
  <si>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</si>
  <si>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</si>
  <si>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</si>
  <si>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</si>
  <si>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</si>
  <si>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</si>
  <si>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</si>
  <si>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</si>
  <si>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</si>
  <si>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</si>
  <si>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</si>
  <si>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</si>
  <si>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</si>
  <si>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</si>
  <si>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</si>
  <si>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</si>
  <si>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</si>
  <si>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</si>
  <si>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</si>
  <si>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</si>
  <si>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</si>
  <si>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</si>
  <si>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</si>
  <si>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</si>
  <si>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</si>
  <si>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</si>
  <si>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</si>
  <si>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</si>
  <si>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</si>
  <si>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</si>
  <si>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</si>
  <si>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</si>
  <si>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</si>
  <si>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</si>
  <si>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</si>
  <si>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</si>
  <si>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</si>
  <si>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</si>
  <si>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</si>
  <si>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</si>
  <si>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</si>
  <si>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</si>
  <si>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</si>
  <si>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</si>
  <si>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</si>
  <si>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</si>
  <si>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</si>
  <si>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</si>
  <si>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</si>
  <si>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</si>
  <si>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</si>
  <si>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</si>
  <si>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</si>
  <si>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</si>
  <si>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</si>
  <si>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</si>
  <si>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</si>
  <si>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</si>
  <si>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</si>
  <si>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</si>
  <si>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</si>
  <si>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</si>
  <si>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</si>
  <si>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</si>
  <si>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</si>
  <si>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</si>
  <si>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</si>
  <si>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</si>
  <si>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</si>
  <si>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</si>
  <si>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</si>
  <si>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</si>
  <si>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</si>
  <si>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</si>
  <si>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</si>
  <si>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</si>
  <si>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</si>
  <si>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</si>
  <si>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</si>
  <si>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</si>
  <si>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</si>
  <si>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</si>
  <si>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</si>
  <si>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</si>
  <si>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</si>
  <si>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</si>
  <si>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</si>
  <si>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</si>
  <si>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</si>
  <si>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</si>
  <si>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</si>
  <si>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</si>
  <si>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</si>
  <si>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</si>
  <si>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</si>
  <si>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</si>
  <si>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</si>
  <si>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</si>
  <si>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</si>
  <si>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</si>
  <si>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</si>
  <si>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</si>
  <si>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</si>
  <si>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</si>
  <si>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</si>
  <si>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</si>
  <si>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</si>
  <si>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</si>
  <si>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</si>
  <si>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</si>
  <si>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</si>
  <si>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</si>
  <si>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</si>
  <si>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</si>
  <si>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</si>
  <si>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</si>
  <si>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</si>
  <si>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</si>
  <si>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</si>
  <si>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</si>
  <si>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</si>
  <si>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</si>
  <si>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</si>
  <si>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</si>
  <si>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</si>
  <si>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</si>
  <si>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</si>
  <si>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</si>
  <si>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</si>
  <si>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</si>
  <si>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</si>
  <si>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</si>
  <si>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</si>
  <si>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</si>
  <si>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</si>
  <si>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</si>
  <si>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</si>
  <si>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</si>
  <si>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</si>
  <si>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</si>
  <si>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</si>
  <si>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</si>
  <si>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</si>
  <si>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</si>
  <si>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</si>
  <si>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</si>
  <si>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</si>
  <si>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</si>
  <si>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</si>
  <si>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</si>
  <si>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</si>
  <si>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</si>
  <si>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</si>
  <si>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</si>
  <si>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</si>
  <si>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</si>
  <si>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</si>
  <si>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</si>
  <si>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</si>
  <si>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</si>
  <si>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300:58615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</si>
  <si>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</si>
  <si>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</si>
  <si>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</si>
  <si>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</si>
  <si>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</si>
  <si>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</si>
  <si>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</si>
  <si>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</si>
  <si>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</si>
  <si>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</si>
  <si>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</si>
  <si>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</si>
  <si>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</si>
  <si>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</si>
  <si>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</si>
  <si>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</si>
  <si>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</si>
  <si>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</si>
  <si>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</si>
  <si>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</si>
  <si>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</si>
  <si>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</si>
  <si>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</si>
  <si>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</si>
  <si>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</si>
  <si>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</si>
  <si>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</si>
  <si>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</si>
  <si>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</si>
  <si>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</si>
  <si>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</si>
  <si>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</si>
  <si>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</si>
  <si>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</si>
  <si>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204:232980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</si>
  <si>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</si>
  <si>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</si>
  <si>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</si>
  <si>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</si>
  <si>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</si>
  <si>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</si>
  <si>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</si>
  <si>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</si>
  <si>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</si>
  <si>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</si>
  <si>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</si>
  <si>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</si>
  <si>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</si>
  <si>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</si>
  <si>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</si>
  <si>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</si>
  <si>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</si>
  <si>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</si>
  <si>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204:484</t>
  </si>
  <si>
    <t>204:232969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</si>
  <si>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</si>
  <si>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</si>
  <si>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</si>
  <si>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</si>
  <si>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</si>
  <si>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</si>
  <si>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</si>
  <si>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</si>
  <si>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YORK</t>
  </si>
  <si>
    <t>EDGAR</t>
  </si>
  <si>
    <t>242-21</t>
  </si>
  <si>
    <t>311-21</t>
  </si>
  <si>
    <t>313-21</t>
  </si>
  <si>
    <t>204:233289</t>
  </si>
  <si>
    <t>204:233291</t>
  </si>
  <si>
    <t>204:233298</t>
  </si>
  <si>
    <t>204:233301</t>
  </si>
  <si>
    <t>204:232984</t>
  </si>
  <si>
    <t>rtdc.l.rtdc.4040:itc</t>
  </si>
  <si>
    <t>rtdc.l.rtdc.4039:itc</t>
  </si>
  <si>
    <t>rtdc.l.rtdc.4045:itc</t>
  </si>
  <si>
    <t>rtdc.l.rtdc.4054:itc</t>
  </si>
  <si>
    <t>204:232982</t>
  </si>
  <si>
    <t>204:233295</t>
  </si>
  <si>
    <t>204:138</t>
  </si>
  <si>
    <t>204:139</t>
  </si>
  <si>
    <t>204:232967</t>
  </si>
  <si>
    <t>204:480</t>
  </si>
  <si>
    <t>204:232986</t>
  </si>
  <si>
    <t>204:233299</t>
  </si>
  <si>
    <t>204:446</t>
  </si>
  <si>
    <t>204:233287</t>
  </si>
  <si>
    <t>204:232985</t>
  </si>
  <si>
    <t>204:458</t>
  </si>
  <si>
    <t>204:233318</t>
  </si>
  <si>
    <t>204:233317</t>
  </si>
  <si>
    <t>204:233319</t>
  </si>
  <si>
    <t>300:23308</t>
  </si>
  <si>
    <t>300:58933</t>
  </si>
  <si>
    <t>300:58617</t>
  </si>
  <si>
    <t>rtdc.l.rtdc.4053:itc</t>
  </si>
  <si>
    <t>BRANDNER</t>
  </si>
  <si>
    <t>MELINDA</t>
  </si>
  <si>
    <t>precipType</t>
  </si>
  <si>
    <t>rain</t>
  </si>
  <si>
    <t>204:232970</t>
  </si>
  <si>
    <t>204:444</t>
  </si>
  <si>
    <t>204:233306</t>
  </si>
  <si>
    <t>204:447</t>
  </si>
  <si>
    <t>204:232971</t>
  </si>
  <si>
    <t>204:141</t>
  </si>
  <si>
    <t>204:232990</t>
  </si>
  <si>
    <t>204:233310</t>
  </si>
  <si>
    <t>204:233312</t>
  </si>
  <si>
    <t>204:136</t>
  </si>
  <si>
    <t>204:233305</t>
  </si>
  <si>
    <t>300:58935</t>
  </si>
  <si>
    <t>300:58943</t>
  </si>
  <si>
    <t>300:58624</t>
  </si>
  <si>
    <t>300:58931</t>
  </si>
  <si>
    <t>rtdc.l.rtdc.4052:itc</t>
  </si>
  <si>
    <t>rtdc.l.rtdc.4051:itc</t>
  </si>
  <si>
    <t>MAYBERRY</t>
  </si>
  <si>
    <t>BILL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</si>
  <si>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</si>
  <si>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</si>
  <si>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</si>
  <si>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</si>
  <si>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</si>
  <si>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</si>
  <si>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</si>
  <si>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</si>
  <si>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</si>
  <si>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80-26</t>
  </si>
  <si>
    <t>YANG</t>
  </si>
  <si>
    <t>JAN</t>
  </si>
  <si>
    <t>81-26</t>
  </si>
  <si>
    <t>309-26</t>
  </si>
  <si>
    <t>244-26</t>
  </si>
  <si>
    <t>311-26</t>
  </si>
  <si>
    <t>313-26</t>
  </si>
  <si>
    <t>204:233281</t>
  </si>
  <si>
    <t>204:233315</t>
  </si>
  <si>
    <t>204:759</t>
  </si>
  <si>
    <t>204:163</t>
  </si>
  <si>
    <t>204:233261</t>
  </si>
  <si>
    <t>204:469</t>
  </si>
  <si>
    <t>204:233002</t>
  </si>
  <si>
    <t>204:233323</t>
  </si>
  <si>
    <t>204:233004</t>
  </si>
  <si>
    <t>204:86353</t>
  </si>
  <si>
    <t>204:134</t>
  </si>
  <si>
    <t>204:471</t>
  </si>
  <si>
    <t>204:477</t>
  </si>
  <si>
    <t>204:233372</t>
  </si>
  <si>
    <t>204:233003</t>
  </si>
  <si>
    <t>204:233389</t>
  </si>
  <si>
    <t>204:233303</t>
  </si>
  <si>
    <t>204:132</t>
  </si>
  <si>
    <t>204:191</t>
  </si>
  <si>
    <t>300:58929</t>
  </si>
  <si>
    <t>300:58941</t>
  </si>
  <si>
    <t>300:58623</t>
  </si>
  <si>
    <t>204:1039</t>
  </si>
  <si>
    <t>204:233302</t>
  </si>
  <si>
    <t>204:442</t>
  </si>
  <si>
    <t>204:233280</t>
  </si>
  <si>
    <t>204:497</t>
  </si>
  <si>
    <t>204:118</t>
  </si>
  <si>
    <t>204:233320</t>
  </si>
  <si>
    <t>204:233311</t>
  </si>
  <si>
    <t>204:233336</t>
  </si>
  <si>
    <t>204:232983</t>
  </si>
  <si>
    <t>204:424</t>
  </si>
  <si>
    <t>204:232975</t>
  </si>
  <si>
    <t>204:233084</t>
  </si>
  <si>
    <t>300:23302</t>
  </si>
  <si>
    <t>300:23304</t>
  </si>
  <si>
    <t>204:951</t>
  </si>
  <si>
    <t>204:1090</t>
  </si>
  <si>
    <t>204:128268</t>
  </si>
  <si>
    <t>start /low /b %USERPROFILE%\Documents\GitHub\eaglep3\Utilities\DownloadLogsFromS3.py --loco 4028 --day 2017-03-27</t>
  </si>
  <si>
    <t>WCR Redmine cURL</t>
  </si>
  <si>
    <t>27f4683f8c668ceb395ce0223286e38dfe180cf8</t>
  </si>
  <si>
    <t>https://ptcsupport.wabtec.com/issues.json</t>
  </si>
  <si>
    <t>test from api</t>
  </si>
  <si>
    <t>306-27</t>
  </si>
  <si>
    <t>901-27</t>
  </si>
  <si>
    <t>800-27</t>
  </si>
  <si>
    <t>110-27</t>
  </si>
  <si>
    <t>801-27</t>
  </si>
  <si>
    <t>rtdc.l.rtdc.4010:itc</t>
  </si>
  <si>
    <t>902-27</t>
  </si>
  <si>
    <t>116-27</t>
  </si>
  <si>
    <t>805-27</t>
  </si>
  <si>
    <t>127-27</t>
  </si>
  <si>
    <t>809-27</t>
  </si>
  <si>
    <t>128-27</t>
  </si>
  <si>
    <t>137-27</t>
  </si>
  <si>
    <t>812-27</t>
  </si>
  <si>
    <t>132-27</t>
  </si>
  <si>
    <t>138-27</t>
  </si>
  <si>
    <t>149-27</t>
  </si>
  <si>
    <t>151-27</t>
  </si>
  <si>
    <t>153-27</t>
  </si>
  <si>
    <t>146-27</t>
  </si>
  <si>
    <t>816-27</t>
  </si>
  <si>
    <t>157-27</t>
  </si>
  <si>
    <t>167-27</t>
  </si>
  <si>
    <t>160-27</t>
  </si>
  <si>
    <t>174-27</t>
  </si>
  <si>
    <t>181-27</t>
  </si>
  <si>
    <t>182-27</t>
  </si>
  <si>
    <t>904-27</t>
  </si>
  <si>
    <t>186-27</t>
  </si>
  <si>
    <t>199-27</t>
  </si>
  <si>
    <t>195-27</t>
  </si>
  <si>
    <t>194-27</t>
  </si>
  <si>
    <t>217-27</t>
  </si>
  <si>
    <t>836-27</t>
  </si>
  <si>
    <t>224-27</t>
  </si>
  <si>
    <t>237-27</t>
  </si>
  <si>
    <t>236-27</t>
  </si>
  <si>
    <t>302-27</t>
  </si>
  <si>
    <t>SANTIZO</t>
  </si>
  <si>
    <t>D. EDY</t>
  </si>
  <si>
    <t>101-27</t>
  </si>
  <si>
    <t>304-27</t>
  </si>
  <si>
    <t>103-27</t>
  </si>
  <si>
    <t>STARKS</t>
  </si>
  <si>
    <t>ANGELINA</t>
  </si>
  <si>
    <t>102-27</t>
  </si>
  <si>
    <t>308-27</t>
  </si>
  <si>
    <t>MENGES</t>
  </si>
  <si>
    <t>BRAD</t>
  </si>
  <si>
    <t>105-27</t>
  </si>
  <si>
    <t>310-27</t>
  </si>
  <si>
    <t>107-27</t>
  </si>
  <si>
    <t>109-27</t>
  </si>
  <si>
    <t>104-27</t>
  </si>
  <si>
    <t>111-27</t>
  </si>
  <si>
    <t>113-27</t>
  </si>
  <si>
    <t>106-27</t>
  </si>
  <si>
    <t>108-27</t>
  </si>
  <si>
    <t>115-27</t>
  </si>
  <si>
    <t>ACKERMAN</t>
  </si>
  <si>
    <t>JARED</t>
  </si>
  <si>
    <t>117-27</t>
  </si>
  <si>
    <t>112-27</t>
  </si>
  <si>
    <t>114-27</t>
  </si>
  <si>
    <t>119-27</t>
  </si>
  <si>
    <t>FORTUNATO</t>
  </si>
  <si>
    <t>FRANK</t>
  </si>
  <si>
    <t>802-27</t>
  </si>
  <si>
    <t>121-27</t>
  </si>
  <si>
    <t>rtdc.l.rtdc.4009:itc</t>
  </si>
  <si>
    <t>803-27</t>
  </si>
  <si>
    <t>123-27</t>
  </si>
  <si>
    <t>118-27</t>
  </si>
  <si>
    <t>125-27</t>
  </si>
  <si>
    <t>804-27</t>
  </si>
  <si>
    <t>120-27</t>
  </si>
  <si>
    <t>807-27</t>
  </si>
  <si>
    <t>806-27</t>
  </si>
  <si>
    <t>122-27</t>
  </si>
  <si>
    <t>129-27</t>
  </si>
  <si>
    <t>124-27</t>
  </si>
  <si>
    <t>126-27</t>
  </si>
  <si>
    <t>131-27</t>
  </si>
  <si>
    <t>808-27</t>
  </si>
  <si>
    <t>133-27</t>
  </si>
  <si>
    <t>135-27</t>
  </si>
  <si>
    <t>130-27</t>
  </si>
  <si>
    <t>810-27</t>
  </si>
  <si>
    <t>811-27</t>
  </si>
  <si>
    <t>139-27</t>
  </si>
  <si>
    <t>903-27</t>
  </si>
  <si>
    <t>141-27</t>
  </si>
  <si>
    <t>134-27</t>
  </si>
  <si>
    <t>136-27</t>
  </si>
  <si>
    <t>143-27</t>
  </si>
  <si>
    <t>140-27</t>
  </si>
  <si>
    <t>145-27</t>
  </si>
  <si>
    <t>813-27</t>
  </si>
  <si>
    <t>142-27</t>
  </si>
  <si>
    <t>147-27</t>
  </si>
  <si>
    <t>814-27</t>
  </si>
  <si>
    <t>144-27</t>
  </si>
  <si>
    <t>815-27</t>
  </si>
  <si>
    <t>50-27</t>
  </si>
  <si>
    <t>148-27</t>
  </si>
  <si>
    <t>155-27</t>
  </si>
  <si>
    <t>150-27</t>
  </si>
  <si>
    <t>152-27</t>
  </si>
  <si>
    <t>154-27</t>
  </si>
  <si>
    <t>159-27</t>
  </si>
  <si>
    <t>817-27</t>
  </si>
  <si>
    <t>161-27</t>
  </si>
  <si>
    <t>51-27</t>
  </si>
  <si>
    <t>156-27</t>
  </si>
  <si>
    <t>163-27</t>
  </si>
  <si>
    <t>CLARK</t>
  </si>
  <si>
    <t>KATHLEEN</t>
  </si>
  <si>
    <t>158-27</t>
  </si>
  <si>
    <t>819-27</t>
  </si>
  <si>
    <t>818-27</t>
  </si>
  <si>
    <t>165-27</t>
  </si>
  <si>
    <t>WILLIAMS</t>
  </si>
  <si>
    <t>DONTE</t>
  </si>
  <si>
    <t>162-27</t>
  </si>
  <si>
    <t>169-27</t>
  </si>
  <si>
    <t>LEVERE</t>
  </si>
  <si>
    <t>CRAIG</t>
  </si>
  <si>
    <t>164-27</t>
  </si>
  <si>
    <t>171-27</t>
  </si>
  <si>
    <t>166-27</t>
  </si>
  <si>
    <t>820-27</t>
  </si>
  <si>
    <t>173-27</t>
  </si>
  <si>
    <t>168-27</t>
  </si>
  <si>
    <t>175-27</t>
  </si>
  <si>
    <t>170-27</t>
  </si>
  <si>
    <t>177-27</t>
  </si>
  <si>
    <t>821-27</t>
  </si>
  <si>
    <t>172-27</t>
  </si>
  <si>
    <t>179-27</t>
  </si>
  <si>
    <t>822-27</t>
  </si>
  <si>
    <t>176-27</t>
  </si>
  <si>
    <t>183-27</t>
  </si>
  <si>
    <t>178-27</t>
  </si>
  <si>
    <t>185-27</t>
  </si>
  <si>
    <t>180-27</t>
  </si>
  <si>
    <t>823-27</t>
  </si>
  <si>
    <t>187-27</t>
  </si>
  <si>
    <t>824-27</t>
  </si>
  <si>
    <t>189-27</t>
  </si>
  <si>
    <t>184-27</t>
  </si>
  <si>
    <t>191-27</t>
  </si>
  <si>
    <t>193-27</t>
  </si>
  <si>
    <t>825-27</t>
  </si>
  <si>
    <t>188-27</t>
  </si>
  <si>
    <t>827-27</t>
  </si>
  <si>
    <t>826-27</t>
  </si>
  <si>
    <t>190-27</t>
  </si>
  <si>
    <t>197-27</t>
  </si>
  <si>
    <t>192-27</t>
  </si>
  <si>
    <t>828-27</t>
  </si>
  <si>
    <t>201-27</t>
  </si>
  <si>
    <t>829-27</t>
  </si>
  <si>
    <t>196-27</t>
  </si>
  <si>
    <t>203-27</t>
  </si>
  <si>
    <t>831-27</t>
  </si>
  <si>
    <t>198-27</t>
  </si>
  <si>
    <t>830-27</t>
  </si>
  <si>
    <t>205-27</t>
  </si>
  <si>
    <t>200-27</t>
  </si>
  <si>
    <t>207-27</t>
  </si>
  <si>
    <t>832-27</t>
  </si>
  <si>
    <t>202-27</t>
  </si>
  <si>
    <t>209-27</t>
  </si>
  <si>
    <t>833-27</t>
  </si>
  <si>
    <t>204-27</t>
  </si>
  <si>
    <t>211-27</t>
  </si>
  <si>
    <t>835-27</t>
  </si>
  <si>
    <t>834-27</t>
  </si>
  <si>
    <t>206-27</t>
  </si>
  <si>
    <t>213-27</t>
  </si>
  <si>
    <t>52-27</t>
  </si>
  <si>
    <t>67-27</t>
  </si>
  <si>
    <t>208-27</t>
  </si>
  <si>
    <t>215-27</t>
  </si>
  <si>
    <t>210-27</t>
  </si>
  <si>
    <t>837-27</t>
  </si>
  <si>
    <t>GUZMAN</t>
  </si>
  <si>
    <t>DANNY</t>
  </si>
  <si>
    <t>212-27</t>
  </si>
  <si>
    <t>219-27</t>
  </si>
  <si>
    <t>214-27</t>
  </si>
  <si>
    <t>839-27</t>
  </si>
  <si>
    <t>838-27</t>
  </si>
  <si>
    <t>303-27</t>
  </si>
  <si>
    <t>221-27</t>
  </si>
  <si>
    <t>MAGEE</t>
  </si>
  <si>
    <t>KENYA</t>
  </si>
  <si>
    <t>906-27</t>
  </si>
  <si>
    <t>305-27</t>
  </si>
  <si>
    <t>841-27</t>
  </si>
  <si>
    <t>223-27</t>
  </si>
  <si>
    <t>220-27</t>
  </si>
  <si>
    <t>840-27</t>
  </si>
  <si>
    <t>222-27</t>
  </si>
  <si>
    <t>225-27</t>
  </si>
  <si>
    <t>843-27</t>
  </si>
  <si>
    <t>227-27</t>
  </si>
  <si>
    <t>842-27</t>
  </si>
  <si>
    <t>226-27</t>
  </si>
  <si>
    <t>845-27</t>
  </si>
  <si>
    <t>229-27</t>
  </si>
  <si>
    <t>88-27</t>
  </si>
  <si>
    <t>231-27</t>
  </si>
  <si>
    <t>228-27</t>
  </si>
  <si>
    <t>844-27</t>
  </si>
  <si>
    <t>233-27</t>
  </si>
  <si>
    <t>230-27</t>
  </si>
  <si>
    <t>80-27</t>
  </si>
  <si>
    <t>847-27</t>
  </si>
  <si>
    <t>232-27</t>
  </si>
  <si>
    <t>81-27</t>
  </si>
  <si>
    <t>235-27</t>
  </si>
  <si>
    <t>908-27</t>
  </si>
  <si>
    <t>241-27</t>
  </si>
  <si>
    <t>234-27</t>
  </si>
  <si>
    <t>243-27</t>
  </si>
  <si>
    <t>239-27</t>
  </si>
  <si>
    <t>238-27</t>
  </si>
  <si>
    <t>240-27</t>
  </si>
  <si>
    <t>315-27</t>
  </si>
  <si>
    <t>242-27</t>
  </si>
  <si>
    <t>309-27</t>
  </si>
  <si>
    <t>244-27</t>
  </si>
  <si>
    <t>311-27</t>
  </si>
  <si>
    <t>313-27</t>
  </si>
  <si>
    <t>Drizzle</t>
  </si>
  <si>
    <t>Light Rain</t>
  </si>
  <si>
    <t>204:724</t>
  </si>
  <si>
    <t>204:232652</t>
  </si>
  <si>
    <t>204:717</t>
  </si>
  <si>
    <t>204:233342</t>
  </si>
  <si>
    <t>204:232685</t>
  </si>
  <si>
    <t>204:703</t>
  </si>
  <si>
    <t>204:232642</t>
  </si>
  <si>
    <t>204:233274</t>
  </si>
  <si>
    <t>204:232966</t>
  </si>
  <si>
    <t>204:232963</t>
  </si>
  <si>
    <t>204:721</t>
  </si>
  <si>
    <t>204:734</t>
  </si>
  <si>
    <t>204:775</t>
  </si>
  <si>
    <t>204:233283</t>
  </si>
  <si>
    <t>204:232976</t>
  </si>
  <si>
    <t>204:165</t>
  </si>
  <si>
    <t>204:232987</t>
  </si>
  <si>
    <t>204:475</t>
  </si>
  <si>
    <t>204:233249</t>
  </si>
  <si>
    <t>204:232932</t>
  </si>
  <si>
    <t>204:233304</t>
  </si>
  <si>
    <t>204:193889</t>
  </si>
  <si>
    <t>204:174</t>
  </si>
  <si>
    <t>204:233418</t>
  </si>
  <si>
    <t>204:233381</t>
  </si>
  <si>
    <t>204:233157</t>
  </si>
  <si>
    <t>204:233276</t>
  </si>
  <si>
    <t>204:233062</t>
  </si>
  <si>
    <t>204:185</t>
  </si>
  <si>
    <t>204:233370</t>
  </si>
  <si>
    <t>204:233051</t>
  </si>
  <si>
    <t>204:482</t>
  </si>
  <si>
    <t>204:233359</t>
  </si>
  <si>
    <t>204:233049</t>
  </si>
  <si>
    <t>204:462</t>
  </si>
  <si>
    <t>204:205</t>
  </si>
  <si>
    <t>204:233094</t>
  </si>
  <si>
    <t>204:233451</t>
  </si>
  <si>
    <t>204:233106</t>
  </si>
  <si>
    <t>204:233224</t>
  </si>
  <si>
    <t>204:232973</t>
  </si>
  <si>
    <t>204:548</t>
  </si>
  <si>
    <t>204:232961</t>
  </si>
  <si>
    <t>204:181</t>
  </si>
  <si>
    <t>204:233363</t>
  </si>
  <si>
    <t>204:88</t>
  </si>
  <si>
    <t>204:232988</t>
  </si>
  <si>
    <t>204:127851</t>
  </si>
  <si>
    <t>204:223098</t>
  </si>
  <si>
    <t>204:212636</t>
  </si>
  <si>
    <t>204:190199</t>
  </si>
  <si>
    <t>204:489</t>
  </si>
  <si>
    <t>204:213622</t>
  </si>
  <si>
    <t>204:233091</t>
  </si>
  <si>
    <t>204:220946</t>
  </si>
  <si>
    <t>204:154227</t>
  </si>
  <si>
    <t>204:153958</t>
  </si>
  <si>
    <t>204:153721</t>
  </si>
  <si>
    <t>204:128263</t>
  </si>
  <si>
    <t>204:127996</t>
  </si>
  <si>
    <t>204:212494</t>
  </si>
  <si>
    <t>204:127878</t>
  </si>
  <si>
    <t>204:215992</t>
  </si>
  <si>
    <t>204:127839</t>
  </si>
  <si>
    <t>204:233132</t>
  </si>
  <si>
    <t>204:223227</t>
  </si>
  <si>
    <t>204:431</t>
  </si>
  <si>
    <t>204:233286</t>
  </si>
  <si>
    <t>204:232960</t>
  </si>
  <si>
    <t>204:232950</t>
  </si>
  <si>
    <t>204:232635</t>
  </si>
  <si>
    <t>204:232959</t>
  </si>
  <si>
    <t>204:232639</t>
  </si>
  <si>
    <t>204:947</t>
  </si>
  <si>
    <t>204:232951</t>
  </si>
  <si>
    <t>204:74235</t>
  </si>
  <si>
    <t>204:635</t>
  </si>
  <si>
    <t>300:19400</t>
  </si>
  <si>
    <t>204:398</t>
  </si>
  <si>
    <t>300:23310</t>
  </si>
  <si>
    <t>300:22170</t>
  </si>
  <si>
    <t>300:23004</t>
  </si>
  <si>
    <t>300:23189</t>
  </si>
  <si>
    <t>300:23463</t>
  </si>
  <si>
    <t>300:23364</t>
  </si>
  <si>
    <t>300:23314</t>
  </si>
  <si>
    <t>300:23472</t>
  </si>
  <si>
    <t>204:602</t>
  </si>
  <si>
    <t>204:325</t>
  </si>
  <si>
    <t>300:21801</t>
  </si>
  <si>
    <t>204:131</t>
  </si>
  <si>
    <t>300:24250</t>
  </si>
  <si>
    <t>204:1469</t>
  </si>
  <si>
    <t>204:128007</t>
  </si>
  <si>
    <t>204:128008</t>
  </si>
  <si>
    <t>204:10208</t>
  </si>
  <si>
    <t>204:10272</t>
  </si>
  <si>
    <t>204:128011</t>
  </si>
  <si>
    <t>300:22238</t>
  </si>
  <si>
    <t>204:142</t>
  </si>
  <si>
    <t>300:58709</t>
  </si>
  <si>
    <t>204:726</t>
  </si>
  <si>
    <t>204:995</t>
  </si>
  <si>
    <t>300:59012</t>
  </si>
  <si>
    <t>300:58700</t>
  </si>
  <si>
    <t>204:642</t>
  </si>
  <si>
    <t>204:969</t>
  </si>
  <si>
    <t>204:699</t>
  </si>
  <si>
    <t>204:929</t>
  </si>
  <si>
    <t>300:59003</t>
  </si>
  <si>
    <t>300:58688</t>
  </si>
  <si>
    <t>204:649</t>
  </si>
  <si>
    <t>204:986</t>
  </si>
  <si>
    <t>204:696</t>
  </si>
  <si>
    <t>204:909</t>
  </si>
  <si>
    <t>300:59010</t>
  </si>
  <si>
    <t>204:10440</t>
  </si>
  <si>
    <t>204:128275</t>
  </si>
  <si>
    <t>204:10511</t>
  </si>
  <si>
    <t>204:128264</t>
  </si>
  <si>
    <t>204:128269</t>
  </si>
  <si>
    <t>300:58702</t>
  </si>
  <si>
    <t>204:656</t>
  </si>
  <si>
    <t>204:972</t>
  </si>
  <si>
    <t>204:978</t>
  </si>
  <si>
    <t>300:58937</t>
  </si>
  <si>
    <t>204:1067</t>
  </si>
  <si>
    <t>300:58613</t>
  </si>
  <si>
    <t>204:983</t>
  </si>
  <si>
    <t>300:58926</t>
  </si>
  <si>
    <t>300:58619</t>
  </si>
  <si>
    <t>204:710</t>
  </si>
  <si>
    <t>204:1002</t>
  </si>
  <si>
    <t>204:953</t>
  </si>
  <si>
    <t>300:58608</t>
  </si>
  <si>
    <t>204:937</t>
  </si>
  <si>
    <t>204:668</t>
  </si>
  <si>
    <t>204:936</t>
  </si>
  <si>
    <t>300:58609</t>
  </si>
  <si>
    <t>204:645</t>
  </si>
  <si>
    <t>300:57553</t>
  </si>
  <si>
    <t>204:657</t>
  </si>
  <si>
    <t>204:948</t>
  </si>
  <si>
    <t>300:58928</t>
  </si>
  <si>
    <t>300:58952</t>
  </si>
  <si>
    <t>300:58634</t>
  </si>
  <si>
    <t>204:932</t>
  </si>
  <si>
    <t>204:654</t>
  </si>
  <si>
    <t>204:955</t>
  </si>
  <si>
    <t>300:58924</t>
  </si>
  <si>
    <t>300:58621</t>
  </si>
  <si>
    <t>204:957</t>
  </si>
  <si>
    <t>300:58922</t>
  </si>
  <si>
    <t>204:666</t>
  </si>
  <si>
    <t>204:944</t>
  </si>
  <si>
    <t>204:650</t>
  </si>
  <si>
    <t>204:946</t>
  </si>
  <si>
    <t>300:58920</t>
  </si>
  <si>
    <t>204:127857</t>
  </si>
  <si>
    <t>300:22986</t>
  </si>
  <si>
    <t>300:29806</t>
  </si>
  <si>
    <t>300:59005</t>
  </si>
  <si>
    <t>300:23430</t>
  </si>
  <si>
    <t>300:23199</t>
  </si>
  <si>
    <t>204:934</t>
  </si>
  <si>
    <t>300:25440</t>
  </si>
  <si>
    <t>300:22999</t>
  </si>
  <si>
    <t>204:663</t>
  </si>
  <si>
    <t>300:28776</t>
  </si>
  <si>
    <t>300:21721</t>
  </si>
  <si>
    <t>start /low /b %USERPROFILE%\Documents\GitHub\eaglep3\Utilities\DownloadLogsFromS3.py --loco 4053 --day 2017-03-27</t>
  </si>
  <si>
    <t>start /low /b %USERPROFILE%\Documents\GitHub\eaglep3\Utilities\DownloadLogsFromS3.py --loco 4054 --day 2017-03-27</t>
  </si>
  <si>
    <t>start /low /b %USERPROFILE%\Documents\GitHub\eaglep3\Utilities\DownloadLogsFromS3.py --loco 4016 --day 2017-03-27</t>
  </si>
  <si>
    <t>start /low /b %USERPROFILE%\Documents\GitHub\eaglep3\Utilities\DownloadLogsFromS3.py --loco 4014 --day 2017-03-27</t>
  </si>
  <si>
    <t>start /low /b %USERPROFILE%\Documents\GitHub\eaglep3\Utilities\DownloadLogsFromS3.py --loco 4003 --day 2017-03-27</t>
  </si>
  <si>
    <t>start /low /b %USERPROFILE%\Documents\GitHub\eaglep3\Utilities\DownloadLogsFromS3.py --loco 4013 --day 2017-03-27</t>
  </si>
  <si>
    <t>start /low /b %USERPROFILE%\Documents\GitHub\eaglep3\Utilities\DownloadLogsFromS3.py --loco 4051 --day 2017-03-27</t>
  </si>
  <si>
    <t>start /low /b %USERPROFILE%\Documents\GitHub\eaglep3\Utilities\DownloadLogsFromS3.py --loco 4052 --day 2017-03-27</t>
  </si>
  <si>
    <t>start /low /b %USERPROFILE%\Documents\GitHub\eaglep3\Utilities\DownloadLogsFromS3.py --loco 4027 --day 2017-03-27</t>
  </si>
  <si>
    <t>start /low /b %USERPROFILE%\Documents\GitHub\eaglep3\Utilities\DownloadLogsFromS3.py --loco 4004 --day 2017-03-27</t>
  </si>
  <si>
    <t>start /low /b %USERPROFILE%\Documents\GitHub\eaglep3\Utilities\DownloadLogsFromS3.py --loco 4004 --day 2017-03-28</t>
  </si>
  <si>
    <t>start /low /b %USERPROFILE%\Documents\GitHub\eaglep3\Utilities\DownloadLogsFromS3.py --loco 4014 --day 2017-03-28</t>
  </si>
  <si>
    <t>start /low /b %USERPROFILE%\Documents\GitHub\eaglep3\Utilities\DownloadLogsFromS3.py --loco 4040 --day 2017-03-27</t>
  </si>
  <si>
    <t>start /low /b %USERPROFILE%\Documents\GitHub\eaglep3\Utilities\DownloadLogsFromS3.py --loco 4054 --day 2017-03-28</t>
  </si>
  <si>
    <t>start /low /b %USERPROFILE%\Documents\GitHub\eaglep3\Utilities\DownloadLogsFromS3.py --loco 4025 --day 2017-03-27</t>
  </si>
  <si>
    <t>start /low /b %USERPROFILE%\Documents\GitHub\eaglep3\Utilities\DownloadLogsFromS3.py --loco 4015 --day 2017-03-27</t>
  </si>
  <si>
    <t>start /low /b %USERPROFILE%\Documents\GitHub\eaglep3\Utilities\DownloadLogsFromS3.py --loco 4028 --day 2017-03-28</t>
  </si>
  <si>
    <t>start /low /b %USERPROFILE%\Documents\GitHub\eaglep3\Utilities\DownloadLogsFromS3.py --loco 4026 --day 2017-03-27</t>
  </si>
  <si>
    <t>start /low /b %USERPROFILE%\Documents\GitHub\eaglep3\Utilities\DownloadLogsFromS3.py --loco 4027 --day 2017-03-28</t>
  </si>
  <si>
    <t>start /low /b %USERPROFILE%\Documents\GitHub\eaglep3\Utilities\DownloadLogsFromS3.py --loco 4039 --day 2017-03-27</t>
  </si>
  <si>
    <t>start /low /b %USERPROFILE%\Documents\GitHub\eaglep3\Utilities\DownloadLogsFromS3.py --loco 4043 --day 2017-03-28</t>
  </si>
  <si>
    <t>start /low /b %USERPROFILE%\Documents\GitHub\eaglep3\Utilities\DownloadLogsFromS3.py --loco 4043 --day 2017-03-27</t>
  </si>
  <si>
    <t>start /low /b %USERPROFILE%\Documents\GitHub\eaglep3\Utilities\DownloadLogsFromS3.py --loco 4010 --day 2017-03-27</t>
  </si>
  <si>
    <t>start /low /b %USERPROFILE%\Documents\GitHub\eaglep3\Utilities\DownloadLogsFromS3.py --loco 4044 --day 2017-03-27</t>
  </si>
  <si>
    <t xml:space="preserve">Wheel tach slip at 06:35:51 </t>
  </si>
  <si>
    <t>Premature downgrade at Pena 2N</t>
  </si>
  <si>
    <t>At 11:15:09, Pena 2N dropped from PROCEED CAB to STOP while the train was approaching. Do logs tell of anything unusual at this time?</t>
  </si>
  <si>
    <t>Signaling system failure - CP 78th faulty relay</t>
  </si>
  <si>
    <t>Onboard in-route failure</t>
  </si>
  <si>
    <t>Cancelled due to signaling system failure</t>
  </si>
  <si>
    <t>Overspeed</t>
  </si>
  <si>
    <t>DUS 28S fluctuating aspects</t>
  </si>
  <si>
    <t>During timeframe 18:24:12 - 18:24:25, DUS 28S flipped between PROCEED CAB and STOP a few times. This seems unintended (unless the dispatcher was spamming requests/stops?). Do logs tell anything interesting?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</si>
</sst>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zoomScaleNormal="100" workbookViewId="0">
      <selection activeCell="V13" sqref="V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42821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142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130</v>
      </c>
      <c r="K5" s="40"/>
      <c r="L5" s="40"/>
      <c r="M5" s="41">
        <f>AVERAGEIFS($N$13:$N$9331,$AG$13:$AG$9331,I1)</f>
        <v>38.637820512486194</v>
      </c>
      <c r="N5" s="39">
        <f t="array" ref="N5">MIN(IF($AG$13:$AG$9331=I1,IF(ISNUMBER($N$13:$N$9331),IF($N$13:$N$9331&gt;0,$N$13:$N$9331))))</f>
        <v>23.133333334699273</v>
      </c>
      <c r="O5" s="3">
        <f t="array" ref="O5">MAX(IF($AG$13:$AG$9331=I1,IF(ISNUMBER($N$13:$N$9331),IF($N$13:$N$9331&gt;0,$N$13:$N$9331))))</f>
        <v>56.899999994784594</v>
      </c>
      <c r="P5" s="2"/>
      <c r="R5" s="74" t="s">
        <v>17</v>
      </c>
      <c r="S5" s="50">
        <f>COUNTIFS($N$13:$N$9331,"&gt;0",$AG$13:$AG$9331,R1)</f>
        <v>47</v>
      </c>
      <c r="T5" s="40"/>
      <c r="U5" s="173"/>
      <c r="V5" s="170">
        <f>AVERAGEIFS($N$13:$N$9331,$AG$13:$AG$9331,R1)</f>
        <v>15.271985816169886</v>
      </c>
      <c r="W5" s="171">
        <f t="array" ref="W5">MIN(IF($AG$13:$AG$9331=R1,IF(ISNUMBER($N$13:$N$9331),IF($N$13:$N$9331&gt;0,$N$13:$N$9331))))</f>
        <v>12.566666670609266</v>
      </c>
      <c r="X5" s="172">
        <f t="array" ref="X5">MAX(IF($AG$13:$AG$9331=R1,IF(ISNUMBER($N$13:$N$9331),IF($N$13:$N$9331&gt;0,$N$13:$N$9331))))</f>
        <v>21.166666669305414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COUNT($O$13:$O$115)</f>
        <v>0</v>
      </c>
      <c r="K6" s="40"/>
      <c r="L6" s="40"/>
      <c r="M6" s="41">
        <f>IFERROR(AVERAGE($O$13:$O$115),0)</f>
        <v>0</v>
      </c>
      <c r="N6" s="39">
        <f>MIN($O$13:$O$115)</f>
        <v>0</v>
      </c>
      <c r="O6" s="3">
        <f>MAX($O$13:$O$115)</f>
        <v>0</v>
      </c>
      <c r="P6" s="2"/>
      <c r="R6" s="75" t="s">
        <v>43</v>
      </c>
      <c r="S6" s="50">
        <f>COUNT($O$13:$O$115)</f>
        <v>0</v>
      </c>
      <c r="T6" s="40"/>
      <c r="U6" s="173"/>
      <c r="V6" s="170">
        <f>IFERROR(AVERAGE($O$13:$O$115),0)</f>
        <v>0</v>
      </c>
      <c r="W6" s="171">
        <f>MIN($O$13:$O$115)</f>
        <v>0</v>
      </c>
      <c r="X6" s="172">
        <f>MAX($O$13:$O$115)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12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130</v>
      </c>
      <c r="K8" s="40"/>
      <c r="L8" s="40"/>
      <c r="M8" s="41">
        <f>M5</f>
        <v>38.637820512486194</v>
      </c>
      <c r="N8" s="39">
        <f>N5</f>
        <v>23.133333334699273</v>
      </c>
      <c r="O8" s="3">
        <f>O5</f>
        <v>56.899999994784594</v>
      </c>
      <c r="P8" s="2"/>
      <c r="R8" s="74" t="s">
        <v>16</v>
      </c>
      <c r="S8" s="50">
        <f>S5</f>
        <v>47</v>
      </c>
      <c r="T8" s="40"/>
      <c r="U8" s="173"/>
      <c r="V8" s="170">
        <f>V5</f>
        <v>15.271985816169886</v>
      </c>
      <c r="W8" s="171">
        <f>W5</f>
        <v>12.566666670609266</v>
      </c>
      <c r="X8" s="172">
        <f>X5</f>
        <v>21.166666669305414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0.91549295774647887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- 2017-03-27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AVERAGE(S13:S87)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587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631</v>
      </c>
      <c r="B13" s="7">
        <v>4051</v>
      </c>
      <c r="C13" s="21" t="s">
        <v>218</v>
      </c>
      <c r="D13" s="21" t="s">
        <v>828</v>
      </c>
      <c r="E13" s="13">
        <v>42821.126064814816</v>
      </c>
      <c r="F13" s="13">
        <v>42821.135613425926</v>
      </c>
      <c r="G13" s="7">
        <v>1</v>
      </c>
      <c r="H13" s="21" t="s">
        <v>571</v>
      </c>
      <c r="I13" s="13">
        <v>42821.160439814812</v>
      </c>
      <c r="J13" s="7">
        <v>0</v>
      </c>
      <c r="K13" s="97" t="str">
        <f t="shared" ref="K13:K76" si="0">IF(ISEVEN(B13),(B13-1)&amp;"/"&amp;B13,B13&amp;"/"&amp;(B13+1))</f>
        <v>4051/4052</v>
      </c>
      <c r="L13" s="21" t="str">
        <f>VLOOKUP(A13,'Trips&amp;Operators'!$C$1:$G$99999,5,FALSE)</f>
        <v>SANTIZO D. EDY</v>
      </c>
      <c r="M13" s="6">
        <f t="shared" ref="M13:M76" si="1">I13-F13</f>
        <v>2.4826388886140194E-2</v>
      </c>
      <c r="N13" s="7">
        <f t="shared" ref="N13:N44" si="2">24*60*SUM($M13:$M13)</f>
        <v>35.749999996041879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-27T02:01:32-0600',mode:absolute,to:'2017-03-27T04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183" t="str">
        <f t="shared" ref="W13:W76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76" si="8">RIGHT(D13,LEN(D13)-4)/10000</f>
        <v>7.2400000000000006E-2</v>
      </c>
      <c r="Z13" s="62">
        <f t="shared" ref="Z13:Z44" si="9">RIGHT(H13,LEN(H13)-4)/10000</f>
        <v>23.327999999999999</v>
      </c>
      <c r="AA13" s="62">
        <f t="shared" ref="AA13:AA76" si="10">ABS(Z13-Y13)</f>
        <v>23.255600000000001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/stypes="app*4051*20170327*"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4051 --swversion DE.1.0.9.0 --startMP 204:724 --initTime 2017-03-27T03:01:32 --startdatetime 2017-03-27T03:15:17 --delay 1 --endMP 204:233280 --enddatetime 2017-03-27T03:51:02 --enforcementcount 0 &gt;&gt;C:\Users\stu\Documents\GitHub\eaglep3-reporting\EC\2017-03-27-refined-times.txt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api","custom_fields":[{"id":1,"name":"Subdivision","value":"EC"},{"id":4,"name":"Milepost","value":"23.328"},{"id":17,"name":"Train ID","value":"101-27"},{"id":16,"name":"Locomotive ID","value":"4051"},{"id":130,"name":"Impact","value":""},{"id":150,"name":"Time of Event (Mountain Time)","value":"03:51:02"},{"id":151,"name":"Denver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 t="s">
        <v>590</v>
      </c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4051 --day 2017-03-27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09:51:02"},{"id":29,"name":"Sharepoint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636</v>
      </c>
      <c r="B14" s="7">
        <v>4039</v>
      </c>
      <c r="C14" s="21" t="s">
        <v>218</v>
      </c>
      <c r="D14" s="21" t="s">
        <v>829</v>
      </c>
      <c r="E14" s="13">
        <v>42821.163518518515</v>
      </c>
      <c r="F14" s="13">
        <v>42821.174513888887</v>
      </c>
      <c r="G14" s="7">
        <v>1</v>
      </c>
      <c r="H14" s="21" t="s">
        <v>184</v>
      </c>
      <c r="I14" s="13">
        <v>42821.200694444444</v>
      </c>
      <c r="J14" s="7">
        <v>0</v>
      </c>
      <c r="K14" s="97" t="str">
        <f t="shared" si="0"/>
        <v>4039/4040</v>
      </c>
      <c r="L14" s="21" t="str">
        <f>VLOOKUP(A14,'Trips&amp;Operators'!$C$1:$G$99999,5,FALSE)</f>
        <v>SANTIZO D. EDY</v>
      </c>
      <c r="M14" s="6">
        <f t="shared" si="1"/>
        <v>2.6180555556493346E-2</v>
      </c>
      <c r="N14" s="7">
        <f t="shared" si="2"/>
        <v>37.700000001350418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-03-27T02:55:28-0600',mode:absolute,to:'2017-03-27T05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23.2652</v>
      </c>
      <c r="Z14" s="62">
        <f t="shared" si="9"/>
        <v>1.49E-2</v>
      </c>
      <c r="AA14" s="62">
        <f t="shared" si="10"/>
        <v>23.250299999999999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0102-27</v>
      </c>
      <c r="AE14" s="85" t="str">
        <f t="shared" si="12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14" s="82" t="str">
        <f t="shared" si="13"/>
        <v>"C:\Program Files (x86)\AstroGrep\AstroGrep.exe" /e /r /s /spath="%USERPROFILE%\AppData\Local\Temp\OnboardLogs" /stypes="app*4039*20170327*"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4039 --swversion DE.1.0.9.0 --startMP 204:232652 --initTime 2017-03-27T03:55:28 --startdatetime 2017-03-27T04:11:18 --delay 1 --endMP 204:149 --enddatetime 2017-03-27T04:49:00 --enforcementcount 0 &gt;&gt;C:\Users\stu\Documents\GitHub\eaglep3-reporting\EC\2017-03-27-refined-times.txt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{"issue":{"subject":"","project_id":79,"tracker_id":40,"status_id":1,"priority_id":2,"assigned_to_id":23,"start_date":"2017-03-27","description":"test from api","custom_fields":[{"id":1,"name":"Subdivision","value":"EC"},{"id":4,"name":"Milepost","value":"0.0149"},{"id":17,"name":"Train ID","value":"102-27"},{"id":16,"name":"Locomotive ID","value":"4039"},{"id":130,"name":"Impact","value":""},{"id":150,"name":"Time of Event (Mountain Time)","value":"04:49:00"},{"id":151,"name":"Denver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 t="s">
        <v>590</v>
      </c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4039 --day 2017-03-27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633</v>
      </c>
      <c r="B15" s="7">
        <v>4053</v>
      </c>
      <c r="C15" s="21" t="s">
        <v>218</v>
      </c>
      <c r="D15" s="21" t="s">
        <v>830</v>
      </c>
      <c r="E15" s="13">
        <v>42821.152511574073</v>
      </c>
      <c r="F15" s="13">
        <v>42821.156527777777</v>
      </c>
      <c r="G15" s="7">
        <v>1</v>
      </c>
      <c r="H15" s="21" t="s">
        <v>831</v>
      </c>
      <c r="I15" s="13">
        <v>42821.181967592594</v>
      </c>
      <c r="J15" s="7">
        <v>0</v>
      </c>
      <c r="K15" s="97" t="str">
        <f t="shared" si="0"/>
        <v>4053/4054</v>
      </c>
      <c r="L15" s="21" t="str">
        <f>VLOOKUP(A15,'Trips&amp;Operators'!$C$1:$G$99999,5,FALSE)</f>
        <v>MAELZER KURT</v>
      </c>
      <c r="M15" s="6">
        <f t="shared" si="1"/>
        <v>2.5439814817218576E-2</v>
      </c>
      <c r="N15" s="7">
        <f t="shared" si="2"/>
        <v>36.633333336794749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-03-27T02:39:37-0600',mode:absolute,to:'2017-03-27T05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7.17E-2</v>
      </c>
      <c r="Z15" s="62">
        <f t="shared" si="9"/>
        <v>23.334199999999999</v>
      </c>
      <c r="AA15" s="62">
        <f t="shared" si="10"/>
        <v>23.262499999999999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0103-27</v>
      </c>
      <c r="AE15" s="85" t="str">
        <f t="shared" si="12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15" s="82" t="str">
        <f t="shared" si="13"/>
        <v>"C:\Program Files (x86)\AstroGrep\AstroGrep.exe" /e /r /s /spath="%USERPROFILE%\AppData\Local\Temp\OnboardLogs" /stypes="app*4053*20170327*"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103-27 --locoid 4053 --swversion DE.1.0.9.0 --startMP 204:717 --initTime 2017-03-27T03:39:37 --startdatetime 2017-03-27T03:45:24 --delay 1 --endMP 204:233342 --enddatetime 2017-03-27T04:22:02 --enforcementcount 0 &gt;&gt;C:\Users\stu\Documents\GitHub\eaglep3-reporting\EC\2017-03-27-refined-times.txt</v>
      </c>
      <c r="AI1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api","custom_fields":[{"id":1,"name":"Subdivision","value":"EC"},{"id":4,"name":"Milepost","value":"23.3342"},{"id":17,"name":"Train ID","value":"103-27"},{"id":16,"name":"Locomotive ID","value":"4053"},{"id":130,"name":"Impact","value":""},{"id":150,"name":"Time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 t="s">
        <v>590</v>
      </c>
      <c r="AK15" s="48"/>
      <c r="AL15" s="48"/>
      <c r="AM15" s="150" t="str">
        <f t="shared" si="21"/>
        <v>start /low /b %USERPROFILE%\Documents\GitHub\eaglep3\Utilities\DownloadLogsFromS3.py --loco 4053 --day 2017-03-27</v>
      </c>
      <c r="AN1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644</v>
      </c>
      <c r="B16" s="7">
        <v>4015</v>
      </c>
      <c r="C16" s="21" t="s">
        <v>218</v>
      </c>
      <c r="D16" s="21" t="s">
        <v>832</v>
      </c>
      <c r="E16" s="13">
        <v>42821.188645833332</v>
      </c>
      <c r="F16" s="13">
        <v>42821.195543981485</v>
      </c>
      <c r="G16" s="7">
        <v>1</v>
      </c>
      <c r="H16" s="21" t="s">
        <v>199</v>
      </c>
      <c r="I16" s="13">
        <v>42821.222905092596</v>
      </c>
      <c r="J16" s="7">
        <v>0</v>
      </c>
      <c r="K16" s="97" t="str">
        <f t="shared" si="0"/>
        <v>4015/4016</v>
      </c>
      <c r="L16" s="21" t="str">
        <f>VLOOKUP(A16,'Trips&amp;Operators'!$C$1:$G$99999,5,FALSE)</f>
        <v>MAELZER KURT</v>
      </c>
      <c r="M16" s="6">
        <f t="shared" si="1"/>
        <v>2.73611111115315E-2</v>
      </c>
      <c r="N16" s="7">
        <f t="shared" si="2"/>
        <v>39.40000000060536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-03-27T03:31:39-0600',mode:absolute,to:'2017-03-27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23.2685</v>
      </c>
      <c r="Z16" s="62">
        <f t="shared" si="9"/>
        <v>1.52E-2</v>
      </c>
      <c r="AA16" s="62">
        <f t="shared" si="10"/>
        <v>23.253299999999999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0104-27</v>
      </c>
      <c r="AE16" s="85" t="str">
        <f t="shared" si="12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16" s="82" t="str">
        <f t="shared" si="13"/>
        <v>"C:\Program Files (x86)\AstroGrep\AstroGrep.exe" /e /r /s /spath="%USERPROFILE%\AppData\Local\Temp\OnboardLogs" /stypes="app*4015*20170327*"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104-27 --locoid 4015 --swversion DE.1.0.9.0 --startMP 204:232685 --initTime 2017-03-27T04:31:39 --startdatetime 2017-03-27T04:41:35 --delay 1 --endMP 204:152 --enddatetime 2017-03-27T05:20:59 --enforcementcount 0 &gt;&gt;C:\Users\stu\Documents\GitHub\eaglep3-reporting\EC\2017-03-27-refined-times.txt</v>
      </c>
      <c r="AI1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ID","value":"104-27"},{"id":16,"name":"Locomotive ID","value":"4015"},{"id":130,"name":"Impact","value":""},{"id":150,"name":"Time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 t="s">
        <v>590</v>
      </c>
      <c r="AK16" s="48"/>
      <c r="AL16" s="48"/>
      <c r="AM16" s="150" t="str">
        <f t="shared" si="21"/>
        <v>start /low /b %USERPROFILE%\Documents\GitHub\eaglep3\Utilities\DownloadLogsFromS3.py --loco 4015 --day 2017-03-27</v>
      </c>
      <c r="AN1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640</v>
      </c>
      <c r="B17" s="7">
        <v>4014</v>
      </c>
      <c r="C17" s="21" t="s">
        <v>218</v>
      </c>
      <c r="D17" s="21" t="s">
        <v>833</v>
      </c>
      <c r="E17" s="13">
        <v>42821.175578703704</v>
      </c>
      <c r="F17" s="13">
        <v>42821.177268518521</v>
      </c>
      <c r="G17" s="7">
        <v>1</v>
      </c>
      <c r="H17" s="21" t="s">
        <v>481</v>
      </c>
      <c r="I17" s="13">
        <v>42821.202685185184</v>
      </c>
      <c r="J17" s="7">
        <v>0</v>
      </c>
      <c r="K17" s="97" t="str">
        <f t="shared" si="0"/>
        <v>4013/4014</v>
      </c>
      <c r="L17" s="21" t="str">
        <f>VLOOKUP(A17,'Trips&amp;Operators'!$C$1:$G$99999,5,FALSE)</f>
        <v>STARKS ANGELINA</v>
      </c>
      <c r="M17" s="6">
        <f t="shared" si="1"/>
        <v>2.5416666663659271E-2</v>
      </c>
      <c r="N17" s="7">
        <f t="shared" si="2"/>
        <v>36.59999999566935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-03-27T03:12:50-0600',mode:absolute,to:'2017-03-27T05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7.0300000000000001E-2</v>
      </c>
      <c r="Z17" s="62">
        <f t="shared" si="9"/>
        <v>23.330100000000002</v>
      </c>
      <c r="AA17" s="62">
        <f t="shared" si="10"/>
        <v>23.259800000000002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0105-27</v>
      </c>
      <c r="AE17" s="85" t="str">
        <f t="shared" si="12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7" s="82" t="str">
        <f t="shared" si="13"/>
        <v>"C:\Program Files (x86)\AstroGrep\AstroGrep.exe" /e /r /s /spath="%USERPROFILE%\AppData\Local\Temp\OnboardLogs" /stypes="app*4014*20170327*"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105-27 --locoid 4014 --swversion DE.1.0.9.0 --startMP 204:703 --initTime 2017-03-27T04:12:50 --startdatetime 2017-03-27T04:15:16 --delay 1 --endMP 204:233301 --enddatetime 2017-03-27T04:51:52 --enforcementcount 0 &gt;&gt;C:\Users\stu\Documents\GitHub\eaglep3-reporting\EC\2017-03-27-refined-times.txt</v>
      </c>
      <c r="AI1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api","custom_fields":[{"id":1,"name":"Subdivision","value":"EC"},{"id":4,"name":"Milepost","value":"23.3301"},{"id":17,"name":"Train ID","value":"105-27"},{"id":16,"name":"Locomotive ID","value":"4014"},{"id":130,"name":"Impact","value":""},{"id":150,"name":"Time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 t="s">
        <v>590</v>
      </c>
      <c r="AK17" s="48"/>
      <c r="AL17" s="48"/>
      <c r="AM17" s="150" t="str">
        <f t="shared" si="21"/>
        <v>start /low /b %USERPROFILE%\Documents\GitHub\eaglep3\Utilities\DownloadLogsFromS3.py --loco 4014 --day 2017-03-27</v>
      </c>
      <c r="AN1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647</v>
      </c>
      <c r="B18" s="7">
        <v>4017</v>
      </c>
      <c r="C18" s="21" t="s">
        <v>218</v>
      </c>
      <c r="D18" s="21" t="s">
        <v>834</v>
      </c>
      <c r="E18" s="13">
        <v>42821.213680555556</v>
      </c>
      <c r="F18" s="13">
        <v>42821.216192129628</v>
      </c>
      <c r="G18" s="7">
        <v>0</v>
      </c>
      <c r="H18" s="21" t="s">
        <v>199</v>
      </c>
      <c r="I18" s="13">
        <v>42821.244363425925</v>
      </c>
      <c r="J18" s="7">
        <v>0</v>
      </c>
      <c r="K18" s="97" t="str">
        <f t="shared" si="0"/>
        <v>4017/4018</v>
      </c>
      <c r="L18" s="21" t="str">
        <f>VLOOKUP(A18,'Trips&amp;Operators'!$C$1:$G$99999,5,FALSE)</f>
        <v>STARKS ANGELINA</v>
      </c>
      <c r="M18" s="6">
        <f t="shared" si="1"/>
        <v>2.8171296296932269E-2</v>
      </c>
      <c r="N18" s="7">
        <f t="shared" si="2"/>
        <v>40.566666667582467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-03-27T04:07:42-0600',mode:absolute,to:'2017-03-27T06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23.264199999999999</v>
      </c>
      <c r="Z18" s="62">
        <f t="shared" si="9"/>
        <v>1.52E-2</v>
      </c>
      <c r="AA18" s="62">
        <f t="shared" si="10"/>
        <v>23.248999999999999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0106-27</v>
      </c>
      <c r="AE18" s="85" t="str">
        <f t="shared" si="12"/>
        <v>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 &amp; 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</v>
      </c>
      <c r="AF18" s="82" t="str">
        <f t="shared" si="13"/>
        <v>"C:\Program Files (x86)\AstroGrep\AstroGrep.exe" /e /r /s /spath="%USERPROFILE%\AppData\Local\Temp\OnboardLogs" /stypes="app*4017*20170327*"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106-27 --locoid 4017 --swversion DE.1.0.9.0 --startMP 204:232642 --initTime 2017-03-27T05:07:42 --startdatetime 2017-03-27T05:11:19 --delay 0 --endMP 204:152 --enddatetime 2017-03-27T05:51:53 --enforcementcount 0 &gt;&gt;C:\Users\stu\Documents\GitHub\eaglep3-reporting\EC\2017-03-27-refined-times.txt</v>
      </c>
      <c r="AI18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ID","value":"106-27"},{"id":16,"name":"Locomotive ID","value":"4017"},{"id":130,"name":"Impact","value":""},{"id":150,"name":"Time of Event (Mountain Time)","value":"05:51:53"},{"id":151,"name":"Denver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 t="s">
        <v>590</v>
      </c>
      <c r="AK18" s="48"/>
      <c r="AL18" s="48"/>
      <c r="AM18" s="150" t="str">
        <f t="shared" si="21"/>
        <v>start /low /b %USERPROFILE%\Documents\GitHub\eaglep3\Utilities\DownloadLogsFromS3.py --loco 4017 --day 2017-03-27</v>
      </c>
      <c r="AN18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642</v>
      </c>
      <c r="B19" s="7">
        <v>4003</v>
      </c>
      <c r="C19" s="21" t="s">
        <v>218</v>
      </c>
      <c r="D19" s="21" t="s">
        <v>513</v>
      </c>
      <c r="E19" s="13">
        <v>42821.181990740741</v>
      </c>
      <c r="F19" s="13">
        <v>42821.187662037039</v>
      </c>
      <c r="G19" s="7">
        <v>1</v>
      </c>
      <c r="H19" s="21" t="s">
        <v>835</v>
      </c>
      <c r="I19" s="13">
        <v>42821.215312499997</v>
      </c>
      <c r="J19" s="7">
        <v>0</v>
      </c>
      <c r="K19" s="97" t="str">
        <f t="shared" si="0"/>
        <v>4003/4004</v>
      </c>
      <c r="L19" s="21" t="str">
        <f>VLOOKUP(A19,'Trips&amp;Operators'!$C$1:$G$99999,5,FALSE)</f>
        <v>MENGES BRAD</v>
      </c>
      <c r="M19" s="6">
        <f t="shared" si="1"/>
        <v>2.7650462958263233E-2</v>
      </c>
      <c r="N19" s="7">
        <f t="shared" si="2"/>
        <v>39.816666659899056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-03-27T03:22:04-0600',mode:absolute,to:'2017-03-27T06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4.4699999999999997E-2</v>
      </c>
      <c r="Z19" s="62">
        <f t="shared" si="9"/>
        <v>23.327400000000001</v>
      </c>
      <c r="AA19" s="62">
        <f t="shared" si="10"/>
        <v>23.282700000000002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0107-27</v>
      </c>
      <c r="AE19" s="85" t="str">
        <f t="shared" si="12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19" s="82" t="str">
        <f t="shared" si="13"/>
        <v>"C:\Program Files (x86)\AstroGrep\AstroGrep.exe" /e /r /s /spath="%USERPROFILE%\AppData\Local\Temp\OnboardLogs" /stypes="app*4003*20170327*"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107-27 --locoid 4003 --swversion DE.1.0.9.0 --startMP 204:447 --initTime 2017-03-27T04:22:04 --startdatetime 2017-03-27T04:30:14 --delay 1 --endMP 204:233274 --enddatetime 2017-03-27T05:10:03 --enforcementcount 0 &gt;&gt;C:\Users\stu\Documents\GitHub\eaglep3-reporting\EC\2017-03-27-refined-times.txt</v>
      </c>
      <c r="AI19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api","custom_fields":[{"id":1,"name":"Subdivision","value":"EC"},{"id":4,"name":"Milepost","value":"23.3274"},{"id":17,"name":"Train ID","value":"107-27"},{"id":16,"name":"Locomotive ID","value":"4003"},{"id":130,"name":"Impact","value":""},{"id":150,"name":"Time of Event (Mountain Time)","value":"05:10:03"},{"id":151,"name":"Denver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 t="s">
        <v>590</v>
      </c>
      <c r="AK19" s="48"/>
      <c r="AL19" s="48"/>
      <c r="AM19" s="150" t="str">
        <f t="shared" si="21"/>
        <v>start /low /b %USERPROFILE%\Documents\GitHub\eaglep3\Utilities\DownloadLogsFromS3.py --loco 4003 --day 2017-03-27</v>
      </c>
      <c r="AN19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648</v>
      </c>
      <c r="B20" s="7">
        <v>4004</v>
      </c>
      <c r="C20" s="21" t="s">
        <v>218</v>
      </c>
      <c r="D20" s="21" t="s">
        <v>836</v>
      </c>
      <c r="E20" s="13">
        <v>42821.220081018517</v>
      </c>
      <c r="F20" s="13">
        <v>42821.226574074077</v>
      </c>
      <c r="G20" s="7">
        <v>1</v>
      </c>
      <c r="H20" s="21" t="s">
        <v>214</v>
      </c>
      <c r="I20" s="13">
        <v>42821.254930555559</v>
      </c>
      <c r="J20" s="7">
        <v>0</v>
      </c>
      <c r="K20" s="97" t="str">
        <f t="shared" si="0"/>
        <v>4003/4004</v>
      </c>
      <c r="L20" s="21" t="str">
        <f>VLOOKUP(A20,'Trips&amp;Operators'!$C$1:$G$99999,5,FALSE)</f>
        <v>MENGES BRAD</v>
      </c>
      <c r="M20" s="6">
        <f t="shared" si="1"/>
        <v>2.8356481481750961E-2</v>
      </c>
      <c r="N20" s="7">
        <f t="shared" si="2"/>
        <v>40.833333333721384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-03-27T04:16:55-0600',mode:absolute,to:'2017-03-27T07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23.296600000000002</v>
      </c>
      <c r="Z20" s="62">
        <f t="shared" si="9"/>
        <v>1.47E-2</v>
      </c>
      <c r="AA20" s="62">
        <f t="shared" si="10"/>
        <v>23.2819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0108-27</v>
      </c>
      <c r="AE20" s="85" t="str">
        <f t="shared" si="12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20" s="82" t="str">
        <f t="shared" si="13"/>
        <v>"C:\Program Files (x86)\AstroGrep\AstroGrep.exe" /e /r /s /spath="%USERPROFILE%\AppData\Local\Temp\OnboardLogs" /stypes="app*4004*20170327*"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108-27 --locoid 4004 --swversion DE.1.0.9.0 --startMP 204:232966 --initTime 2017-03-27T05:16:55 --startdatetime 2017-03-27T05:26:16 --delay 1 --endMP 204:147 --enddatetime 2017-03-27T06:07:06 --enforcementcount 0 &gt;&gt;C:\Users\stu\Documents\GitHub\eaglep3-reporting\EC\2017-03-27-refined-times.txt</v>
      </c>
      <c r="AI2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api","custom_fields":[{"id":1,"name":"Subdivision","value":"EC"},{"id":4,"name":"Milepost","value":"0.0147"},{"id":17,"name":"Train ID","value":"108-27"},{"id":16,"name":"Locomotive ID","value":"4004"},{"id":130,"name":"Impact","value":""},{"id":150,"name":"Time of Event (Mountain Time)","value":"06:07:06"},{"id":151,"name":"Denver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 t="s">
        <v>590</v>
      </c>
      <c r="AK20" s="48"/>
      <c r="AL20" s="48"/>
      <c r="AM20" s="150" t="str">
        <f t="shared" si="21"/>
        <v>start /low /b %USERPROFILE%\Documents\GitHub\eaglep3\Utilities\DownloadLogsFromS3.py --loco 4004 --day 2017-03-27</v>
      </c>
      <c r="AN2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643</v>
      </c>
      <c r="B21" s="7">
        <v>4025</v>
      </c>
      <c r="C21" s="21" t="s">
        <v>218</v>
      </c>
      <c r="D21" s="21" t="s">
        <v>220</v>
      </c>
      <c r="E21" s="13">
        <v>42821.186956018515</v>
      </c>
      <c r="F21" s="13">
        <v>42821.198136574072</v>
      </c>
      <c r="G21" s="7">
        <v>1</v>
      </c>
      <c r="H21" s="21" t="s">
        <v>479</v>
      </c>
      <c r="I21" s="13">
        <v>42821.223333333335</v>
      </c>
      <c r="J21" s="7">
        <v>0</v>
      </c>
      <c r="K21" s="97" t="str">
        <f t="shared" si="0"/>
        <v>4025/4026</v>
      </c>
      <c r="L21" s="21" t="str">
        <f>VLOOKUP(A21,'Trips&amp;Operators'!$C$1:$G$99999,5,FALSE)</f>
        <v>MAYBERRY BILL</v>
      </c>
      <c r="M21" s="6">
        <f t="shared" si="1"/>
        <v>2.5196759263053536E-2</v>
      </c>
      <c r="N21" s="7">
        <f t="shared" si="2"/>
        <v>36.283333338797092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-03-27T03:29:13-0600',mode:absolute,to:'2017-03-27T06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4.6699999999999998E-2</v>
      </c>
      <c r="Z21" s="62">
        <f t="shared" si="9"/>
        <v>23.3291</v>
      </c>
      <c r="AA21" s="62">
        <f t="shared" si="10"/>
        <v>23.282399999999999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0109-27</v>
      </c>
      <c r="AE21" s="85" t="str">
        <f t="shared" si="12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21" s="82" t="str">
        <f t="shared" si="13"/>
        <v>"C:\Program Files (x86)\AstroGrep\AstroGrep.exe" /e /r /s /spath="%USERPROFILE%\AppData\Local\Temp\OnboardLogs" /stypes="app*4025*20170327*"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109-27 --locoid 4025 --swversion DE.1.0.9.0 --startMP 204:467 --initTime 2017-03-27T04:29:13 --startdatetime 2017-03-27T04:45:19 --delay 1 --endMP 204:233291 --enddatetime 2017-03-27T05:21:36 --enforcementcount 0 &gt;&gt;C:\Users\stu\Documents\GitHub\eaglep3-reporting\EC\2017-03-27-refined-times.txt</v>
      </c>
      <c r="AI2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api","custom_fields":[{"id":1,"name":"Subdivision","value":"EC"},{"id":4,"name":"Milepost","value":"23.3291"},{"id":17,"name":"Train ID","value":"109-27"},{"id":16,"name":"Locomotive ID","value":"4025"},{"id":130,"name":"Impact","value":""},{"id":150,"name":"Time of Event (Mountain Time)","value":"05:21:36"},{"id":151,"name":"Denver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 t="s">
        <v>590</v>
      </c>
      <c r="AK21" s="48"/>
      <c r="AL21" s="48"/>
      <c r="AM21" s="150" t="str">
        <f t="shared" si="21"/>
        <v>start /low /b %USERPROFILE%\Documents\GitHub\eaglep3\Utilities\DownloadLogsFromS3.py --loco 4025 --day 2017-03-27</v>
      </c>
      <c r="AN2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594</v>
      </c>
      <c r="B22" s="7">
        <v>4026</v>
      </c>
      <c r="C22" s="21" t="s">
        <v>218</v>
      </c>
      <c r="D22" s="21" t="s">
        <v>837</v>
      </c>
      <c r="E22" s="13">
        <v>42821.224861111114</v>
      </c>
      <c r="F22" s="13">
        <v>42821.236979166664</v>
      </c>
      <c r="G22" s="7">
        <v>1</v>
      </c>
      <c r="H22" s="21" t="s">
        <v>184</v>
      </c>
      <c r="I22" s="13">
        <v>42821.268784722219</v>
      </c>
      <c r="J22" s="7">
        <v>0</v>
      </c>
      <c r="K22" s="97" t="str">
        <f t="shared" si="0"/>
        <v>4025/4026</v>
      </c>
      <c r="L22" s="21" t="str">
        <f>VLOOKUP(A22,'Trips&amp;Operators'!$C$1:$G$99999,5,FALSE)</f>
        <v>MAYBERRY BILL</v>
      </c>
      <c r="M22" s="6">
        <f t="shared" si="1"/>
        <v>3.1805555554456078E-2</v>
      </c>
      <c r="N22" s="7">
        <f t="shared" si="2"/>
        <v>45.799999998416752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-03-27T04:23:48-0600',mode:absolute,to:'2017-03-27T07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23.296299999999999</v>
      </c>
      <c r="Z22" s="62">
        <f t="shared" si="9"/>
        <v>1.49E-2</v>
      </c>
      <c r="AA22" s="62">
        <f t="shared" si="10"/>
        <v>23.281399999999998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0110-27</v>
      </c>
      <c r="AE22" s="85" t="str">
        <f t="shared" si="12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22" s="82" t="str">
        <f t="shared" si="13"/>
        <v>"C:\Program Files (x86)\AstroGrep\AstroGrep.exe" /e /r /s /spath="%USERPROFILE%\AppData\Local\Temp\OnboardLogs" /stypes="app*4026*20170327*"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110-27 --locoid 4026 --swversion DE.1.0.9.0 --startMP 204:232963 --initTime 2017-03-27T05:23:48 --startdatetime 2017-03-27T05:41:15 --delay 1 --endMP 204:149 --enddatetime 2017-03-27T06:27:03 --enforcementcount 0 &gt;&gt;C:\Users\stu\Documents\GitHub\eaglep3-reporting\EC\2017-03-27-refined-times.txt</v>
      </c>
      <c r="AI2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api","custom_fields":[{"id":1,"name":"Subdivision","value":"EC"},{"id":4,"name":"Milepost","value":"0.0149"},{"id":17,"name":"Train ID","value":"110-27"},{"id":16,"name":"Locomotive ID","value":"4026"},{"id":130,"name":"Impact","value":""},{"id":150,"name":"Time of Event (Mountain Time)","value":"06:27:03"},{"id":151,"name":"Denver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 t="s">
        <v>590</v>
      </c>
      <c r="AK22" s="48"/>
      <c r="AL22" s="48"/>
      <c r="AM22" s="150" t="str">
        <f t="shared" si="21"/>
        <v>start /low /b %USERPROFILE%\Documents\GitHub\eaglep3\Utilities\DownloadLogsFromS3.py --loco 4026 --day 2017-03-27</v>
      </c>
      <c r="AN2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645</v>
      </c>
      <c r="B23" s="7">
        <v>4051</v>
      </c>
      <c r="C23" s="21" t="s">
        <v>218</v>
      </c>
      <c r="D23" s="21" t="s">
        <v>838</v>
      </c>
      <c r="E23" s="13">
        <v>42821.203182870369</v>
      </c>
      <c r="F23" s="13">
        <v>42821.208657407406</v>
      </c>
      <c r="G23" s="7">
        <v>1</v>
      </c>
      <c r="H23" s="21" t="s">
        <v>517</v>
      </c>
      <c r="I23" s="13">
        <v>42821.233206018522</v>
      </c>
      <c r="J23" s="7">
        <v>0</v>
      </c>
      <c r="K23" s="97" t="str">
        <f t="shared" si="0"/>
        <v>4051/4052</v>
      </c>
      <c r="L23" s="21" t="str">
        <f>VLOOKUP(A23,'Trips&amp;Operators'!$C$1:$G$99999,5,FALSE)</f>
        <v>YORK EDGAR</v>
      </c>
      <c r="M23" s="6">
        <f t="shared" si="1"/>
        <v>2.4548611116188113E-2</v>
      </c>
      <c r="N23" s="7">
        <f t="shared" si="2"/>
        <v>35.350000007310882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-03-27T03:52:35-0600',mode:absolute,to:'2017-03-27T06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7.2099999999999997E-2</v>
      </c>
      <c r="Z23" s="62">
        <f t="shared" si="9"/>
        <v>23.331</v>
      </c>
      <c r="AA23" s="62">
        <f t="shared" si="10"/>
        <v>23.258900000000001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0111-27</v>
      </c>
      <c r="AE23" s="85" t="str">
        <f t="shared" si="12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23" s="82" t="str">
        <f t="shared" si="13"/>
        <v>"C:\Program Files (x86)\AstroGrep\AstroGrep.exe" /e /r /s /spath="%USERPROFILE%\AppData\Local\Temp\OnboardLogs" /stypes="app*4051*20170327*"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111-27 --locoid 4051 --swversion DE.1.0.9.0 --startMP 204:721 --initTime 2017-03-27T04:52:35 --startdatetime 2017-03-27T05:00:28 --delay 1 --endMP 204:233310 --enddatetime 2017-03-27T05:35:49 --enforcementcount 0 &gt;&gt;C:\Users\stu\Documents\GitHub\eaglep3-reporting\EC\2017-03-27-refined-times.txt</v>
      </c>
      <c r="AI2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api","custom_fields":[{"id":1,"name":"Subdivision","value":"EC"},{"id":4,"name":"Milepost","value":"23.331"},{"id":17,"name":"Train ID","value":"111-27"},{"id":16,"name":"Locomotive ID","value":"4051"},{"id":130,"name":"Impact","value":""},{"id":150,"name":"Time of Event (Mountain Time)","value":"05:35:49"},{"id":151,"name":"Denver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 t="s">
        <v>590</v>
      </c>
      <c r="AK23" s="48"/>
      <c r="AL23" s="48"/>
      <c r="AM23" s="150" t="str">
        <f t="shared" si="21"/>
        <v>start /low /b %USERPROFILE%\Documents\GitHub\eaglep3\Utilities\DownloadLogsFromS3.py --loco 4051 --day 2017-03-27</v>
      </c>
      <c r="AN2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653</v>
      </c>
      <c r="B24" s="7">
        <v>4052</v>
      </c>
      <c r="C24" s="21" t="s">
        <v>218</v>
      </c>
      <c r="D24" s="21" t="s">
        <v>469</v>
      </c>
      <c r="E24" s="13">
        <v>42821.234212962961</v>
      </c>
      <c r="F24" s="13">
        <v>42821.247604166667</v>
      </c>
      <c r="G24" s="7">
        <v>0</v>
      </c>
      <c r="H24" s="21" t="s">
        <v>200</v>
      </c>
      <c r="I24" s="13">
        <v>42821.273969907408</v>
      </c>
      <c r="J24" s="7">
        <v>0</v>
      </c>
      <c r="K24" s="97" t="str">
        <f t="shared" si="0"/>
        <v>4051/4052</v>
      </c>
      <c r="L24" s="21" t="str">
        <f>VLOOKUP(A24,'Trips&amp;Operators'!$C$1:$G$99999,5,FALSE)</f>
        <v>YORK EDGAR</v>
      </c>
      <c r="M24" s="6">
        <f t="shared" si="1"/>
        <v>2.6365740741312038E-2</v>
      </c>
      <c r="N24" s="7">
        <f t="shared" si="2"/>
        <v>37.966666667489335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-03-27T04:37:16-0600',mode:absolute,to:'2017-03-27T07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23.297699999999999</v>
      </c>
      <c r="Z24" s="62">
        <f t="shared" si="9"/>
        <v>1.5800000000000002E-2</v>
      </c>
      <c r="AA24" s="62">
        <f t="shared" si="10"/>
        <v>23.2819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0112-27</v>
      </c>
      <c r="AE24" s="85" t="str">
        <f t="shared" si="12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24" s="82" t="str">
        <f t="shared" si="13"/>
        <v>"C:\Program Files (x86)\AstroGrep\AstroGrep.exe" /e /r /s /spath="%USERPROFILE%\AppData\Local\Temp\OnboardLogs" /stypes="app*4052*20170327*"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112-27 --locoid 4052 --swversion DE.1.0.9.0 --startMP 204:232977 --initTime 2017-03-27T05:37:16 --startdatetime 2017-03-27T05:56:33 --delay 0 --endMP 204:158 --enddatetime 2017-03-27T06:34:31 --enforcementcount 0 &gt;&gt;C:\Users\stu\Documents\GitHub\eaglep3-reporting\EC\2017-03-27-refined-times.txt</v>
      </c>
      <c r="AI2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api","custom_fields":[{"id":1,"name":"Subdivision","value":"EC"},{"id":4,"name":"Milepost","value":"0.0158"},{"id":17,"name":"Train ID","value":"112-27"},{"id":16,"name":"Locomotive ID","value":"4052"},{"id":130,"name":"Impact","value":""},{"id":150,"name":"Time of Event (Mountain Time)","value":"06:34:31"},{"id":151,"name":"Denver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 t="s">
        <v>590</v>
      </c>
      <c r="AK24" s="48"/>
      <c r="AL24" s="48"/>
      <c r="AM24" s="150" t="str">
        <f t="shared" si="21"/>
        <v>start /low /b %USERPROFILE%\Documents\GitHub\eaglep3\Utilities\DownloadLogsFromS3.py --loco 4052 --day 2017-03-27</v>
      </c>
      <c r="AN2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646</v>
      </c>
      <c r="B25" s="7">
        <v>4040</v>
      </c>
      <c r="C25" s="21" t="s">
        <v>218</v>
      </c>
      <c r="D25" s="21" t="s">
        <v>511</v>
      </c>
      <c r="E25" s="13">
        <v>42821.203483796293</v>
      </c>
      <c r="F25" s="13">
        <v>42821.218935185185</v>
      </c>
      <c r="G25" s="7">
        <v>1</v>
      </c>
      <c r="H25" s="21" t="s">
        <v>481</v>
      </c>
      <c r="I25" s="13">
        <v>42821.244259259256</v>
      </c>
      <c r="J25" s="7">
        <v>0</v>
      </c>
      <c r="K25" s="97" t="str">
        <f t="shared" si="0"/>
        <v>4039/4040</v>
      </c>
      <c r="L25" s="21" t="str">
        <f>VLOOKUP(A25,'Trips&amp;Operators'!$C$1:$G$99999,5,FALSE)</f>
        <v>SANTIZO D. EDY</v>
      </c>
      <c r="M25" s="6">
        <f t="shared" si="1"/>
        <v>2.5324074071249925E-2</v>
      </c>
      <c r="N25" s="7">
        <f t="shared" si="2"/>
        <v>36.466666662599891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-03-27T03:53:01-0600',mode:absolute,to:'2017-03-27T06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4.4400000000000002E-2</v>
      </c>
      <c r="Z25" s="62">
        <f t="shared" si="9"/>
        <v>23.330100000000002</v>
      </c>
      <c r="AA25" s="62">
        <f t="shared" si="10"/>
        <v>23.285700000000002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0113-27</v>
      </c>
      <c r="AE25" s="85" t="str">
        <f t="shared" si="12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25" s="82" t="str">
        <f t="shared" si="13"/>
        <v>"C:\Program Files (x86)\AstroGrep\AstroGrep.exe" /e /r /s /spath="%USERPROFILE%\AppData\Local\Temp\OnboardLogs" /stypes="app*4040*20170327*"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113-27 --locoid 4040 --swversion DE.1.0.9.0 --startMP 204:444 --initTime 2017-03-27T04:53:01 --startdatetime 2017-03-27T05:15:16 --delay 1 --endMP 204:233301 --enddatetime 2017-03-27T05:51:44 --enforcementcount 0 &gt;&gt;C:\Users\stu\Documents\GitHub\eaglep3-reporting\EC\2017-03-27-refined-times.txt</v>
      </c>
      <c r="AI2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api","custom_fields":[{"id":1,"name":"Subdivision","value":"EC"},{"id":4,"name":"Milepost","value":"23.3301"},{"id":17,"name":"Train ID","value":"113-27"},{"id":16,"name":"Locomotive ID","value":"4040"},{"id":130,"name":"Impact","value":""},{"id":150,"name":"Time of Event (Mountain Time)","value":"05:51:44"},{"id":151,"name":"Denver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 t="s">
        <v>590</v>
      </c>
      <c r="AK25" s="48"/>
      <c r="AL25" s="48"/>
      <c r="AM25" s="150" t="str">
        <f t="shared" si="21"/>
        <v>start /low /b %USERPROFILE%\Documents\GitHub\eaglep3\Utilities\DownloadLogsFromS3.py --loco 4040 --day 2017-03-27</v>
      </c>
      <c r="AN2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654</v>
      </c>
      <c r="B26" s="7">
        <v>4039</v>
      </c>
      <c r="C26" s="21" t="s">
        <v>218</v>
      </c>
      <c r="D26" s="21" t="s">
        <v>487</v>
      </c>
      <c r="E26" s="13">
        <v>42821.24591435185</v>
      </c>
      <c r="F26" s="13">
        <v>42821.257800925923</v>
      </c>
      <c r="G26" s="7">
        <v>1</v>
      </c>
      <c r="H26" s="21" t="s">
        <v>394</v>
      </c>
      <c r="I26" s="13">
        <v>42821.284618055557</v>
      </c>
      <c r="J26" s="7">
        <v>0</v>
      </c>
      <c r="K26" s="97" t="str">
        <f t="shared" si="0"/>
        <v>4039/4040</v>
      </c>
      <c r="L26" s="21" t="str">
        <f>VLOOKUP(A26,'Trips&amp;Operators'!$C$1:$G$99999,5,FALSE)</f>
        <v>SANTIZO D. EDY</v>
      </c>
      <c r="M26" s="6">
        <f t="shared" si="1"/>
        <v>2.6817129633855075E-2</v>
      </c>
      <c r="N26" s="7">
        <f t="shared" si="2"/>
        <v>38.616666672751307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-03-27T04:54:07-0600',mode:absolute,to:'2017-03-27T07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23.298200000000001</v>
      </c>
      <c r="Z26" s="62">
        <f t="shared" si="9"/>
        <v>1.43E-2</v>
      </c>
      <c r="AA26" s="62">
        <f t="shared" si="10"/>
        <v>23.283900000000003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0114-27</v>
      </c>
      <c r="AE26" s="85" t="str">
        <f t="shared" si="12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26" s="82" t="str">
        <f t="shared" si="13"/>
        <v>"C:\Program Files (x86)\AstroGrep\AstroGrep.exe" /e /r /s /spath="%USERPROFILE%\AppData\Local\Temp\OnboardLogs" /stypes="app*4039*20170327*"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114-27 --locoid 4039 --swversion DE.1.0.9.0 --startMP 204:232982 --initTime 2017-03-27T05:54:07 --startdatetime 2017-03-27T06:11:14 --delay 1 --endMP 204:143 --enddatetime 2017-03-27T06:49:51 --enforcementcount 0 &gt;&gt;C:\Users\stu\Documents\GitHub\eaglep3-reporting\EC\2017-03-27-refined-times.txt</v>
      </c>
      <c r="AI2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api","custom_fields":[{"id":1,"name":"Subdivision","value":"EC"},{"id":4,"name":"Milepost","value":"0.0143"},{"id":17,"name":"Train ID","value":"114-27"},{"id":16,"name":"Locomotive ID","value":"4039"},{"id":130,"name":"Impact","value":""},{"id":150,"name":"Time of Event (Mountain Time)","value":"06:49:51"},{"id":151,"name":"Denver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 t="s">
        <v>590</v>
      </c>
      <c r="AK26" s="48"/>
      <c r="AL26" s="48"/>
      <c r="AM26" s="150" t="str">
        <f t="shared" si="21"/>
        <v>start /low /b %USERPROFILE%\Documents\GitHub\eaglep3\Utilities\DownloadLogsFromS3.py --loco 4039 --day 2017-03-27</v>
      </c>
      <c r="AN2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649</v>
      </c>
      <c r="B27" s="7">
        <v>4053</v>
      </c>
      <c r="C27" s="21" t="s">
        <v>218</v>
      </c>
      <c r="D27" s="21" t="s">
        <v>839</v>
      </c>
      <c r="E27" s="13">
        <v>42821.225243055553</v>
      </c>
      <c r="F27" s="13">
        <v>42821.22934027778</v>
      </c>
      <c r="G27" s="7">
        <v>2</v>
      </c>
      <c r="H27" s="21" t="s">
        <v>518</v>
      </c>
      <c r="I27" s="13">
        <v>42821.254965277774</v>
      </c>
      <c r="J27" s="7">
        <v>0</v>
      </c>
      <c r="K27" s="97" t="str">
        <f t="shared" si="0"/>
        <v>4053/4054</v>
      </c>
      <c r="L27" s="21" t="str">
        <f>VLOOKUP(A27,'Trips&amp;Operators'!$C$1:$G$99999,5,FALSE)</f>
        <v>ACKERMAN JARED</v>
      </c>
      <c r="M27" s="6">
        <f t="shared" si="1"/>
        <v>2.5624999994761311E-2</v>
      </c>
      <c r="N27" s="7">
        <f t="shared" si="2"/>
        <v>36.899999992456287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-03-27T04:24:21-0600',mode:absolute,to:'2017-03-27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7.3400000000000007E-2</v>
      </c>
      <c r="Z27" s="62">
        <f t="shared" si="9"/>
        <v>23.331199999999999</v>
      </c>
      <c r="AA27" s="62">
        <f t="shared" si="10"/>
        <v>23.2578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0115-27</v>
      </c>
      <c r="AE27" s="85" t="str">
        <f t="shared" si="12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27" s="82" t="str">
        <f t="shared" si="13"/>
        <v>"C:\Program Files (x86)\AstroGrep\AstroGrep.exe" /e /r /s /spath="%USERPROFILE%\AppData\Local\Temp\OnboardLogs" /stypes="app*4053*20170327*"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115-27 --locoid 4053 --swversion DE.1.0.9.0 --startMP 204:734 --initTime 2017-03-27T05:24:21 --startdatetime 2017-03-27T05:30:15 --delay 2 --endMP 204:233312 --enddatetime 2017-03-27T06:07:09 --enforcementcount 0 &gt;&gt;C:\Users\stu\Documents\GitHub\eaglep3-reporting\EC\2017-03-27-refined-times.txt</v>
      </c>
      <c r="AI2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api","custom_fields":[{"id":1,"name":"Subdivision","value":"EC"},{"id":4,"name":"Milepost","value":"23.3312"},{"id":17,"name":"Train ID","value":"115-27"},{"id":16,"name":"Locomotive ID","value":"4053"},{"id":130,"name":"Impact","value":""},{"id":150,"name":"Time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 t="s">
        <v>590</v>
      </c>
      <c r="AK27" s="48"/>
      <c r="AL27" s="48"/>
      <c r="AM27" s="150" t="str">
        <f t="shared" si="21"/>
        <v>start /low /b %USERPROFILE%\Documents\GitHub\eaglep3\Utilities\DownloadLogsFromS3.py --loco 4053 --day 2017-03-27</v>
      </c>
      <c r="AN2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598</v>
      </c>
      <c r="B28" s="7">
        <v>4054</v>
      </c>
      <c r="C28" s="21" t="s">
        <v>218</v>
      </c>
      <c r="D28" s="21" t="s">
        <v>470</v>
      </c>
      <c r="E28" s="13">
        <v>42821.262106481481</v>
      </c>
      <c r="F28" s="13">
        <v>42821.268287037034</v>
      </c>
      <c r="G28" s="7">
        <v>2</v>
      </c>
      <c r="H28" s="21" t="s">
        <v>408</v>
      </c>
      <c r="I28" s="13">
        <v>42821.296909722223</v>
      </c>
      <c r="J28" s="7">
        <v>0</v>
      </c>
      <c r="K28" s="97" t="str">
        <f t="shared" si="0"/>
        <v>4053/4054</v>
      </c>
      <c r="L28" s="21" t="str">
        <f>VLOOKUP(A28,'Trips&amp;Operators'!$C$1:$G$99999,5,FALSE)</f>
        <v>ACKERMAN JARED</v>
      </c>
      <c r="M28" s="6">
        <f t="shared" si="1"/>
        <v>2.8622685189475305E-2</v>
      </c>
      <c r="N28" s="7">
        <f t="shared" si="2"/>
        <v>41.21666667284444</v>
      </c>
      <c r="O28" s="7"/>
      <c r="P28" s="7"/>
      <c r="Q28" s="22"/>
      <c r="R28" s="22" t="s">
        <v>1022</v>
      </c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-03-27T05:17:26-0600',mode:absolute,to:'2017-03-27T08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23.299399999999999</v>
      </c>
      <c r="Z28" s="62">
        <f t="shared" si="9"/>
        <v>1.6E-2</v>
      </c>
      <c r="AA28" s="62">
        <f t="shared" si="10"/>
        <v>23.2834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0116-27</v>
      </c>
      <c r="AE28" s="85" t="str">
        <f t="shared" si="12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28" s="82" t="str">
        <f t="shared" si="13"/>
        <v>"C:\Program Files (x86)\AstroGrep\AstroGrep.exe" /e /r /s /spath="%USERPROFILE%\AppData\Local\Temp\OnboardLogs" /stypes="app*4054*20170327*"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116-27 --locoid 4054 --swversion DE.1.0.9.0 --startMP 204:232994 --initTime 2017-03-27T06:17:26 --startdatetime 2017-03-27T06:26:20 --delay 2 --endMP 204:160 --enddatetime 2017-03-27T07:07:33 --enforcementcount 0 &gt;&gt;C:\Users\stu\Documents\GitHub\eaglep3-reporting\EC\2017-03-27-refined-times.txt</v>
      </c>
      <c r="AI28" s="104" t="str">
        <f t="shared" si="20"/>
        <v>echo {"issue":{"subject":"Wheel tach slip at 06:35:51 ","project_id":79,"tracker_id":40,"status_id":1,"priority_id":2,"assigned_to_id":23,"start_date":"2017-03-27","description":"test from api","custom_fields":[{"id":1,"name":"Subdivision","value":"EC"},{"id":4,"name":"Milepost","value":"0.016"},{"id":17,"name":"Train ID","value":"116-27"},{"id":16,"name":"Locomotive ID","value":"4054"},{"id":130,"name":"Impact","value":""},{"id":150,"name":"Time of Event (Mountain Time)","value":"07:07:33"},{"id":151,"name":"Denver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 t="s">
        <v>590</v>
      </c>
      <c r="AK28" s="48"/>
      <c r="AL28" s="48"/>
      <c r="AM28" s="150" t="str">
        <f t="shared" si="21"/>
        <v>start /low /b %USERPROFILE%\Documents\GitHub\eaglep3\Utilities\DownloadLogsFromS3.py --loco 4054 --day 2017-03-27</v>
      </c>
      <c r="AN28" s="159" t="str">
        <f t="shared" si="22"/>
        <v>echo {"issue":{"subject":"Wheel tach slip at 06:35:51 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652</v>
      </c>
      <c r="B29" s="7">
        <v>4016</v>
      </c>
      <c r="C29" s="21" t="s">
        <v>218</v>
      </c>
      <c r="D29" s="21" t="s">
        <v>570</v>
      </c>
      <c r="E29" s="13">
        <v>42821.227453703701</v>
      </c>
      <c r="F29" s="13">
        <v>42821.239837962959</v>
      </c>
      <c r="G29" s="7">
        <v>1</v>
      </c>
      <c r="H29" s="21" t="s">
        <v>488</v>
      </c>
      <c r="I29" s="13">
        <v>42821.26458333333</v>
      </c>
      <c r="J29" s="7">
        <v>0</v>
      </c>
      <c r="K29" s="97" t="str">
        <f t="shared" si="0"/>
        <v>4015/4016</v>
      </c>
      <c r="L29" s="21" t="str">
        <f>VLOOKUP(A29,'Trips&amp;Operators'!$C$1:$G$99999,5,FALSE)</f>
        <v>MAELZER KURT</v>
      </c>
      <c r="M29" s="6">
        <f t="shared" si="1"/>
        <v>2.47453703705105E-2</v>
      </c>
      <c r="N29" s="7">
        <f t="shared" si="2"/>
        <v>35.63333333353512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-03-27T04:27:32-0600',mode:absolute,to:'2017-03-27T07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4.4200000000000003E-2</v>
      </c>
      <c r="Z29" s="62">
        <f t="shared" si="9"/>
        <v>23.329499999999999</v>
      </c>
      <c r="AA29" s="62">
        <f t="shared" si="10"/>
        <v>23.285299999999999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0117-27</v>
      </c>
      <c r="AE29" s="85" t="str">
        <f t="shared" si="12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29" s="82" t="str">
        <f t="shared" si="13"/>
        <v>"C:\Program Files (x86)\AstroGrep\AstroGrep.exe" /e /r /s /spath="%USERPROFILE%\AppData\Local\Temp\OnboardLogs" /stypes="app*4016*20170327*"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117-27 --locoid 4016 --swversion DE.1.0.9.0 --startMP 204:442 --initTime 2017-03-27T05:27:32 --startdatetime 2017-03-27T05:45:22 --delay 1 --endMP 204:233295 --enddatetime 2017-03-27T06:21:00 --enforcementcount 0 &gt;&gt;C:\Users\stu\Documents\GitHub\eaglep3-reporting\EC\2017-03-27-refined-times.txt</v>
      </c>
      <c r="AI29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api","custom_fields":[{"id":1,"name":"Subdivision","value":"EC"},{"id":4,"name":"Milepost","value":"23.3295"},{"id":17,"name":"Train ID","value":"117-27"},{"id":16,"name":"Locomotive ID","value":"4016"},{"id":130,"name":"Impact","value":""},{"id":150,"name":"Time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 t="s">
        <v>590</v>
      </c>
      <c r="AK29" s="48"/>
      <c r="AL29" s="48"/>
      <c r="AM29" s="150" t="str">
        <f t="shared" si="21"/>
        <v>start /low /b %USERPROFILE%\Documents\GitHub\eaglep3\Utilities\DownloadLogsFromS3.py --loco 4016 --day 2017-03-27</v>
      </c>
      <c r="AN29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663</v>
      </c>
      <c r="B30" s="7">
        <v>4015</v>
      </c>
      <c r="C30" s="21" t="s">
        <v>218</v>
      </c>
      <c r="D30" s="21" t="s">
        <v>482</v>
      </c>
      <c r="E30" s="13">
        <v>42821.272326388891</v>
      </c>
      <c r="F30" s="13">
        <v>42821.278726851851</v>
      </c>
      <c r="G30" s="7">
        <v>1</v>
      </c>
      <c r="H30" s="21" t="s">
        <v>213</v>
      </c>
      <c r="I30" s="13">
        <v>42821.306608796294</v>
      </c>
      <c r="J30" s="7">
        <v>0</v>
      </c>
      <c r="K30" s="97" t="str">
        <f t="shared" si="0"/>
        <v>4015/4016</v>
      </c>
      <c r="L30" s="21" t="str">
        <f>VLOOKUP(A30,'Trips&amp;Operators'!$C$1:$G$99999,5,FALSE)</f>
        <v>MAELZER KURT</v>
      </c>
      <c r="M30" s="6">
        <f t="shared" si="1"/>
        <v>2.7881944442924578E-2</v>
      </c>
      <c r="N30" s="7">
        <f t="shared" si="2"/>
        <v>40.149999997811392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-03-27T05:32:09-0600',mode:absolute,to:'2017-03-27T08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23.298400000000001</v>
      </c>
      <c r="Z30" s="62">
        <f t="shared" si="9"/>
        <v>1.5599999999999999E-2</v>
      </c>
      <c r="AA30" s="62">
        <f t="shared" si="10"/>
        <v>23.282800000000002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0118-27</v>
      </c>
      <c r="AE30" s="85" t="str">
        <f t="shared" si="12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30" s="82" t="str">
        <f t="shared" si="13"/>
        <v>"C:\Program Files (x86)\AstroGrep\AstroGrep.exe" /e /r /s /spath="%USERPROFILE%\AppData\Local\Temp\OnboardLogs" /stypes="app*4015*20170327*"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118-27 --locoid 4015 --swversion DE.1.0.9.0 --startMP 204:232984 --initTime 2017-03-27T06:32:09 --startdatetime 2017-03-27T06:41:22 --delay 1 --endMP 204:156 --enddatetime 2017-03-27T07:21:31 --enforcementcount 0 &gt;&gt;C:\Users\stu\Documents\GitHub\eaglep3-reporting\EC\2017-03-27-refined-times.txt</v>
      </c>
      <c r="AI3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api","custom_fields":[{"id":1,"name":"Subdivision","value":"EC"},{"id":4,"name":"Milepost","value":"0.0156"},{"id":17,"name":"Train ID","value":"118-27"},{"id":16,"name":"Locomotive ID","value":"4015"},{"id":130,"name":"Impact","value":""},{"id":150,"name":"Time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 t="s">
        <v>590</v>
      </c>
      <c r="AK30" s="48"/>
      <c r="AL30" s="48"/>
      <c r="AM30" s="150" t="str">
        <f t="shared" si="21"/>
        <v>start /low /b %USERPROFILE%\Documents\GitHub\eaglep3\Utilities\DownloadLogsFromS3.py --loco 4015 --day 2017-03-27</v>
      </c>
      <c r="AN3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655</v>
      </c>
      <c r="B31" s="7">
        <v>4014</v>
      </c>
      <c r="C31" s="21" t="s">
        <v>218</v>
      </c>
      <c r="D31" s="21" t="s">
        <v>840</v>
      </c>
      <c r="E31" s="13">
        <v>42821.24795138889</v>
      </c>
      <c r="F31" s="13">
        <v>42821.250173611108</v>
      </c>
      <c r="G31" s="7">
        <v>1</v>
      </c>
      <c r="H31" s="21" t="s">
        <v>478</v>
      </c>
      <c r="I31" s="13">
        <v>42821.276736111111</v>
      </c>
      <c r="J31" s="7">
        <v>0</v>
      </c>
      <c r="K31" s="97" t="str">
        <f t="shared" si="0"/>
        <v>4013/4014</v>
      </c>
      <c r="L31" s="21" t="str">
        <f>VLOOKUP(A31,'Trips&amp;Operators'!$C$1:$G$99999,5,FALSE)</f>
        <v>STARKS ANGELINA</v>
      </c>
      <c r="M31" s="6">
        <f t="shared" si="1"/>
        <v>2.6562500002910383E-2</v>
      </c>
      <c r="N31" s="7">
        <f t="shared" si="2"/>
        <v>38.250000004190952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-03-27T04:57:03-0600',mode:absolute,to:'2017-03-27T07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7.7499999999999999E-2</v>
      </c>
      <c r="Z31" s="62">
        <f t="shared" si="9"/>
        <v>23.328900000000001</v>
      </c>
      <c r="AA31" s="62">
        <f t="shared" si="10"/>
        <v>23.2514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0119-27</v>
      </c>
      <c r="AE31" s="85" t="str">
        <f t="shared" si="12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31" s="82" t="str">
        <f t="shared" si="13"/>
        <v>"C:\Program Files (x86)\AstroGrep\AstroGrep.exe" /e /r /s /spath="%USERPROFILE%\AppData\Local\Temp\OnboardLogs" /stypes="app*4014*20170327*"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119-27 --locoid 4014 --swversion DE.1.0.9.0 --startMP 204:775 --initTime 2017-03-27T05:57:03 --startdatetime 2017-03-27T06:00:15 --delay 1 --endMP 204:233289 --enddatetime 2017-03-27T06:38:30 --enforcementcount 0 &gt;&gt;C:\Users\stu\Documents\GitHub\eaglep3-reporting\EC\2017-03-27-refined-times.txt</v>
      </c>
      <c r="AI3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api","custom_fields":[{"id":1,"name":"Subdivision","value":"EC"},{"id":4,"name":"Milepost","value":"23.3289"},{"id":17,"name":"Train ID","value":"119-27"},{"id":16,"name":"Locomotive ID","value":"4014"},{"id":130,"name":"Impact","value":""},{"id":150,"name":"Time of Event (Mountain Time)","value":"06:38:30"},{"id":151,"name":"Denver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 t="s">
        <v>590</v>
      </c>
      <c r="AK31" s="48"/>
      <c r="AL31" s="48"/>
      <c r="AM31" s="150" t="str">
        <f t="shared" si="21"/>
        <v>start /low /b %USERPROFILE%\Documents\GitHub\eaglep3\Utilities\DownloadLogsFromS3.py --loco 4014 --day 2017-03-27</v>
      </c>
      <c r="AN3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666</v>
      </c>
      <c r="B32" s="7">
        <v>4013</v>
      </c>
      <c r="C32" s="21" t="s">
        <v>218</v>
      </c>
      <c r="D32" s="21" t="s">
        <v>469</v>
      </c>
      <c r="E32" s="13">
        <v>42821.285624999997</v>
      </c>
      <c r="F32" s="13">
        <v>42821.289039351854</v>
      </c>
      <c r="G32" s="7">
        <v>1</v>
      </c>
      <c r="H32" s="21" t="s">
        <v>191</v>
      </c>
      <c r="I32" s="13">
        <v>42821.317442129628</v>
      </c>
      <c r="J32" s="7">
        <v>0</v>
      </c>
      <c r="K32" s="97" t="str">
        <f t="shared" si="0"/>
        <v>4013/4014</v>
      </c>
      <c r="L32" s="21" t="str">
        <f>VLOOKUP(A32,'Trips&amp;Operators'!$C$1:$G$99999,5,FALSE)</f>
        <v>STARKS ANGELINA</v>
      </c>
      <c r="M32" s="6">
        <f t="shared" si="1"/>
        <v>2.8402777774317656E-2</v>
      </c>
      <c r="N32" s="7">
        <f t="shared" si="2"/>
        <v>40.899999995017424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-03-27T05:51:18-0600',mode:absolute,to:'2017-03-27T08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23.297699999999999</v>
      </c>
      <c r="Z32" s="62">
        <f t="shared" si="9"/>
        <v>1.4999999999999999E-2</v>
      </c>
      <c r="AA32" s="62">
        <f t="shared" si="10"/>
        <v>23.282699999999998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0120-27</v>
      </c>
      <c r="AE32" s="85" t="str">
        <f t="shared" si="12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32" s="82" t="str">
        <f t="shared" si="13"/>
        <v>"C:\Program Files (x86)\AstroGrep\AstroGrep.exe" /e /r /s /spath="%USERPROFILE%\AppData\Local\Temp\OnboardLogs" /stypes="app*4013*20170327*"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120-27 --locoid 4013 --swversion DE.1.0.9.0 --startMP 204:232977 --initTime 2017-03-27T06:51:18 --startdatetime 2017-03-27T06:56:13 --delay 1 --endMP 204:150 --enddatetime 2017-03-27T07:37:07 --enforcementcount 0 &gt;&gt;C:\Users\stu\Documents\GitHub\eaglep3-reporting\EC\2017-03-27-refined-times.txt</v>
      </c>
      <c r="AI3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ID","value":"120-27"},{"id":16,"name":"Locomotive ID","value":"4013"},{"id":130,"name":"Impact","value":""},{"id":150,"name":"Time of Event (Mountain Time)","value":"07:37:07"},{"id":151,"name":"Denver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 t="s">
        <v>590</v>
      </c>
      <c r="AK32" s="48"/>
      <c r="AL32" s="48"/>
      <c r="AM32" s="150" t="str">
        <f t="shared" si="21"/>
        <v>start /low /b %USERPROFILE%\Documents\GitHub\eaglep3\Utilities\DownloadLogsFromS3.py --loco 4013 --day 2017-03-27</v>
      </c>
      <c r="AN3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659</v>
      </c>
      <c r="B33" s="7">
        <v>4003</v>
      </c>
      <c r="C33" s="21" t="s">
        <v>218</v>
      </c>
      <c r="D33" s="21" t="s">
        <v>511</v>
      </c>
      <c r="E33" s="13">
        <v>42821.256585648145</v>
      </c>
      <c r="F33" s="13">
        <v>42821.260844907411</v>
      </c>
      <c r="G33" s="7">
        <v>1</v>
      </c>
      <c r="H33" s="21" t="s">
        <v>219</v>
      </c>
      <c r="I33" s="13">
        <v>42821.287199074075</v>
      </c>
      <c r="J33" s="7">
        <v>0</v>
      </c>
      <c r="K33" s="97" t="str">
        <f t="shared" si="0"/>
        <v>4003/4004</v>
      </c>
      <c r="L33" s="21" t="str">
        <f>VLOOKUP(A33,'Trips&amp;Operators'!$C$1:$G$99999,5,FALSE)</f>
        <v>MENGES BRAD</v>
      </c>
      <c r="M33" s="6">
        <f t="shared" si="1"/>
        <v>2.6354166664532386E-2</v>
      </c>
      <c r="N33" s="7">
        <f t="shared" si="2"/>
        <v>37.949999996926636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-03-27T05:09:29-0600',mode:absolute,to:'2017-03-27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4.4400000000000002E-2</v>
      </c>
      <c r="Z33" s="62">
        <f t="shared" si="9"/>
        <v>23.329699999999999</v>
      </c>
      <c r="AA33" s="62">
        <f t="shared" si="10"/>
        <v>23.285299999999999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0121-27</v>
      </c>
      <c r="AE33" s="85" t="str">
        <f t="shared" si="12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33" s="82" t="str">
        <f t="shared" si="13"/>
        <v>"C:\Program Files (x86)\AstroGrep\AstroGrep.exe" /e /r /s /spath="%USERPROFILE%\AppData\Local\Temp\OnboardLogs" /stypes="app*4003*20170327*"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121-27 --locoid 4003 --swversion DE.1.0.9.0 --startMP 204:444 --initTime 2017-03-27T06:09:29 --startdatetime 2017-03-27T06:15:37 --delay 1 --endMP 204:233297 --enddatetime 2017-03-27T06:53:34 --enforcementcount 0 &gt;&gt;C:\Users\stu\Documents\GitHub\eaglep3-reporting\EC\2017-03-27-refined-times.txt</v>
      </c>
      <c r="AI3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api","custom_fields":[{"id":1,"name":"Subdivision","value":"EC"},{"id":4,"name":"Milepost","value":"23.3297"},{"id":17,"name":"Train ID","value":"121-27"},{"id":16,"name":"Locomotive ID","value":"4003"},{"id":130,"name":"Impact","value":""},{"id":150,"name":"Time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 t="s">
        <v>590</v>
      </c>
      <c r="AK33" s="48"/>
      <c r="AL33" s="48"/>
      <c r="AM33" s="150" t="str">
        <f t="shared" si="21"/>
        <v>start /low /b %USERPROFILE%\Documents\GitHub\eaglep3\Utilities\DownloadLogsFromS3.py --loco 4003 --day 2017-03-27</v>
      </c>
      <c r="AN3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669</v>
      </c>
      <c r="B34" s="7">
        <v>4004</v>
      </c>
      <c r="C34" s="21" t="s">
        <v>218</v>
      </c>
      <c r="D34" s="21" t="s">
        <v>464</v>
      </c>
      <c r="E34" s="13">
        <v>42821.295902777776</v>
      </c>
      <c r="F34" s="13">
        <v>42821.299513888887</v>
      </c>
      <c r="G34" s="7">
        <v>1</v>
      </c>
      <c r="H34" s="21" t="s">
        <v>214</v>
      </c>
      <c r="I34" s="13">
        <v>42821.327337962961</v>
      </c>
      <c r="J34" s="7">
        <v>0</v>
      </c>
      <c r="K34" s="97" t="str">
        <f t="shared" si="0"/>
        <v>4003/4004</v>
      </c>
      <c r="L34" s="21" t="str">
        <f>VLOOKUP(A34,'Trips&amp;Operators'!$C$1:$G$99999,5,FALSE)</f>
        <v>MENGES BRAD</v>
      </c>
      <c r="M34" s="6">
        <f t="shared" si="1"/>
        <v>2.7824074073578231E-2</v>
      </c>
      <c r="N34" s="7">
        <f t="shared" si="2"/>
        <v>40.066666665952653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-03-27T06:06:06-0600',mode:absolute,to:'2017-03-27T08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23.296900000000001</v>
      </c>
      <c r="Z34" s="62">
        <f t="shared" si="9"/>
        <v>1.47E-2</v>
      </c>
      <c r="AA34" s="62">
        <f t="shared" si="10"/>
        <v>23.2822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0122-27</v>
      </c>
      <c r="AE34" s="85" t="str">
        <f t="shared" si="12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34" s="82" t="str">
        <f t="shared" si="13"/>
        <v>"C:\Program Files (x86)\AstroGrep\AstroGrep.exe" /e /r /s /spath="%USERPROFILE%\AppData\Local\Temp\OnboardLogs" /stypes="app*4004*20170327*"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122-27 --locoid 4004 --swversion DE.1.0.9.0 --startMP 204:232969 --initTime 2017-03-27T07:06:06 --startdatetime 2017-03-27T07:11:18 --delay 1 --endMP 204:147 --enddatetime 2017-03-27T07:51:22 --enforcementcount 0 &gt;&gt;C:\Users\stu\Documents\GitHub\eaglep3-reporting\EC\2017-03-27-refined-times.txt</v>
      </c>
      <c r="AI3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api","custom_fields":[{"id":1,"name":"Subdivision","value":"EC"},{"id":4,"name":"Milepost","value":"0.0147"},{"id":17,"name":"Train ID","value":"122-27"},{"id":16,"name":"Locomotive ID","value":"4004"},{"id":130,"name":"Impact","value":""},{"id":150,"name":"Time of Event (Mountain Time)","value":"07:51:22"},{"id":151,"name":"Denver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 t="s">
        <v>590</v>
      </c>
      <c r="AK34" s="48"/>
      <c r="AL34" s="48"/>
      <c r="AM34" s="150" t="str">
        <f t="shared" si="21"/>
        <v>start /low /b %USERPROFILE%\Documents\GitHub\eaglep3\Utilities\DownloadLogsFromS3.py --loco 4004 --day 2017-03-27</v>
      </c>
      <c r="AN3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662</v>
      </c>
      <c r="B35" s="7">
        <v>4025</v>
      </c>
      <c r="C35" s="21" t="s">
        <v>218</v>
      </c>
      <c r="D35" s="21" t="s">
        <v>212</v>
      </c>
      <c r="E35" s="13">
        <v>42821.270624999997</v>
      </c>
      <c r="F35" s="13">
        <v>42821.271828703706</v>
      </c>
      <c r="G35" s="7">
        <v>1</v>
      </c>
      <c r="H35" s="21" t="s">
        <v>841</v>
      </c>
      <c r="I35" s="13">
        <v>42821.297233796293</v>
      </c>
      <c r="J35" s="7">
        <v>0</v>
      </c>
      <c r="K35" s="97" t="str">
        <f t="shared" si="0"/>
        <v>4025/4026</v>
      </c>
      <c r="L35" s="21" t="str">
        <f>VLOOKUP(A35,'Trips&amp;Operators'!$C$1:$G$99999,5,FALSE)</f>
        <v>MAYBERRY BILL</v>
      </c>
      <c r="M35" s="6">
        <f t="shared" si="1"/>
        <v>2.5405092586879618E-2</v>
      </c>
      <c r="N35" s="7">
        <f t="shared" si="2"/>
        <v>36.583333325106651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-03-27T05:29:42-0600',mode:absolute,to:'2017-03-27T08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4.5499999999999999E-2</v>
      </c>
      <c r="Z35" s="62">
        <f t="shared" si="9"/>
        <v>23.328299999999999</v>
      </c>
      <c r="AA35" s="62">
        <f t="shared" si="10"/>
        <v>23.282799999999998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0123-27</v>
      </c>
      <c r="AE35" s="85" t="str">
        <f t="shared" si="12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35" s="82" t="str">
        <f t="shared" si="13"/>
        <v>"C:\Program Files (x86)\AstroGrep\AstroGrep.exe" /e /r /s /spath="%USERPROFILE%\AppData\Local\Temp\OnboardLogs" /stypes="app*4025*20170327*"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123-27 --locoid 4025 --swversion DE.1.0.9.0 --startMP 204:455 --initTime 2017-03-27T06:29:42 --startdatetime 2017-03-27T06:31:26 --delay 1 --endMP 204:233283 --enddatetime 2017-03-27T07:08:01 --enforcementcount 0 &gt;&gt;C:\Users\stu\Documents\GitHub\eaglep3-reporting\EC\2017-03-27-refined-times.txt</v>
      </c>
      <c r="AI3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api","custom_fields":[{"id":1,"name":"Subdivision","value":"EC"},{"id":4,"name":"Milepost","value":"23.3283"},{"id":17,"name":"Train ID","value":"123-27"},{"id":16,"name":"Locomotive ID","value":"4025"},{"id":130,"name":"Impact","value":""},{"id":150,"name":"Time of Event (Mountain Time)","value":"07:08:01"},{"id":151,"name":"Denver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 t="s">
        <v>590</v>
      </c>
      <c r="AK35" s="48"/>
      <c r="AL35" s="48"/>
      <c r="AM35" s="150" t="str">
        <f t="shared" si="21"/>
        <v>start /low /b %USERPROFILE%\Documents\GitHub\eaglep3\Utilities\DownloadLogsFromS3.py --loco 4025 --day 2017-03-27</v>
      </c>
      <c r="AN3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671</v>
      </c>
      <c r="B36" s="7">
        <v>4026</v>
      </c>
      <c r="C36" s="21" t="s">
        <v>218</v>
      </c>
      <c r="D36" s="21" t="s">
        <v>842</v>
      </c>
      <c r="E36" s="13">
        <v>42821.30672453704</v>
      </c>
      <c r="F36" s="13">
        <v>42821.31050925926</v>
      </c>
      <c r="G36" s="7">
        <v>1</v>
      </c>
      <c r="H36" s="21" t="s">
        <v>843</v>
      </c>
      <c r="I36" s="13">
        <v>42821.338310185187</v>
      </c>
      <c r="J36" s="7">
        <v>0</v>
      </c>
      <c r="K36" s="97" t="str">
        <f t="shared" si="0"/>
        <v>4025/4026</v>
      </c>
      <c r="L36" s="21" t="str">
        <f>VLOOKUP(A36,'Trips&amp;Operators'!$C$1:$G$99999,5,FALSE)</f>
        <v>MAYBERRY BILL</v>
      </c>
      <c r="M36" s="6">
        <f t="shared" si="1"/>
        <v>2.7800925927294884E-2</v>
      </c>
      <c r="N36" s="7">
        <f t="shared" si="2"/>
        <v>40.033333335304633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-03-27T06:21:41-0600',mode:absolute,to:'2017-03-27T09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23.297599999999999</v>
      </c>
      <c r="Z36" s="62">
        <f t="shared" si="9"/>
        <v>1.6500000000000001E-2</v>
      </c>
      <c r="AA36" s="62">
        <f t="shared" si="10"/>
        <v>23.281099999999999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0124-27</v>
      </c>
      <c r="AE36" s="85" t="str">
        <f t="shared" si="12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36" s="82" t="str">
        <f t="shared" si="13"/>
        <v>"C:\Program Files (x86)\AstroGrep\AstroGrep.exe" /e /r /s /spath="%USERPROFILE%\AppData\Local\Temp\OnboardLogs" /stypes="app*4026*20170327*"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124-27 --locoid 4026 --swversion DE.1.0.9.0 --startMP 204:232976 --initTime 2017-03-27T07:21:41 --startdatetime 2017-03-27T07:27:08 --delay 1 --endMP 204:165 --enddatetime 2017-03-27T08:07:10 --enforcementcount 0 &gt;&gt;C:\Users\stu\Documents\GitHub\eaglep3-reporting\EC\2017-03-27-refined-times.txt</v>
      </c>
      <c r="AI3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api","custom_fields":[{"id":1,"name":"Subdivision","value":"EC"},{"id":4,"name":"Milepost","value":"0.0165"},{"id":17,"name":"Train ID","value":"124-27"},{"id":16,"name":"Locomotive ID","value":"4026"},{"id":130,"name":"Impact","value":""},{"id":150,"name":"Time of Event (Mountain Time)","value":"08:07:10"},{"id":151,"name":"Denver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 t="s">
        <v>590</v>
      </c>
      <c r="AK36" s="48"/>
      <c r="AL36" s="48"/>
      <c r="AM36" s="150" t="str">
        <f t="shared" si="21"/>
        <v>start /low /b %USERPROFILE%\Documents\GitHub\eaglep3\Utilities\DownloadLogsFromS3.py --loco 4026 --day 2017-03-27</v>
      </c>
      <c r="AN3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664</v>
      </c>
      <c r="B37" s="7">
        <v>4051</v>
      </c>
      <c r="C37" s="21" t="s">
        <v>218</v>
      </c>
      <c r="D37" s="21" t="s">
        <v>211</v>
      </c>
      <c r="E37" s="13">
        <v>42821.275335648148</v>
      </c>
      <c r="F37" s="13">
        <v>42821.281412037039</v>
      </c>
      <c r="G37" s="7">
        <v>1</v>
      </c>
      <c r="H37" s="21" t="s">
        <v>520</v>
      </c>
      <c r="I37" s="13">
        <v>42821.305659722224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YORK EDGAR</v>
      </c>
      <c r="M37" s="6">
        <f t="shared" si="1"/>
        <v>2.4247685185400769E-2</v>
      </c>
      <c r="N37" s="7">
        <f t="shared" si="2"/>
        <v>34.916666666977108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-03-27T05:36:29-0600',mode:absolute,to:'2017-03-27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4.53E-2</v>
      </c>
      <c r="Z37" s="62">
        <f t="shared" si="9"/>
        <v>23.330500000000001</v>
      </c>
      <c r="AA37" s="62">
        <f t="shared" si="10"/>
        <v>23.2852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0125-27</v>
      </c>
      <c r="AE37" s="85" t="str">
        <f t="shared" si="12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37" s="82" t="str">
        <f t="shared" si="13"/>
        <v>"C:\Program Files (x86)\AstroGrep\AstroGrep.exe" /e /r /s /spath="%USERPROFILE%\AppData\Local\Temp\OnboardLogs" /stypes="app*4051*20170327*"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125-27 --locoid 4051 --swversion DE.1.0.9.0 --startMP 204:453 --initTime 2017-03-27T06:36:29 --startdatetime 2017-03-27T06:45:14 --delay 1 --endMP 204:233305 --enddatetime 2017-03-27T07:20:09 --enforcementcount 0 &gt;&gt;C:\Users\stu\Documents\GitHub\eaglep3-reporting\EC\2017-03-27-refined-times.txt</v>
      </c>
      <c r="AI3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api","custom_fields":[{"id":1,"name":"Subdivision","value":"EC"},{"id":4,"name":"Milepost","value":"23.3305"},{"id":17,"name":"Train ID","value":"125-27"},{"id":16,"name":"Locomotive ID","value":"4051"},{"id":130,"name":"Impact","value":""},{"id":150,"name":"Time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 t="s">
        <v>590</v>
      </c>
      <c r="AK37" s="48"/>
      <c r="AL37" s="48"/>
      <c r="AM37" s="150" t="str">
        <f t="shared" si="21"/>
        <v>start /low /b %USERPROFILE%\Documents\GitHub\eaglep3\Utilities\DownloadLogsFromS3.py --loco 4051 --day 2017-03-27</v>
      </c>
      <c r="AN3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672</v>
      </c>
      <c r="B38" s="7">
        <v>4052</v>
      </c>
      <c r="C38" s="21" t="s">
        <v>218</v>
      </c>
      <c r="D38" s="21" t="s">
        <v>493</v>
      </c>
      <c r="E38" s="13">
        <v>42821.307743055557</v>
      </c>
      <c r="F38" s="13">
        <v>42821.320648148147</v>
      </c>
      <c r="G38" s="7">
        <v>1</v>
      </c>
      <c r="H38" s="21" t="s">
        <v>549</v>
      </c>
      <c r="I38" s="13">
        <v>42821.347210648149</v>
      </c>
      <c r="J38" s="7">
        <v>0</v>
      </c>
      <c r="K38" s="97" t="str">
        <f t="shared" si="0"/>
        <v>4051/4052</v>
      </c>
      <c r="L38" s="21" t="str">
        <f>VLOOKUP(A38,'Trips&amp;Operators'!$C$1:$G$99999,5,FALSE)</f>
        <v>YORK EDGAR</v>
      </c>
      <c r="M38" s="6">
        <f t="shared" si="1"/>
        <v>2.6562500002910383E-2</v>
      </c>
      <c r="N38" s="7">
        <f t="shared" si="2"/>
        <v>38.250000004190952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-03-27T06:23:09-0600',mode:absolute,to:'2017-03-27T09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23.2986</v>
      </c>
      <c r="Z38" s="62">
        <f t="shared" si="9"/>
        <v>1.6299999999999999E-2</v>
      </c>
      <c r="AA38" s="62">
        <f t="shared" si="10"/>
        <v>23.282299999999999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0126-27</v>
      </c>
      <c r="AE38" s="85" t="str">
        <f t="shared" si="12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38" s="82" t="str">
        <f t="shared" si="13"/>
        <v>"C:\Program Files (x86)\AstroGrep\AstroGrep.exe" /e /r /s /spath="%USERPROFILE%\AppData\Local\Temp\OnboardLogs" /stypes="app*4052*20170327*"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126-27 --locoid 4052 --swversion DE.1.0.9.0 --startMP 204:232986 --initTime 2017-03-27T07:23:09 --startdatetime 2017-03-27T07:41:44 --delay 1 --endMP 204:163 --enddatetime 2017-03-27T08:19:59 --enforcementcount 0 &gt;&gt;C:\Users\stu\Documents\GitHub\eaglep3-reporting\EC\2017-03-27-refined-times.txt</v>
      </c>
      <c r="AI38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api","custom_fields":[{"id":1,"name":"Subdivision","value":"EC"},{"id":4,"name":"Milepost","value":"0.0163"},{"id":17,"name":"Train ID","value":"126-27"},{"id":16,"name":"Locomotive ID","value":"4052"},{"id":130,"name":"Impact","value":""},{"id":150,"name":"Time of Event (Mountain Time)","value":"08:19:59"},{"id":151,"name":"Denver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 t="s">
        <v>590</v>
      </c>
      <c r="AK38" s="48"/>
      <c r="AL38" s="48"/>
      <c r="AM38" s="150" t="str">
        <f t="shared" si="21"/>
        <v>start /low /b %USERPROFILE%\Documents\GitHub\eaglep3\Utilities\DownloadLogsFromS3.py --loco 4052 --day 2017-03-27</v>
      </c>
      <c r="AN38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600</v>
      </c>
      <c r="B39" s="7">
        <v>4040</v>
      </c>
      <c r="C39" s="21" t="s">
        <v>218</v>
      </c>
      <c r="D39" s="21" t="s">
        <v>207</v>
      </c>
      <c r="E39" s="13">
        <v>42821.286493055559</v>
      </c>
      <c r="F39" s="13">
        <v>42821.291898148149</v>
      </c>
      <c r="G39" s="7">
        <v>1</v>
      </c>
      <c r="H39" s="21" t="s">
        <v>517</v>
      </c>
      <c r="I39" s="13">
        <v>42821.316759259258</v>
      </c>
      <c r="J39" s="7">
        <v>0</v>
      </c>
      <c r="K39" s="97" t="str">
        <f t="shared" si="0"/>
        <v>4039/4040</v>
      </c>
      <c r="L39" s="21" t="str">
        <f>VLOOKUP(A39,'Trips&amp;Operators'!$C$1:$G$99999,5,FALSE)</f>
        <v>SANTIZO D. EDY</v>
      </c>
      <c r="M39" s="6">
        <f t="shared" si="1"/>
        <v>2.4861111109203193E-2</v>
      </c>
      <c r="N39" s="7">
        <f t="shared" si="2"/>
        <v>35.799999997252598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-03-27T05:52:33-0600',mode:absolute,to:'2017-03-27T08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4.5699999999999998E-2</v>
      </c>
      <c r="Z39" s="62">
        <f t="shared" si="9"/>
        <v>23.331</v>
      </c>
      <c r="AA39" s="62">
        <f t="shared" si="10"/>
        <v>23.285299999999999</v>
      </c>
      <c r="AB39" s="59" t="str">
        <f>VLOOKUP(A39,Enforcements!$C$7:$K$13,8,0)</f>
        <v>Bulletin (2)</v>
      </c>
      <c r="AC39" s="55" t="str">
        <f>VLOOKUP(A39,Enforcements!$C$7:$E$13,3,0)</f>
        <v>GRADE CROSSING</v>
      </c>
      <c r="AD39" s="56" t="str">
        <f t="shared" si="11"/>
        <v>0127-27</v>
      </c>
      <c r="AE39" s="85" t="str">
        <f t="shared" si="12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39" s="82" t="str">
        <f t="shared" si="13"/>
        <v>"C:\Program Files (x86)\AstroGrep\AstroGrep.exe" /e /r /s /spath="%USERPROFILE%\AppData\Local\Temp\OnboardLogs" /stypes="app*4040*20170327*"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127-27 --locoid 4040 --swversion DE.1.0.9.0 --startMP 204:457 --initTime 2017-03-27T06:52:33 --startdatetime 2017-03-27T07:00:20 --delay 1 --endMP 204:233310 --enddatetime 2017-03-27T07:36:08 --enforcementcount 0 &gt;&gt;C:\Users\stu\Documents\GitHub\eaglep3-reporting\EC\2017-03-27-refined-times.txt</v>
      </c>
      <c r="AI39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api","custom_fields":[{"id":1,"name":"Subdivision","value":"EC"},{"id":4,"name":"Milepost","value":"23.331"},{"id":17,"name":"Train ID","value":"127-27"},{"id":16,"name":"Locomotive ID","value":"4040"},{"id":130,"name":"Impact","value":""},{"id":150,"name":"Time of Event (Mountain Time)","value":"07:36:08"},{"id":151,"name":"Denver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 t="s">
        <v>590</v>
      </c>
      <c r="AK39" s="48"/>
      <c r="AL39" s="48"/>
      <c r="AM39" s="150" t="str">
        <f t="shared" si="21"/>
        <v>start /low /b %USERPROFILE%\Documents\GitHub\eaglep3\Utilities\DownloadLogsFromS3.py --loco 4040 --day 2017-03-27</v>
      </c>
      <c r="AN39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602</v>
      </c>
      <c r="B40" s="7">
        <v>4039</v>
      </c>
      <c r="C40" s="21" t="s">
        <v>218</v>
      </c>
      <c r="D40" s="21" t="s">
        <v>844</v>
      </c>
      <c r="E40" s="13">
        <v>42821.317743055559</v>
      </c>
      <c r="F40" s="13">
        <v>42821.330937500003</v>
      </c>
      <c r="G40" s="7">
        <v>1</v>
      </c>
      <c r="H40" s="21" t="s">
        <v>205</v>
      </c>
      <c r="I40" s="13">
        <v>42821.357233796298</v>
      </c>
      <c r="J40" s="7">
        <v>0</v>
      </c>
      <c r="K40" s="97" t="str">
        <f t="shared" si="0"/>
        <v>4039/4040</v>
      </c>
      <c r="L40" s="21" t="str">
        <f>VLOOKUP(A40,'Trips&amp;Operators'!$C$1:$G$99999,5,FALSE)</f>
        <v>SANTIZO D. EDY</v>
      </c>
      <c r="M40" s="6">
        <f t="shared" si="1"/>
        <v>2.6296296295186039E-2</v>
      </c>
      <c r="N40" s="7">
        <f t="shared" si="2"/>
        <v>37.866666665067896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-03-27T06:37:33-0600',mode:absolute,to:'2017-03-27T09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23.2987</v>
      </c>
      <c r="Z40" s="62">
        <f t="shared" si="9"/>
        <v>1.54E-2</v>
      </c>
      <c r="AA40" s="62">
        <f t="shared" si="10"/>
        <v>23.283300000000001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0128-27</v>
      </c>
      <c r="AE40" s="85" t="str">
        <f t="shared" si="12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40" s="82" t="str">
        <f t="shared" si="13"/>
        <v>"C:\Program Files (x86)\AstroGrep\AstroGrep.exe" /e /r /s /spath="%USERPROFILE%\AppData\Local\Temp\OnboardLogs" /stypes="app*4039*20170327*"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128-27 --locoid 4039 --swversion DE.1.0.9.0 --startMP 204:232987 --initTime 2017-03-27T07:37:33 --startdatetime 2017-03-27T07:56:33 --delay 1 --endMP 204:154 --enddatetime 2017-03-27T08:34:25 --enforcementcount 0 &gt;&gt;C:\Users\stu\Documents\GitHub\eaglep3-reporting\EC\2017-03-27-refined-times.txt</v>
      </c>
      <c r="AI4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api","custom_fields":[{"id":1,"name":"Subdivision","value":"EC"},{"id":4,"name":"Milepost","value":"0.0154"},{"id":17,"name":"Train ID","value":"128-27"},{"id":16,"name":"Locomotive ID","value":"4039"},{"id":130,"name":"Impact","value":""},{"id":150,"name":"Time of Event (Mountain Time)","value":"08:34:25"},{"id":151,"name":"Denver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 t="s">
        <v>590</v>
      </c>
      <c r="AK40" s="48"/>
      <c r="AL40" s="48"/>
      <c r="AM40" s="150" t="str">
        <f t="shared" si="21"/>
        <v>start /low /b %USERPROFILE%\Documents\GitHub\eaglep3\Utilities\DownloadLogsFromS3.py --loco 4039 --day 2017-03-27</v>
      </c>
      <c r="AN4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670</v>
      </c>
      <c r="B41" s="7">
        <v>4053</v>
      </c>
      <c r="C41" s="21" t="s">
        <v>218</v>
      </c>
      <c r="D41" s="21" t="s">
        <v>845</v>
      </c>
      <c r="E41" s="13">
        <v>42821.298530092594</v>
      </c>
      <c r="F41" s="13">
        <v>42821.302268518521</v>
      </c>
      <c r="G41" s="7">
        <v>1</v>
      </c>
      <c r="H41" s="21" t="s">
        <v>562</v>
      </c>
      <c r="I41" s="13">
        <v>42821.32712962963</v>
      </c>
      <c r="J41" s="7">
        <v>0</v>
      </c>
      <c r="K41" s="97" t="str">
        <f t="shared" si="0"/>
        <v>4053/4054</v>
      </c>
      <c r="L41" s="21" t="str">
        <f>VLOOKUP(A41,'Trips&amp;Operators'!$C$1:$G$99999,5,FALSE)</f>
        <v>ACKERMAN JARED</v>
      </c>
      <c r="M41" s="6">
        <f t="shared" si="1"/>
        <v>2.4861111109203193E-2</v>
      </c>
      <c r="N41" s="7">
        <f t="shared" si="2"/>
        <v>35.799999997252598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-03-27T06:09:53-0600',mode:absolute,to:'2017-03-27T08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4.7500000000000001E-2</v>
      </c>
      <c r="Z41" s="62">
        <f t="shared" si="9"/>
        <v>23.330300000000001</v>
      </c>
      <c r="AA41" s="62">
        <f t="shared" si="10"/>
        <v>23.282800000000002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0129-27</v>
      </c>
      <c r="AE41" s="85" t="str">
        <f t="shared" si="12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41" s="82" t="str">
        <f t="shared" si="13"/>
        <v>"C:\Program Files (x86)\AstroGrep\AstroGrep.exe" /e /r /s /spath="%USERPROFILE%\AppData\Local\Temp\OnboardLogs" /stypes="app*4053*20170327*"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129-27 --locoid 4053 --swversion DE.1.0.9.0 --startMP 204:475 --initTime 2017-03-27T07:09:53 --startdatetime 2017-03-27T07:15:16 --delay 1 --endMP 204:233303 --enddatetime 2017-03-27T07:51:04 --enforcementcount 0 &gt;&gt;C:\Users\stu\Documents\GitHub\eaglep3-reporting\EC\2017-03-27-refined-times.txt</v>
      </c>
      <c r="AI4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api","custom_fields":[{"id":1,"name":"Subdivision","value":"EC"},{"id":4,"name":"Milepost","value":"23.3303"},{"id":17,"name":"Train ID","value":"129-27"},{"id":16,"name":"Locomotive ID","value":"4053"},{"id":130,"name":"Impact","value":""},{"id":150,"name":"Time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 t="s">
        <v>590</v>
      </c>
      <c r="AK41" s="48"/>
      <c r="AL41" s="48"/>
      <c r="AM41" s="150" t="str">
        <f t="shared" si="21"/>
        <v>start /low /b %USERPROFILE%\Documents\GitHub\eaglep3\Utilities\DownloadLogsFromS3.py --loco 4053 --day 2017-03-27</v>
      </c>
      <c r="AN4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677</v>
      </c>
      <c r="B42" s="7">
        <v>4054</v>
      </c>
      <c r="C42" s="21" t="s">
        <v>218</v>
      </c>
      <c r="D42" s="21" t="s">
        <v>516</v>
      </c>
      <c r="E42" s="13">
        <v>42821.332777777781</v>
      </c>
      <c r="F42" s="13">
        <v>42821.341180555559</v>
      </c>
      <c r="G42" s="7">
        <v>1</v>
      </c>
      <c r="H42" s="21" t="s">
        <v>489</v>
      </c>
      <c r="I42" s="13">
        <v>42821.368807870371</v>
      </c>
      <c r="J42" s="7">
        <v>0</v>
      </c>
      <c r="K42" s="97" t="str">
        <f t="shared" si="0"/>
        <v>4053/4054</v>
      </c>
      <c r="L42" s="21" t="str">
        <f>VLOOKUP(A42,'Trips&amp;Operators'!$C$1:$G$99999,5,FALSE)</f>
        <v>ACKERMAN JARED</v>
      </c>
      <c r="M42" s="6">
        <f t="shared" si="1"/>
        <v>2.7627314811979886E-2</v>
      </c>
      <c r="N42" s="7">
        <f t="shared" si="2"/>
        <v>39.783333329251036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-03-27T06:59:12-0600',mode:absolute,to:'2017-03-27T09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23.298999999999999</v>
      </c>
      <c r="Z42" s="62">
        <f t="shared" si="9"/>
        <v>1.38E-2</v>
      </c>
      <c r="AA42" s="62">
        <f t="shared" si="10"/>
        <v>23.2852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0130-27</v>
      </c>
      <c r="AE42" s="85" t="str">
        <f t="shared" si="12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42" s="82" t="str">
        <f t="shared" si="13"/>
        <v>"C:\Program Files (x86)\AstroGrep\AstroGrep.exe" /e /r /s /spath="%USERPROFILE%\AppData\Local\Temp\OnboardLogs" /stypes="app*4054*20170327*"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130-27 --locoid 4054 --swversion DE.1.0.9.0 --startMP 204:232990 --initTime 2017-03-27T07:59:12 --startdatetime 2017-03-27T08:11:18 --delay 1 --endMP 204:138 --enddatetime 2017-03-27T08:51:05 --enforcementcount 0 &gt;&gt;C:\Users\stu\Documents\GitHub\eaglep3-reporting\EC\2017-03-27-refined-times.txt</v>
      </c>
      <c r="AI4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api","custom_fields":[{"id":1,"name":"Subdivision","value":"EC"},{"id":4,"name":"Milepost","value":"0.0138"},{"id":17,"name":"Train ID","value":"130-27"},{"id":16,"name":"Locomotive ID","value":"4054"},{"id":130,"name":"Impact","value":""},{"id":150,"name":"Time of Event (Mountain Time)","value":"08:51:05"},{"id":151,"name":"Denver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 t="s">
        <v>590</v>
      </c>
      <c r="AK42" s="48"/>
      <c r="AL42" s="48"/>
      <c r="AM42" s="150" t="str">
        <f t="shared" si="21"/>
        <v>start /low /b %USERPROFILE%\Documents\GitHub\eaglep3\Utilities\DownloadLogsFromS3.py --loco 4054 --day 2017-03-27</v>
      </c>
      <c r="AN4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673</v>
      </c>
      <c r="B43" s="7">
        <v>4016</v>
      </c>
      <c r="C43" s="21" t="s">
        <v>218</v>
      </c>
      <c r="D43" s="21" t="s">
        <v>208</v>
      </c>
      <c r="E43" s="13">
        <v>42821.309189814812</v>
      </c>
      <c r="F43" s="13">
        <v>42821.312928240739</v>
      </c>
      <c r="G43" s="7">
        <v>1</v>
      </c>
      <c r="H43" s="21" t="s">
        <v>442</v>
      </c>
      <c r="I43" s="13">
        <v>42821.338564814818</v>
      </c>
      <c r="J43" s="7">
        <v>0</v>
      </c>
      <c r="K43" s="97" t="str">
        <f t="shared" si="0"/>
        <v>4015/4016</v>
      </c>
      <c r="L43" s="21" t="str">
        <f>VLOOKUP(A43,'Trips&amp;Operators'!$C$1:$G$99999,5,FALSE)</f>
        <v>MAELZER KURT</v>
      </c>
      <c r="M43" s="6">
        <f t="shared" si="1"/>
        <v>2.5636574078816921E-2</v>
      </c>
      <c r="N43" s="7">
        <f t="shared" si="2"/>
        <v>36.916666673496366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-03-27T06:25:14-0600',mode:absolute,to:'2017-03-27T09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4.5999999999999999E-2</v>
      </c>
      <c r="Z43" s="62">
        <f t="shared" si="9"/>
        <v>23.331399999999999</v>
      </c>
      <c r="AA43" s="62">
        <f t="shared" si="10"/>
        <v>23.285399999999999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0131-27</v>
      </c>
      <c r="AE43" s="85" t="str">
        <f t="shared" si="12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43" s="82" t="str">
        <f t="shared" si="13"/>
        <v>"C:\Program Files (x86)\AstroGrep\AstroGrep.exe" /e /r /s /spath="%USERPROFILE%\AppData\Local\Temp\OnboardLogs" /stypes="app*4016*20170327*"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131-27 --locoid 4016 --swversion DE.1.0.9.0 --startMP 204:460 --initTime 2017-03-27T07:25:14 --startdatetime 2017-03-27T07:30:37 --delay 1 --endMP 204:233314 --enddatetime 2017-03-27T08:07:32 --enforcementcount 0 &gt;&gt;C:\Users\stu\Documents\GitHub\eaglep3-reporting\EC\2017-03-27-refined-times.txt</v>
      </c>
      <c r="AI4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api","custom_fields":[{"id":1,"name":"Subdivision","value":"EC"},{"id":4,"name":"Milepost","value":"23.3314"},{"id":17,"name":"Train ID","value":"131-27"},{"id":16,"name":"Locomotive ID","value":"4016"},{"id":130,"name":"Impact","value":""},{"id":150,"name":"Time of Event (Mountain Time)","value":"08:07:32"},{"id":151,"name":"Denver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 t="s">
        <v>590</v>
      </c>
      <c r="AK43" s="48"/>
      <c r="AL43" s="48"/>
      <c r="AM43" s="150" t="str">
        <f t="shared" si="21"/>
        <v>start /low /b %USERPROFILE%\Documents\GitHub\eaglep3\Utilities\DownloadLogsFromS3.py --loco 4016 --day 2017-03-27</v>
      </c>
      <c r="AN4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605</v>
      </c>
      <c r="B44" s="7">
        <v>4015</v>
      </c>
      <c r="C44" s="21" t="s">
        <v>218</v>
      </c>
      <c r="D44" s="21" t="s">
        <v>470</v>
      </c>
      <c r="E44" s="13">
        <v>42821.343310185184</v>
      </c>
      <c r="F44" s="13">
        <v>42821.351655092592</v>
      </c>
      <c r="G44" s="7">
        <v>1</v>
      </c>
      <c r="H44" s="21" t="s">
        <v>205</v>
      </c>
      <c r="I44" s="13">
        <v>42821.378784722219</v>
      </c>
      <c r="J44" s="7">
        <v>0</v>
      </c>
      <c r="K44" s="97" t="str">
        <f t="shared" si="0"/>
        <v>4015/4016</v>
      </c>
      <c r="L44" s="21" t="str">
        <f>VLOOKUP(A44,'Trips&amp;Operators'!$C$1:$G$99999,5,FALSE)</f>
        <v>MAELZER KURT</v>
      </c>
      <c r="M44" s="6">
        <f t="shared" si="1"/>
        <v>2.7129629626870155E-2</v>
      </c>
      <c r="N44" s="7">
        <f t="shared" si="2"/>
        <v>39.066666662693024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-03-27T07:14:22-0600',mode:absolute,to:'2017-03-27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23.299399999999999</v>
      </c>
      <c r="Z44" s="62">
        <f t="shared" si="9"/>
        <v>1.54E-2</v>
      </c>
      <c r="AA44" s="62">
        <f t="shared" si="10"/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0132-27</v>
      </c>
      <c r="AE44" s="85" t="str">
        <f t="shared" si="12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44" s="82" t="str">
        <f t="shared" si="13"/>
        <v>"C:\Program Files (x86)\AstroGrep\AstroGrep.exe" /e /r /s /spath="%USERPROFILE%\AppData\Local\Temp\OnboardLogs" /stypes="app*4015*20170327*"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132-27 --locoid 4015 --swversion DE.1.0.9.0 --startMP 204:232994 --initTime 2017-03-27T08:14:22 --startdatetime 2017-03-27T08:26:23 --delay 1 --endMP 204:154 --enddatetime 2017-03-27T09:05:27 --enforcementcount 0 &gt;&gt;C:\Users\stu\Documents\GitHub\eaglep3-reporting\EC\2017-03-27-refined-times.txt</v>
      </c>
      <c r="AI4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api","custom_fields":[{"id":1,"name":"Subdivision","value":"EC"},{"id":4,"name":"Milepost","value":"0.0154"},{"id":17,"name":"Train ID","value":"132-27"},{"id":16,"name":"Locomotive ID","value":"4015"},{"id":130,"name":"Impact","value":""},{"id":150,"name":"Time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 t="s">
        <v>590</v>
      </c>
      <c r="AK44" s="48"/>
      <c r="AL44" s="48"/>
      <c r="AM44" s="150" t="str">
        <f t="shared" si="21"/>
        <v>start /low /b %USERPROFILE%\Documents\GitHub\eaglep3\Utilities\DownloadLogsFromS3.py --loco 4015 --day 2017-03-27</v>
      </c>
      <c r="AN4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675</v>
      </c>
      <c r="B45" s="7">
        <v>4014</v>
      </c>
      <c r="C45" s="21" t="s">
        <v>218</v>
      </c>
      <c r="D45" s="21" t="s">
        <v>212</v>
      </c>
      <c r="E45" s="13">
        <v>42821.319513888891</v>
      </c>
      <c r="F45" s="13">
        <v>42821.323460648149</v>
      </c>
      <c r="G45" s="7">
        <v>1</v>
      </c>
      <c r="H45" s="21" t="s">
        <v>478</v>
      </c>
      <c r="I45" s="13">
        <v>42821.348576388889</v>
      </c>
      <c r="J45" s="7">
        <v>0</v>
      </c>
      <c r="K45" s="97" t="str">
        <f t="shared" si="0"/>
        <v>4013/4014</v>
      </c>
      <c r="L45" s="21" t="str">
        <f>VLOOKUP(A45,'Trips&amp;Operators'!$C$1:$G$99999,5,FALSE)</f>
        <v>STARKS ANGELINA</v>
      </c>
      <c r="M45" s="6">
        <f t="shared" si="1"/>
        <v>2.5115740740147885E-2</v>
      </c>
      <c r="N45" s="7">
        <f t="shared" ref="N45:N68" si="23">24*60*SUM($M45:$M45)</f>
        <v>36.166666665812954</v>
      </c>
      <c r="O45" s="7"/>
      <c r="P45" s="7"/>
      <c r="Q45" s="22"/>
      <c r="R45" s="22"/>
      <c r="S45" s="31">
        <f t="shared" ref="S45:S76" si="24">SUM(U45:U45)/IF(AG45="EC",12,1)</f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-03-27T06:40:06-0600',mode:absolute,to:'2017-03-27T09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83" t="str">
        <f t="shared" si="6"/>
        <v>N</v>
      </c>
      <c r="X45" s="183">
        <f t="shared" ref="X45:X76" si="25">VALUE(LEFT(AD45,4))-VALUE(LEFT(AD44,4))</f>
        <v>1</v>
      </c>
      <c r="Y45" s="62">
        <f t="shared" si="8"/>
        <v>4.5499999999999999E-2</v>
      </c>
      <c r="Z45" s="62">
        <f t="shared" ref="Z45:Z76" si="26">RIGHT(H45,LEN(H45)-4)/10000</f>
        <v>23.328900000000001</v>
      </c>
      <c r="AA45" s="62">
        <f t="shared" si="10"/>
        <v>23.2834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0133-27</v>
      </c>
      <c r="AE45" s="85" t="str">
        <f t="shared" si="12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45" s="82" t="str">
        <f t="shared" si="13"/>
        <v>"C:\Program Files (x86)\AstroGrep\AstroGrep.exe" /e /r /s /spath="%USERPROFILE%\AppData\Local\Temp\OnboardLogs" /stypes="app*4014*20170327*"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133-27 --locoid 4014 --swversion DE.1.0.9.0 --startMP 204:455 --initTime 2017-03-27T07:40:06 --startdatetime 2017-03-27T07:45:47 --delay 1 --endMP 204:233289 --enddatetime 2017-03-27T08:21:57 --enforcementcount 0 &gt;&gt;C:\Users\stu\Documents\GitHub\eaglep3-reporting\EC\2017-03-27-refined-times.txt</v>
      </c>
      <c r="AI4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api","custom_fields":[{"id":1,"name":"Subdivision","value":"EC"},{"id":4,"name":"Milepost","value":"23.3289"},{"id":17,"name":"Train ID","value":"133-27"},{"id":16,"name":"Locomotive ID","value":"4014"},{"id":130,"name":"Impact","value":""},{"id":150,"name":"Time of Event (Mountain Time)","value":"08:21:57"},{"id":151,"name":"Denver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 t="s">
        <v>590</v>
      </c>
      <c r="AK45" s="48"/>
      <c r="AL45" s="48"/>
      <c r="AM45" s="150" t="str">
        <f t="shared" si="21"/>
        <v>start /low /b %USERPROFILE%\Documents\GitHub\eaglep3\Utilities\DownloadLogsFromS3.py --loco 4014 --day 2017-03-27</v>
      </c>
      <c r="AN4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683</v>
      </c>
      <c r="B46" s="7">
        <v>4013</v>
      </c>
      <c r="C46" s="21" t="s">
        <v>218</v>
      </c>
      <c r="D46" s="21" t="s">
        <v>579</v>
      </c>
      <c r="E46" s="13">
        <v>42821.359490740739</v>
      </c>
      <c r="F46" s="13">
        <v>42821.361990740741</v>
      </c>
      <c r="G46" s="7">
        <v>2</v>
      </c>
      <c r="H46" s="21" t="s">
        <v>390</v>
      </c>
      <c r="I46" s="13">
        <v>42821.389594907407</v>
      </c>
      <c r="J46" s="7">
        <v>0</v>
      </c>
      <c r="K46" s="97" t="str">
        <f t="shared" si="0"/>
        <v>4013/4014</v>
      </c>
      <c r="L46" s="21" t="str">
        <f>VLOOKUP(A46,'Trips&amp;Operators'!$C$1:$G$99999,5,FALSE)</f>
        <v>STARKS ANGELINA</v>
      </c>
      <c r="M46" s="6">
        <f t="shared" si="1"/>
        <v>2.7604166665696539E-2</v>
      </c>
      <c r="N46" s="7">
        <f t="shared" si="23"/>
        <v>39.749999998603016</v>
      </c>
      <c r="O46" s="7"/>
      <c r="P46" s="7"/>
      <c r="Q46" s="22"/>
      <c r="R46" s="22"/>
      <c r="S46" s="31">
        <f t="shared" si="24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-03-27T07:37:40-0600',mode:absolute,to:'2017-03-27T10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83" t="str">
        <f t="shared" si="6"/>
        <v>N</v>
      </c>
      <c r="X46" s="183">
        <f t="shared" si="25"/>
        <v>1</v>
      </c>
      <c r="Y46" s="62">
        <f t="shared" si="8"/>
        <v>23.297499999999999</v>
      </c>
      <c r="Z46" s="62">
        <f t="shared" si="26"/>
        <v>1.4500000000000001E-2</v>
      </c>
      <c r="AA46" s="62">
        <f t="shared" si="10"/>
        <v>23.282999999999998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0134-27</v>
      </c>
      <c r="AE46" s="85" t="str">
        <f t="shared" si="12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46" s="82" t="str">
        <f t="shared" si="13"/>
        <v>"C:\Program Files (x86)\AstroGrep\AstroGrep.exe" /e /r /s /spath="%USERPROFILE%\AppData\Local\Temp\OnboardLogs" /stypes="app*4013*20170327*"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134-27 --locoid 4013 --swversion DE.1.0.9.0 --startMP 204:232975 --initTime 2017-03-27T08:37:40 --startdatetime 2017-03-27T08:41:16 --delay 2 --endMP 204:145 --enddatetime 2017-03-27T09:21:01 --enforcementcount 0 &gt;&gt;C:\Users\stu\Documents\GitHub\eaglep3-reporting\EC\2017-03-27-refined-times.txt</v>
      </c>
      <c r="AI4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ID","value":"134-27"},{"id":16,"name":"Locomotive ID","value":"4013"},{"id":130,"name":"Impact","value":""},{"id":150,"name":"Time of Event (Mountain Time)","value":"09:21:01"},{"id":151,"name":"Denver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 t="s">
        <v>590</v>
      </c>
      <c r="AK46" s="48"/>
      <c r="AL46" s="48"/>
      <c r="AM46" s="150" t="str">
        <f t="shared" si="21"/>
        <v>start /low /b %USERPROFILE%\Documents\GitHub\eaglep3\Utilities\DownloadLogsFromS3.py --loco 4013 --day 2017-03-27</v>
      </c>
      <c r="AN4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676</v>
      </c>
      <c r="B47" s="7">
        <v>4003</v>
      </c>
      <c r="C47" s="21" t="s">
        <v>218</v>
      </c>
      <c r="D47" s="21" t="s">
        <v>495</v>
      </c>
      <c r="E47" s="13">
        <v>42821.328668981485</v>
      </c>
      <c r="F47" s="13">
        <v>42821.333506944444</v>
      </c>
      <c r="G47" s="7">
        <v>1</v>
      </c>
      <c r="H47" s="21" t="s">
        <v>517</v>
      </c>
      <c r="I47" s="13">
        <v>42821.359733796293</v>
      </c>
      <c r="J47" s="7">
        <v>0</v>
      </c>
      <c r="K47" s="97" t="str">
        <f t="shared" si="0"/>
        <v>4003/4004</v>
      </c>
      <c r="L47" s="21" t="str">
        <f>VLOOKUP(A47,'Trips&amp;Operators'!$C$1:$G$99999,5,FALSE)</f>
        <v>MENGES BRAD</v>
      </c>
      <c r="M47" s="6">
        <f t="shared" si="1"/>
        <v>2.622685184906004E-2</v>
      </c>
      <c r="N47" s="7">
        <f t="shared" si="23"/>
        <v>37.766666662646458</v>
      </c>
      <c r="O47" s="7"/>
      <c r="P47" s="7"/>
      <c r="Q47" s="22"/>
      <c r="R47" s="22"/>
      <c r="S47" s="31">
        <f t="shared" si="24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-03-27T06:53:17-0600',mode:absolute,to:'2017-03-27T09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83" t="str">
        <f t="shared" si="6"/>
        <v>N</v>
      </c>
      <c r="X47" s="183">
        <f t="shared" si="25"/>
        <v>1</v>
      </c>
      <c r="Y47" s="62">
        <f t="shared" si="8"/>
        <v>4.4600000000000001E-2</v>
      </c>
      <c r="Z47" s="62">
        <f t="shared" si="26"/>
        <v>23.331</v>
      </c>
      <c r="AA47" s="62">
        <f t="shared" si="10"/>
        <v>23.2864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0135-27</v>
      </c>
      <c r="AE47" s="85" t="str">
        <f t="shared" si="12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47" s="82" t="str">
        <f t="shared" si="13"/>
        <v>"C:\Program Files (x86)\AstroGrep\AstroGrep.exe" /e /r /s /spath="%USERPROFILE%\AppData\Local\Temp\OnboardLogs" /stypes="app*4003*20170327*"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135-27 --locoid 4003 --swversion DE.1.0.9.0 --startMP 204:446 --initTime 2017-03-27T07:53:17 --startdatetime 2017-03-27T08:00:15 --delay 1 --endMP 204:233310 --enddatetime 2017-03-27T08:38:01 --enforcementcount 0 &gt;&gt;C:\Users\stu\Documents\GitHub\eaglep3-reporting\EC\2017-03-27-refined-times.txt</v>
      </c>
      <c r="AI4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api","custom_fields":[{"id":1,"name":"Subdivision","value":"EC"},{"id":4,"name":"Milepost","value":"23.331"},{"id":17,"name":"Train ID","value":"135-27"},{"id":16,"name":"Locomotive ID","value":"4003"},{"id":130,"name":"Impact","value":""},{"id":150,"name":"Time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 t="s">
        <v>590</v>
      </c>
      <c r="AK47" s="48"/>
      <c r="AL47" s="48"/>
      <c r="AM47" s="150" t="str">
        <f t="shared" si="21"/>
        <v>start /low /b %USERPROFILE%\Documents\GitHub\eaglep3\Utilities\DownloadLogsFromS3.py --loco 4003 --day 2017-03-27</v>
      </c>
      <c r="AN4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684</v>
      </c>
      <c r="B48" s="7">
        <v>4004</v>
      </c>
      <c r="C48" s="21" t="s">
        <v>218</v>
      </c>
      <c r="D48" s="21" t="s">
        <v>470</v>
      </c>
      <c r="E48" s="13">
        <v>42821.367731481485</v>
      </c>
      <c r="F48" s="13">
        <v>42821.372650462959</v>
      </c>
      <c r="G48" s="7">
        <v>1</v>
      </c>
      <c r="H48" s="21" t="s">
        <v>205</v>
      </c>
      <c r="I48" s="13">
        <v>42821.400277777779</v>
      </c>
      <c r="J48" s="7">
        <v>0</v>
      </c>
      <c r="K48" s="97" t="str">
        <f t="shared" si="0"/>
        <v>4003/4004</v>
      </c>
      <c r="L48" s="21" t="str">
        <f>VLOOKUP(A48,'Trips&amp;Operators'!$C$1:$G$99999,5,FALSE)</f>
        <v>MENGES BRAD</v>
      </c>
      <c r="M48" s="6">
        <f t="shared" si="1"/>
        <v>2.7627314819255844E-2</v>
      </c>
      <c r="N48" s="7">
        <f t="shared" si="23"/>
        <v>39.783333339728415</v>
      </c>
      <c r="O48" s="7"/>
      <c r="P48" s="7"/>
      <c r="Q48" s="22"/>
      <c r="R48" s="22"/>
      <c r="S48" s="31">
        <f t="shared" si="24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-03-27T07:49:32-0600',mode:absolute,to:'2017-03-27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8" s="183" t="str">
        <f t="shared" si="6"/>
        <v>N</v>
      </c>
      <c r="X48" s="183">
        <f t="shared" si="25"/>
        <v>1</v>
      </c>
      <c r="Y48" s="62">
        <f t="shared" si="8"/>
        <v>23.299399999999999</v>
      </c>
      <c r="Z48" s="62">
        <f t="shared" si="26"/>
        <v>1.54E-2</v>
      </c>
      <c r="AA48" s="62">
        <f t="shared" si="10"/>
        <v>23.283999999999999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0136-27</v>
      </c>
      <c r="AE48" s="85" t="str">
        <f t="shared" si="12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48" s="82" t="str">
        <f t="shared" si="13"/>
        <v>"C:\Program Files (x86)\AstroGrep\AstroGrep.exe" /e /r /s /spath="%USERPROFILE%\AppData\Local\Temp\OnboardLogs" /stypes="app*4004*20170327*"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136-27 --locoid 4004 --swversion DE.1.0.9.0 --startMP 204:232994 --initTime 2017-03-27T08:49:32 --startdatetime 2017-03-27T08:56:37 --delay 1 --endMP 204:154 --enddatetime 2017-03-27T09:36:24 --enforcementcount 0 &gt;&gt;C:\Users\stu\Documents\GitHub\eaglep3-reporting\EC\2017-03-27-refined-times.txt</v>
      </c>
      <c r="AI48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api","custom_fields":[{"id":1,"name":"Subdivision","value":"EC"},{"id":4,"name":"Milepost","value":"0.0154"},{"id":17,"name":"Train ID","value":"136-27"},{"id":16,"name":"Locomotive ID","value":"4004"},{"id":130,"name":"Impact","value":""},{"id":150,"name":"Time of Event (Mountain Time)","value":"09:36:24"},{"id":151,"name":"Denver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 t="s">
        <v>590</v>
      </c>
      <c r="AK48" s="48"/>
      <c r="AL48" s="48"/>
      <c r="AM48" s="150" t="str">
        <f t="shared" si="21"/>
        <v>start /low /b %USERPROFILE%\Documents\GitHub\eaglep3\Utilities\DownloadLogsFromS3.py --loco 4004 --day 2017-03-27</v>
      </c>
      <c r="AN48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603</v>
      </c>
      <c r="B49" s="7">
        <v>4025</v>
      </c>
      <c r="C49" s="21" t="s">
        <v>218</v>
      </c>
      <c r="D49" s="21" t="s">
        <v>495</v>
      </c>
      <c r="E49" s="13">
        <v>42821.339965277781</v>
      </c>
      <c r="F49" s="13">
        <v>42821.344247685185</v>
      </c>
      <c r="G49" s="7">
        <v>1</v>
      </c>
      <c r="H49" s="21" t="s">
        <v>846</v>
      </c>
      <c r="I49" s="13">
        <v>42821.370138888888</v>
      </c>
      <c r="J49" s="7">
        <v>0</v>
      </c>
      <c r="K49" s="97" t="str">
        <f t="shared" si="0"/>
        <v>4025/4026</v>
      </c>
      <c r="L49" s="21" t="str">
        <f>VLOOKUP(A49,'Trips&amp;Operators'!$C$1:$G$99999,5,FALSE)</f>
        <v>MAYBERRY BILL</v>
      </c>
      <c r="M49" s="6">
        <f t="shared" si="1"/>
        <v>2.5891203702485655E-2</v>
      </c>
      <c r="N49" s="7">
        <f t="shared" si="23"/>
        <v>37.283333331579342</v>
      </c>
      <c r="O49" s="7"/>
      <c r="P49" s="7"/>
      <c r="Q49" s="22"/>
      <c r="R49" s="22"/>
      <c r="S49" s="31">
        <f t="shared" si="24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-03-27T07:09:33-0600',mode:absolute,to:'2017-03-27T09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83" t="str">
        <f t="shared" si="6"/>
        <v>N</v>
      </c>
      <c r="X49" s="183">
        <f t="shared" si="25"/>
        <v>1</v>
      </c>
      <c r="Y49" s="62">
        <f t="shared" si="8"/>
        <v>4.4600000000000001E-2</v>
      </c>
      <c r="Z49" s="62">
        <f t="shared" si="26"/>
        <v>23.3249</v>
      </c>
      <c r="AA49" s="62">
        <f t="shared" si="10"/>
        <v>23.2803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0137-27</v>
      </c>
      <c r="AE49" s="85" t="str">
        <f t="shared" si="12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49" s="82" t="str">
        <f t="shared" si="13"/>
        <v>"C:\Program Files (x86)\AstroGrep\AstroGrep.exe" /e /r /s /spath="%USERPROFILE%\AppData\Local\Temp\OnboardLogs" /stypes="app*4025*20170327*"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137-27 --locoid 4025 --swversion DE.1.0.9.0 --startMP 204:446 --initTime 2017-03-27T08:09:33 --startdatetime 2017-03-27T08:15:43 --delay 1 --endMP 204:233249 --enddatetime 2017-03-27T08:53:00 --enforcementcount 0 &gt;&gt;C:\Users\stu\Documents\GitHub\eaglep3-reporting\EC\2017-03-27-refined-times.txt</v>
      </c>
      <c r="AI49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api","custom_fields":[{"id":1,"name":"Subdivision","value":"EC"},{"id":4,"name":"Milepost","value":"23.3249"},{"id":17,"name":"Train ID","value":"137-27"},{"id":16,"name":"Locomotive ID","value":"4025"},{"id":130,"name":"Impact","value":""},{"id":150,"name":"Time of Event (Mountain Time)","value":"08:53:00"},{"id":151,"name":"Denver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 t="s">
        <v>590</v>
      </c>
      <c r="AK49" s="48"/>
      <c r="AL49" s="48"/>
      <c r="AM49" s="150" t="str">
        <f t="shared" si="21"/>
        <v>start /low /b %USERPROFILE%\Documents\GitHub\eaglep3\Utilities\DownloadLogsFromS3.py --loco 4025 --day 2017-03-27</v>
      </c>
      <c r="AN49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606</v>
      </c>
      <c r="B50" s="7">
        <v>4026</v>
      </c>
      <c r="C50" s="21" t="s">
        <v>218</v>
      </c>
      <c r="D50" s="21" t="s">
        <v>847</v>
      </c>
      <c r="E50" s="13">
        <v>42821.372037037036</v>
      </c>
      <c r="F50" s="13">
        <v>42821.382916666669</v>
      </c>
      <c r="G50" s="7">
        <v>1</v>
      </c>
      <c r="H50" s="21" t="s">
        <v>214</v>
      </c>
      <c r="I50" s="13">
        <v>42821.410763888889</v>
      </c>
      <c r="J50" s="7">
        <v>0</v>
      </c>
      <c r="K50" s="97" t="str">
        <f t="shared" si="0"/>
        <v>4025/4026</v>
      </c>
      <c r="L50" s="21" t="str">
        <f>VLOOKUP(A50,'Trips&amp;Operators'!$C$1:$G$99999,5,FALSE)</f>
        <v>MAYBERRY BILL</v>
      </c>
      <c r="M50" s="6">
        <f t="shared" si="1"/>
        <v>2.7847222219861578E-2</v>
      </c>
      <c r="N50" s="7">
        <f t="shared" si="23"/>
        <v>40.099999996600673</v>
      </c>
      <c r="O50" s="7"/>
      <c r="P50" s="7"/>
      <c r="Q50" s="22"/>
      <c r="R50" s="22"/>
      <c r="S50" s="31">
        <f t="shared" si="24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-03-27T07:55:44-0600',mode:absolute,to:'2017-03-27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83" t="str">
        <f t="shared" si="6"/>
        <v>N</v>
      </c>
      <c r="X50" s="183">
        <f t="shared" si="25"/>
        <v>1</v>
      </c>
      <c r="Y50" s="62">
        <f t="shared" si="8"/>
        <v>23.293199999999999</v>
      </c>
      <c r="Z50" s="62">
        <f t="shared" si="26"/>
        <v>1.47E-2</v>
      </c>
      <c r="AA50" s="62">
        <f t="shared" si="10"/>
        <v>23.278499999999998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0138-27</v>
      </c>
      <c r="AE50" s="85" t="str">
        <f t="shared" si="12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50" s="82" t="str">
        <f t="shared" si="13"/>
        <v>"C:\Program Files (x86)\AstroGrep\AstroGrep.exe" /e /r /s /spath="%USERPROFILE%\AppData\Local\Temp\OnboardLogs" /stypes="app*4026*20170327*"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138-27 --locoid 4026 --swversion DE.1.0.9.0 --startMP 204:232932 --initTime 2017-03-27T08:55:44 --startdatetime 2017-03-27T09:11:24 --delay 1 --endMP 204:147 --enddatetime 2017-03-27T09:51:30 --enforcementcount 0 &gt;&gt;C:\Users\stu\Documents\GitHub\eaglep3-reporting\EC\2017-03-27-refined-times.txt</v>
      </c>
      <c r="AI5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api","custom_fields":[{"id":1,"name":"Subdivision","value":"EC"},{"id":4,"name":"Milepost","value":"0.0147"},{"id":17,"name":"Train ID","value":"138-27"},{"id":16,"name":"Locomotive ID","value":"4026"},{"id":130,"name":"Impact","value":""},{"id":150,"name":"Time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 t="s">
        <v>590</v>
      </c>
      <c r="AK50" s="48"/>
      <c r="AL50" s="48"/>
      <c r="AM50" s="150" t="str">
        <f t="shared" si="21"/>
        <v>start /low /b %USERPROFILE%\Documents\GitHub\eaglep3\Utilities\DownloadLogsFromS3.py --loco 4026 --day 2017-03-27</v>
      </c>
      <c r="AN5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680</v>
      </c>
      <c r="B51" s="7">
        <v>4051</v>
      </c>
      <c r="C51" s="21" t="s">
        <v>218</v>
      </c>
      <c r="D51" s="21" t="s">
        <v>211</v>
      </c>
      <c r="E51" s="13">
        <v>42821.348379629628</v>
      </c>
      <c r="F51" s="13">
        <v>42821.354895833334</v>
      </c>
      <c r="G51" s="7">
        <v>1</v>
      </c>
      <c r="H51" s="21" t="s">
        <v>848</v>
      </c>
      <c r="I51" s="13">
        <v>42821.378842592596</v>
      </c>
      <c r="J51" s="7">
        <v>0</v>
      </c>
      <c r="K51" s="97" t="str">
        <f t="shared" si="0"/>
        <v>4051/4052</v>
      </c>
      <c r="L51" s="21" t="str">
        <f>VLOOKUP(A51,'Trips&amp;Operators'!$C$1:$G$99999,5,FALSE)</f>
        <v>YORK EDGAR</v>
      </c>
      <c r="M51" s="6">
        <f t="shared" si="1"/>
        <v>2.3946759261889383E-2</v>
      </c>
      <c r="N51" s="7">
        <f t="shared" si="23"/>
        <v>34.483333337120712</v>
      </c>
      <c r="O51" s="7"/>
      <c r="P51" s="7"/>
      <c r="Q51" s="22"/>
      <c r="R51" s="22"/>
      <c r="S51" s="31">
        <f t="shared" si="24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-03-27T07:21:40-0600',mode:absolute,to:'2017-03-27T10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3" t="str">
        <f t="shared" si="6"/>
        <v>N</v>
      </c>
      <c r="X51" s="183">
        <f t="shared" si="25"/>
        <v>1</v>
      </c>
      <c r="Y51" s="62">
        <f t="shared" si="8"/>
        <v>4.53E-2</v>
      </c>
      <c r="Z51" s="62">
        <f t="shared" si="26"/>
        <v>23.330400000000001</v>
      </c>
      <c r="AA51" s="62">
        <f t="shared" si="10"/>
        <v>23.2851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0139-27</v>
      </c>
      <c r="AE51" s="85" t="str">
        <f t="shared" si="12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51" s="82" t="str">
        <f t="shared" si="13"/>
        <v>"C:\Program Files (x86)\AstroGrep\AstroGrep.exe" /e /r /s /spath="%USERPROFILE%\AppData\Local\Temp\OnboardLogs" /stypes="app*4051*20170327*"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139-27 --locoid 4051 --swversion DE.1.0.9.0 --startMP 204:453 --initTime 2017-03-27T08:21:40 --startdatetime 2017-03-27T08:31:03 --delay 1 --endMP 204:233304 --enddatetime 2017-03-27T09:05:32 --enforcementcount 0 &gt;&gt;C:\Users\stu\Documents\GitHub\eaglep3-reporting\EC\2017-03-27-refined-times.txt</v>
      </c>
      <c r="AI5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api","custom_fields":[{"id":1,"name":"Subdivision","value":"EC"},{"id":4,"name":"Milepost","value":"23.3304"},{"id":17,"name":"Train ID","value":"139-27"},{"id":16,"name":"Locomotive ID","value":"4051"},{"id":130,"name":"Impact","value":""},{"id":150,"name":"Time of Event (Mountain Time)","value":"09:05:32"},{"id":151,"name":"Denver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 t="s">
        <v>590</v>
      </c>
      <c r="AK51" s="48"/>
      <c r="AL51" s="48"/>
      <c r="AM51" s="150" t="str">
        <f t="shared" si="21"/>
        <v>start /low /b %USERPROFILE%\Documents\GitHub\eaglep3\Utilities\DownloadLogsFromS3.py --loco 4051 --day 2017-03-27</v>
      </c>
      <c r="AN5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4052</v>
      </c>
      <c r="C52" s="21" t="s">
        <v>218</v>
      </c>
      <c r="D52" s="21" t="s">
        <v>443</v>
      </c>
      <c r="E52" s="13">
        <v>42821.379745370374</v>
      </c>
      <c r="F52" s="13">
        <v>42821.39335648148</v>
      </c>
      <c r="G52" s="7">
        <v>0</v>
      </c>
      <c r="H52" s="21" t="s">
        <v>191</v>
      </c>
      <c r="I52" s="13">
        <v>42821.419641203705</v>
      </c>
      <c r="J52" s="7">
        <v>0</v>
      </c>
      <c r="K52" s="97" t="str">
        <f t="shared" si="0"/>
        <v>4051/4052</v>
      </c>
      <c r="L52" s="21" t="str">
        <f>VLOOKUP(A52,'Trips&amp;Operators'!$C$1:$G$99999,5,FALSE)</f>
        <v>YORK EDGAR</v>
      </c>
      <c r="M52" s="6">
        <f t="shared" si="1"/>
        <v>2.6284722225682344E-2</v>
      </c>
      <c r="N52" s="7">
        <f t="shared" si="23"/>
        <v>37.850000004982576</v>
      </c>
      <c r="O52" s="7"/>
      <c r="P52" s="7"/>
      <c r="Q52" s="22"/>
      <c r="R52" s="22"/>
      <c r="S52" s="31">
        <f t="shared" si="24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-03-27T08:06:50-0600',mode:absolute,to:'2017-03-27T11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3" t="str">
        <f t="shared" si="6"/>
        <v>N</v>
      </c>
      <c r="X52" s="183">
        <f t="shared" si="25"/>
        <v>1</v>
      </c>
      <c r="Y52" s="62">
        <f t="shared" si="8"/>
        <v>23.299600000000002</v>
      </c>
      <c r="Z52" s="62">
        <f t="shared" si="26"/>
        <v>1.4999999999999999E-2</v>
      </c>
      <c r="AA52" s="62">
        <f t="shared" si="10"/>
        <v>23.284600000000001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0140-27</v>
      </c>
      <c r="AE52" s="85" t="str">
        <f t="shared" si="12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52" s="82" t="str">
        <f t="shared" si="13"/>
        <v>"C:\Program Files (x86)\AstroGrep\AstroGrep.exe" /e /r /s /spath="%USERPROFILE%\AppData\Local\Temp\OnboardLogs" /stypes="app*4052*20170327*"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140-27 --locoid 4052 --swversion DE.1.0.9.0 --startMP 204:232996 --initTime 2017-03-27T09:06:50 --startdatetime 2017-03-27T09:26:26 --delay 0 --endMP 204:150 --enddatetime 2017-03-27T10:04:17 --enforcementcount 0 &gt;&gt;C:\Users\stu\Documents\GitHub\eaglep3-reporting\EC\2017-03-27-refined-times.txt</v>
      </c>
      <c r="AI5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ID","value":"140-27"},{"id":16,"name":"Locomotive ID","value":"4052"},{"id":130,"name":"Impact","value":""},{"id":150,"name":"Time of Event (Mountain Time)","value":"10:04:17"},{"id":151,"name":"Denver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 t="s">
        <v>590</v>
      </c>
      <c r="AK52" s="48"/>
      <c r="AL52" s="48"/>
      <c r="AM52" s="150" t="str">
        <f t="shared" si="21"/>
        <v>start /low /b %USERPROFILE%\Documents\GitHub\eaglep3\Utilities\DownloadLogsFromS3.py --loco 4052 --day 2017-03-27</v>
      </c>
      <c r="AN5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682</v>
      </c>
      <c r="B53" s="7">
        <v>4040</v>
      </c>
      <c r="C53" s="21" t="s">
        <v>218</v>
      </c>
      <c r="D53" s="21" t="s">
        <v>212</v>
      </c>
      <c r="E53" s="13">
        <v>42821.3593287037</v>
      </c>
      <c r="F53" s="13">
        <v>42821.364791666667</v>
      </c>
      <c r="G53" s="7">
        <v>1</v>
      </c>
      <c r="H53" s="21" t="s">
        <v>562</v>
      </c>
      <c r="I53" s="13">
        <v>42821.389374999999</v>
      </c>
      <c r="J53" s="7">
        <v>0</v>
      </c>
      <c r="K53" s="97" t="str">
        <f t="shared" si="0"/>
        <v>4039/4040</v>
      </c>
      <c r="L53" s="21" t="str">
        <f>VLOOKUP(A53,'Trips&amp;Operators'!$C$1:$G$99999,5,FALSE)</f>
        <v>SANTIZO D. EDY</v>
      </c>
      <c r="M53" s="6">
        <f t="shared" si="1"/>
        <v>2.4583333331975155E-2</v>
      </c>
      <c r="N53" s="7">
        <f t="shared" si="23"/>
        <v>35.399999998044223</v>
      </c>
      <c r="O53" s="7"/>
      <c r="P53" s="7"/>
      <c r="Q53" s="22"/>
      <c r="R53" s="22"/>
      <c r="S53" s="31">
        <f t="shared" si="24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-03-27T07:37:26-0600',mode:absolute,to:'2017-03-27T10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83" t="str">
        <f t="shared" si="6"/>
        <v>N</v>
      </c>
      <c r="X53" s="183">
        <f t="shared" si="25"/>
        <v>1</v>
      </c>
      <c r="Y53" s="62">
        <f t="shared" si="8"/>
        <v>4.5499999999999999E-2</v>
      </c>
      <c r="Z53" s="62">
        <f t="shared" si="26"/>
        <v>23.330300000000001</v>
      </c>
      <c r="AA53" s="62">
        <f t="shared" si="10"/>
        <v>23.284800000000001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0141-27</v>
      </c>
      <c r="AE53" s="85" t="str">
        <f t="shared" si="12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53" s="82" t="str">
        <f t="shared" si="13"/>
        <v>"C:\Program Files (x86)\AstroGrep\AstroGrep.exe" /e /r /s /spath="%USERPROFILE%\AppData\Local\Temp\OnboardLogs" /stypes="app*4040*20170327*"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141-27 --locoid 4040 --swversion DE.1.0.9.0 --startMP 204:455 --initTime 2017-03-27T08:37:26 --startdatetime 2017-03-27T08:45:18 --delay 1 --endMP 204:233303 --enddatetime 2017-03-27T09:20:42 --enforcementcount 0 &gt;&gt;C:\Users\stu\Documents\GitHub\eaglep3-reporting\EC\2017-03-27-refined-times.txt</v>
      </c>
      <c r="AI5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api","custom_fields":[{"id":1,"name":"Subdivision","value":"EC"},{"id":4,"name":"Milepost","value":"23.3303"},{"id":17,"name":"Train ID","value":"141-27"},{"id":16,"name":"Locomotive ID","value":"4040"},{"id":130,"name":"Impact","value":""},{"id":150,"name":"Time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 t="s">
        <v>590</v>
      </c>
      <c r="AK53" s="48"/>
      <c r="AL53" s="48"/>
      <c r="AM53" s="150" t="str">
        <f t="shared" si="21"/>
        <v>start /low /b %USERPROFILE%\Documents\GitHub\eaglep3\Utilities\DownloadLogsFromS3.py --loco 4040 --day 2017-03-27</v>
      </c>
      <c r="AN5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689</v>
      </c>
      <c r="B54" s="7">
        <v>4039</v>
      </c>
      <c r="C54" s="21" t="s">
        <v>218</v>
      </c>
      <c r="D54" s="21" t="s">
        <v>487</v>
      </c>
      <c r="E54" s="13">
        <v>42821.390277777777</v>
      </c>
      <c r="F54" s="13">
        <v>42821.403692129628</v>
      </c>
      <c r="G54" s="7">
        <v>1</v>
      </c>
      <c r="H54" s="21" t="s">
        <v>191</v>
      </c>
      <c r="I54" s="13">
        <v>42821.43178240741</v>
      </c>
      <c r="J54" s="7">
        <v>0</v>
      </c>
      <c r="K54" s="97" t="str">
        <f t="shared" si="0"/>
        <v>4039/4040</v>
      </c>
      <c r="L54" s="21" t="str">
        <f>VLOOKUP(A54,'Trips&amp;Operators'!$C$1:$G$99999,5,FALSE)</f>
        <v>SANTIZO D. EDY</v>
      </c>
      <c r="M54" s="6">
        <f t="shared" si="1"/>
        <v>2.8090277781302575E-2</v>
      </c>
      <c r="N54" s="7">
        <f t="shared" si="23"/>
        <v>40.450000005075708</v>
      </c>
      <c r="O54" s="7"/>
      <c r="P54" s="7"/>
      <c r="Q54" s="22"/>
      <c r="R54" s="22"/>
      <c r="S54" s="31">
        <f t="shared" si="24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-03-27T08:22:00-0600',mode:absolute,to:'2017-03-27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83" t="str">
        <f t="shared" si="6"/>
        <v>N</v>
      </c>
      <c r="X54" s="183">
        <f t="shared" si="25"/>
        <v>1</v>
      </c>
      <c r="Y54" s="62">
        <f t="shared" si="8"/>
        <v>23.298200000000001</v>
      </c>
      <c r="Z54" s="62">
        <f t="shared" si="26"/>
        <v>1.4999999999999999E-2</v>
      </c>
      <c r="AA54" s="62">
        <f t="shared" si="10"/>
        <v>23.283200000000001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0142-27</v>
      </c>
      <c r="AE54" s="85" t="str">
        <f t="shared" si="12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54" s="82" t="str">
        <f t="shared" si="13"/>
        <v>"C:\Program Files (x86)\AstroGrep\AstroGrep.exe" /e /r /s /spath="%USERPROFILE%\AppData\Local\Temp\OnboardLogs" /stypes="app*4039*20170327*"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142-27 --locoid 4039 --swversion DE.1.0.9.0 --startMP 204:232982 --initTime 2017-03-27T09:22:00 --startdatetime 2017-03-27T09:41:19 --delay 1 --endMP 204:150 --enddatetime 2017-03-27T10:21:46 --enforcementcount 0 &gt;&gt;C:\Users\stu\Documents\GitHub\eaglep3-reporting\EC\2017-03-27-refined-times.txt</v>
      </c>
      <c r="AI5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ID","value":"142-27"},{"id":16,"name":"Locomotive ID","value":"4039"},{"id":130,"name":"Impact","value":""},{"id":150,"name":"Time of Event (Mountain Time)","value":"10:21:46"},{"id":151,"name":"Denver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 t="s">
        <v>590</v>
      </c>
      <c r="AK54" s="48"/>
      <c r="AL54" s="48"/>
      <c r="AM54" s="150" t="str">
        <f t="shared" si="21"/>
        <v>start /low /b %USERPROFILE%\Documents\GitHub\eaglep3\Utilities\DownloadLogsFromS3.py --loco 4039 --day 2017-03-27</v>
      </c>
      <c r="AN5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685</v>
      </c>
      <c r="B55" s="7">
        <v>4053</v>
      </c>
      <c r="C55" s="21" t="s">
        <v>218</v>
      </c>
      <c r="D55" s="21" t="s">
        <v>578</v>
      </c>
      <c r="E55" s="13">
        <v>42821.370497685188</v>
      </c>
      <c r="F55" s="13">
        <v>42821.375173611108</v>
      </c>
      <c r="G55" s="7">
        <v>1</v>
      </c>
      <c r="H55" s="21" t="s">
        <v>512</v>
      </c>
      <c r="I55" s="13">
        <v>42821.400185185186</v>
      </c>
      <c r="J55" s="7">
        <v>0</v>
      </c>
      <c r="K55" s="97" t="str">
        <f t="shared" si="0"/>
        <v>4053/4054</v>
      </c>
      <c r="L55" s="21" t="str">
        <f>VLOOKUP(A55,'Trips&amp;Operators'!$C$1:$G$99999,5,FALSE)</f>
        <v>ACKERMAN JARED</v>
      </c>
      <c r="M55" s="6">
        <f t="shared" si="1"/>
        <v>2.5011574078234844E-2</v>
      </c>
      <c r="N55" s="7">
        <f t="shared" si="23"/>
        <v>36.016666672658175</v>
      </c>
      <c r="O55" s="7"/>
      <c r="P55" s="7"/>
      <c r="Q55" s="22"/>
      <c r="R55" s="22"/>
      <c r="S55" s="31">
        <f t="shared" si="24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-03-27T07:53:31-0600',mode:absolute,to:'2017-03-27T10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5" s="183" t="str">
        <f t="shared" si="6"/>
        <v>N</v>
      </c>
      <c r="X55" s="183">
        <f t="shared" si="25"/>
        <v>1</v>
      </c>
      <c r="Y55" s="62">
        <f t="shared" si="8"/>
        <v>4.24E-2</v>
      </c>
      <c r="Z55" s="62">
        <f t="shared" si="26"/>
        <v>23.3306</v>
      </c>
      <c r="AA55" s="62">
        <f t="shared" si="10"/>
        <v>23.2882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0143-27</v>
      </c>
      <c r="AE55" s="85" t="str">
        <f t="shared" si="12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55" s="82" t="str">
        <f t="shared" si="13"/>
        <v>"C:\Program Files (x86)\AstroGrep\AstroGrep.exe" /e /r /s /spath="%USERPROFILE%\AppData\Local\Temp\OnboardLogs" /stypes="app*4053*20170327*"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143-27 --locoid 4053 --swversion DE.1.0.9.0 --startMP 204:424 --initTime 2017-03-27T08:53:31 --startdatetime 2017-03-27T09:00:15 --delay 1 --endMP 204:233306 --enddatetime 2017-03-27T09:36:16 --enforcementcount 0 &gt;&gt;C:\Users\stu\Documents\GitHub\eaglep3-reporting\EC\2017-03-27-refined-times.txt</v>
      </c>
      <c r="AI5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api","custom_fields":[{"id":1,"name":"Subdivision","value":"EC"},{"id":4,"name":"Milepost","value":"23.3306"},{"id":17,"name":"Train ID","value":"143-27"},{"id":16,"name":"Locomotive ID","value":"4053"},{"id":130,"name":"Impact","value":""},{"id":150,"name":"Time of Event (Mountain Time)","value":"09:36:16"},{"id":151,"name":"Denver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 t="s">
        <v>590</v>
      </c>
      <c r="AK55" s="48"/>
      <c r="AL55" s="48"/>
      <c r="AM55" s="150" t="str">
        <f t="shared" si="21"/>
        <v>start /low /b %USERPROFILE%\Documents\GitHub\eaglep3\Utilities\DownloadLogsFromS3.py --loco 4053 --day 2017-03-27</v>
      </c>
      <c r="AN5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692</v>
      </c>
      <c r="B56" s="7">
        <v>4054</v>
      </c>
      <c r="C56" s="21" t="s">
        <v>218</v>
      </c>
      <c r="D56" s="21" t="s">
        <v>221</v>
      </c>
      <c r="E56" s="13">
        <v>42821.40697916667</v>
      </c>
      <c r="F56" s="13">
        <v>42821.414236111108</v>
      </c>
      <c r="G56" s="7">
        <v>1</v>
      </c>
      <c r="H56" s="21" t="s">
        <v>515</v>
      </c>
      <c r="I56" s="13">
        <v>42821.440937500003</v>
      </c>
      <c r="J56" s="7">
        <v>0</v>
      </c>
      <c r="K56" s="97" t="str">
        <f t="shared" si="0"/>
        <v>4053/4054</v>
      </c>
      <c r="L56" s="21" t="str">
        <f>VLOOKUP(A56,'Trips&amp;Operators'!$C$1:$G$99999,5,FALSE)</f>
        <v>ACKERMAN JARED</v>
      </c>
      <c r="M56" s="6">
        <f t="shared" si="1"/>
        <v>2.6701388895162381E-2</v>
      </c>
      <c r="N56" s="7">
        <f t="shared" si="23"/>
        <v>38.450000009033829</v>
      </c>
      <c r="O56" s="7"/>
      <c r="P56" s="7"/>
      <c r="Q56" s="22"/>
      <c r="R56" s="22"/>
      <c r="S56" s="31">
        <f t="shared" si="24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-03-27T08:46:03-0600',mode:absolute,to:'2017-03-27T11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83" t="str">
        <f t="shared" si="6"/>
        <v>N</v>
      </c>
      <c r="X56" s="183">
        <f t="shared" si="25"/>
        <v>1</v>
      </c>
      <c r="Y56" s="62">
        <f t="shared" si="8"/>
        <v>23.3</v>
      </c>
      <c r="Z56" s="62">
        <f t="shared" si="26"/>
        <v>1.41E-2</v>
      </c>
      <c r="AA56" s="62">
        <f t="shared" si="10"/>
        <v>23.285900000000002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0144-27</v>
      </c>
      <c r="AE56" s="85" t="str">
        <f t="shared" si="12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56" s="82" t="str">
        <f t="shared" si="13"/>
        <v>"C:\Program Files (x86)\AstroGrep\AstroGrep.exe" /e /r /s /spath="%USERPROFILE%\AppData\Local\Temp\OnboardLogs" /stypes="app*4054*20170327*"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144-27 --locoid 4054 --swversion DE.1.0.9.0 --startMP 204:233000 --initTime 2017-03-27T09:46:03 --startdatetime 2017-03-27T09:56:30 --delay 1 --endMP 204:141 --enddatetime 2017-03-27T10:34:57 --enforcementcount 0 &gt;&gt;C:\Users\stu\Documents\GitHub\eaglep3-reporting\EC\2017-03-27-refined-times.txt</v>
      </c>
      <c r="AI5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api","custom_fields":[{"id":1,"name":"Subdivision","value":"EC"},{"id":4,"name":"Milepost","value":"0.0141"},{"id":17,"name":"Train ID","value":"144-27"},{"id":16,"name":"Locomotive ID","value":"4054"},{"id":130,"name":"Impact","value":""},{"id":150,"name":"Time of Event (Mountain Time)","value":"10:34:57"},{"id":151,"name":"Denver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 t="s">
        <v>590</v>
      </c>
      <c r="AK56" s="48"/>
      <c r="AL56" s="48"/>
      <c r="AM56" s="150" t="str">
        <f t="shared" si="21"/>
        <v>start /low /b %USERPROFILE%\Documents\GitHub\eaglep3\Utilities\DownloadLogsFromS3.py --loco 4054 --day 2017-03-27</v>
      </c>
      <c r="AN5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687</v>
      </c>
      <c r="B57" s="7">
        <v>4016</v>
      </c>
      <c r="C57" s="21" t="s">
        <v>218</v>
      </c>
      <c r="D57" s="21" t="s">
        <v>215</v>
      </c>
      <c r="E57" s="13">
        <v>42821.381215277775</v>
      </c>
      <c r="F57" s="13">
        <v>42821.385844907411</v>
      </c>
      <c r="G57" s="7">
        <v>1</v>
      </c>
      <c r="H57" s="21" t="s">
        <v>488</v>
      </c>
      <c r="I57" s="13">
        <v>42821.410069444442</v>
      </c>
      <c r="J57" s="7">
        <v>0</v>
      </c>
      <c r="K57" s="97" t="str">
        <f t="shared" si="0"/>
        <v>4015/4016</v>
      </c>
      <c r="L57" s="21" t="str">
        <f>VLOOKUP(A57,'Trips&amp;Operators'!$C$1:$G$99999,5,FALSE)</f>
        <v>MAELZER KURT</v>
      </c>
      <c r="M57" s="6">
        <f t="shared" si="1"/>
        <v>2.4224537031841464E-2</v>
      </c>
      <c r="N57" s="7">
        <f t="shared" si="23"/>
        <v>34.883333325851709</v>
      </c>
      <c r="O57" s="7"/>
      <c r="P57" s="7"/>
      <c r="Q57" s="22"/>
      <c r="R57" s="22"/>
      <c r="S57" s="31">
        <f t="shared" si="24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-03-27T08:08:57-0600',mode:absolute,to:'2017-03-27T10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83" t="str">
        <f t="shared" si="6"/>
        <v>N</v>
      </c>
      <c r="X57" s="183">
        <f t="shared" si="25"/>
        <v>1</v>
      </c>
      <c r="Y57" s="62">
        <f t="shared" si="8"/>
        <v>4.6600000000000003E-2</v>
      </c>
      <c r="Z57" s="62">
        <f t="shared" si="26"/>
        <v>23.329499999999999</v>
      </c>
      <c r="AA57" s="62">
        <f t="shared" si="10"/>
        <v>23.282899999999998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0145-27</v>
      </c>
      <c r="AE57" s="85" t="str">
        <f t="shared" si="12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57" s="82" t="str">
        <f t="shared" si="13"/>
        <v>"C:\Program Files (x86)\AstroGrep\AstroGrep.exe" /e /r /s /spath="%USERPROFILE%\AppData\Local\Temp\OnboardLogs" /stypes="app*4016*20170327*"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145-27 --locoid 4016 --swversion DE.1.0.9.0 --startMP 204:466 --initTime 2017-03-27T09:08:57 --startdatetime 2017-03-27T09:15:37 --delay 1 --endMP 204:233295 --enddatetime 2017-03-27T09:50:30 --enforcementcount 0 &gt;&gt;C:\Users\stu\Documents\GitHub\eaglep3-reporting\EC\2017-03-27-refined-times.txt</v>
      </c>
      <c r="AI5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api","custom_fields":[{"id":1,"name":"Subdivision","value":"EC"},{"id":4,"name":"Milepost","value":"23.3295"},{"id":17,"name":"Train ID","value":"145-27"},{"id":16,"name":"Locomotive ID","value":"4016"},{"id":130,"name":"Impact","value":""},{"id":150,"name":"Time of Event (Mountain Time)","value":"09:50:30"},{"id":151,"name":"Denver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 t="s">
        <v>590</v>
      </c>
      <c r="AK57" s="48"/>
      <c r="AL57" s="48"/>
      <c r="AM57" s="150" t="str">
        <f t="shared" si="21"/>
        <v>start /low /b %USERPROFILE%\Documents\GitHub\eaglep3\Utilities\DownloadLogsFromS3.py --loco 4016 --day 2017-03-27</v>
      </c>
      <c r="AN5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610</v>
      </c>
      <c r="B58" s="7">
        <v>4015</v>
      </c>
      <c r="C58" s="21" t="s">
        <v>218</v>
      </c>
      <c r="D58" s="21" t="s">
        <v>493</v>
      </c>
      <c r="E58" s="13">
        <v>42821.419016203705</v>
      </c>
      <c r="F58" s="13">
        <v>42821.426041666666</v>
      </c>
      <c r="G58" s="7">
        <v>1</v>
      </c>
      <c r="H58" s="21" t="s">
        <v>199</v>
      </c>
      <c r="I58" s="13">
        <v>42821.453043981484</v>
      </c>
      <c r="J58" s="7">
        <v>0</v>
      </c>
      <c r="K58" s="97" t="str">
        <f t="shared" si="0"/>
        <v>4015/4016</v>
      </c>
      <c r="L58" s="21" t="str">
        <f>VLOOKUP(A58,'Trips&amp;Operators'!$C$1:$G$99999,5,FALSE)</f>
        <v>MAELZER KURT</v>
      </c>
      <c r="M58" s="6">
        <f t="shared" si="1"/>
        <v>2.7002314818673767E-2</v>
      </c>
      <c r="N58" s="7">
        <f t="shared" si="23"/>
        <v>38.883333338890225</v>
      </c>
      <c r="O58" s="7"/>
      <c r="P58" s="7"/>
      <c r="Q58" s="22"/>
      <c r="R58" s="22"/>
      <c r="S58" s="31">
        <f t="shared" si="24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-03-27T09:03:23-0600',mode:absolute,to:'2017-03-27T11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83" t="str">
        <f t="shared" si="6"/>
        <v>N</v>
      </c>
      <c r="X58" s="183">
        <f t="shared" si="25"/>
        <v>1</v>
      </c>
      <c r="Y58" s="62">
        <f t="shared" si="8"/>
        <v>23.2986</v>
      </c>
      <c r="Z58" s="62">
        <f t="shared" si="26"/>
        <v>1.52E-2</v>
      </c>
      <c r="AA58" s="62">
        <f t="shared" si="10"/>
        <v>23.2834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0146-27</v>
      </c>
      <c r="AE58" s="85" t="str">
        <f t="shared" si="12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58" s="82" t="str">
        <f t="shared" si="13"/>
        <v>"C:\Program Files (x86)\AstroGrep\AstroGrep.exe" /e /r /s /spath="%USERPROFILE%\AppData\Local\Temp\OnboardLogs" /stypes="app*4015*20170327*"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146-27 --locoid 4015 --swversion DE.1.0.9.0 --startMP 204:232986 --initTime 2017-03-27T10:03:23 --startdatetime 2017-03-27T10:13:30 --delay 1 --endMP 204:152 --enddatetime 2017-03-27T10:52:23 --enforcementcount 0 &gt;&gt;C:\Users\stu\Documents\GitHub\eaglep3-reporting\EC\2017-03-27-refined-times.txt</v>
      </c>
      <c r="AI58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ID","value":"146-27"},{"id":16,"name":"Locomotive ID","value":"4015"},{"id":130,"name":"Impact","value":""},{"id":150,"name":"Time of Event (Mountain Time)","value":"10:52:23"},{"id":151,"name":"Denver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 t="s">
        <v>590</v>
      </c>
      <c r="AK58" s="48"/>
      <c r="AL58" s="48"/>
      <c r="AM58" s="150" t="str">
        <f t="shared" si="21"/>
        <v>start /low /b %USERPROFILE%\Documents\GitHub\eaglep3\Utilities\DownloadLogsFromS3.py --loco 4015 --day 2017-03-27</v>
      </c>
      <c r="AN58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690</v>
      </c>
      <c r="B59" s="7">
        <v>4014</v>
      </c>
      <c r="C59" s="21" t="s">
        <v>218</v>
      </c>
      <c r="D59" s="21" t="s">
        <v>208</v>
      </c>
      <c r="E59" s="13">
        <v>42821.391597222224</v>
      </c>
      <c r="F59" s="13">
        <v>42821.395995370367</v>
      </c>
      <c r="G59" s="7">
        <v>1</v>
      </c>
      <c r="H59" s="21" t="s">
        <v>480</v>
      </c>
      <c r="I59" s="13">
        <v>42821.421793981484</v>
      </c>
      <c r="J59" s="7">
        <v>0</v>
      </c>
      <c r="K59" s="97" t="str">
        <f t="shared" si="0"/>
        <v>4013/4014</v>
      </c>
      <c r="L59" s="21" t="str">
        <f>VLOOKUP(A59,'Trips&amp;Operators'!$C$1:$G$99999,5,FALSE)</f>
        <v>STARKS ANGELINA</v>
      </c>
      <c r="M59" s="6">
        <f t="shared" si="1"/>
        <v>2.5798611117352266E-2</v>
      </c>
      <c r="N59" s="7">
        <f t="shared" si="23"/>
        <v>37.150000008987263</v>
      </c>
      <c r="O59" s="7"/>
      <c r="P59" s="7"/>
      <c r="Q59" s="22"/>
      <c r="R59" s="22"/>
      <c r="S59" s="31">
        <f t="shared" si="24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-03-27T08:23:54-0600',mode:absolute,to:'2017-03-27T11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183" t="str">
        <f t="shared" si="6"/>
        <v>N</v>
      </c>
      <c r="X59" s="183">
        <f t="shared" si="25"/>
        <v>1</v>
      </c>
      <c r="Y59" s="62">
        <f t="shared" si="8"/>
        <v>4.5999999999999999E-2</v>
      </c>
      <c r="Z59" s="62">
        <f t="shared" si="26"/>
        <v>23.329799999999999</v>
      </c>
      <c r="AA59" s="62">
        <f t="shared" si="10"/>
        <v>23.283799999999999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0147-27</v>
      </c>
      <c r="AE59" s="85" t="str">
        <f t="shared" si="12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59" s="82" t="str">
        <f t="shared" si="13"/>
        <v>"C:\Program Files (x86)\AstroGrep\AstroGrep.exe" /e /r /s /spath="%USERPROFILE%\AppData\Local\Temp\OnboardLogs" /stypes="app*4014*20170327*"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147-27 --locoid 4014 --swversion DE.1.0.9.0 --startMP 204:460 --initTime 2017-03-27T09:23:54 --startdatetime 2017-03-27T09:30:14 --delay 1 --endMP 204:233298 --enddatetime 2017-03-27T10:07:23 --enforcementcount 0 &gt;&gt;C:\Users\stu\Documents\GitHub\eaglep3-reporting\EC\2017-03-27-refined-times.txt</v>
      </c>
      <c r="AI59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api","custom_fields":[{"id":1,"name":"Subdivision","value":"EC"},{"id":4,"name":"Milepost","value":"23.3298"},{"id":17,"name":"Train ID","value":"147-27"},{"id":16,"name":"Locomotive ID","value":"4014"},{"id":130,"name":"Impact","value":""},{"id":150,"name":"Time of Event (Mountain Time)","value":"10:07:23"},{"id":151,"name":"Denver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 t="s">
        <v>590</v>
      </c>
      <c r="AK59" s="48"/>
      <c r="AL59" s="48"/>
      <c r="AM59" s="150" t="str">
        <f t="shared" si="21"/>
        <v>start /low /b %USERPROFILE%\Documents\GitHub\eaglep3\Utilities\DownloadLogsFromS3.py --loco 4014 --day 2017-03-27</v>
      </c>
      <c r="AN59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695</v>
      </c>
      <c r="B60" s="7">
        <v>4013</v>
      </c>
      <c r="C60" s="21" t="s">
        <v>218</v>
      </c>
      <c r="D60" s="21" t="s">
        <v>497</v>
      </c>
      <c r="E60" s="13">
        <v>42821.432291666664</v>
      </c>
      <c r="F60" s="13">
        <v>42821.434918981482</v>
      </c>
      <c r="G60" s="7">
        <v>1</v>
      </c>
      <c r="H60" s="21" t="s">
        <v>394</v>
      </c>
      <c r="I60" s="13">
        <v>42821.463275462964</v>
      </c>
      <c r="J60" s="7">
        <v>0</v>
      </c>
      <c r="K60" s="97" t="str">
        <f t="shared" si="0"/>
        <v>4013/4014</v>
      </c>
      <c r="L60" s="21" t="str">
        <f>VLOOKUP(A60,'Trips&amp;Operators'!$C$1:$G$99999,5,FALSE)</f>
        <v>STARKS ANGELINA</v>
      </c>
      <c r="M60" s="6">
        <f t="shared" si="1"/>
        <v>2.8356481481750961E-2</v>
      </c>
      <c r="N60" s="7">
        <f t="shared" si="23"/>
        <v>40.833333333721384</v>
      </c>
      <c r="O60" s="7"/>
      <c r="P60" s="7"/>
      <c r="Q60" s="22"/>
      <c r="R60" s="22"/>
      <c r="S60" s="31">
        <f t="shared" si="24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-03-27T09:22:30-0600',mode:absolute,to:'2017-03-27T12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3" t="str">
        <f t="shared" si="6"/>
        <v>N</v>
      </c>
      <c r="X60" s="183">
        <f t="shared" si="25"/>
        <v>1</v>
      </c>
      <c r="Y60" s="62">
        <f t="shared" si="8"/>
        <v>23.298500000000001</v>
      </c>
      <c r="Z60" s="62">
        <f t="shared" si="26"/>
        <v>1.43E-2</v>
      </c>
      <c r="AA60" s="62">
        <f t="shared" si="10"/>
        <v>23.284200000000002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0148-27</v>
      </c>
      <c r="AE60" s="85" t="str">
        <f t="shared" si="12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60" s="82" t="str">
        <f t="shared" si="13"/>
        <v>"C:\Program Files (x86)\AstroGrep\AstroGrep.exe" /e /r /s /spath="%USERPROFILE%\AppData\Local\Temp\OnboardLogs" /stypes="app*4013*20170327*"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148-27 --locoid 4013 --swversion DE.1.0.9.0 --startMP 204:232985 --initTime 2017-03-27T10:22:30 --startdatetime 2017-03-27T10:26:17 --delay 1 --endMP 204:143 --enddatetime 2017-03-27T11:07:07 --enforcementcount 0 &gt;&gt;C:\Users\stu\Documents\GitHub\eaglep3-reporting\EC\2017-03-27-refined-times.txt</v>
      </c>
      <c r="AI6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api","custom_fields":[{"id":1,"name":"Subdivision","value":"EC"},{"id":4,"name":"Milepost","value":"0.0143"},{"id":17,"name":"Train ID","value":"148-27"},{"id":16,"name":"Locomotive ID","value":"4013"},{"id":130,"name":"Impact","value":""},{"id":150,"name":"Time of Event (Mountain Time)","value":"11:07:07"},{"id":151,"name":"Denver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 t="s">
        <v>590</v>
      </c>
      <c r="AK60" s="48"/>
      <c r="AL60" s="48"/>
      <c r="AM60" s="150" t="str">
        <f t="shared" si="21"/>
        <v>start /low /b %USERPROFILE%\Documents\GitHub\eaglep3\Utilities\DownloadLogsFromS3.py --loco 4013 --day 2017-03-27</v>
      </c>
      <c r="AN6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607</v>
      </c>
      <c r="B61" s="7">
        <v>4003</v>
      </c>
      <c r="C61" s="21" t="s">
        <v>218</v>
      </c>
      <c r="D61" s="21" t="s">
        <v>440</v>
      </c>
      <c r="E61" s="13">
        <v>42821.401921296296</v>
      </c>
      <c r="F61" s="13">
        <v>42821.406481481485</v>
      </c>
      <c r="G61" s="7">
        <v>1</v>
      </c>
      <c r="H61" s="21" t="s">
        <v>219</v>
      </c>
      <c r="I61" s="13">
        <v>42821.432685185187</v>
      </c>
      <c r="J61" s="7">
        <v>0</v>
      </c>
      <c r="K61" s="97" t="str">
        <f t="shared" si="0"/>
        <v>4003/4004</v>
      </c>
      <c r="L61" s="21" t="str">
        <f>VLOOKUP(A61,'Trips&amp;Operators'!$C$1:$G$99999,5,FALSE)</f>
        <v>MENGES BRAD</v>
      </c>
      <c r="M61" s="6">
        <f t="shared" si="1"/>
        <v>2.6203703702776693E-2</v>
      </c>
      <c r="N61" s="7">
        <f t="shared" si="23"/>
        <v>37.733333331998438</v>
      </c>
      <c r="O61" s="7"/>
      <c r="P61" s="7"/>
      <c r="Q61" s="22"/>
      <c r="R61" s="22"/>
      <c r="S61" s="31">
        <f t="shared" si="24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-03-27T08:38:46-0600',mode:absolute,to:'2017-03-27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183" t="str">
        <f t="shared" si="6"/>
        <v>N</v>
      </c>
      <c r="X61" s="183">
        <f t="shared" si="25"/>
        <v>1</v>
      </c>
      <c r="Y61" s="62">
        <f t="shared" si="8"/>
        <v>4.4900000000000002E-2</v>
      </c>
      <c r="Z61" s="62">
        <f t="shared" si="26"/>
        <v>23.329699999999999</v>
      </c>
      <c r="AA61" s="62">
        <f t="shared" si="10"/>
        <v>23.284800000000001</v>
      </c>
      <c r="AB61" s="59" t="str">
        <f>VLOOKUP(A61,Enforcements!$C$7:$K$13,8,0)</f>
        <v>Bulletin (2)</v>
      </c>
      <c r="AC61" s="55" t="str">
        <f>VLOOKUP(A61,Enforcements!$C$7:$E$13,3,0)</f>
        <v>GRADE CROSSING</v>
      </c>
      <c r="AD61" s="56" t="str">
        <f t="shared" si="11"/>
        <v>0149-27</v>
      </c>
      <c r="AE61" s="85" t="str">
        <f t="shared" si="12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61" s="82" t="str">
        <f t="shared" si="13"/>
        <v>"C:\Program Files (x86)\AstroGrep\AstroGrep.exe" /e /r /s /spath="%USERPROFILE%\AppData\Local\Temp\OnboardLogs" /stypes="app*4003*20170327*"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149-27 --locoid 4003 --swversion DE.1.0.9.0 --startMP 204:449 --initTime 2017-03-27T09:38:46 --startdatetime 2017-03-27T09:45:20 --delay 1 --endMP 204:233297 --enddatetime 2017-03-27T10:23:04 --enforcementcount 0 &gt;&gt;C:\Users\stu\Documents\GitHub\eaglep3-reporting\EC\2017-03-27-refined-times.txt</v>
      </c>
      <c r="AI6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api","custom_fields":[{"id":1,"name":"Subdivision","value":"EC"},{"id":4,"name":"Milepost","value":"23.3297"},{"id":17,"name":"Train ID","value":"149-27"},{"id":16,"name":"Locomotive ID","value":"4003"},{"id":130,"name":"Impact","value":""},{"id":150,"name":"Time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 t="s">
        <v>590</v>
      </c>
      <c r="AK61" s="48"/>
      <c r="AL61" s="48"/>
      <c r="AM61" s="150" t="str">
        <f t="shared" si="21"/>
        <v>start /low /b %USERPROFILE%\Documents\GitHub\eaglep3\Utilities\DownloadLogsFromS3.py --loco 4003 --day 2017-03-27</v>
      </c>
      <c r="AN6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697</v>
      </c>
      <c r="B62" s="7">
        <v>4004</v>
      </c>
      <c r="C62" s="21" t="s">
        <v>218</v>
      </c>
      <c r="D62" s="21" t="s">
        <v>493</v>
      </c>
      <c r="E62" s="13">
        <v>42821.441493055558</v>
      </c>
      <c r="F62" s="13">
        <v>42821.445451388892</v>
      </c>
      <c r="G62" s="7">
        <v>1</v>
      </c>
      <c r="H62" s="21" t="s">
        <v>390</v>
      </c>
      <c r="I62" s="13">
        <v>42821.473333333335</v>
      </c>
      <c r="J62" s="7">
        <v>0</v>
      </c>
      <c r="K62" s="97" t="str">
        <f t="shared" si="0"/>
        <v>4003/4004</v>
      </c>
      <c r="L62" s="21" t="str">
        <f>VLOOKUP(A62,'Trips&amp;Operators'!$C$1:$G$99999,5,FALSE)</f>
        <v>MENGES BRAD</v>
      </c>
      <c r="M62" s="6">
        <f t="shared" si="1"/>
        <v>2.7881944442924578E-2</v>
      </c>
      <c r="N62" s="7">
        <f t="shared" si="23"/>
        <v>40.149999997811392</v>
      </c>
      <c r="O62" s="7"/>
      <c r="P62" s="7"/>
      <c r="Q62" s="22"/>
      <c r="R62" s="22"/>
      <c r="S62" s="31">
        <f t="shared" si="24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-03-27T09:35:45-0600',mode:absolute,to:'2017-03-27T12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83" t="str">
        <f t="shared" si="6"/>
        <v>N</v>
      </c>
      <c r="X62" s="183">
        <f t="shared" si="25"/>
        <v>1</v>
      </c>
      <c r="Y62" s="62">
        <f t="shared" si="8"/>
        <v>23.2986</v>
      </c>
      <c r="Z62" s="62">
        <f t="shared" si="26"/>
        <v>1.4500000000000001E-2</v>
      </c>
      <c r="AA62" s="62">
        <f t="shared" si="10"/>
        <v>23.284099999999999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0150-27</v>
      </c>
      <c r="AE62" s="85" t="str">
        <f t="shared" si="12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62" s="82" t="str">
        <f t="shared" si="13"/>
        <v>"C:\Program Files (x86)\AstroGrep\AstroGrep.exe" /e /r /s /spath="%USERPROFILE%\AppData\Local\Temp\OnboardLogs" /stypes="app*4004*20170327*"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150-27 --locoid 4004 --swversion DE.1.0.9.0 --startMP 204:232986 --initTime 2017-03-27T10:35:45 --startdatetime 2017-03-27T10:41:27 --delay 1 --endMP 204:145 --enddatetime 2017-03-27T11:21:36 --enforcementcount 0 &gt;&gt;C:\Users\stu\Documents\GitHub\eaglep3-reporting\EC\2017-03-27-refined-times.txt</v>
      </c>
      <c r="AI6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ID","value":"150-27"},{"id":16,"name":"Locomotive ID","value":"4004"},{"id":130,"name":"Impact","value":""},{"id":150,"name":"Time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 t="s">
        <v>590</v>
      </c>
      <c r="AK62" s="48"/>
      <c r="AL62" s="48"/>
      <c r="AM62" s="150" t="str">
        <f t="shared" si="21"/>
        <v>start /low /b %USERPROFILE%\Documents\GitHub\eaglep3\Utilities\DownloadLogsFromS3.py --loco 4004 --day 2017-03-27</v>
      </c>
      <c r="AN6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608</v>
      </c>
      <c r="B63" s="7">
        <v>4025</v>
      </c>
      <c r="C63" s="21" t="s">
        <v>218</v>
      </c>
      <c r="D63" s="21" t="s">
        <v>215</v>
      </c>
      <c r="E63" s="13">
        <v>42821.412499999999</v>
      </c>
      <c r="F63" s="13">
        <v>42821.417048611111</v>
      </c>
      <c r="G63" s="7">
        <v>1</v>
      </c>
      <c r="H63" s="21" t="s">
        <v>517</v>
      </c>
      <c r="I63" s="13">
        <v>42821.442997685182</v>
      </c>
      <c r="J63" s="7">
        <v>0</v>
      </c>
      <c r="K63" s="97" t="str">
        <f t="shared" si="0"/>
        <v>4025/4026</v>
      </c>
      <c r="L63" s="21" t="str">
        <f>VLOOKUP(A63,'Trips&amp;Operators'!$C$1:$G$99999,5,FALSE)</f>
        <v>MAYBERRY BILL</v>
      </c>
      <c r="M63" s="6">
        <f t="shared" si="1"/>
        <v>2.5949074071832001E-2</v>
      </c>
      <c r="N63" s="7">
        <f t="shared" si="23"/>
        <v>37.366666663438082</v>
      </c>
      <c r="O63" s="7"/>
      <c r="P63" s="7"/>
      <c r="Q63" s="22"/>
      <c r="R63" s="22"/>
      <c r="S63" s="31">
        <f t="shared" si="24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-03-27T08:54:00-0600',mode:absolute,to:'2017-03-27T11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83" t="str">
        <f t="shared" si="6"/>
        <v>N</v>
      </c>
      <c r="X63" s="183">
        <f t="shared" si="25"/>
        <v>1</v>
      </c>
      <c r="Y63" s="62">
        <f t="shared" si="8"/>
        <v>4.6600000000000003E-2</v>
      </c>
      <c r="Z63" s="62">
        <f t="shared" si="26"/>
        <v>23.331</v>
      </c>
      <c r="AA63" s="62">
        <f t="shared" si="10"/>
        <v>23.284399999999998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0151-27</v>
      </c>
      <c r="AE63" s="85" t="str">
        <f t="shared" si="12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63" s="82" t="str">
        <f t="shared" si="13"/>
        <v>"C:\Program Files (x86)\AstroGrep\AstroGrep.exe" /e /r /s /spath="%USERPROFILE%\AppData\Local\Temp\OnboardLogs" /stypes="app*4025*20170327*"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151-27 --locoid 4025 --swversion DE.1.0.9.0 --startMP 204:466 --initTime 2017-03-27T09:54:00 --startdatetime 2017-03-27T10:00:33 --delay 1 --endMP 204:233310 --enddatetime 2017-03-27T10:37:55 --enforcementcount 0 &gt;&gt;C:\Users\stu\Documents\GitHub\eaglep3-reporting\EC\2017-03-27-refined-times.txt</v>
      </c>
      <c r="AI6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api","custom_fields":[{"id":1,"name":"Subdivision","value":"EC"},{"id":4,"name":"Milepost","value":"23.331"},{"id":17,"name":"Train ID","value":"151-27"},{"id":16,"name":"Locomotive ID","value":"4025"},{"id":130,"name":"Impact","value":""},{"id":150,"name":"Time of Event (Mountain Time)","value":"10:37:55"},{"id":151,"name":"Denver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 t="s">
        <v>590</v>
      </c>
      <c r="AK63" s="48"/>
      <c r="AL63" s="48"/>
      <c r="AM63" s="150" t="str">
        <f t="shared" si="21"/>
        <v>start /low /b %USERPROFILE%\Documents\GitHub\eaglep3\Utilities\DownloadLogsFromS3.py --loco 4025 --day 2017-03-27</v>
      </c>
      <c r="AN6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698</v>
      </c>
      <c r="B64" s="7">
        <v>4026</v>
      </c>
      <c r="C64" s="21" t="s">
        <v>218</v>
      </c>
      <c r="D64" s="21" t="s">
        <v>497</v>
      </c>
      <c r="E64" s="13">
        <v>42821.447094907409</v>
      </c>
      <c r="F64" s="13">
        <v>42821.455925925926</v>
      </c>
      <c r="G64" s="7">
        <v>2</v>
      </c>
      <c r="H64" s="21" t="s">
        <v>199</v>
      </c>
      <c r="I64" s="13">
        <v>42821.484201388892</v>
      </c>
      <c r="J64" s="7">
        <v>0</v>
      </c>
      <c r="K64" s="97" t="str">
        <f t="shared" si="0"/>
        <v>4025/4026</v>
      </c>
      <c r="L64" s="21" t="str">
        <f>VLOOKUP(A64,'Trips&amp;Operators'!$C$1:$G$99999,5,FALSE)</f>
        <v>MAYBERRY BILL</v>
      </c>
      <c r="M64" s="6">
        <f t="shared" si="1"/>
        <v>2.8275462966121268E-2</v>
      </c>
      <c r="N64" s="7">
        <f t="shared" si="23"/>
        <v>40.716666671214625</v>
      </c>
      <c r="O64" s="7"/>
      <c r="P64" s="7"/>
      <c r="Q64" s="22"/>
      <c r="R64" s="22"/>
      <c r="S64" s="31">
        <f t="shared" si="24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-03-27T09:43:49-0600',mode:absolute,to:'2017-03-27T12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83" t="str">
        <f t="shared" si="6"/>
        <v>N</v>
      </c>
      <c r="X64" s="183">
        <f t="shared" si="25"/>
        <v>1</v>
      </c>
      <c r="Y64" s="62">
        <f t="shared" si="8"/>
        <v>23.298500000000001</v>
      </c>
      <c r="Z64" s="62">
        <f t="shared" si="26"/>
        <v>1.52E-2</v>
      </c>
      <c r="AA64" s="62">
        <f t="shared" si="10"/>
        <v>23.283300000000001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0152-27</v>
      </c>
      <c r="AE64" s="85" t="str">
        <f t="shared" si="12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64" s="82" t="str">
        <f t="shared" si="13"/>
        <v>"C:\Program Files (x86)\AstroGrep\AstroGrep.exe" /e /r /s /spath="%USERPROFILE%\AppData\Local\Temp\OnboardLogs" /stypes="app*4026*20170327*"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152-27 --locoid 4026 --swversion DE.1.0.9.0 --startMP 204:232985 --initTime 2017-03-27T10:43:49 --startdatetime 2017-03-27T10:56:32 --delay 2 --endMP 204:152 --enddatetime 2017-03-27T11:37:15 --enforcementcount 0 &gt;&gt;C:\Users\stu\Documents\GitHub\eaglep3-reporting\EC\2017-03-27-refined-times.txt</v>
      </c>
      <c r="AI6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ID","value":"152-27"},{"id":16,"name":"Locomotive ID","value":"4026"},{"id":130,"name":"Impact","value":""},{"id":150,"name":"Time of Event (Mountain Time)","value":"11:37:15"},{"id":151,"name":"Denver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 t="s">
        <v>590</v>
      </c>
      <c r="AK64" s="48"/>
      <c r="AL64" s="48"/>
      <c r="AM64" s="150" t="str">
        <f t="shared" si="21"/>
        <v>start /low /b %USERPROFILE%\Documents\GitHub\eaglep3\Utilities\DownloadLogsFromS3.py --loco 4026 --day 2017-03-27</v>
      </c>
      <c r="AN6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609</v>
      </c>
      <c r="B65" s="7">
        <v>4051</v>
      </c>
      <c r="C65" s="21" t="s">
        <v>218</v>
      </c>
      <c r="D65" s="21" t="s">
        <v>511</v>
      </c>
      <c r="E65" s="13">
        <v>42821.421006944445</v>
      </c>
      <c r="F65" s="13">
        <v>42821.427662037036</v>
      </c>
      <c r="G65" s="7">
        <v>1</v>
      </c>
      <c r="H65" s="21" t="s">
        <v>384</v>
      </c>
      <c r="I65" s="13">
        <v>42821.452210648145</v>
      </c>
      <c r="J65" s="7">
        <v>0</v>
      </c>
      <c r="K65" s="97" t="str">
        <f t="shared" si="0"/>
        <v>4051/4052</v>
      </c>
      <c r="L65" s="21" t="str">
        <f>VLOOKUP(A65,'Trips&amp;Operators'!$C$1:$G$99999,5,FALSE)</f>
        <v>YORK EDGAR</v>
      </c>
      <c r="M65" s="6">
        <f t="shared" si="1"/>
        <v>2.4548611108912155E-2</v>
      </c>
      <c r="N65" s="7">
        <f t="shared" si="23"/>
        <v>35.349999996833503</v>
      </c>
      <c r="O65" s="7"/>
      <c r="P65" s="7"/>
      <c r="Q65" s="22"/>
      <c r="R65" s="22"/>
      <c r="S65" s="31">
        <f t="shared" si="24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-03-27T09:06:15-0600',mode:absolute,to:'2017-03-27T11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3" t="str">
        <f t="shared" si="6"/>
        <v>N</v>
      </c>
      <c r="X65" s="183">
        <f t="shared" si="25"/>
        <v>1</v>
      </c>
      <c r="Y65" s="62">
        <f t="shared" si="8"/>
        <v>4.4400000000000002E-2</v>
      </c>
      <c r="Z65" s="62">
        <f t="shared" si="26"/>
        <v>23.3293</v>
      </c>
      <c r="AA65" s="62">
        <f t="shared" si="10"/>
        <v>23.2849</v>
      </c>
      <c r="AB65" s="59" t="str">
        <f>VLOOKUP(A65,Enforcements!$C$7:$K$13,8,0)</f>
        <v>Bulletin (2)</v>
      </c>
      <c r="AC65" s="55" t="str">
        <f>VLOOKUP(A65,Enforcements!$C$7:$E$13,3,0)</f>
        <v>GRADE CROSSING</v>
      </c>
      <c r="AD65" s="56" t="str">
        <f t="shared" si="11"/>
        <v>0153-27</v>
      </c>
      <c r="AE65" s="85" t="str">
        <f t="shared" si="12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65" s="82" t="str">
        <f t="shared" si="13"/>
        <v>"C:\Program Files (x86)\AstroGrep\AstroGrep.exe" /e /r /s /spath="%USERPROFILE%\AppData\Local\Temp\OnboardLogs" /stypes="app*4051*20170327*"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153-27 --locoid 4051 --swversion DE.1.0.9.0 --startMP 204:444 --initTime 2017-03-27T10:06:15 --startdatetime 2017-03-27T10:15:50 --delay 1 --endMP 204:233293 --enddatetime 2017-03-27T10:51:11 --enforcementcount 0 &gt;&gt;C:\Users\stu\Documents\GitHub\eaglep3-reporting\EC\2017-03-27-refined-times.txt</v>
      </c>
      <c r="AI6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api","custom_fields":[{"id":1,"name":"Subdivision","value":"EC"},{"id":4,"name":"Milepost","value":"23.3293"},{"id":17,"name":"Train ID","value":"153-27"},{"id":16,"name":"Locomotive ID","value":"4051"},{"id":130,"name":"Impact","value":""},{"id":150,"name":"Time of Event (Mountain Time)","value":"10:51:11"},{"id":151,"name":"Denver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 t="s">
        <v>590</v>
      </c>
      <c r="AK65" s="48"/>
      <c r="AL65" s="48"/>
      <c r="AM65" s="150" t="str">
        <f t="shared" si="21"/>
        <v>start /low /b %USERPROFILE%\Documents\GitHub\eaglep3\Utilities\DownloadLogsFromS3.py --loco 4051 --day 2017-03-27</v>
      </c>
      <c r="AN6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699</v>
      </c>
      <c r="B66" s="7">
        <v>4052</v>
      </c>
      <c r="C66" s="21" t="s">
        <v>218</v>
      </c>
      <c r="D66" s="21" t="s">
        <v>514</v>
      </c>
      <c r="E66" s="13">
        <v>42821.454016203701</v>
      </c>
      <c r="F66" s="13">
        <v>42821.466157407405</v>
      </c>
      <c r="G66" s="7">
        <v>1</v>
      </c>
      <c r="H66" s="21" t="s">
        <v>191</v>
      </c>
      <c r="I66" s="13">
        <v>42821.492696759262</v>
      </c>
      <c r="J66" s="7">
        <v>0</v>
      </c>
      <c r="K66" s="97" t="str">
        <f t="shared" si="0"/>
        <v>4051/4052</v>
      </c>
      <c r="L66" s="21" t="str">
        <f>VLOOKUP(A66,'Trips&amp;Operators'!$C$1:$G$99999,5,FALSE)</f>
        <v>YORK EDGAR</v>
      </c>
      <c r="M66" s="6">
        <f t="shared" si="1"/>
        <v>2.6539351856627036E-2</v>
      </c>
      <c r="N66" s="7">
        <f t="shared" si="23"/>
        <v>38.216666673542932</v>
      </c>
      <c r="O66" s="7"/>
      <c r="P66" s="7"/>
      <c r="Q66" s="22"/>
      <c r="R66" s="22"/>
      <c r="S66" s="31">
        <f t="shared" si="24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-03-27T09:53:47-0600',mode:absolute,to:'2017-03-27T12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3" t="str">
        <f t="shared" si="6"/>
        <v>N</v>
      </c>
      <c r="X66" s="183">
        <f t="shared" si="25"/>
        <v>1</v>
      </c>
      <c r="Y66" s="62">
        <f t="shared" si="8"/>
        <v>23.2971</v>
      </c>
      <c r="Z66" s="62">
        <f t="shared" si="26"/>
        <v>1.4999999999999999E-2</v>
      </c>
      <c r="AA66" s="62">
        <f t="shared" si="10"/>
        <v>23.2821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0154-27</v>
      </c>
      <c r="AE66" s="85" t="str">
        <f t="shared" si="12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66" s="82" t="str">
        <f t="shared" si="13"/>
        <v>"C:\Program Files (x86)\AstroGrep\AstroGrep.exe" /e /r /s /spath="%USERPROFILE%\AppData\Local\Temp\OnboardLogs" /stypes="app*4052*20170327*"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154-27 --locoid 4052 --swversion DE.1.0.9.0 --startMP 204:232971 --initTime 2017-03-27T10:53:47 --startdatetime 2017-03-27T11:11:16 --delay 1 --endMP 204:150 --enddatetime 2017-03-27T11:49:29 --enforcementcount 0 &gt;&gt;C:\Users\stu\Documents\GitHub\eaglep3-reporting\EC\2017-03-27-refined-times.txt</v>
      </c>
      <c r="AI6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ID","value":"154-27"},{"id":16,"name":"Locomotive ID","value":"4052"},{"id":130,"name":"Impact","value":""},{"id":150,"name":"Time of Event (Mountain Time)","value":"11:49:29"},{"id":151,"name":"Denver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 t="s">
        <v>590</v>
      </c>
      <c r="AK66" s="48"/>
      <c r="AL66" s="48"/>
      <c r="AM66" s="150" t="str">
        <f t="shared" si="21"/>
        <v>start /low /b %USERPROFILE%\Documents\GitHub\eaglep3\Utilities\DownloadLogsFromS3.py --loco 4052 --day 2017-03-27</v>
      </c>
      <c r="AN6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696</v>
      </c>
      <c r="B67" s="7">
        <v>4040</v>
      </c>
      <c r="C67" s="21" t="s">
        <v>218</v>
      </c>
      <c r="D67" s="21" t="s">
        <v>206</v>
      </c>
      <c r="E67" s="13">
        <v>42821.434872685182</v>
      </c>
      <c r="F67" s="13">
        <v>42821.437673611108</v>
      </c>
      <c r="G67" s="7">
        <v>1</v>
      </c>
      <c r="H67" s="21" t="s">
        <v>500</v>
      </c>
      <c r="I67" s="13">
        <v>42821.463391203702</v>
      </c>
      <c r="J67" s="7">
        <v>0</v>
      </c>
      <c r="K67" s="97" t="str">
        <f t="shared" si="0"/>
        <v>4039/4040</v>
      </c>
      <c r="L67" s="21" t="str">
        <f>VLOOKUP(A67,'Trips&amp;Operators'!$C$1:$G$99999,5,FALSE)</f>
        <v>DAVIS WENDY</v>
      </c>
      <c r="M67" s="6">
        <f t="shared" si="1"/>
        <v>2.5717592594446614E-2</v>
      </c>
      <c r="N67" s="7">
        <f t="shared" si="23"/>
        <v>37.033333336003125</v>
      </c>
      <c r="O67" s="7"/>
      <c r="P67" s="7"/>
      <c r="Q67" s="22"/>
      <c r="R67" s="22"/>
      <c r="S67" s="31">
        <f t="shared" si="24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-03-27T09:26:13-0600',mode:absolute,to:'2017-03-27T12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83" t="str">
        <f t="shared" si="6"/>
        <v>N</v>
      </c>
      <c r="X67" s="183">
        <f t="shared" si="25"/>
        <v>1</v>
      </c>
      <c r="Y67" s="62">
        <f t="shared" si="8"/>
        <v>4.5100000000000001E-2</v>
      </c>
      <c r="Z67" s="62">
        <f t="shared" si="26"/>
        <v>23.331700000000001</v>
      </c>
      <c r="AA67" s="62">
        <f t="shared" si="10"/>
        <v>23.2866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0155-27</v>
      </c>
      <c r="AE67" s="85" t="str">
        <f t="shared" si="12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67" s="82" t="str">
        <f t="shared" si="13"/>
        <v>"C:\Program Files (x86)\AstroGrep\AstroGrep.exe" /e /r /s /spath="%USERPROFILE%\AppData\Local\Temp\OnboardLogs" /stypes="app*4040*20170327*"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155-27 --locoid 4040 --swversion DE.1.0.9.0 --startMP 204:451 --initTime 2017-03-27T10:26:13 --startdatetime 2017-03-27T10:30:15 --delay 1 --endMP 204:233317 --enddatetime 2017-03-27T11:07:17 --enforcementcount 0 &gt;&gt;C:\Users\stu\Documents\GitHub\eaglep3-reporting\EC\2017-03-27-refined-times.txt</v>
      </c>
      <c r="AI6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api","custom_fields":[{"id":1,"name":"Subdivision","value":"EC"},{"id":4,"name":"Milepost","value":"23.3317"},{"id":17,"name":"Train ID","value":"155-27"},{"id":16,"name":"Locomotive ID","value":"4040"},{"id":130,"name":"Impact","value":""},{"id":150,"name":"Time of Event (Mountain Time)","value":"11:07:17"},{"id":151,"name":"Denver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 t="s">
        <v>590</v>
      </c>
      <c r="AK67" s="48"/>
      <c r="AL67" s="48"/>
      <c r="AM67" s="150" t="str">
        <f t="shared" si="21"/>
        <v>start /low /b %USERPROFILE%\Documents\GitHub\eaglep3\Utilities\DownloadLogsFromS3.py --loco 4040 --day 2017-03-27</v>
      </c>
      <c r="AN6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704</v>
      </c>
      <c r="B68" s="7">
        <v>4039</v>
      </c>
      <c r="C68" s="21" t="s">
        <v>218</v>
      </c>
      <c r="D68" s="21" t="s">
        <v>443</v>
      </c>
      <c r="E68" s="13">
        <v>42821.473553240743</v>
      </c>
      <c r="F68" s="13">
        <v>42821.476539351854</v>
      </c>
      <c r="G68" s="7">
        <v>1</v>
      </c>
      <c r="H68" s="21" t="s">
        <v>519</v>
      </c>
      <c r="I68" s="13">
        <v>42821.504826388889</v>
      </c>
      <c r="J68" s="7">
        <v>0</v>
      </c>
      <c r="K68" s="97" t="str">
        <f t="shared" si="0"/>
        <v>4039/4040</v>
      </c>
      <c r="L68" s="21" t="str">
        <f>VLOOKUP(A68,'Trips&amp;Operators'!$C$1:$G$99999,5,FALSE)</f>
        <v>DAVIS WENDY</v>
      </c>
      <c r="M68" s="6">
        <f t="shared" si="1"/>
        <v>2.8287037035624962E-2</v>
      </c>
      <c r="N68" s="7">
        <f t="shared" si="23"/>
        <v>40.733333331299946</v>
      </c>
      <c r="O68" s="7"/>
      <c r="P68" s="7"/>
      <c r="Q68" s="22"/>
      <c r="R68" s="22"/>
      <c r="S68" s="31">
        <f t="shared" si="24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-03-27T10:21:55-0600',mode:absolute,to:'2017-03-27T13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83" t="str">
        <f t="shared" si="6"/>
        <v>N</v>
      </c>
      <c r="X68" s="183">
        <f t="shared" si="25"/>
        <v>1</v>
      </c>
      <c r="Y68" s="62">
        <f t="shared" si="8"/>
        <v>23.299600000000002</v>
      </c>
      <c r="Z68" s="62">
        <f t="shared" si="26"/>
        <v>1.3599999999999999E-2</v>
      </c>
      <c r="AA68" s="62">
        <f t="shared" si="10"/>
        <v>23.286000000000001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0156-27</v>
      </c>
      <c r="AE68" s="85" t="str">
        <f t="shared" si="12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68" s="82" t="str">
        <f t="shared" si="13"/>
        <v>"C:\Program Files (x86)\AstroGrep\AstroGrep.exe" /e /r /s /spath="%USERPROFILE%\AppData\Local\Temp\OnboardLogs" /stypes="app*4039*20170327*"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156-27 --locoid 4039 --swversion DE.1.0.9.0 --startMP 204:232996 --initTime 2017-03-27T11:21:55 --startdatetime 2017-03-27T11:26:13 --delay 1 --endMP 204:136 --enddatetime 2017-03-27T12:06:57 --enforcementcount 0 &gt;&gt;C:\Users\stu\Documents\GitHub\eaglep3-reporting\EC\2017-03-27-refined-times.txt</v>
      </c>
      <c r="AI68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api","custom_fields":[{"id":1,"name":"Subdivision","value":"EC"},{"id":4,"name":"Milepost","value":"0.0136"},{"id":17,"name":"Train ID","value":"156-27"},{"id":16,"name":"Locomotive ID","value":"4039"},{"id":130,"name":"Impact","value":""},{"id":150,"name":"Time of Event (Mountain Time)","value":"12:06:57"},{"id":151,"name":"Denver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 t="s">
        <v>590</v>
      </c>
      <c r="AK68" s="48"/>
      <c r="AL68" s="48"/>
      <c r="AM68" s="150" t="str">
        <f t="shared" si="21"/>
        <v>start /low /b %USERPROFILE%\Documents\GitHub\eaglep3\Utilities\DownloadLogsFromS3.py --loco 4039 --day 2017-03-27</v>
      </c>
      <c r="AN68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612</v>
      </c>
      <c r="B69" s="7">
        <v>4053</v>
      </c>
      <c r="C69" s="21" t="s">
        <v>218</v>
      </c>
      <c r="D69" s="21" t="s">
        <v>513</v>
      </c>
      <c r="E69" s="13">
        <v>42821.442604166667</v>
      </c>
      <c r="F69" s="13">
        <v>42821.448125000003</v>
      </c>
      <c r="G69" s="7">
        <v>2</v>
      </c>
      <c r="H69" s="21" t="s">
        <v>849</v>
      </c>
      <c r="I69" s="13">
        <v>42821.469166666669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ACKERMAN JARED</v>
      </c>
      <c r="M69" s="6">
        <f t="shared" si="1"/>
        <v>2.1041666666860692E-2</v>
      </c>
      <c r="N69" s="7"/>
      <c r="O69" s="7"/>
      <c r="P69" s="7">
        <f>24*60*SUM($M69:$M69)</f>
        <v>30.300000000279397</v>
      </c>
      <c r="Q69" s="22"/>
      <c r="R69" s="22" t="s">
        <v>1023</v>
      </c>
      <c r="S69" s="31">
        <f t="shared" si="24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-03-27T09:37:21-0600',mode:absolute,to:'2017-03-27T12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83" t="str">
        <f t="shared" si="6"/>
        <v>Y</v>
      </c>
      <c r="X69" s="183">
        <f t="shared" si="25"/>
        <v>1</v>
      </c>
      <c r="Y69" s="62">
        <f t="shared" si="8"/>
        <v>4.4699999999999997E-2</v>
      </c>
      <c r="Z69" s="62">
        <f t="shared" si="26"/>
        <v>19.3889</v>
      </c>
      <c r="AA69" s="62">
        <f t="shared" si="10"/>
        <v>19.344200000000001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0157-27</v>
      </c>
      <c r="AE69" s="85" t="str">
        <f t="shared" si="12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69" s="82" t="str">
        <f t="shared" si="13"/>
        <v>"C:\Program Files (x86)\AstroGrep\AstroGrep.exe" /e /r /s /spath="%USERPROFILE%\AppData\Local\Temp\OnboardLogs" /stypes="app*4053*20170327*"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157-27 --locoid 4053 --swversion DE.1.0.9.0 --startMP 204:447 --initTime 2017-03-27T10:37:21 --startdatetime 2017-03-27T10:45:18 --delay 2 --endMP 204:193889 --enddatetime 2017-03-27T11:15:36 --enforcementcount 0 &gt;&gt;C:\Users\stu\Documents\GitHub\eaglep3-reporting\EC\2017-03-27-refined-times.txt</v>
      </c>
      <c r="AI69" s="104" t="str">
        <f t="shared" si="20"/>
        <v>echo {"issue":{"subject":"Premature downgrade at Pena 2N","project_id":79,"tracker_id":40,"status_id":1,"priority_id":2,"assigned_to_id":23,"start_date":"2017-03-27","description":"test from api","custom_fields":[{"id":1,"name":"Subdivision","value":"EC"},{"id":4,"name":"Milepost","value":"19.3889"},{"id":17,"name":"Train ID","value":"157-27"},{"id":16,"name":"Locomotive ID","value":"4053"},{"id":130,"name":"Impact","value":""},{"id":150,"name":"Time of Event (Mountain Time)","value":"11:15:36"},{"id":151,"name":"Denver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 t="s">
        <v>590</v>
      </c>
      <c r="AK69" s="48"/>
      <c r="AL69" s="48"/>
      <c r="AM69" s="150" t="str">
        <f t="shared" si="21"/>
        <v>start /low /b %USERPROFILE%\Documents\GitHub\eaglep3\Utilities\DownloadLogsFromS3.py --loco 4053 --day 2017-03-27</v>
      </c>
      <c r="AN69" s="159" t="str">
        <f t="shared" si="22"/>
        <v>echo {"issue":{"subject":"Premature downgrade at Pena 2N","project_id":30,"tracker_id":4,"status_id":1,"priority_id":1,"assigned_to_id":10,"start_date":"2017-03-27","description":"test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708</v>
      </c>
      <c r="B70" s="7">
        <v>4054</v>
      </c>
      <c r="C70" s="21" t="s">
        <v>218</v>
      </c>
      <c r="D70" s="21" t="s">
        <v>487</v>
      </c>
      <c r="E70" s="13">
        <v>42821.479803240742</v>
      </c>
      <c r="F70" s="13">
        <v>42821.487002314818</v>
      </c>
      <c r="G70" s="7">
        <v>2</v>
      </c>
      <c r="H70" s="21" t="s">
        <v>563</v>
      </c>
      <c r="I70" s="13">
        <v>42821.5158912037</v>
      </c>
      <c r="J70" s="7">
        <v>0</v>
      </c>
      <c r="K70" s="97" t="str">
        <f t="shared" si="0"/>
        <v>4053/4054</v>
      </c>
      <c r="L70" s="21" t="str">
        <f>VLOOKUP(A70,'Trips&amp;Operators'!$C$1:$G$99999,5,FALSE)</f>
        <v>ACKERMAN JARED</v>
      </c>
      <c r="M70" s="6">
        <f t="shared" si="1"/>
        <v>2.8888888882647734E-2</v>
      </c>
      <c r="N70" s="7">
        <f t="shared" ref="N70:N101" si="27">24*60*SUM($M70:$M70)</f>
        <v>41.599999991012737</v>
      </c>
      <c r="O70" s="7"/>
      <c r="P70" s="7"/>
      <c r="Q70" s="22"/>
      <c r="R70" s="22"/>
      <c r="S70" s="31">
        <f t="shared" si="24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-03-27T10:30:55-0600',mode:absolute,to:'2017-03-27T13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83" t="str">
        <f t="shared" si="6"/>
        <v>N</v>
      </c>
      <c r="X70" s="183">
        <f t="shared" si="25"/>
        <v>1</v>
      </c>
      <c r="Y70" s="62">
        <f t="shared" si="8"/>
        <v>23.298200000000001</v>
      </c>
      <c r="Z70" s="62">
        <f t="shared" si="26"/>
        <v>1.32E-2</v>
      </c>
      <c r="AA70" s="62">
        <f t="shared" si="10"/>
        <v>23.285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0158-27</v>
      </c>
      <c r="AE70" s="85" t="str">
        <f t="shared" si="12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70" s="82" t="str">
        <f t="shared" si="13"/>
        <v>"C:\Program Files (x86)\AstroGrep\AstroGrep.exe" /e /r /s /spath="%USERPROFILE%\AppData\Local\Temp\OnboardLogs" /stypes="app*4054*20170327*"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158-27 --locoid 4054 --swversion DE.1.0.9.0 --startMP 204:232982 --initTime 2017-03-27T11:30:55 --startdatetime 2017-03-27T11:41:17 --delay 2 --endMP 204:132 --enddatetime 2017-03-27T12:22:53 --enforcementcount 0 &gt;&gt;C:\Users\stu\Documents\GitHub\eaglep3-reporting\EC\2017-03-27-refined-times.txt</v>
      </c>
      <c r="AI70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api","custom_fields":[{"id":1,"name":"Subdivision","value":"EC"},{"id":4,"name":"Milepost","value":"0.0132"},{"id":17,"name":"Train ID","value":"158-27"},{"id":16,"name":"Locomotive ID","value":"4054"},{"id":130,"name":"Impact","value":""},{"id":150,"name":"Time of Event (Mountain Time)","value":"12:22:53"},{"id":151,"name":"Denver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 t="s">
        <v>590</v>
      </c>
      <c r="AK70" s="48"/>
      <c r="AL70" s="48"/>
      <c r="AM70" s="150" t="str">
        <f t="shared" si="21"/>
        <v>start /low /b %USERPROFILE%\Documents\GitHub\eaglep3\Utilities\DownloadLogsFromS3.py --loco 4054 --day 2017-03-27</v>
      </c>
      <c r="AN70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700</v>
      </c>
      <c r="B71" s="7">
        <v>4016</v>
      </c>
      <c r="C71" s="21" t="s">
        <v>218</v>
      </c>
      <c r="D71" s="21" t="s">
        <v>207</v>
      </c>
      <c r="E71" s="13">
        <v>42821.456018518518</v>
      </c>
      <c r="F71" s="13">
        <v>42821.458773148152</v>
      </c>
      <c r="G71" s="7">
        <v>2</v>
      </c>
      <c r="H71" s="21" t="s">
        <v>848</v>
      </c>
      <c r="I71" s="13">
        <v>42821.484039351853</v>
      </c>
      <c r="J71" s="7">
        <v>0</v>
      </c>
      <c r="K71" s="97" t="str">
        <f t="shared" si="0"/>
        <v>4015/4016</v>
      </c>
      <c r="L71" s="21" t="str">
        <f>VLOOKUP(A71,'Trips&amp;Operators'!$C$1:$G$99999,5,FALSE)</f>
        <v>STEWART MICHAEL</v>
      </c>
      <c r="M71" s="6">
        <f t="shared" si="1"/>
        <v>2.5266203701903578E-2</v>
      </c>
      <c r="N71" s="7">
        <f t="shared" si="27"/>
        <v>36.383333330741152</v>
      </c>
      <c r="O71" s="7"/>
      <c r="P71" s="7"/>
      <c r="Q71" s="22"/>
      <c r="R71" s="22"/>
      <c r="S71" s="31">
        <f t="shared" si="24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-03-27T09:56:40-0600',mode:absolute,to:'2017-03-27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83" t="str">
        <f t="shared" si="6"/>
        <v>N</v>
      </c>
      <c r="X71" s="183">
        <f t="shared" si="25"/>
        <v>1</v>
      </c>
      <c r="Y71" s="62">
        <f t="shared" si="8"/>
        <v>4.5699999999999998E-2</v>
      </c>
      <c r="Z71" s="62">
        <f t="shared" si="26"/>
        <v>23.330400000000001</v>
      </c>
      <c r="AA71" s="62">
        <f t="shared" si="10"/>
        <v>23.284700000000001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0159-27</v>
      </c>
      <c r="AE71" s="85" t="str">
        <f t="shared" si="12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71" s="82" t="str">
        <f t="shared" si="13"/>
        <v>"C:\Program Files (x86)\AstroGrep\AstroGrep.exe" /e /r /s /spath="%USERPROFILE%\AppData\Local\Temp\OnboardLogs" /stypes="app*4016*20170327*"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159-27 --locoid 4016 --swversion DE.1.0.9.0 --startMP 204:457 --initTime 2017-03-27T10:56:40 --startdatetime 2017-03-27T11:00:38 --delay 2 --endMP 204:233304 --enddatetime 2017-03-27T11:37:01 --enforcementcount 0 &gt;&gt;C:\Users\stu\Documents\GitHub\eaglep3-reporting\EC\2017-03-27-refined-times.txt</v>
      </c>
      <c r="AI71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api","custom_fields":[{"id":1,"name":"Subdivision","value":"EC"},{"id":4,"name":"Milepost","value":"23.3304"},{"id":17,"name":"Train ID","value":"159-27"},{"id":16,"name":"Locomotive ID","value":"4016"},{"id":130,"name":"Impact","value":""},{"id":150,"name":"Time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 t="s">
        <v>590</v>
      </c>
      <c r="AK71" s="48"/>
      <c r="AL71" s="48"/>
      <c r="AM71" s="150" t="str">
        <f t="shared" si="21"/>
        <v>start /low /b %USERPROFILE%\Documents\GitHub\eaglep3\Utilities\DownloadLogsFromS3.py --loco 4016 --day 2017-03-27</v>
      </c>
      <c r="AN71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614</v>
      </c>
      <c r="B72" s="7">
        <v>4015</v>
      </c>
      <c r="C72" s="21" t="s">
        <v>218</v>
      </c>
      <c r="D72" s="21" t="s">
        <v>441</v>
      </c>
      <c r="E72" s="13">
        <v>42821.494606481479</v>
      </c>
      <c r="F72" s="13">
        <v>42821.497523148151</v>
      </c>
      <c r="G72" s="7">
        <v>2</v>
      </c>
      <c r="H72" s="21" t="s">
        <v>390</v>
      </c>
      <c r="I72" s="13">
        <v>42821.526678240742</v>
      </c>
      <c r="J72" s="7">
        <v>0</v>
      </c>
      <c r="K72" s="97" t="str">
        <f t="shared" si="0"/>
        <v>4015/4016</v>
      </c>
      <c r="L72" s="21" t="str">
        <f>VLOOKUP(A72,'Trips&amp;Operators'!$C$1:$G$99999,5,FALSE)</f>
        <v>STEWART MICHAEL</v>
      </c>
      <c r="M72" s="6">
        <f t="shared" si="1"/>
        <v>2.9155092590372078E-2</v>
      </c>
      <c r="N72" s="7">
        <f t="shared" si="27"/>
        <v>41.983333330135792</v>
      </c>
      <c r="O72" s="7"/>
      <c r="P72" s="7"/>
      <c r="Q72" s="22"/>
      <c r="R72" s="22"/>
      <c r="S72" s="31">
        <f t="shared" si="24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-03-27T10:52:14-0600',mode:absolute,to:'2017-03-27T13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83" t="str">
        <f t="shared" si="6"/>
        <v>N</v>
      </c>
      <c r="X72" s="183">
        <f t="shared" si="25"/>
        <v>1</v>
      </c>
      <c r="Y72" s="62">
        <f t="shared" si="8"/>
        <v>23.298100000000002</v>
      </c>
      <c r="Z72" s="62">
        <f t="shared" si="26"/>
        <v>1.4500000000000001E-2</v>
      </c>
      <c r="AA72" s="62">
        <f t="shared" si="10"/>
        <v>23.2836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0160-27</v>
      </c>
      <c r="AE72" s="85" t="str">
        <f t="shared" si="12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72" s="82" t="str">
        <f t="shared" si="13"/>
        <v>"C:\Program Files (x86)\AstroGrep\AstroGrep.exe" /e /r /s /spath="%USERPROFILE%\AppData\Local\Temp\OnboardLogs" /stypes="app*4015*20170327*"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160-27 --locoid 4015 --swversion DE.1.0.9.0 --startMP 204:232981 --initTime 2017-03-27T11:52:14 --startdatetime 2017-03-27T11:56:26 --delay 2 --endMP 204:145 --enddatetime 2017-03-27T12:38:25 --enforcementcount 0 &gt;&gt;C:\Users\stu\Documents\GitHub\eaglep3-reporting\EC\2017-03-27-refined-times.txt</v>
      </c>
      <c r="AI72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ID","value":"160-27"},{"id":16,"name":"Locomotive ID","value":"4015"},{"id":130,"name":"Impact","value":""},{"id":150,"name":"Time of Event (Mountain Time)","value":"12:38:25"},{"id":151,"name":"Denver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 t="s">
        <v>590</v>
      </c>
      <c r="AK72" s="48"/>
      <c r="AL72" s="48"/>
      <c r="AM72" s="150" t="str">
        <f t="shared" si="21"/>
        <v>start /low /b %USERPROFILE%\Documents\GitHub\eaglep3\Utilities\DownloadLogsFromS3.py --loco 4015 --day 2017-03-27</v>
      </c>
      <c r="AN72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702</v>
      </c>
      <c r="B73" s="7">
        <v>4014</v>
      </c>
      <c r="C73" s="21" t="s">
        <v>218</v>
      </c>
      <c r="D73" s="21" t="s">
        <v>495</v>
      </c>
      <c r="E73" s="13">
        <v>42821.46665509259</v>
      </c>
      <c r="F73" s="13">
        <v>42821.469097222223</v>
      </c>
      <c r="G73" s="7">
        <v>2</v>
      </c>
      <c r="H73" s="21" t="s">
        <v>576</v>
      </c>
      <c r="I73" s="13">
        <v>42821.49560185185</v>
      </c>
      <c r="J73" s="7">
        <v>0</v>
      </c>
      <c r="K73" s="97" t="str">
        <f t="shared" si="0"/>
        <v>4013/4014</v>
      </c>
      <c r="L73" s="21" t="str">
        <f>VLOOKUP(A73,'Trips&amp;Operators'!$C$1:$G$99999,5,FALSE)</f>
        <v>DAVIS MICHAEL</v>
      </c>
      <c r="M73" s="6">
        <f t="shared" si="1"/>
        <v>2.6504629626288079E-2</v>
      </c>
      <c r="N73" s="7">
        <f t="shared" si="27"/>
        <v>38.166666661854833</v>
      </c>
      <c r="O73" s="7"/>
      <c r="P73" s="7"/>
      <c r="Q73" s="22"/>
      <c r="R73" s="22"/>
      <c r="S73" s="31">
        <f t="shared" si="24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-03-27T10:11:59-0600',mode:absolute,to:'2017-03-27T12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3" t="str">
        <f t="shared" si="6"/>
        <v>N</v>
      </c>
      <c r="X73" s="183">
        <f t="shared" si="25"/>
        <v>1</v>
      </c>
      <c r="Y73" s="62">
        <f t="shared" si="8"/>
        <v>4.4600000000000001E-2</v>
      </c>
      <c r="Z73" s="62">
        <f t="shared" si="26"/>
        <v>23.333600000000001</v>
      </c>
      <c r="AA73" s="62">
        <f t="shared" si="10"/>
        <v>23.289000000000001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0161-27</v>
      </c>
      <c r="AE73" s="85" t="str">
        <f t="shared" si="12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73" s="82" t="str">
        <f t="shared" si="13"/>
        <v>"C:\Program Files (x86)\AstroGrep\AstroGrep.exe" /e /r /s /spath="%USERPROFILE%\AppData\Local\Temp\OnboardLogs" /stypes="app*4014*20170327*"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161-27 --locoid 4014 --swversion DE.1.0.9.0 --startMP 204:446 --initTime 2017-03-27T11:11:59 --startdatetime 2017-03-27T11:15:30 --delay 2 --endMP 204:233336 --enddatetime 2017-03-27T11:53:40 --enforcementcount 0 &gt;&gt;C:\Users\stu\Documents\GitHub\eaglep3-reporting\EC\2017-03-27-refined-times.txt</v>
      </c>
      <c r="AI73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api","custom_fields":[{"id":1,"name":"Subdivision","value":"EC"},{"id":4,"name":"Milepost","value":"23.3336"},{"id":17,"name":"Train ID","value":"161-27"},{"id":16,"name":"Locomotive ID","value":"4014"},{"id":130,"name":"Impact","value":""},{"id":150,"name":"Time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 t="s">
        <v>590</v>
      </c>
      <c r="AK73" s="48"/>
      <c r="AL73" s="48"/>
      <c r="AM73" s="150" t="str">
        <f t="shared" si="21"/>
        <v>start /low /b %USERPROFILE%\Documents\GitHub\eaglep3\Utilities\DownloadLogsFromS3.py --loco 4014 --day 2017-03-27</v>
      </c>
      <c r="AN73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714</v>
      </c>
      <c r="B74" s="7">
        <v>4013</v>
      </c>
      <c r="C74" s="21" t="s">
        <v>218</v>
      </c>
      <c r="D74" s="21" t="s">
        <v>493</v>
      </c>
      <c r="E74" s="13">
        <v>42821.505046296297</v>
      </c>
      <c r="F74" s="13">
        <v>42821.508067129631</v>
      </c>
      <c r="G74" s="7">
        <v>1</v>
      </c>
      <c r="H74" s="21" t="s">
        <v>199</v>
      </c>
      <c r="I74" s="13">
        <v>42821.536990740744</v>
      </c>
      <c r="J74" s="7">
        <v>0</v>
      </c>
      <c r="K74" s="97" t="str">
        <f t="shared" si="0"/>
        <v>4013/4014</v>
      </c>
      <c r="L74" s="21" t="str">
        <f>VLOOKUP(A74,'Trips&amp;Operators'!$C$1:$G$99999,5,FALSE)</f>
        <v>DAVIS MICHAEL</v>
      </c>
      <c r="M74" s="6">
        <f t="shared" si="1"/>
        <v>2.8923611112986691E-2</v>
      </c>
      <c r="N74" s="7">
        <f t="shared" si="27"/>
        <v>41.650000002700835</v>
      </c>
      <c r="O74" s="7"/>
      <c r="P74" s="7"/>
      <c r="Q74" s="22"/>
      <c r="R74" s="22"/>
      <c r="S74" s="31">
        <f t="shared" si="24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-03-27T11:07:16-0600',mode:absolute,to:'2017-03-27T13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3" t="str">
        <f t="shared" si="6"/>
        <v>N</v>
      </c>
      <c r="X74" s="183">
        <f t="shared" si="25"/>
        <v>1</v>
      </c>
      <c r="Y74" s="62">
        <f t="shared" si="8"/>
        <v>23.2986</v>
      </c>
      <c r="Z74" s="62">
        <f t="shared" si="26"/>
        <v>1.52E-2</v>
      </c>
      <c r="AA74" s="62">
        <f t="shared" si="10"/>
        <v>23.2834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0162-27</v>
      </c>
      <c r="AE74" s="85" t="str">
        <f t="shared" si="12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74" s="82" t="str">
        <f t="shared" si="13"/>
        <v>"C:\Program Files (x86)\AstroGrep\AstroGrep.exe" /e /r /s /spath="%USERPROFILE%\AppData\Local\Temp\OnboardLogs" /stypes="app*4013*20170327*"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162-27 --locoid 4013 --swversion DE.1.0.9.0 --startMP 204:232986 --initTime 2017-03-27T12:07:16 --startdatetime 2017-03-27T12:11:37 --delay 1 --endMP 204:152 --enddatetime 2017-03-27T12:53:16 --enforcementcount 0 &gt;&gt;C:\Users\stu\Documents\GitHub\eaglep3-reporting\EC\2017-03-27-refined-times.txt</v>
      </c>
      <c r="AI74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ID","value":"162-27"},{"id":16,"name":"Locomotive ID","value":"4013"},{"id":130,"name":"Impact","value":""},{"id":150,"name":"Time of Event (Mountain Time)","value":"12:53:16"},{"id":151,"name":"Denver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 t="s">
        <v>590</v>
      </c>
      <c r="AK74" s="48"/>
      <c r="AL74" s="48"/>
      <c r="AM74" s="150" t="str">
        <f t="shared" si="21"/>
        <v>start /low /b %USERPROFILE%\Documents\GitHub\eaglep3\Utilities\DownloadLogsFromS3.py --loco 4013 --day 2017-03-27</v>
      </c>
      <c r="AN74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705</v>
      </c>
      <c r="B75" s="7">
        <v>4003</v>
      </c>
      <c r="C75" s="21" t="s">
        <v>218</v>
      </c>
      <c r="D75" s="21" t="s">
        <v>208</v>
      </c>
      <c r="E75" s="13">
        <v>42821.475844907407</v>
      </c>
      <c r="F75" s="13">
        <v>42821.479328703703</v>
      </c>
      <c r="G75" s="7">
        <v>1</v>
      </c>
      <c r="H75" s="21" t="s">
        <v>501</v>
      </c>
      <c r="I75" s="13">
        <v>42821.506782407407</v>
      </c>
      <c r="J75" s="7">
        <v>0</v>
      </c>
      <c r="K75" s="97" t="str">
        <f t="shared" si="0"/>
        <v>4003/4004</v>
      </c>
      <c r="L75" s="21" t="str">
        <f>VLOOKUP(A75,'Trips&amp;Operators'!$C$1:$G$99999,5,FALSE)</f>
        <v>CLARK KATHLEEN</v>
      </c>
      <c r="M75" s="6">
        <f t="shared" si="1"/>
        <v>2.7453703703940846E-2</v>
      </c>
      <c r="N75" s="7">
        <f t="shared" si="27"/>
        <v>39.533333333674818</v>
      </c>
      <c r="O75" s="7"/>
      <c r="P75" s="7"/>
      <c r="Q75" s="22"/>
      <c r="R75" s="22"/>
      <c r="S75" s="31">
        <f t="shared" si="24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-03-27T10:25:13-0600',mode:absolute,to:'2017-03-27T13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183" t="str">
        <f t="shared" si="6"/>
        <v>N</v>
      </c>
      <c r="X75" s="183">
        <f t="shared" si="25"/>
        <v>1</v>
      </c>
      <c r="Y75" s="62">
        <f t="shared" si="8"/>
        <v>4.5999999999999999E-2</v>
      </c>
      <c r="Z75" s="62">
        <f t="shared" si="26"/>
        <v>23.331900000000001</v>
      </c>
      <c r="AA75" s="62">
        <f t="shared" si="10"/>
        <v>23.285900000000002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0163-27</v>
      </c>
      <c r="AE75" s="85" t="str">
        <f t="shared" si="12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75" s="82" t="str">
        <f t="shared" si="13"/>
        <v>"C:\Program Files (x86)\AstroGrep\AstroGrep.exe" /e /r /s /spath="%USERPROFILE%\AppData\Local\Temp\OnboardLogs" /stypes="app*4003*20170327*"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163-27 --locoid 4003 --swversion DE.1.0.9.0 --startMP 204:460 --initTime 2017-03-27T11:25:13 --startdatetime 2017-03-27T11:30:14 --delay 1 --endMP 204:233319 --enddatetime 2017-03-27T12:09:46 --enforcementcount 0 &gt;&gt;C:\Users\stu\Documents\GitHub\eaglep3-reporting\EC\2017-03-27-refined-times.txt</v>
      </c>
      <c r="AI75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api","custom_fields":[{"id":1,"name":"Subdivision","value":"EC"},{"id":4,"name":"Milepost","value":"23.3319"},{"id":17,"name":"Train ID","value":"163-27"},{"id":16,"name":"Locomotive ID","value":"4003"},{"id":130,"name":"Impact","value":""},{"id":150,"name":"Time of Event (Mountain Time)","value":"12:09:46"},{"id":151,"name":"Denver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 t="s">
        <v>590</v>
      </c>
      <c r="AK75" s="48"/>
      <c r="AL75" s="48"/>
      <c r="AM75" s="150" t="str">
        <f t="shared" si="21"/>
        <v>start /low /b %USERPROFILE%\Documents\GitHub\eaglep3\Utilities\DownloadLogsFromS3.py --loco 4003 --day 2017-03-27</v>
      </c>
      <c r="AN75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718</v>
      </c>
      <c r="B76" s="7">
        <v>4004</v>
      </c>
      <c r="C76" s="21" t="s">
        <v>218</v>
      </c>
      <c r="D76" s="21" t="s">
        <v>554</v>
      </c>
      <c r="E76" s="13">
        <v>42821.515115740738</v>
      </c>
      <c r="F76" s="13">
        <v>42821.518217592595</v>
      </c>
      <c r="G76" s="7">
        <v>1</v>
      </c>
      <c r="H76" s="21" t="s">
        <v>850</v>
      </c>
      <c r="I76" s="13">
        <v>42821.545740740738</v>
      </c>
      <c r="J76" s="7">
        <v>0</v>
      </c>
      <c r="K76" s="97" t="str">
        <f t="shared" si="0"/>
        <v>4003/4004</v>
      </c>
      <c r="L76" s="21" t="str">
        <f>VLOOKUP(A76,'Trips&amp;Operators'!$C$1:$G$99999,5,FALSE)</f>
        <v>CLARK KATHLEEN</v>
      </c>
      <c r="M76" s="6">
        <f t="shared" si="1"/>
        <v>2.7523148142790888E-2</v>
      </c>
      <c r="N76" s="7">
        <f t="shared" si="27"/>
        <v>39.633333325618878</v>
      </c>
      <c r="O76" s="7"/>
      <c r="P76" s="7"/>
      <c r="Q76" s="22"/>
      <c r="R76" s="22"/>
      <c r="S76" s="31">
        <f t="shared" si="24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-03-27T11:21:46-0600',mode:absolute,to:'2017-03-27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83" t="str">
        <f t="shared" si="6"/>
        <v>N</v>
      </c>
      <c r="X76" s="183">
        <f t="shared" si="25"/>
        <v>1</v>
      </c>
      <c r="Y76" s="62">
        <f t="shared" si="8"/>
        <v>23.3004</v>
      </c>
      <c r="Z76" s="62">
        <f t="shared" si="26"/>
        <v>1.7399999999999999E-2</v>
      </c>
      <c r="AA76" s="62">
        <f t="shared" si="10"/>
        <v>23.283000000000001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0164-27</v>
      </c>
      <c r="AE76" s="85" t="str">
        <f t="shared" si="12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76" s="82" t="str">
        <f t="shared" si="13"/>
        <v>"C:\Program Files (x86)\AstroGrep\AstroGrep.exe" /e /r /s /spath="%USERPROFILE%\AppData\Local\Temp\OnboardLogs" /stypes="app*4004*20170327*"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164-27 --locoid 4004 --swversion DE.1.0.9.0 --startMP 204:233004 --initTime 2017-03-27T12:21:46 --startdatetime 2017-03-27T12:26:14 --delay 1 --endMP 204:174 --enddatetime 2017-03-27T13:05:52 --enforcementcount 0 &gt;&gt;C:\Users\stu\Documents\GitHub\eaglep3-reporting\EC\2017-03-27-refined-times.txt</v>
      </c>
      <c r="AI76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api","custom_fields":[{"id":1,"name":"Subdivision","value":"EC"},{"id":4,"name":"Milepost","value":"0.0174"},{"id":17,"name":"Train ID","value":"164-27"},{"id":16,"name":"Locomotive ID","value":"4004"},{"id":130,"name":"Impact","value":""},{"id":150,"name":"Time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 t="s">
        <v>590</v>
      </c>
      <c r="AK76" s="48"/>
      <c r="AL76" s="48"/>
      <c r="AM76" s="150" t="str">
        <f t="shared" si="21"/>
        <v>start /low /b %USERPROFILE%\Documents\GitHub\eaglep3\Utilities\DownloadLogsFromS3.py --loco 4004 --day 2017-03-27</v>
      </c>
      <c r="AN76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711</v>
      </c>
      <c r="B77" s="7">
        <v>4025</v>
      </c>
      <c r="C77" s="21" t="s">
        <v>218</v>
      </c>
      <c r="D77" s="21" t="s">
        <v>207</v>
      </c>
      <c r="E77" s="13">
        <v>42821.487361111111</v>
      </c>
      <c r="F77" s="13">
        <v>42821.490648148145</v>
      </c>
      <c r="G77" s="7">
        <v>2</v>
      </c>
      <c r="H77" s="21" t="s">
        <v>851</v>
      </c>
      <c r="I77" s="13">
        <v>42821.516631944447</v>
      </c>
      <c r="J77" s="7">
        <v>0</v>
      </c>
      <c r="K77" s="97" t="str">
        <f t="shared" ref="K77:K140" si="28">IF(ISEVEN(B77),(B77-1)&amp;"/"&amp;B77,B77&amp;"/"&amp;(B77+1))</f>
        <v>4025/4026</v>
      </c>
      <c r="L77" s="21" t="str">
        <f>VLOOKUP(A77,'Trips&amp;Operators'!$C$1:$G$99999,5,FALSE)</f>
        <v>WILLIAMS DONTE</v>
      </c>
      <c r="M77" s="6">
        <f t="shared" ref="M77:M140" si="29">I77-F77</f>
        <v>2.5983796302170958E-2</v>
      </c>
      <c r="N77" s="7">
        <f t="shared" si="27"/>
        <v>37.41666667512618</v>
      </c>
      <c r="O77" s="7"/>
      <c r="P77" s="7"/>
      <c r="Q77" s="22"/>
      <c r="R77" s="22"/>
      <c r="S77" s="31">
        <f t="shared" ref="S77:S108" si="30">SUM(U77:U77)/IF(AG77="EC",12,1)</f>
        <v>1</v>
      </c>
      <c r="T77" s="46" t="str">
        <f t="shared" ref="T77:T140" si="31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-27T10:41:48-0600',mode:absolute,to:'2017-03-27T13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83" t="str">
        <f t="shared" ref="W77:W140" si="33">IF(AA77&lt;IF(AG77="EC",23,5.65),"Y","N")</f>
        <v>N</v>
      </c>
      <c r="X77" s="183">
        <f t="shared" ref="X77:X89" si="34">VALUE(LEFT(AD77,4))-VALUE(LEFT(AD76,4))</f>
        <v>1</v>
      </c>
      <c r="Y77" s="62">
        <f t="shared" ref="Y77:Y140" si="35">RIGHT(D77,LEN(D77)-4)/10000</f>
        <v>4.5699999999999998E-2</v>
      </c>
      <c r="Z77" s="62">
        <f t="shared" ref="Z77:Z108" si="36">RIGHT(H77,LEN(H77)-4)/10000</f>
        <v>23.341799999999999</v>
      </c>
      <c r="AA77" s="62">
        <f t="shared" ref="AA77:AA140" si="37">ABS(Z77-Y77)</f>
        <v>23.296099999999999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0165-27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/stypes="app*4025*20170327*" /stext=" 18:.+((SYSTEM_STATE.+slice.+state.+changed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165-27 --locoid 4025 --swversion DE.1.0.9.0 --startMP 204:457 --initTime 2017-03-27T11:41:48 --startdatetime 2017-03-27T11:46:32 --delay 2 --endMP 204:233418 --enddatetime 2017-03-27T12:23:57 --enforcementcount 0 &gt;&gt;C:\Users\stu\Documents\GitHub\eaglep3-reporting\EC\2017-03-27-refined-times.txt</v>
      </c>
      <c r="AI77" s="104" t="str">
        <f t="shared" si="20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api","custom_fields":[{"id":1,"name":"Subdivision","value":"EC"},{"id":4,"name":"Milepost","value":"23.3418"},{"id":17,"name":"Train ID","value":"165-27"},{"id":16,"name":"Locomotive ID","value":"4025"},{"id":130,"name":"Impact","value":""},{"id":150,"name":"Time of Event (Mountain Time)","value":"12:23:57"},{"id":151,"name":"Denver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 t="s">
        <v>590</v>
      </c>
      <c r="AK77" s="48"/>
      <c r="AL77" s="48"/>
      <c r="AM77" s="150" t="str">
        <f t="shared" si="21"/>
        <v>start /low /b %USERPROFILE%\Documents\GitHub\eaglep3\Utilities\DownloadLogsFromS3.py --loco 4025 --day 2017-03-27</v>
      </c>
      <c r="AN77" s="159" t="str">
        <f t="shared" si="2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720</v>
      </c>
      <c r="B78" s="7">
        <v>4026</v>
      </c>
      <c r="C78" s="21" t="s">
        <v>218</v>
      </c>
      <c r="D78" s="21" t="s">
        <v>580</v>
      </c>
      <c r="E78" s="13">
        <v>42821.518622685187</v>
      </c>
      <c r="F78" s="13">
        <v>42821.528831018521</v>
      </c>
      <c r="G78" s="7">
        <v>2</v>
      </c>
      <c r="H78" s="21" t="s">
        <v>199</v>
      </c>
      <c r="I78" s="13">
        <v>42821.55678240741</v>
      </c>
      <c r="J78" s="7">
        <v>0</v>
      </c>
      <c r="K78" s="97" t="str">
        <f t="shared" si="28"/>
        <v>4025/4026</v>
      </c>
      <c r="L78" s="21" t="str">
        <f>VLOOKUP(A78,'Trips&amp;Operators'!$C$1:$G$99999,5,FALSE)</f>
        <v>WILLIAMS DONTE</v>
      </c>
      <c r="M78" s="6">
        <f t="shared" si="29"/>
        <v>2.7951388889050577E-2</v>
      </c>
      <c r="N78" s="7">
        <f t="shared" si="27"/>
        <v>40.250000000232831</v>
      </c>
      <c r="O78" s="7"/>
      <c r="P78" s="7"/>
      <c r="Q78" s="22"/>
      <c r="R78" s="22"/>
      <c r="S78" s="31">
        <f t="shared" si="30"/>
        <v>1</v>
      </c>
      <c r="T78" s="46" t="str">
        <f t="shared" si="31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2"/>
        <v>https://d0f6bd738d7f1b3e5a7ca70fe4ff75f0.us-east-1.aws.found.io/app/kibana#/discover/Steve-Slow-Train-Analysis-(2080s-and-2083s)?_g=(refreshInterval:(display:Off,pause:!f,section:0,value:0),time:(from:'2017-03-27T11:26:49-0600',mode:absolute,to:'2017-03-27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83" t="str">
        <f t="shared" si="33"/>
        <v>N</v>
      </c>
      <c r="X78" s="183">
        <f t="shared" si="34"/>
        <v>1</v>
      </c>
      <c r="Y78" s="62">
        <f t="shared" si="35"/>
        <v>23.308399999999999</v>
      </c>
      <c r="Z78" s="62">
        <f t="shared" si="36"/>
        <v>1.52E-2</v>
      </c>
      <c r="AA78" s="62">
        <f t="shared" si="37"/>
        <v>23.293199999999999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0166-27</v>
      </c>
      <c r="AE78" s="85" t="str">
        <f t="shared" si="39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78" s="82" t="str">
        <f t="shared" si="40"/>
        <v>"C:\Program Files (x86)\AstroGrep\AstroGrep.exe" /e /r /s /spath="%USERPROFILE%\AppData\Local\Temp\OnboardLogs" /stypes="app*4026*20170327*" /stext=" 19:.+((SYSTEM_STATE.+slice.+state.+changed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ref="AH78:AH139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166-27 --locoid 4026 --swversion DE.1.0.9.0 --startMP 204:233084 --initTime 2017-03-27T12:26:49 --startdatetime 2017-03-27T12:41:31 --delay 2 --endMP 204:152 --enddatetime 2017-03-27T13:21:46 --enforcementcount 0 &gt;&gt;C:\Users\stu\Documents\GitHub\eaglep3-reporting\EC\2017-03-27-refined-times.txt</v>
      </c>
      <c r="AI78" s="104" t="str">
        <f t="shared" ref="AI78:AI139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ID","value":"166-27"},{"id":16,"name":"Locomotive ID","value":"4026"},{"id":130,"name":"Impact","value":""},{"id":150,"name":"Time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 t="s">
        <v>590</v>
      </c>
      <c r="AK78" s="48"/>
      <c r="AL78" s="48"/>
      <c r="AM78" s="150" t="str">
        <f t="shared" ref="AM78:AM139" si="44">"start /low /b "&amp;dls3logs&amp;" --loco "&amp;B78&amp;" --day "&amp;TEXT(F78,"YYYY-MM-DD")</f>
        <v>start /low /b %USERPROFILE%\Documents\GitHub\eaglep3\Utilities\DownloadLogsFromS3.py --loco 4026 --day 2017-03-27</v>
      </c>
      <c r="AN78" s="159" t="str">
        <f t="shared" ref="AN78:AN139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613</v>
      </c>
      <c r="B79" s="7">
        <v>4051</v>
      </c>
      <c r="C79" s="21" t="s">
        <v>218</v>
      </c>
      <c r="D79" s="21" t="s">
        <v>206</v>
      </c>
      <c r="E79" s="13">
        <v>42821.494837962964</v>
      </c>
      <c r="F79" s="13">
        <v>42821.500254629631</v>
      </c>
      <c r="G79" s="7">
        <v>1</v>
      </c>
      <c r="H79" s="21" t="s">
        <v>852</v>
      </c>
      <c r="I79" s="13">
        <v>42821.526250000003</v>
      </c>
      <c r="J79" s="7">
        <v>0</v>
      </c>
      <c r="K79" s="97" t="str">
        <f t="shared" si="28"/>
        <v>4051/4052</v>
      </c>
      <c r="L79" s="21" t="str">
        <f>VLOOKUP(A79,'Trips&amp;Operators'!$C$1:$G$99999,5,FALSE)</f>
        <v>LOCKLEAR TRAVIS</v>
      </c>
      <c r="M79" s="6">
        <f t="shared" si="29"/>
        <v>2.5995370371674653E-2</v>
      </c>
      <c r="N79" s="7">
        <f t="shared" si="27"/>
        <v>37.433333335211501</v>
      </c>
      <c r="O79" s="7"/>
      <c r="P79" s="7"/>
      <c r="Q79" s="22"/>
      <c r="R79" s="22"/>
      <c r="S79" s="31">
        <f t="shared" si="30"/>
        <v>1</v>
      </c>
      <c r="T79" s="46" t="str">
        <f t="shared" si="31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2"/>
        <v>https://d0f6bd738d7f1b3e5a7ca70fe4ff75f0.us-east-1.aws.found.io/app/kibana#/discover/Steve-Slow-Train-Analysis-(2080s-and-2083s)?_g=(refreshInterval:(display:Off,pause:!f,section:0,value:0),time:(from:'2017-03-27T10:52:34-0600',mode:absolute,to:'2017-03-27T13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9" s="183" t="str">
        <f t="shared" si="33"/>
        <v>N</v>
      </c>
      <c r="X79" s="183">
        <f t="shared" si="34"/>
        <v>1</v>
      </c>
      <c r="Y79" s="62">
        <f t="shared" si="35"/>
        <v>4.5100000000000001E-2</v>
      </c>
      <c r="Z79" s="62">
        <f t="shared" si="36"/>
        <v>23.338100000000001</v>
      </c>
      <c r="AA79" s="62">
        <f t="shared" si="37"/>
        <v>23.292999999999999</v>
      </c>
      <c r="AB79" s="59" t="str">
        <f>VLOOKUP(A79,Enforcements!$C$7:$K$13,8,0)</f>
        <v>Bulletin (2)</v>
      </c>
      <c r="AC79" s="55" t="str">
        <f>VLOOKUP(A79,Enforcements!$C$7:$E$13,3,0)</f>
        <v>GRADE CROSSING</v>
      </c>
      <c r="AD79" s="56" t="str">
        <f t="shared" si="38"/>
        <v>0167-27</v>
      </c>
      <c r="AE79" s="85" t="str">
        <f t="shared" si="39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79" s="82" t="str">
        <f t="shared" si="40"/>
        <v>"C:\Program Files (x86)\AstroGrep\AstroGrep.exe" /e /r /s /spath="%USERPROFILE%\AppData\Local\Temp\OnboardLogs" /stypes="app*4051*20170327*" /stext=" 18:.+((SYSTEM_STATE.+slice.+state.+changed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167-27 --locoid 4051 --swversion DE.1.0.9.0 --startMP 204:451 --initTime 2017-03-27T11:52:34 --startdatetime 2017-03-27T12:00:22 --delay 1 --endMP 204:233381 --enddatetime 2017-03-27T12:37:48 --enforcementcount 0 &gt;&gt;C:\Users\stu\Documents\GitHub\eaglep3-reporting\EC\2017-03-27-refined-times.txt</v>
      </c>
      <c r="AI7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api","custom_fields":[{"id":1,"name":"Subdivision","value":"EC"},{"id":4,"name":"Milepost","value":"23.3381"},{"id":17,"name":"Train ID","value":"167-27"},{"id":16,"name":"Locomotive ID","value":"4051"},{"id":130,"name":"Impact","value":""},{"id":150,"name":"Time of Event (Mountain Time)","value":"12:37:48"},{"id":151,"name":"Denver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 t="s">
        <v>590</v>
      </c>
      <c r="AK79" s="48"/>
      <c r="AL79" s="48"/>
      <c r="AM79" s="150" t="str">
        <f t="shared" si="44"/>
        <v>start /low /b %USERPROFILE%\Documents\GitHub\eaglep3\Utilities\DownloadLogsFromS3.py --loco 4051 --day 2017-03-27</v>
      </c>
      <c r="AN79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723</v>
      </c>
      <c r="B80" s="7">
        <v>4052</v>
      </c>
      <c r="C80" s="21" t="s">
        <v>218</v>
      </c>
      <c r="D80" s="21" t="s">
        <v>853</v>
      </c>
      <c r="E80" s="13">
        <v>42821.534328703703</v>
      </c>
      <c r="F80" s="13">
        <v>42821.539085648146</v>
      </c>
      <c r="G80" s="7">
        <v>2</v>
      </c>
      <c r="H80" s="21" t="s">
        <v>461</v>
      </c>
      <c r="I80" s="13">
        <v>42821.566516203704</v>
      </c>
      <c r="J80" s="7">
        <v>0</v>
      </c>
      <c r="K80" s="97" t="str">
        <f t="shared" si="28"/>
        <v>4051/4052</v>
      </c>
      <c r="L80" s="21" t="str">
        <f>VLOOKUP(A80,'Trips&amp;Operators'!$C$1:$G$99999,5,FALSE)</f>
        <v>LOCKLEAR TRAVIS</v>
      </c>
      <c r="M80" s="6">
        <f t="shared" si="29"/>
        <v>2.7430555557657499E-2</v>
      </c>
      <c r="N80" s="7">
        <f t="shared" si="27"/>
        <v>39.500000003026798</v>
      </c>
      <c r="O80" s="7"/>
      <c r="P80" s="7"/>
      <c r="Q80" s="22"/>
      <c r="R80" s="22"/>
      <c r="S80" s="31">
        <f t="shared" si="30"/>
        <v>1</v>
      </c>
      <c r="T80" s="46" t="str">
        <f t="shared" si="31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2"/>
        <v>https://d0f6bd738d7f1b3e5a7ca70fe4ff75f0.us-east-1.aws.found.io/app/kibana#/discover/Steve-Slow-Train-Analysis-(2080s-and-2083s)?_g=(refreshInterval:(display:Off,pause:!f,section:0,value:0),time:(from:'2017-03-27T11:49:26-0600',mode:absolute,to:'2017-03-27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0" s="183" t="str">
        <f t="shared" si="33"/>
        <v>N</v>
      </c>
      <c r="X80" s="183">
        <f t="shared" si="34"/>
        <v>1</v>
      </c>
      <c r="Y80" s="62">
        <f t="shared" si="35"/>
        <v>23.3157</v>
      </c>
      <c r="Z80" s="62">
        <f t="shared" si="36"/>
        <v>1.61E-2</v>
      </c>
      <c r="AA80" s="62">
        <f t="shared" si="37"/>
        <v>23.299599999999998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0168-27</v>
      </c>
      <c r="AE80" s="85" t="str">
        <f t="shared" si="39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80" s="82" t="str">
        <f t="shared" si="40"/>
        <v>"C:\Program Files (x86)\AstroGrep\AstroGrep.exe" /e /r /s /spath="%USERPROFILE%\AppData\Local\Temp\OnboardLogs" /stypes="app*4052*20170327*" /stext=" 19:.+((SYSTEM_STATE.+slice.+state.+changed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168-27 --locoid 4052 --swversion DE.1.0.9.0 --startMP 204:233157 --initTime 2017-03-27T12:49:26 --startdatetime 2017-03-27T12:56:17 --delay 2 --endMP 204:161 --enddatetime 2017-03-27T13:35:47 --enforcementcount 0 &gt;&gt;C:\Users\stu\Documents\GitHub\eaglep3-reporting\EC\2017-03-27-refined-times.txt</v>
      </c>
      <c r="AI80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api","custom_fields":[{"id":1,"name":"Subdivision","value":"EC"},{"id":4,"name":"Milepost","value":"0.0161"},{"id":17,"name":"Train ID","value":"168-27"},{"id":16,"name":"Locomotive ID","value":"4052"},{"id":130,"name":"Impact","value":""},{"id":150,"name":"Time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 t="s">
        <v>590</v>
      </c>
      <c r="AK80" s="48"/>
      <c r="AL80" s="48"/>
      <c r="AM80" s="150" t="str">
        <f t="shared" si="44"/>
        <v>start /low /b %USERPROFILE%\Documents\GitHub\eaglep3\Utilities\DownloadLogsFromS3.py --loco 4052 --day 2017-03-27</v>
      </c>
      <c r="AN80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715</v>
      </c>
      <c r="B81" s="7">
        <v>4040</v>
      </c>
      <c r="C81" s="21" t="s">
        <v>218</v>
      </c>
      <c r="D81" s="21" t="s">
        <v>207</v>
      </c>
      <c r="E81" s="13">
        <v>42821.507569444446</v>
      </c>
      <c r="F81" s="13">
        <v>42821.510613425926</v>
      </c>
      <c r="G81" s="7">
        <v>1</v>
      </c>
      <c r="H81" s="21" t="s">
        <v>575</v>
      </c>
      <c r="I81" s="13">
        <v>42821.536192129628</v>
      </c>
      <c r="J81" s="7">
        <v>0</v>
      </c>
      <c r="K81" s="97" t="str">
        <f t="shared" si="28"/>
        <v>4039/4040</v>
      </c>
      <c r="L81" s="21" t="str">
        <f>VLOOKUP(A81,'Trips&amp;Operators'!$C$1:$G$99999,5,FALSE)</f>
        <v>LEVERE CRAIG</v>
      </c>
      <c r="M81" s="6">
        <f t="shared" si="29"/>
        <v>2.5578703702194616E-2</v>
      </c>
      <c r="N81" s="7">
        <f t="shared" si="27"/>
        <v>36.833333331160247</v>
      </c>
      <c r="O81" s="7"/>
      <c r="P81" s="7"/>
      <c r="Q81" s="22"/>
      <c r="R81" s="22"/>
      <c r="S81" s="31">
        <f t="shared" si="30"/>
        <v>1</v>
      </c>
      <c r="T81" s="46" t="str">
        <f t="shared" si="31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2"/>
        <v>https://d0f6bd738d7f1b3e5a7ca70fe4ff75f0.us-east-1.aws.found.io/app/kibana#/discover/Steve-Slow-Train-Analysis-(2080s-and-2083s)?_g=(refreshInterval:(display:Off,pause:!f,section:0,value:0),time:(from:'2017-03-27T11:10:54-0600',mode:absolute,to:'2017-03-27T13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83" t="str">
        <f t="shared" si="33"/>
        <v>N</v>
      </c>
      <c r="X81" s="183">
        <f t="shared" si="34"/>
        <v>1</v>
      </c>
      <c r="Y81" s="62">
        <f t="shared" si="35"/>
        <v>4.5699999999999998E-2</v>
      </c>
      <c r="Z81" s="62">
        <f t="shared" si="36"/>
        <v>23.331099999999999</v>
      </c>
      <c r="AA81" s="62">
        <f t="shared" si="37"/>
        <v>23.285399999999999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0169-27</v>
      </c>
      <c r="AE81" s="85" t="str">
        <f t="shared" si="39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81" s="82" t="str">
        <f t="shared" si="40"/>
        <v>"C:\Program Files (x86)\AstroGrep\AstroGrep.exe" /e /r /s /spath="%USERPROFILE%\AppData\Local\Temp\OnboardLogs" /stypes="app*4040*20170327*" /stext=" 18:.+((SYSTEM_STATE.+slice.+state.+changed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169-27 --locoid 4040 --swversion DE.1.0.9.0 --startMP 204:457 --initTime 2017-03-27T12:10:54 --startdatetime 2017-03-27T12:15:17 --delay 1 --endMP 204:233311 --enddatetime 2017-03-27T12:52:07 --enforcementcount 0 &gt;&gt;C:\Users\stu\Documents\GitHub\eaglep3-reporting\EC\2017-03-27-refined-times.txt</v>
      </c>
      <c r="AI81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api","custom_fields":[{"id":1,"name":"Subdivision","value":"EC"},{"id":4,"name":"Milepost","value":"23.3311"},{"id":17,"name":"Train ID","value":"169-27"},{"id":16,"name":"Locomotive ID","value":"4040"},{"id":130,"name":"Impact","value":""},{"id":150,"name":"Time of Event (Mountain Time)","value":"12:52:07"},{"id":151,"name":"Denver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 t="s">
        <v>590</v>
      </c>
      <c r="AK81" s="48"/>
      <c r="AL81" s="48"/>
      <c r="AM81" s="150" t="str">
        <f t="shared" si="44"/>
        <v>start /low /b %USERPROFILE%\Documents\GitHub\eaglep3\Utilities\DownloadLogsFromS3.py --loco 4040 --day 2017-03-27</v>
      </c>
      <c r="AN81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725</v>
      </c>
      <c r="B82" s="7">
        <v>4039</v>
      </c>
      <c r="C82" s="21" t="s">
        <v>218</v>
      </c>
      <c r="D82" s="21" t="s">
        <v>516</v>
      </c>
      <c r="E82" s="13">
        <v>42821.541481481479</v>
      </c>
      <c r="F82" s="13">
        <v>42821.549490740741</v>
      </c>
      <c r="G82" s="7">
        <v>1</v>
      </c>
      <c r="H82" s="21" t="s">
        <v>390</v>
      </c>
      <c r="I82" s="13">
        <v>42821.57739583333</v>
      </c>
      <c r="J82" s="7">
        <v>0</v>
      </c>
      <c r="K82" s="97" t="str">
        <f t="shared" si="28"/>
        <v>4039/4040</v>
      </c>
      <c r="L82" s="21" t="str">
        <f>VLOOKUP(A82,'Trips&amp;Operators'!$C$1:$G$99999,5,FALSE)</f>
        <v>LEVERE CRAIG</v>
      </c>
      <c r="M82" s="6">
        <f t="shared" si="29"/>
        <v>2.7905092589207925E-2</v>
      </c>
      <c r="N82" s="7">
        <f t="shared" si="27"/>
        <v>40.183333328459412</v>
      </c>
      <c r="O82" s="7"/>
      <c r="P82" s="7"/>
      <c r="Q82" s="22"/>
      <c r="R82" s="22"/>
      <c r="S82" s="31">
        <f t="shared" si="30"/>
        <v>1</v>
      </c>
      <c r="T82" s="46" t="str">
        <f t="shared" si="31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2"/>
        <v>https://d0f6bd738d7f1b3e5a7ca70fe4ff75f0.us-east-1.aws.found.io/app/kibana#/discover/Steve-Slow-Train-Analysis-(2080s-and-2083s)?_g=(refreshInterval:(display:Off,pause:!f,section:0,value:0),time:(from:'2017-03-27T11:59:44-0600',mode:absolute,to:'2017-03-27T14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83" t="str">
        <f t="shared" si="33"/>
        <v>N</v>
      </c>
      <c r="X82" s="183">
        <f t="shared" si="34"/>
        <v>1</v>
      </c>
      <c r="Y82" s="62">
        <f t="shared" si="35"/>
        <v>23.298999999999999</v>
      </c>
      <c r="Z82" s="62">
        <f t="shared" si="36"/>
        <v>1.4500000000000001E-2</v>
      </c>
      <c r="AA82" s="62">
        <f t="shared" si="37"/>
        <v>23.284499999999998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0170-27</v>
      </c>
      <c r="AE82" s="85" t="str">
        <f t="shared" si="39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82" s="82" t="str">
        <f t="shared" si="40"/>
        <v>"C:\Program Files (x86)\AstroGrep\AstroGrep.exe" /e /r /s /spath="%USERPROFILE%\AppData\Local\Temp\OnboardLogs" /stypes="app*4039*20170327*" /stext=" 19:.+((SYSTEM_STATE.+slice.+state.+changed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170-27 --locoid 4039 --swversion DE.1.0.9.0 --startMP 204:232990 --initTime 2017-03-27T12:59:44 --startdatetime 2017-03-27T13:11:16 --delay 1 --endMP 204:145 --enddatetime 2017-03-27T13:51:27 --enforcementcount 0 &gt;&gt;C:\Users\stu\Documents\GitHub\eaglep3-reporting\EC\2017-03-27-refined-times.txt</v>
      </c>
      <c r="AI8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ID","value":"170-27"},{"id":16,"name":"Locomotive ID","value":"4039"},{"id":130,"name":"Impact","value":""},{"id":150,"name":"Time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 t="s">
        <v>590</v>
      </c>
      <c r="AK82" s="48"/>
      <c r="AL82" s="48"/>
      <c r="AM82" s="150" t="str">
        <f t="shared" si="44"/>
        <v>start /low /b %USERPROFILE%\Documents\GitHub\eaglep3\Utilities\DownloadLogsFromS3.py --loco 4039 --day 2017-03-27</v>
      </c>
      <c r="AN82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719</v>
      </c>
      <c r="B83" s="7">
        <v>4053</v>
      </c>
      <c r="C83" s="21" t="s">
        <v>218</v>
      </c>
      <c r="D83" s="21" t="s">
        <v>570</v>
      </c>
      <c r="E83" s="13">
        <v>42821.51803240741</v>
      </c>
      <c r="F83" s="13">
        <v>42821.521377314813</v>
      </c>
      <c r="G83" s="7">
        <v>2</v>
      </c>
      <c r="H83" s="21" t="s">
        <v>569</v>
      </c>
      <c r="I83" s="13">
        <v>42821.547326388885</v>
      </c>
      <c r="J83" s="7">
        <v>0</v>
      </c>
      <c r="K83" s="97" t="str">
        <f t="shared" si="28"/>
        <v>4053/4054</v>
      </c>
      <c r="L83" s="21" t="str">
        <f>VLOOKUP(A83,'Trips&amp;Operators'!$C$1:$G$99999,5,FALSE)</f>
        <v>BRANDNER MELINDA</v>
      </c>
      <c r="M83" s="6">
        <f t="shared" si="29"/>
        <v>2.5949074071832001E-2</v>
      </c>
      <c r="N83" s="7">
        <f t="shared" si="27"/>
        <v>37.366666663438082</v>
      </c>
      <c r="O83" s="7"/>
      <c r="P83" s="7"/>
      <c r="Q83" s="22"/>
      <c r="R83" s="22"/>
      <c r="S83" s="31">
        <f t="shared" si="30"/>
        <v>1</v>
      </c>
      <c r="T83" s="46" t="str">
        <f t="shared" si="31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2"/>
        <v>https://d0f6bd738d7f1b3e5a7ca70fe4ff75f0.us-east-1.aws.found.io/app/kibana#/discover/Steve-Slow-Train-Analysis-(2080s-and-2083s)?_g=(refreshInterval:(display:Off,pause:!f,section:0,value:0),time:(from:'2017-03-27T11:25:58-0600',mode:absolute,to:'2017-03-27T14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83" t="str">
        <f t="shared" si="33"/>
        <v>N</v>
      </c>
      <c r="X83" s="183">
        <f t="shared" si="34"/>
        <v>1</v>
      </c>
      <c r="Y83" s="62">
        <f t="shared" si="35"/>
        <v>4.4200000000000003E-2</v>
      </c>
      <c r="Z83" s="62">
        <f t="shared" si="36"/>
        <v>23.330200000000001</v>
      </c>
      <c r="AA83" s="62">
        <f t="shared" si="37"/>
        <v>23.286000000000001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0171-27</v>
      </c>
      <c r="AE83" s="85" t="str">
        <f t="shared" si="39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83" s="82" t="str">
        <f t="shared" si="40"/>
        <v>"C:\Program Files (x86)\AstroGrep\AstroGrep.exe" /e /r /s /spath="%USERPROFILE%\AppData\Local\Temp\OnboardLogs" /stypes="app*4053*20170327*"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171-27 --locoid 4053 --swversion DE.1.0.9.0 --startMP 204:442 --initTime 2017-03-27T12:25:58 --startdatetime 2017-03-27T12:30:47 --delay 2 --endMP 204:233302 --enddatetime 2017-03-27T13:08:09 --enforcementcount 0 &gt;&gt;C:\Users\stu\Documents\GitHub\eaglep3-reporting\EC\2017-03-27-refined-times.txt</v>
      </c>
      <c r="AI83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api","custom_fields":[{"id":1,"name":"Subdivision","value":"EC"},{"id":4,"name":"Milepost","value":"23.3302"},{"id":17,"name":"Train ID","value":"171-27"},{"id":16,"name":"Locomotive ID","value":"4053"},{"id":130,"name":"Impact","value":""},{"id":150,"name":"Time of Event (Mountain Time)","value":"13:08:09"},{"id":151,"name":"Denver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 t="s">
        <v>590</v>
      </c>
      <c r="AK83" s="48"/>
      <c r="AL83" s="48"/>
      <c r="AM83" s="150" t="str">
        <f t="shared" si="44"/>
        <v>start /low /b %USERPROFILE%\Documents\GitHub\eaglep3\Utilities\DownloadLogsFromS3.py --loco 4053 --day 2017-03-27</v>
      </c>
      <c r="AN83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728</v>
      </c>
      <c r="B84" s="7">
        <v>4054</v>
      </c>
      <c r="C84" s="21" t="s">
        <v>218</v>
      </c>
      <c r="D84" s="21" t="s">
        <v>844</v>
      </c>
      <c r="E84" s="13">
        <v>42821.554942129631</v>
      </c>
      <c r="F84" s="13">
        <v>42821.559895833336</v>
      </c>
      <c r="G84" s="7">
        <v>1</v>
      </c>
      <c r="H84" s="21" t="s">
        <v>556</v>
      </c>
      <c r="I84" s="13">
        <v>42821.586712962962</v>
      </c>
      <c r="J84" s="7">
        <v>0</v>
      </c>
      <c r="K84" s="97" t="str">
        <f t="shared" si="28"/>
        <v>4053/4054</v>
      </c>
      <c r="L84" s="21" t="str">
        <f>VLOOKUP(A84,'Trips&amp;Operators'!$C$1:$G$99999,5,FALSE)</f>
        <v>BRANDNER MELINDA</v>
      </c>
      <c r="M84" s="6">
        <f t="shared" si="29"/>
        <v>2.6817129626579117E-2</v>
      </c>
      <c r="N84" s="7">
        <f t="shared" si="27"/>
        <v>38.616666662273929</v>
      </c>
      <c r="O84" s="7"/>
      <c r="P84" s="7"/>
      <c r="Q84" s="22"/>
      <c r="R84" s="22"/>
      <c r="S84" s="31">
        <f t="shared" si="30"/>
        <v>1</v>
      </c>
      <c r="T84" s="46" t="str">
        <f t="shared" si="31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2"/>
        <v>https://d0f6bd738d7f1b3e5a7ca70fe4ff75f0.us-east-1.aws.found.io/app/kibana#/discover/Steve-Slow-Train-Analysis-(2080s-and-2083s)?_g=(refreshInterval:(display:Off,pause:!f,section:0,value:0),time:(from:'2017-03-27T12:19:07-0600',mode:absolute,to:'2017-03-27T15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4" s="183" t="str">
        <f t="shared" si="33"/>
        <v>N</v>
      </c>
      <c r="X84" s="183">
        <f t="shared" si="34"/>
        <v>1</v>
      </c>
      <c r="Y84" s="62">
        <f t="shared" si="35"/>
        <v>23.2987</v>
      </c>
      <c r="Z84" s="62">
        <f t="shared" si="36"/>
        <v>1.34E-2</v>
      </c>
      <c r="AA84" s="62">
        <f t="shared" si="37"/>
        <v>23.285299999999999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0172-27</v>
      </c>
      <c r="AE84" s="85" t="str">
        <f t="shared" si="39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84" s="82" t="str">
        <f t="shared" si="40"/>
        <v>"C:\Program Files (x86)\AstroGrep\AstroGrep.exe" /e /r /s /spath="%USERPROFILE%\AppData\Local\Temp\OnboardLogs" /stypes="app*4054*20170327*" /stext=" 20:.+((SYSTEM_STATE.+slice.+state.+changed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172-27 --locoid 4054 --swversion DE.1.0.9.0 --startMP 204:232987 --initTime 2017-03-27T13:19:07 --startdatetime 2017-03-27T13:26:15 --delay 1 --endMP 204:134 --enddatetime 2017-03-27T14:04:52 --enforcementcount 0 &gt;&gt;C:\Users\stu\Documents\GitHub\eaglep3-reporting\EC\2017-03-27-refined-times.txt</v>
      </c>
      <c r="AI84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api","custom_fields":[{"id":1,"name":"Subdivision","value":"EC"},{"id":4,"name":"Milepost","value":"0.0134"},{"id":17,"name":"Train ID","value":"172-27"},{"id":16,"name":"Locomotive ID","value":"4054"},{"id":130,"name":"Impact","value":""},{"id":150,"name":"Time of Event (Mountain Time)","value":"14:04:52"},{"id":151,"name":"Denver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 t="s">
        <v>590</v>
      </c>
      <c r="AK84" s="48"/>
      <c r="AL84" s="48"/>
      <c r="AM84" s="150" t="str">
        <f t="shared" si="44"/>
        <v>start /low /b %USERPROFILE%\Documents\GitHub\eaglep3\Utilities\DownloadLogsFromS3.py --loco 4054 --day 2017-03-27</v>
      </c>
      <c r="AN84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722</v>
      </c>
      <c r="B85" s="7">
        <v>4016</v>
      </c>
      <c r="C85" s="21" t="s">
        <v>218</v>
      </c>
      <c r="D85" s="21" t="s">
        <v>558</v>
      </c>
      <c r="E85" s="13">
        <v>42821.528680555559</v>
      </c>
      <c r="F85" s="13">
        <v>42821.531446759262</v>
      </c>
      <c r="G85" s="7">
        <v>1</v>
      </c>
      <c r="H85" s="21" t="s">
        <v>854</v>
      </c>
      <c r="I85" s="13">
        <v>42821.556145833332</v>
      </c>
      <c r="J85" s="7">
        <v>0</v>
      </c>
      <c r="K85" s="97" t="str">
        <f t="shared" si="28"/>
        <v>4015/4016</v>
      </c>
      <c r="L85" s="21" t="str">
        <f>VLOOKUP(A85,'Trips&amp;Operators'!$C$1:$G$99999,5,FALSE)</f>
        <v>STEWART MICHAEL</v>
      </c>
      <c r="M85" s="6">
        <f t="shared" si="29"/>
        <v>2.4699074070667848E-2</v>
      </c>
      <c r="N85" s="7">
        <f t="shared" si="27"/>
        <v>35.566666661761701</v>
      </c>
      <c r="O85" s="7"/>
      <c r="P85" s="7"/>
      <c r="Q85" s="22"/>
      <c r="R85" s="22"/>
      <c r="S85" s="31">
        <f t="shared" si="30"/>
        <v>1</v>
      </c>
      <c r="T85" s="46" t="str">
        <f t="shared" si="31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2"/>
        <v>https://d0f6bd738d7f1b3e5a7ca70fe4ff75f0.us-east-1.aws.found.io/app/kibana#/discover/Steve-Slow-Train-Analysis-(2080s-and-2083s)?_g=(refreshInterval:(display:Off,pause:!f,section:0,value:0),time:(from:'2017-03-27T11:41:18-0600',mode:absolute,to:'2017-03-27T14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83" t="str">
        <f t="shared" si="33"/>
        <v>N</v>
      </c>
      <c r="X85" s="183">
        <f t="shared" si="34"/>
        <v>1</v>
      </c>
      <c r="Y85" s="62">
        <f t="shared" si="35"/>
        <v>4.7699999999999999E-2</v>
      </c>
      <c r="Z85" s="62">
        <f t="shared" si="36"/>
        <v>23.3276</v>
      </c>
      <c r="AA85" s="62">
        <f t="shared" si="37"/>
        <v>23.279900000000001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0173-27</v>
      </c>
      <c r="AE85" s="85" t="str">
        <f t="shared" si="39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85" s="82" t="str">
        <f t="shared" si="40"/>
        <v>"C:\Program Files (x86)\AstroGrep\AstroGrep.exe" /e /r /s /spath="%USERPROFILE%\AppData\Local\Temp\OnboardLogs" /stypes="app*4016*20170327*" /stext=" 19:.+((SYSTEM_STATE.+slice.+state.+changed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173-27 --locoid 4016 --swversion DE.1.0.9.0 --startMP 204:477 --initTime 2017-03-27T12:41:18 --startdatetime 2017-03-27T12:45:17 --delay 1 --endMP 204:233276 --enddatetime 2017-03-27T13:20:51 --enforcementcount 0 &gt;&gt;C:\Users\stu\Documents\GitHub\eaglep3-reporting\EC\2017-03-27-refined-times.txt</v>
      </c>
      <c r="AI85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api","custom_fields":[{"id":1,"name":"Subdivision","value":"EC"},{"id":4,"name":"Milepost","value":"23.3276"},{"id":17,"name":"Train ID","value":"173-27"},{"id":16,"name":"Locomotive ID","value":"4016"},{"id":130,"name":"Impact","value":""},{"id":150,"name":"Time of Event (Mountain Time)","value":"13:20:51"},{"id":151,"name":"Denver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 t="s">
        <v>590</v>
      </c>
      <c r="AK85" s="48"/>
      <c r="AL85" s="48"/>
      <c r="AM85" s="150" t="str">
        <f t="shared" si="44"/>
        <v>start /low /b %USERPROFILE%\Documents\GitHub\eaglep3\Utilities\DownloadLogsFromS3.py --loco 4016 --day 2017-03-27</v>
      </c>
      <c r="AN85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20" customFormat="1" x14ac:dyDescent="0.25">
      <c r="A86" s="33" t="s">
        <v>615</v>
      </c>
      <c r="B86" s="7">
        <v>4015</v>
      </c>
      <c r="C86" s="21" t="s">
        <v>218</v>
      </c>
      <c r="D86" s="21" t="s">
        <v>464</v>
      </c>
      <c r="E86" s="13">
        <v>42821.566724537035</v>
      </c>
      <c r="F86" s="13">
        <v>42821.570335648146</v>
      </c>
      <c r="G86" s="7">
        <v>2</v>
      </c>
      <c r="H86" s="21" t="s">
        <v>564</v>
      </c>
      <c r="I86" s="13">
        <v>42821.59883101852</v>
      </c>
      <c r="J86" s="7">
        <v>0</v>
      </c>
      <c r="K86" s="97" t="str">
        <f t="shared" si="28"/>
        <v>4015/4016</v>
      </c>
      <c r="L86" s="21" t="str">
        <f>VLOOKUP(A86,'Trips&amp;Operators'!$C$1:$G$99999,5,FALSE)</f>
        <v>STEWART MICHAEL</v>
      </c>
      <c r="M86" s="6">
        <f t="shared" si="29"/>
        <v>2.849537037400296E-2</v>
      </c>
      <c r="N86" s="7">
        <f t="shared" si="27"/>
        <v>41.033333338564262</v>
      </c>
      <c r="O86" s="7"/>
      <c r="P86" s="7"/>
      <c r="Q86" s="22"/>
      <c r="R86" s="22"/>
      <c r="S86" s="31">
        <f t="shared" si="30"/>
        <v>1</v>
      </c>
      <c r="T86" s="46" t="str">
        <f t="shared" si="31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2"/>
        <v>https://d0f6bd738d7f1b3e5a7ca70fe4ff75f0.us-east-1.aws.found.io/app/kibana#/discover/Steve-Slow-Train-Analysis-(2080s-and-2083s)?_g=(refreshInterval:(display:Off,pause:!f,section:0,value:0),time:(from:'2017-03-27T12:36:05-0600',mode:absolute,to:'2017-03-27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83" t="str">
        <f t="shared" si="33"/>
        <v>N</v>
      </c>
      <c r="X86" s="183">
        <f t="shared" si="34"/>
        <v>1</v>
      </c>
      <c r="Y86" s="62">
        <f t="shared" si="35"/>
        <v>23.296900000000001</v>
      </c>
      <c r="Z86" s="62">
        <f t="shared" si="36"/>
        <v>1.9099999999999999E-2</v>
      </c>
      <c r="AA86" s="62">
        <f t="shared" si="37"/>
        <v>23.277799999999999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0174-27</v>
      </c>
      <c r="AE86" s="85" t="str">
        <f t="shared" si="39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86" s="82" t="str">
        <f t="shared" si="40"/>
        <v>"C:\Program Files (x86)\AstroGrep\AstroGrep.exe" /e /r /s /spath="%USERPROFILE%\AppData\Local\Temp\OnboardLogs" /stypes="app*4015*20170327*" /stext=" 20:.+((SYSTEM_STATE.+slice.+state.+changed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174-27 --locoid 4015 --swversion DE.1.0.9.0 --startMP 204:232969 --initTime 2017-03-27T13:36:05 --startdatetime 2017-03-27T13:41:17 --delay 2 --endMP 204:191 --enddatetime 2017-03-27T14:22:19 --enforcementcount 0 &gt;&gt;C:\Users\stu\Documents\GitHub\eaglep3-reporting\EC\2017-03-27-refined-times.txt</v>
      </c>
      <c r="AI86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api","custom_fields":[{"id":1,"name":"Subdivision","value":"EC"},{"id":4,"name":"Milepost","value":"0.0191"},{"id":17,"name":"Train ID","value":"174-27"},{"id":16,"name":"Locomotive ID","value":"4015"},{"id":130,"name":"Impact","value":""},{"id":150,"name":"Time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 t="s">
        <v>590</v>
      </c>
      <c r="AK86" s="48"/>
      <c r="AL86" s="48"/>
      <c r="AM86" s="150" t="str">
        <f t="shared" si="44"/>
        <v>start /low /b %USERPROFILE%\Documents\GitHub\eaglep3\Utilities\DownloadLogsFromS3.py --loco 4015 --day 2017-03-27</v>
      </c>
      <c r="AN86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724</v>
      </c>
      <c r="B87" s="7">
        <v>4014</v>
      </c>
      <c r="C87" s="21" t="s">
        <v>218</v>
      </c>
      <c r="D87" s="21" t="s">
        <v>465</v>
      </c>
      <c r="E87" s="13">
        <v>42821.539085648146</v>
      </c>
      <c r="F87" s="13">
        <v>42821.541863425926</v>
      </c>
      <c r="G87" s="7">
        <v>2</v>
      </c>
      <c r="H87" s="21" t="s">
        <v>559</v>
      </c>
      <c r="I87" s="13">
        <v>42821.567118055558</v>
      </c>
      <c r="J87" s="7">
        <v>0</v>
      </c>
      <c r="K87" s="97" t="str">
        <f t="shared" si="28"/>
        <v>4013/4014</v>
      </c>
      <c r="L87" s="21" t="str">
        <f>VLOOKUP(A87,'Trips&amp;Operators'!$C$1:$G$99999,5,FALSE)</f>
        <v>LALONDE GREGORY</v>
      </c>
      <c r="M87" s="6">
        <f t="shared" si="29"/>
        <v>2.5254629632399883E-2</v>
      </c>
      <c r="N87" s="7">
        <f t="shared" si="27"/>
        <v>36.366666670655832</v>
      </c>
      <c r="O87" s="7"/>
      <c r="P87" s="7"/>
      <c r="Q87" s="22"/>
      <c r="R87" s="22"/>
      <c r="S87" s="31">
        <f t="shared" si="30"/>
        <v>1</v>
      </c>
      <c r="T87" s="46" t="str">
        <f t="shared" si="31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2"/>
        <v>https://d0f6bd738d7f1b3e5a7ca70fe4ff75f0.us-east-1.aws.found.io/app/kibana#/discover/Steve-Slow-Train-Analysis-(2080s-and-2083s)?_g=(refreshInterval:(display:Off,pause:!f,section:0,value:0),time:(from:'2017-03-27T11:56:17-0600',mode:absolute,to:'2017-03-27T14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83" t="str">
        <f t="shared" si="33"/>
        <v>N</v>
      </c>
      <c r="X87" s="183">
        <f t="shared" si="34"/>
        <v>1</v>
      </c>
      <c r="Y87" s="62">
        <f t="shared" si="35"/>
        <v>4.6399999999999997E-2</v>
      </c>
      <c r="Z87" s="62">
        <f t="shared" si="36"/>
        <v>23.337199999999999</v>
      </c>
      <c r="AA87" s="62">
        <f t="shared" si="37"/>
        <v>23.290800000000001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0175-27</v>
      </c>
      <c r="AE87" s="85" t="str">
        <f t="shared" si="39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87" s="82" t="str">
        <f t="shared" si="40"/>
        <v>"C:\Program Files (x86)\AstroGrep\AstroGrep.exe" /e /r /s /spath="%USERPROFILE%\AppData\Local\Temp\OnboardLogs" /stypes="app*4014*20170327*" /stext=" 19:.+((SYSTEM_STATE.+slice.+state.+changed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175-27 --locoid 4014 --swversion DE.1.0.9.0 --startMP 204:464 --initTime 2017-03-27T12:56:17 --startdatetime 2017-03-27T13:00:17 --delay 2 --endMP 204:233372 --enddatetime 2017-03-27T13:36:39 --enforcementcount 0 &gt;&gt;C:\Users\stu\Documents\GitHub\eaglep3-reporting\EC\2017-03-27-refined-times.txt</v>
      </c>
      <c r="AI87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api","custom_fields":[{"id":1,"name":"Subdivision","value":"EC"},{"id":4,"name":"Milepost","value":"23.3372"},{"id":17,"name":"Train ID","value":"175-27"},{"id":16,"name":"Locomotive ID","value":"4014"},{"id":130,"name":"Impact","value":""},{"id":150,"name":"Time of Event (Mountain Time)","value":"13:36:39"},{"id":151,"name":"Denver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 t="s">
        <v>590</v>
      </c>
      <c r="AK87" s="48"/>
      <c r="AL87" s="48"/>
      <c r="AM87" s="150" t="str">
        <f t="shared" si="44"/>
        <v>start /low /b %USERPROFILE%\Documents\GitHub\eaglep3\Utilities\DownloadLogsFromS3.py --loco 4014 --day 2017-03-27</v>
      </c>
      <c r="AN87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731</v>
      </c>
      <c r="B88" s="7">
        <v>4013</v>
      </c>
      <c r="C88" s="21" t="s">
        <v>218</v>
      </c>
      <c r="D88" s="21" t="s">
        <v>855</v>
      </c>
      <c r="E88" s="13">
        <v>42821.569293981483</v>
      </c>
      <c r="F88" s="13">
        <v>42821.580717592595</v>
      </c>
      <c r="G88" s="7">
        <v>1</v>
      </c>
      <c r="H88" s="21" t="s">
        <v>191</v>
      </c>
      <c r="I88" s="13">
        <v>42821.60738425926</v>
      </c>
      <c r="J88" s="7">
        <v>0</v>
      </c>
      <c r="K88" s="97" t="str">
        <f t="shared" si="28"/>
        <v>4013/4014</v>
      </c>
      <c r="L88" s="21" t="str">
        <f>VLOOKUP(A88,'Trips&amp;Operators'!$C$1:$G$99999,5,FALSE)</f>
        <v>LALONDE GREGORY</v>
      </c>
      <c r="M88" s="6">
        <f t="shared" si="29"/>
        <v>2.6666666664823424E-2</v>
      </c>
      <c r="N88" s="7">
        <f t="shared" si="27"/>
        <v>38.399999997345731</v>
      </c>
      <c r="O88" s="7"/>
      <c r="P88" s="7"/>
      <c r="Q88" s="22"/>
      <c r="R88" s="22"/>
      <c r="S88" s="31">
        <f t="shared" si="30"/>
        <v>1</v>
      </c>
      <c r="T88" s="46" t="str">
        <f t="shared" si="31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2"/>
        <v>https://d0f6bd738d7f1b3e5a7ca70fe4ff75f0.us-east-1.aws.found.io/app/kibana#/discover/Steve-Slow-Train-Analysis-(2080s-and-2083s)?_g=(refreshInterval:(display:Off,pause:!f,section:0,value:0),time:(from:'2017-03-27T12:39:47-0600',mode:absolute,to:'2017-03-27T15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83" t="str">
        <f t="shared" si="33"/>
        <v>N</v>
      </c>
      <c r="X88" s="183">
        <f t="shared" si="34"/>
        <v>1</v>
      </c>
      <c r="Y88" s="62">
        <f t="shared" si="35"/>
        <v>23.3062</v>
      </c>
      <c r="Z88" s="62">
        <f t="shared" si="36"/>
        <v>1.4999999999999999E-2</v>
      </c>
      <c r="AA88" s="62">
        <f t="shared" si="37"/>
        <v>23.2912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0176-27</v>
      </c>
      <c r="AE88" s="85" t="str">
        <f t="shared" si="39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88" s="82" t="str">
        <f t="shared" si="40"/>
        <v>"C:\Program Files (x86)\AstroGrep\AstroGrep.exe" /e /r /s /spath="%USERPROFILE%\AppData\Local\Temp\OnboardLogs" /stypes="app*4013*20170327*" /stext=" 20:.+((SYSTEM_STATE.+slice.+state.+changed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 t="shared" si="42"/>
        <v>"%USERPROFILE%\Documents\GitHub\eaglep3\Utilities\RefineRTDCRunTimes.py" --tripid 176-27 --locoid 4013 --swversion DE.1.0.9.0 --startMP 204:233062 --initTime 2017-03-27T13:39:47 --startdatetime 2017-03-27T13:56:14 --delay 1 --endMP 204:150 --enddatetime 2017-03-27T14:34:38 --enforcementcount 0 &gt;&gt;C:\Users\stu\Documents\GitHub\eaglep3-reporting\EC\2017-03-27-refined-times.txt</v>
      </c>
      <c r="AI88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ID","value":"176-27"},{"id":16,"name":"Locomotive ID","value":"4013"},{"id":130,"name":"Impact","value":""},{"id":150,"name":"Time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 t="s">
        <v>590</v>
      </c>
      <c r="AK88" s="48"/>
      <c r="AL88" s="48"/>
      <c r="AM88" s="150" t="str">
        <f t="shared" si="44"/>
        <v>start /low /b %USERPROFILE%\Documents\GitHub\eaglep3\Utilities\DownloadLogsFromS3.py --loco 4013 --day 2017-03-27</v>
      </c>
      <c r="AN88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726</v>
      </c>
      <c r="B89" s="7">
        <v>4003</v>
      </c>
      <c r="C89" s="21" t="s">
        <v>218</v>
      </c>
      <c r="D89" s="21" t="s">
        <v>492</v>
      </c>
      <c r="E89" s="13">
        <v>42821.547164351854</v>
      </c>
      <c r="F89" s="13">
        <v>42821.552245370367</v>
      </c>
      <c r="G89" s="7">
        <v>1</v>
      </c>
      <c r="H89" s="21" t="s">
        <v>384</v>
      </c>
      <c r="I89" s="13">
        <v>42821.577708333331</v>
      </c>
      <c r="J89" s="7">
        <v>0</v>
      </c>
      <c r="K89" s="97" t="str">
        <f t="shared" si="28"/>
        <v>4003/4004</v>
      </c>
      <c r="L89" s="21" t="str">
        <f>VLOOKUP(A89,'Trips&amp;Operators'!$C$1:$G$99999,5,FALSE)</f>
        <v>CLARK KATHLEEN</v>
      </c>
      <c r="M89" s="6">
        <f t="shared" si="29"/>
        <v>2.5462962963501923E-2</v>
      </c>
      <c r="N89" s="7">
        <f t="shared" si="27"/>
        <v>36.666666667442769</v>
      </c>
      <c r="O89" s="7"/>
      <c r="P89" s="7"/>
      <c r="Q89" s="22"/>
      <c r="R89" s="22"/>
      <c r="S89" s="31">
        <f t="shared" si="30"/>
        <v>1</v>
      </c>
      <c r="T89" s="46" t="str">
        <f t="shared" si="31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2"/>
        <v>https://d0f6bd738d7f1b3e5a7ca70fe4ff75f0.us-east-1.aws.found.io/app/kibana#/discover/Steve-Slow-Train-Analysis-(2080s-and-2083s)?_g=(refreshInterval:(display:Off,pause:!f,section:0,value:0),time:(from:'2017-03-27T12:07:55-0600',mode:absolute,to:'2017-03-27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3" t="str">
        <f t="shared" si="33"/>
        <v>N</v>
      </c>
      <c r="X89" s="183">
        <f t="shared" si="34"/>
        <v>1</v>
      </c>
      <c r="Y89" s="62">
        <f t="shared" si="35"/>
        <v>4.8000000000000001E-2</v>
      </c>
      <c r="Z89" s="62">
        <f t="shared" si="36"/>
        <v>23.3293</v>
      </c>
      <c r="AA89" s="62">
        <f t="shared" si="37"/>
        <v>23.281300000000002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0177-27</v>
      </c>
      <c r="AE89" s="85" t="str">
        <f t="shared" si="39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89" s="82" t="str">
        <f t="shared" si="40"/>
        <v>"C:\Program Files (x86)\AstroGrep\AstroGrep.exe" /e /r /s /spath="%USERPROFILE%\AppData\Local\Temp\OnboardLogs" /stypes="app*4003*20170327*" /stext=" 19:.+((SYSTEM_STATE.+slice.+state.+changed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177-27 --locoid 4003 --swversion DE.1.0.9.0 --startMP 204:480 --initTime 2017-03-27T13:07:55 --startdatetime 2017-03-27T13:15:14 --delay 1 --endMP 204:233293 --enddatetime 2017-03-27T13:51:54 --enforcementcount 0 &gt;&gt;C:\Users\stu\Documents\GitHub\eaglep3-reporting\EC\2017-03-27-refined-times.txt</v>
      </c>
      <c r="AI8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api","custom_fields":[{"id":1,"name":"Subdivision","value":"EC"},{"id":4,"name":"Milepost","value":"23.3293"},{"id":17,"name":"Train ID","value":"177-27"},{"id":16,"name":"Locomotive ID","value":"4003"},{"id":130,"name":"Impact","value":""},{"id":150,"name":"Time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 t="s">
        <v>590</v>
      </c>
      <c r="AK89" s="48"/>
      <c r="AL89" s="48"/>
      <c r="AM89" s="150" t="str">
        <f t="shared" si="44"/>
        <v>start /low /b %USERPROFILE%\Documents\GitHub\eaglep3\Utilities\DownloadLogsFromS3.py --loco 4003 --day 2017-03-27</v>
      </c>
      <c r="AN89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3" t="s">
        <v>733</v>
      </c>
      <c r="B90" s="7">
        <v>4004</v>
      </c>
      <c r="C90" s="21" t="s">
        <v>218</v>
      </c>
      <c r="D90" s="21" t="s">
        <v>444</v>
      </c>
      <c r="E90" s="13">
        <v>42821.586354166669</v>
      </c>
      <c r="F90" s="13">
        <v>42821.591134259259</v>
      </c>
      <c r="G90" s="7">
        <v>1</v>
      </c>
      <c r="H90" s="21" t="s">
        <v>856</v>
      </c>
      <c r="I90" s="13">
        <v>42821.619976851849</v>
      </c>
      <c r="J90" s="7">
        <v>0</v>
      </c>
      <c r="K90" s="97" t="str">
        <f t="shared" si="28"/>
        <v>4003/4004</v>
      </c>
      <c r="L90" s="21" t="str">
        <f>VLOOKUP(A90,'Trips&amp;Operators'!$C$1:$G$99999,5,FALSE)</f>
        <v>CLARK KATHLEEN</v>
      </c>
      <c r="M90" s="6">
        <f t="shared" si="29"/>
        <v>2.884259259008104E-2</v>
      </c>
      <c r="N90" s="7">
        <f t="shared" si="27"/>
        <v>41.533333329716697</v>
      </c>
      <c r="O90" s="7"/>
      <c r="P90" s="7"/>
      <c r="Q90" s="22"/>
      <c r="R90" s="22"/>
      <c r="S90" s="31">
        <f t="shared" si="30"/>
        <v>1</v>
      </c>
      <c r="T90" s="46" t="str">
        <f t="shared" si="31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2"/>
        <v>https://d0f6bd738d7f1b3e5a7ca70fe4ff75f0.us-east-1.aws.found.io/app/kibana#/discover/Steve-Slow-Train-Analysis-(2080s-and-2083s)?_g=(refreshInterval:(display:Off,pause:!f,section:0,value:0),time:(from:'2017-03-27T13:04:21-0600',mode:absolute,to:'2017-03-27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83" t="str">
        <f t="shared" si="33"/>
        <v>N</v>
      </c>
      <c r="X90" s="183">
        <f t="shared" ref="X90:X99" si="46">VALUE(LEFT(AD90,4))-VALUE(LEFT(AD89,4))</f>
        <v>1</v>
      </c>
      <c r="Y90" s="62">
        <f t="shared" si="35"/>
        <v>23.297999999999998</v>
      </c>
      <c r="Z90" s="62">
        <f t="shared" si="36"/>
        <v>1.8499999999999999E-2</v>
      </c>
      <c r="AA90" s="62">
        <f t="shared" si="37"/>
        <v>23.279499999999999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0178-27</v>
      </c>
      <c r="AE90" s="85" t="str">
        <f t="shared" si="39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90" s="82" t="str">
        <f t="shared" si="40"/>
        <v>"C:\Program Files (x86)\AstroGrep\AstroGrep.exe" /e /r /s /spath="%USERPROFILE%\AppData\Local\Temp\OnboardLogs" /stypes="app*4004*20170327*"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178-27 --locoid 4004 --swversion DE.1.0.9.0 --startMP 204:232980 --initTime 2017-03-27T14:04:21 --startdatetime 2017-03-27T14:11:14 --delay 1 --endMP 204:185 --enddatetime 2017-03-27T14:52:46 --enforcementcount 0 &gt;&gt;C:\Users\stu\Documents\GitHub\eaglep3-reporting\EC\2017-03-27-refined-times.txt</v>
      </c>
      <c r="AI90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api","custom_fields":[{"id":1,"name":"Subdivision","value":"EC"},{"id":4,"name":"Milepost","value":"0.0185"},{"id":17,"name":"Train ID","value":"178-27"},{"id":16,"name":"Locomotive ID","value":"4004"},{"id":130,"name":"Impact","value":""},{"id":150,"name":"Time of Event (Mountain Time)","value":"14:52:46"},{"id":151,"name":"Denver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 t="s">
        <v>590</v>
      </c>
      <c r="AK90" s="48"/>
      <c r="AL90" s="48"/>
      <c r="AM90" s="150" t="str">
        <f t="shared" si="44"/>
        <v>start /low /b %USERPROFILE%\Documents\GitHub\eaglep3\Utilities\DownloadLogsFromS3.py --loco 4004 --day 2017-03-27</v>
      </c>
      <c r="AN90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729</v>
      </c>
      <c r="B91" s="7">
        <v>4025</v>
      </c>
      <c r="C91" s="21" t="s">
        <v>218</v>
      </c>
      <c r="D91" s="21" t="s">
        <v>551</v>
      </c>
      <c r="E91" s="13">
        <v>42821.558530092596</v>
      </c>
      <c r="F91" s="13">
        <v>42821.562638888892</v>
      </c>
      <c r="G91" s="7">
        <v>1</v>
      </c>
      <c r="H91" s="21" t="s">
        <v>857</v>
      </c>
      <c r="I91" s="13">
        <v>42821.587384259263</v>
      </c>
      <c r="J91" s="7">
        <v>0</v>
      </c>
      <c r="K91" s="97" t="str">
        <f t="shared" si="28"/>
        <v>4025/4026</v>
      </c>
      <c r="L91" s="21" t="str">
        <f>VLOOKUP(A91,'Trips&amp;Operators'!$C$1:$G$99999,5,FALSE)</f>
        <v>WILLIAMS DONTE</v>
      </c>
      <c r="M91" s="6">
        <f t="shared" si="29"/>
        <v>2.47453703705105E-2</v>
      </c>
      <c r="N91" s="7">
        <f t="shared" si="27"/>
        <v>35.63333333353512</v>
      </c>
      <c r="O91" s="7"/>
      <c r="P91" s="7"/>
      <c r="Q91" s="22"/>
      <c r="R91" s="22"/>
      <c r="S91" s="31">
        <f t="shared" si="30"/>
        <v>1</v>
      </c>
      <c r="T91" s="46" t="str">
        <f t="shared" si="31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2"/>
        <v>https://d0f6bd738d7f1b3e5a7ca70fe4ff75f0.us-east-1.aws.found.io/app/kibana#/discover/Steve-Slow-Train-Analysis-(2080s-and-2083s)?_g=(refreshInterval:(display:Off,pause:!f,section:0,value:0),time:(from:'2017-03-27T12:24:17-0600',mode:absolute,to:'2017-03-27T15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3" t="str">
        <f t="shared" si="33"/>
        <v>N</v>
      </c>
      <c r="X91" s="183">
        <f t="shared" si="46"/>
        <v>1</v>
      </c>
      <c r="Y91" s="62">
        <f t="shared" si="35"/>
        <v>4.6899999999999997E-2</v>
      </c>
      <c r="Z91" s="62">
        <f t="shared" si="36"/>
        <v>23.337</v>
      </c>
      <c r="AA91" s="62">
        <f t="shared" si="37"/>
        <v>23.290099999999999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0179-27</v>
      </c>
      <c r="AE91" s="85" t="str">
        <f t="shared" si="39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91" s="82" t="str">
        <f t="shared" si="40"/>
        <v>"C:\Program Files (x86)\AstroGrep\AstroGrep.exe" /e /r /s /spath="%USERPROFILE%\AppData\Local\Temp\OnboardLogs" /stypes="app*4025*20170327*"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179-27 --locoid 4025 --swversion DE.1.0.9.0 --startMP 204:469 --initTime 2017-03-27T13:24:17 --startdatetime 2017-03-27T13:30:12 --delay 1 --endMP 204:233370 --enddatetime 2017-03-27T14:05:50 --enforcementcount 0 &gt;&gt;C:\Users\stu\Documents\GitHub\eaglep3-reporting\EC\2017-03-27-refined-times.txt</v>
      </c>
      <c r="AI91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api","custom_fields":[{"id":1,"name":"Subdivision","value":"EC"},{"id":4,"name":"Milepost","value":"23.337"},{"id":17,"name":"Train ID","value":"179-27"},{"id":16,"name":"Locomotive ID","value":"4025"},{"id":130,"name":"Impact","value":""},{"id":150,"name":"Time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 t="s">
        <v>590</v>
      </c>
      <c r="AK91" s="48"/>
      <c r="AL91" s="48"/>
      <c r="AM91" s="150" t="str">
        <f t="shared" si="44"/>
        <v>start /low /b %USERPROFILE%\Documents\GitHub\eaglep3\Utilities\DownloadLogsFromS3.py --loco 4025 --day 2017-03-27</v>
      </c>
      <c r="AN91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735</v>
      </c>
      <c r="B92" s="7">
        <v>4026</v>
      </c>
      <c r="C92" s="21" t="s">
        <v>218</v>
      </c>
      <c r="D92" s="21" t="s">
        <v>858</v>
      </c>
      <c r="E92" s="13">
        <v>42821.59579861111</v>
      </c>
      <c r="F92" s="13">
        <v>42821.603090277778</v>
      </c>
      <c r="G92" s="7">
        <v>1</v>
      </c>
      <c r="H92" s="21" t="s">
        <v>563</v>
      </c>
      <c r="I92" s="13">
        <v>42821.630162037036</v>
      </c>
      <c r="J92" s="7">
        <v>0</v>
      </c>
      <c r="K92" s="97" t="str">
        <f t="shared" si="28"/>
        <v>4025/4026</v>
      </c>
      <c r="L92" s="21" t="str">
        <f>VLOOKUP(A92,'Trips&amp;Operators'!$C$1:$G$99999,5,FALSE)</f>
        <v>WILLIAMS DONTE</v>
      </c>
      <c r="M92" s="6">
        <f t="shared" si="29"/>
        <v>2.7071759257523809E-2</v>
      </c>
      <c r="N92" s="7">
        <f t="shared" si="27"/>
        <v>38.983333330834284</v>
      </c>
      <c r="O92" s="7"/>
      <c r="P92" s="7"/>
      <c r="Q92" s="22"/>
      <c r="R92" s="22"/>
      <c r="S92" s="31">
        <f t="shared" si="30"/>
        <v>1</v>
      </c>
      <c r="T92" s="46" t="str">
        <f t="shared" si="31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2"/>
        <v>https://d0f6bd738d7f1b3e5a7ca70fe4ff75f0.us-east-1.aws.found.io/app/kibana#/discover/Steve-Slow-Train-Analysis-(2080s-and-2083s)?_g=(refreshInterval:(display:Off,pause:!f,section:0,value:0),time:(from:'2017-03-27T13:17:57-0600',mode:absolute,to:'2017-03-27T16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83" t="str">
        <f t="shared" si="33"/>
        <v>N</v>
      </c>
      <c r="X92" s="183">
        <f t="shared" si="46"/>
        <v>1</v>
      </c>
      <c r="Y92" s="62">
        <f t="shared" si="35"/>
        <v>23.305099999999999</v>
      </c>
      <c r="Z92" s="62">
        <f t="shared" si="36"/>
        <v>1.32E-2</v>
      </c>
      <c r="AA92" s="62">
        <f t="shared" si="37"/>
        <v>23.291899999999998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0180-27</v>
      </c>
      <c r="AE92" s="85" t="str">
        <f t="shared" si="39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92" s="82" t="str">
        <f t="shared" si="40"/>
        <v>"C:\Program Files (x86)\AstroGrep\AstroGrep.exe" /e /r /s /spath="%USERPROFILE%\AppData\Local\Temp\OnboardLogs" /stypes="app*4026*20170327*" /stext=" 21:.+((SYSTEM_STATE.+slice.+state.+changed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180-27 --locoid 4026 --swversion DE.1.0.9.0 --startMP 204:233051 --initTime 2017-03-27T14:17:57 --startdatetime 2017-03-27T14:28:27 --delay 1 --endMP 204:132 --enddatetime 2017-03-27T15:07:26 --enforcementcount 0 &gt;&gt;C:\Users\stu\Documents\GitHub\eaglep3-reporting\EC\2017-03-27-refined-times.txt</v>
      </c>
      <c r="AI9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api","custom_fields":[{"id":1,"name":"Subdivision","value":"EC"},{"id":4,"name":"Milepost","value":"0.0132"},{"id":17,"name":"Train ID","value":"180-27"},{"id":16,"name":"Locomotive ID","value":"4026"},{"id":130,"name":"Impact","value":""},{"id":150,"name":"Time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 t="s">
        <v>590</v>
      </c>
      <c r="AK92" s="48"/>
      <c r="AL92" s="48"/>
      <c r="AM92" s="150" t="str">
        <f t="shared" si="44"/>
        <v>start /low /b %USERPROFILE%\Documents\GitHub\eaglep3\Utilities\DownloadLogsFromS3.py --loco 4026 --day 2017-03-27</v>
      </c>
      <c r="AN92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616</v>
      </c>
      <c r="B93" s="7">
        <v>4051</v>
      </c>
      <c r="C93" s="21" t="s">
        <v>218</v>
      </c>
      <c r="D93" s="21" t="s">
        <v>859</v>
      </c>
      <c r="E93" s="13">
        <v>42821.569548611114</v>
      </c>
      <c r="F93" s="13">
        <v>42821.574965277781</v>
      </c>
      <c r="G93" s="7">
        <v>1</v>
      </c>
      <c r="H93" s="21" t="s">
        <v>860</v>
      </c>
      <c r="I93" s="13">
        <v>42821.599895833337</v>
      </c>
      <c r="J93" s="7">
        <v>0</v>
      </c>
      <c r="K93" s="97" t="str">
        <f t="shared" si="28"/>
        <v>4051/4052</v>
      </c>
      <c r="L93" s="21" t="str">
        <f>VLOOKUP(A93,'Trips&amp;Operators'!$C$1:$G$99999,5,FALSE)</f>
        <v>LOCKLEAR TRAVIS</v>
      </c>
      <c r="M93" s="6">
        <f t="shared" si="29"/>
        <v>2.4930555555329192E-2</v>
      </c>
      <c r="N93" s="7">
        <f t="shared" si="27"/>
        <v>35.899999999674037</v>
      </c>
      <c r="O93" s="7"/>
      <c r="P93" s="7"/>
      <c r="Q93" s="22"/>
      <c r="R93" s="22"/>
      <c r="S93" s="31">
        <f t="shared" si="30"/>
        <v>1</v>
      </c>
      <c r="T93" s="46" t="str">
        <f t="shared" si="31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2"/>
        <v>https://d0f6bd738d7f1b3e5a7ca70fe4ff75f0.us-east-1.aws.found.io/app/kibana#/discover/Steve-Slow-Train-Analysis-(2080s-and-2083s)?_g=(refreshInterval:(display:Off,pause:!f,section:0,value:0),time:(from:'2017-03-27T12:40:09-0600',mode:absolute,to:'2017-03-27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3" s="183" t="str">
        <f t="shared" si="33"/>
        <v>N</v>
      </c>
      <c r="X93" s="183">
        <f t="shared" si="46"/>
        <v>1</v>
      </c>
      <c r="Y93" s="62">
        <f t="shared" si="35"/>
        <v>4.82E-2</v>
      </c>
      <c r="Z93" s="62">
        <f t="shared" si="36"/>
        <v>23.335899999999999</v>
      </c>
      <c r="AA93" s="62">
        <f t="shared" si="37"/>
        <v>23.287699999999997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0181-27</v>
      </c>
      <c r="AE93" s="85" t="str">
        <f t="shared" si="39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93" s="82" t="str">
        <f t="shared" si="40"/>
        <v>"C:\Program Files (x86)\AstroGrep\AstroGrep.exe" /e /r /s /spath="%USERPROFILE%\AppData\Local\Temp\OnboardLogs" /stypes="app*4051*20170327*" /stext=" 20:.+((SYSTEM_STATE.+slice.+state.+changed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181-27 --locoid 4051 --swversion DE.1.0.9.0 --startMP 204:482 --initTime 2017-03-27T13:40:09 --startdatetime 2017-03-27T13:47:57 --delay 1 --endMP 204:233359 --enddatetime 2017-03-27T14:23:51 --enforcementcount 0 &gt;&gt;C:\Users\stu\Documents\GitHub\eaglep3-reporting\EC\2017-03-27-refined-times.txt</v>
      </c>
      <c r="AI93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api","custom_fields":[{"id":1,"name":"Subdivision","value":"EC"},{"id":4,"name":"Milepost","value":"23.3359"},{"id":17,"name":"Train ID","value":"181-27"},{"id":16,"name":"Locomotive ID","value":"4051"},{"id":130,"name":"Impact","value":""},{"id":150,"name":"Time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 t="s">
        <v>590</v>
      </c>
      <c r="AK93" s="48"/>
      <c r="AL93" s="48"/>
      <c r="AM93" s="150" t="str">
        <f t="shared" si="44"/>
        <v>start /low /b %USERPROFILE%\Documents\GitHub\eaglep3\Utilities\DownloadLogsFromS3.py --loco 4051 --day 2017-03-27</v>
      </c>
      <c r="AN93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617</v>
      </c>
      <c r="B94" s="7">
        <v>4052</v>
      </c>
      <c r="C94" s="21" t="s">
        <v>218</v>
      </c>
      <c r="D94" s="21" t="s">
        <v>861</v>
      </c>
      <c r="E94" s="13">
        <v>42821.610243055555</v>
      </c>
      <c r="F94" s="13">
        <v>42821.612187500003</v>
      </c>
      <c r="G94" s="7">
        <v>1</v>
      </c>
      <c r="H94" s="21" t="s">
        <v>205</v>
      </c>
      <c r="I94" s="13">
        <v>42821.638842592591</v>
      </c>
      <c r="J94" s="7">
        <v>0</v>
      </c>
      <c r="K94" s="97" t="str">
        <f t="shared" si="28"/>
        <v>4051/4052</v>
      </c>
      <c r="L94" s="21" t="str">
        <f>VLOOKUP(A94,'Trips&amp;Operators'!$C$1:$G$99999,5,FALSE)</f>
        <v>LOCKLEAR TRAVIS</v>
      </c>
      <c r="M94" s="6">
        <f t="shared" si="29"/>
        <v>2.6655092588043772E-2</v>
      </c>
      <c r="N94" s="7">
        <f t="shared" si="27"/>
        <v>38.383333326783031</v>
      </c>
      <c r="O94" s="7"/>
      <c r="P94" s="7"/>
      <c r="Q94" s="22"/>
      <c r="R94" s="22"/>
      <c r="S94" s="31">
        <f t="shared" si="30"/>
        <v>1</v>
      </c>
      <c r="T94" s="46" t="str">
        <f t="shared" si="31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2"/>
        <v>https://d0f6bd738d7f1b3e5a7ca70fe4ff75f0.us-east-1.aws.found.io/app/kibana#/discover/Steve-Slow-Train-Analysis-(2080s-and-2083s)?_g=(refreshInterval:(display:Off,pause:!f,section:0,value:0),time:(from:'2017-03-27T13:38:45-0600',mode:absolute,to:'2017-03-27T16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4" s="183" t="str">
        <f t="shared" si="33"/>
        <v>N</v>
      </c>
      <c r="X94" s="183">
        <f t="shared" si="46"/>
        <v>1</v>
      </c>
      <c r="Y94" s="62">
        <f t="shared" si="35"/>
        <v>23.3049</v>
      </c>
      <c r="Z94" s="62">
        <f t="shared" si="36"/>
        <v>1.54E-2</v>
      </c>
      <c r="AA94" s="62">
        <f t="shared" si="37"/>
        <v>23.2895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0182-27</v>
      </c>
      <c r="AE94" s="85" t="str">
        <f t="shared" si="39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94" s="82" t="str">
        <f t="shared" si="40"/>
        <v>"C:\Program Files (x86)\AstroGrep\AstroGrep.exe" /e /r /s /spath="%USERPROFILE%\AppData\Local\Temp\OnboardLogs" /stypes="app*4052*20170327*" /stext=" 21:.+((SYSTEM_STATE.+slice.+state.+changed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182-27 --locoid 4052 --swversion DE.1.0.9.0 --startMP 204:233049 --initTime 2017-03-27T14:38:45 --startdatetime 2017-03-27T14:41:33 --delay 1 --endMP 204:154 --enddatetime 2017-03-27T15:19:56 --enforcementcount 0 &gt;&gt;C:\Users\stu\Documents\GitHub\eaglep3-reporting\EC\2017-03-27-refined-times.txt</v>
      </c>
      <c r="AI94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api","custom_fields":[{"id":1,"name":"Subdivision","value":"EC"},{"id":4,"name":"Milepost","value":"0.0154"},{"id":17,"name":"Train ID","value":"182-27"},{"id":16,"name":"Locomotive ID","value":"4052"},{"id":130,"name":"Impact","value":""},{"id":150,"name":"Time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 t="s">
        <v>590</v>
      </c>
      <c r="AK94" s="48"/>
      <c r="AL94" s="48"/>
      <c r="AM94" s="150" t="str">
        <f t="shared" si="44"/>
        <v>start /low /b %USERPROFILE%\Documents\GitHub\eaglep3\Utilities\DownloadLogsFromS3.py --loco 4052 --day 2017-03-27</v>
      </c>
      <c r="AN94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732</v>
      </c>
      <c r="B95" s="7">
        <v>4040</v>
      </c>
      <c r="C95" s="21" t="s">
        <v>218</v>
      </c>
      <c r="D95" s="21" t="s">
        <v>862</v>
      </c>
      <c r="E95" s="13">
        <v>42821.578738425924</v>
      </c>
      <c r="F95" s="13">
        <v>42821.583518518521</v>
      </c>
      <c r="G95" s="7">
        <v>1</v>
      </c>
      <c r="H95" s="21" t="s">
        <v>547</v>
      </c>
      <c r="I95" s="13">
        <v>42821.611076388886</v>
      </c>
      <c r="J95" s="7">
        <v>0</v>
      </c>
      <c r="K95" s="97" t="str">
        <f t="shared" si="28"/>
        <v>4039/4040</v>
      </c>
      <c r="L95" s="21" t="str">
        <f>VLOOKUP(A95,'Trips&amp;Operators'!$C$1:$G$99999,5,FALSE)</f>
        <v>LEVERE CRAIG</v>
      </c>
      <c r="M95" s="6">
        <f t="shared" si="29"/>
        <v>2.7557870365853887E-2</v>
      </c>
      <c r="N95" s="7">
        <f t="shared" si="27"/>
        <v>39.683333326829597</v>
      </c>
      <c r="O95" s="7"/>
      <c r="P95" s="7"/>
      <c r="Q95" s="22"/>
      <c r="R95" s="22"/>
      <c r="S95" s="31">
        <f t="shared" si="30"/>
        <v>1</v>
      </c>
      <c r="T95" s="46" t="str">
        <f t="shared" si="31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2"/>
        <v>https://d0f6bd738d7f1b3e5a7ca70fe4ff75f0.us-east-1.aws.found.io/app/kibana#/discover/Steve-Slow-Train-Analysis-(2080s-and-2083s)?_g=(refreshInterval:(display:Off,pause:!f,section:0,value:0),time:(from:'2017-03-27T12:53:23-0600',mode:absolute,to:'2017-03-27T15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83" t="str">
        <f t="shared" si="33"/>
        <v>N</v>
      </c>
      <c r="X95" s="183">
        <f t="shared" si="46"/>
        <v>1</v>
      </c>
      <c r="Y95" s="62">
        <f t="shared" si="35"/>
        <v>4.6199999999999998E-2</v>
      </c>
      <c r="Z95" s="62">
        <f t="shared" si="36"/>
        <v>23.331499999999998</v>
      </c>
      <c r="AA95" s="62">
        <f t="shared" si="37"/>
        <v>23.285299999999999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0183-27</v>
      </c>
      <c r="AE95" s="85" t="str">
        <f t="shared" si="39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95" s="82" t="str">
        <f t="shared" si="40"/>
        <v>"C:\Program Files (x86)\AstroGrep\AstroGrep.exe" /e /r /s /spath="%USERPROFILE%\AppData\Local\Temp\OnboardLogs" /stypes="app*4040*20170327*" /stext=" 20:.+((SYSTEM_STATE.+slice.+state.+changed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183-27 --locoid 4040 --swversion DE.1.0.9.0 --startMP 204:462 --initTime 2017-03-27T13:53:23 --startdatetime 2017-03-27T14:00:16 --delay 1 --endMP 204:233315 --enddatetime 2017-03-27T14:39:57 --enforcementcount 0 &gt;&gt;C:\Users\stu\Documents\GitHub\eaglep3-reporting\EC\2017-03-27-refined-times.txt</v>
      </c>
      <c r="AI95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api","custom_fields":[{"id":1,"name":"Subdivision","value":"EC"},{"id":4,"name":"Milepost","value":"23.3315"},{"id":17,"name":"Train ID","value":"183-27"},{"id":16,"name":"Locomotive ID","value":"4040"},{"id":130,"name":"Impact","value":""},{"id":150,"name":"Time of Event (Mountain Time)","value":"14:39:57"},{"id":151,"name":"Denver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 t="s">
        <v>590</v>
      </c>
      <c r="AK95" s="48"/>
      <c r="AL95" s="48"/>
      <c r="AM95" s="150" t="str">
        <f t="shared" si="44"/>
        <v>start /low /b %USERPROFILE%\Documents\GitHub\eaglep3\Utilities\DownloadLogsFromS3.py --loco 4040 --day 2017-03-27</v>
      </c>
      <c r="AN95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3" t="s">
        <v>740</v>
      </c>
      <c r="B96" s="7">
        <v>4039</v>
      </c>
      <c r="C96" s="21" t="s">
        <v>218</v>
      </c>
      <c r="D96" s="21" t="s">
        <v>470</v>
      </c>
      <c r="E96" s="13">
        <v>42821.617534722223</v>
      </c>
      <c r="F96" s="13">
        <v>42821.622777777775</v>
      </c>
      <c r="G96" s="7">
        <v>1</v>
      </c>
      <c r="H96" s="21" t="s">
        <v>408</v>
      </c>
      <c r="I96" s="13">
        <v>42821.651134259257</v>
      </c>
      <c r="J96" s="7">
        <v>0</v>
      </c>
      <c r="K96" s="97" t="str">
        <f t="shared" si="28"/>
        <v>4039/4040</v>
      </c>
      <c r="L96" s="21" t="str">
        <f>VLOOKUP(A96,'Trips&amp;Operators'!$C$1:$G$99999,5,FALSE)</f>
        <v>LEVERE CRAIG</v>
      </c>
      <c r="M96" s="6">
        <f t="shared" si="29"/>
        <v>2.8356481481750961E-2</v>
      </c>
      <c r="N96" s="7">
        <f t="shared" si="27"/>
        <v>40.833333333721384</v>
      </c>
      <c r="O96" s="7"/>
      <c r="P96" s="7"/>
      <c r="Q96" s="22"/>
      <c r="R96" s="22"/>
      <c r="S96" s="31">
        <f t="shared" si="30"/>
        <v>1</v>
      </c>
      <c r="T96" s="46" t="str">
        <f t="shared" si="31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2"/>
        <v>https://d0f6bd738d7f1b3e5a7ca70fe4ff75f0.us-east-1.aws.found.io/app/kibana#/discover/Steve-Slow-Train-Analysis-(2080s-and-2083s)?_g=(refreshInterval:(display:Off,pause:!f,section:0,value:0),time:(from:'2017-03-27T13:49:15-0600',mode:absolute,to:'2017-03-27T16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83" t="str">
        <f t="shared" si="33"/>
        <v>N</v>
      </c>
      <c r="X96" s="183">
        <f t="shared" si="46"/>
        <v>1</v>
      </c>
      <c r="Y96" s="62">
        <f t="shared" si="35"/>
        <v>23.299399999999999</v>
      </c>
      <c r="Z96" s="62">
        <f t="shared" si="36"/>
        <v>1.6E-2</v>
      </c>
      <c r="AA96" s="62">
        <f t="shared" si="37"/>
        <v>23.2834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0184-27</v>
      </c>
      <c r="AE96" s="85" t="str">
        <f t="shared" si="39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96" s="82" t="str">
        <f t="shared" si="40"/>
        <v>"C:\Program Files (x86)\AstroGrep\AstroGrep.exe" /e /r /s /spath="%USERPROFILE%\AppData\Local\Temp\OnboardLogs" /stypes="app*4039*20170327*" /stext=" 21:.+((SYSTEM_STATE.+slice.+state.+changed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184-27 --locoid 4039 --swversion DE.1.0.9.0 --startMP 204:232994 --initTime 2017-03-27T14:49:15 --startdatetime 2017-03-27T14:56:48 --delay 1 --endMP 204:160 --enddatetime 2017-03-27T15:37:38 --enforcementcount 0 &gt;&gt;C:\Users\stu\Documents\GitHub\eaglep3-reporting\EC\2017-03-27-refined-times.txt</v>
      </c>
      <c r="AI96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api","custom_fields":[{"id":1,"name":"Subdivision","value":"EC"},{"id":4,"name":"Milepost","value":"0.016"},{"id":17,"name":"Train ID","value":"184-27"},{"id":16,"name":"Locomotive ID","value":"4039"},{"id":130,"name":"Impact","value":""},{"id":150,"name":"Time of Event (Mountain Time)","value":"15:37:38"},{"id":151,"name":"Denver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 t="s">
        <v>590</v>
      </c>
      <c r="AK96" s="48"/>
      <c r="AL96" s="48"/>
      <c r="AM96" s="150" t="str">
        <f t="shared" si="44"/>
        <v>start /low /b %USERPROFILE%\Documents\GitHub\eaglep3\Utilities\DownloadLogsFromS3.py --loco 4039 --day 2017-03-27</v>
      </c>
      <c r="AN96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3" t="s">
        <v>734</v>
      </c>
      <c r="B97" s="7">
        <v>4053</v>
      </c>
      <c r="C97" s="21" t="s">
        <v>218</v>
      </c>
      <c r="D97" s="21" t="s">
        <v>208</v>
      </c>
      <c r="E97" s="13">
        <v>42821.589826388888</v>
      </c>
      <c r="F97" s="13">
        <v>42821.593935185185</v>
      </c>
      <c r="G97" s="7">
        <v>1</v>
      </c>
      <c r="H97" s="21" t="s">
        <v>575</v>
      </c>
      <c r="I97" s="13">
        <v>42821.620289351849</v>
      </c>
      <c r="J97" s="7">
        <v>0</v>
      </c>
      <c r="K97" s="97" t="str">
        <f t="shared" si="28"/>
        <v>4053/4054</v>
      </c>
      <c r="L97" s="21" t="str">
        <f>VLOOKUP(A97,'Trips&amp;Operators'!$C$1:$G$99999,5,FALSE)</f>
        <v>BRANDNER MELINDA</v>
      </c>
      <c r="M97" s="6">
        <f t="shared" si="29"/>
        <v>2.6354166664532386E-2</v>
      </c>
      <c r="N97" s="7">
        <f t="shared" si="27"/>
        <v>37.949999996926636</v>
      </c>
      <c r="O97" s="7"/>
      <c r="P97" s="7"/>
      <c r="Q97" s="22"/>
      <c r="R97" s="22"/>
      <c r="S97" s="31">
        <f t="shared" si="30"/>
        <v>1</v>
      </c>
      <c r="T97" s="46" t="str">
        <f t="shared" si="31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2"/>
        <v>https://d0f6bd738d7f1b3e5a7ca70fe4ff75f0.us-east-1.aws.found.io/app/kibana#/discover/Steve-Slow-Train-Analysis-(2080s-and-2083s)?_g=(refreshInterval:(display:Off,pause:!f,section:0,value:0),time:(from:'2017-03-27T13:09:21-0600',mode:absolute,to:'2017-03-27T15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3" t="str">
        <f t="shared" si="33"/>
        <v>N</v>
      </c>
      <c r="X97" s="183">
        <f t="shared" si="46"/>
        <v>1</v>
      </c>
      <c r="Y97" s="62">
        <f t="shared" si="35"/>
        <v>4.5999999999999999E-2</v>
      </c>
      <c r="Z97" s="62">
        <f t="shared" si="36"/>
        <v>23.331099999999999</v>
      </c>
      <c r="AA97" s="62">
        <f t="shared" si="37"/>
        <v>23.2851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0185-27</v>
      </c>
      <c r="AE97" s="85" t="str">
        <f t="shared" si="39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97" s="82" t="str">
        <f t="shared" si="40"/>
        <v>"C:\Program Files (x86)\AstroGrep\AstroGrep.exe" /e /r /s /spath="%USERPROFILE%\AppData\Local\Temp\OnboardLogs" /stypes="app*4053*20170327*" /stext=" 20:.+((SYSTEM_STATE.+slice.+state.+changed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185-27 --locoid 4053 --swversion DE.1.0.9.0 --startMP 204:460 --initTime 2017-03-27T14:09:21 --startdatetime 2017-03-27T14:15:16 --delay 1 --endMP 204:233311 --enddatetime 2017-03-27T14:53:13 --enforcementcount 0 &gt;&gt;C:\Users\stu\Documents\GitHub\eaglep3-reporting\EC\2017-03-27-refined-times.txt</v>
      </c>
      <c r="AI97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api","custom_fields":[{"id":1,"name":"Subdivision","value":"EC"},{"id":4,"name":"Milepost","value":"23.3311"},{"id":17,"name":"Train ID","value":"185-27"},{"id":16,"name":"Locomotive ID","value":"4053"},{"id":130,"name":"Impact","value":""},{"id":150,"name":"Time of Event (Mountain Time)","value":"14:53:13"},{"id":151,"name":"Denver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 t="s">
        <v>590</v>
      </c>
      <c r="AK97" s="48"/>
      <c r="AL97" s="48"/>
      <c r="AM97" s="150" t="str">
        <f t="shared" si="44"/>
        <v>start /low /b %USERPROFILE%\Documents\GitHub\eaglep3\Utilities\DownloadLogsFromS3.py --loco 4053 --day 2017-03-27</v>
      </c>
      <c r="AN97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619</v>
      </c>
      <c r="B98" s="7">
        <v>4054</v>
      </c>
      <c r="C98" s="21" t="s">
        <v>218</v>
      </c>
      <c r="D98" s="21" t="s">
        <v>493</v>
      </c>
      <c r="E98" s="13">
        <v>42821.626631944448</v>
      </c>
      <c r="F98" s="13">
        <v>42821.632916666669</v>
      </c>
      <c r="G98" s="7">
        <v>1</v>
      </c>
      <c r="H98" s="21" t="s">
        <v>394</v>
      </c>
      <c r="I98" s="13">
        <v>42821.661620370367</v>
      </c>
      <c r="J98" s="7">
        <v>0</v>
      </c>
      <c r="K98" s="97" t="str">
        <f t="shared" si="28"/>
        <v>4053/4054</v>
      </c>
      <c r="L98" s="21" t="str">
        <f>VLOOKUP(A98,'Trips&amp;Operators'!$C$1:$G$99999,5,FALSE)</f>
        <v>BRANDNER MELINDA</v>
      </c>
      <c r="M98" s="6">
        <f t="shared" si="29"/>
        <v>2.8703703697829042E-2</v>
      </c>
      <c r="N98" s="7">
        <f t="shared" si="27"/>
        <v>41.33333332487382</v>
      </c>
      <c r="O98" s="7"/>
      <c r="P98" s="7"/>
      <c r="Q98" s="22"/>
      <c r="R98" s="22"/>
      <c r="S98" s="31">
        <f t="shared" si="30"/>
        <v>1</v>
      </c>
      <c r="T98" s="46" t="str">
        <f t="shared" si="31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2"/>
        <v>https://d0f6bd738d7f1b3e5a7ca70fe4ff75f0.us-east-1.aws.found.io/app/kibana#/discover/Steve-Slow-Train-Analysis-(2080s-and-2083s)?_g=(refreshInterval:(display:Off,pause:!f,section:0,value:0),time:(from:'2017-03-27T14:02:21-0600',mode:absolute,to:'2017-03-27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8" s="183" t="str">
        <f t="shared" si="33"/>
        <v>N</v>
      </c>
      <c r="X98" s="183">
        <f t="shared" si="46"/>
        <v>1</v>
      </c>
      <c r="Y98" s="62">
        <f t="shared" si="35"/>
        <v>23.2986</v>
      </c>
      <c r="Z98" s="62">
        <f t="shared" si="36"/>
        <v>1.43E-2</v>
      </c>
      <c r="AA98" s="62">
        <f t="shared" si="37"/>
        <v>23.284300000000002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0186-27</v>
      </c>
      <c r="AE98" s="85" t="str">
        <f t="shared" si="39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98" s="82" t="str">
        <f t="shared" si="40"/>
        <v>"C:\Program Files (x86)\AstroGrep\AstroGrep.exe" /e /r /s /spath="%USERPROFILE%\AppData\Local\Temp\OnboardLogs" /stypes="app*4054*20170327*" /stext=" 21:.+((SYSTEM_STATE.+slice.+state.+changed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186-27 --locoid 4054 --swversion DE.1.0.9.0 --startMP 204:232986 --initTime 2017-03-27T15:02:21 --startdatetime 2017-03-27T15:11:24 --delay 1 --endMP 204:143 --enddatetime 2017-03-27T15:52:44 --enforcementcount 0 &gt;&gt;C:\Users\stu\Documents\GitHub\eaglep3-reporting\EC\2017-03-27-refined-times.txt</v>
      </c>
      <c r="AI98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api","custom_fields":[{"id":1,"name":"Subdivision","value":"EC"},{"id":4,"name":"Milepost","value":"0.0143"},{"id":17,"name":"Train ID","value":"186-27"},{"id":16,"name":"Locomotive ID","value":"4054"},{"id":130,"name":"Impact","value":""},{"id":150,"name":"Time of Event (Mountain Time)","value":"15:52:44"},{"id":151,"name":"Denver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 t="s">
        <v>590</v>
      </c>
      <c r="AK98" s="48"/>
      <c r="AL98" s="48"/>
      <c r="AM98" s="150" t="str">
        <f t="shared" si="44"/>
        <v>start /low /b %USERPROFILE%\Documents\GitHub\eaglep3\Utilities\DownloadLogsFromS3.py --loco 4054 --day 2017-03-27</v>
      </c>
      <c r="AN98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737</v>
      </c>
      <c r="B99" s="7">
        <v>4016</v>
      </c>
      <c r="C99" s="21" t="s">
        <v>218</v>
      </c>
      <c r="D99" s="21" t="s">
        <v>572</v>
      </c>
      <c r="E99" s="13">
        <v>42821.601157407407</v>
      </c>
      <c r="F99" s="13">
        <v>42821.604432870372</v>
      </c>
      <c r="G99" s="7">
        <v>1</v>
      </c>
      <c r="H99" s="21" t="s">
        <v>478</v>
      </c>
      <c r="I99" s="13">
        <v>42821.629629629628</v>
      </c>
      <c r="J99" s="7">
        <v>0</v>
      </c>
      <c r="K99" s="97" t="str">
        <f t="shared" si="28"/>
        <v>4015/4016</v>
      </c>
      <c r="L99" s="21" t="str">
        <f>VLOOKUP(A99,'Trips&amp;Operators'!$C$1:$G$99999,5,FALSE)</f>
        <v>STEWART MICHAEL</v>
      </c>
      <c r="M99" s="6">
        <f t="shared" si="29"/>
        <v>2.5196759255777579E-2</v>
      </c>
      <c r="N99" s="7">
        <f t="shared" si="27"/>
        <v>36.283333328319713</v>
      </c>
      <c r="O99" s="7"/>
      <c r="P99" s="7"/>
      <c r="Q99" s="22"/>
      <c r="R99" s="22"/>
      <c r="S99" s="31">
        <f t="shared" si="30"/>
        <v>1</v>
      </c>
      <c r="T99" s="46" t="str">
        <f t="shared" si="31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2"/>
        <v>https://d0f6bd738d7f1b3e5a7ca70fe4ff75f0.us-east-1.aws.found.io/app/kibana#/discover/Steve-Slow-Train-Analysis-(2080s-and-2083s)?_g=(refreshInterval:(display:Off,pause:!f,section:0,value:0),time:(from:'2017-03-27T13:25:40-0600',mode:absolute,to:'2017-03-27T16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83" t="str">
        <f t="shared" si="33"/>
        <v>N</v>
      </c>
      <c r="X99" s="183">
        <f t="shared" si="46"/>
        <v>1</v>
      </c>
      <c r="Y99" s="62">
        <f t="shared" si="35"/>
        <v>4.9700000000000001E-2</v>
      </c>
      <c r="Z99" s="62">
        <f t="shared" si="36"/>
        <v>23.328900000000001</v>
      </c>
      <c r="AA99" s="62">
        <f t="shared" si="37"/>
        <v>23.279199999999999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0187-27</v>
      </c>
      <c r="AE99" s="85" t="str">
        <f t="shared" si="39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99" s="82" t="str">
        <f t="shared" si="40"/>
        <v>"C:\Program Files (x86)\AstroGrep\AstroGrep.exe" /e /r /s /spath="%USERPROFILE%\AppData\Local\Temp\OnboardLogs" /stypes="app*4016*20170327*"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187-27 --locoid 4016 --swversion DE.1.0.9.0 --startMP 204:497 --initTime 2017-03-27T14:25:40 --startdatetime 2017-03-27T14:30:23 --delay 1 --endMP 204:233289 --enddatetime 2017-03-27T15:06:40 --enforcementcount 0 &gt;&gt;C:\Users\stu\Documents\GitHub\eaglep3-reporting\EC\2017-03-27-refined-times.txt</v>
      </c>
      <c r="AI9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api","custom_fields":[{"id":1,"name":"Subdivision","value":"EC"},{"id":4,"name":"Milepost","value":"23.3289"},{"id":17,"name":"Train ID","value":"187-27"},{"id":16,"name":"Locomotive ID","value":"4016"},{"id":130,"name":"Impact","value":""},{"id":150,"name":"Time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 t="s">
        <v>590</v>
      </c>
      <c r="AK99" s="48"/>
      <c r="AL99" s="48"/>
      <c r="AM99" s="150" t="str">
        <f t="shared" si="44"/>
        <v>start /low /b %USERPROFILE%\Documents\GitHub\eaglep3\Utilities\DownloadLogsFromS3.py --loco 4016 --day 2017-03-27</v>
      </c>
      <c r="AN99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744</v>
      </c>
      <c r="B100" s="7">
        <v>4015</v>
      </c>
      <c r="C100" s="21" t="s">
        <v>218</v>
      </c>
      <c r="D100" s="21" t="s">
        <v>469</v>
      </c>
      <c r="E100" s="13">
        <v>42821.638472222221</v>
      </c>
      <c r="F100" s="13">
        <v>42821.643391203703</v>
      </c>
      <c r="G100" s="7">
        <v>1</v>
      </c>
      <c r="H100" s="21" t="s">
        <v>461</v>
      </c>
      <c r="I100" s="13">
        <v>42821.671203703707</v>
      </c>
      <c r="J100" s="7">
        <v>0</v>
      </c>
      <c r="K100" s="97" t="str">
        <f t="shared" si="28"/>
        <v>4015/4016</v>
      </c>
      <c r="L100" s="21" t="str">
        <f>VLOOKUP(A100,'Trips&amp;Operators'!$C$1:$G$99999,5,FALSE)</f>
        <v>STEWART MICHAEL</v>
      </c>
      <c r="M100" s="6">
        <f t="shared" si="29"/>
        <v>2.7812500004074536E-2</v>
      </c>
      <c r="N100" s="7">
        <f t="shared" si="27"/>
        <v>40.050000005867332</v>
      </c>
      <c r="O100" s="7"/>
      <c r="P100" s="7"/>
      <c r="Q100" s="22"/>
      <c r="R100" s="22"/>
      <c r="S100" s="31">
        <f t="shared" si="30"/>
        <v>1</v>
      </c>
      <c r="T100" s="46" t="str">
        <f t="shared" si="31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2"/>
        <v>https://d0f6bd738d7f1b3e5a7ca70fe4ff75f0.us-east-1.aws.found.io/app/kibana#/discover/Steve-Slow-Train-Analysis-(2080s-and-2083s)?_g=(refreshInterval:(display:Off,pause:!f,section:0,value:0),time:(from:'2017-03-27T14:19:24-0600',mode:absolute,to:'2017-03-27T17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83" t="str">
        <f t="shared" si="33"/>
        <v>N</v>
      </c>
      <c r="X100" s="183">
        <f t="shared" ref="X100:X132" si="47">VALUE(LEFT(AD100,4))-VALUE(LEFT(AD99,4))</f>
        <v>1</v>
      </c>
      <c r="Y100" s="62">
        <f t="shared" si="35"/>
        <v>23.297699999999999</v>
      </c>
      <c r="Z100" s="62">
        <f t="shared" si="36"/>
        <v>1.61E-2</v>
      </c>
      <c r="AA100" s="62">
        <f t="shared" si="37"/>
        <v>23.281599999999997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0188-27</v>
      </c>
      <c r="AE100" s="85" t="str">
        <f t="shared" si="39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100" s="82" t="str">
        <f t="shared" si="40"/>
        <v>"C:\Program Files (x86)\AstroGrep\AstroGrep.exe" /e /r /s /spath="%USERPROFILE%\AppData\Local\Temp\OnboardLogs" /stypes="app*4015*20170327*" /stext=" 22:.+((SYSTEM_STATE.+slice.+state.+changed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188-27 --locoid 4015 --swversion DE.1.0.9.0 --startMP 204:232977 --initTime 2017-03-27T15:19:24 --startdatetime 2017-03-27T15:26:29 --delay 1 --endMP 204:161 --enddatetime 2017-03-27T16:06:32 --enforcementcount 0 &gt;&gt;C:\Users\stu\Documents\GitHub\eaglep3-reporting\EC\2017-03-27-refined-times.txt</v>
      </c>
      <c r="AI100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api","custom_fields":[{"id":1,"name":"Subdivision","value":"EC"},{"id":4,"name":"Milepost","value":"0.0161"},{"id":17,"name":"Train ID","value":"188-27"},{"id":16,"name":"Locomotive ID","value":"4015"},{"id":130,"name":"Impact","value":""},{"id":150,"name":"Time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 t="s">
        <v>590</v>
      </c>
      <c r="AK100" s="48"/>
      <c r="AL100" s="48"/>
      <c r="AM100" s="150" t="str">
        <f t="shared" si="44"/>
        <v>start /low /b %USERPROFILE%\Documents\GitHub\eaglep3\Utilities\DownloadLogsFromS3.py --loco 4015 --day 2017-03-27</v>
      </c>
      <c r="AN100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739</v>
      </c>
      <c r="B101" s="7">
        <v>4014</v>
      </c>
      <c r="C101" s="21" t="s">
        <v>218</v>
      </c>
      <c r="D101" s="21" t="s">
        <v>206</v>
      </c>
      <c r="E101" s="13">
        <v>42821.612141203703</v>
      </c>
      <c r="F101" s="13">
        <v>42821.614942129629</v>
      </c>
      <c r="G101" s="7">
        <v>2</v>
      </c>
      <c r="H101" s="21" t="s">
        <v>494</v>
      </c>
      <c r="I101" s="13">
        <v>42821.641585648147</v>
      </c>
      <c r="J101" s="7">
        <v>0</v>
      </c>
      <c r="K101" s="97" t="str">
        <f t="shared" si="28"/>
        <v>4013/4014</v>
      </c>
      <c r="L101" s="21" t="str">
        <f>VLOOKUP(A101,'Trips&amp;Operators'!$C$1:$G$99999,5,FALSE)</f>
        <v>DAVIS MICHAEL</v>
      </c>
      <c r="M101" s="6">
        <f t="shared" si="29"/>
        <v>2.6643518518540077E-2</v>
      </c>
      <c r="N101" s="7">
        <f t="shared" si="27"/>
        <v>38.366666666697711</v>
      </c>
      <c r="O101" s="7"/>
      <c r="P101" s="7"/>
      <c r="Q101" s="22"/>
      <c r="R101" s="22"/>
      <c r="S101" s="31">
        <f t="shared" si="30"/>
        <v>1</v>
      </c>
      <c r="T101" s="46" t="str">
        <f t="shared" si="31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2"/>
        <v>https://d0f6bd738d7f1b3e5a7ca70fe4ff75f0.us-east-1.aws.found.io/app/kibana#/discover/Steve-Slow-Train-Analysis-(2080s-and-2083s)?_g=(refreshInterval:(display:Off,pause:!f,section:0,value:0),time:(from:'2017-03-27T13:41:29-0600',mode:absolute,to:'2017-03-27T16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3" t="str">
        <f t="shared" si="33"/>
        <v>N</v>
      </c>
      <c r="X101" s="183">
        <f t="shared" si="47"/>
        <v>1</v>
      </c>
      <c r="Y101" s="62">
        <f t="shared" si="35"/>
        <v>4.5100000000000001E-2</v>
      </c>
      <c r="Z101" s="62">
        <f t="shared" si="36"/>
        <v>23.329899999999999</v>
      </c>
      <c r="AA101" s="62">
        <f t="shared" si="37"/>
        <v>23.284799999999997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0189-27</v>
      </c>
      <c r="AE101" s="85" t="str">
        <f t="shared" si="39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01" s="82" t="str">
        <f t="shared" si="40"/>
        <v>"C:\Program Files (x86)\AstroGrep\AstroGrep.exe" /e /r /s /spath="%USERPROFILE%\AppData\Local\Temp\OnboardLogs" /stypes="app*4014*20170327*" /stext=" 21:.+((SYSTEM_STATE.+slice.+state.+changed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189-27 --locoid 4014 --swversion DE.1.0.9.0 --startMP 204:451 --initTime 2017-03-27T14:41:29 --startdatetime 2017-03-27T14:45:31 --delay 2 --endMP 204:233299 --enddatetime 2017-03-27T15:23:53 --enforcementcount 0 &gt;&gt;C:\Users\stu\Documents\GitHub\eaglep3-reporting\EC\2017-03-27-refined-times.txt</v>
      </c>
      <c r="AI101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api","custom_fields":[{"id":1,"name":"Subdivision","value":"EC"},{"id":4,"name":"Milepost","value":"23.3299"},{"id":17,"name":"Train ID","value":"189-27"},{"id":16,"name":"Locomotive ID","value":"4014"},{"id":130,"name":"Impact","value":""},{"id":150,"name":"Time of Event (Mountain Time)","value":"15:23:53"},{"id":151,"name":"Denver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 t="s">
        <v>590</v>
      </c>
      <c r="AK101" s="48"/>
      <c r="AL101" s="48"/>
      <c r="AM101" s="150" t="str">
        <f t="shared" si="44"/>
        <v>start /low /b %USERPROFILE%\Documents\GitHub\eaglep3\Utilities\DownloadLogsFromS3.py --loco 4014 --day 2017-03-27</v>
      </c>
      <c r="AN101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747</v>
      </c>
      <c r="B102" s="7">
        <v>4013</v>
      </c>
      <c r="C102" s="21" t="s">
        <v>218</v>
      </c>
      <c r="D102" s="21" t="s">
        <v>514</v>
      </c>
      <c r="E102" s="13">
        <v>42821.650752314818</v>
      </c>
      <c r="F102" s="13">
        <v>42821.654108796298</v>
      </c>
      <c r="G102" s="7">
        <v>1</v>
      </c>
      <c r="H102" s="21" t="s">
        <v>490</v>
      </c>
      <c r="I102" s="13">
        <v>42821.682152777779</v>
      </c>
      <c r="J102" s="7">
        <v>0</v>
      </c>
      <c r="K102" s="97" t="str">
        <f t="shared" si="28"/>
        <v>4013/4014</v>
      </c>
      <c r="L102" s="21" t="str">
        <f>VLOOKUP(A102,'Trips&amp;Operators'!$C$1:$G$99999,5,FALSE)</f>
        <v>DAVIS MICHAEL</v>
      </c>
      <c r="M102" s="6">
        <f t="shared" si="29"/>
        <v>2.8043981481459923E-2</v>
      </c>
      <c r="N102" s="7">
        <f t="shared" ref="N102:N125" si="48">24*60*SUM($M102:$M102)</f>
        <v>40.383333333302289</v>
      </c>
      <c r="O102" s="7"/>
      <c r="P102" s="7"/>
      <c r="Q102" s="22"/>
      <c r="R102" s="22"/>
      <c r="S102" s="31">
        <f t="shared" si="30"/>
        <v>1</v>
      </c>
      <c r="T102" s="46" t="str">
        <f t="shared" si="31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2"/>
        <v>https://d0f6bd738d7f1b3e5a7ca70fe4ff75f0.us-east-1.aws.found.io/app/kibana#/discover/Steve-Slow-Train-Analysis-(2080s-and-2083s)?_g=(refreshInterval:(display:Off,pause:!f,section:0,value:0),time:(from:'2017-03-27T14:37:05-0600',mode:absolute,to:'2017-03-27T17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83" t="str">
        <f t="shared" si="33"/>
        <v>N</v>
      </c>
      <c r="X102" s="183">
        <f t="shared" si="47"/>
        <v>1</v>
      </c>
      <c r="Y102" s="62">
        <f t="shared" si="35"/>
        <v>23.2971</v>
      </c>
      <c r="Z102" s="62">
        <f t="shared" si="36"/>
        <v>1.3899999999999999E-2</v>
      </c>
      <c r="AA102" s="62">
        <f t="shared" si="37"/>
        <v>23.283200000000001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0190-27</v>
      </c>
      <c r="AE102" s="85" t="str">
        <f t="shared" si="39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102" s="82" t="str">
        <f t="shared" si="40"/>
        <v>"C:\Program Files (x86)\AstroGrep\AstroGrep.exe" /e /r /s /spath="%USERPROFILE%\AppData\Local\Temp\OnboardLogs" /stypes="app*4013*20170327*" /stext=" 22:.+((SYSTEM_STATE.+slice.+state.+changed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190-27 --locoid 4013 --swversion DE.1.0.9.0 --startMP 204:232971 --initTime 2017-03-27T15:37:05 --startdatetime 2017-03-27T15:41:55 --delay 1 --endMP 204:139 --enddatetime 2017-03-27T16:22:18 --enforcementcount 0 &gt;&gt;C:\Users\stu\Documents\GitHub\eaglep3-reporting\EC\2017-03-27-refined-times.txt</v>
      </c>
      <c r="AI10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api","custom_fields":[{"id":1,"name":"Subdivision","value":"EC"},{"id":4,"name":"Milepost","value":"0.0139"},{"id":17,"name":"Train ID","value":"190-27"},{"id":16,"name":"Locomotive ID","value":"4013"},{"id":130,"name":"Impact","value":""},{"id":150,"name":"Time of Event (Mountain Time)","value":"16:22:18"},{"id":151,"name":"Denver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 t="s">
        <v>590</v>
      </c>
      <c r="AK102" s="48"/>
      <c r="AL102" s="48"/>
      <c r="AM102" s="150" t="str">
        <f t="shared" si="44"/>
        <v>start /low /b %USERPROFILE%\Documents\GitHub\eaglep3\Utilities\DownloadLogsFromS3.py --loco 4013 --day 2017-03-27</v>
      </c>
      <c r="AN102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741</v>
      </c>
      <c r="B103" s="7">
        <v>4003</v>
      </c>
      <c r="C103" s="21" t="s">
        <v>218</v>
      </c>
      <c r="D103" s="21" t="s">
        <v>463</v>
      </c>
      <c r="E103" s="13">
        <v>42821.621157407404</v>
      </c>
      <c r="F103" s="13">
        <v>42821.625162037039</v>
      </c>
      <c r="G103" s="7">
        <v>1</v>
      </c>
      <c r="H103" s="21" t="s">
        <v>384</v>
      </c>
      <c r="I103" s="13">
        <v>42821.651643518519</v>
      </c>
      <c r="J103" s="7">
        <v>0</v>
      </c>
      <c r="K103" s="97" t="str">
        <f t="shared" si="28"/>
        <v>4003/4004</v>
      </c>
      <c r="L103" s="21" t="str">
        <f>VLOOKUP(A103,'Trips&amp;Operators'!$C$1:$G$99999,5,FALSE)</f>
        <v>CLARK KATHLEEN</v>
      </c>
      <c r="M103" s="6">
        <f t="shared" si="29"/>
        <v>2.6481481480004732E-2</v>
      </c>
      <c r="N103" s="7">
        <f t="shared" si="48"/>
        <v>38.133333331206813</v>
      </c>
      <c r="O103" s="7"/>
      <c r="P103" s="7"/>
      <c r="Q103" s="22"/>
      <c r="R103" s="22"/>
      <c r="S103" s="31">
        <f t="shared" si="30"/>
        <v>1</v>
      </c>
      <c r="T103" s="46" t="str">
        <f t="shared" si="31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2"/>
        <v>https://d0f6bd738d7f1b3e5a7ca70fe4ff75f0.us-east-1.aws.found.io/app/kibana#/discover/Steve-Slow-Train-Analysis-(2080s-and-2083s)?_g=(refreshInterval:(display:Off,pause:!f,section:0,value:0),time:(from:'2017-03-27T13:54:28-0600',mode:absolute,to:'2017-03-27T16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183" t="str">
        <f t="shared" si="33"/>
        <v>N</v>
      </c>
      <c r="X103" s="183">
        <f t="shared" si="47"/>
        <v>1</v>
      </c>
      <c r="Y103" s="62">
        <f t="shared" si="35"/>
        <v>4.8399999999999999E-2</v>
      </c>
      <c r="Z103" s="62">
        <f t="shared" si="36"/>
        <v>23.3293</v>
      </c>
      <c r="AA103" s="62">
        <f t="shared" si="37"/>
        <v>23.280899999999999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0191-27</v>
      </c>
      <c r="AE103" s="85" t="str">
        <f t="shared" si="39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103" s="82" t="str">
        <f t="shared" si="40"/>
        <v>"C:\Program Files (x86)\AstroGrep\AstroGrep.exe" /e /r /s /spath="%USERPROFILE%\AppData\Local\Temp\OnboardLogs" /stypes="app*4003*20170327*" /stext=" 21:.+((SYSTEM_STATE.+slice.+state.+changed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191-27 --locoid 4003 --swversion DE.1.0.9.0 --startMP 204:484 --initTime 2017-03-27T14:54:28 --startdatetime 2017-03-27T15:00:14 --delay 1 --endMP 204:233293 --enddatetime 2017-03-27T15:38:22 --enforcementcount 0 &gt;&gt;C:\Users\stu\Documents\GitHub\eaglep3-reporting\EC\2017-03-27-refined-times.txt</v>
      </c>
      <c r="AI103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api","custom_fields":[{"id":1,"name":"Subdivision","value":"EC"},{"id":4,"name":"Milepost","value":"23.3293"},{"id":17,"name":"Train ID","value":"191-27"},{"id":16,"name":"Locomotive ID","value":"4003"},{"id":130,"name":"Impact","value":""},{"id":150,"name":"Time of Event (Mountain Time)","value":"15:38:22"},{"id":151,"name":"Denver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 t="s">
        <v>590</v>
      </c>
      <c r="AK103" s="48"/>
      <c r="AL103" s="48"/>
      <c r="AM103" s="150" t="str">
        <f t="shared" si="44"/>
        <v>start /low /b %USERPROFILE%\Documents\GitHub\eaglep3\Utilities\DownloadLogsFromS3.py --loco 4003 --day 2017-03-27</v>
      </c>
      <c r="AN103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749</v>
      </c>
      <c r="B104" s="7">
        <v>4004</v>
      </c>
      <c r="C104" s="21" t="s">
        <v>218</v>
      </c>
      <c r="D104" s="21" t="s">
        <v>577</v>
      </c>
      <c r="E104" s="13">
        <v>42821.659745370373</v>
      </c>
      <c r="F104" s="13">
        <v>42821.664039351854</v>
      </c>
      <c r="G104" s="7">
        <v>1</v>
      </c>
      <c r="H104" s="21" t="s">
        <v>863</v>
      </c>
      <c r="I104" s="13">
        <v>42821.691932870373</v>
      </c>
      <c r="J104" s="7">
        <v>0</v>
      </c>
      <c r="K104" s="97" t="str">
        <f t="shared" si="28"/>
        <v>4003/4004</v>
      </c>
      <c r="L104" s="21" t="str">
        <f>VLOOKUP(A104,'Trips&amp;Operators'!$C$1:$G$99999,5,FALSE)</f>
        <v>CLARK KATHLEEN</v>
      </c>
      <c r="M104" s="6">
        <f t="shared" si="29"/>
        <v>2.789351851970423E-2</v>
      </c>
      <c r="N104" s="7">
        <f t="shared" si="48"/>
        <v>40.166666668374091</v>
      </c>
      <c r="O104" s="7"/>
      <c r="P104" s="7"/>
      <c r="Q104" s="22"/>
      <c r="R104" s="22"/>
      <c r="S104" s="31">
        <f t="shared" si="30"/>
        <v>1</v>
      </c>
      <c r="T104" s="46" t="str">
        <f t="shared" si="31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2"/>
        <v>https://d0f6bd738d7f1b3e5a7ca70fe4ff75f0.us-east-1.aws.found.io/app/kibana#/discover/Steve-Slow-Train-Analysis-(2080s-and-2083s)?_g=(refreshInterval:(display:Off,pause:!f,section:0,value:0),time:(from:'2017-03-27T14:50:02-0600',mode:absolute,to:'2017-03-27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83" t="str">
        <f t="shared" si="33"/>
        <v>N</v>
      </c>
      <c r="X104" s="183">
        <f t="shared" si="47"/>
        <v>1</v>
      </c>
      <c r="Y104" s="62">
        <f t="shared" si="35"/>
        <v>23.298300000000001</v>
      </c>
      <c r="Z104" s="62">
        <f t="shared" si="36"/>
        <v>2.0500000000000001E-2</v>
      </c>
      <c r="AA104" s="62">
        <f t="shared" si="37"/>
        <v>23.277800000000003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0192-27</v>
      </c>
      <c r="AE104" s="85" t="str">
        <f t="shared" si="39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104" s="82" t="str">
        <f t="shared" si="40"/>
        <v>"C:\Program Files (x86)\AstroGrep\AstroGrep.exe" /e /r /s /spath="%USERPROFILE%\AppData\Local\Temp\OnboardLogs" /stypes="app*4004*20170327*" /stext=" 22:.+((SYSTEM_STATE.+slice.+state.+changed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192-27 --locoid 4004 --swversion DE.1.0.9.0 --startMP 204:232983 --initTime 2017-03-27T15:50:02 --startdatetime 2017-03-27T15:56:13 --delay 1 --endMP 204:205 --enddatetime 2017-03-27T16:36:23 --enforcementcount 0 &gt;&gt;C:\Users\stu\Documents\GitHub\eaglep3-reporting\EC\2017-03-27-refined-times.txt</v>
      </c>
      <c r="AI104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api","custom_fields":[{"id":1,"name":"Subdivision","value":"EC"},{"id":4,"name":"Milepost","value":"0.0205"},{"id":17,"name":"Train ID","value":"192-27"},{"id":16,"name":"Locomotive ID","value":"4004"},{"id":130,"name":"Impact","value":""},{"id":150,"name":"Time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 t="s">
        <v>590</v>
      </c>
      <c r="AK104" s="48"/>
      <c r="AL104" s="48"/>
      <c r="AM104" s="150" t="str">
        <f t="shared" si="44"/>
        <v>start /low /b %USERPROFILE%\Documents\GitHub\eaglep3\Utilities\DownloadLogsFromS3.py --loco 4004 --day 2017-03-27</v>
      </c>
      <c r="AN104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742</v>
      </c>
      <c r="B105" s="7">
        <v>4025</v>
      </c>
      <c r="C105" s="21" t="s">
        <v>218</v>
      </c>
      <c r="D105" s="21" t="s">
        <v>206</v>
      </c>
      <c r="E105" s="13">
        <v>42821.632175925923</v>
      </c>
      <c r="F105" s="13">
        <v>42821.635787037034</v>
      </c>
      <c r="G105" s="7">
        <v>1</v>
      </c>
      <c r="H105" s="21" t="s">
        <v>561</v>
      </c>
      <c r="I105" s="13">
        <v>42821.662372685183</v>
      </c>
      <c r="J105" s="7">
        <v>0</v>
      </c>
      <c r="K105" s="97" t="str">
        <f t="shared" si="28"/>
        <v>4025/4026</v>
      </c>
      <c r="L105" s="21" t="str">
        <f>VLOOKUP(A105,'Trips&amp;Operators'!$C$1:$G$99999,5,FALSE)</f>
        <v>WILLIAMS DONTE</v>
      </c>
      <c r="M105" s="6">
        <f t="shared" si="29"/>
        <v>2.658564814919373E-2</v>
      </c>
      <c r="N105" s="7">
        <f t="shared" si="48"/>
        <v>38.283333334838971</v>
      </c>
      <c r="O105" s="7"/>
      <c r="P105" s="7"/>
      <c r="Q105" s="22"/>
      <c r="R105" s="22"/>
      <c r="S105" s="31">
        <f t="shared" si="30"/>
        <v>1</v>
      </c>
      <c r="T105" s="46" t="str">
        <f t="shared" si="31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2"/>
        <v>https://d0f6bd738d7f1b3e5a7ca70fe4ff75f0.us-east-1.aws.found.io/app/kibana#/discover/Steve-Slow-Train-Analysis-(2080s-and-2083s)?_g=(refreshInterval:(display:Off,pause:!f,section:0,value:0),time:(from:'2017-03-27T14:10:20-0600',mode:absolute,to:'2017-03-27T16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83" t="str">
        <f t="shared" si="33"/>
        <v>N</v>
      </c>
      <c r="X105" s="183">
        <f t="shared" si="47"/>
        <v>1</v>
      </c>
      <c r="Y105" s="62">
        <f t="shared" si="35"/>
        <v>4.5100000000000001E-2</v>
      </c>
      <c r="Z105" s="62">
        <f t="shared" si="36"/>
        <v>23.338899999999999</v>
      </c>
      <c r="AA105" s="62">
        <f t="shared" si="37"/>
        <v>23.293799999999997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0193-27</v>
      </c>
      <c r="AE105" s="85" t="str">
        <f t="shared" si="39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105" s="82" t="str">
        <f t="shared" si="40"/>
        <v>"C:\Program Files (x86)\AstroGrep\AstroGrep.exe" /e /r /s /spath="%USERPROFILE%\AppData\Local\Temp\OnboardLogs" /stypes="app*4025*20170327*" /stext=" 21:.+((SYSTEM_STATE.+slice.+state.+changed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193-27 --locoid 4025 --swversion DE.1.0.9.0 --startMP 204:451 --initTime 2017-03-27T15:10:20 --startdatetime 2017-03-27T15:15:32 --delay 1 --endMP 204:233389 --enddatetime 2017-03-27T15:53:49 --enforcementcount 0 &gt;&gt;C:\Users\stu\Documents\GitHub\eaglep3-reporting\EC\2017-03-27-refined-times.txt</v>
      </c>
      <c r="AI105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api","custom_fields":[{"id":1,"name":"Subdivision","value":"EC"},{"id":4,"name":"Milepost","value":"23.3389"},{"id":17,"name":"Train ID","value":"193-27"},{"id":16,"name":"Locomotive ID","value":"4025"},{"id":130,"name":"Impact","value":""},{"id":150,"name":"Time of Event (Mountain Time)","value":"15:53:49"},{"id":151,"name":"Denver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 t="s">
        <v>590</v>
      </c>
      <c r="AK105" s="48"/>
      <c r="AL105" s="48"/>
      <c r="AM105" s="150" t="str">
        <f t="shared" si="44"/>
        <v>start /low /b %USERPROFILE%\Documents\GitHub\eaglep3\Utilities\DownloadLogsFromS3.py --loco 4025 --day 2017-03-27</v>
      </c>
      <c r="AN105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622</v>
      </c>
      <c r="B106" s="7">
        <v>4026</v>
      </c>
      <c r="C106" s="21" t="s">
        <v>218</v>
      </c>
      <c r="D106" s="21" t="s">
        <v>864</v>
      </c>
      <c r="E106" s="13">
        <v>42821.668252314812</v>
      </c>
      <c r="F106" s="13">
        <v>42821.67460648148</v>
      </c>
      <c r="G106" s="7">
        <v>1</v>
      </c>
      <c r="H106" s="21" t="s">
        <v>461</v>
      </c>
      <c r="I106" s="13">
        <v>42821.702592592592</v>
      </c>
      <c r="J106" s="7">
        <v>0</v>
      </c>
      <c r="K106" s="97" t="str">
        <f t="shared" si="28"/>
        <v>4025/4026</v>
      </c>
      <c r="L106" s="21" t="str">
        <f>VLOOKUP(A106,'Trips&amp;Operators'!$C$1:$G$99999,5,FALSE)</f>
        <v>WILLIAMS DONTE</v>
      </c>
      <c r="M106" s="6">
        <f t="shared" si="29"/>
        <v>2.7986111112113576E-2</v>
      </c>
      <c r="N106" s="7">
        <f t="shared" si="48"/>
        <v>40.30000000144355</v>
      </c>
      <c r="O106" s="7"/>
      <c r="P106" s="7"/>
      <c r="Q106" s="22"/>
      <c r="R106" s="22"/>
      <c r="S106" s="31">
        <f t="shared" si="30"/>
        <v>1</v>
      </c>
      <c r="T106" s="46" t="str">
        <f t="shared" si="31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2"/>
        <v>https://d0f6bd738d7f1b3e5a7ca70fe4ff75f0.us-east-1.aws.found.io/app/kibana#/discover/Steve-Slow-Train-Analysis-(2080s-and-2083s)?_g=(refreshInterval:(display:Off,pause:!f,section:0,value:0),time:(from:'2017-03-27T15:02:17-0600',mode:absolute,to:'2017-03-27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83" t="str">
        <f t="shared" si="33"/>
        <v>N</v>
      </c>
      <c r="X106" s="183">
        <f t="shared" si="47"/>
        <v>1</v>
      </c>
      <c r="Y106" s="62">
        <f t="shared" si="35"/>
        <v>23.3094</v>
      </c>
      <c r="Z106" s="62">
        <f t="shared" si="36"/>
        <v>1.61E-2</v>
      </c>
      <c r="AA106" s="62">
        <f t="shared" si="37"/>
        <v>23.293299999999999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0194-27</v>
      </c>
      <c r="AE106" s="85" t="str">
        <f t="shared" si="39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106" s="82" t="str">
        <f t="shared" si="40"/>
        <v>"C:\Program Files (x86)\AstroGrep\AstroGrep.exe" /e /r /s /spath="%USERPROFILE%\AppData\Local\Temp\OnboardLogs" /stypes="app*4026*20170327*" /stext=" 22:.+((SYSTEM_STATE.+slice.+state.+changed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194-27 --locoid 4026 --swversion DE.1.0.9.0 --startMP 204:233094 --initTime 2017-03-27T16:02:17 --startdatetime 2017-03-27T16:11:26 --delay 1 --endMP 204:161 --enddatetime 2017-03-27T16:51:44 --enforcementcount 0 &gt;&gt;C:\Users\stu\Documents\GitHub\eaglep3-reporting\EC\2017-03-27-refined-times.txt</v>
      </c>
      <c r="AI106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api","custom_fields":[{"id":1,"name":"Subdivision","value":"EC"},{"id":4,"name":"Milepost","value":"0.0161"},{"id":17,"name":"Train ID","value":"194-27"},{"id":16,"name":"Locomotive ID","value":"4026"},{"id":130,"name":"Impact","value":""},{"id":150,"name":"Time of Event (Mountain Time)","value":"16:51:44"},{"id":151,"name":"Denver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 t="s">
        <v>590</v>
      </c>
      <c r="AK106" s="48"/>
      <c r="AL106" s="48"/>
      <c r="AM106" s="150" t="str">
        <f t="shared" si="44"/>
        <v>start /low /b %USERPROFILE%\Documents\GitHub\eaglep3\Utilities\DownloadLogsFromS3.py --loco 4026 --day 2017-03-27</v>
      </c>
      <c r="AN106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621</v>
      </c>
      <c r="B107" s="7">
        <v>4051</v>
      </c>
      <c r="C107" s="21" t="s">
        <v>218</v>
      </c>
      <c r="D107" s="21" t="s">
        <v>498</v>
      </c>
      <c r="E107" s="13">
        <v>42821.642638888887</v>
      </c>
      <c r="F107" s="13">
        <v>42821.646064814813</v>
      </c>
      <c r="G107" s="7">
        <v>1</v>
      </c>
      <c r="H107" s="21" t="s">
        <v>865</v>
      </c>
      <c r="I107" s="13">
        <v>42821.671111111114</v>
      </c>
      <c r="J107" s="7">
        <v>0</v>
      </c>
      <c r="K107" s="97" t="str">
        <f t="shared" si="28"/>
        <v>4051/4052</v>
      </c>
      <c r="L107" s="21" t="str">
        <f>VLOOKUP(A107,'Trips&amp;Operators'!$C$1:$G$99999,5,FALSE)</f>
        <v>LOCKLEAR TRAVIS</v>
      </c>
      <c r="M107" s="6">
        <f t="shared" si="29"/>
        <v>2.5046296301297843E-2</v>
      </c>
      <c r="N107" s="7">
        <f t="shared" si="48"/>
        <v>36.066666673868895</v>
      </c>
      <c r="O107" s="7"/>
      <c r="P107" s="7"/>
      <c r="Q107" s="22"/>
      <c r="R107" s="22"/>
      <c r="S107" s="31">
        <f t="shared" si="30"/>
        <v>1</v>
      </c>
      <c r="T107" s="46" t="str">
        <f t="shared" si="31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2"/>
        <v>https://d0f6bd738d7f1b3e5a7ca70fe4ff75f0.us-east-1.aws.found.io/app/kibana#/discover/Steve-Slow-Train-Analysis-(2080s-and-2083s)?_g=(refreshInterval:(display:Off,pause:!f,section:0,value:0),time:(from:'2017-03-27T14:25:24-0600',mode:absolute,to:'2017-03-27T17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7" s="183" t="str">
        <f t="shared" si="33"/>
        <v>N</v>
      </c>
      <c r="X107" s="183">
        <f t="shared" si="47"/>
        <v>1</v>
      </c>
      <c r="Y107" s="62">
        <f t="shared" si="35"/>
        <v>4.58E-2</v>
      </c>
      <c r="Z107" s="62">
        <f t="shared" si="36"/>
        <v>23.345099999999999</v>
      </c>
      <c r="AA107" s="62">
        <f t="shared" si="37"/>
        <v>23.299299999999999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0195-27</v>
      </c>
      <c r="AE107" s="85" t="str">
        <f t="shared" si="39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07" s="82" t="str">
        <f t="shared" si="40"/>
        <v>"C:\Program Files (x86)\AstroGrep\AstroGrep.exe" /e /r /s /spath="%USERPROFILE%\AppData\Local\Temp\OnboardLogs" /stypes="app*4051*20170327*"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195-27 --locoid 4051 --swversion DE.1.0.9.0 --startMP 204:458 --initTime 2017-03-27T15:25:24 --startdatetime 2017-03-27T15:30:20 --delay 1 --endMP 204:233451 --enddatetime 2017-03-27T16:06:24 --enforcementcount 0 &gt;&gt;C:\Users\stu\Documents\GitHub\eaglep3-reporting\EC\2017-03-27-refined-times.txt</v>
      </c>
      <c r="AI107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api","custom_fields":[{"id":1,"name":"Subdivision","value":"EC"},{"id":4,"name":"Milepost","value":"23.3451"},{"id":17,"name":"Train ID","value":"195-27"},{"id":16,"name":"Locomotive ID","value":"4051"},{"id":130,"name":"Impact","value":""},{"id":150,"name":"Time of Event (Mountain Time)","value":"16:06:24"},{"id":151,"name":"Denver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 t="s">
        <v>590</v>
      </c>
      <c r="AK107" s="48"/>
      <c r="AL107" s="48"/>
      <c r="AM107" s="150" t="str">
        <f t="shared" si="44"/>
        <v>start /low /b %USERPROFILE%\Documents\GitHub\eaglep3\Utilities\DownloadLogsFromS3.py --loco 4051 --day 2017-03-27</v>
      </c>
      <c r="AN107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753</v>
      </c>
      <c r="B108" s="7">
        <v>4052</v>
      </c>
      <c r="C108" s="21" t="s">
        <v>218</v>
      </c>
      <c r="D108" s="21" t="s">
        <v>866</v>
      </c>
      <c r="E108" s="13">
        <v>42821.681446759256</v>
      </c>
      <c r="F108" s="13">
        <v>42821.684884259259</v>
      </c>
      <c r="G108" s="7">
        <v>0</v>
      </c>
      <c r="H108" s="21" t="s">
        <v>390</v>
      </c>
      <c r="I108" s="13">
        <v>42821.71199074074</v>
      </c>
      <c r="J108" s="7">
        <v>0</v>
      </c>
      <c r="K108" s="97" t="str">
        <f t="shared" si="28"/>
        <v>4051/4052</v>
      </c>
      <c r="L108" s="21" t="str">
        <f>VLOOKUP(A108,'Trips&amp;Operators'!$C$1:$G$99999,5,FALSE)</f>
        <v>LOCKLEAR TRAVIS</v>
      </c>
      <c r="M108" s="6">
        <f t="shared" si="29"/>
        <v>2.7106481480586808E-2</v>
      </c>
      <c r="N108" s="7">
        <f t="shared" si="48"/>
        <v>39.033333332045004</v>
      </c>
      <c r="O108" s="7"/>
      <c r="P108" s="7"/>
      <c r="Q108" s="22"/>
      <c r="R108" s="22"/>
      <c r="S108" s="31">
        <f t="shared" si="30"/>
        <v>1</v>
      </c>
      <c r="T108" s="46" t="str">
        <f t="shared" si="31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2"/>
        <v>https://d0f6bd738d7f1b3e5a7ca70fe4ff75f0.us-east-1.aws.found.io/app/kibana#/discover/Steve-Slow-Train-Analysis-(2080s-and-2083s)?_g=(refreshInterval:(display:Off,pause:!f,section:0,value:0),time:(from:'2017-03-27T15:21:17-0600',mode:absolute,to:'2017-03-27T18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8" s="183" t="str">
        <f t="shared" si="33"/>
        <v>N</v>
      </c>
      <c r="X108" s="183">
        <f t="shared" si="47"/>
        <v>1</v>
      </c>
      <c r="Y108" s="62">
        <f t="shared" si="35"/>
        <v>23.310600000000001</v>
      </c>
      <c r="Z108" s="62">
        <f t="shared" si="36"/>
        <v>1.4500000000000001E-2</v>
      </c>
      <c r="AA108" s="62">
        <f t="shared" si="37"/>
        <v>23.296099999999999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0196-27</v>
      </c>
      <c r="AE108" s="85" t="str">
        <f t="shared" si="39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108" s="82" t="str">
        <f t="shared" si="40"/>
        <v>"C:\Program Files (x86)\AstroGrep\AstroGrep.exe" /e /r /s /spath="%USERPROFILE%\AppData\Local\Temp\OnboardLogs" /stypes="app*4052*20170327*" /stext=" 23:.+((SYSTEM_STATE.+slice.+state.+changed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196-27 --locoid 4052 --swversion DE.1.0.9.0 --startMP 204:233106 --initTime 2017-03-27T16:21:17 --startdatetime 2017-03-27T16:26:14 --delay 0 --endMP 204:145 --enddatetime 2017-03-27T17:05:16 --enforcementcount 0 &gt;&gt;C:\Users\stu\Documents\GitHub\eaglep3-reporting\EC\2017-03-27-refined-times.txt</v>
      </c>
      <c r="AI108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ID","value":"196-27"},{"id":16,"name":"Locomotive ID","value":"4052"},{"id":130,"name":"Impact","value":""},{"id":150,"name":"Time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 t="s">
        <v>590</v>
      </c>
      <c r="AK108" s="48"/>
      <c r="AL108" s="48"/>
      <c r="AM108" s="150" t="str">
        <f t="shared" si="44"/>
        <v>start /low /b %USERPROFILE%\Documents\GitHub\eaglep3\Utilities\DownloadLogsFromS3.py --loco 4052 --day 2017-03-27</v>
      </c>
      <c r="AN108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748</v>
      </c>
      <c r="B109" s="7">
        <v>4040</v>
      </c>
      <c r="C109" s="21" t="s">
        <v>218</v>
      </c>
      <c r="D109" s="21" t="s">
        <v>557</v>
      </c>
      <c r="E109" s="13">
        <v>42821.652499999997</v>
      </c>
      <c r="F109" s="13">
        <v>42821.656446759262</v>
      </c>
      <c r="G109" s="7">
        <v>1</v>
      </c>
      <c r="H109" s="21" t="s">
        <v>571</v>
      </c>
      <c r="I109" s="13">
        <v>42821.683032407411</v>
      </c>
      <c r="J109" s="7">
        <v>0</v>
      </c>
      <c r="K109" s="97" t="str">
        <f t="shared" si="28"/>
        <v>4039/4040</v>
      </c>
      <c r="L109" s="21" t="str">
        <f>VLOOKUP(A109,'Trips&amp;Operators'!$C$1:$G$99999,5,FALSE)</f>
        <v>LEVERE CRAIG</v>
      </c>
      <c r="M109" s="6">
        <f t="shared" si="29"/>
        <v>2.658564814919373E-2</v>
      </c>
      <c r="N109" s="7">
        <f t="shared" si="48"/>
        <v>38.283333334838971</v>
      </c>
      <c r="O109" s="7"/>
      <c r="P109" s="7"/>
      <c r="Q109" s="22"/>
      <c r="R109" s="22"/>
      <c r="S109" s="31">
        <f t="shared" ref="S109:S126" si="49">SUM(U109:U109)/IF(AG109="EC",12,1)</f>
        <v>1</v>
      </c>
      <c r="T109" s="46" t="str">
        <f t="shared" si="31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2"/>
        <v>https://d0f6bd738d7f1b3e5a7ca70fe4ff75f0.us-east-1.aws.found.io/app/kibana#/discover/Steve-Slow-Train-Analysis-(2080s-and-2083s)?_g=(refreshInterval:(display:Off,pause:!f,section:0,value:0),time:(from:'2017-03-27T14:39:36-0600',mode:absolute,to:'2017-03-27T17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83" t="str">
        <f t="shared" si="33"/>
        <v>N</v>
      </c>
      <c r="X109" s="183">
        <f t="shared" si="47"/>
        <v>1</v>
      </c>
      <c r="Y109" s="62">
        <f t="shared" si="35"/>
        <v>4.7100000000000003E-2</v>
      </c>
      <c r="Z109" s="62">
        <f t="shared" ref="Z109:Z140" si="50">RIGHT(H109,LEN(H109)-4)/10000</f>
        <v>23.327999999999999</v>
      </c>
      <c r="AA109" s="62">
        <f t="shared" si="37"/>
        <v>23.280899999999999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0197-27</v>
      </c>
      <c r="AE109" s="85" t="str">
        <f t="shared" si="39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109" s="82" t="str">
        <f t="shared" si="40"/>
        <v>"C:\Program Files (x86)\AstroGrep\AstroGrep.exe" /e /r /s /spath="%USERPROFILE%\AppData\Local\Temp\OnboardLogs" /stypes="app*4040*20170327*" /stext=" 22:.+((SYSTEM_STATE.+slice.+state.+changed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197-27 --locoid 4040 --swversion DE.1.0.9.0 --startMP 204:471 --initTime 2017-03-27T15:39:36 --startdatetime 2017-03-27T15:45:17 --delay 1 --endMP 204:233280 --enddatetime 2017-03-27T16:23:34 --enforcementcount 0 &gt;&gt;C:\Users\stu\Documents\GitHub\eaglep3-reporting\EC\2017-03-27-refined-times.txt</v>
      </c>
      <c r="AI10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api","custom_fields":[{"id":1,"name":"Subdivision","value":"EC"},{"id":4,"name":"Milepost","value":"23.328"},{"id":17,"name":"Train ID","value":"197-27"},{"id":16,"name":"Locomotive ID","value":"4040"},{"id":130,"name":"Impact","value":""},{"id":150,"name":"Time of Event (Mountain Time)","value":"16:23:34"},{"id":151,"name":"Denver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 t="s">
        <v>590</v>
      </c>
      <c r="AK109" s="48"/>
      <c r="AL109" s="48"/>
      <c r="AM109" s="150" t="str">
        <f t="shared" si="44"/>
        <v>start /low /b %USERPROFILE%\Documents\GitHub\eaglep3\Utilities\DownloadLogsFromS3.py --loco 4040 --day 2017-03-27</v>
      </c>
      <c r="AN109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756</v>
      </c>
      <c r="B110" s="7">
        <v>4039</v>
      </c>
      <c r="C110" s="21" t="s">
        <v>218</v>
      </c>
      <c r="D110" s="21" t="s">
        <v>560</v>
      </c>
      <c r="E110" s="13">
        <v>42821.690023148149</v>
      </c>
      <c r="F110" s="13">
        <v>42821.6953587963</v>
      </c>
      <c r="G110" s="7">
        <v>1</v>
      </c>
      <c r="H110" s="21" t="s">
        <v>461</v>
      </c>
      <c r="I110" s="13">
        <v>42821.724120370367</v>
      </c>
      <c r="J110" s="7">
        <v>0</v>
      </c>
      <c r="K110" s="97" t="str">
        <f t="shared" si="28"/>
        <v>4039/4040</v>
      </c>
      <c r="L110" s="21" t="str">
        <f>VLOOKUP(A110,'Trips&amp;Operators'!$C$1:$G$99999,5,FALSE)</f>
        <v>LEVERE CRAIG</v>
      </c>
      <c r="M110" s="6">
        <f t="shared" si="29"/>
        <v>2.8761574067175388E-2</v>
      </c>
      <c r="N110" s="7">
        <f t="shared" si="48"/>
        <v>41.416666656732559</v>
      </c>
      <c r="O110" s="7"/>
      <c r="P110" s="7"/>
      <c r="Q110" s="22"/>
      <c r="R110" s="22"/>
      <c r="S110" s="31">
        <f t="shared" si="49"/>
        <v>1</v>
      </c>
      <c r="T110" s="46" t="str">
        <f t="shared" si="31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2"/>
        <v>https://d0f6bd738d7f1b3e5a7ca70fe4ff75f0.us-east-1.aws.found.io/app/kibana#/discover/Steve-Slow-Train-Analysis-(2080s-and-2083s)?_g=(refreshInterval:(display:Off,pause:!f,section:0,value:0),time:(from:'2017-03-27T15:33:38-0600',mode:absolute,to:'2017-03-27T18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83" t="str">
        <f t="shared" si="33"/>
        <v>N</v>
      </c>
      <c r="X110" s="183">
        <f t="shared" si="47"/>
        <v>1</v>
      </c>
      <c r="Y110" s="62">
        <f t="shared" si="35"/>
        <v>23.3003</v>
      </c>
      <c r="Z110" s="62">
        <f t="shared" si="50"/>
        <v>1.61E-2</v>
      </c>
      <c r="AA110" s="62">
        <f t="shared" si="37"/>
        <v>23.284199999999998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0198-27</v>
      </c>
      <c r="AE110" s="85" t="str">
        <f t="shared" si="39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110" s="82" t="str">
        <f t="shared" si="40"/>
        <v>"C:\Program Files (x86)\AstroGrep\AstroGrep.exe" /e /r /s /spath="%USERPROFILE%\AppData\Local\Temp\OnboardLogs" /stypes="app*4039*20170327*" /stext=" 23:.+((SYSTEM_STATE.+slice.+state.+changed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198-27 --locoid 4039 --swversion DE.1.0.9.0 --startMP 204:233003 --initTime 2017-03-27T16:33:38 --startdatetime 2017-03-27T16:41:19 --delay 1 --endMP 204:161 --enddatetime 2017-03-27T17:22:44 --enforcementcount 0 &gt;&gt;C:\Users\stu\Documents\GitHub\eaglep3-reporting\EC\2017-03-27-refined-times.txt</v>
      </c>
      <c r="AI110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api","custom_fields":[{"id":1,"name":"Subdivision","value":"EC"},{"id":4,"name":"Milepost","value":"0.0161"},{"id":17,"name":"Train ID","value":"198-27"},{"id":16,"name":"Locomotive ID","value":"4039"},{"id":130,"name":"Impact","value":""},{"id":150,"name":"Time of Event (Mountain Time)","value":"17:22:44"},{"id":151,"name":"Denver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 t="s">
        <v>590</v>
      </c>
      <c r="AK110" s="48"/>
      <c r="AL110" s="48"/>
      <c r="AM110" s="150" t="str">
        <f t="shared" si="44"/>
        <v>start /low /b %USERPROFILE%\Documents\GitHub\eaglep3\Utilities\DownloadLogsFromS3.py --loco 4039 --day 2017-03-27</v>
      </c>
      <c r="AN110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620</v>
      </c>
      <c r="B111" s="7">
        <v>4053</v>
      </c>
      <c r="C111" s="21" t="s">
        <v>218</v>
      </c>
      <c r="D111" s="21" t="s">
        <v>215</v>
      </c>
      <c r="E111" s="13">
        <v>42821.663217592592</v>
      </c>
      <c r="F111" s="13">
        <v>42821.666967592595</v>
      </c>
      <c r="G111" s="7">
        <v>2</v>
      </c>
      <c r="H111" s="21" t="s">
        <v>496</v>
      </c>
      <c r="I111" s="13">
        <v>42821.692997685182</v>
      </c>
      <c r="J111" s="7">
        <v>0</v>
      </c>
      <c r="K111" s="97" t="str">
        <f t="shared" si="28"/>
        <v>4053/4054</v>
      </c>
      <c r="L111" s="21" t="str">
        <f>VLOOKUP(A111,'Trips&amp;Operators'!$C$1:$G$99999,5,FALSE)</f>
        <v>BRANDNER MELINDA</v>
      </c>
      <c r="M111" s="6">
        <f t="shared" si="29"/>
        <v>2.6030092587461695E-2</v>
      </c>
      <c r="N111" s="7">
        <f t="shared" si="48"/>
        <v>37.483333325944841</v>
      </c>
      <c r="O111" s="7"/>
      <c r="P111" s="7"/>
      <c r="Q111" s="22"/>
      <c r="R111" s="22"/>
      <c r="S111" s="31">
        <f t="shared" si="49"/>
        <v>1</v>
      </c>
      <c r="T111" s="46" t="str">
        <f t="shared" si="31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2"/>
        <v>https://d0f6bd738d7f1b3e5a7ca70fe4ff75f0.us-east-1.aws.found.io/app/kibana#/discover/Steve-Slow-Train-Analysis-(2080s-and-2083s)?_g=(refreshInterval:(display:Off,pause:!f,section:0,value:0),time:(from:'2017-03-27T14:55:02-0600',mode:absolute,to:'2017-03-27T17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83" t="str">
        <f t="shared" si="33"/>
        <v>N</v>
      </c>
      <c r="X111" s="183">
        <f t="shared" si="47"/>
        <v>1</v>
      </c>
      <c r="Y111" s="62">
        <f t="shared" si="35"/>
        <v>4.6600000000000003E-2</v>
      </c>
      <c r="Z111" s="62">
        <f t="shared" si="50"/>
        <v>23.328700000000001</v>
      </c>
      <c r="AA111" s="62">
        <f t="shared" si="37"/>
        <v>23.2821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8"/>
        <v>0199-27</v>
      </c>
      <c r="AE111" s="85" t="str">
        <f t="shared" si="39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111" s="82" t="str">
        <f t="shared" si="40"/>
        <v>"C:\Program Files (x86)\AstroGrep\AstroGrep.exe" /e /r /s /spath="%USERPROFILE%\AppData\Local\Temp\OnboardLogs" /stypes="app*4053*20170327*" /stext=" 22:.+((SYSTEM_STATE.+slice.+state.+changed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199-27 --locoid 4053 --swversion DE.1.0.9.0 --startMP 204:466 --initTime 2017-03-27T15:55:02 --startdatetime 2017-03-27T16:00:26 --delay 2 --endMP 204:233287 --enddatetime 2017-03-27T16:37:55 --enforcementcount 0 &gt;&gt;C:\Users\stu\Documents\GitHub\eaglep3-reporting\EC\2017-03-27-refined-times.txt</v>
      </c>
      <c r="AI111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api","custom_fields":[{"id":1,"name":"Subdivision","value":"EC"},{"id":4,"name":"Milepost","value":"23.3287"},{"id":17,"name":"Train ID","value":"199-27"},{"id":16,"name":"Locomotive ID","value":"4053"},{"id":130,"name":"Impact","value":""},{"id":150,"name":"Time of Event (Mountain Time)","value":"16:37:55"},{"id":151,"name":"Denver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 t="s">
        <v>590</v>
      </c>
      <c r="AK111" s="48"/>
      <c r="AL111" s="48"/>
      <c r="AM111" s="150" t="str">
        <f t="shared" si="44"/>
        <v>start /low /b %USERPROFILE%\Documents\GitHub\eaglep3\Utilities\DownloadLogsFromS3.py --loco 4053 --day 2017-03-27</v>
      </c>
      <c r="AN111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759</v>
      </c>
      <c r="B112" s="7">
        <v>4054</v>
      </c>
      <c r="C112" s="21" t="s">
        <v>218</v>
      </c>
      <c r="D112" s="21" t="s">
        <v>221</v>
      </c>
      <c r="E112" s="13">
        <v>42821.700243055559</v>
      </c>
      <c r="F112" s="13">
        <v>42821.705706018518</v>
      </c>
      <c r="G112" s="7">
        <v>1</v>
      </c>
      <c r="H112" s="21" t="s">
        <v>213</v>
      </c>
      <c r="I112" s="13">
        <v>42821.734768518516</v>
      </c>
      <c r="J112" s="7">
        <v>0</v>
      </c>
      <c r="K112" s="97" t="str">
        <f t="shared" si="28"/>
        <v>4053/4054</v>
      </c>
      <c r="L112" s="21" t="str">
        <f>VLOOKUP(A112,'Trips&amp;Operators'!$C$1:$G$99999,5,FALSE)</f>
        <v>BRANDNER MELINDA</v>
      </c>
      <c r="M112" s="6">
        <f t="shared" si="29"/>
        <v>2.9062499997962732E-2</v>
      </c>
      <c r="N112" s="7">
        <f t="shared" si="48"/>
        <v>41.849999997066334</v>
      </c>
      <c r="O112" s="7"/>
      <c r="P112" s="7"/>
      <c r="Q112" s="22"/>
      <c r="R112" s="22"/>
      <c r="S112" s="31">
        <f t="shared" si="49"/>
        <v>1</v>
      </c>
      <c r="T112" s="46" t="str">
        <f t="shared" si="31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2"/>
        <v>https://d0f6bd738d7f1b3e5a7ca70fe4ff75f0.us-east-1.aws.found.io/app/kibana#/discover/Steve-Slow-Train-Analysis-(2080s-and-2083s)?_g=(refreshInterval:(display:Off,pause:!f,section:0,value:0),time:(from:'2017-03-27T15:48:21-0600',mode:absolute,to:'2017-03-27T18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2" s="183" t="str">
        <f t="shared" si="33"/>
        <v>N</v>
      </c>
      <c r="X112" s="183">
        <f t="shared" si="47"/>
        <v>1</v>
      </c>
      <c r="Y112" s="62">
        <f t="shared" si="35"/>
        <v>23.3</v>
      </c>
      <c r="Z112" s="62">
        <f t="shared" si="50"/>
        <v>1.5599999999999999E-2</v>
      </c>
      <c r="AA112" s="62">
        <f t="shared" si="37"/>
        <v>23.284400000000002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0200-27</v>
      </c>
      <c r="AE112" s="85" t="str">
        <f t="shared" si="39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12" s="82" t="str">
        <f t="shared" si="40"/>
        <v>"C:\Program Files (x86)\AstroGrep\AstroGrep.exe" /e /r /s /spath="%USERPROFILE%\AppData\Local\Temp\OnboardLogs" /stypes="app*4054*20170327*" /stext=" 23:.+((SYSTEM_STATE.+slice.+state.+changed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200-27 --locoid 4054 --swversion DE.1.0.9.0 --startMP 204:233000 --initTime 2017-03-27T16:48:21 --startdatetime 2017-03-27T16:56:13 --delay 1 --endMP 204:156 --enddatetime 2017-03-27T17:38:04 --enforcementcount 0 &gt;&gt;C:\Users\stu\Documents\GitHub\eaglep3-reporting\EC\2017-03-27-refined-times.txt</v>
      </c>
      <c r="AI11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api","custom_fields":[{"id":1,"name":"Subdivision","value":"EC"},{"id":4,"name":"Milepost","value":"0.0156"},{"id":17,"name":"Train ID","value":"200-27"},{"id":16,"name":"Locomotive ID","value":"4054"},{"id":130,"name":"Impact","value":""},{"id":150,"name":"Time of Event (Mountain Time)","value":"17:38:04"},{"id":151,"name":"Denver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 t="s">
        <v>590</v>
      </c>
      <c r="AK112" s="48"/>
      <c r="AL112" s="48"/>
      <c r="AM112" s="150" t="str">
        <f t="shared" si="44"/>
        <v>start /low /b %USERPROFILE%\Documents\GitHub\eaglep3\Utilities\DownloadLogsFromS3.py --loco 4054 --day 2017-03-27</v>
      </c>
      <c r="AN112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3" spans="1:91" s="20" customFormat="1" x14ac:dyDescent="0.25">
      <c r="A113" s="33" t="s">
        <v>751</v>
      </c>
      <c r="B113" s="7">
        <v>4016</v>
      </c>
      <c r="C113" s="21" t="s">
        <v>218</v>
      </c>
      <c r="D113" s="21" t="s">
        <v>207</v>
      </c>
      <c r="E113" s="13">
        <v>42821.673356481479</v>
      </c>
      <c r="F113" s="13">
        <v>42821.677291666667</v>
      </c>
      <c r="G113" s="7">
        <v>1</v>
      </c>
      <c r="H113" s="21" t="s">
        <v>867</v>
      </c>
      <c r="I113" s="13">
        <v>42821.702777777777</v>
      </c>
      <c r="J113" s="7">
        <v>0</v>
      </c>
      <c r="K113" s="97" t="str">
        <f t="shared" si="28"/>
        <v>4015/4016</v>
      </c>
      <c r="L113" s="21" t="str">
        <f>VLOOKUP(A113,'Trips&amp;Operators'!$C$1:$G$99999,5,FALSE)</f>
        <v>STEWART MICHAEL</v>
      </c>
      <c r="M113" s="6">
        <f t="shared" si="29"/>
        <v>2.548611110978527E-2</v>
      </c>
      <c r="N113" s="7">
        <f t="shared" si="48"/>
        <v>36.699999998090789</v>
      </c>
      <c r="O113" s="7"/>
      <c r="P113" s="7"/>
      <c r="Q113" s="22"/>
      <c r="R113" s="22"/>
      <c r="S113" s="31">
        <f t="shared" si="49"/>
        <v>1</v>
      </c>
      <c r="T113" s="46" t="str">
        <f t="shared" si="31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2"/>
        <v>https://d0f6bd738d7f1b3e5a7ca70fe4ff75f0.us-east-1.aws.found.io/app/kibana#/discover/Steve-Slow-Train-Analysis-(2080s-and-2083s)?_g=(refreshInterval:(display:Off,pause:!f,section:0,value:0),time:(from:'2017-03-27T15:09:38-0600',mode:absolute,to:'2017-03-27T17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83" t="str">
        <f t="shared" si="33"/>
        <v>N</v>
      </c>
      <c r="X113" s="183">
        <f t="shared" si="47"/>
        <v>1</v>
      </c>
      <c r="Y113" s="62">
        <f t="shared" si="35"/>
        <v>4.5699999999999998E-2</v>
      </c>
      <c r="Z113" s="62">
        <f t="shared" si="50"/>
        <v>23.322399999999998</v>
      </c>
      <c r="AA113" s="62">
        <f t="shared" si="37"/>
        <v>23.276699999999998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0201-27</v>
      </c>
      <c r="AE113" s="85" t="str">
        <f t="shared" si="39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113" s="82" t="str">
        <f t="shared" si="40"/>
        <v>"C:\Program Files (x86)\AstroGrep\AstroGrep.exe" /e /r /s /spath="%USERPROFILE%\AppData\Local\Temp\OnboardLogs" /stypes="app*4016*20170327*" /stext=" 22:.+((SYSTEM_STATE.+slice.+state.+changed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201-27 --locoid 4016 --swversion DE.1.0.9.0 --startMP 204:457 --initTime 2017-03-27T16:09:38 --startdatetime 2017-03-27T16:15:18 --delay 1 --endMP 204:233224 --enddatetime 2017-03-27T16:52:00 --enforcementcount 0 &gt;&gt;C:\Users\stu\Documents\GitHub\eaglep3-reporting\EC\2017-03-27-refined-times.txt</v>
      </c>
      <c r="AI113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api","custom_fields":[{"id":1,"name":"Subdivision","value":"EC"},{"id":4,"name":"Milepost","value":"23.3224"},{"id":17,"name":"Train ID","value":"201-27"},{"id":16,"name":"Locomotive ID","value":"4016"},{"id":130,"name":"Impact","value":""},{"id":150,"name":"Time of Event (Mountain Time)","value":"16:52:00"},{"id":151,"name":"Denver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 t="s">
        <v>590</v>
      </c>
      <c r="AK113" s="48"/>
      <c r="AL113" s="48"/>
      <c r="AM113" s="150" t="str">
        <f t="shared" si="44"/>
        <v>start /low /b %USERPROFILE%\Documents\GitHub\eaglep3\Utilities\DownloadLogsFromS3.py --loco 4016 --day 2017-03-27</v>
      </c>
      <c r="AN113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762</v>
      </c>
      <c r="B114" s="7">
        <v>4015</v>
      </c>
      <c r="C114" s="21" t="s">
        <v>218</v>
      </c>
      <c r="D114" s="21" t="s">
        <v>868</v>
      </c>
      <c r="E114" s="13">
        <v>42821.713043981479</v>
      </c>
      <c r="F114" s="13">
        <v>42821.716168981482</v>
      </c>
      <c r="G114" s="7">
        <v>1</v>
      </c>
      <c r="H114" s="21" t="s">
        <v>408</v>
      </c>
      <c r="I114" s="13">
        <v>42821.744375000002</v>
      </c>
      <c r="J114" s="7">
        <v>0</v>
      </c>
      <c r="K114" s="97" t="str">
        <f t="shared" si="28"/>
        <v>4015/4016</v>
      </c>
      <c r="L114" s="21" t="str">
        <f>VLOOKUP(A114,'Trips&amp;Operators'!$C$1:$G$99999,5,FALSE)</f>
        <v>STEWART MICHAEL</v>
      </c>
      <c r="M114" s="6">
        <f t="shared" si="29"/>
        <v>2.8206018519995268E-2</v>
      </c>
      <c r="N114" s="7">
        <f t="shared" si="48"/>
        <v>40.616666668793187</v>
      </c>
      <c r="O114" s="7"/>
      <c r="P114" s="7"/>
      <c r="Q114" s="22"/>
      <c r="R114" s="22"/>
      <c r="S114" s="31">
        <f t="shared" si="49"/>
        <v>1</v>
      </c>
      <c r="T114" s="46" t="str">
        <f t="shared" si="31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2"/>
        <v>https://d0f6bd738d7f1b3e5a7ca70fe4ff75f0.us-east-1.aws.found.io/app/kibana#/discover/Steve-Slow-Train-Analysis-(2080s-and-2083s)?_g=(refreshInterval:(display:Off,pause:!f,section:0,value:0),time:(from:'2017-03-27T16:06:47-0600',mode:absolute,to:'2017-03-27T18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83" t="str">
        <f t="shared" si="33"/>
        <v>N</v>
      </c>
      <c r="X114" s="183">
        <f t="shared" si="47"/>
        <v>1</v>
      </c>
      <c r="Y114" s="62">
        <f t="shared" si="35"/>
        <v>23.2973</v>
      </c>
      <c r="Z114" s="62">
        <f t="shared" si="50"/>
        <v>1.6E-2</v>
      </c>
      <c r="AA114" s="62">
        <f t="shared" si="37"/>
        <v>23.281300000000002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0202-27</v>
      </c>
      <c r="AE114" s="85" t="str">
        <f t="shared" si="39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114" s="82" t="str">
        <f t="shared" si="40"/>
        <v>"C:\Program Files (x86)\AstroGrep\AstroGrep.exe" /e /r /s /spath="%USERPROFILE%\AppData\Local\Temp\OnboardLogs" /stypes="app*4015*20170327*" /stext=" 23:.+((SYSTEM_STATE.+slice.+state.+changed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202-27 --locoid 4015 --swversion DE.1.0.9.0 --startMP 204:232973 --initTime 2017-03-27T17:06:47 --startdatetime 2017-03-27T17:11:17 --delay 1 --endMP 204:160 --enddatetime 2017-03-27T17:51:54 --enforcementcount 0 &gt;&gt;C:\Users\stu\Documents\GitHub\eaglep3-reporting\EC\2017-03-27-refined-times.txt</v>
      </c>
      <c r="AI114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api","custom_fields":[{"id":1,"name":"Subdivision","value":"EC"},{"id":4,"name":"Milepost","value":"0.016"},{"id":17,"name":"Train ID","value":"202-27"},{"id":16,"name":"Locomotive ID","value":"4015"},{"id":130,"name":"Impact","value":""},{"id":150,"name":"Time of Event (Mountain Time)","value":"17:51:54"},{"id":151,"name":"Denver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 t="s">
        <v>590</v>
      </c>
      <c r="AK114" s="48"/>
      <c r="AL114" s="48"/>
      <c r="AM114" s="150" t="str">
        <f t="shared" si="44"/>
        <v>start /low /b %USERPROFILE%\Documents\GitHub\eaglep3\Utilities\DownloadLogsFromS3.py --loco 4015 --day 2017-03-27</v>
      </c>
      <c r="AN114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5" spans="1:91" s="20" customFormat="1" x14ac:dyDescent="0.25">
      <c r="A115" s="33" t="s">
        <v>754</v>
      </c>
      <c r="B115" s="7">
        <v>4014</v>
      </c>
      <c r="C115" s="21" t="s">
        <v>218</v>
      </c>
      <c r="D115" s="21" t="s">
        <v>208</v>
      </c>
      <c r="E115" s="13">
        <v>42821.683912037035</v>
      </c>
      <c r="F115" s="13">
        <v>42821.687696759262</v>
      </c>
      <c r="G115" s="7">
        <v>1</v>
      </c>
      <c r="H115" s="21" t="s">
        <v>517</v>
      </c>
      <c r="I115" s="13">
        <v>42821.714733796296</v>
      </c>
      <c r="J115" s="7">
        <v>0</v>
      </c>
      <c r="K115" s="97" t="str">
        <f t="shared" si="28"/>
        <v>4013/4014</v>
      </c>
      <c r="L115" s="21" t="str">
        <f>VLOOKUP(A115,'Trips&amp;Operators'!$C$1:$G$99999,5,FALSE)</f>
        <v>DAVIS MICHAEL</v>
      </c>
      <c r="M115" s="6">
        <f t="shared" si="29"/>
        <v>2.7037037034460809E-2</v>
      </c>
      <c r="N115" s="7">
        <f t="shared" si="48"/>
        <v>38.933333329623565</v>
      </c>
      <c r="O115" s="7"/>
      <c r="P115" s="7"/>
      <c r="Q115" s="22"/>
      <c r="R115" s="22"/>
      <c r="S115" s="31">
        <f t="shared" si="49"/>
        <v>1</v>
      </c>
      <c r="T115" s="46" t="str">
        <f t="shared" si="31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2"/>
        <v>https://d0f6bd738d7f1b3e5a7ca70fe4ff75f0.us-east-1.aws.found.io/app/kibana#/discover/Steve-Slow-Train-Analysis-(2080s-and-2083s)?_g=(refreshInterval:(display:Off,pause:!f,section:0,value:0),time:(from:'2017-03-27T15:24:50-0600',mode:absolute,to:'2017-03-27T18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83" t="str">
        <f t="shared" si="33"/>
        <v>N</v>
      </c>
      <c r="X115" s="183">
        <f t="shared" si="47"/>
        <v>1</v>
      </c>
      <c r="Y115" s="62">
        <f t="shared" si="35"/>
        <v>4.5999999999999999E-2</v>
      </c>
      <c r="Z115" s="62">
        <f t="shared" si="50"/>
        <v>23.331</v>
      </c>
      <c r="AA115" s="62">
        <f t="shared" si="37"/>
        <v>23.285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0203-27</v>
      </c>
      <c r="AE115" s="85" t="str">
        <f t="shared" si="39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15" s="82" t="str">
        <f t="shared" si="40"/>
        <v>"C:\Program Files (x86)\AstroGrep\AstroGrep.exe" /e /r /s /spath="%USERPROFILE%\AppData\Local\Temp\OnboardLogs" /stypes="app*4014*20170327*"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203-27 --locoid 4014 --swversion DE.1.0.9.0 --startMP 204:460 --initTime 2017-03-27T16:24:50 --startdatetime 2017-03-27T16:30:17 --delay 1 --endMP 204:233310 --enddatetime 2017-03-27T17:09:13 --enforcementcount 0 &gt;&gt;C:\Users\stu\Documents\GitHub\eaglep3-reporting\EC\2017-03-27-refined-times.txt</v>
      </c>
      <c r="AI115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api","custom_fields":[{"id":1,"name":"Subdivision","value":"EC"},{"id":4,"name":"Milepost","value":"23.331"},{"id":17,"name":"Train ID","value":"203-27"},{"id":16,"name":"Locomotive ID","value":"4014"},{"id":130,"name":"Impact","value":""},{"id":150,"name":"Time of Event (Mountain Time)","value":"17:09:13"},{"id":151,"name":"Denver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 t="s">
        <v>590</v>
      </c>
      <c r="AK115" s="48"/>
      <c r="AL115" s="48"/>
      <c r="AM115" s="150" t="str">
        <f t="shared" si="44"/>
        <v>start /low /b %USERPROFILE%\Documents\GitHub\eaglep3\Utilities\DownloadLogsFromS3.py --loco 4014 --day 2017-03-27</v>
      </c>
      <c r="AN115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765</v>
      </c>
      <c r="B116" s="7">
        <v>4013</v>
      </c>
      <c r="C116" s="21" t="s">
        <v>218</v>
      </c>
      <c r="D116" s="21" t="s">
        <v>844</v>
      </c>
      <c r="E116" s="13">
        <v>42821.724085648151</v>
      </c>
      <c r="F116" s="13">
        <v>42821.726631944446</v>
      </c>
      <c r="G116" s="7">
        <v>1</v>
      </c>
      <c r="H116" s="21" t="s">
        <v>408</v>
      </c>
      <c r="I116" s="13">
        <v>42821.755497685182</v>
      </c>
      <c r="J116" s="7">
        <v>0</v>
      </c>
      <c r="K116" s="97" t="str">
        <f t="shared" si="28"/>
        <v>4013/4014</v>
      </c>
      <c r="L116" s="21" t="str">
        <f>VLOOKUP(A116,'Trips&amp;Operators'!$C$1:$G$99999,5,FALSE)</f>
        <v>DAVIS MICHAEL</v>
      </c>
      <c r="M116" s="6">
        <f t="shared" si="29"/>
        <v>2.8865740736364387E-2</v>
      </c>
      <c r="N116" s="7">
        <f t="shared" si="48"/>
        <v>41.566666660364717</v>
      </c>
      <c r="O116" s="7"/>
      <c r="P116" s="7"/>
      <c r="Q116" s="22"/>
      <c r="R116" s="22"/>
      <c r="S116" s="31">
        <f t="shared" si="49"/>
        <v>1</v>
      </c>
      <c r="T116" s="46" t="str">
        <f t="shared" si="31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2"/>
        <v>https://d0f6bd738d7f1b3e5a7ca70fe4ff75f0.us-east-1.aws.found.io/app/kibana#/discover/Steve-Slow-Train-Analysis-(2080s-and-2083s)?_g=(refreshInterval:(display:Off,pause:!f,section:0,value:0),time:(from:'2017-03-27T16:22:41-0600',mode:absolute,to:'2017-03-27T19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83" t="str">
        <f t="shared" si="33"/>
        <v>N</v>
      </c>
      <c r="X116" s="183">
        <f t="shared" si="47"/>
        <v>1</v>
      </c>
      <c r="Y116" s="62">
        <f t="shared" si="35"/>
        <v>23.2987</v>
      </c>
      <c r="Z116" s="62">
        <f t="shared" si="50"/>
        <v>1.6E-2</v>
      </c>
      <c r="AA116" s="62">
        <f t="shared" si="37"/>
        <v>23.282700000000002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0204-27</v>
      </c>
      <c r="AE116" s="85" t="str">
        <f t="shared" si="39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116" s="82" t="str">
        <f t="shared" si="40"/>
        <v>"C:\Program Files (x86)\AstroGrep\AstroGrep.exe" /e /r /s /spath="%USERPROFILE%\AppData\Local\Temp\OnboardLogs" /stypes="app*4013*20170328*" /stext=" 00:.+((SYSTEM_STATE.+slice.+state.+changed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204-27 --locoid 4013 --swversion DE.1.0.9.0 --startMP 204:232987 --initTime 2017-03-27T17:22:41 --startdatetime 2017-03-27T17:26:21 --delay 1 --endMP 204:160 --enddatetime 2017-03-27T18:07:55 --enforcementcount 0 &gt;&gt;C:\Users\stu\Documents\GitHub\eaglep3-reporting\EC\2017-03-27-refined-times.txt</v>
      </c>
      <c r="AI116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api","custom_fields":[{"id":1,"name":"Subdivision","value":"EC"},{"id":4,"name":"Milepost","value":"0.016"},{"id":17,"name":"Train ID","value":"204-27"},{"id":16,"name":"Locomotive ID","value":"4013"},{"id":130,"name":"Impact","value":""},{"id":150,"name":"Time of Event (Mountain Time)","value":"18:07:55"},{"id":151,"name":"Denver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 t="s">
        <v>590</v>
      </c>
      <c r="AK116" s="48"/>
      <c r="AL116" s="48"/>
      <c r="AM116" s="150" t="str">
        <f t="shared" si="44"/>
        <v>start /low /b %USERPROFILE%\Documents\GitHub\eaglep3\Utilities\DownloadLogsFromS3.py --loco 4013 --day 2017-03-27</v>
      </c>
      <c r="AN116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758</v>
      </c>
      <c r="B117" s="7">
        <v>4003</v>
      </c>
      <c r="C117" s="21" t="s">
        <v>218</v>
      </c>
      <c r="D117" s="21" t="s">
        <v>869</v>
      </c>
      <c r="E117" s="13">
        <v>42821.692986111113</v>
      </c>
      <c r="F117" s="13">
        <v>42821.698078703703</v>
      </c>
      <c r="G117" s="7">
        <v>1</v>
      </c>
      <c r="H117" s="21" t="s">
        <v>478</v>
      </c>
      <c r="I117" s="13">
        <v>42821.724861111114</v>
      </c>
      <c r="J117" s="7">
        <v>0</v>
      </c>
      <c r="K117" s="97" t="str">
        <f t="shared" si="28"/>
        <v>4003/4004</v>
      </c>
      <c r="L117" s="21" t="str">
        <f>VLOOKUP(A117,'Trips&amp;Operators'!$C$1:$G$99999,5,FALSE)</f>
        <v>CLARK KATHLEEN</v>
      </c>
      <c r="M117" s="6">
        <f t="shared" si="29"/>
        <v>2.6782407410792075E-2</v>
      </c>
      <c r="N117" s="7">
        <f t="shared" si="48"/>
        <v>38.566666671540588</v>
      </c>
      <c r="O117" s="7"/>
      <c r="P117" s="7"/>
      <c r="Q117" s="22"/>
      <c r="R117" s="22"/>
      <c r="S117" s="31">
        <f t="shared" si="49"/>
        <v>1</v>
      </c>
      <c r="T117" s="46" t="str">
        <f t="shared" si="31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2"/>
        <v>https://d0f6bd738d7f1b3e5a7ca70fe4ff75f0.us-east-1.aws.found.io/app/kibana#/discover/Steve-Slow-Train-Analysis-(2080s-and-2083s)?_g=(refreshInterval:(display:Off,pause:!f,section:0,value:0),time:(from:'2017-03-27T15:37:54-0600',mode:absolute,to:'2017-03-27T18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83" t="str">
        <f t="shared" si="33"/>
        <v>N</v>
      </c>
      <c r="X117" s="183">
        <f t="shared" si="47"/>
        <v>1</v>
      </c>
      <c r="Y117" s="62">
        <f t="shared" si="35"/>
        <v>5.4800000000000001E-2</v>
      </c>
      <c r="Z117" s="62">
        <f t="shared" si="50"/>
        <v>23.328900000000001</v>
      </c>
      <c r="AA117" s="62">
        <f t="shared" si="37"/>
        <v>23.274100000000001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0205-27</v>
      </c>
      <c r="AE117" s="85" t="str">
        <f t="shared" si="39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117" s="82" t="str">
        <f t="shared" si="40"/>
        <v>"C:\Program Files (x86)\AstroGrep\AstroGrep.exe" /e /r /s /spath="%USERPROFILE%\AppData\Local\Temp\OnboardLogs" /stypes="app*4003*20170327*" /stext=" 23:.+((SYSTEM_STATE.+slice.+state.+changed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205-27 --locoid 4003 --swversion DE.1.0.9.0 --startMP 204:548 --initTime 2017-03-27T16:37:54 --startdatetime 2017-03-27T16:45:14 --delay 1 --endMP 204:233289 --enddatetime 2017-03-27T17:23:48 --enforcementcount 0 &gt;&gt;C:\Users\stu\Documents\GitHub\eaglep3-reporting\EC\2017-03-27-refined-times.txt</v>
      </c>
      <c r="AI117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api","custom_fields":[{"id":1,"name":"Subdivision","value":"EC"},{"id":4,"name":"Milepost","value":"23.3289"},{"id":17,"name":"Train ID","value":"205-27"},{"id":16,"name":"Locomotive ID","value":"4003"},{"id":130,"name":"Impact","value":""},{"id":150,"name":"Time of Event (Mountain Time)","value":"17:23:48"},{"id":151,"name":"Denver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 t="s">
        <v>590</v>
      </c>
      <c r="AK117" s="48"/>
      <c r="AL117" s="48"/>
      <c r="AM117" s="150" t="str">
        <f t="shared" si="44"/>
        <v>start /low /b %USERPROFILE%\Documents\GitHub\eaglep3\Utilities\DownloadLogsFromS3.py --loco 4003 --day 2017-03-27</v>
      </c>
      <c r="AN117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769</v>
      </c>
      <c r="B118" s="7">
        <v>4004</v>
      </c>
      <c r="C118" s="21" t="s">
        <v>218</v>
      </c>
      <c r="D118" s="21" t="s">
        <v>870</v>
      </c>
      <c r="E118" s="13">
        <v>42821.733668981484</v>
      </c>
      <c r="F118" s="13">
        <v>42821.736967592595</v>
      </c>
      <c r="G118" s="7">
        <v>0</v>
      </c>
      <c r="H118" s="21" t="s">
        <v>871</v>
      </c>
      <c r="I118" s="13">
        <v>42821.765243055554</v>
      </c>
      <c r="J118" s="7">
        <v>0</v>
      </c>
      <c r="K118" s="97" t="str">
        <f t="shared" si="28"/>
        <v>4003/4004</v>
      </c>
      <c r="L118" s="21" t="str">
        <f>VLOOKUP(A118,'Trips&amp;Operators'!$C$1:$G$99999,5,FALSE)</f>
        <v>CLARK KATHLEEN</v>
      </c>
      <c r="M118" s="6">
        <f t="shared" si="29"/>
        <v>2.827546295884531E-2</v>
      </c>
      <c r="N118" s="7">
        <f t="shared" si="48"/>
        <v>40.716666660737246</v>
      </c>
      <c r="O118" s="7"/>
      <c r="P118" s="7"/>
      <c r="Q118" s="22"/>
      <c r="R118" s="22"/>
      <c r="S118" s="31">
        <f t="shared" si="49"/>
        <v>1</v>
      </c>
      <c r="T118" s="46" t="str">
        <f t="shared" si="31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2"/>
        <v>https://d0f6bd738d7f1b3e5a7ca70fe4ff75f0.us-east-1.aws.found.io/app/kibana#/discover/Steve-Slow-Train-Analysis-(2080s-and-2083s)?_g=(refreshInterval:(display:Off,pause:!f,section:0,value:0),time:(from:'2017-03-27T16:36:29-0600',mode:absolute,to:'2017-03-27T19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3" t="str">
        <f t="shared" si="33"/>
        <v>N</v>
      </c>
      <c r="X118" s="183">
        <f t="shared" si="47"/>
        <v>1</v>
      </c>
      <c r="Y118" s="62">
        <f t="shared" si="35"/>
        <v>23.296099999999999</v>
      </c>
      <c r="Z118" s="62">
        <f t="shared" si="50"/>
        <v>1.8100000000000002E-2</v>
      </c>
      <c r="AA118" s="62">
        <f t="shared" si="37"/>
        <v>23.277999999999999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0206-27</v>
      </c>
      <c r="AE118" s="85" t="str">
        <f t="shared" si="39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118" s="82" t="str">
        <f t="shared" si="40"/>
        <v>"C:\Program Files (x86)\AstroGrep\AstroGrep.exe" /e /r /s /spath="%USERPROFILE%\AppData\Local\Temp\OnboardLogs" /stypes="app*4004*20170328*" /stext=" 00:.+((SYSTEM_STATE.+slice.+state.+changed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206-27 --locoid 4004 --swversion DE.1.0.9.0 --startMP 204:232961 --initTime 2017-03-27T17:36:29 --startdatetime 2017-03-27T17:41:14 --delay 0 --endMP 204:181 --enddatetime 2017-03-27T18:21:57 --enforcementcount 0 &gt;&gt;C:\Users\stu\Documents\GitHub\eaglep3-reporting\EC\2017-03-27-refined-times.txt</v>
      </c>
      <c r="AI118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api","custom_fields":[{"id":1,"name":"Subdivision","value":"EC"},{"id":4,"name":"Milepost","value":"0.0181"},{"id":17,"name":"Train ID","value":"206-27"},{"id":16,"name":"Locomotive ID","value":"4004"},{"id":130,"name":"Impact","value":""},{"id":150,"name":"Time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 t="s">
        <v>590</v>
      </c>
      <c r="AK118" s="48"/>
      <c r="AL118" s="48"/>
      <c r="AM118" s="150" t="str">
        <f t="shared" si="44"/>
        <v>start /low /b %USERPROFILE%\Documents\GitHub\eaglep3\Utilities\DownloadLogsFromS3.py --loco 4004 --day 2017-03-27</v>
      </c>
      <c r="AN118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760</v>
      </c>
      <c r="B119" s="7">
        <v>4025</v>
      </c>
      <c r="C119" s="21" t="s">
        <v>218</v>
      </c>
      <c r="D119" s="21" t="s">
        <v>558</v>
      </c>
      <c r="E119" s="13">
        <v>42821.705312500002</v>
      </c>
      <c r="F119" s="13">
        <v>42821.708495370367</v>
      </c>
      <c r="G119" s="7">
        <v>1</v>
      </c>
      <c r="H119" s="21" t="s">
        <v>872</v>
      </c>
      <c r="I119" s="13">
        <v>42821.735277777778</v>
      </c>
      <c r="J119" s="7">
        <v>0</v>
      </c>
      <c r="K119" s="97" t="str">
        <f t="shared" si="28"/>
        <v>4025/4026</v>
      </c>
      <c r="L119" s="21" t="str">
        <f>VLOOKUP(A119,'Trips&amp;Operators'!$C$1:$G$99999,5,FALSE)</f>
        <v>WILLIAMS DONTE</v>
      </c>
      <c r="M119" s="6">
        <f t="shared" si="29"/>
        <v>2.6782407410792075E-2</v>
      </c>
      <c r="N119" s="7">
        <f t="shared" si="48"/>
        <v>38.566666671540588</v>
      </c>
      <c r="O119" s="7"/>
      <c r="P119" s="7"/>
      <c r="Q119" s="22"/>
      <c r="R119" s="22"/>
      <c r="S119" s="31">
        <f t="shared" si="49"/>
        <v>1</v>
      </c>
      <c r="T119" s="46" t="str">
        <f t="shared" si="31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2"/>
        <v>https://d0f6bd738d7f1b3e5a7ca70fe4ff75f0.us-east-1.aws.found.io/app/kibana#/discover/Steve-Slow-Train-Analysis-(2080s-and-2083s)?_g=(refreshInterval:(display:Off,pause:!f,section:0,value:0),time:(from:'2017-03-27T15:55:39-0600',mode:absolute,to:'2017-03-27T18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183" t="str">
        <f t="shared" si="33"/>
        <v>N</v>
      </c>
      <c r="X119" s="183">
        <f t="shared" si="47"/>
        <v>1</v>
      </c>
      <c r="Y119" s="62">
        <f t="shared" si="35"/>
        <v>4.7699999999999999E-2</v>
      </c>
      <c r="Z119" s="62">
        <f t="shared" si="50"/>
        <v>23.336300000000001</v>
      </c>
      <c r="AA119" s="62">
        <f t="shared" si="37"/>
        <v>23.288600000000002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0207-27</v>
      </c>
      <c r="AE119" s="85" t="str">
        <f t="shared" si="39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119" s="82" t="str">
        <f t="shared" si="40"/>
        <v>"C:\Program Files (x86)\AstroGrep\AstroGrep.exe" /e /r /s /spath="%USERPROFILE%\AppData\Local\Temp\OnboardLogs" /stypes="app*4025*20170327*" /stext=" 23:.+((SYSTEM_STATE.+slice.+state.+changed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207-27 --locoid 4025 --swversion DE.1.0.9.0 --startMP 204:477 --initTime 2017-03-27T16:55:39 --startdatetime 2017-03-27T17:00:14 --delay 1 --endMP 204:233363 --enddatetime 2017-03-27T17:38:48 --enforcementcount 0 &gt;&gt;C:\Users\stu\Documents\GitHub\eaglep3-reporting\EC\2017-03-27-refined-times.txt</v>
      </c>
      <c r="AI11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api","custom_fields":[{"id":1,"name":"Subdivision","value":"EC"},{"id":4,"name":"Milepost","value":"23.3363"},{"id":17,"name":"Train ID","value":"207-27"},{"id":16,"name":"Locomotive ID","value":"4025"},{"id":130,"name":"Impact","value":""},{"id":150,"name":"Time of Event (Mountain Time)","value":"17:38:48"},{"id":151,"name":"Denver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 t="s">
        <v>590</v>
      </c>
      <c r="AK119" s="48"/>
      <c r="AL119" s="48"/>
      <c r="AM119" s="150" t="str">
        <f t="shared" si="44"/>
        <v>start /low /b %USERPROFILE%\Documents\GitHub\eaglep3\Utilities\DownloadLogsFromS3.py --loco 4025 --day 2017-03-27</v>
      </c>
      <c r="AN119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773</v>
      </c>
      <c r="B120" s="7">
        <v>4026</v>
      </c>
      <c r="C120" s="21" t="s">
        <v>218</v>
      </c>
      <c r="D120" s="21" t="s">
        <v>861</v>
      </c>
      <c r="E120" s="13">
        <v>42821.741562499999</v>
      </c>
      <c r="F120" s="13">
        <v>42821.747395833336</v>
      </c>
      <c r="G120" s="7">
        <v>1</v>
      </c>
      <c r="H120" s="21" t="s">
        <v>873</v>
      </c>
      <c r="I120" s="13">
        <v>42821.77516203704</v>
      </c>
      <c r="J120" s="7">
        <v>0</v>
      </c>
      <c r="K120" s="97" t="str">
        <f t="shared" si="28"/>
        <v>4025/4026</v>
      </c>
      <c r="L120" s="21" t="str">
        <f>VLOOKUP(A120,'Trips&amp;Operators'!$C$1:$G$99999,5,FALSE)</f>
        <v>WILLIAMS DONTE</v>
      </c>
      <c r="M120" s="6">
        <f t="shared" si="29"/>
        <v>2.7766203704231884E-2</v>
      </c>
      <c r="N120" s="7">
        <f t="shared" si="48"/>
        <v>39.983333334093913</v>
      </c>
      <c r="O120" s="7"/>
      <c r="P120" s="7"/>
      <c r="Q120" s="22"/>
      <c r="R120" s="22"/>
      <c r="S120" s="31">
        <f t="shared" si="49"/>
        <v>1</v>
      </c>
      <c r="T120" s="46" t="str">
        <f t="shared" si="31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2"/>
        <v>https://d0f6bd738d7f1b3e5a7ca70fe4ff75f0.us-east-1.aws.found.io/app/kibana#/discover/Steve-Slow-Train-Analysis-(2080s-and-2083s)?_g=(refreshInterval:(display:Off,pause:!f,section:0,value:0),time:(from:'2017-03-27T16:47:51-0600',mode:absolute,to:'2017-03-27T19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83" t="str">
        <f t="shared" si="33"/>
        <v>N</v>
      </c>
      <c r="X120" s="183">
        <f t="shared" si="47"/>
        <v>1</v>
      </c>
      <c r="Y120" s="62">
        <f t="shared" si="35"/>
        <v>23.3049</v>
      </c>
      <c r="Z120" s="62">
        <f t="shared" si="50"/>
        <v>8.8000000000000005E-3</v>
      </c>
      <c r="AA120" s="62">
        <f t="shared" si="37"/>
        <v>23.296099999999999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0208-27</v>
      </c>
      <c r="AE120" s="85" t="str">
        <f t="shared" si="39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120" s="82" t="str">
        <f t="shared" si="40"/>
        <v>"C:\Program Files (x86)\AstroGrep\AstroGrep.exe" /e /r /s /spath="%USERPROFILE%\AppData\Local\Temp\OnboardLogs" /stypes="app*4026*20170328*" /stext=" 00:.+((SYSTEM_STATE.+slice.+state.+changed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208-27 --locoid 4026 --swversion DE.1.0.9.0 --startMP 204:233049 --initTime 2017-03-27T17:47:51 --startdatetime 2017-03-27T17:56:15 --delay 1 --endMP 204:88 --enddatetime 2017-03-27T18:36:14 --enforcementcount 0 &gt;&gt;C:\Users\stu\Documents\GitHub\eaglep3-reporting\EC\2017-03-27-refined-times.txt</v>
      </c>
      <c r="AI120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api","custom_fields":[{"id":1,"name":"Subdivision","value":"EC"},{"id":4,"name":"Milepost","value":"0.0088"},{"id":17,"name":"Train ID","value":"208-27"},{"id":16,"name":"Locomotive ID","value":"4026"},{"id":130,"name":"Impact","value":""},{"id":150,"name":"Time of Event (Mountain Time)","value":"18:36:14"},{"id":151,"name":"Denver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 t="s">
        <v>590</v>
      </c>
      <c r="AK120" s="48"/>
      <c r="AL120" s="48"/>
      <c r="AM120" s="150" t="str">
        <f t="shared" si="44"/>
        <v>start /low /b %USERPROFILE%\Documents\GitHub\eaglep3\Utilities\DownloadLogsFromS3.py --loco 4026 --day 2017-03-27</v>
      </c>
      <c r="AN120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763</v>
      </c>
      <c r="B121" s="7">
        <v>4051</v>
      </c>
      <c r="C121" s="21" t="s">
        <v>218</v>
      </c>
      <c r="D121" s="21" t="s">
        <v>570</v>
      </c>
      <c r="E121" s="13">
        <v>42821.716249999998</v>
      </c>
      <c r="F121" s="13">
        <v>42821.719363425924</v>
      </c>
      <c r="G121" s="7">
        <v>1</v>
      </c>
      <c r="H121" s="21" t="s">
        <v>574</v>
      </c>
      <c r="I121" s="13">
        <v>42821.745844907404</v>
      </c>
      <c r="J121" s="7">
        <v>0</v>
      </c>
      <c r="K121" s="97" t="str">
        <f t="shared" si="28"/>
        <v>4051/4052</v>
      </c>
      <c r="L121" s="21" t="str">
        <f>VLOOKUP(A121,'Trips&amp;Operators'!$C$1:$G$99999,5,FALSE)</f>
        <v>CHANDLER KELVIN</v>
      </c>
      <c r="M121" s="6">
        <f t="shared" si="29"/>
        <v>2.6481481480004732E-2</v>
      </c>
      <c r="N121" s="7">
        <f t="shared" si="48"/>
        <v>38.133333331206813</v>
      </c>
      <c r="O121" s="7"/>
      <c r="P121" s="7"/>
      <c r="Q121" s="22"/>
      <c r="R121" s="22"/>
      <c r="S121" s="31">
        <f t="shared" si="49"/>
        <v>1</v>
      </c>
      <c r="T121" s="46" t="str">
        <f t="shared" si="31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2"/>
        <v>https://d0f6bd738d7f1b3e5a7ca70fe4ff75f0.us-east-1.aws.found.io/app/kibana#/discover/Steve-Slow-Train-Analysis-(2080s-and-2083s)?_g=(refreshInterval:(display:Off,pause:!f,section:0,value:0),time:(from:'2017-03-27T16:11:24-0600',mode:absolute,to:'2017-03-27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1" s="183" t="str">
        <f t="shared" si="33"/>
        <v>N</v>
      </c>
      <c r="X121" s="183">
        <f t="shared" si="47"/>
        <v>1</v>
      </c>
      <c r="Y121" s="62">
        <f t="shared" si="35"/>
        <v>4.4200000000000003E-2</v>
      </c>
      <c r="Z121" s="62">
        <f t="shared" si="50"/>
        <v>23.332000000000001</v>
      </c>
      <c r="AA121" s="62">
        <f t="shared" si="37"/>
        <v>23.287800000000001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0209-27</v>
      </c>
      <c r="AE121" s="85" t="str">
        <f t="shared" si="39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21" s="82" t="str">
        <f t="shared" si="40"/>
        <v>"C:\Program Files (x86)\AstroGrep\AstroGrep.exe" /e /r /s /spath="%USERPROFILE%\AppData\Local\Temp\OnboardLogs" /stypes="app*4051*20170327*" /stext=" 23:.+((SYSTEM_STATE.+slice.+state.+changed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209-27 --locoid 4051 --swversion DE.1.0.9.0 --startMP 204:442 --initTime 2017-03-27T17:11:24 --startdatetime 2017-03-27T17:15:53 --delay 1 --endMP 204:233320 --enddatetime 2017-03-27T17:54:01 --enforcementcount 0 &gt;&gt;C:\Users\stu\Documents\GitHub\eaglep3-reporting\EC\2017-03-27-refined-times.txt</v>
      </c>
      <c r="AI121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api","custom_fields":[{"id":1,"name":"Subdivision","value":"EC"},{"id":4,"name":"Milepost","value":"23.332"},{"id":17,"name":"Train ID","value":"209-27"},{"id":16,"name":"Locomotive ID","value":"4051"},{"id":130,"name":"Impact","value":""},{"id":150,"name":"Time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 t="s">
        <v>590</v>
      </c>
      <c r="AK121" s="48"/>
      <c r="AL121" s="48"/>
      <c r="AM121" s="150" t="str">
        <f t="shared" si="44"/>
        <v>start /low /b %USERPROFILE%\Documents\GitHub\eaglep3\Utilities\DownloadLogsFromS3.py --loco 4051 --day 2017-03-27</v>
      </c>
      <c r="AN121" s="159" t="str">
        <f t="shared" si="45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775</v>
      </c>
      <c r="B122" s="7">
        <v>4052</v>
      </c>
      <c r="C122" s="21" t="s">
        <v>218</v>
      </c>
      <c r="D122" s="21" t="s">
        <v>874</v>
      </c>
      <c r="E122" s="13">
        <v>42821.755393518521</v>
      </c>
      <c r="F122" s="13">
        <v>42821.758159722223</v>
      </c>
      <c r="G122" s="7">
        <v>1</v>
      </c>
      <c r="H122" s="21" t="s">
        <v>191</v>
      </c>
      <c r="I122" s="13">
        <v>42821.786666666667</v>
      </c>
      <c r="J122" s="7">
        <v>0</v>
      </c>
      <c r="K122" s="97" t="str">
        <f t="shared" si="28"/>
        <v>4051/4052</v>
      </c>
      <c r="L122" s="21" t="str">
        <f>VLOOKUP(A122,'Trips&amp;Operators'!$C$1:$G$99999,5,FALSE)</f>
        <v>CHANDLER KELVIN</v>
      </c>
      <c r="M122" s="6">
        <f t="shared" si="29"/>
        <v>2.8506944443506654E-2</v>
      </c>
      <c r="N122" s="7">
        <f t="shared" si="48"/>
        <v>41.049999998649582</v>
      </c>
      <c r="O122" s="7"/>
      <c r="P122" s="7"/>
      <c r="Q122" s="22"/>
      <c r="R122" s="22"/>
      <c r="S122" s="31">
        <f t="shared" si="49"/>
        <v>1</v>
      </c>
      <c r="T122" s="46" t="str">
        <f t="shared" si="31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2"/>
        <v>https://d0f6bd738d7f1b3e5a7ca70fe4ff75f0.us-east-1.aws.found.io/app/kibana#/discover/Steve-Slow-Train-Analysis-(2080s-and-2083s)?_g=(refreshInterval:(display:Off,pause:!f,section:0,value:0),time:(from:'2017-03-27T17:07:46-0600',mode:absolute,to:'2017-03-27T19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2" s="183" t="str">
        <f t="shared" si="33"/>
        <v>N</v>
      </c>
      <c r="X122" s="183">
        <f t="shared" si="47"/>
        <v>1</v>
      </c>
      <c r="Y122" s="62">
        <f t="shared" si="35"/>
        <v>23.2988</v>
      </c>
      <c r="Z122" s="62">
        <f t="shared" si="50"/>
        <v>1.4999999999999999E-2</v>
      </c>
      <c r="AA122" s="62">
        <f t="shared" si="37"/>
        <v>23.283799999999999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0210-27</v>
      </c>
      <c r="AE122" s="85" t="str">
        <f t="shared" si="39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122" s="82" t="str">
        <f t="shared" si="40"/>
        <v>"C:\Program Files (x86)\AstroGrep\AstroGrep.exe" /e /r /s /spath="%USERPROFILE%\AppData\Local\Temp\OnboardLogs" /stypes="app*4052*20170328*" /stext=" 00:.+((SYSTEM_STATE.+slice.+state.+changed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210-27 --locoid 4052 --swversion DE.1.0.9.0 --startMP 204:232988 --initTime 2017-03-27T18:07:46 --startdatetime 2017-03-27T18:11:45 --delay 1 --endMP 204:150 --enddatetime 2017-03-27T18:52:48 --enforcementcount 0 &gt;&gt;C:\Users\stu\Documents\GitHub\eaglep3-reporting\EC\2017-03-27-refined-times.txt</v>
      </c>
      <c r="AI12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api","custom_fields":[{"id":1,"name":"Subdivision","value":"EC"},{"id":4,"name":"Milepost","value":"0.015"},{"id":17,"name":"Train ID","value":"210-27"},{"id":16,"name":"Locomotive ID","value":"4052"},{"id":130,"name":"Impact","value":""},{"id":150,"name":"Time of Event (Mountain Time)","value":"18:52:48"},{"id":151,"name":"Denver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 t="s">
        <v>590</v>
      </c>
      <c r="AK122" s="48"/>
      <c r="AL122" s="48"/>
      <c r="AM122" s="150" t="str">
        <f t="shared" si="44"/>
        <v>start /low /b %USERPROFILE%\Documents\GitHub\eaglep3\Utilities\DownloadLogsFromS3.py --loco 4052 --day 2017-03-27</v>
      </c>
      <c r="AN122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766</v>
      </c>
      <c r="B123" s="7">
        <v>4040</v>
      </c>
      <c r="C123" s="21" t="s">
        <v>218</v>
      </c>
      <c r="D123" s="21" t="s">
        <v>551</v>
      </c>
      <c r="E123" s="13">
        <v>42821.72556712963</v>
      </c>
      <c r="F123" s="13">
        <v>42821.72934027778</v>
      </c>
      <c r="G123" s="7">
        <v>1</v>
      </c>
      <c r="H123" s="21" t="s">
        <v>553</v>
      </c>
      <c r="I123" s="13">
        <v>42821.754386574074</v>
      </c>
      <c r="J123" s="7">
        <v>0</v>
      </c>
      <c r="K123" s="97" t="str">
        <f t="shared" si="28"/>
        <v>4039/4040</v>
      </c>
      <c r="L123" s="21" t="str">
        <f>VLOOKUP(A123,'Trips&amp;Operators'!$C$1:$G$99999,5,FALSE)</f>
        <v>LOCKLEAR TRAVIS</v>
      </c>
      <c r="M123" s="6">
        <f t="shared" si="29"/>
        <v>2.5046296294021886E-2</v>
      </c>
      <c r="N123" s="7">
        <f t="shared" si="48"/>
        <v>36.066666663391516</v>
      </c>
      <c r="O123" s="7"/>
      <c r="P123" s="7"/>
      <c r="Q123" s="22"/>
      <c r="R123" s="22"/>
      <c r="S123" s="31">
        <f t="shared" si="49"/>
        <v>1</v>
      </c>
      <c r="T123" s="46" t="str">
        <f t="shared" si="31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2"/>
        <v>https://d0f6bd738d7f1b3e5a7ca70fe4ff75f0.us-east-1.aws.found.io/app/kibana#/discover/Steve-Slow-Train-Analysis-(2080s-and-2083s)?_g=(refreshInterval:(display:Off,pause:!f,section:0,value:0),time:(from:'2017-03-27T16:24:49-0600',mode:absolute,to:'2017-03-27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83" t="str">
        <f t="shared" si="33"/>
        <v>N</v>
      </c>
      <c r="X123" s="183">
        <f t="shared" si="47"/>
        <v>1</v>
      </c>
      <c r="Y123" s="62">
        <f t="shared" si="35"/>
        <v>4.6899999999999997E-2</v>
      </c>
      <c r="Z123" s="62">
        <f t="shared" si="50"/>
        <v>23.3323</v>
      </c>
      <c r="AA123" s="62">
        <f t="shared" si="37"/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0211-27</v>
      </c>
      <c r="AE123" s="85" t="str">
        <f t="shared" si="39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123" s="82" t="str">
        <f t="shared" si="40"/>
        <v>"C:\Program Files (x86)\AstroGrep\AstroGrep.exe" /e /r /s /spath="%USERPROFILE%\AppData\Local\Temp\OnboardLogs" /stypes="app*4040*20170328*"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211-27 --locoid 4040 --swversion DE.1.0.9.0 --startMP 204:469 --initTime 2017-03-27T17:24:49 --startdatetime 2017-03-27T17:30:15 --delay 1 --endMP 204:233323 --enddatetime 2017-03-27T18:06:19 --enforcementcount 0 &gt;&gt;C:\Users\stu\Documents\GitHub\eaglep3-reporting\EC\2017-03-27-refined-times.txt</v>
      </c>
      <c r="AI123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api","custom_fields":[{"id":1,"name":"Subdivision","value":"EC"},{"id":4,"name":"Milepost","value":"23.3323"},{"id":17,"name":"Train ID","value":"211-27"},{"id":16,"name":"Locomotive ID","value":"4040"},{"id":130,"name":"Impact","value":""},{"id":150,"name":"Time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 t="s">
        <v>590</v>
      </c>
      <c r="AK123" s="48"/>
      <c r="AL123" s="48"/>
      <c r="AM123" s="150" t="str">
        <f t="shared" si="44"/>
        <v>start /low /b %USERPROFILE%\Documents\GitHub\eaglep3\Utilities\DownloadLogsFromS3.py --loco 4040 --day 2017-03-27</v>
      </c>
      <c r="AN123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779</v>
      </c>
      <c r="B124" s="7">
        <v>4039</v>
      </c>
      <c r="C124" s="21" t="s">
        <v>218</v>
      </c>
      <c r="D124" s="21" t="s">
        <v>552</v>
      </c>
      <c r="E124" s="13">
        <v>42821.765219907407</v>
      </c>
      <c r="F124" s="13">
        <v>42821.768217592595</v>
      </c>
      <c r="G124" s="7">
        <v>1</v>
      </c>
      <c r="H124" s="21" t="s">
        <v>549</v>
      </c>
      <c r="I124" s="13">
        <v>42821.795416666668</v>
      </c>
      <c r="J124" s="7">
        <v>0</v>
      </c>
      <c r="K124" s="97" t="str">
        <f t="shared" si="28"/>
        <v>4039/4040</v>
      </c>
      <c r="L124" s="21" t="str">
        <f>VLOOKUP(A124,'Trips&amp;Operators'!$C$1:$G$99999,5,FALSE)</f>
        <v>LOCKLEAR TRAVIS</v>
      </c>
      <c r="M124" s="6">
        <f t="shared" si="29"/>
        <v>2.7199074072996154E-2</v>
      </c>
      <c r="N124" s="7">
        <f t="shared" si="48"/>
        <v>39.166666665114462</v>
      </c>
      <c r="O124" s="7"/>
      <c r="P124" s="7"/>
      <c r="Q124" s="22"/>
      <c r="R124" s="22"/>
      <c r="S124" s="31">
        <f t="shared" si="49"/>
        <v>1</v>
      </c>
      <c r="T124" s="46" t="str">
        <f t="shared" si="31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2"/>
        <v>https://d0f6bd738d7f1b3e5a7ca70fe4ff75f0.us-east-1.aws.found.io/app/kibana#/discover/Steve-Slow-Train-Analysis-(2080s-and-2083s)?_g=(refreshInterval:(display:Off,pause:!f,section:0,value:0),time:(from:'2017-03-27T17:21:55-0600',mode:absolute,to:'2017-03-27T20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83" t="str">
        <f t="shared" si="33"/>
        <v>N</v>
      </c>
      <c r="X124" s="183">
        <f t="shared" si="47"/>
        <v>1</v>
      </c>
      <c r="Y124" s="62">
        <f t="shared" si="35"/>
        <v>23.3002</v>
      </c>
      <c r="Z124" s="62">
        <f t="shared" si="50"/>
        <v>1.6299999999999999E-2</v>
      </c>
      <c r="AA124" s="62">
        <f t="shared" si="37"/>
        <v>23.283899999999999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0212-27</v>
      </c>
      <c r="AE124" s="85" t="str">
        <f t="shared" si="39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124" s="82" t="str">
        <f t="shared" si="40"/>
        <v>"C:\Program Files (x86)\AstroGrep\AstroGrep.exe" /e /r /s /spath="%USERPROFILE%\AppData\Local\Temp\OnboardLogs" /stypes="app*4039*20170328*" /stext=" 01:.+((SYSTEM_STATE.+slice.+state.+changed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212-27 --locoid 4039 --swversion DE.1.0.9.0 --startMP 204:233002 --initTime 2017-03-27T18:21:55 --startdatetime 2017-03-27T18:26:14 --delay 1 --endMP 204:163 --enddatetime 2017-03-27T19:05:24 --enforcementcount 0 &gt;&gt;C:\Users\stu\Documents\GitHub\eaglep3-reporting\EC\2017-03-27-refined-times.txt</v>
      </c>
      <c r="AI124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api","custom_fields":[{"id":1,"name":"Subdivision","value":"EC"},{"id":4,"name":"Milepost","value":"0.0163"},{"id":17,"name":"Train ID","value":"212-27"},{"id":16,"name":"Locomotive ID","value":"4039"},{"id":130,"name":"Impact","value":""},{"id":150,"name":"Time of Event (Mountain Time)","value":"19:05:24"},{"id":151,"name":"Denver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 t="s">
        <v>590</v>
      </c>
      <c r="AK124" s="48"/>
      <c r="AL124" s="48"/>
      <c r="AM124" s="150" t="str">
        <f t="shared" si="44"/>
        <v>start /low /b %USERPROFILE%\Documents\GitHub\eaglep3\Utilities\DownloadLogsFromS3.py --loco 4039 --day 2017-03-27</v>
      </c>
      <c r="AN124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770</v>
      </c>
      <c r="B125" s="7">
        <v>4053</v>
      </c>
      <c r="C125" s="21" t="s">
        <v>218</v>
      </c>
      <c r="D125" s="21" t="s">
        <v>495</v>
      </c>
      <c r="E125" s="13">
        <v>42821.737256944441</v>
      </c>
      <c r="F125" s="13">
        <v>42821.739942129629</v>
      </c>
      <c r="G125" s="7">
        <v>1</v>
      </c>
      <c r="H125" s="21" t="s">
        <v>499</v>
      </c>
      <c r="I125" s="13">
        <v>42821.765763888892</v>
      </c>
      <c r="J125" s="7">
        <v>0</v>
      </c>
      <c r="K125" s="97" t="str">
        <f t="shared" si="28"/>
        <v>4053/4054</v>
      </c>
      <c r="L125" s="21" t="str">
        <f>VLOOKUP(A125,'Trips&amp;Operators'!$C$1:$G$99999,5,FALSE)</f>
        <v>SMITH MICHAEL</v>
      </c>
      <c r="M125" s="6">
        <f t="shared" si="29"/>
        <v>2.5821759263635613E-2</v>
      </c>
      <c r="N125" s="7">
        <f t="shared" si="48"/>
        <v>37.183333339635283</v>
      </c>
      <c r="O125" s="7"/>
      <c r="P125" s="7"/>
      <c r="Q125" s="22"/>
      <c r="R125" s="22"/>
      <c r="S125" s="31">
        <f t="shared" si="49"/>
        <v>1</v>
      </c>
      <c r="T125" s="46" t="str">
        <f t="shared" si="31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2"/>
        <v>https://d0f6bd738d7f1b3e5a7ca70fe4ff75f0.us-east-1.aws.found.io/app/kibana#/discover/Steve-Slow-Train-Analysis-(2080s-and-2083s)?_g=(refreshInterval:(display:Off,pause:!f,section:0,value:0),time:(from:'2017-03-27T16:41:39-0600',mode:absolute,to:'2017-03-27T19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83" t="str">
        <f t="shared" si="33"/>
        <v>N</v>
      </c>
      <c r="X125" s="183">
        <f t="shared" si="47"/>
        <v>1</v>
      </c>
      <c r="Y125" s="62">
        <f t="shared" si="35"/>
        <v>4.4600000000000001E-2</v>
      </c>
      <c r="Z125" s="62">
        <f t="shared" si="50"/>
        <v>23.331800000000001</v>
      </c>
      <c r="AA125" s="62">
        <f t="shared" si="37"/>
        <v>23.287200000000002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0213-27</v>
      </c>
      <c r="AE125" s="85" t="str">
        <f t="shared" si="39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125" s="82" t="str">
        <f t="shared" si="40"/>
        <v>"C:\Program Files (x86)\AstroGrep\AstroGrep.exe" /e /r /s /spath="%USERPROFILE%\AppData\Local\Temp\OnboardLogs" /stypes="app*4053*20170328*" /stext=" 00:.+((SYSTEM_STATE.+slice.+state.+changed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213-27 --locoid 4053 --swversion DE.1.0.9.0 --startMP 204:446 --initTime 2017-03-27T17:41:39 --startdatetime 2017-03-27T17:45:31 --delay 1 --endMP 204:233318 --enddatetime 2017-03-27T18:22:42 --enforcementcount 0 &gt;&gt;C:\Users\stu\Documents\GitHub\eaglep3-reporting\EC\2017-03-27-refined-times.txt</v>
      </c>
      <c r="AI125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api","custom_fields":[{"id":1,"name":"Subdivision","value":"EC"},{"id":4,"name":"Milepost","value":"23.3318"},{"id":17,"name":"Train ID","value":"213-27"},{"id":16,"name":"Locomotive ID","value":"4053"},{"id":130,"name":"Impact","value":""},{"id":150,"name":"Time of Event (Mountain Time)","value":"18:22:42"},{"id":151,"name":"Denver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 t="s">
        <v>590</v>
      </c>
      <c r="AK125" s="48"/>
      <c r="AL125" s="48"/>
      <c r="AM125" s="150" t="str">
        <f t="shared" si="44"/>
        <v>start /low /b %USERPROFILE%\Documents\GitHub\eaglep3\Utilities\DownloadLogsFromS3.py --loco 4053 --day 2017-03-27</v>
      </c>
      <c r="AN125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781</v>
      </c>
      <c r="B126" s="7">
        <v>4054</v>
      </c>
      <c r="C126" s="21" t="s">
        <v>218</v>
      </c>
      <c r="D126" s="21" t="s">
        <v>875</v>
      </c>
      <c r="E126" s="13">
        <v>42821.820694444446</v>
      </c>
      <c r="F126" s="13">
        <v>42821.821956018517</v>
      </c>
      <c r="G126" s="7">
        <v>1</v>
      </c>
      <c r="H126" s="21" t="s">
        <v>390</v>
      </c>
      <c r="I126" s="13">
        <v>42821.840775462966</v>
      </c>
      <c r="J126" s="7">
        <v>0</v>
      </c>
      <c r="K126" s="97" t="str">
        <f t="shared" si="28"/>
        <v>4053/4054</v>
      </c>
      <c r="L126" s="21" t="str">
        <f>VLOOKUP(A126,'Trips&amp;Operators'!$C$1:$G$99999,5,FALSE)</f>
        <v>SMITH MICHAEL</v>
      </c>
      <c r="M126" s="6">
        <f t="shared" si="29"/>
        <v>1.8819444449036382E-2</v>
      </c>
      <c r="N126" s="7"/>
      <c r="O126" s="7"/>
      <c r="P126" s="7">
        <f>24*60*SUM($M126:$M126)</f>
        <v>27.10000000661239</v>
      </c>
      <c r="Q126" s="22"/>
      <c r="R126" s="22" t="s">
        <v>1025</v>
      </c>
      <c r="S126" s="31">
        <f t="shared" si="49"/>
        <v>1</v>
      </c>
      <c r="T126" s="46" t="str">
        <f t="shared" si="31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2"/>
        <v>https://d0f6bd738d7f1b3e5a7ca70fe4ff75f0.us-east-1.aws.found.io/app/kibana#/discover/Steve-Slow-Train-Analysis-(2080s-and-2083s)?_g=(refreshInterval:(display:Off,pause:!f,section:0,value:0),time:(from:'2017-03-27T18:41:48-0600',mode:absolute,to:'2017-03-27T21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6" s="183" t="str">
        <f t="shared" si="33"/>
        <v>Y</v>
      </c>
      <c r="X126" s="183">
        <f t="shared" si="47"/>
        <v>1</v>
      </c>
      <c r="Y126" s="62">
        <f t="shared" si="35"/>
        <v>12.7851</v>
      </c>
      <c r="Z126" s="62">
        <f t="shared" si="50"/>
        <v>1.4500000000000001E-2</v>
      </c>
      <c r="AA126" s="62">
        <f t="shared" si="37"/>
        <v>12.7706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0214-27</v>
      </c>
      <c r="AE126" s="85" t="str">
        <f t="shared" si="39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26" s="82" t="str">
        <f t="shared" si="40"/>
        <v>"C:\Program Files (x86)\AstroGrep\AstroGrep.exe" /e /r /s /spath="%USERPROFILE%\AppData\Local\Temp\OnboardLogs" /stypes="app*4054*20170328*" /stext=" 02:.+((SYSTEM_STATE.+slice.+state.+changed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214-27 --locoid 4054 --swversion DE.1.0.9.0 --startMP 204:127851 --initTime 2017-03-27T19:41:48 --startdatetime 2017-03-27T19:43:37 --delay 1 --endMP 204:145 --enddatetime 2017-03-27T20:10:43 --enforcementcount 0 &gt;&gt;C:\Users\stu\Documents\GitHub\eaglep3-reporting\EC\2017-03-27-refined-times.txt</v>
      </c>
      <c r="AI126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ID","value":"214-27"},{"id":16,"name":"Locomotive ID","value":"4054"},{"id":130,"name":"Impact","value":""},{"id":150,"name":"Time of Event (Mountain Time)","value":"20:10:43"},{"id":151,"name":"Denver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 t="s">
        <v>590</v>
      </c>
      <c r="AK126" s="48"/>
      <c r="AL126" s="48"/>
      <c r="AM126" s="150" t="str">
        <f t="shared" si="44"/>
        <v>start /low /b %USERPROFILE%\Documents\GitHub\eaglep3\Utilities\DownloadLogsFromS3.py --loco 4054 --day 2017-03-27</v>
      </c>
      <c r="AN126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781</v>
      </c>
      <c r="B127" s="7">
        <v>4054</v>
      </c>
      <c r="C127" s="21" t="s">
        <v>218</v>
      </c>
      <c r="D127" s="21" t="s">
        <v>470</v>
      </c>
      <c r="E127" s="13">
        <v>42821.770185185182</v>
      </c>
      <c r="F127" s="13">
        <v>42821.821956018517</v>
      </c>
      <c r="G127" s="7">
        <v>1</v>
      </c>
      <c r="H127" s="21" t="s">
        <v>876</v>
      </c>
      <c r="I127" s="13">
        <v>42821.840775462966</v>
      </c>
      <c r="J127" s="7">
        <v>0</v>
      </c>
      <c r="K127" s="97" t="str">
        <f t="shared" si="28"/>
        <v>4053/4054</v>
      </c>
      <c r="L127" s="21" t="str">
        <f>VLOOKUP(A127,'Trips&amp;Operators'!$C$1:$G$99999,5,FALSE)</f>
        <v>SMITH MICHAEL</v>
      </c>
      <c r="M127" s="6">
        <f t="shared" si="29"/>
        <v>1.8819444449036382E-2</v>
      </c>
      <c r="N127" s="7"/>
      <c r="O127" s="7"/>
      <c r="P127" s="7"/>
      <c r="Q127" s="22"/>
      <c r="R127" s="22"/>
      <c r="S127" s="31"/>
      <c r="T127" s="46" t="str">
        <f t="shared" si="31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82" t="str">
        <f t="shared" si="32"/>
        <v>https://d0f6bd738d7f1b3e5a7ca70fe4ff75f0.us-east-1.aws.found.io/app/kibana#/discover/Steve-Slow-Train-Analysis-(2080s-and-2083s)?_g=(refreshInterval:(display:Off,pause:!f,section:0,value:0),time:(from:'2017-03-27T17:29:04-0600',mode:absolute,to:'2017-03-27T21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7" s="183" t="str">
        <f t="shared" si="33"/>
        <v>Y</v>
      </c>
      <c r="X127" s="183">
        <f t="shared" si="47"/>
        <v>0</v>
      </c>
      <c r="Y127" s="62">
        <f t="shared" si="35"/>
        <v>23.299399999999999</v>
      </c>
      <c r="Z127" s="62">
        <f t="shared" si="50"/>
        <v>22.309799999999999</v>
      </c>
      <c r="AA127" s="62">
        <f t="shared" si="37"/>
        <v>0.98959999999999937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0214-27</v>
      </c>
      <c r="AE127" s="85" t="str">
        <f t="shared" si="39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27" s="82" t="str">
        <f t="shared" si="40"/>
        <v>"C:\Program Files (x86)\AstroGrep\AstroGrep.exe" /e /r /s /spath="%USERPROFILE%\AppData\Local\Temp\OnboardLogs" /stypes="app*4054*20170328*" /stext=" 02:.+((SYSTEM_STATE.+slice.+state.+changed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214-27 --locoid 4054 --swversion DE.1.0.9.0 --startMP 204:232994 --initTime 2017-03-27T18:29:04 --startdatetime 2017-03-27T19:43:37 --delay 1 --endMP 204:223098 --enddatetime 2017-03-27T20:10:43 --enforcementcount 0 &gt;&gt;C:\Users\stu\Documents\GitHub\eaglep3-reporting\EC\2017-03-27-refined-times.txt</v>
      </c>
      <c r="AI127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api","custom_fields":[{"id":1,"name":"Subdivision","value":"EC"},{"id":4,"name":"Milepost","value":"22.3098"},{"id":17,"name":"Train ID","value":"214-27"},{"id":16,"name":"Locomotive ID","value":"4054"},{"id":130,"name":"Impact","value":""},{"id":150,"name":"Time of Event (Mountain Time)","value":"20:10:43"},{"id":151,"name":"Denver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 t="s">
        <v>590</v>
      </c>
      <c r="AK127" s="48"/>
      <c r="AL127" s="48"/>
      <c r="AM127" s="150" t="str">
        <f t="shared" si="44"/>
        <v>start /low /b %USERPROFILE%\Documents\GitHub\eaglep3\Utilities\DownloadLogsFromS3.py --loco 4054 --day 2017-03-27</v>
      </c>
      <c r="AN127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774</v>
      </c>
      <c r="B128" s="7">
        <v>4016</v>
      </c>
      <c r="C128" s="21" t="s">
        <v>218</v>
      </c>
      <c r="D128" s="21" t="s">
        <v>551</v>
      </c>
      <c r="E128" s="13">
        <v>42821.746087962965</v>
      </c>
      <c r="F128" s="13">
        <v>42821.750196759262</v>
      </c>
      <c r="G128" s="7">
        <v>1</v>
      </c>
      <c r="H128" s="21" t="s">
        <v>877</v>
      </c>
      <c r="I128" s="13">
        <v>42821.774930555555</v>
      </c>
      <c r="J128" s="7">
        <v>0</v>
      </c>
      <c r="K128" s="97" t="str">
        <f t="shared" si="28"/>
        <v>4015/4016</v>
      </c>
      <c r="L128" s="21" t="str">
        <f>VLOOKUP(A128,'Trips&amp;Operators'!$C$1:$G$99999,5,FALSE)</f>
        <v>BRANDNER MELINDA</v>
      </c>
      <c r="M128" s="6">
        <f t="shared" si="29"/>
        <v>2.4733796293730848E-2</v>
      </c>
      <c r="N128" s="7"/>
      <c r="O128" s="7"/>
      <c r="P128" s="7">
        <f>24*60*SUM($M128:$M128)</f>
        <v>35.61666666297242</v>
      </c>
      <c r="Q128" s="22"/>
      <c r="R128" s="22" t="s">
        <v>1025</v>
      </c>
      <c r="S128" s="31">
        <f>SUM(U128:U128)/IF(AG128="EC",12,1)</f>
        <v>1</v>
      </c>
      <c r="T128" s="46" t="str">
        <f t="shared" si="31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2"/>
        <v>https://d0f6bd738d7f1b3e5a7ca70fe4ff75f0.us-east-1.aws.found.io/app/kibana#/discover/Steve-Slow-Train-Analysis-(2080s-and-2083s)?_g=(refreshInterval:(display:Off,pause:!f,section:0,value:0),time:(from:'2017-03-27T16:54:22-0600',mode:absolute,to:'2017-03-27T19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183" t="str">
        <f t="shared" si="33"/>
        <v>Y</v>
      </c>
      <c r="X128" s="183">
        <f t="shared" si="47"/>
        <v>1</v>
      </c>
      <c r="Y128" s="62">
        <f t="shared" si="35"/>
        <v>4.6899999999999997E-2</v>
      </c>
      <c r="Z128" s="62">
        <f t="shared" si="50"/>
        <v>21.2636</v>
      </c>
      <c r="AA128" s="62">
        <f t="shared" si="37"/>
        <v>21.216699999999999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0215-27</v>
      </c>
      <c r="AE128" s="85" t="str">
        <f t="shared" si="39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128" s="82" t="str">
        <f t="shared" si="40"/>
        <v>"C:\Program Files (x86)\AstroGrep\AstroGrep.exe" /e /r /s /spath="%USERPROFILE%\AppData\Local\Temp\OnboardLogs" /stypes="app*4016*20170328*" /stext=" 00:.+((SYSTEM_STATE.+slice.+state.+changed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215-27 --locoid 4016 --swversion DE.1.0.9.0 --startMP 204:469 --initTime 2017-03-27T17:54:22 --startdatetime 2017-03-27T18:00:17 --delay 1 --endMP 204:212636 --enddatetime 2017-03-27T18:35:54 --enforcementcount 0 &gt;&gt;C:\Users\stu\Documents\GitHub\eaglep3-reporting\EC\2017-03-27-refined-times.txt</v>
      </c>
      <c r="AI128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api","custom_fields":[{"id":1,"name":"Subdivision","value":"EC"},{"id":4,"name":"Milepost","value":"21.2636"},{"id":17,"name":"Train ID","value":"215-27"},{"id":16,"name":"Locomotive ID","value":"4016"},{"id":130,"name":"Impact","value":""},{"id":150,"name":"Time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 t="s">
        <v>590</v>
      </c>
      <c r="AK128" s="48"/>
      <c r="AL128" s="48"/>
      <c r="AM128" s="150" t="str">
        <f t="shared" si="44"/>
        <v>start /low /b %USERPROFILE%\Documents\GitHub\eaglep3\Utilities\DownloadLogsFromS3.py --loco 4016 --day 2017-03-27</v>
      </c>
      <c r="AN128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623</v>
      </c>
      <c r="B129" s="7">
        <v>4014</v>
      </c>
      <c r="C129" s="21" t="s">
        <v>218</v>
      </c>
      <c r="D129" s="21" t="s">
        <v>570</v>
      </c>
      <c r="E129" s="13">
        <v>42821.7578125</v>
      </c>
      <c r="F129" s="13">
        <v>42821.76090277778</v>
      </c>
      <c r="G129" s="7">
        <v>1</v>
      </c>
      <c r="H129" s="21" t="s">
        <v>878</v>
      </c>
      <c r="I129" s="13">
        <v>42821.787002314813</v>
      </c>
      <c r="J129" s="7">
        <v>0</v>
      </c>
      <c r="K129" s="97" t="str">
        <f t="shared" si="28"/>
        <v>4013/4014</v>
      </c>
      <c r="L129" s="21" t="str">
        <f>VLOOKUP(A129,'Trips&amp;Operators'!$C$1:$G$99999,5,FALSE)</f>
        <v>GUZMAN DANNY</v>
      </c>
      <c r="M129" s="6">
        <f t="shared" si="29"/>
        <v>2.6099537033587694E-2</v>
      </c>
      <c r="N129" s="7"/>
      <c r="O129" s="7"/>
      <c r="P129" s="7">
        <f>24*60*SUM($M129:$M129)</f>
        <v>37.58333332836628</v>
      </c>
      <c r="Q129" s="22"/>
      <c r="R129" s="22" t="s">
        <v>1025</v>
      </c>
      <c r="S129" s="31">
        <f>SUM(U129:U129)/IF(AG129="EC",12,1)</f>
        <v>1</v>
      </c>
      <c r="T129" s="46" t="str">
        <f t="shared" si="31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2"/>
        <v>https://d0f6bd738d7f1b3e5a7ca70fe4ff75f0.us-east-1.aws.found.io/app/kibana#/discover/Steve-Slow-Train-Analysis-(2080s-and-2083s)?_g=(refreshInterval:(display:Off,pause:!f,section:0,value:0),time:(from:'2017-03-27T17:11:15-0600',mode:absolute,to:'2017-03-27T19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83" t="str">
        <f t="shared" si="33"/>
        <v>Y</v>
      </c>
      <c r="X129" s="183">
        <f t="shared" si="47"/>
        <v>2</v>
      </c>
      <c r="Y129" s="62">
        <f t="shared" si="35"/>
        <v>4.4200000000000003E-2</v>
      </c>
      <c r="Z129" s="62">
        <f t="shared" si="50"/>
        <v>19.0199</v>
      </c>
      <c r="AA129" s="62">
        <f t="shared" si="37"/>
        <v>18.9757</v>
      </c>
      <c r="AB129" s="59" t="str">
        <f>VLOOKUP(A129,Enforcements!$C$7:$K$13,8,0)</f>
        <v>Bulletin (2)</v>
      </c>
      <c r="AC129" s="55" t="str">
        <f>VLOOKUP(A129,Enforcements!$C$7:$E$13,3,0)</f>
        <v>GRADE CROSSING</v>
      </c>
      <c r="AD129" s="56" t="str">
        <f t="shared" si="38"/>
        <v>0217-27</v>
      </c>
      <c r="AE129" s="85" t="str">
        <f t="shared" si="39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29" s="82" t="str">
        <f t="shared" si="40"/>
        <v>"C:\Program Files (x86)\AstroGrep\AstroGrep.exe" /e /r /s /spath="%USERPROFILE%\AppData\Local\Temp\OnboardLogs" /stypes="app*4014*20170328*" /stext=" 00:.+((SYSTEM_STATE.+slice.+state.+changed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217-27 --locoid 4014 --swversion DE.1.0.9.0 --startMP 204:442 --initTime 2017-03-27T18:11:15 --startdatetime 2017-03-27T18:15:42 --delay 1 --endMP 204:190199 --enddatetime 2017-03-27T18:53:17 --enforcementcount 0 &gt;&gt;C:\Users\stu\Documents\GitHub\eaglep3-reporting\EC\2017-03-27-refined-times.txt</v>
      </c>
      <c r="AI129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api","custom_fields":[{"id":1,"name":"Subdivision","value":"EC"},{"id":4,"name":"Milepost","value":"19.0199"},{"id":17,"name":"Train ID","value":"217-27"},{"id":16,"name":"Locomotive ID","value":"4014"},{"id":130,"name":"Impact","value":""},{"id":150,"name":"Time of Event (Mountain Time)","value":"18:53:17"},{"id":151,"name":"Denver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 t="s">
        <v>590</v>
      </c>
      <c r="AK129" s="48"/>
      <c r="AL129" s="48"/>
      <c r="AM129" s="150" t="str">
        <f t="shared" si="44"/>
        <v>start /low /b %USERPROFILE%\Documents\GitHub\eaglep3\Utilities\DownloadLogsFromS3.py --loco 4014 --day 2017-03-27</v>
      </c>
      <c r="AN129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780</v>
      </c>
      <c r="B130" s="7">
        <v>4003</v>
      </c>
      <c r="C130" s="21" t="s">
        <v>218</v>
      </c>
      <c r="D130" s="21" t="s">
        <v>879</v>
      </c>
      <c r="E130" s="13">
        <v>42821.767546296294</v>
      </c>
      <c r="F130" s="13">
        <v>42821.771099537036</v>
      </c>
      <c r="G130" s="7">
        <v>2</v>
      </c>
      <c r="H130" s="21" t="s">
        <v>880</v>
      </c>
      <c r="I130" s="13">
        <v>42821.857847222222</v>
      </c>
      <c r="J130" s="7">
        <v>0</v>
      </c>
      <c r="K130" s="97" t="str">
        <f t="shared" si="28"/>
        <v>4003/4004</v>
      </c>
      <c r="L130" s="21" t="str">
        <f>VLOOKUP(A130,'Trips&amp;Operators'!$C$1:$G$99999,5,FALSE)</f>
        <v>STORY SAMANTHA</v>
      </c>
      <c r="M130" s="6">
        <f t="shared" si="29"/>
        <v>8.6747685185400769E-2</v>
      </c>
      <c r="N130" s="7"/>
      <c r="O130" s="7"/>
      <c r="P130" s="7">
        <f>24*60*SUM($M130:$M130)</f>
        <v>124.91666666697711</v>
      </c>
      <c r="Q130" s="22"/>
      <c r="R130" s="22" t="s">
        <v>1025</v>
      </c>
      <c r="S130" s="31">
        <f>SUM(U130:U130)/IF(AG130="EC",12,1)</f>
        <v>1</v>
      </c>
      <c r="T130" s="46" t="str">
        <f t="shared" si="31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2"/>
        <v>https://d0f6bd738d7f1b3e5a7ca70fe4ff75f0.us-east-1.aws.found.io/app/kibana#/discover/Steve-Slow-Train-Analysis-(2080s-and-2083s)?_g=(refreshInterval:(display:Off,pause:!f,section:0,value:0),time:(from:'2017-03-27T17:25:16-0600',mode:absolute,to:'2017-03-27T21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3" t="str">
        <f t="shared" si="33"/>
        <v>Y</v>
      </c>
      <c r="X130" s="183">
        <f t="shared" si="47"/>
        <v>2</v>
      </c>
      <c r="Y130" s="62">
        <f t="shared" si="35"/>
        <v>4.8899999999999999E-2</v>
      </c>
      <c r="Z130" s="62">
        <f t="shared" si="50"/>
        <v>21.362200000000001</v>
      </c>
      <c r="AA130" s="62">
        <f t="shared" si="37"/>
        <v>21.313300000000002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0219-27</v>
      </c>
      <c r="AE130" s="85" t="str">
        <f t="shared" si="39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130" s="82" t="str">
        <f t="shared" si="40"/>
        <v>"C:\Program Files (x86)\AstroGrep\AstroGrep.exe" /e /r /s /spath="%USERPROFILE%\AppData\Local\Temp\OnboardLogs" /stypes="app*4003*20170328*" /stext=" 02:.+((SYSTEM_STATE.+slice.+state.+changed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219-27 --locoid 4003 --swversion DE.1.0.9.0 --startMP 204:489 --initTime 2017-03-27T18:25:16 --startdatetime 2017-03-27T18:30:23 --delay 2 --endMP 204:213622 --enddatetime 2017-03-27T20:35:18 --enforcementcount 0 &gt;&gt;C:\Users\stu\Documents\GitHub\eaglep3-reporting\EC\2017-03-27-refined-times.txt</v>
      </c>
      <c r="AI130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api","custom_fields":[{"id":1,"name":"Subdivision","value":"EC"},{"id":4,"name":"Milepost","value":"21.3622"},{"id":17,"name":"Train ID","value":"219-27"},{"id":16,"name":"Locomotive ID","value":"4003"},{"id":130,"name":"Impact","value":""},{"id":150,"name":"Time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 t="s">
        <v>590</v>
      </c>
      <c r="AK130" s="48"/>
      <c r="AL130" s="48"/>
      <c r="AM130" s="150" t="str">
        <f t="shared" si="44"/>
        <v>start /low /b %USERPROFILE%\Documents\GitHub\eaglep3\Utilities\DownloadLogsFromS3.py --loco 4003 --day 2017-03-27</v>
      </c>
      <c r="AN130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792</v>
      </c>
      <c r="B131" s="7">
        <v>4013</v>
      </c>
      <c r="C131" s="21" t="s">
        <v>218</v>
      </c>
      <c r="D131" s="21" t="s">
        <v>881</v>
      </c>
      <c r="E131" s="13">
        <v>42821.807245370372</v>
      </c>
      <c r="F131" s="13">
        <v>42821.837314814817</v>
      </c>
      <c r="G131" s="7">
        <v>1</v>
      </c>
      <c r="H131" s="21" t="s">
        <v>882</v>
      </c>
      <c r="I131" s="13">
        <v>42821.83965277778</v>
      </c>
      <c r="J131" s="7">
        <v>0</v>
      </c>
      <c r="K131" s="97" t="str">
        <f t="shared" si="28"/>
        <v>4013/4014</v>
      </c>
      <c r="L131" s="21" t="str">
        <f>VLOOKUP(A131,'Trips&amp;Operators'!$C$1:$G$99999,5,FALSE)</f>
        <v>GUZMAN DANNY</v>
      </c>
      <c r="M131" s="6">
        <f t="shared" si="29"/>
        <v>2.3379629637929611E-3</v>
      </c>
      <c r="N131" s="7"/>
      <c r="O131" s="7"/>
      <c r="P131" s="7">
        <f>24*60*SUM($M131:$M132)</f>
        <v>23.40000000083819</v>
      </c>
      <c r="Q131" s="22"/>
      <c r="R131" s="22" t="s">
        <v>1025</v>
      </c>
      <c r="S131" s="31">
        <f>SUM(U131:U132)/IF(AG131="EC",12,1)</f>
        <v>0.83333333333333337</v>
      </c>
      <c r="T131" s="46" t="str">
        <f t="shared" si="31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82" t="str">
        <f t="shared" si="32"/>
        <v>https://d0f6bd738d7f1b3e5a7ca70fe4ff75f0.us-east-1.aws.found.io/app/kibana#/discover/Steve-Slow-Train-Analysis-(2080s-and-2083s)?_g=(refreshInterval:(display:Off,pause:!f,section:0,value:0),time:(from:'2017-03-27T18:22:26-0600',mode:absolute,to:'2017-03-27T21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183" t="str">
        <f t="shared" si="33"/>
        <v>Y</v>
      </c>
      <c r="X131" s="183">
        <f t="shared" si="47"/>
        <v>1</v>
      </c>
      <c r="Y131" s="62">
        <f t="shared" si="35"/>
        <v>23.309100000000001</v>
      </c>
      <c r="Z131" s="62">
        <f t="shared" si="50"/>
        <v>22.0946</v>
      </c>
      <c r="AA131" s="62">
        <f t="shared" si="37"/>
        <v>1.214500000000001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8"/>
        <v>0220-27</v>
      </c>
      <c r="AE131" s="85" t="str">
        <f t="shared" si="39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131" s="82" t="str">
        <f t="shared" si="40"/>
        <v>"C:\Program Files (x86)\AstroGrep\AstroGrep.exe" /e /r /s /spath="%USERPROFILE%\AppData\Local\Temp\OnboardLogs" /stypes="app*4013*20170328*" /stext=" 02:.+((SYSTEM_STATE.+slice.+state.+changed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220-27 --locoid 4013 --swversion DE.1.0.9.0 --startMP 204:233091 --initTime 2017-03-27T19:22:26 --startdatetime 2017-03-27T20:05:44 --delay 1 --endMP 204:220946 --enddatetime 2017-03-27T20:09:06 --enforcementcount 0 &gt;&gt;C:\Users\stu\Documents\GitHub\eaglep3-reporting\EC\2017-03-27-refined-times.txt</v>
      </c>
      <c r="AI131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api","custom_fields":[{"id":1,"name":"Subdivision","value":"EC"},{"id":4,"name":"Milepost","value":"22.0946"},{"id":17,"name":"Train ID","value":"220-27"},{"id":16,"name":"Locomotive ID","value":"4013"},{"id":130,"name":"Impact","value":""},{"id":150,"name":"Time of Event (Mountain Time)","value":"20:09:06"},{"id":151,"name":"Denver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 t="s">
        <v>590</v>
      </c>
      <c r="AK131" s="48"/>
      <c r="AL131" s="48"/>
      <c r="AM131" s="150" t="str">
        <f t="shared" si="44"/>
        <v>start /low /b %USERPROFILE%\Documents\GitHub\eaglep3\Utilities\DownloadLogsFromS3.py --loco 4013 --day 2017-03-27</v>
      </c>
      <c r="AN131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792</v>
      </c>
      <c r="B132" s="7">
        <v>4013</v>
      </c>
      <c r="C132" s="21" t="s">
        <v>218</v>
      </c>
      <c r="D132" s="21" t="s">
        <v>555</v>
      </c>
      <c r="E132" s="13">
        <v>42821.854224537034</v>
      </c>
      <c r="F132" s="13">
        <v>42821.857974537037</v>
      </c>
      <c r="G132" s="7">
        <v>5</v>
      </c>
      <c r="H132" s="21" t="s">
        <v>390</v>
      </c>
      <c r="I132" s="13">
        <v>42821.871886574074</v>
      </c>
      <c r="J132" s="7">
        <v>0</v>
      </c>
      <c r="K132" s="97" t="str">
        <f t="shared" si="28"/>
        <v>4013/4014</v>
      </c>
      <c r="L132" s="21" t="str">
        <f>VLOOKUP(A132,'Trips&amp;Operators'!$C$1:$G$99999,5,FALSE)</f>
        <v>GUZMAN DANNY</v>
      </c>
      <c r="M132" s="6">
        <f t="shared" si="29"/>
        <v>1.3912037036789116E-2</v>
      </c>
      <c r="N132" s="7"/>
      <c r="O132" s="7"/>
      <c r="P132" s="7"/>
      <c r="Q132" s="22"/>
      <c r="R132" s="22"/>
      <c r="S132" s="31"/>
      <c r="T132" s="46" t="str">
        <f t="shared" si="31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10</v>
      </c>
      <c r="V132" s="182" t="str">
        <f t="shared" si="32"/>
        <v>https://d0f6bd738d7f1b3e5a7ca70fe4ff75f0.us-east-1.aws.found.io/app/kibana#/discover/Steve-Slow-Train-Analysis-(2080s-and-2083s)?_g=(refreshInterval:(display:Off,pause:!f,section:0,value:0),time:(from:'2017-03-27T19:30:05-0600',mode:absolute,to:'2017-03-27T21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183" t="str">
        <f t="shared" si="33"/>
        <v>Y</v>
      </c>
      <c r="X132" s="183">
        <f t="shared" si="47"/>
        <v>0</v>
      </c>
      <c r="Y132" s="62">
        <f t="shared" si="35"/>
        <v>8.6353000000000009</v>
      </c>
      <c r="Z132" s="62">
        <f t="shared" si="50"/>
        <v>1.4500000000000001E-2</v>
      </c>
      <c r="AA132" s="62">
        <f t="shared" si="37"/>
        <v>8.6208000000000009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8"/>
        <v>0220-27</v>
      </c>
      <c r="AE132" s="85" t="str">
        <f t="shared" si="39"/>
        <v>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 &amp; 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</v>
      </c>
      <c r="AF132" s="82" t="str">
        <f t="shared" si="40"/>
        <v>"C:\Program Files (x86)\AstroGrep\AstroGrep.exe" /e /r /s /spath="%USERPROFILE%\AppData\Local\Temp\OnboardLogs" /stypes="app*4013*20170328*" /stext=" 02:.+((SYSTEM_STATE.+slice.+state.+changed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220-27 --locoid 4013 --swversion DE.1.0.9.0 --startMP 204:86353 --initTime 2017-03-27T20:30:05 --startdatetime 2017-03-27T20:35:29 --delay 5 --endMP 204:145 --enddatetime 2017-03-27T20:55:31 --enforcementcount 0 &gt;&gt;C:\Users\stu\Documents\GitHub\eaglep3-reporting\EC\2017-03-27-refined-times.txt</v>
      </c>
      <c r="AI132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ID","value":"220-27"},{"id":16,"name":"Locomotive ID","value":"4013"},{"id":130,"name":"Impact","value":""},{"id":150,"name":"Time of Event (Mountain Time)","value":"20:55:31"},{"id":151,"name":"Denver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 t="s">
        <v>590</v>
      </c>
      <c r="AK132" s="48"/>
      <c r="AL132" s="48"/>
      <c r="AM132" s="150" t="str">
        <f t="shared" si="44"/>
        <v>start /low /b %USERPROFILE%\Documents\GitHub\eaglep3\Utilities\DownloadLogsFromS3.py --loco 4013 --day 2017-03-27</v>
      </c>
      <c r="AN132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785</v>
      </c>
      <c r="B133" s="7">
        <v>4051</v>
      </c>
      <c r="C133" s="21" t="s">
        <v>218</v>
      </c>
      <c r="D133" s="21" t="s">
        <v>570</v>
      </c>
      <c r="E133" s="13">
        <v>42821.789965277778</v>
      </c>
      <c r="F133" s="13">
        <v>42821.791909722226</v>
      </c>
      <c r="G133" s="7">
        <v>1</v>
      </c>
      <c r="H133" s="21" t="s">
        <v>883</v>
      </c>
      <c r="I133" s="13">
        <v>42821.814837962964</v>
      </c>
      <c r="J133" s="7">
        <v>0</v>
      </c>
      <c r="K133" s="97" t="str">
        <f t="shared" si="28"/>
        <v>4051/4052</v>
      </c>
      <c r="L133" s="21" t="str">
        <f>VLOOKUP(A133,'Trips&amp;Operators'!$C$1:$G$99999,5,FALSE)</f>
        <v>MAGEE KENYA</v>
      </c>
      <c r="M133" s="6">
        <f t="shared" si="29"/>
        <v>2.2928240738110617E-2</v>
      </c>
      <c r="N133" s="7">
        <f>24*60*SUM($M133:$M133)</f>
        <v>33.016666662879288</v>
      </c>
      <c r="O133" s="7"/>
      <c r="P133" s="7"/>
      <c r="Q133" s="22"/>
      <c r="R133" s="22" t="s">
        <v>1025</v>
      </c>
      <c r="S133" s="31">
        <f t="shared" ref="S133:S138" si="51">SUM(U133:U133)/IF(AG133="EC",12,1)</f>
        <v>1</v>
      </c>
      <c r="T133" s="46" t="str">
        <f t="shared" si="31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2"/>
        <v>https://d0f6bd738d7f1b3e5a7ca70fe4ff75f0.us-east-1.aws.found.io/app/kibana#/discover/Steve-Slow-Train-Analysis-(2080s-and-2083s)?_g=(refreshInterval:(display:Off,pause:!f,section:0,value:0),time:(from:'2017-03-27T17:57:33-0600',mode:absolute,to:'2017-03-27T20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183" t="str">
        <f t="shared" si="33"/>
        <v>Y</v>
      </c>
      <c r="X133" s="183">
        <f t="shared" ref="X133:X136" si="52">VALUE(LEFT(AD133,4))-VALUE(LEFT(AD132,4))</f>
        <v>1</v>
      </c>
      <c r="Y133" s="62">
        <f t="shared" si="35"/>
        <v>4.4200000000000003E-2</v>
      </c>
      <c r="Z133" s="62">
        <f t="shared" si="50"/>
        <v>15.422700000000001</v>
      </c>
      <c r="AA133" s="62">
        <f t="shared" si="37"/>
        <v>15.378500000000001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0221-27</v>
      </c>
      <c r="AE133" s="85" t="str">
        <f t="shared" si="39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33" s="82" t="str">
        <f t="shared" si="40"/>
        <v>"C:\Program Files (x86)\AstroGrep\AstroGrep.exe" /e /r /s /spath="%USERPROFILE%\AppData\Local\Temp\OnboardLogs" /stypes="app*4051*20170328*" /stext=" 01:.+((SYSTEM_STATE.+slice.+state.+changed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221-27 --locoid 4051 --swversion DE.1.0.9.0 --startMP 204:442 --initTime 2017-03-27T18:57:33 --startdatetime 2017-03-27T19:00:21 --delay 1 --endMP 204:154227 --enddatetime 2017-03-27T19:33:22 --enforcementcount 0 &gt;&gt;C:\Users\stu\Documents\GitHub\eaglep3-reporting\EC\2017-03-27-refined-times.txt</v>
      </c>
      <c r="AI133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api","custom_fields":[{"id":1,"name":"Subdivision","value":"EC"},{"id":4,"name":"Milepost","value":"15.4227"},{"id":17,"name":"Train ID","value":"221-27"},{"id":16,"name":"Locomotive ID","value":"4051"},{"id":130,"name":"Impact","value":""},{"id":150,"name":"Time of Event (Mountain Time)","value":"19:33:22"},{"id":151,"name":"Denver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 t="s">
        <v>590</v>
      </c>
      <c r="AK133" s="48"/>
      <c r="AL133" s="48"/>
      <c r="AM133" s="150" t="str">
        <f t="shared" si="44"/>
        <v>start /low /b %USERPROFILE%\Documents\GitHub\eaglep3\Utilities\DownloadLogsFromS3.py --loco 4051 --day 2017-03-27</v>
      </c>
      <c r="AN133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794</v>
      </c>
      <c r="B134" s="7">
        <v>4052</v>
      </c>
      <c r="C134" s="21" t="s">
        <v>218</v>
      </c>
      <c r="D134" s="21" t="s">
        <v>884</v>
      </c>
      <c r="E134" s="13">
        <v>42821.839050925926</v>
      </c>
      <c r="F134" s="13">
        <v>42821.842349537037</v>
      </c>
      <c r="G134" s="7">
        <v>3</v>
      </c>
      <c r="H134" s="21" t="s">
        <v>885</v>
      </c>
      <c r="I134" s="13">
        <v>42821.843055555553</v>
      </c>
      <c r="J134" s="7">
        <v>0</v>
      </c>
      <c r="K134" s="97" t="str">
        <f t="shared" si="28"/>
        <v>4051/4052</v>
      </c>
      <c r="L134" s="21" t="str">
        <f>VLOOKUP(A134,'Trips&amp;Operators'!$C$1:$G$99999,5,FALSE)</f>
        <v>MAGEE KENYA</v>
      </c>
      <c r="M134" s="6">
        <f t="shared" si="29"/>
        <v>7.0601851621177047E-4</v>
      </c>
      <c r="N134" s="7"/>
      <c r="O134" s="7"/>
      <c r="P134" s="7">
        <f>24*60*SUM($M134:$M134)</f>
        <v>1.0166666633449495</v>
      </c>
      <c r="Q134" s="22"/>
      <c r="R134" s="22" t="s">
        <v>1026</v>
      </c>
      <c r="S134" s="31">
        <f t="shared" si="51"/>
        <v>0</v>
      </c>
      <c r="T134" s="46" t="str">
        <f t="shared" si="31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182" t="str">
        <f t="shared" si="32"/>
        <v>https://d0f6bd738d7f1b3e5a7ca70fe4ff75f0.us-east-1.aws.found.io/app/kibana#/discover/Steve-Slow-Train-Analysis-(2080s-and-2083s)?_g=(refreshInterval:(display:Off,pause:!f,section:0,value:0),time:(from:'2017-03-27T19:08:14-0600',mode:absolute,to:'2017-03-27T21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183" t="str">
        <f t="shared" si="33"/>
        <v>Y</v>
      </c>
      <c r="X134" s="183">
        <f t="shared" si="52"/>
        <v>1</v>
      </c>
      <c r="Y134" s="62">
        <f t="shared" si="35"/>
        <v>15.395799999999999</v>
      </c>
      <c r="Z134" s="62">
        <f t="shared" si="50"/>
        <v>15.3721</v>
      </c>
      <c r="AA134" s="62">
        <f t="shared" si="37"/>
        <v>2.3699999999999832E-2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0222-27</v>
      </c>
      <c r="AE134" s="85" t="str">
        <f t="shared" si="39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134" s="82" t="str">
        <f t="shared" si="40"/>
        <v>"C:\Program Files (x86)\AstroGrep\AstroGrep.exe" /e /r /s /spath="%USERPROFILE%\AppData\Local\Temp\OnboardLogs" /stypes="app*4052*20170328*" /stext=" 02:.+((SYSTEM_STATE.+slice.+state.+changed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222-27 --locoid 4052 --swversion DE.1.0.9.0 --startMP 204:153958 --initTime 2017-03-27T20:08:14 --startdatetime 2017-03-27T20:12:59 --delay 3 --endMP 204:153721 --enddatetime 2017-03-27T20:14:00 --enforcementcount 0 &gt;&gt;C:\Users\stu\Documents\GitHub\eaglep3-reporting\EC\2017-03-27-refined-times.txt</v>
      </c>
      <c r="AI134" s="104" t="str">
        <f t="shared" si="43"/>
        <v>echo {"issue":{"subject":"Onboard in-route failure","project_id":79,"tracker_id":40,"status_id":1,"priority_id":2,"assigned_to_id":23,"start_date":"2017-03-27","description":"test from api","custom_fields":[{"id":1,"name":"Subdivision","value":"EC"},{"id":4,"name":"Milepost","value":"15.3721"},{"id":17,"name":"Train ID","value":"222-27"},{"id":16,"name":"Locomotive ID","value":"4052"},{"id":130,"name":"Impact","value":""},{"id":150,"name":"Time of Event (Mountain Time)","value":"20:14:00"},{"id":151,"name":"Denver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 t="s">
        <v>590</v>
      </c>
      <c r="AK134" s="48"/>
      <c r="AL134" s="48"/>
      <c r="AM134" s="150" t="str">
        <f t="shared" si="44"/>
        <v>start /low /b %USERPROFILE%\Documents\GitHub\eaglep3\Utilities\DownloadLogsFromS3.py --loco 4052 --day 2017-03-27</v>
      </c>
      <c r="AN134" s="159" t="str">
        <f t="shared" si="45"/>
        <v>echo {"issue":{"subject":"Onboard in-route failure","project_id":30,"tracker_id":4,"status_id":1,"priority_id":1,"assigned_to_id":10,"start_date":"2017-03-28","description":"test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791</v>
      </c>
      <c r="B135" s="7">
        <v>4027</v>
      </c>
      <c r="C135" s="21" t="s">
        <v>218</v>
      </c>
      <c r="D135" s="21" t="s">
        <v>440</v>
      </c>
      <c r="E135" s="13">
        <v>42821.802905092591</v>
      </c>
      <c r="F135" s="13">
        <v>42821.812708333331</v>
      </c>
      <c r="G135" s="7">
        <v>2</v>
      </c>
      <c r="H135" s="21" t="s">
        <v>886</v>
      </c>
      <c r="I135" s="13">
        <v>42821.828773148147</v>
      </c>
      <c r="J135" s="7">
        <v>0</v>
      </c>
      <c r="K135" s="97" t="str">
        <f t="shared" si="28"/>
        <v>4027/4028</v>
      </c>
      <c r="L135" s="21" t="str">
        <f>VLOOKUP(A135,'Trips&amp;Operators'!$C$1:$G$99999,5,FALSE)</f>
        <v>DUNCAN SHEILA</v>
      </c>
      <c r="M135" s="6">
        <f t="shared" si="29"/>
        <v>1.6064814815763384E-2</v>
      </c>
      <c r="N135" s="7">
        <f>24*60*SUM($M135:$M135)</f>
        <v>23.133333334699273</v>
      </c>
      <c r="O135" s="7"/>
      <c r="P135" s="7"/>
      <c r="Q135" s="22"/>
      <c r="R135" s="22" t="s">
        <v>1025</v>
      </c>
      <c r="S135" s="31">
        <f t="shared" si="51"/>
        <v>1</v>
      </c>
      <c r="T135" s="46" t="str">
        <f t="shared" si="31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2"/>
        <v>https://d0f6bd738d7f1b3e5a7ca70fe4ff75f0.us-east-1.aws.found.io/app/kibana#/discover/Steve-Slow-Train-Analysis-(2080s-and-2083s)?_g=(refreshInterval:(display:Off,pause:!f,section:0,value:0),time:(from:'2017-03-27T18:16:11-0600',mode:absolute,to:'2017-03-27T20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5" s="183" t="str">
        <f t="shared" si="33"/>
        <v>Y</v>
      </c>
      <c r="X135" s="183">
        <f t="shared" si="52"/>
        <v>1</v>
      </c>
      <c r="Y135" s="62">
        <f t="shared" si="35"/>
        <v>4.4900000000000002E-2</v>
      </c>
      <c r="Z135" s="62">
        <f t="shared" si="50"/>
        <v>12.8263</v>
      </c>
      <c r="AA135" s="62">
        <f t="shared" si="37"/>
        <v>12.7814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8"/>
        <v>0223-27</v>
      </c>
      <c r="AE135" s="85" t="str">
        <f t="shared" si="39"/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AF135" s="82" t="str">
        <f t="shared" si="40"/>
        <v>"C:\Program Files (x86)\AstroGrep\AstroGrep.exe" /e /r /s /spath="%USERPROFILE%\AppData\Local\Temp\OnboardLogs" /stypes="app*4027*20170328*" /stext=" 01:.+((SYSTEM_STATE.+slice.+state.+changed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223-27 --locoid 4027 --swversion DE.1.0.9.0 --startMP 204:449 --initTime 2017-03-27T19:16:11 --startdatetime 2017-03-27T19:30:18 --delay 2 --endMP 204:128263 --enddatetime 2017-03-27T19:53:26 --enforcementcount 0 &gt;&gt;C:\Users\stu\Documents\GitHub\eaglep3-reporting\EC\2017-03-27-refined-times.txt</v>
      </c>
      <c r="AI135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api","custom_fields":[{"id":1,"name":"Subdivision","value":"EC"},{"id":4,"name":"Milepost","value":"12.8263"},{"id":17,"name":"Train ID","value":"223-27"},{"id":16,"name":"Locomotive ID","value":"4027"},{"id":130,"name":"Impact","value":""},{"id":150,"name":"Time of Event (Mountain Time)","value":"19:53:26"},{"id":151,"name":"Denver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 t="s">
        <v>590</v>
      </c>
      <c r="AK135" s="48"/>
      <c r="AL135" s="48"/>
      <c r="AM135" s="150" t="str">
        <f t="shared" si="44"/>
        <v>start /low /b %USERPROFILE%\Documents\GitHub\eaglep3\Utilities\DownloadLogsFromS3.py --loco 4027 --day 2017-03-27</v>
      </c>
      <c r="AN135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625</v>
      </c>
      <c r="B136" s="7">
        <v>4028</v>
      </c>
      <c r="C136" s="21" t="s">
        <v>218</v>
      </c>
      <c r="D136" s="21" t="s">
        <v>887</v>
      </c>
      <c r="E136" s="13">
        <v>42821.832928240743</v>
      </c>
      <c r="F136" s="13">
        <v>42821.834398148145</v>
      </c>
      <c r="G136" s="7">
        <v>1</v>
      </c>
      <c r="H136" s="21" t="s">
        <v>394</v>
      </c>
      <c r="I136" s="13">
        <v>42821.853275462963</v>
      </c>
      <c r="J136" s="7">
        <v>0</v>
      </c>
      <c r="K136" s="97" t="str">
        <f t="shared" si="28"/>
        <v>4027/4028</v>
      </c>
      <c r="L136" s="21" t="str">
        <f>VLOOKUP(A136,'Trips&amp;Operators'!$C$1:$G$99999,5,FALSE)</f>
        <v>DUNCAN SHEILA</v>
      </c>
      <c r="M136" s="6">
        <f t="shared" si="29"/>
        <v>1.8877314818382729E-2</v>
      </c>
      <c r="N136" s="7">
        <f>24*60*SUM($M136:$M136)</f>
        <v>27.18333333847113</v>
      </c>
      <c r="O136" s="7"/>
      <c r="P136" s="7"/>
      <c r="Q136" s="22"/>
      <c r="R136" s="22" t="s">
        <v>1025</v>
      </c>
      <c r="S136" s="31">
        <f t="shared" si="51"/>
        <v>1</v>
      </c>
      <c r="T136" s="46" t="str">
        <f t="shared" si="31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2"/>
        <v>https://d0f6bd738d7f1b3e5a7ca70fe4ff75f0.us-east-1.aws.found.io/app/kibana#/discover/Steve-Slow-Train-Analysis-(2080s-and-2083s)?_g=(refreshInterval:(display:Off,pause:!f,section:0,value:0),time:(from:'2017-03-27T18:59:25-0600',mode:absolute,to:'2017-03-27T21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183" t="str">
        <f t="shared" si="33"/>
        <v>Y</v>
      </c>
      <c r="X136" s="183">
        <f t="shared" si="52"/>
        <v>1</v>
      </c>
      <c r="Y136" s="62">
        <f t="shared" si="35"/>
        <v>12.7996</v>
      </c>
      <c r="Z136" s="62">
        <f t="shared" si="50"/>
        <v>1.43E-2</v>
      </c>
      <c r="AA136" s="62">
        <f t="shared" si="37"/>
        <v>12.785299999999999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0224-27</v>
      </c>
      <c r="AE136" s="85" t="str">
        <f t="shared" si="39"/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AF136" s="82" t="str">
        <f t="shared" si="40"/>
        <v>"C:\Program Files (x86)\AstroGrep\AstroGrep.exe" /e /r /s /spath="%USERPROFILE%\AppData\Local\Temp\OnboardLogs" /stypes="app*4028*20170328*" /stext=" 02:.+((SYSTEM_STATE.+slice.+state.+changed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224-27 --locoid 4028 --swversion DE.1.0.9.0 --startMP 204:127996 --initTime 2017-03-27T19:59:25 --startdatetime 2017-03-27T20:01:32 --delay 1 --endMP 204:143 --enddatetime 2017-03-27T20:28:43 --enforcementcount 0 &gt;&gt;C:\Users\stu\Documents\GitHub\eaglep3-reporting\EC\2017-03-27-refined-times.txt</v>
      </c>
      <c r="AI136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api","custom_fields":[{"id":1,"name":"Subdivision","value":"EC"},{"id":4,"name":"Milepost","value":"0.0143"},{"id":17,"name":"Train ID","value":"224-27"},{"id":16,"name":"Locomotive ID","value":"4028"},{"id":130,"name":"Impact","value":""},{"id":150,"name":"Time of Event (Mountain Time)","value":"20:28:43"},{"id":151,"name":"Denver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 t="s">
        <v>590</v>
      </c>
      <c r="AK136" s="48"/>
      <c r="AL136" s="48"/>
      <c r="AM136" s="150" t="str">
        <f t="shared" si="44"/>
        <v>start /low /b %USERPROFILE%\Documents\GitHub\eaglep3\Utilities\DownloadLogsFromS3.py --loco 4028 --day 2017-03-27</v>
      </c>
      <c r="AN136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795</v>
      </c>
      <c r="B137" s="7">
        <v>4053</v>
      </c>
      <c r="C137" s="21" t="s">
        <v>218</v>
      </c>
      <c r="D137" s="21" t="s">
        <v>845</v>
      </c>
      <c r="E137" s="13">
        <v>42821.84584490741</v>
      </c>
      <c r="F137" s="13">
        <v>42821.942349537036</v>
      </c>
      <c r="G137" s="7">
        <v>1</v>
      </c>
      <c r="H137" s="21" t="s">
        <v>888</v>
      </c>
      <c r="I137" s="13">
        <v>42821.969421296293</v>
      </c>
      <c r="J137" s="7">
        <v>0</v>
      </c>
      <c r="K137" s="97" t="str">
        <f t="shared" si="28"/>
        <v>4053/4054</v>
      </c>
      <c r="L137" s="21" t="str">
        <f>VLOOKUP(A137,'Trips&amp;Operators'!$C$1:$G$99999,5,FALSE)</f>
        <v>SMITH MICHAEL</v>
      </c>
      <c r="M137" s="6">
        <f t="shared" si="29"/>
        <v>2.7071759257523809E-2</v>
      </c>
      <c r="N137" s="7"/>
      <c r="O137" s="7"/>
      <c r="P137" s="7">
        <f>24*60*SUM($M137:$M137)</f>
        <v>38.983333330834284</v>
      </c>
      <c r="Q137" s="22"/>
      <c r="R137" s="22" t="s">
        <v>1025</v>
      </c>
      <c r="S137" s="31">
        <f t="shared" si="51"/>
        <v>1</v>
      </c>
      <c r="T137" s="46" t="str">
        <f t="shared" si="31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2"/>
        <v>https://d0f6bd738d7f1b3e5a7ca70fe4ff75f0.us-east-1.aws.found.io/app/kibana#/discover/Steve-Slow-Train-Analysis-(2080s-and-2083s)?_g=(refreshInterval:(display:Off,pause:!f,section:0,value:0),time:(from:'2017-03-27T19:18:01-0600',mode:absolute,to:'2017-03-28T00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7" s="183" t="str">
        <f t="shared" si="33"/>
        <v>Y</v>
      </c>
      <c r="X137" s="183">
        <f t="shared" ref="X137:X168" si="53">VALUE(LEFT(AD137,4))-VALUE(LEFT(AD136,4))</f>
        <v>1</v>
      </c>
      <c r="Y137" s="62">
        <f t="shared" si="35"/>
        <v>4.7500000000000001E-2</v>
      </c>
      <c r="Z137" s="62">
        <f t="shared" si="50"/>
        <v>21.249400000000001</v>
      </c>
      <c r="AA137" s="62">
        <f t="shared" si="37"/>
        <v>21.201900000000002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0225-27</v>
      </c>
      <c r="AE137" s="85" t="str">
        <f t="shared" si="39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137" s="82" t="str">
        <f t="shared" si="40"/>
        <v>"C:\Program Files (x86)\AstroGrep\AstroGrep.exe" /e /r /s /spath="%USERPROFILE%\AppData\Local\Temp\OnboardLogs" /stypes="app*4053*20170328*" /stext=" 05:.+((SYSTEM_STATE.+slice.+state.+changed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225-27 --locoid 4053 --swversion DE.1.0.9.0 --startMP 204:475 --initTime 2017-03-27T20:18:01 --startdatetime 2017-03-27T22:36:59 --delay 1 --endMP 204:212494 --enddatetime 2017-03-27T23:15:58 --enforcementcount 0 &gt;&gt;C:\Users\stu\Documents\GitHub\eaglep3-reporting\EC\2017-03-27-refined-times.txt</v>
      </c>
      <c r="AI137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api","custom_fields":[{"id":1,"name":"Subdivision","value":"EC"},{"id":4,"name":"Milepost","value":"21.2494"},{"id":17,"name":"Train ID","value":"225-27"},{"id":16,"name":"Locomotive ID","value":"4053"},{"id":130,"name":"Impact","value":""},{"id":150,"name":"Time of Event (Mountain Time)","value":"23:15:58"},{"id":151,"name":"Denver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 t="s">
        <v>590</v>
      </c>
      <c r="AK137" s="48"/>
      <c r="AL137" s="48"/>
      <c r="AM137" s="150" t="str">
        <f t="shared" si="44"/>
        <v>start /low /b %USERPROFILE%\Documents\GitHub\eaglep3\Utilities\DownloadLogsFromS3.py --loco 4053 --day 2017-03-27</v>
      </c>
      <c r="AN137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799</v>
      </c>
      <c r="B138" s="7">
        <v>4004</v>
      </c>
      <c r="C138" s="21" t="s">
        <v>218</v>
      </c>
      <c r="D138" s="21" t="s">
        <v>889</v>
      </c>
      <c r="E138" s="13">
        <v>42821.891608796293</v>
      </c>
      <c r="F138" s="13">
        <v>42821.892395833333</v>
      </c>
      <c r="G138" s="7">
        <v>0</v>
      </c>
      <c r="H138" s="21" t="s">
        <v>205</v>
      </c>
      <c r="I138" s="13">
        <v>42821.910254629627</v>
      </c>
      <c r="J138" s="7">
        <v>0</v>
      </c>
      <c r="K138" s="97" t="str">
        <f t="shared" si="28"/>
        <v>4003/4004</v>
      </c>
      <c r="L138" s="21" t="str">
        <f>VLOOKUP(A138,'Trips&amp;Operators'!$C$1:$G$99999,5,FALSE)</f>
        <v>STORY SAMANTHA</v>
      </c>
      <c r="M138" s="6">
        <f t="shared" si="29"/>
        <v>1.7858796294603962E-2</v>
      </c>
      <c r="N138" s="7"/>
      <c r="O138" s="7"/>
      <c r="P138" s="7">
        <f>24*60*SUM($M138:$M138)</f>
        <v>25.716666664229706</v>
      </c>
      <c r="Q138" s="22"/>
      <c r="R138" s="22" t="s">
        <v>1025</v>
      </c>
      <c r="S138" s="31">
        <f t="shared" si="51"/>
        <v>1</v>
      </c>
      <c r="T138" s="46" t="str">
        <f t="shared" si="31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2"/>
        <v>https://d0f6bd738d7f1b3e5a7ca70fe4ff75f0.us-east-1.aws.found.io/app/kibana#/discover/Steve-Slow-Train-Analysis-(2080s-and-2083s)?_g=(refreshInterval:(display:Off,pause:!f,section:0,value:0),time:(from:'2017-03-27T20:23:55-0600',mode:absolute,to:'2017-03-27T22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83" t="str">
        <f t="shared" si="33"/>
        <v>Y</v>
      </c>
      <c r="X138" s="183">
        <f t="shared" si="53"/>
        <v>1</v>
      </c>
      <c r="Y138" s="62">
        <f t="shared" si="35"/>
        <v>12.787800000000001</v>
      </c>
      <c r="Z138" s="62">
        <f t="shared" si="50"/>
        <v>1.54E-2</v>
      </c>
      <c r="AA138" s="62">
        <f t="shared" si="37"/>
        <v>12.772400000000001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0226-27</v>
      </c>
      <c r="AE138" s="85" t="str">
        <f t="shared" si="39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138" s="82" t="str">
        <f t="shared" si="40"/>
        <v>"C:\Program Files (x86)\AstroGrep\AstroGrep.exe" /e /r /s /spath="%USERPROFILE%\AppData\Local\Temp\OnboardLogs" /stypes="app*4004*20170328*" /stext=" 03:.+((SYSTEM_STATE.+slice.+state.+changed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226-27 --locoid 4004 --swversion DE.1.0.9.0 --startMP 204:127878 --initTime 2017-03-27T21:23:55 --startdatetime 2017-03-27T21:25:03 --delay 0 --endMP 204:154 --enddatetime 2017-03-27T21:50:46 --enforcementcount 0 &gt;&gt;C:\Users\stu\Documents\GitHub\eaglep3-reporting\EC\2017-03-27-refined-times.txt</v>
      </c>
      <c r="AI138" s="104" t="str">
        <f t="shared" si="43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api","custom_fields":[{"id":1,"name":"Subdivision","value":"EC"},{"id":4,"name":"Milepost","value":"0.0154"},{"id":17,"name":"Train ID","value":"226-27"},{"id":16,"name":"Locomotive ID","value":"4004"},{"id":130,"name":"Impact","value":""},{"id":150,"name":"Time of Event (Mountain Time)","value":"21:50:46"},{"id":151,"name":"Denver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 t="s">
        <v>590</v>
      </c>
      <c r="AK138" s="48"/>
      <c r="AL138" s="48"/>
      <c r="AM138" s="150" t="str">
        <f t="shared" si="44"/>
        <v>start /low /b %USERPROFILE%\Documents\GitHub\eaglep3\Utilities\DownloadLogsFromS3.py --loco 4004 --day 2017-03-27</v>
      </c>
      <c r="AN138" s="159" t="str">
        <f t="shared" si="45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799</v>
      </c>
      <c r="B139" s="7">
        <v>4004</v>
      </c>
      <c r="C139" s="21" t="s">
        <v>218</v>
      </c>
      <c r="D139" s="21" t="s">
        <v>554</v>
      </c>
      <c r="E139" s="13">
        <v>42821.868148148147</v>
      </c>
      <c r="F139" s="13">
        <v>42821.892395833333</v>
      </c>
      <c r="G139" s="7">
        <v>1</v>
      </c>
      <c r="H139" s="21" t="s">
        <v>221</v>
      </c>
      <c r="I139" s="13">
        <v>42821.910254629627</v>
      </c>
      <c r="J139" s="7">
        <v>0</v>
      </c>
      <c r="K139" s="97" t="str">
        <f t="shared" si="28"/>
        <v>4003/4004</v>
      </c>
      <c r="L139" s="21" t="str">
        <f>VLOOKUP(A139,'Trips&amp;Operators'!$C$1:$G$99999,5,FALSE)</f>
        <v>STORY SAMANTHA</v>
      </c>
      <c r="M139" s="6">
        <f t="shared" si="29"/>
        <v>1.7858796294603962E-2</v>
      </c>
      <c r="N139" s="7"/>
      <c r="O139" s="7"/>
      <c r="P139" s="7"/>
      <c r="Q139" s="22"/>
      <c r="R139" s="22"/>
      <c r="S139" s="31"/>
      <c r="T139" s="46" t="str">
        <f t="shared" si="31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182" t="str">
        <f t="shared" si="32"/>
        <v>https://d0f6bd738d7f1b3e5a7ca70fe4ff75f0.us-east-1.aws.found.io/app/kibana#/discover/Steve-Slow-Train-Analysis-(2080s-and-2083s)?_g=(refreshInterval:(display:Off,pause:!f,section:0,value:0),time:(from:'2017-03-27T19:50:08-0600',mode:absolute,to:'2017-03-27T22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83" t="str">
        <f t="shared" si="33"/>
        <v>Y</v>
      </c>
      <c r="X139" s="183">
        <f t="shared" si="53"/>
        <v>0</v>
      </c>
      <c r="Y139" s="62">
        <f t="shared" si="35"/>
        <v>23.3004</v>
      </c>
      <c r="Z139" s="62">
        <f t="shared" si="50"/>
        <v>23.3</v>
      </c>
      <c r="AA139" s="62">
        <f t="shared" si="37"/>
        <v>3.9999999999906777E-4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0226-27</v>
      </c>
      <c r="AE139" s="85" t="str">
        <f t="shared" si="39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139" s="82" t="str">
        <f t="shared" si="40"/>
        <v>"C:\Program Files (x86)\AstroGrep\AstroGrep.exe" /e /r /s /spath="%USERPROFILE%\AppData\Local\Temp\OnboardLogs" /stypes="app*4004*20170328*"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226-27 --locoid 4004 --swversion DE.1.0.9.0 --startMP 204:233004 --initTime 2017-03-27T20:50:08 --startdatetime 2017-03-27T21:25:03 --delay 1 --endMP 204:233000 --enddatetime 2017-03-27T21:50:46 --enforcementcount 0 &gt;&gt;C:\Users\stu\Documents\GitHub\eaglep3-reporting\EC\2017-03-27-refined-times.txt</v>
      </c>
      <c r="AI139" s="104" t="str">
        <f t="shared" si="43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api","custom_fields":[{"id":1,"name":"Subdivision","value":"EC"},{"id":4,"name":"Milepost","value":"23.3"},{"id":17,"name":"Train ID","value":"226-27"},{"id":16,"name":"Locomotive ID","value":"4004"},{"id":130,"name":"Impact","value":""},{"id":150,"name":"Time of Event (Mountain Time)","value":"21:50:46"},{"id":151,"name":"Denver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 t="s">
        <v>590</v>
      </c>
      <c r="AK139" s="48"/>
      <c r="AL139" s="48"/>
      <c r="AM139" s="150" t="str">
        <f t="shared" si="44"/>
        <v>start /low /b %USERPROFILE%\Documents\GitHub\eaglep3\Utilities\DownloadLogsFromS3.py --loco 4004 --day 2017-03-27</v>
      </c>
      <c r="AN139" s="159" t="str">
        <f t="shared" si="45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797</v>
      </c>
      <c r="B140" s="7">
        <v>4027</v>
      </c>
      <c r="C140" s="21" t="s">
        <v>218</v>
      </c>
      <c r="D140" s="21" t="s">
        <v>206</v>
      </c>
      <c r="E140" s="13">
        <v>42821.855405092596</v>
      </c>
      <c r="F140" s="13">
        <v>42821.857766203706</v>
      </c>
      <c r="G140" s="7">
        <v>2</v>
      </c>
      <c r="H140" s="21" t="s">
        <v>890</v>
      </c>
      <c r="I140" s="13">
        <v>42821.895972222221</v>
      </c>
      <c r="J140" s="7">
        <v>0</v>
      </c>
      <c r="K140" s="97" t="str">
        <f t="shared" si="28"/>
        <v>4027/4028</v>
      </c>
      <c r="L140" s="21" t="str">
        <f>VLOOKUP(A140,'Trips&amp;Operators'!$C$1:$G$99999,5,FALSE)</f>
        <v>DUNCAN SHEILA</v>
      </c>
      <c r="M140" s="6">
        <f t="shared" si="29"/>
        <v>3.8206018514756579E-2</v>
      </c>
      <c r="N140" s="7"/>
      <c r="O140" s="7"/>
      <c r="P140" s="7">
        <f>24*60*SUM($M140:$M140)</f>
        <v>55.016666661249474</v>
      </c>
      <c r="Q140" s="22"/>
      <c r="R140" s="22" t="s">
        <v>1025</v>
      </c>
      <c r="S140" s="31">
        <f>SUM(U140:U140)/IF(AG140="EC",12,1)</f>
        <v>1</v>
      </c>
      <c r="T140" s="46" t="str">
        <f t="shared" si="31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2"/>
        <v>https://d0f6bd738d7f1b3e5a7ca70fe4ff75f0.us-east-1.aws.found.io/app/kibana#/discover/Steve-Slow-Train-Analysis-(2080s-and-2083s)?_g=(refreshInterval:(display:Off,pause:!f,section:0,value:0),time:(from:'2017-03-27T19:31:47-0600',mode:absolute,to:'2017-03-27T22:30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3" t="str">
        <f t="shared" si="33"/>
        <v>Y</v>
      </c>
      <c r="X140" s="183">
        <f t="shared" si="53"/>
        <v>1</v>
      </c>
      <c r="Y140" s="62">
        <f t="shared" si="35"/>
        <v>4.5100000000000001E-2</v>
      </c>
      <c r="Z140" s="62">
        <f t="shared" si="50"/>
        <v>21.5992</v>
      </c>
      <c r="AA140" s="62">
        <f t="shared" si="37"/>
        <v>21.554099999999998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0227-27</v>
      </c>
      <c r="AE140" s="85" t="str">
        <f t="shared" si="39"/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AF140" s="82" t="str">
        <f t="shared" si="40"/>
        <v>"C:\Program Files (x86)\AstroGrep\AstroGrep.exe" /e /r /s /spath="%USERPROFILE%\AppData\Local\Temp\OnboardLogs" /stypes="app*4027*20170328*" /stext=" 03:.+((SYSTEM_STATE.+slice.+state.+changed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ref="AH140:AH203" si="5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227-27 --locoid 4027 --swversion DE.1.0.9.0 --startMP 204:451 --initTime 2017-03-27T20:31:47 --startdatetime 2017-03-27T20:35:11 --delay 2 --endMP 204:215992 --enddatetime 2017-03-27T21:30:12 --enforcementcount 0 &gt;&gt;C:\Users\stu\Documents\GitHub\eaglep3-reporting\EC\2017-03-27-refined-times.txt</v>
      </c>
      <c r="AI140" s="104" t="str">
        <f t="shared" ref="AI140:AI203" si="5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api","custom_fields":[{"id":1,"name":"Subdivision","value":"EC"},{"id":4,"name":"Milepost","value":"21.5992"},{"id":17,"name":"Train ID","value":"227-27"},{"id":16,"name":"Locomotive ID","value":"4027"},{"id":130,"name":"Impact","value":""},{"id":150,"name":"Time of Event (Mountain Time)","value":"21:30:12"},{"id":151,"name":"Denver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 t="s">
        <v>590</v>
      </c>
      <c r="AK140" s="48"/>
      <c r="AL140" s="48"/>
      <c r="AM140" s="150" t="str">
        <f t="shared" ref="AM140:AM203" si="56">"start /low /b "&amp;dls3logs&amp;" --loco "&amp;B140&amp;" --day "&amp;TEXT(F140,"YYYY-MM-DD")</f>
        <v>start /low /b %USERPROFILE%\Documents\GitHub\eaglep3\Utilities\DownloadLogsFromS3.py --loco 4027 --day 2017-03-27</v>
      </c>
      <c r="AN140" s="159" t="str">
        <f t="shared" ref="AN140:AN203" si="5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03:30:12"},{"id":29,"name":"Sharepoint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804</v>
      </c>
      <c r="B141" s="7">
        <v>4054</v>
      </c>
      <c r="C141" s="21" t="s">
        <v>218</v>
      </c>
      <c r="D141" s="21" t="s">
        <v>891</v>
      </c>
      <c r="E141" s="13">
        <v>42821.920347222222</v>
      </c>
      <c r="F141" s="13">
        <v>42821.921249999999</v>
      </c>
      <c r="G141" s="7">
        <v>0</v>
      </c>
      <c r="H141" s="21" t="s">
        <v>199</v>
      </c>
      <c r="I141" s="13">
        <v>42821.93953703704</v>
      </c>
      <c r="J141" s="7">
        <v>0</v>
      </c>
      <c r="K141" s="97" t="str">
        <f t="shared" ref="K141:K204" si="58">IF(ISEVEN(B141),(B141-1)&amp;"/"&amp;B141,B141&amp;"/"&amp;(B141+1))</f>
        <v>4053/4054</v>
      </c>
      <c r="L141" s="21" t="str">
        <f>VLOOKUP(A141,'Trips&amp;Operators'!$C$1:$G$99999,5,FALSE)</f>
        <v>SMITH MICHAEL</v>
      </c>
      <c r="M141" s="6">
        <f t="shared" ref="M141:M204" si="59">I141-F141</f>
        <v>1.8287037040863652E-2</v>
      </c>
      <c r="N141" s="7"/>
      <c r="O141" s="7"/>
      <c r="P141" s="7">
        <f>24*60*SUM($M141:$M141)</f>
        <v>26.333333338843659</v>
      </c>
      <c r="Q141" s="22"/>
      <c r="R141" s="22" t="s">
        <v>1025</v>
      </c>
      <c r="S141" s="31">
        <f>SUM(U141:U141)/IF(AG141="EC",12,1)</f>
        <v>1</v>
      </c>
      <c r="T141" s="46" t="str">
        <f t="shared" ref="T141:T204" si="60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-27T21:05:18-0600',mode:absolute,to:'2017-03-27T23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3" t="str">
        <f t="shared" ref="W141:W204" si="62">IF(AA141&lt;IF(AG141="EC",23,5.65),"Y","N")</f>
        <v>Y</v>
      </c>
      <c r="X141" s="183">
        <f t="shared" si="53"/>
        <v>1</v>
      </c>
      <c r="Y141" s="62">
        <f t="shared" ref="Y141:Y204" si="63">RIGHT(D141,LEN(D141)-4)/10000</f>
        <v>12.783899999999999</v>
      </c>
      <c r="Z141" s="62">
        <f t="shared" ref="Z141:Z156" si="64">RIGHT(H141,LEN(H141)-4)/10000</f>
        <v>1.52E-2</v>
      </c>
      <c r="AA141" s="62">
        <f t="shared" ref="AA141:AA204" si="65">ABS(Z141-Y141)</f>
        <v>12.768699999999999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6">IF(LEN(A141)=6,"0"&amp;A141,A141)</f>
        <v>0228-27</v>
      </c>
      <c r="AE141" s="8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41" s="82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/stypes="app*4054*20170328*" /stext=" 04:.+((SYSTEM_STATE.+slice.+state.+changed )|(ment ac)|(multiple cpu faults)|(system.+state.+changed )|(\[timeout)|(PRM\|1\|D)|(kpr)|(kdp)|(\|lc)|(penalty))"</v>
      </c>
      <c r="AG141" s="1" t="str">
        <f t="shared" ref="AG141:AG204" si="69">IFERROR(IF(VALUE(LEFT(AD141,2))&lt;=2,"EC",IF(OR(VALUE(LEFT(AD141,2))=8,VALUE(LEFT(AD141,2))=18),"NW","Other")),"Other")</f>
        <v>EC</v>
      </c>
      <c r="AH141" s="86" t="str">
        <f t="shared" si="54"/>
        <v>"%USERPROFILE%\Documents\GitHub\eaglep3\Utilities\RefineRTDCRunTimes.py" --tripid 228-27 --locoid 4054 --swversion DE.1.0.9.0 --startMP 204:127839 --initTime 2017-03-27T22:05:18 --startdatetime 2017-03-27T22:06:36 --delay 0 --endMP 204:152 --enddatetime 2017-03-27T22:32:56 --enforcementcount 0 &gt;&gt;C:\Users\stu\Documents\GitHub\eaglep3-reporting\EC\2017-03-27-refined-times.txt</v>
      </c>
      <c r="AI141" s="104" t="str">
        <f t="shared" si="55"/>
        <v>echo {"issue":{"subject":"Signaling system failure - CP 78th faulty relay","project_id":79,"tracker_id":40,"status_id":1,"priority_id":2,"assigned_to_id":23,"start_date":"2017-03-27","description":"test from api","custom_fields":[{"id":1,"name":"Subdivision","value":"EC"},{"id":4,"name":"Milepost","value":"0.0152"},{"id":17,"name":"Train ID","value":"228-27"},{"id":16,"name":"Locomotive ID","value":"4054"},{"id":130,"name":"Impact","value":""},{"id":150,"name":"Time of Event (Mountain Time)","value":"22:32:56"},{"id":151,"name":"Denver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 t="s">
        <v>590</v>
      </c>
      <c r="AK141" s="48"/>
      <c r="AL141" s="48"/>
      <c r="AM141" s="150" t="str">
        <f t="shared" si="56"/>
        <v>start /low /b %USERPROFILE%\Documents\GitHub\eaglep3\Utilities\DownloadLogsFromS3.py --loco 4054 --day 2017-03-27</v>
      </c>
      <c r="AN141" s="159" t="str">
        <f t="shared" si="57"/>
        <v>echo {"issue":{"subject":"Signaling system failure - CP 78th faulty relay","project_id":30,"tracker_id":4,"status_id":1,"priority_id":1,"assigned_to_id":10,"start_date":"2017-03-28","description":"test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04:32:56"},{"id":29,"name":"Sharepoint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804</v>
      </c>
      <c r="B142" s="7">
        <v>4054</v>
      </c>
      <c r="C142" s="21" t="s">
        <v>218</v>
      </c>
      <c r="D142" s="21" t="s">
        <v>892</v>
      </c>
      <c r="E142" s="13">
        <v>42821.895358796297</v>
      </c>
      <c r="F142" s="13">
        <v>42821.921249999999</v>
      </c>
      <c r="G142" s="7">
        <v>1</v>
      </c>
      <c r="H142" s="21" t="s">
        <v>893</v>
      </c>
      <c r="I142" s="13">
        <v>42821.93953703704</v>
      </c>
      <c r="J142" s="7">
        <v>0</v>
      </c>
      <c r="K142" s="97" t="str">
        <f t="shared" si="58"/>
        <v>4053/4054</v>
      </c>
      <c r="L142" s="21" t="str">
        <f>VLOOKUP(A142,'Trips&amp;Operators'!$C$1:$G$99999,5,FALSE)</f>
        <v>SMITH MICHAEL</v>
      </c>
      <c r="M142" s="6">
        <f t="shared" si="59"/>
        <v>1.8287037040863652E-2</v>
      </c>
      <c r="N142" s="7"/>
      <c r="O142" s="7"/>
      <c r="P142" s="7"/>
      <c r="Q142" s="22"/>
      <c r="R142" s="22"/>
      <c r="S142" s="31"/>
      <c r="T142" s="46" t="str">
        <f t="shared" si="60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82" t="str">
        <f t="shared" si="61"/>
        <v>https://d0f6bd738d7f1b3e5a7ca70fe4ff75f0.us-east-1.aws.found.io/app/kibana#/discover/Steve-Slow-Train-Analysis-(2080s-and-2083s)?_g=(refreshInterval:(display:Off,pause:!f,section:0,value:0),time:(from:'2017-03-27T20:29:19-0600',mode:absolute,to:'2017-03-27T23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3" t="str">
        <f t="shared" si="62"/>
        <v>Y</v>
      </c>
      <c r="X142" s="183">
        <f t="shared" si="53"/>
        <v>0</v>
      </c>
      <c r="Y142" s="62">
        <f t="shared" si="63"/>
        <v>23.313199999999998</v>
      </c>
      <c r="Z142" s="62">
        <f t="shared" si="64"/>
        <v>22.322700000000001</v>
      </c>
      <c r="AA142" s="62">
        <f t="shared" si="65"/>
        <v>0.99049999999999727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6"/>
        <v>0228-27</v>
      </c>
      <c r="AE142" s="85" t="str">
        <f t="shared" si="67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42" s="82" t="str">
        <f t="shared" si="68"/>
        <v>"C:\Program Files (x86)\AstroGrep\AstroGrep.exe" /e /r /s /spath="%USERPROFILE%\AppData\Local\Temp\OnboardLogs" /stypes="app*4054*20170328*" /stext=" 04:.+((SYSTEM_STATE.+slice.+state.+changed )|(ment ac)|(multiple cpu faults)|(system.+state.+changed )|(\[timeout)|(PRM\|1\|D)|(kpr)|(kdp)|(\|lc)|(penalty))"</v>
      </c>
      <c r="AG142" s="1" t="str">
        <f t="shared" si="69"/>
        <v>EC</v>
      </c>
      <c r="AH142" s="86" t="str">
        <f t="shared" si="54"/>
        <v>"%USERPROFILE%\Documents\GitHub\eaglep3\Utilities\RefineRTDCRunTimes.py" --tripid 228-27 --locoid 4054 --swversion DE.1.0.9.0 --startMP 204:233132 --initTime 2017-03-27T21:29:19 --startdatetime 2017-03-27T22:06:36 --delay 1 --endMP 204:223227 --enddatetime 2017-03-27T22:32:56 --enforcementcount 0 &gt;&gt;C:\Users\stu\Documents\GitHub\eaglep3-reporting\EC\2017-03-27-refined-times.txt</v>
      </c>
      <c r="AI14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api","custom_fields":[{"id":1,"name":"Subdivision","value":"EC"},{"id":4,"name":"Milepost","value":"22.3227"},{"id":17,"name":"Train ID","value":"228-27"},{"id":16,"name":"Locomotive ID","value":"4054"},{"id":130,"name":"Impact","value":""},{"id":150,"name":"Time of Event (Mountain Time)","value":"22:32:56"},{"id":151,"name":"Denver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 t="s">
        <v>590</v>
      </c>
      <c r="AK142" s="48"/>
      <c r="AL142" s="48"/>
      <c r="AM142" s="150" t="str">
        <f t="shared" si="56"/>
        <v>start /low /b %USERPROFILE%\Documents\GitHub\eaglep3\Utilities\DownloadLogsFromS3.py --loco 4054 --day 2017-03-27</v>
      </c>
      <c r="AN142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04:32:56"},{"id":29,"name":"Sharepoint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801</v>
      </c>
      <c r="B143" s="7">
        <v>4014</v>
      </c>
      <c r="C143" s="21" t="s">
        <v>218</v>
      </c>
      <c r="D143" s="21" t="s">
        <v>894</v>
      </c>
      <c r="E143" s="13">
        <v>42821.873703703706</v>
      </c>
      <c r="F143" s="13">
        <v>42821.878865740742</v>
      </c>
      <c r="G143" s="7">
        <v>1</v>
      </c>
      <c r="H143" s="21" t="s">
        <v>895</v>
      </c>
      <c r="I143" s="13">
        <v>42821.918379629627</v>
      </c>
      <c r="J143" s="7">
        <v>0</v>
      </c>
      <c r="K143" s="97" t="str">
        <f t="shared" si="58"/>
        <v>4013/4014</v>
      </c>
      <c r="L143" s="21" t="str">
        <f>VLOOKUP(A143,'Trips&amp;Operators'!$C$1:$G$99999,5,FALSE)</f>
        <v>GUZMAN DANNY</v>
      </c>
      <c r="M143" s="6">
        <f t="shared" si="59"/>
        <v>3.9513888885267079E-2</v>
      </c>
      <c r="N143" s="7">
        <f>24*60*SUM($M143:$M143)</f>
        <v>56.899999994784594</v>
      </c>
      <c r="O143" s="7"/>
      <c r="P143" s="7"/>
      <c r="Q143" s="22"/>
      <c r="R143" s="22"/>
      <c r="S143" s="31">
        <f>SUM(U143:U143)/IF(AG143="EC",12,1)</f>
        <v>1</v>
      </c>
      <c r="T143" s="46" t="str">
        <f t="shared" si="60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61"/>
        <v>https://d0f6bd738d7f1b3e5a7ca70fe4ff75f0.us-east-1.aws.found.io/app/kibana#/discover/Steve-Slow-Train-Analysis-(2080s-and-2083s)?_g=(refreshInterval:(display:Off,pause:!f,section:0,value:0),time:(from:'2017-03-27T19:58:08-0600',mode:absolute,to:'2017-03-27T23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83" t="str">
        <f t="shared" si="62"/>
        <v>N</v>
      </c>
      <c r="X143" s="183">
        <f t="shared" si="53"/>
        <v>1</v>
      </c>
      <c r="Y143" s="62">
        <f t="shared" si="63"/>
        <v>4.3099999999999999E-2</v>
      </c>
      <c r="Z143" s="62">
        <f t="shared" si="64"/>
        <v>23.328600000000002</v>
      </c>
      <c r="AA143" s="62">
        <f t="shared" si="65"/>
        <v>23.285500000000003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6"/>
        <v>0229-27</v>
      </c>
      <c r="AE143" s="85" t="str">
        <f t="shared" si="67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43" s="82" t="str">
        <f t="shared" si="68"/>
        <v>"C:\Program Files (x86)\AstroGrep\AstroGrep.exe" /e /r /s /spath="%USERPROFILE%\AppData\Local\Temp\OnboardLogs" /stypes="app*4014*20170328*" /stext=" 04:.+((SYSTEM_STATE.+slice.+state.+changed )|(ment ac)|(multiple cpu faults)|(system.+state.+changed )|(\[timeout)|(PRM\|1\|D)|(kpr)|(kdp)|(\|lc)|(penalty))"</v>
      </c>
      <c r="AG143" s="1" t="str">
        <f t="shared" si="69"/>
        <v>EC</v>
      </c>
      <c r="AH143" s="86" t="str">
        <f t="shared" si="54"/>
        <v>"%USERPROFILE%\Documents\GitHub\eaglep3\Utilities\RefineRTDCRunTimes.py" --tripid 229-27 --locoid 4014 --swversion DE.1.0.9.0 --startMP 204:431 --initTime 2017-03-27T20:58:08 --startdatetime 2017-03-27T21:05:34 --delay 1 --endMP 204:233286 --enddatetime 2017-03-27T22:02:28 --enforcementcount 0 &gt;&gt;C:\Users\stu\Documents\GitHub\eaglep3-reporting\EC\2017-03-27-refined-times.txt</v>
      </c>
      <c r="AI14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api","custom_fields":[{"id":1,"name":"Subdivision","value":"EC"},{"id":4,"name":"Milepost","value":"23.3286"},{"id":17,"name":"Train ID","value":"229-27"},{"id":16,"name":"Locomotive ID","value":"4014"},{"id":130,"name":"Impact","value":""},{"id":150,"name":"Time of Event (Mountain Time)","value":"22:02:28"},{"id":151,"name":"Denver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 t="s">
        <v>590</v>
      </c>
      <c r="AK143" s="48"/>
      <c r="AL143" s="48"/>
      <c r="AM143" s="150" t="str">
        <f t="shared" si="56"/>
        <v>start /low /b %USERPROFILE%\Documents\GitHub\eaglep3\Utilities\DownloadLogsFromS3.py --loco 4014 --day 2017-03-27</v>
      </c>
      <c r="AN143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801</v>
      </c>
      <c r="B144" s="7">
        <v>4014</v>
      </c>
      <c r="C144" s="21" t="s">
        <v>218</v>
      </c>
      <c r="D144" s="21" t="s">
        <v>511</v>
      </c>
      <c r="E144" s="13">
        <v>42821.877476851849</v>
      </c>
      <c r="F144" s="13">
        <v>42821.878865740742</v>
      </c>
      <c r="G144" s="7">
        <v>1</v>
      </c>
      <c r="H144" s="21" t="s">
        <v>895</v>
      </c>
      <c r="I144" s="13">
        <v>42821.918379629627</v>
      </c>
      <c r="J144" s="7">
        <v>0</v>
      </c>
      <c r="K144" s="97" t="str">
        <f t="shared" si="58"/>
        <v>4013/4014</v>
      </c>
      <c r="L144" s="21" t="str">
        <f>VLOOKUP(A144,'Trips&amp;Operators'!$C$1:$G$99999,5,FALSE)</f>
        <v>GUZMAN DANNY</v>
      </c>
      <c r="M144" s="6">
        <f t="shared" si="59"/>
        <v>3.9513888885267079E-2</v>
      </c>
      <c r="N144" s="7"/>
      <c r="O144" s="7"/>
      <c r="P144" s="7"/>
      <c r="Q144" s="22"/>
      <c r="R144" s="22"/>
      <c r="S144" s="31"/>
      <c r="T144" s="46" t="str">
        <f t="shared" si="60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61"/>
        <v>https://d0f6bd738d7f1b3e5a7ca70fe4ff75f0.us-east-1.aws.found.io/app/kibana#/discover/Steve-Slow-Train-Analysis-(2080s-and-2083s)?_g=(refreshInterval:(display:Off,pause:!f,section:0,value:0),time:(from:'2017-03-27T20:03:34-0600',mode:absolute,to:'2017-03-27T23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183" t="str">
        <f t="shared" si="62"/>
        <v>N</v>
      </c>
      <c r="X144" s="183">
        <f t="shared" si="53"/>
        <v>0</v>
      </c>
      <c r="Y144" s="62">
        <f t="shared" si="63"/>
        <v>4.4400000000000002E-2</v>
      </c>
      <c r="Z144" s="62">
        <f t="shared" si="64"/>
        <v>23.328600000000002</v>
      </c>
      <c r="AA144" s="62">
        <f t="shared" si="65"/>
        <v>23.284200000000002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6"/>
        <v>0229-27</v>
      </c>
      <c r="AE144" s="85" t="str">
        <f t="shared" si="67"/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AF144" s="82" t="str">
        <f t="shared" si="68"/>
        <v>"C:\Program Files (x86)\AstroGrep\AstroGrep.exe" /e /r /s /spath="%USERPROFILE%\AppData\Local\Temp\OnboardLogs" /stypes="app*4014*20170328*" /stext=" 04:.+((SYSTEM_STATE.+slice.+state.+changed )|(ment ac)|(multiple cpu faults)|(system.+state.+changed )|(\[timeout)|(PRM\|1\|D)|(kpr)|(kdp)|(\|lc)|(penalty))"</v>
      </c>
      <c r="AG144" s="1" t="str">
        <f t="shared" si="69"/>
        <v>EC</v>
      </c>
      <c r="AH144" s="86" t="str">
        <f t="shared" si="54"/>
        <v>"%USERPROFILE%\Documents\GitHub\eaglep3\Utilities\RefineRTDCRunTimes.py" --tripid 229-27 --locoid 4014 --swversion DE.1.0.9.0 --startMP 204:444 --initTime 2017-03-27T21:03:34 --startdatetime 2017-03-27T21:05:34 --delay 1 --endMP 204:233286 --enddatetime 2017-03-27T22:02:28 --enforcementcount 0 &gt;&gt;C:\Users\stu\Documents\GitHub\eaglep3-reporting\EC\2017-03-27-refined-times.txt</v>
      </c>
      <c r="AI144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api","custom_fields":[{"id":1,"name":"Subdivision","value":"EC"},{"id":4,"name":"Milepost","value":"23.3286"},{"id":17,"name":"Train ID","value":"229-27"},{"id":16,"name":"Locomotive ID","value":"4014"},{"id":130,"name":"Impact","value":""},{"id":150,"name":"Time of Event (Mountain Time)","value":"22:02:28"},{"id":151,"name":"Denver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 t="s">
        <v>590</v>
      </c>
      <c r="AK144" s="48"/>
      <c r="AL144" s="48"/>
      <c r="AM144" s="150" t="str">
        <f t="shared" si="56"/>
        <v>start /low /b %USERPROFILE%\Documents\GitHub\eaglep3\Utilities\DownloadLogsFromS3.py --loco 4014 --day 2017-03-27</v>
      </c>
      <c r="AN144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807</v>
      </c>
      <c r="B145" s="7">
        <v>4028</v>
      </c>
      <c r="C145" s="21" t="s">
        <v>218</v>
      </c>
      <c r="D145" s="21" t="s">
        <v>469</v>
      </c>
      <c r="E145" s="13">
        <v>42821.911886574075</v>
      </c>
      <c r="F145" s="13">
        <v>42821.914340277777</v>
      </c>
      <c r="G145" s="7">
        <v>1</v>
      </c>
      <c r="H145" s="21" t="s">
        <v>213</v>
      </c>
      <c r="I145" s="13">
        <v>42821.945185185185</v>
      </c>
      <c r="J145" s="7">
        <v>0</v>
      </c>
      <c r="K145" s="97" t="str">
        <f t="shared" si="58"/>
        <v>4027/4028</v>
      </c>
      <c r="L145" s="21" t="str">
        <f>VLOOKUP(A145,'Trips&amp;Operators'!$C$1:$G$99999,5,FALSE)</f>
        <v>DUNCAN SHEILA</v>
      </c>
      <c r="M145" s="6">
        <f t="shared" si="59"/>
        <v>3.0844907407299615E-2</v>
      </c>
      <c r="N145" s="7">
        <f t="shared" ref="N145:N156" si="70">24*60*SUM($M145:$M145)</f>
        <v>44.416666666511446</v>
      </c>
      <c r="O145" s="7"/>
      <c r="P145" s="7"/>
      <c r="Q145" s="22"/>
      <c r="R145" s="22"/>
      <c r="S145" s="31">
        <f t="shared" ref="S145:S176" si="71">SUM(U145:U145)/IF(AG145="EC",12,1)</f>
        <v>1</v>
      </c>
      <c r="T145" s="46" t="str">
        <f t="shared" si="60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61"/>
        <v>https://d0f6bd738d7f1b3e5a7ca70fe4ff75f0.us-east-1.aws.found.io/app/kibana#/discover/Steve-Slow-Train-Analysis-(2080s-and-2083s)?_g=(refreshInterval:(display:Off,pause:!f,section:0,value:0),time:(from:'2017-03-27T20:53:07-0600',mode:absolute,to:'2017-03-27T23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83" t="str">
        <f t="shared" si="62"/>
        <v>N</v>
      </c>
      <c r="X145" s="183">
        <f t="shared" si="53"/>
        <v>1</v>
      </c>
      <c r="Y145" s="62">
        <f t="shared" si="63"/>
        <v>23.297699999999999</v>
      </c>
      <c r="Z145" s="62">
        <f t="shared" si="64"/>
        <v>1.5599999999999999E-2</v>
      </c>
      <c r="AA145" s="62">
        <f t="shared" si="65"/>
        <v>23.2821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6"/>
        <v>0230-27</v>
      </c>
      <c r="AE145" s="85" t="str">
        <f t="shared" si="67"/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AF145" s="82" t="str">
        <f t="shared" si="68"/>
        <v>"C:\Program Files (x86)\AstroGrep\AstroGrep.exe" /e /r /s /spath="%USERPROFILE%\AppData\Local\Temp\OnboardLogs" /stypes="app*4028*20170328*" /stext=" 04:.+((SYSTEM_STATE.+slice.+state.+changed )|(ment ac)|(multiple cpu faults)|(system.+state.+changed )|(\[timeout)|(PRM\|1\|D)|(kpr)|(kdp)|(\|lc)|(penalty))"</v>
      </c>
      <c r="AG145" s="1" t="str">
        <f t="shared" si="69"/>
        <v>EC</v>
      </c>
      <c r="AH145" s="86" t="str">
        <f t="shared" si="54"/>
        <v>"%USERPROFILE%\Documents\GitHub\eaglep3\Utilities\RefineRTDCRunTimes.py" --tripid 230-27 --locoid 4028 --swversion DE.1.0.9.0 --startMP 204:232977 --initTime 2017-03-27T21:53:07 --startdatetime 2017-03-27T21:56:39 --delay 1 --endMP 204:156 --enddatetime 2017-03-27T22:41:04 --enforcementcount 0 &gt;&gt;C:\Users\stu\Documents\GitHub\eaglep3-reporting\EC\2017-03-27-refined-times.txt</v>
      </c>
      <c r="AI145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api","custom_fields":[{"id":1,"name":"Subdivision","value":"EC"},{"id":4,"name":"Milepost","value":"0.0156"},{"id":17,"name":"Train ID","value":"230-27"},{"id":16,"name":"Locomotive ID","value":"4028"},{"id":130,"name":"Impact","value":""},{"id":150,"name":"Time of Event (Mountain Time)","value":"22:41:04"},{"id":151,"name":"Denver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 t="s">
        <v>590</v>
      </c>
      <c r="AK145" s="48"/>
      <c r="AL145" s="48"/>
      <c r="AM145" s="150" t="str">
        <f t="shared" si="56"/>
        <v>start /low /b %USERPROFILE%\Documents\GitHub\eaglep3\Utilities\DownloadLogsFromS3.py --loco 4028 --day 2017-03-27</v>
      </c>
      <c r="AN145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3" t="s">
        <v>803</v>
      </c>
      <c r="B146" s="7">
        <v>4051</v>
      </c>
      <c r="C146" s="21" t="s">
        <v>218</v>
      </c>
      <c r="D146" s="21" t="s">
        <v>208</v>
      </c>
      <c r="E146" s="13">
        <v>42821.894525462965</v>
      </c>
      <c r="F146" s="13">
        <v>42821.89570601852</v>
      </c>
      <c r="G146" s="7">
        <v>1</v>
      </c>
      <c r="H146" s="21" t="s">
        <v>546</v>
      </c>
      <c r="I146" s="13">
        <v>42821.926574074074</v>
      </c>
      <c r="J146" s="7">
        <v>0</v>
      </c>
      <c r="K146" s="97" t="str">
        <f t="shared" si="58"/>
        <v>4051/4052</v>
      </c>
      <c r="L146" s="21" t="str">
        <f>VLOOKUP(A146,'Trips&amp;Operators'!$C$1:$G$99999,5,FALSE)</f>
        <v>CHANDLER KELVIN</v>
      </c>
      <c r="M146" s="6">
        <f t="shared" si="59"/>
        <v>3.0868055553582963E-2</v>
      </c>
      <c r="N146" s="7">
        <f t="shared" si="70"/>
        <v>44.449999997159466</v>
      </c>
      <c r="O146" s="7"/>
      <c r="P146" s="7"/>
      <c r="Q146" s="22"/>
      <c r="R146" s="22"/>
      <c r="S146" s="31">
        <f t="shared" si="71"/>
        <v>1</v>
      </c>
      <c r="T146" s="46" t="str">
        <f t="shared" si="60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61"/>
        <v>https://d0f6bd738d7f1b3e5a7ca70fe4ff75f0.us-east-1.aws.found.io/app/kibana#/discover/Steve-Slow-Train-Analysis-(2080s-and-2083s)?_g=(refreshInterval:(display:Off,pause:!f,section:0,value:0),time:(from:'2017-03-27T20:28:07-0600',mode:absolute,to:'2017-03-27T23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6" s="183" t="str">
        <f t="shared" si="62"/>
        <v>N</v>
      </c>
      <c r="X146" s="183">
        <f t="shared" si="53"/>
        <v>1</v>
      </c>
      <c r="Y146" s="62">
        <f t="shared" si="63"/>
        <v>4.5999999999999999E-2</v>
      </c>
      <c r="Z146" s="62">
        <f t="shared" si="64"/>
        <v>23.328099999999999</v>
      </c>
      <c r="AA146" s="62">
        <f t="shared" si="65"/>
        <v>23.2821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6"/>
        <v>0231-27</v>
      </c>
      <c r="AE146" s="85" t="str">
        <f t="shared" si="67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46" s="82" t="str">
        <f t="shared" si="68"/>
        <v>"C:\Program Files (x86)\AstroGrep\AstroGrep.exe" /e /r /s /spath="%USERPROFILE%\AppData\Local\Temp\OnboardLogs" /stypes="app*4051*20170328*" /stext=" 04:.+((SYSTEM_STATE.+slice.+state.+changed )|(ment ac)|(multiple cpu faults)|(system.+state.+changed )|(\[timeout)|(PRM\|1\|D)|(kpr)|(kdp)|(\|lc)|(penalty))"</v>
      </c>
      <c r="AG146" s="1" t="str">
        <f t="shared" si="69"/>
        <v>EC</v>
      </c>
      <c r="AH146" s="86" t="str">
        <f t="shared" si="54"/>
        <v>"%USERPROFILE%\Documents\GitHub\eaglep3\Utilities\RefineRTDCRunTimes.py" --tripid 231-27 --locoid 4051 --swversion DE.1.0.9.0 --startMP 204:460 --initTime 2017-03-27T21:28:07 --startdatetime 2017-03-27T21:29:49 --delay 1 --endMP 204:233281 --enddatetime 2017-03-27T22:14:16 --enforcementcount 0 &gt;&gt;C:\Users\stu\Documents\GitHub\eaglep3-reporting\EC\2017-03-27-refined-times.txt</v>
      </c>
      <c r="AI146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api","custom_fields":[{"id":1,"name":"Subdivision","value":"EC"},{"id":4,"name":"Milepost","value":"23.3281"},{"id":17,"name":"Train ID","value":"231-27"},{"id":16,"name":"Locomotive ID","value":"4051"},{"id":130,"name":"Impact","value":""},{"id":150,"name":"Time of Event (Mountain Time)","value":"22:14:16"},{"id":151,"name":"Denver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 t="s">
        <v>590</v>
      </c>
      <c r="AK146" s="48"/>
      <c r="AL146" s="48"/>
      <c r="AM146" s="150" t="str">
        <f t="shared" si="56"/>
        <v>start /low /b %USERPROFILE%\Documents\GitHub\eaglep3\Utilities\DownloadLogsFromS3.py --loco 4051 --day 2017-03-27</v>
      </c>
      <c r="AN146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810</v>
      </c>
      <c r="B147" s="7">
        <v>4052</v>
      </c>
      <c r="C147" s="21" t="s">
        <v>218</v>
      </c>
      <c r="D147" s="21" t="s">
        <v>896</v>
      </c>
      <c r="E147" s="13">
        <v>42821.93172453704</v>
      </c>
      <c r="F147" s="13">
        <v>42821.979409722226</v>
      </c>
      <c r="G147" s="7">
        <v>1</v>
      </c>
      <c r="H147" s="21" t="s">
        <v>461</v>
      </c>
      <c r="I147" s="13">
        <v>42822.004733796297</v>
      </c>
      <c r="J147" s="7">
        <v>0</v>
      </c>
      <c r="K147" s="97" t="str">
        <f t="shared" si="58"/>
        <v>4051/4052</v>
      </c>
      <c r="L147" s="21" t="str">
        <f>VLOOKUP(A147,'Trips&amp;Operators'!$C$1:$G$99999,5,FALSE)</f>
        <v>CHANDLER KELVIN</v>
      </c>
      <c r="M147" s="6">
        <f t="shared" si="59"/>
        <v>2.5324074071249925E-2</v>
      </c>
      <c r="N147" s="7">
        <f t="shared" si="70"/>
        <v>36.466666662599891</v>
      </c>
      <c r="O147" s="7"/>
      <c r="P147" s="7"/>
      <c r="Q147" s="22"/>
      <c r="R147" s="22"/>
      <c r="S147" s="31">
        <f t="shared" si="71"/>
        <v>1</v>
      </c>
      <c r="T147" s="46" t="str">
        <f t="shared" si="60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61"/>
        <v>https://d0f6bd738d7f1b3e5a7ca70fe4ff75f0.us-east-1.aws.found.io/app/kibana#/discover/Steve-Slow-Train-Analysis-(2080s-and-2083s)?_g=(refreshInterval:(display:Off,pause:!f,section:0,value:0),time:(from:'2017-03-27T21:21:41-0600',mode:absolute,to:'2017-03-28T01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7" s="183" t="str">
        <f t="shared" si="62"/>
        <v>N</v>
      </c>
      <c r="X147" s="183">
        <f t="shared" si="53"/>
        <v>1</v>
      </c>
      <c r="Y147" s="62">
        <f t="shared" si="63"/>
        <v>23.295999999999999</v>
      </c>
      <c r="Z147" s="62">
        <f t="shared" si="64"/>
        <v>1.61E-2</v>
      </c>
      <c r="AA147" s="62">
        <f t="shared" si="65"/>
        <v>23.279899999999998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6"/>
        <v>0232-27</v>
      </c>
      <c r="AE147" s="85" t="str">
        <f t="shared" si="67"/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AF147" s="82" t="str">
        <f t="shared" si="68"/>
        <v>"C:\Program Files (x86)\AstroGrep\AstroGrep.exe" /e /r /s /spath="%USERPROFILE%\AppData\Local\Temp\OnboardLogs" /stypes="app*4052*20170328*" /stext=" 06:.+((SYSTEM_STATE.+slice.+state.+changed )|(ment ac)|(multiple cpu faults)|(system.+state.+changed )|(\[timeout)|(PRM\|1\|D)|(kpr)|(kdp)|(\|lc)|(penalty))"</v>
      </c>
      <c r="AG147" s="1" t="str">
        <f t="shared" si="69"/>
        <v>EC</v>
      </c>
      <c r="AH147" s="86" t="str">
        <f t="shared" si="54"/>
        <v>"%USERPROFILE%\Documents\GitHub\eaglep3\Utilities\RefineRTDCRunTimes.py" --tripid 232-27 --locoid 4052 --swversion DE.1.0.9.0 --startMP 204:232960 --initTime 2017-03-27T22:21:41 --startdatetime 2017-03-27T23:30:21 --delay 1 --endMP 204:161 --enddatetime 2017-03-28T00:06:49 --enforcementcount 0 &gt;&gt;C:\Users\stu\Documents\GitHub\eaglep3-reporting\EC\2017-03-27-refined-times.txt</v>
      </c>
      <c r="AI147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api","custom_fields":[{"id":1,"name":"Subdivision","value":"EC"},{"id":4,"name":"Milepost","value":"0.0161"},{"id":17,"name":"Train ID","value":"232-27"},{"id":16,"name":"Locomotive ID","value":"4052"},{"id":130,"name":"Impact","value":""},{"id":150,"name":"Time of Event (Mountain Time)","value":"00:06:49"},{"id":151,"name":"Denver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 t="s">
        <v>590</v>
      </c>
      <c r="AK147" s="48"/>
      <c r="AL147" s="48"/>
      <c r="AM147" s="150" t="str">
        <f t="shared" si="56"/>
        <v>start /low /b %USERPROFILE%\Documents\GitHub\eaglep3\Utilities\DownloadLogsFromS3.py --loco 4052 --day 2017-03-27</v>
      </c>
      <c r="AN147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806</v>
      </c>
      <c r="B148" s="7">
        <v>4003</v>
      </c>
      <c r="C148" s="21" t="s">
        <v>218</v>
      </c>
      <c r="D148" s="21" t="s">
        <v>492</v>
      </c>
      <c r="E148" s="13">
        <v>42821.911423611113</v>
      </c>
      <c r="F148" s="13">
        <v>42821.916944444441</v>
      </c>
      <c r="G148" s="7">
        <v>5</v>
      </c>
      <c r="H148" s="21" t="s">
        <v>897</v>
      </c>
      <c r="I148" s="13">
        <v>42821.944722222222</v>
      </c>
      <c r="J148" s="7">
        <v>0</v>
      </c>
      <c r="K148" s="97" t="str">
        <f t="shared" si="58"/>
        <v>4003/4004</v>
      </c>
      <c r="L148" s="21" t="str">
        <f>VLOOKUP(A148,'Trips&amp;Operators'!$C$1:$G$99999,5,FALSE)</f>
        <v>STORY SAMANTHA</v>
      </c>
      <c r="M148" s="6">
        <f t="shared" si="59"/>
        <v>2.7777777781011537E-2</v>
      </c>
      <c r="N148" s="7">
        <f t="shared" si="70"/>
        <v>40.000000004656613</v>
      </c>
      <c r="O148" s="7"/>
      <c r="P148" s="7"/>
      <c r="Q148" s="22"/>
      <c r="R148" s="22"/>
      <c r="S148" s="31">
        <f t="shared" si="71"/>
        <v>1</v>
      </c>
      <c r="T148" s="46" t="str">
        <f t="shared" si="60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61"/>
        <v>https://d0f6bd738d7f1b3e5a7ca70fe4ff75f0.us-east-1.aws.found.io/app/kibana#/discover/Steve-Slow-Train-Analysis-(2080s-and-2083s)?_g=(refreshInterval:(display:Off,pause:!f,section:0,value:0),time:(from:'2017-03-27T20:52:27-0600',mode:absolute,to:'2017-03-27T23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3" t="str">
        <f t="shared" si="62"/>
        <v>N</v>
      </c>
      <c r="X148" s="183">
        <f t="shared" si="53"/>
        <v>1</v>
      </c>
      <c r="Y148" s="62">
        <f t="shared" si="63"/>
        <v>4.8000000000000001E-2</v>
      </c>
      <c r="Z148" s="62">
        <f t="shared" si="64"/>
        <v>23.295000000000002</v>
      </c>
      <c r="AA148" s="62">
        <f t="shared" si="65"/>
        <v>23.247000000000003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6"/>
        <v>0233-27</v>
      </c>
      <c r="AE148" s="85" t="str">
        <f t="shared" si="67"/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AF148" s="82" t="str">
        <f t="shared" si="68"/>
        <v>"C:\Program Files (x86)\AstroGrep\AstroGrep.exe" /e /r /s /spath="%USERPROFILE%\AppData\Local\Temp\OnboardLogs" /stypes="app*4003*20170328*" /stext=" 04:.+((SYSTEM_STATE.+slice.+state.+changed )|(ment ac)|(multiple cpu faults)|(system.+state.+changed )|(\[timeout)|(PRM\|1\|D)|(kpr)|(kdp)|(\|lc)|(penalty))"</v>
      </c>
      <c r="AG148" s="1" t="str">
        <f t="shared" si="69"/>
        <v>EC</v>
      </c>
      <c r="AH148" s="86" t="str">
        <f t="shared" si="54"/>
        <v>"%USERPROFILE%\Documents\GitHub\eaglep3\Utilities\RefineRTDCRunTimes.py" --tripid 233-27 --locoid 4003 --swversion DE.1.0.9.0 --startMP 204:480 --initTime 2017-03-27T21:52:27 --startdatetime 2017-03-27T22:00:24 --delay 5 --endMP 204:232950 --enddatetime 2017-03-27T22:40:24 --enforcementcount 0 &gt;&gt;C:\Users\stu\Documents\GitHub\eaglep3-reporting\EC\2017-03-27-refined-times.txt</v>
      </c>
      <c r="AI148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api","custom_fields":[{"id":1,"name":"Subdivision","value":"EC"},{"id":4,"name":"Milepost","value":"23.295"},{"id":17,"name":"Train ID","value":"233-27"},{"id":16,"name":"Locomotive ID","value":"4003"},{"id":130,"name":"Impact","value":""},{"id":150,"name":"Time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 t="s">
        <v>590</v>
      </c>
      <c r="AK148" s="48"/>
      <c r="AL148" s="48"/>
      <c r="AM148" s="150" t="str">
        <f t="shared" si="56"/>
        <v>start /low /b %USERPROFILE%\Documents\GitHub\eaglep3\Utilities\DownloadLogsFromS3.py --loco 4003 --day 2017-03-27</v>
      </c>
      <c r="AN148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815</v>
      </c>
      <c r="B149" s="7">
        <v>4004</v>
      </c>
      <c r="C149" s="21" t="s">
        <v>218</v>
      </c>
      <c r="D149" s="21" t="s">
        <v>898</v>
      </c>
      <c r="E149" s="13">
        <v>42821.962604166663</v>
      </c>
      <c r="F149" s="13">
        <v>42821.964201388888</v>
      </c>
      <c r="G149" s="7">
        <v>1</v>
      </c>
      <c r="H149" s="21" t="s">
        <v>390</v>
      </c>
      <c r="I149" s="13">
        <v>42821.991608796299</v>
      </c>
      <c r="J149" s="7">
        <v>0</v>
      </c>
      <c r="K149" s="97" t="str">
        <f t="shared" si="58"/>
        <v>4003/4004</v>
      </c>
      <c r="L149" s="21" t="str">
        <f>VLOOKUP(A149,'Trips&amp;Operators'!$C$1:$G$99999,5,FALSE)</f>
        <v>STAMBAUGH JAMES</v>
      </c>
      <c r="M149" s="6">
        <f t="shared" si="59"/>
        <v>2.7407407411374152E-2</v>
      </c>
      <c r="N149" s="7">
        <f t="shared" si="70"/>
        <v>39.466666672378778</v>
      </c>
      <c r="O149" s="7"/>
      <c r="P149" s="7"/>
      <c r="Q149" s="22"/>
      <c r="R149" s="22"/>
      <c r="S149" s="31">
        <f t="shared" si="71"/>
        <v>1</v>
      </c>
      <c r="T149" s="46" t="str">
        <f t="shared" si="60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61"/>
        <v>https://d0f6bd738d7f1b3e5a7ca70fe4ff75f0.us-east-1.aws.found.io/app/kibana#/discover/Steve-Slow-Train-Analysis-(2080s-and-2083s)?_g=(refreshInterval:(display:Off,pause:!f,section:0,value:0),time:(from:'2017-03-27T22:06:09-0600',mode:absolute,to:'2017-03-28T00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3" t="str">
        <f t="shared" si="62"/>
        <v>N</v>
      </c>
      <c r="X149" s="183">
        <f t="shared" si="53"/>
        <v>1</v>
      </c>
      <c r="Y149" s="62">
        <f t="shared" si="63"/>
        <v>23.263500000000001</v>
      </c>
      <c r="Z149" s="62">
        <f t="shared" si="64"/>
        <v>1.4500000000000001E-2</v>
      </c>
      <c r="AA149" s="62">
        <f t="shared" si="65"/>
        <v>23.248999999999999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6"/>
        <v>0234-27</v>
      </c>
      <c r="AE149" s="85" t="str">
        <f t="shared" si="67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149" s="82" t="str">
        <f t="shared" si="68"/>
        <v>"C:\Program Files (x86)\AstroGrep\AstroGrep.exe" /e /r /s /spath="%USERPROFILE%\AppData\Local\Temp\OnboardLogs" /stypes="app*4004*20170328*" /stext=" 05:.+((SYSTEM_STATE.+slice.+state.+changed )|(ment ac)|(multiple cpu faults)|(system.+state.+changed )|(\[timeout)|(PRM\|1\|D)|(kpr)|(kdp)|(\|lc)|(penalty))"</v>
      </c>
      <c r="AG149" s="1" t="str">
        <f t="shared" si="69"/>
        <v>EC</v>
      </c>
      <c r="AH149" s="86" t="str">
        <f t="shared" si="54"/>
        <v>"%USERPROFILE%\Documents\GitHub\eaglep3\Utilities\RefineRTDCRunTimes.py" --tripid 234-27 --locoid 4004 --swversion DE.1.0.9.0 --startMP 204:232635 --initTime 2017-03-27T23:06:09 --startdatetime 2017-03-27T23:08:27 --delay 1 --endMP 204:145 --enddatetime 2017-03-27T23:47:55 --enforcementcount 0 &gt;&gt;C:\Users\stu\Documents\GitHub\eaglep3-reporting\EC\2017-03-27-refined-times.txt</v>
      </c>
      <c r="AI149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api","custom_fields":[{"id":1,"name":"Subdivision","value":"EC"},{"id":4,"name":"Milepost","value":"0.0145"},{"id":17,"name":"Train ID","value":"234-27"},{"id":16,"name":"Locomotive ID","value":"4004"},{"id":130,"name":"Impact","value":""},{"id":150,"name":"Time of Event (Mountain Time)","value":"23:47:55"},{"id":151,"name":"Denver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 t="s">
        <v>590</v>
      </c>
      <c r="AK149" s="48"/>
      <c r="AL149" s="48"/>
      <c r="AM149" s="150" t="str">
        <f t="shared" si="56"/>
        <v>start /low /b %USERPROFILE%\Documents\GitHub\eaglep3\Utilities\DownloadLogsFromS3.py --loco 4004 --day 2017-03-27</v>
      </c>
      <c r="AN149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812</v>
      </c>
      <c r="B150" s="7">
        <v>4053</v>
      </c>
      <c r="C150" s="21" t="s">
        <v>218</v>
      </c>
      <c r="D150" s="21" t="s">
        <v>498</v>
      </c>
      <c r="E150" s="13">
        <v>42821.94054398148</v>
      </c>
      <c r="F150" s="13">
        <v>42821.942349537036</v>
      </c>
      <c r="G150" s="7">
        <v>1</v>
      </c>
      <c r="H150" s="21" t="s">
        <v>899</v>
      </c>
      <c r="I150" s="13">
        <v>42821.969421296293</v>
      </c>
      <c r="J150" s="7">
        <v>0</v>
      </c>
      <c r="K150" s="97" t="str">
        <f t="shared" si="58"/>
        <v>4053/4054</v>
      </c>
      <c r="L150" s="21" t="str">
        <f>VLOOKUP(A150,'Trips&amp;Operators'!$C$1:$G$99999,5,FALSE)</f>
        <v>SMITH MICHAEL</v>
      </c>
      <c r="M150" s="6">
        <f t="shared" si="59"/>
        <v>2.7071759257523809E-2</v>
      </c>
      <c r="N150" s="7">
        <f t="shared" si="70"/>
        <v>38.983333330834284</v>
      </c>
      <c r="O150" s="7"/>
      <c r="P150" s="7"/>
      <c r="Q150" s="22"/>
      <c r="R150" s="22"/>
      <c r="S150" s="31">
        <f t="shared" si="71"/>
        <v>1</v>
      </c>
      <c r="T150" s="46" t="str">
        <f t="shared" si="60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61"/>
        <v>https://d0f6bd738d7f1b3e5a7ca70fe4ff75f0.us-east-1.aws.found.io/app/kibana#/discover/Steve-Slow-Train-Analysis-(2080s-and-2083s)?_g=(refreshInterval:(display:Off,pause:!f,section:0,value:0),time:(from:'2017-03-27T21:34:23-0600',mode:absolute,to:'2017-03-28T00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3" t="str">
        <f t="shared" si="62"/>
        <v>N</v>
      </c>
      <c r="X150" s="183">
        <f t="shared" si="53"/>
        <v>1</v>
      </c>
      <c r="Y150" s="62">
        <f t="shared" si="63"/>
        <v>4.58E-2</v>
      </c>
      <c r="Z150" s="62">
        <f t="shared" si="64"/>
        <v>23.2959</v>
      </c>
      <c r="AA150" s="62">
        <f t="shared" si="65"/>
        <v>23.2501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6"/>
        <v>0235-27</v>
      </c>
      <c r="AE150" s="85" t="str">
        <f t="shared" si="67"/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AF150" s="82" t="str">
        <f t="shared" si="68"/>
        <v>"C:\Program Files (x86)\AstroGrep\AstroGrep.exe" /e /r /s /spath="%USERPROFILE%\AppData\Local\Temp\OnboardLogs" /stypes="app*4053*20170328*" /stext=" 05:.+((SYSTEM_STATE.+slice.+state.+changed )|(ment ac)|(multiple cpu faults)|(system.+state.+changed )|(\[timeout)|(PRM\|1\|D)|(kpr)|(kdp)|(\|lc)|(penalty))"</v>
      </c>
      <c r="AG150" s="1" t="str">
        <f t="shared" si="69"/>
        <v>EC</v>
      </c>
      <c r="AH150" s="86" t="str">
        <f t="shared" si="54"/>
        <v>"%USERPROFILE%\Documents\GitHub\eaglep3\Utilities\RefineRTDCRunTimes.py" --tripid 235-27 --locoid 4053 --swversion DE.1.0.9.0 --startMP 204:458 --initTime 2017-03-27T22:34:23 --startdatetime 2017-03-27T22:36:59 --delay 1 --endMP 204:232959 --enddatetime 2017-03-27T23:15:58 --enforcementcount 0 &gt;&gt;C:\Users\stu\Documents\GitHub\eaglep3-reporting\EC\2017-03-27-refined-times.txt</v>
      </c>
      <c r="AI15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api","custom_fields":[{"id":1,"name":"Subdivision","value":"EC"},{"id":4,"name":"Milepost","value":"23.2959"},{"id":17,"name":"Train ID","value":"235-27"},{"id":16,"name":"Locomotive ID","value":"4053"},{"id":130,"name":"Impact","value":""},{"id":150,"name":"Time of Event (Mountain Time)","value":"23:15:58"},{"id":151,"name":"Denver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 t="s">
        <v>590</v>
      </c>
      <c r="AK150" s="48"/>
      <c r="AL150" s="48"/>
      <c r="AM150" s="150" t="str">
        <f t="shared" si="56"/>
        <v>start /low /b %USERPROFILE%\Documents\GitHub\eaglep3\Utilities\DownloadLogsFromS3.py --loco 4053 --day 2017-03-27</v>
      </c>
      <c r="AN150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627</v>
      </c>
      <c r="B151" s="7">
        <v>4054</v>
      </c>
      <c r="C151" s="21" t="s">
        <v>218</v>
      </c>
      <c r="D151" s="21" t="s">
        <v>900</v>
      </c>
      <c r="E151" s="13">
        <v>42821.977037037039</v>
      </c>
      <c r="F151" s="13">
        <v>42821.979016203702</v>
      </c>
      <c r="G151" s="7">
        <v>1</v>
      </c>
      <c r="H151" s="21" t="s">
        <v>573</v>
      </c>
      <c r="I151" s="13">
        <v>42822.007314814815</v>
      </c>
      <c r="J151" s="7">
        <v>0</v>
      </c>
      <c r="K151" s="97" t="str">
        <f t="shared" si="58"/>
        <v>4053/4054</v>
      </c>
      <c r="L151" s="21" t="str">
        <f>VLOOKUP(A151,'Trips&amp;Operators'!$C$1:$G$99999,5,FALSE)</f>
        <v>STORY SAMANTHA</v>
      </c>
      <c r="M151" s="6">
        <f t="shared" si="59"/>
        <v>2.8298611112404615E-2</v>
      </c>
      <c r="N151" s="7">
        <f t="shared" si="70"/>
        <v>40.750000001862645</v>
      </c>
      <c r="O151" s="7"/>
      <c r="P151" s="7"/>
      <c r="Q151" s="22"/>
      <c r="R151" s="22"/>
      <c r="S151" s="31">
        <f t="shared" si="71"/>
        <v>1</v>
      </c>
      <c r="T151" s="46" t="str">
        <f t="shared" si="60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61"/>
        <v>https://d0f6bd738d7f1b3e5a7ca70fe4ff75f0.us-east-1.aws.found.io/app/kibana#/discover/Steve-Slow-Train-Analysis-(2080s-and-2083s)?_g=(refreshInterval:(display:Off,pause:!f,section:0,value:0),time:(from:'2017-03-27T22:26:56-0600',mode:absolute,to:'2017-03-28T01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3" t="str">
        <f t="shared" si="62"/>
        <v>N</v>
      </c>
      <c r="X151" s="183">
        <f t="shared" si="53"/>
        <v>1</v>
      </c>
      <c r="Y151" s="62">
        <f t="shared" si="63"/>
        <v>23.2639</v>
      </c>
      <c r="Z151" s="62">
        <f t="shared" si="64"/>
        <v>1.18E-2</v>
      </c>
      <c r="AA151" s="62">
        <f t="shared" si="65"/>
        <v>23.252099999999999</v>
      </c>
      <c r="AB151" s="59" t="str">
        <f>VLOOKUP(A151,Enforcements!$C$7:$K$13,8,0)</f>
        <v>Bulletin (2)</v>
      </c>
      <c r="AC151" s="55" t="str">
        <f>VLOOKUP(A151,Enforcements!$C$7:$E$13,3,0)</f>
        <v>GRADE CROSSING</v>
      </c>
      <c r="AD151" s="56" t="str">
        <f t="shared" si="66"/>
        <v>0236-27</v>
      </c>
      <c r="AE151" s="85" t="str">
        <f t="shared" si="67"/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AF151" s="82" t="str">
        <f t="shared" si="68"/>
        <v>"C:\Program Files (x86)\AstroGrep\AstroGrep.exe" /e /r /s /spath="%USERPROFILE%\AppData\Local\Temp\OnboardLogs" /stypes="app*4054*20170328*" /stext=" 06:.+((SYSTEM_STATE.+slice.+state.+changed )|(ment ac)|(multiple cpu faults)|(system.+state.+changed )|(\[timeout)|(PRM\|1\|D)|(kpr)|(kdp)|(\|lc)|(penalty))"</v>
      </c>
      <c r="AG151" s="1" t="str">
        <f t="shared" si="69"/>
        <v>EC</v>
      </c>
      <c r="AH151" s="86" t="str">
        <f t="shared" si="54"/>
        <v>"%USERPROFILE%\Documents\GitHub\eaglep3\Utilities\RefineRTDCRunTimes.py" --tripid 236-27 --locoid 4054 --swversion DE.1.0.9.0 --startMP 204:232639 --initTime 2017-03-27T23:26:56 --startdatetime 2017-03-27T23:29:47 --delay 1 --endMP 204:118 --enddatetime 2017-03-28T00:10:32 --enforcementcount 0 &gt;&gt;C:\Users\stu\Documents\GitHub\eaglep3-reporting\EC\2017-03-27-refined-times.txt</v>
      </c>
      <c r="AI151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api","custom_fields":[{"id":1,"name":"Subdivision","value":"EC"},{"id":4,"name":"Milepost","value":"0.0118"},{"id":17,"name":"Train ID","value":"236-27"},{"id":16,"name":"Locomotive ID","value":"4054"},{"id":130,"name":"Impact","value":""},{"id":150,"name":"Time of Event (Mountain Time)","value":"00:10:32"},{"id":151,"name":"Denver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 t="s">
        <v>590</v>
      </c>
      <c r="AK151" s="48"/>
      <c r="AL151" s="48"/>
      <c r="AM151" s="150" t="str">
        <f t="shared" si="56"/>
        <v>start /low /b %USERPROFILE%\Documents\GitHub\eaglep3\Utilities\DownloadLogsFromS3.py --loco 4054 --day 2017-03-27</v>
      </c>
      <c r="AN151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3" t="s">
        <v>626</v>
      </c>
      <c r="B152" s="7">
        <v>4027</v>
      </c>
      <c r="C152" s="21" t="s">
        <v>218</v>
      </c>
      <c r="D152" s="21" t="s">
        <v>557</v>
      </c>
      <c r="E152" s="13">
        <v>42821.955289351848</v>
      </c>
      <c r="F152" s="13">
        <v>42821.958611111113</v>
      </c>
      <c r="G152" s="7">
        <v>1</v>
      </c>
      <c r="H152" s="21" t="s">
        <v>550</v>
      </c>
      <c r="I152" s="13">
        <v>42821.986400462964</v>
      </c>
      <c r="J152" s="7">
        <v>0</v>
      </c>
      <c r="K152" s="97" t="str">
        <f t="shared" si="58"/>
        <v>4027/4028</v>
      </c>
      <c r="L152" s="21" t="str">
        <f>VLOOKUP(A152,'Trips&amp;Operators'!$C$1:$G$99999,5,FALSE)</f>
        <v>DUNCAN SHEILA</v>
      </c>
      <c r="M152" s="6">
        <f t="shared" si="59"/>
        <v>2.7789351850515231E-2</v>
      </c>
      <c r="N152" s="7">
        <f t="shared" si="70"/>
        <v>40.016666664741933</v>
      </c>
      <c r="O152" s="7"/>
      <c r="P152" s="7"/>
      <c r="Q152" s="22"/>
      <c r="R152" s="22"/>
      <c r="S152" s="31">
        <f t="shared" si="71"/>
        <v>1</v>
      </c>
      <c r="T152" s="46" t="str">
        <f t="shared" si="60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61"/>
        <v>https://d0f6bd738d7f1b3e5a7ca70fe4ff75f0.us-east-1.aws.found.io/app/kibana#/discover/Steve-Slow-Train-Analysis-(2080s-and-2083s)?_g=(refreshInterval:(display:Off,pause:!f,section:0,value:0),time:(from:'2017-03-27T21:55:37-0600',mode:absolute,to:'2017-03-28T00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83" t="str">
        <f t="shared" si="62"/>
        <v>N</v>
      </c>
      <c r="X152" s="183">
        <f t="shared" si="53"/>
        <v>1</v>
      </c>
      <c r="Y152" s="62">
        <f t="shared" si="63"/>
        <v>4.7100000000000003E-2</v>
      </c>
      <c r="Z152" s="62">
        <f t="shared" si="64"/>
        <v>23.3261</v>
      </c>
      <c r="AA152" s="62">
        <f t="shared" si="65"/>
        <v>23.279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6"/>
        <v>0237-27</v>
      </c>
      <c r="AE152" s="85" t="str">
        <f t="shared" si="67"/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AF152" s="82" t="str">
        <f t="shared" si="68"/>
        <v>"C:\Program Files (x86)\AstroGrep\AstroGrep.exe" /e /r /s /spath="%USERPROFILE%\AppData\Local\Temp\OnboardLogs" /stypes="app*4027*20170328*" /stext=" 05:.+((SYSTEM_STATE.+slice.+state.+changed )|(ment ac)|(multiple cpu faults)|(system.+state.+changed )|(\[timeout)|(PRM\|1\|D)|(kpr)|(kdp)|(\|lc)|(penalty))"</v>
      </c>
      <c r="AG152" s="1" t="str">
        <f t="shared" si="69"/>
        <v>EC</v>
      </c>
      <c r="AH152" s="86" t="str">
        <f t="shared" si="54"/>
        <v>"%USERPROFILE%\Documents\GitHub\eaglep3\Utilities\RefineRTDCRunTimes.py" --tripid 237-27 --locoid 4027 --swversion DE.1.0.9.0 --startMP 204:471 --initTime 2017-03-27T22:55:37 --startdatetime 2017-03-27T23:00:24 --delay 1 --endMP 204:233261 --enddatetime 2017-03-27T23:40:25 --enforcementcount 0 &gt;&gt;C:\Users\stu\Documents\GitHub\eaglep3-reporting\EC\2017-03-27-refined-times.txt</v>
      </c>
      <c r="AI15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api","custom_fields":[{"id":1,"name":"Subdivision","value":"EC"},{"id":4,"name":"Milepost","value":"23.3261"},{"id":17,"name":"Train ID","value":"237-27"},{"id":16,"name":"Locomotive ID","value":"4027"},{"id":130,"name":"Impact","value":""},{"id":150,"name":"Time of Event (Mountain Time)","value":"23:40:25"},{"id":151,"name":"Denver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 t="s">
        <v>590</v>
      </c>
      <c r="AK152" s="48"/>
      <c r="AL152" s="48"/>
      <c r="AM152" s="150" t="str">
        <f t="shared" si="56"/>
        <v>start /low /b %USERPROFILE%\Documents\GitHub\eaglep3\Utilities\DownloadLogsFromS3.py --loco 4027 --day 2017-03-27</v>
      </c>
      <c r="AN152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818</v>
      </c>
      <c r="B153" s="7">
        <v>4028</v>
      </c>
      <c r="C153" s="21" t="s">
        <v>218</v>
      </c>
      <c r="D153" s="21" t="s">
        <v>491</v>
      </c>
      <c r="E153" s="13">
        <v>42821.992893518516</v>
      </c>
      <c r="F153" s="13">
        <v>42821.997465277775</v>
      </c>
      <c r="G153" s="7">
        <v>1</v>
      </c>
      <c r="H153" s="21" t="s">
        <v>901</v>
      </c>
      <c r="I153" s="13">
        <v>42822.031666666669</v>
      </c>
      <c r="J153" s="7">
        <v>0</v>
      </c>
      <c r="K153" s="97" t="str">
        <f t="shared" si="58"/>
        <v>4027/4028</v>
      </c>
      <c r="L153" s="21" t="str">
        <f>VLOOKUP(A153,'Trips&amp;Operators'!$C$1:$G$99999,5,FALSE)</f>
        <v>DUNCAN SHEILA</v>
      </c>
      <c r="M153" s="6">
        <f t="shared" si="59"/>
        <v>3.4201388894871343E-2</v>
      </c>
      <c r="N153" s="7">
        <f t="shared" si="70"/>
        <v>49.250000008614734</v>
      </c>
      <c r="O153" s="7"/>
      <c r="P153" s="7"/>
      <c r="Q153" s="22"/>
      <c r="R153" s="22"/>
      <c r="S153" s="31">
        <f t="shared" si="71"/>
        <v>1</v>
      </c>
      <c r="T153" s="46" t="str">
        <f t="shared" si="60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61"/>
        <v>https://d0f6bd738d7f1b3e5a7ca70fe4ff75f0.us-east-1.aws.found.io/app/kibana#/discover/Steve-Slow-Train-Analysis-(2080s-and-2083s)?_g=(refreshInterval:(display:Off,pause:!f,section:0,value:0),time:(from:'2017-03-27T22:49:46-0600',mode:absolute,to:'2017-03-28T01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83" t="str">
        <f t="shared" si="62"/>
        <v>N</v>
      </c>
      <c r="X153" s="183">
        <f t="shared" si="53"/>
        <v>1</v>
      </c>
      <c r="Y153" s="62">
        <f t="shared" si="63"/>
        <v>23.296700000000001</v>
      </c>
      <c r="Z153" s="62">
        <f t="shared" si="64"/>
        <v>9.4700000000000006E-2</v>
      </c>
      <c r="AA153" s="62">
        <f t="shared" si="65"/>
        <v>23.202000000000002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6"/>
        <v>0238-27</v>
      </c>
      <c r="AE153" s="85" t="str">
        <f t="shared" si="67"/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AF153" s="82" t="str">
        <f t="shared" si="68"/>
        <v>"C:\Program Files (x86)\AstroGrep\AstroGrep.exe" /e /r /s /spath="%USERPROFILE%\AppData\Local\Temp\OnboardLogs" /stypes="app*4028*20170328*" /stext=" 06:.+((SYSTEM_STATE.+slice.+state.+changed )|(ment ac)|(multiple cpu faults)|(system.+state.+changed )|(\[timeout)|(PRM\|1\|D)|(kpr)|(kdp)|(\|lc)|(penalty))"</v>
      </c>
      <c r="AG153" s="1" t="str">
        <f t="shared" si="69"/>
        <v>EC</v>
      </c>
      <c r="AH153" s="86" t="str">
        <f t="shared" si="54"/>
        <v>"%USERPROFILE%\Documents\GitHub\eaglep3\Utilities\RefineRTDCRunTimes.py" --tripid 238-27 --locoid 4028 --swversion DE.1.0.9.0 --startMP 204:232967 --initTime 2017-03-27T23:49:46 --startdatetime 2017-03-27T23:56:21 --delay 1 --endMP 204:947 --enddatetime 2017-03-28T00:45:36 --enforcementcount 0 &gt;&gt;C:\Users\stu\Documents\GitHub\eaglep3-reporting\EC\2017-03-27-refined-times.txt</v>
      </c>
      <c r="AI153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api","custom_fields":[{"id":1,"name":"Subdivision","value":"EC"},{"id":4,"name":"Milepost","value":"0.0947"},{"id":17,"name":"Train ID","value":"238-27"},{"id":16,"name":"Locomotive ID","value":"4028"},{"id":130,"name":"Impact","value":""},{"id":150,"name":"Time of Event (Mountain Time)","value":"00:45:36"},{"id":151,"name":"Denver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 t="s">
        <v>590</v>
      </c>
      <c r="AK153" s="48"/>
      <c r="AL153" s="48"/>
      <c r="AM153" s="150" t="str">
        <f t="shared" si="56"/>
        <v>start /low /b %USERPROFILE%\Documents\GitHub\eaglep3\Utilities\DownloadLogsFromS3.py --loco 4028 --day 2017-03-27</v>
      </c>
      <c r="AN153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06:45:36"},{"id":29,"name":"Sharepoint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817</v>
      </c>
      <c r="B154" s="7">
        <v>4051</v>
      </c>
      <c r="C154" s="21" t="s">
        <v>218</v>
      </c>
      <c r="D154" s="21" t="s">
        <v>862</v>
      </c>
      <c r="E154" s="13">
        <v>42821.978148148148</v>
      </c>
      <c r="F154" s="13">
        <v>42821.979409722226</v>
      </c>
      <c r="G154" s="7">
        <v>0</v>
      </c>
      <c r="H154" s="21" t="s">
        <v>407</v>
      </c>
      <c r="I154" s="13">
        <v>42822.004733796297</v>
      </c>
      <c r="J154" s="7">
        <v>0</v>
      </c>
      <c r="K154" s="97" t="str">
        <f t="shared" si="58"/>
        <v>4051/4052</v>
      </c>
      <c r="L154" s="21" t="str">
        <f>VLOOKUP(A154,'Trips&amp;Operators'!$C$1:$G$99999,5,FALSE)</f>
        <v>CHANDLER KELVIN</v>
      </c>
      <c r="M154" s="6">
        <f t="shared" si="59"/>
        <v>2.5324074071249925E-2</v>
      </c>
      <c r="N154" s="7">
        <f t="shared" si="70"/>
        <v>36.466666662599891</v>
      </c>
      <c r="O154" s="7"/>
      <c r="P154" s="7"/>
      <c r="Q154" s="22"/>
      <c r="R154" s="22"/>
      <c r="S154" s="31">
        <f t="shared" si="71"/>
        <v>1</v>
      </c>
      <c r="T154" s="46" t="str">
        <f t="shared" si="60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61"/>
        <v>https://d0f6bd738d7f1b3e5a7ca70fe4ff75f0.us-east-1.aws.found.io/app/kibana#/discover/Steve-Slow-Train-Analysis-(2080s-and-2083s)?_g=(refreshInterval:(display:Off,pause:!f,section:0,value:0),time:(from:'2017-03-27T22:28:32-0600',mode:absolute,to:'2017-03-28T01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4" s="183" t="str">
        <f t="shared" si="62"/>
        <v>N</v>
      </c>
      <c r="X154" s="183">
        <f t="shared" si="53"/>
        <v>1</v>
      </c>
      <c r="Y154" s="62">
        <f t="shared" si="63"/>
        <v>4.6199999999999998E-2</v>
      </c>
      <c r="Z154" s="62">
        <f t="shared" si="64"/>
        <v>23.3278</v>
      </c>
      <c r="AA154" s="62">
        <f t="shared" si="65"/>
        <v>23.281600000000001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6"/>
        <v>0239-27</v>
      </c>
      <c r="AE154" s="85" t="str">
        <f t="shared" si="67"/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AF154" s="82" t="str">
        <f t="shared" si="68"/>
        <v>"C:\Program Files (x86)\AstroGrep\AstroGrep.exe" /e /r /s /spath="%USERPROFILE%\AppData\Local\Temp\OnboardLogs" /stypes="app*4051*20170328*" /stext=" 06:.+((SYSTEM_STATE.+slice.+state.+changed )|(ment ac)|(multiple cpu faults)|(system.+state.+changed )|(\[timeout)|(PRM\|1\|D)|(kpr)|(kdp)|(\|lc)|(penalty))"</v>
      </c>
      <c r="AG154" s="1" t="str">
        <f t="shared" si="69"/>
        <v>EC</v>
      </c>
      <c r="AH154" s="86" t="str">
        <f t="shared" si="54"/>
        <v>"%USERPROFILE%\Documents\GitHub\eaglep3\Utilities\RefineRTDCRunTimes.py" --tripid 239-27 --locoid 4051 --swversion DE.1.0.9.0 --startMP 204:462 --initTime 2017-03-27T23:28:32 --startdatetime 2017-03-27T23:30:21 --delay 0 --endMP 204:233278 --enddatetime 2017-03-28T00:06:49 --enforcementcount 0 &gt;&gt;C:\Users\stu\Documents\GitHub\eaglep3-reporting\EC\2017-03-27-refined-times.txt</v>
      </c>
      <c r="AI154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api","custom_fields":[{"id":1,"name":"Subdivision","value":"EC"},{"id":4,"name":"Milepost","value":"23.3278"},{"id":17,"name":"Train ID","value":"239-27"},{"id":16,"name":"Locomotive ID","value":"4051"},{"id":130,"name":"Impact","value":""},{"id":150,"name":"Time of Event (Mountain Time)","value":"00:06:49"},{"id":151,"name":"Denver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 t="s">
        <v>590</v>
      </c>
      <c r="AK154" s="48"/>
      <c r="AL154" s="48"/>
      <c r="AM154" s="150" t="str">
        <f t="shared" si="56"/>
        <v>start /low /b %USERPROFILE%\Documents\GitHub\eaglep3\Utilities\DownloadLogsFromS3.py --loco 4051 --day 2017-03-27</v>
      </c>
      <c r="AN154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819</v>
      </c>
      <c r="B155" s="7">
        <v>4052</v>
      </c>
      <c r="C155" s="21" t="s">
        <v>218</v>
      </c>
      <c r="D155" s="21" t="s">
        <v>902</v>
      </c>
      <c r="E155" s="13">
        <v>42822.015150462961</v>
      </c>
      <c r="F155" s="13">
        <v>42822.018483796295</v>
      </c>
      <c r="G155" s="7">
        <v>1</v>
      </c>
      <c r="H155" s="21" t="s">
        <v>191</v>
      </c>
      <c r="I155" s="13">
        <v>42822.047881944447</v>
      </c>
      <c r="J155" s="7">
        <v>0</v>
      </c>
      <c r="K155" s="97" t="str">
        <f t="shared" si="58"/>
        <v>4051/4052</v>
      </c>
      <c r="L155" s="21" t="str">
        <f>VLOOKUP(A155,'Trips&amp;Operators'!$C$1:$G$99999,5,FALSE)</f>
        <v>CHANDLER KELVIN</v>
      </c>
      <c r="M155" s="6">
        <f t="shared" si="59"/>
        <v>2.9398148151813075E-2</v>
      </c>
      <c r="N155" s="7">
        <f t="shared" si="70"/>
        <v>42.333333338610828</v>
      </c>
      <c r="O155" s="7"/>
      <c r="P155" s="7"/>
      <c r="Q155" s="22"/>
      <c r="R155" s="22"/>
      <c r="S155" s="31">
        <f t="shared" si="71"/>
        <v>1</v>
      </c>
      <c r="T155" s="46" t="str">
        <f t="shared" si="60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61"/>
        <v>https://d0f6bd738d7f1b3e5a7ca70fe4ff75f0.us-east-1.aws.found.io/app/kibana#/discover/Steve-Slow-Train-Analysis-(2080s-and-2083s)?_g=(refreshInterval:(display:Off,pause:!f,section:0,value:0),time:(from:'2017-03-27T23:21:49-0600',mode:absolute,to:'2017-03-28T02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5" s="183" t="str">
        <f t="shared" si="62"/>
        <v>N</v>
      </c>
      <c r="X155" s="183">
        <f t="shared" si="53"/>
        <v>1</v>
      </c>
      <c r="Y155" s="62">
        <f t="shared" si="63"/>
        <v>23.295100000000001</v>
      </c>
      <c r="Z155" s="62">
        <f t="shared" si="64"/>
        <v>1.4999999999999999E-2</v>
      </c>
      <c r="AA155" s="62">
        <f t="shared" si="65"/>
        <v>23.280100000000001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6"/>
        <v>0240-27</v>
      </c>
      <c r="AE155" s="85" t="str">
        <f t="shared" si="67"/>
        <v>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 &amp; 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</v>
      </c>
      <c r="AF155" s="82" t="str">
        <f t="shared" si="68"/>
        <v>"C:\Program Files (x86)\AstroGrep\AstroGrep.exe" /e /r /s /spath="%USERPROFILE%\AppData\Local\Temp\OnboardLogs" /stypes="app*4052*20170328*" /stext=" 07:.+((SYSTEM_STATE.+slice.+state.+changed )|(ment ac)|(multiple cpu faults)|(system.+state.+changed )|(\[timeout)|(PRM\|1\|D)|(kpr)|(kdp)|(\|lc)|(penalty))"</v>
      </c>
      <c r="AG155" s="1" t="str">
        <f t="shared" si="69"/>
        <v>EC</v>
      </c>
      <c r="AH155" s="86" t="str">
        <f t="shared" si="54"/>
        <v>"%USERPROFILE%\Documents\GitHub\eaglep3\Utilities\RefineRTDCRunTimes.py" --tripid 240-27 --locoid 4052 --swversion DE.1.0.9.0 --startMP 204:232951 --initTime 2017-03-28T00:21:49 --startdatetime 2017-03-28T00:26:37 --delay 1 --endMP 204:150 --enddatetime 2017-03-28T01:08:57 --enforcementcount 0 &gt;&gt;C:\Users\stu\Documents\GitHub\eaglep3-reporting\EC\2017-03-27-refined-times.txt</v>
      </c>
      <c r="AI155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api","custom_fields":[{"id":1,"name":"Subdivision","value":"EC"},{"id":4,"name":"Milepost","value":"0.015"},{"id":17,"name":"Train ID","value":"240-27"},{"id":16,"name":"Locomotive ID","value":"4052"},{"id":130,"name":"Impact","value":""},{"id":150,"name":"Time of Event (Mountain Time)","value":"01:08:57"},{"id":151,"name":"Denver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 t="s">
        <v>590</v>
      </c>
      <c r="AK155" s="48"/>
      <c r="AL155" s="48"/>
      <c r="AM155" s="150" t="str">
        <f t="shared" si="56"/>
        <v>start /low /b %USERPROFILE%\Documents\GitHub\eaglep3\Utilities\DownloadLogsFromS3.py --loco 4052 --day 2017-03-28</v>
      </c>
      <c r="AN155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814</v>
      </c>
      <c r="B156" s="7">
        <v>4003</v>
      </c>
      <c r="C156" s="21" t="s">
        <v>218</v>
      </c>
      <c r="D156" s="21" t="s">
        <v>862</v>
      </c>
      <c r="E156" s="13">
        <v>42821.997604166667</v>
      </c>
      <c r="F156" s="13">
        <v>42822.000289351854</v>
      </c>
      <c r="G156" s="7">
        <v>1</v>
      </c>
      <c r="H156" s="21" t="s">
        <v>562</v>
      </c>
      <c r="I156" s="13">
        <v>42822.026597222219</v>
      </c>
      <c r="J156" s="7">
        <v>0</v>
      </c>
      <c r="K156" s="97" t="str">
        <f t="shared" si="58"/>
        <v>4003/4004</v>
      </c>
      <c r="L156" s="21" t="str">
        <f>VLOOKUP(A156,'Trips&amp;Operators'!$C$1:$G$99999,5,FALSE)</f>
        <v>GUZMAN DANNY</v>
      </c>
      <c r="M156" s="6">
        <f t="shared" si="59"/>
        <v>2.6307870364689734E-2</v>
      </c>
      <c r="N156" s="7">
        <f t="shared" si="70"/>
        <v>37.883333325153217</v>
      </c>
      <c r="O156" s="7"/>
      <c r="P156" s="7"/>
      <c r="Q156" s="22"/>
      <c r="R156" s="22"/>
      <c r="S156" s="31">
        <f t="shared" si="71"/>
        <v>1</v>
      </c>
      <c r="T156" s="46" t="str">
        <f t="shared" si="60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61"/>
        <v>https://d0f6bd738d7f1b3e5a7ca70fe4ff75f0.us-east-1.aws.found.io/app/kibana#/discover/Steve-Slow-Train-Analysis-(2080s-and-2083s)?_g=(refreshInterval:(display:Off,pause:!f,section:0,value:0),time:(from:'2017-03-27T22:56:33-0600',mode:absolute,to:'2017-03-28T01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3" t="str">
        <f t="shared" si="62"/>
        <v>N</v>
      </c>
      <c r="X156" s="183">
        <f t="shared" si="53"/>
        <v>1</v>
      </c>
      <c r="Y156" s="62">
        <f t="shared" si="63"/>
        <v>4.6199999999999998E-2</v>
      </c>
      <c r="Z156" s="62">
        <f t="shared" si="64"/>
        <v>23.330300000000001</v>
      </c>
      <c r="AA156" s="62">
        <f t="shared" si="65"/>
        <v>23.284100000000002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6"/>
        <v>0241-27</v>
      </c>
      <c r="AE156" s="85" t="str">
        <f t="shared" si="67"/>
        <v>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 &amp; aws s3 cp s3://rtdc.mdm.uploadarchive.raw/RTDC4003/ "%USERPROFILE%\AppData\Local\Temp\OnboardLogs"\RTDC4003\2017-03-29 --exclude "*" --recursive --include "*20170329*" &amp; "%USERPROFILE%\Documents\GitHub\mrs-test-scripts\Headless Mode &amp; Sideloading\WalkAndUnGZ.bat" "%USERPROFILE%\AppData\Local\Temp\OnboardLogs"\RTDC4003\2017-03-29</v>
      </c>
      <c r="AF156" s="82" t="str">
        <f t="shared" si="68"/>
        <v>"C:\Program Files (x86)\AstroGrep\AstroGrep.exe" /e /r /s /spath="%USERPROFILE%\AppData\Local\Temp\OnboardLogs" /stypes="app*4003*20170328*" /stext=" 06:.+((SYSTEM_STATE.+slice.+state.+changed )|(ment ac)|(multiple cpu faults)|(system.+state.+changed )|(\[timeout)|(PRM\|1\|D)|(kpr)|(kdp)|(\|lc)|(penalty))"</v>
      </c>
      <c r="AG156" s="1" t="str">
        <f t="shared" si="69"/>
        <v>EC</v>
      </c>
      <c r="AH156" s="86" t="str">
        <f t="shared" si="54"/>
        <v>"%USERPROFILE%\Documents\GitHub\eaglep3\Utilities\RefineRTDCRunTimes.py" --tripid 241-27 --locoid 4003 --swversion DE.1.0.9.0 --startMP 204:462 --initTime 2017-03-27T23:56:33 --startdatetime 2017-03-28T00:00:25 --delay 1 --endMP 204:233303 --enddatetime 2017-03-28T00:38:18 --enforcementcount 0 &gt;&gt;C:\Users\stu\Documents\GitHub\eaglep3-reporting\EC\2017-03-27-refined-times.txt</v>
      </c>
      <c r="AI156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api","custom_fields":[{"id":1,"name":"Subdivision","value":"EC"},{"id":4,"name":"Milepost","value":"23.3303"},{"id":17,"name":"Train ID","value":"241-27"},{"id":16,"name":"Locomotive ID","value":"4003"},{"id":130,"name":"Impact","value":""},{"id":150,"name":"Time of Event (Mountain Time)","value":"00:38:18"},{"id":151,"name":"Denver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 t="s">
        <v>590</v>
      </c>
      <c r="AK156" s="48"/>
      <c r="AL156" s="48"/>
      <c r="AM156" s="150" t="str">
        <f t="shared" si="56"/>
        <v>start /low /b %USERPROFILE%\Documents\GitHub\eaglep3\Utilities\DownloadLogsFromS3.py --loco 4003 --day 2017-03-28</v>
      </c>
      <c r="AN156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821</v>
      </c>
      <c r="B157" s="7">
        <v>4004</v>
      </c>
      <c r="C157" s="21" t="s">
        <v>218</v>
      </c>
      <c r="D157" s="21" t="s">
        <v>491</v>
      </c>
      <c r="E157" s="13">
        <v>42822.031446759262</v>
      </c>
      <c r="F157" s="13">
        <v>42822.039722222224</v>
      </c>
      <c r="G157" s="7">
        <v>2</v>
      </c>
      <c r="H157" s="21" t="s">
        <v>903</v>
      </c>
      <c r="I157" s="13">
        <v>42822.058946759258</v>
      </c>
      <c r="J157" s="7">
        <v>0</v>
      </c>
      <c r="K157" s="97" t="str">
        <f t="shared" si="58"/>
        <v>4003/4004</v>
      </c>
      <c r="L157" s="21" t="str">
        <f>VLOOKUP(A157,'Trips&amp;Operators'!$C$1:$G$99999,5,FALSE)</f>
        <v>GUZMAN DANNY</v>
      </c>
      <c r="M157" s="6">
        <f t="shared" si="59"/>
        <v>1.9224537034460809E-2</v>
      </c>
      <c r="N157" s="7"/>
      <c r="O157" s="7"/>
      <c r="P157" s="7">
        <f>24*60*SUM($M157:$M157)</f>
        <v>27.683333329623565</v>
      </c>
      <c r="Q157" s="22"/>
      <c r="R157" s="22" t="s">
        <v>1026</v>
      </c>
      <c r="S157" s="31">
        <f t="shared" si="71"/>
        <v>0.75</v>
      </c>
      <c r="T157" s="46" t="str">
        <f t="shared" si="60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9</v>
      </c>
      <c r="V157" s="182" t="str">
        <f t="shared" si="61"/>
        <v>https://d0f6bd738d7f1b3e5a7ca70fe4ff75f0.us-east-1.aws.found.io/app/kibana#/discover/Steve-Slow-Train-Analysis-(2080s-and-2083s)?_g=(refreshInterval:(display:Off,pause:!f,section:0,value:0),time:(from:'2017-03-27T23:45:17-0600',mode:absolute,to:'2017-03-28T02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3" t="str">
        <f t="shared" si="62"/>
        <v>Y</v>
      </c>
      <c r="X157" s="183">
        <f t="shared" si="53"/>
        <v>1</v>
      </c>
      <c r="Y157" s="62">
        <f t="shared" si="63"/>
        <v>23.296700000000001</v>
      </c>
      <c r="Z157" s="62">
        <v>3.6793999999999998</v>
      </c>
      <c r="AA157" s="62">
        <f t="shared" si="65"/>
        <v>19.6173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6"/>
        <v>0242-27</v>
      </c>
      <c r="AE157" s="85" t="str">
        <f t="shared" si="67"/>
        <v>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 &amp; aws s3 cp s3://rtdc.mdm.uploadarchive.raw/RTDC4004/ "%USERPROFILE%\AppData\Local\Temp\OnboardLogs"\RTDC4004\2017-03-29 --exclude "*" --recursive --include "*20170329*" &amp; "%USERPROFILE%\Documents\GitHub\mrs-test-scripts\Headless Mode &amp; Sideloading\WalkAndUnGZ.bat" "%USERPROFILE%\AppData\Local\Temp\OnboardLogs"\RTDC4004\2017-03-29</v>
      </c>
      <c r="AF157" s="82" t="str">
        <f t="shared" si="68"/>
        <v>"C:\Program Files (x86)\AstroGrep\AstroGrep.exe" /e /r /s /spath="%USERPROFILE%\AppData\Local\Temp\OnboardLogs" /stypes="app*4004*20170328*" /stext=" 07:.+((SYSTEM_STATE.+slice.+state.+changed )|(ment ac)|(multiple cpu faults)|(system.+state.+changed )|(\[timeout)|(PRM\|1\|D)|(kpr)|(kdp)|(\|lc)|(penalty))"</v>
      </c>
      <c r="AG157" s="1" t="str">
        <f t="shared" si="69"/>
        <v>EC</v>
      </c>
      <c r="AH157" s="86" t="str">
        <f t="shared" si="54"/>
        <v>"%USERPROFILE%\Documents\GitHub\eaglep3\Utilities\RefineRTDCRunTimes.py" --tripid 242-27 --locoid 4004 --swversion DE.1.0.9.0 --startMP 204:232967 --initTime 2017-03-28T00:45:17 --startdatetime 2017-03-28T00:57:12 --delay 2 --endMP 204:74235 --enddatetime 2017-03-28T01:24:53 --enforcementcount 0 &gt;&gt;C:\Users\stu\Documents\GitHub\eaglep3-reporting\EC\2017-03-27-refined-times.txt</v>
      </c>
      <c r="AI157" s="104" t="str">
        <f t="shared" si="55"/>
        <v>echo {"issue":{"subject":"Onboard in-route failure","project_id":79,"tracker_id":40,"status_id":1,"priority_id":2,"assigned_to_id":23,"start_date":"2017-03-28","description":"test from api","custom_fields":[{"id":1,"name":"Subdivision","value":"EC"},{"id":4,"name":"Milepost","value":"3.6794"},{"id":17,"name":"Train ID","value":"242-27"},{"id":16,"name":"Locomotive ID","value":"4004"},{"id":130,"name":"Impact","value":""},{"id":150,"name":"Time of Event (Mountain Time)","value":"01:24:53"},{"id":151,"name":"Denver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 t="s">
        <v>590</v>
      </c>
      <c r="AK157" s="48"/>
      <c r="AL157" s="48"/>
      <c r="AM157" s="150" t="str">
        <f t="shared" si="56"/>
        <v>start /low /b %USERPROFILE%\Documents\GitHub\eaglep3\Utilities\DownloadLogsFromS3.py --loco 4004 --day 2017-03-28</v>
      </c>
      <c r="AN157" s="159" t="str">
        <f t="shared" si="57"/>
        <v>echo {"issue":{"subject":"Onboard in-route failure","project_id":30,"tracker_id":4,"status_id":1,"priority_id":1,"assigned_to_id":10,"start_date":"2017-03-28","description":"test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816</v>
      </c>
      <c r="B158" s="7">
        <v>4014</v>
      </c>
      <c r="C158" s="21" t="s">
        <v>218</v>
      </c>
      <c r="D158" s="21" t="s">
        <v>904</v>
      </c>
      <c r="E158" s="13">
        <v>42822.013703703706</v>
      </c>
      <c r="F158" s="13">
        <v>42822.02103009259</v>
      </c>
      <c r="G158" s="7">
        <v>2</v>
      </c>
      <c r="H158" s="21" t="s">
        <v>546</v>
      </c>
      <c r="I158" s="13">
        <v>42822.046168981484</v>
      </c>
      <c r="J158" s="7">
        <v>0</v>
      </c>
      <c r="K158" s="97" t="str">
        <f t="shared" si="58"/>
        <v>4013/4014</v>
      </c>
      <c r="L158" s="21" t="str">
        <f>VLOOKUP(A158,'Trips&amp;Operators'!$C$1:$G$99999,5,FALSE)</f>
        <v>STORY SAMANTHA</v>
      </c>
      <c r="M158" s="6">
        <f t="shared" si="59"/>
        <v>2.513888889370719E-2</v>
      </c>
      <c r="N158" s="7">
        <f t="shared" ref="N158:N189" si="72">24*60*SUM($M158:$M158)</f>
        <v>36.200000006938353</v>
      </c>
      <c r="O158" s="7"/>
      <c r="P158" s="7"/>
      <c r="Q158" s="22"/>
      <c r="R158" s="22"/>
      <c r="S158" s="31">
        <f t="shared" si="71"/>
        <v>1</v>
      </c>
      <c r="T158" s="46" t="str">
        <f t="shared" si="60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61"/>
        <v>https://d0f6bd738d7f1b3e5a7ca70fe4ff75f0.us-east-1.aws.found.io/app/kibana#/discover/Steve-Slow-Train-Analysis-(2080s-and-2083s)?_g=(refreshInterval:(display:Off,pause:!f,section:0,value:0),time:(from:'2017-03-27T23:19:44-0600',mode:absolute,to:'2017-03-28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183" t="str">
        <f t="shared" si="62"/>
        <v>N</v>
      </c>
      <c r="X158" s="183">
        <f t="shared" si="53"/>
        <v>1</v>
      </c>
      <c r="Y158" s="62">
        <f t="shared" si="63"/>
        <v>6.3500000000000001E-2</v>
      </c>
      <c r="Z158" s="62">
        <f t="shared" ref="Z158:Z189" si="73">RIGHT(H158,LEN(H158)-4)/10000</f>
        <v>23.328099999999999</v>
      </c>
      <c r="AA158" s="62">
        <f t="shared" si="65"/>
        <v>23.264599999999998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6"/>
        <v>0243-27</v>
      </c>
      <c r="AE158" s="85" t="str">
        <f t="shared" si="67"/>
        <v>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 &amp; 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</v>
      </c>
      <c r="AF158" s="82" t="str">
        <f t="shared" si="68"/>
        <v>"C:\Program Files (x86)\AstroGrep\AstroGrep.exe" /e /r /s /spath="%USERPROFILE%\AppData\Local\Temp\OnboardLogs" /stypes="app*4014*20170328*" /stext=" 07:.+((SYSTEM_STATE.+slice.+state.+changed )|(ment ac)|(multiple cpu faults)|(system.+state.+changed )|(\[timeout)|(PRM\|1\|D)|(kpr)|(kdp)|(\|lc)|(penalty))"</v>
      </c>
      <c r="AG158" s="1" t="str">
        <f t="shared" si="69"/>
        <v>EC</v>
      </c>
      <c r="AH158" s="86" t="str">
        <f t="shared" si="54"/>
        <v>"%USERPROFILE%\Documents\GitHub\eaglep3\Utilities\RefineRTDCRunTimes.py" --tripid 243-27 --locoid 4014 --swversion DE.1.0.9.0 --startMP 204:635 --initTime 2017-03-28T00:19:44 --startdatetime 2017-03-28T00:30:17 --delay 2 --endMP 204:233281 --enddatetime 2017-03-28T01:06:29 --enforcementcount 0 &gt;&gt;C:\Users\stu\Documents\GitHub\eaglep3-reporting\EC\2017-03-27-refined-times.txt</v>
      </c>
      <c r="AI158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api","custom_fields":[{"id":1,"name":"Subdivision","value":"EC"},{"id":4,"name":"Milepost","value":"23.3281"},{"id":17,"name":"Train ID","value":"243-27"},{"id":16,"name":"Locomotive ID","value":"4014"},{"id":130,"name":"Impact","value":""},{"id":150,"name":"Time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 t="s">
        <v>590</v>
      </c>
      <c r="AK158" s="48"/>
      <c r="AL158" s="48"/>
      <c r="AM158" s="150" t="str">
        <f t="shared" si="56"/>
        <v>start /low /b %USERPROFILE%\Documents\GitHub\eaglep3\Utilities\DownloadLogsFromS3.py --loco 4014 --day 2017-03-28</v>
      </c>
      <c r="AN158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823</v>
      </c>
      <c r="B159" s="7">
        <v>4013</v>
      </c>
      <c r="C159" s="21" t="s">
        <v>218</v>
      </c>
      <c r="D159" s="21" t="s">
        <v>510</v>
      </c>
      <c r="E159" s="13">
        <v>42822.051851851851</v>
      </c>
      <c r="F159" s="13">
        <v>42822.06009259259</v>
      </c>
      <c r="G159" s="7">
        <v>3</v>
      </c>
      <c r="H159" s="21" t="s">
        <v>199</v>
      </c>
      <c r="I159" s="13">
        <v>42822.088854166665</v>
      </c>
      <c r="J159" s="7">
        <v>0</v>
      </c>
      <c r="K159" s="97" t="str">
        <f t="shared" si="58"/>
        <v>4013/4014</v>
      </c>
      <c r="L159" s="21" t="str">
        <f>VLOOKUP(A159,'Trips&amp;Operators'!$C$1:$G$99999,5,FALSE)</f>
        <v>STORY SAMANTHA</v>
      </c>
      <c r="M159" s="6">
        <f t="shared" si="59"/>
        <v>2.8761574074451346E-2</v>
      </c>
      <c r="N159" s="7">
        <f t="shared" si="72"/>
        <v>41.416666667209938</v>
      </c>
      <c r="O159" s="7"/>
      <c r="P159" s="7"/>
      <c r="Q159" s="22"/>
      <c r="R159" s="22"/>
      <c r="S159" s="31">
        <f t="shared" si="71"/>
        <v>1</v>
      </c>
      <c r="T159" s="46" t="str">
        <f t="shared" si="60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61"/>
        <v>https://d0f6bd738d7f1b3e5a7ca70fe4ff75f0.us-east-1.aws.found.io/app/kibana#/discover/Steve-Slow-Train-Analysis-(2080s-and-2083s)?_g=(refreshInterval:(display:Off,pause:!f,section:0,value:0),time:(from:'2017-03-28T00:14:40-0600',mode:absolute,to:'2017-03-28T03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83" t="str">
        <f t="shared" si="62"/>
        <v>N</v>
      </c>
      <c r="X159" s="183">
        <f t="shared" si="53"/>
        <v>1</v>
      </c>
      <c r="Y159" s="62">
        <f t="shared" si="63"/>
        <v>23.297000000000001</v>
      </c>
      <c r="Z159" s="62">
        <f t="shared" si="73"/>
        <v>1.52E-2</v>
      </c>
      <c r="AA159" s="62">
        <f t="shared" si="65"/>
        <v>23.2818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6"/>
        <v>0244-27</v>
      </c>
      <c r="AE159" s="85" t="str">
        <f t="shared" si="67"/>
        <v>aws s3 cp s3://rtdc.mdm.uploadarchive.raw/RTDC4013/ "%USERPROFILE%\AppData\Local\Temp\OnboardLogs"\RTDC4013\2017-03-28 --exclude "*" --recursive --include "*20170328*" &amp; "%USERPROFILE%\Documents\GitHub\mrs-test-scripts\Headless Mode &amp; Sideloading\WalkAndUnGZ.bat" "%USERPROFILE%\AppData\Local\Temp\OnboardLogs"\RTDC4013\2017-03-28 &amp; 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</v>
      </c>
      <c r="AF159" s="82" t="str">
        <f t="shared" si="68"/>
        <v>"C:\Program Files (x86)\AstroGrep\AstroGrep.exe" /e /r /s /spath="%USERPROFILE%\AppData\Local\Temp\OnboardLogs" /stypes="app*4013*20170328*" /stext=" 08:.+((SYSTEM_STATE.+slice.+state.+changed )|(ment ac)|(multiple cpu faults)|(system.+state.+changed )|(\[timeout)|(PRM\|1\|D)|(kpr)|(kdp)|(\|lc)|(penalty))"</v>
      </c>
      <c r="AG159" s="1" t="str">
        <f t="shared" si="69"/>
        <v>EC</v>
      </c>
      <c r="AH159" s="86" t="str">
        <f t="shared" si="54"/>
        <v>"%USERPROFILE%\Documents\GitHub\eaglep3\Utilities\RefineRTDCRunTimes.py" --tripid 244-27 --locoid 4013 --swversion DE.1.0.9.0 --startMP 204:232970 --initTime 2017-03-28T01:14:40 --startdatetime 2017-03-28T01:26:32 --delay 3 --endMP 204:152 --enddatetime 2017-03-28T02:07:57 --enforcementcount 0 &gt;&gt;C:\Users\stu\Documents\GitHub\eaglep3-reporting\EC\2017-03-27-refined-times.txt</v>
      </c>
      <c r="AI159" s="104" t="str">
        <f t="shared" si="55"/>
        <v>echo {"issue":{"subject":"","project_id":79,"tracker_id":40,"status_id":1,"priority_id":2,"assigned_to_id":23,"start_date":"2017-03-28","description":"test from api","custom_fields":[{"id":1,"name":"Subdivision","value":"EC"},{"id":4,"name":"Milepost","value":"0.0152"},{"id":17,"name":"Train ID","value":"244-27"},{"id":16,"name":"Locomotive ID","value":"4013"},{"id":130,"name":"Impact","value":""},{"id":150,"name":"Time of Event (Mountain Time)","value":"02:07:57"},{"id":151,"name":"Denver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 t="s">
        <v>590</v>
      </c>
      <c r="AK159" s="48"/>
      <c r="AL159" s="48"/>
      <c r="AM159" s="150" t="str">
        <f t="shared" si="56"/>
        <v>start /low /b %USERPROFILE%\Documents\GitHub\eaglep3\Utilities\DownloadLogsFromS3.py --loco 4013 --day 2017-03-28</v>
      </c>
      <c r="AN159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593</v>
      </c>
      <c r="B160" s="7">
        <v>4043</v>
      </c>
      <c r="C160" s="21" t="s">
        <v>218</v>
      </c>
      <c r="D160" s="21" t="s">
        <v>928</v>
      </c>
      <c r="E160" s="13">
        <v>42821.213495370372</v>
      </c>
      <c r="F160" s="13">
        <v>42821.214884259258</v>
      </c>
      <c r="G160" s="7">
        <v>1</v>
      </c>
      <c r="H160" s="21" t="s">
        <v>929</v>
      </c>
      <c r="I160" s="13">
        <v>42821.225439814814</v>
      </c>
      <c r="J160" s="7">
        <v>0</v>
      </c>
      <c r="K160" s="97" t="str">
        <f t="shared" si="58"/>
        <v>4043/4044</v>
      </c>
      <c r="L160" s="21" t="str">
        <f>VLOOKUP(A160,'Trips&amp;Operators'!$C$1:$G$99999,5,FALSE)</f>
        <v>DAVIS WENDY</v>
      </c>
      <c r="M160" s="6">
        <f t="shared" si="59"/>
        <v>1.0555555556493346E-2</v>
      </c>
      <c r="N160" s="7">
        <f t="shared" si="72"/>
        <v>15.200000001350418</v>
      </c>
      <c r="O160" s="7"/>
      <c r="P160" s="7"/>
      <c r="Q160" s="22"/>
      <c r="R160" s="22"/>
      <c r="S160" s="31">
        <f t="shared" si="71"/>
        <v>1</v>
      </c>
      <c r="T160" s="46" t="str">
        <f t="shared" si="60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61"/>
        <v>https://d0f6bd738d7f1b3e5a7ca70fe4ff75f0.us-east-1.aws.found.io/app/kibana#/discover/Steve-Slow-Train-Analysis-(2080s-and-2083s)?_g=(refreshInterval:(display:Off,pause:!f,section:0,value:0),time:(from:'2017-03-27T04:07:26-0600',mode:absolute,to:'2017-03-27T06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83" t="str">
        <f t="shared" si="62"/>
        <v>N</v>
      </c>
      <c r="X160" s="183">
        <f t="shared" si="53"/>
        <v>556</v>
      </c>
      <c r="Y160" s="62">
        <f t="shared" si="63"/>
        <v>5.8708999999999998</v>
      </c>
      <c r="Z160" s="62">
        <f t="shared" si="73"/>
        <v>7.2599999999999998E-2</v>
      </c>
      <c r="AA160" s="62">
        <f t="shared" si="65"/>
        <v>5.7982999999999993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6"/>
        <v>0800-27</v>
      </c>
      <c r="AE160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60" s="82" t="str">
        <f t="shared" si="68"/>
        <v>"C:\Program Files (x86)\AstroGrep\AstroGrep.exe" /e /r /s /spath="%USERPROFILE%\AppData\Local\Temp\OnboardLogs" /stypes="app*4043*20170327*" /stext=" 11:.+((SYSTEM_STATE.+slice.+state.+changed )|(ment ac)|(multiple cpu faults)|(system.+state.+changed )|(\[timeout)|(PRM\|1\|D)|(kpr)|(kdp)|(\|lc)|(penalty))"</v>
      </c>
      <c r="AG160" s="1" t="str">
        <f t="shared" si="69"/>
        <v>NW</v>
      </c>
      <c r="AH160" s="86" t="str">
        <f t="shared" si="54"/>
        <v>"%USERPROFILE%\Documents\GitHub\eaglep3\Utilities\RefineRTDCRunTimes.py" --tripid 800-27 --locoid 4043 --swversion DE.1.0.9.0 --startMP 300:58709 --initTime 2017-03-27T05:07:26 --startdatetime 2017-03-27T05:09:26 --delay 1 --endMP 204:726 --enddatetime 2017-03-27T05:24:38 --enforcementcount 0 &gt;&gt;C:\Users\stu\Documents\GitHub\eaglep3-reporting\EC\2017-03-27-refined-times.txt</v>
      </c>
      <c r="AI16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api","custom_fields":[{"id":1,"name":"Subdivision","value":"NW"},{"id":4,"name":"Milepost","value":"0.0726"},{"id":17,"name":"Train ID","value":"800-27"},{"id":16,"name":"Locomotive ID","value":"4043"},{"id":130,"name":"Impact","value":""},{"id":150,"name":"Time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 t="s">
        <v>590</v>
      </c>
      <c r="AK160" s="48"/>
      <c r="AL160" s="48"/>
      <c r="AM160" s="150" t="str">
        <f t="shared" si="56"/>
        <v>start /low /b %USERPROFILE%\Documents\GitHub\eaglep3\Utilities\DownloadLogsFromS3.py --loco 4043 --day 2017-03-27</v>
      </c>
      <c r="AN160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595</v>
      </c>
      <c r="B161" s="7">
        <v>4044</v>
      </c>
      <c r="C161" s="21" t="s">
        <v>218</v>
      </c>
      <c r="D161" s="21" t="s">
        <v>930</v>
      </c>
      <c r="E161" s="13">
        <v>42821.241678240738</v>
      </c>
      <c r="F161" s="13">
        <v>42821.243923611109</v>
      </c>
      <c r="G161" s="7">
        <v>1</v>
      </c>
      <c r="H161" s="21" t="s">
        <v>931</v>
      </c>
      <c r="I161" s="13">
        <v>42821.253668981481</v>
      </c>
      <c r="J161" s="7">
        <v>0</v>
      </c>
      <c r="K161" s="97" t="str">
        <f t="shared" si="58"/>
        <v>4043/4044</v>
      </c>
      <c r="L161" s="21" t="str">
        <f>VLOOKUP(A161,'Trips&amp;Operators'!$C$1:$G$99999,5,FALSE)</f>
        <v>DAVIS WENDY</v>
      </c>
      <c r="M161" s="6">
        <f t="shared" si="59"/>
        <v>9.7453703710925765E-3</v>
      </c>
      <c r="N161" s="7">
        <f t="shared" si="72"/>
        <v>14.03333333437331</v>
      </c>
      <c r="O161" s="7"/>
      <c r="P161" s="7"/>
      <c r="Q161" s="22"/>
      <c r="R161" s="22"/>
      <c r="S161" s="31">
        <f t="shared" si="71"/>
        <v>1</v>
      </c>
      <c r="T161" s="46" t="str">
        <f t="shared" si="60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61"/>
        <v>https://d0f6bd738d7f1b3e5a7ca70fe4ff75f0.us-east-1.aws.found.io/app/kibana#/discover/Steve-Slow-Train-Analysis-(2080s-and-2083s)?_g=(refreshInterval:(display:Off,pause:!f,section:0,value:0),time:(from:'2017-03-27T04:48:01-0600',mode:absolute,to:'2017-03-27T07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83" t="str">
        <f t="shared" si="62"/>
        <v>N</v>
      </c>
      <c r="X161" s="183">
        <f t="shared" si="53"/>
        <v>1</v>
      </c>
      <c r="Y161" s="62">
        <f t="shared" si="63"/>
        <v>9.9500000000000005E-2</v>
      </c>
      <c r="Z161" s="62">
        <f t="shared" si="73"/>
        <v>5.9012000000000002</v>
      </c>
      <c r="AA161" s="62">
        <f t="shared" si="65"/>
        <v>5.8017000000000003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6"/>
        <v>0801-27</v>
      </c>
      <c r="AE161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61" s="82" t="str">
        <f t="shared" si="68"/>
        <v>"C:\Program Files (x86)\AstroGrep\AstroGrep.exe" /e /r /s /spath="%USERPROFILE%\AppData\Local\Temp\OnboardLogs" /stypes="app*4044*20170327*" /stext=" 12:.+((SYSTEM_STATE.+slice.+state.+changed )|(ment ac)|(multiple cpu faults)|(system.+state.+changed )|(\[timeout)|(PRM\|1\|D)|(kpr)|(kdp)|(\|lc)|(penalty))"</v>
      </c>
      <c r="AG161" s="1" t="str">
        <f t="shared" si="69"/>
        <v>NW</v>
      </c>
      <c r="AH161" s="86" t="str">
        <f t="shared" si="54"/>
        <v>"%USERPROFILE%\Documents\GitHub\eaglep3\Utilities\RefineRTDCRunTimes.py" --tripid 801-27 --locoid 4044 --swversion DE.1.0.9.0 --startMP 204:995 --initTime 2017-03-27T05:48:01 --startdatetime 2017-03-27T05:51:15 --delay 1 --endMP 300:59012 --enddatetime 2017-03-27T06:05:17 --enforcementcount 0 &gt;&gt;C:\Users\stu\Documents\GitHub\eaglep3-reporting\EC\2017-03-27-refined-times.txt</v>
      </c>
      <c r="AI161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api","custom_fields":[{"id":1,"name":"Subdivision","value":"NW"},{"id":4,"name":"Milepost","value":"5.9012"},{"id":17,"name":"Train ID","value":"801-27"},{"id":16,"name":"Locomotive ID","value":"4044"},{"id":130,"name":"Impact","value":""},{"id":150,"name":"Time of Event (Mountain Time)","value":"06:05:17"},{"id":151,"name":"Denver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 t="s">
        <v>590</v>
      </c>
      <c r="AK161" s="48"/>
      <c r="AL161" s="48"/>
      <c r="AM161" s="150" t="str">
        <f t="shared" si="56"/>
        <v>start /low /b %USERPROFILE%\Documents\GitHub\eaglep3\Utilities\DownloadLogsFromS3.py --loco 4044 --day 2017-03-27</v>
      </c>
      <c r="AN161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658</v>
      </c>
      <c r="B162" s="7">
        <v>4043</v>
      </c>
      <c r="C162" s="21" t="s">
        <v>218</v>
      </c>
      <c r="D162" s="21" t="s">
        <v>932</v>
      </c>
      <c r="E162" s="13">
        <v>42821.254513888889</v>
      </c>
      <c r="F162" s="13">
        <v>42821.25582175926</v>
      </c>
      <c r="G162" s="7">
        <v>1</v>
      </c>
      <c r="H162" s="21" t="s">
        <v>933</v>
      </c>
      <c r="I162" s="13">
        <v>42821.268703703703</v>
      </c>
      <c r="J162" s="7">
        <v>0</v>
      </c>
      <c r="K162" s="97" t="str">
        <f t="shared" si="58"/>
        <v>4043/4044</v>
      </c>
      <c r="L162" s="21" t="str">
        <f>VLOOKUP(A162,'Trips&amp;Operators'!$C$1:$G$99999,5,FALSE)</f>
        <v>DAVIS WENDY</v>
      </c>
      <c r="M162" s="6">
        <f t="shared" si="59"/>
        <v>1.2881944443506654E-2</v>
      </c>
      <c r="N162" s="7">
        <f t="shared" si="72"/>
        <v>18.549999998649582</v>
      </c>
      <c r="O162" s="7"/>
      <c r="P162" s="7"/>
      <c r="Q162" s="22"/>
      <c r="R162" s="22"/>
      <c r="S162" s="31">
        <f t="shared" si="71"/>
        <v>1</v>
      </c>
      <c r="T162" s="46" t="str">
        <f t="shared" si="60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61"/>
        <v>https://d0f6bd738d7f1b3e5a7ca70fe4ff75f0.us-east-1.aws.found.io/app/kibana#/discover/Steve-Slow-Train-Analysis-(2080s-and-2083s)?_g=(refreshInterval:(display:Off,pause:!f,section:0,value:0),time:(from:'2017-03-27T05:06:30-0600',mode:absolute,to:'2017-03-27T07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83" t="str">
        <f t="shared" si="62"/>
        <v>N</v>
      </c>
      <c r="X162" s="183">
        <f t="shared" si="53"/>
        <v>1</v>
      </c>
      <c r="Y162" s="62">
        <f t="shared" si="63"/>
        <v>5.87</v>
      </c>
      <c r="Z162" s="62">
        <f t="shared" si="73"/>
        <v>6.4199999999999993E-2</v>
      </c>
      <c r="AA162" s="62">
        <f t="shared" si="65"/>
        <v>5.8058000000000005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6"/>
        <v>0802-27</v>
      </c>
      <c r="AE162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62" s="82" t="str">
        <f t="shared" si="68"/>
        <v>"C:\Program Files (x86)\AstroGrep\AstroGrep.exe" /e /r /s /spath="%USERPROFILE%\AppData\Local\Temp\OnboardLogs" /stypes="app*4043*20170327*" /stext=" 12:.+((SYSTEM_STATE.+slice.+state.+changed )|(ment ac)|(multiple cpu faults)|(system.+state.+changed )|(\[timeout)|(PRM\|1\|D)|(kpr)|(kdp)|(\|lc)|(penalty))"</v>
      </c>
      <c r="AG162" s="1" t="str">
        <f t="shared" si="69"/>
        <v>NW</v>
      </c>
      <c r="AH162" s="86" t="str">
        <f t="shared" si="54"/>
        <v>"%USERPROFILE%\Documents\GitHub\eaglep3\Utilities\RefineRTDCRunTimes.py" --tripid 802-27 --locoid 4043 --swversion DE.1.0.9.0 --startMP 300:58700 --initTime 2017-03-27T06:06:30 --startdatetime 2017-03-27T06:08:23 --delay 1 --endMP 204:642 --enddatetime 2017-03-27T06:26:56 --enforcementcount 0 &gt;&gt;C:\Users\stu\Documents\GitHub\eaglep3-reporting\EC\2017-03-27-refined-times.txt</v>
      </c>
      <c r="AI16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api","custom_fields":[{"id":1,"name":"Subdivision","value":"NW"},{"id":4,"name":"Milepost","value":"0.0642"},{"id":17,"name":"Train ID","value":"802-27"},{"id":16,"name":"Locomotive ID","value":"4043"},{"id":130,"name":"Impact","value":""},{"id":150,"name":"Time of Event (Mountain Time)","value":"06:26:56"},{"id":151,"name":"Denver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 t="s">
        <v>590</v>
      </c>
      <c r="AK162" s="48"/>
      <c r="AL162" s="48"/>
      <c r="AM162" s="150" t="str">
        <f t="shared" si="56"/>
        <v>start /low /b %USERPROFILE%\Documents\GitHub\eaglep3\Utilities\DownloadLogsFromS3.py --loco 4043 --day 2017-03-27</v>
      </c>
      <c r="AN162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661</v>
      </c>
      <c r="B163" s="7">
        <v>4009</v>
      </c>
      <c r="C163" s="21" t="s">
        <v>218</v>
      </c>
      <c r="D163" s="21" t="s">
        <v>934</v>
      </c>
      <c r="E163" s="13">
        <v>42821.263437499998</v>
      </c>
      <c r="F163" s="13">
        <v>42821.265740740739</v>
      </c>
      <c r="G163" s="7">
        <v>1</v>
      </c>
      <c r="H163" s="21" t="s">
        <v>566</v>
      </c>
      <c r="I163" s="13">
        <v>42821.275752314818</v>
      </c>
      <c r="J163" s="7">
        <v>0</v>
      </c>
      <c r="K163" s="97" t="str">
        <f t="shared" si="58"/>
        <v>4009/4010</v>
      </c>
      <c r="L163" s="21" t="str">
        <f>VLOOKUP(A163,'Trips&amp;Operators'!$C$1:$G$99999,5,FALSE)</f>
        <v>FORTUNATO FRANK</v>
      </c>
      <c r="M163" s="6">
        <f t="shared" si="59"/>
        <v>1.0011574078816921E-2</v>
      </c>
      <c r="N163" s="7">
        <f t="shared" si="72"/>
        <v>14.416666673496366</v>
      </c>
      <c r="O163" s="7"/>
      <c r="P163" s="7"/>
      <c r="Q163" s="22"/>
      <c r="R163" s="22"/>
      <c r="S163" s="31">
        <f t="shared" si="71"/>
        <v>1</v>
      </c>
      <c r="T163" s="46" t="str">
        <f t="shared" si="60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61"/>
        <v>https://d0f6bd738d7f1b3e5a7ca70fe4ff75f0.us-east-1.aws.found.io/app/kibana#/discover/Steve-Slow-Train-Analysis-(2080s-and-2083s)?_g=(refreshInterval:(display:Off,pause:!f,section:0,value:0),time:(from:'2017-03-27T05:19:21-0600',mode:absolute,to:'2017-03-27T07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83" t="str">
        <f t="shared" si="62"/>
        <v>N</v>
      </c>
      <c r="X163" s="183">
        <f t="shared" si="53"/>
        <v>1</v>
      </c>
      <c r="Y163" s="62">
        <f t="shared" si="63"/>
        <v>9.69E-2</v>
      </c>
      <c r="Z163" s="62">
        <f t="shared" si="73"/>
        <v>5.8940999999999999</v>
      </c>
      <c r="AA163" s="62">
        <f t="shared" si="65"/>
        <v>5.7972000000000001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6"/>
        <v>0803-27</v>
      </c>
      <c r="AE163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63" s="82" t="str">
        <f t="shared" si="68"/>
        <v>"C:\Program Files (x86)\AstroGrep\AstroGrep.exe" /e /r /s /spath="%USERPROFILE%\AppData\Local\Temp\OnboardLogs" /stypes="app*4009*20170327*" /stext=" 12:.+((SYSTEM_STATE.+slice.+state.+changed )|(ment ac)|(multiple cpu faults)|(system.+state.+changed )|(\[timeout)|(PRM\|1\|D)|(kpr)|(kdp)|(\|lc)|(penalty))"</v>
      </c>
      <c r="AG163" s="1" t="str">
        <f t="shared" si="69"/>
        <v>NW</v>
      </c>
      <c r="AH163" s="86" t="str">
        <f t="shared" si="54"/>
        <v>"%USERPROFILE%\Documents\GitHub\eaglep3\Utilities\RefineRTDCRunTimes.py" --tripid 803-27 --locoid 4009 --swversion DE.1.0.9.0 --startMP 204:969 --initTime 2017-03-27T06:19:21 --startdatetime 2017-03-27T06:22:40 --delay 1 --endMP 300:58941 --enddatetime 2017-03-27T06:37:05 --enforcementcount 0 &gt;&gt;C:\Users\stu\Documents\GitHub\eaglep3-reporting\EC\2017-03-27-refined-times.txt</v>
      </c>
      <c r="AI16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api","custom_fields":[{"id":1,"name":"Subdivision","value":"NW"},{"id":4,"name":"Milepost","value":"5.8941"},{"id":17,"name":"Train ID","value":"803-27"},{"id":16,"name":"Locomotive ID","value":"4009"},{"id":130,"name":"Impact","value":""},{"id":150,"name":"Time of Event (Mountain Time)","value":"06:37:05"},{"id":151,"name":"Denver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 t="s">
        <v>590</v>
      </c>
      <c r="AK163" s="48"/>
      <c r="AL163" s="48"/>
      <c r="AM163" s="150" t="str">
        <f t="shared" si="56"/>
        <v>start /low /b %USERPROFILE%\Documents\GitHub\eaglep3\Utilities\DownloadLogsFromS3.py --loco 4009 --day 2017-03-27</v>
      </c>
      <c r="AN163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665</v>
      </c>
      <c r="B164" s="7">
        <v>4010</v>
      </c>
      <c r="C164" s="21" t="s">
        <v>218</v>
      </c>
      <c r="D164" s="21" t="s">
        <v>567</v>
      </c>
      <c r="E164" s="13">
        <v>42821.277002314811</v>
      </c>
      <c r="F164" s="13">
        <v>42821.278449074074</v>
      </c>
      <c r="G164" s="7">
        <v>1</v>
      </c>
      <c r="H164" s="21" t="s">
        <v>935</v>
      </c>
      <c r="I164" s="13">
        <v>42821.289178240739</v>
      </c>
      <c r="J164" s="7">
        <v>0</v>
      </c>
      <c r="K164" s="97" t="str">
        <f t="shared" si="58"/>
        <v>4009/4010</v>
      </c>
      <c r="L164" s="21" t="str">
        <f>VLOOKUP(A164,'Trips&amp;Operators'!$C$1:$G$99999,5,FALSE)</f>
        <v>FORTUNATO FRANK</v>
      </c>
      <c r="M164" s="6">
        <f t="shared" si="59"/>
        <v>1.0729166664532386E-2</v>
      </c>
      <c r="N164" s="7">
        <f t="shared" si="72"/>
        <v>15.449999996926636</v>
      </c>
      <c r="O164" s="7"/>
      <c r="P164" s="7"/>
      <c r="Q164" s="22"/>
      <c r="R164" s="22"/>
      <c r="S164" s="31">
        <f t="shared" si="71"/>
        <v>1</v>
      </c>
      <c r="T164" s="46" t="str">
        <f t="shared" si="60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61"/>
        <v>https://d0f6bd738d7f1b3e5a7ca70fe4ff75f0.us-east-1.aws.found.io/app/kibana#/discover/Steve-Slow-Train-Analysis-(2080s-and-2083s)?_g=(refreshInterval:(display:Off,pause:!f,section:0,value:0),time:(from:'2017-03-27T05:38:53-0600',mode:absolute,to:'2017-03-27T07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183" t="str">
        <f t="shared" si="62"/>
        <v>N</v>
      </c>
      <c r="X164" s="183">
        <f t="shared" si="53"/>
        <v>1</v>
      </c>
      <c r="Y164" s="62">
        <f t="shared" si="63"/>
        <v>5.8623000000000003</v>
      </c>
      <c r="Z164" s="62">
        <f t="shared" si="73"/>
        <v>6.9900000000000004E-2</v>
      </c>
      <c r="AA164" s="62">
        <f t="shared" si="65"/>
        <v>5.7924000000000007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6"/>
        <v>0804-27</v>
      </c>
      <c r="AE164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64" s="82" t="str">
        <f t="shared" si="68"/>
        <v>"C:\Program Files (x86)\AstroGrep\AstroGrep.exe" /e /r /s /spath="%USERPROFILE%\AppData\Local\Temp\OnboardLogs" /stypes="app*4010*20170327*" /stext=" 12:.+((SYSTEM_STATE.+slice.+state.+changed )|(ment ac)|(multiple cpu faults)|(system.+state.+changed )|(\[timeout)|(PRM\|1\|D)|(kpr)|(kdp)|(\|lc)|(penalty))"</v>
      </c>
      <c r="AG164" s="1" t="str">
        <f t="shared" si="69"/>
        <v>NW</v>
      </c>
      <c r="AH164" s="86" t="str">
        <f t="shared" si="54"/>
        <v>"%USERPROFILE%\Documents\GitHub\eaglep3\Utilities\RefineRTDCRunTimes.py" --tripid 804-27 --locoid 4010 --swversion DE.1.0.9.0 --startMP 300:58623 --initTime 2017-03-27T06:38:53 --startdatetime 2017-03-27T06:40:58 --delay 1 --endMP 204:699 --enddatetime 2017-03-27T06:56:25 --enforcementcount 0 &gt;&gt;C:\Users\stu\Documents\GitHub\eaglep3-reporting\EC\2017-03-27-refined-times.txt</v>
      </c>
      <c r="AI164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api","custom_fields":[{"id":1,"name":"Subdivision","value":"NW"},{"id":4,"name":"Milepost","value":"0.0699"},{"id":17,"name":"Train ID","value":"804-27"},{"id":16,"name":"Locomotive ID","value":"4010"},{"id":130,"name":"Impact","value":""},{"id":150,"name":"Time of Event (Mountain Time)","value":"06:56:25"},{"id":151,"name":"Denver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 t="s">
        <v>590</v>
      </c>
      <c r="AK164" s="48"/>
      <c r="AL164" s="48"/>
      <c r="AM164" s="150" t="str">
        <f t="shared" si="56"/>
        <v>start /low /b %USERPROFILE%\Documents\GitHub\eaglep3\Utilities\DownloadLogsFromS3.py --loco 4010 --day 2017-03-27</v>
      </c>
      <c r="AN164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599</v>
      </c>
      <c r="B165" s="7">
        <v>4044</v>
      </c>
      <c r="C165" s="21" t="s">
        <v>218</v>
      </c>
      <c r="D165" s="21" t="s">
        <v>936</v>
      </c>
      <c r="E165" s="13">
        <v>42821.283391203702</v>
      </c>
      <c r="F165" s="13">
        <v>42821.285590277781</v>
      </c>
      <c r="G165" s="7">
        <v>1</v>
      </c>
      <c r="H165" s="21" t="s">
        <v>937</v>
      </c>
      <c r="I165" s="13">
        <v>42821.294988425929</v>
      </c>
      <c r="J165" s="7">
        <v>0</v>
      </c>
      <c r="K165" s="97" t="str">
        <f t="shared" si="58"/>
        <v>4043/4044</v>
      </c>
      <c r="L165" s="21" t="str">
        <f>VLOOKUP(A165,'Trips&amp;Operators'!$C$1:$G$99999,5,FALSE)</f>
        <v>DAVIS WENDY</v>
      </c>
      <c r="M165" s="6">
        <f t="shared" si="59"/>
        <v>9.3981481477385387E-3</v>
      </c>
      <c r="N165" s="7">
        <f t="shared" si="72"/>
        <v>13.533333332743496</v>
      </c>
      <c r="O165" s="7"/>
      <c r="P165" s="7"/>
      <c r="Q165" s="22"/>
      <c r="R165" s="22"/>
      <c r="S165" s="31">
        <f t="shared" si="71"/>
        <v>1</v>
      </c>
      <c r="T165" s="46" t="str">
        <f t="shared" si="60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61"/>
        <v>https://d0f6bd738d7f1b3e5a7ca70fe4ff75f0.us-east-1.aws.found.io/app/kibana#/discover/Steve-Slow-Train-Analysis-(2080s-and-2083s)?_g=(refreshInterval:(display:Off,pause:!f,section:0,value:0),time:(from:'2017-03-27T05:48:05-0600',mode:absolute,to:'2017-03-27T08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83" t="str">
        <f t="shared" si="62"/>
        <v>N</v>
      </c>
      <c r="X165" s="183">
        <f t="shared" si="53"/>
        <v>1</v>
      </c>
      <c r="Y165" s="62">
        <f t="shared" si="63"/>
        <v>9.2899999999999996E-2</v>
      </c>
      <c r="Z165" s="62">
        <f t="shared" si="73"/>
        <v>5.9002999999999997</v>
      </c>
      <c r="AA165" s="62">
        <f t="shared" si="65"/>
        <v>5.8073999999999995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6"/>
        <v>0805-27</v>
      </c>
      <c r="AE165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65" s="82" t="str">
        <f t="shared" si="68"/>
        <v>"C:\Program Files (x86)\AstroGrep\AstroGrep.exe" /e /r /s /spath="%USERPROFILE%\AppData\Local\Temp\OnboardLogs" /stypes="app*4044*20170327*" /stext=" 13:.+((SYSTEM_STATE.+slice.+state.+changed )|(ment ac)|(multiple cpu faults)|(system.+state.+changed )|(\[timeout)|(PRM\|1\|D)|(kpr)|(kdp)|(\|lc)|(penalty))"</v>
      </c>
      <c r="AG165" s="1" t="str">
        <f t="shared" si="69"/>
        <v>NW</v>
      </c>
      <c r="AH165" s="86" t="str">
        <f t="shared" si="54"/>
        <v>"%USERPROFILE%\Documents\GitHub\eaglep3\Utilities\RefineRTDCRunTimes.py" --tripid 805-27 --locoid 4044 --swversion DE.1.0.9.0 --startMP 204:929 --initTime 2017-03-27T06:48:05 --startdatetime 2017-03-27T06:51:15 --delay 1 --endMP 300:59003 --enddatetime 2017-03-27T07:04:47 --enforcementcount 0 &gt;&gt;C:\Users\stu\Documents\GitHub\eaglep3-reporting\EC\2017-03-27-refined-times.txt</v>
      </c>
      <c r="AI165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api","custom_fields":[{"id":1,"name":"Subdivision","value":"NW"},{"id":4,"name":"Milepost","value":"5.9003"},{"id":17,"name":"Train ID","value":"805-27"},{"id":16,"name":"Locomotive ID","value":"4044"},{"id":130,"name":"Impact","value":""},{"id":150,"name":"Time of Event (Mountain Time)","value":"07:04:47"},{"id":151,"name":"Denver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 t="s">
        <v>590</v>
      </c>
      <c r="AK165" s="48"/>
      <c r="AL165" s="48"/>
      <c r="AM165" s="150" t="str">
        <f t="shared" si="56"/>
        <v>start /low /b %USERPROFILE%\Documents\GitHub\eaglep3\Utilities\DownloadLogsFromS3.py --loco 4044 --day 2017-03-27</v>
      </c>
      <c r="AN165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668</v>
      </c>
      <c r="B166" s="7">
        <v>4043</v>
      </c>
      <c r="C166" s="21" t="s">
        <v>218</v>
      </c>
      <c r="D166" s="21" t="s">
        <v>938</v>
      </c>
      <c r="E166" s="13">
        <v>42821.29582175926</v>
      </c>
      <c r="F166" s="13">
        <v>42821.296805555554</v>
      </c>
      <c r="G166" s="7">
        <v>0</v>
      </c>
      <c r="H166" s="21" t="s">
        <v>939</v>
      </c>
      <c r="I166" s="13">
        <v>42821.309479166666</v>
      </c>
      <c r="J166" s="7">
        <v>0</v>
      </c>
      <c r="K166" s="97" t="str">
        <f t="shared" si="58"/>
        <v>4043/4044</v>
      </c>
      <c r="L166" s="21" t="str">
        <f>VLOOKUP(A166,'Trips&amp;Operators'!$C$1:$G$99999,5,FALSE)</f>
        <v>DAVIS WENDY</v>
      </c>
      <c r="M166" s="6">
        <f t="shared" si="59"/>
        <v>1.2673611112404615E-2</v>
      </c>
      <c r="N166" s="7">
        <f t="shared" si="72"/>
        <v>18.250000001862645</v>
      </c>
      <c r="O166" s="7"/>
      <c r="P166" s="7"/>
      <c r="Q166" s="22"/>
      <c r="R166" s="22"/>
      <c r="S166" s="31">
        <f t="shared" si="71"/>
        <v>1</v>
      </c>
      <c r="T166" s="46" t="str">
        <f t="shared" si="60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61"/>
        <v>https://d0f6bd738d7f1b3e5a7ca70fe4ff75f0.us-east-1.aws.found.io/app/kibana#/discover/Steve-Slow-Train-Analysis-(2080s-and-2083s)?_g=(refreshInterval:(display:Off,pause:!f,section:0,value:0),time:(from:'2017-03-27T06:05:59-0600',mode:absolute,to:'2017-03-27T08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83" t="str">
        <f t="shared" si="62"/>
        <v>N</v>
      </c>
      <c r="X166" s="183">
        <f t="shared" si="53"/>
        <v>1</v>
      </c>
      <c r="Y166" s="62">
        <f t="shared" si="63"/>
        <v>5.8688000000000002</v>
      </c>
      <c r="Z166" s="62">
        <f t="shared" si="73"/>
        <v>6.4899999999999999E-2</v>
      </c>
      <c r="AA166" s="62">
        <f t="shared" si="65"/>
        <v>5.8039000000000005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6"/>
        <v>0806-27</v>
      </c>
      <c r="AE166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66" s="82" t="str">
        <f t="shared" si="68"/>
        <v>"C:\Program Files (x86)\AstroGrep\AstroGrep.exe" /e /r /s /spath="%USERPROFILE%\AppData\Local\Temp\OnboardLogs" /stypes="app*4043*20170327*" /stext=" 13:.+((SYSTEM_STATE.+slice.+state.+changed )|(ment ac)|(multiple cpu faults)|(system.+state.+changed )|(\[timeout)|(PRM\|1\|D)|(kpr)|(kdp)|(\|lc)|(penalty))"</v>
      </c>
      <c r="AG166" s="1" t="str">
        <f t="shared" si="69"/>
        <v>NW</v>
      </c>
      <c r="AH166" s="86" t="str">
        <f t="shared" si="54"/>
        <v>"%USERPROFILE%\Documents\GitHub\eaglep3\Utilities\RefineRTDCRunTimes.py" --tripid 806-27 --locoid 4043 --swversion DE.1.0.9.0 --startMP 300:58688 --initTime 2017-03-27T07:05:59 --startdatetime 2017-03-27T07:07:24 --delay 0 --endMP 204:649 --enddatetime 2017-03-27T07:25:39 --enforcementcount 0 &gt;&gt;C:\Users\stu\Documents\GitHub\eaglep3-reporting\EC\2017-03-27-refined-times.txt</v>
      </c>
      <c r="AI166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api","custom_fields":[{"id":1,"name":"Subdivision","value":"NW"},{"id":4,"name":"Milepost","value":"0.0649"},{"id":17,"name":"Train ID","value":"806-27"},{"id":16,"name":"Locomotive ID","value":"4043"},{"id":130,"name":"Impact","value":""},{"id":150,"name":"Time of Event (Mountain Time)","value":"07:25:39"},{"id":151,"name":"Denver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 t="s">
        <v>590</v>
      </c>
      <c r="AK166" s="48"/>
      <c r="AL166" s="48"/>
      <c r="AM166" s="150" t="str">
        <f t="shared" si="56"/>
        <v>start /low /b %USERPROFILE%\Documents\GitHub\eaglep3\Utilities\DownloadLogsFromS3.py --loco 4043 --day 2017-03-27</v>
      </c>
      <c r="AN166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667</v>
      </c>
      <c r="B167" s="7">
        <v>4009</v>
      </c>
      <c r="C167" s="21" t="s">
        <v>218</v>
      </c>
      <c r="D167" s="21" t="s">
        <v>940</v>
      </c>
      <c r="E167" s="13">
        <v>42821.290532407409</v>
      </c>
      <c r="F167" s="13">
        <v>42821.306493055556</v>
      </c>
      <c r="G167" s="7">
        <v>1</v>
      </c>
      <c r="H167" s="21" t="s">
        <v>521</v>
      </c>
      <c r="I167" s="13">
        <v>42821.316099537034</v>
      </c>
      <c r="J167" s="7">
        <v>0</v>
      </c>
      <c r="K167" s="97" t="str">
        <f t="shared" si="58"/>
        <v>4009/4010</v>
      </c>
      <c r="L167" s="21" t="str">
        <f>VLOOKUP(A167,'Trips&amp;Operators'!$C$1:$G$99999,5,FALSE)</f>
        <v>FORTUNATO FRANK</v>
      </c>
      <c r="M167" s="6">
        <f t="shared" si="59"/>
        <v>9.6064814788405783E-3</v>
      </c>
      <c r="N167" s="7">
        <f t="shared" si="72"/>
        <v>13.833333329530433</v>
      </c>
      <c r="O167" s="7"/>
      <c r="P167" s="7"/>
      <c r="Q167" s="22"/>
      <c r="R167" s="22"/>
      <c r="S167" s="31">
        <f t="shared" si="71"/>
        <v>1</v>
      </c>
      <c r="T167" s="46" t="str">
        <f t="shared" si="60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61"/>
        <v>https://d0f6bd738d7f1b3e5a7ca70fe4ff75f0.us-east-1.aws.found.io/app/kibana#/discover/Steve-Slow-Train-Analysis-(2080s-and-2083s)?_g=(refreshInterval:(display:Off,pause:!f,section:0,value:0),time:(from:'2017-03-27T05:58:22-0600',mode:absolute,to:'2017-03-27T08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83" t="str">
        <f t="shared" si="62"/>
        <v>N</v>
      </c>
      <c r="X167" s="183">
        <f t="shared" si="53"/>
        <v>1</v>
      </c>
      <c r="Y167" s="62">
        <f t="shared" si="63"/>
        <v>9.8599999999999993E-2</v>
      </c>
      <c r="Z167" s="62">
        <f t="shared" si="73"/>
        <v>5.8935000000000004</v>
      </c>
      <c r="AA167" s="62">
        <f t="shared" si="65"/>
        <v>5.7949000000000002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6"/>
        <v>0807-27</v>
      </c>
      <c r="AE167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67" s="82" t="str">
        <f t="shared" si="68"/>
        <v>"C:\Program Files (x86)\AstroGrep\AstroGrep.exe" /e /r /s /spath="%USERPROFILE%\AppData\Local\Temp\OnboardLogs" /stypes="app*4009*20170327*" /stext=" 13:.+((SYSTEM_STATE.+slice.+state.+changed )|(ment ac)|(multiple cpu faults)|(system.+state.+changed )|(\[timeout)|(PRM\|1\|D)|(kpr)|(kdp)|(\|lc)|(penalty))"</v>
      </c>
      <c r="AG167" s="1" t="str">
        <f t="shared" si="69"/>
        <v>NW</v>
      </c>
      <c r="AH167" s="86" t="str">
        <f t="shared" si="54"/>
        <v>"%USERPROFILE%\Documents\GitHub\eaglep3\Utilities\RefineRTDCRunTimes.py" --tripid 807-27 --locoid 4009 --swversion DE.1.0.9.0 --startMP 204:986 --initTime 2017-03-27T06:58:22 --startdatetime 2017-03-27T07:21:21 --delay 1 --endMP 300:58935 --enddatetime 2017-03-27T07:35:11 --enforcementcount 0 &gt;&gt;C:\Users\stu\Documents\GitHub\eaglep3-reporting\EC\2017-03-27-refined-times.txt</v>
      </c>
      <c r="AI167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api","custom_fields":[{"id":1,"name":"Subdivision","value":"NW"},{"id":4,"name":"Milepost","value":"5.8935"},{"id":17,"name":"Train ID","value":"807-27"},{"id":16,"name":"Locomotive ID","value":"4009"},{"id":130,"name":"Impact","value":""},{"id":150,"name":"Time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 t="s">
        <v>590</v>
      </c>
      <c r="AK167" s="48"/>
      <c r="AL167" s="48"/>
      <c r="AM167" s="150" t="str">
        <f t="shared" si="56"/>
        <v>start /low /b %USERPROFILE%\Documents\GitHub\eaglep3\Utilities\DownloadLogsFromS3.py --loco 4009 --day 2017-03-27</v>
      </c>
      <c r="AN167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674</v>
      </c>
      <c r="B168" s="7">
        <v>4010</v>
      </c>
      <c r="C168" s="21" t="s">
        <v>218</v>
      </c>
      <c r="D168" s="21" t="s">
        <v>462</v>
      </c>
      <c r="E168" s="13">
        <v>42821.317175925928</v>
      </c>
      <c r="F168" s="13">
        <v>42821.319027777776</v>
      </c>
      <c r="G168" s="7">
        <v>1</v>
      </c>
      <c r="H168" s="21" t="s">
        <v>941</v>
      </c>
      <c r="I168" s="13">
        <v>42821.330601851849</v>
      </c>
      <c r="J168" s="7">
        <v>0</v>
      </c>
      <c r="K168" s="97" t="str">
        <f t="shared" si="58"/>
        <v>4009/4010</v>
      </c>
      <c r="L168" s="21" t="str">
        <f>VLOOKUP(A168,'Trips&amp;Operators'!$C$1:$G$99999,5,FALSE)</f>
        <v>FORTUNATO FRANK</v>
      </c>
      <c r="M168" s="6">
        <f t="shared" si="59"/>
        <v>1.1574074072996154E-2</v>
      </c>
      <c r="N168" s="7">
        <f t="shared" si="72"/>
        <v>16.666666665114462</v>
      </c>
      <c r="O168" s="7"/>
      <c r="P168" s="7"/>
      <c r="Q168" s="22"/>
      <c r="R168" s="22"/>
      <c r="S168" s="31">
        <f t="shared" si="71"/>
        <v>1</v>
      </c>
      <c r="T168" s="46" t="str">
        <f t="shared" si="60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61"/>
        <v>https://d0f6bd738d7f1b3e5a7ca70fe4ff75f0.us-east-1.aws.found.io/app/kibana#/discover/Steve-Slow-Train-Analysis-(2080s-and-2083s)?_g=(refreshInterval:(display:Off,pause:!f,section:0,value:0),time:(from:'2017-03-27T06:36:44-0600',mode:absolute,to:'2017-03-27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183" t="str">
        <f t="shared" si="62"/>
        <v>N</v>
      </c>
      <c r="X168" s="183">
        <f t="shared" si="53"/>
        <v>1</v>
      </c>
      <c r="Y168" s="62">
        <f t="shared" si="63"/>
        <v>5.8611000000000004</v>
      </c>
      <c r="Z168" s="62">
        <f t="shared" si="73"/>
        <v>6.9599999999999995E-2</v>
      </c>
      <c r="AA168" s="62">
        <f t="shared" si="65"/>
        <v>5.7915000000000001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6"/>
        <v>0808-27</v>
      </c>
      <c r="AE168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68" s="82" t="str">
        <f t="shared" si="68"/>
        <v>"C:\Program Files (x86)\AstroGrep\AstroGrep.exe" /e /r /s /spath="%USERPROFILE%\AppData\Local\Temp\OnboardLogs" /stypes="app*4010*20170327*" /stext=" 13:.+((SYSTEM_STATE.+slice.+state.+changed )|(ment ac)|(multiple cpu faults)|(system.+state.+changed )|(\[timeout)|(PRM\|1\|D)|(kpr)|(kdp)|(\|lc)|(penalty))"</v>
      </c>
      <c r="AG168" s="1" t="str">
        <f t="shared" si="69"/>
        <v>NW</v>
      </c>
      <c r="AH168" s="86" t="str">
        <f t="shared" si="54"/>
        <v>"%USERPROFILE%\Documents\GitHub\eaglep3\Utilities\RefineRTDCRunTimes.py" --tripid 808-27 --locoid 4010 --swversion DE.1.0.9.0 --startMP 300:58611 --initTime 2017-03-27T07:36:44 --startdatetime 2017-03-27T07:39:24 --delay 1 --endMP 204:696 --enddatetime 2017-03-27T07:56:04 --enforcementcount 0 &gt;&gt;C:\Users\stu\Documents\GitHub\eaglep3-reporting\EC\2017-03-27-refined-times.txt</v>
      </c>
      <c r="AI168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api","custom_fields":[{"id":1,"name":"Subdivision","value":"NW"},{"id":4,"name":"Milepost","value":"0.0696"},{"id":17,"name":"Train ID","value":"808-27"},{"id":16,"name":"Locomotive ID","value":"4010"},{"id":130,"name":"Impact","value":""},{"id":150,"name":"Time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 t="s">
        <v>590</v>
      </c>
      <c r="AK168" s="48"/>
      <c r="AL168" s="48"/>
      <c r="AM168" s="150" t="str">
        <f t="shared" si="56"/>
        <v>start /low /b %USERPROFILE%\Documents\GitHub\eaglep3\Utilities\DownloadLogsFromS3.py --loco 4010 --day 2017-03-27</v>
      </c>
      <c r="AN168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601</v>
      </c>
      <c r="B169" s="7">
        <v>4044</v>
      </c>
      <c r="C169" s="21" t="s">
        <v>218</v>
      </c>
      <c r="D169" s="21" t="s">
        <v>942</v>
      </c>
      <c r="E169" s="13">
        <v>42821.325601851851</v>
      </c>
      <c r="F169" s="13">
        <v>42821.327245370368</v>
      </c>
      <c r="G169" s="7">
        <v>1</v>
      </c>
      <c r="H169" s="21" t="s">
        <v>943</v>
      </c>
      <c r="I169" s="13">
        <v>42821.336701388886</v>
      </c>
      <c r="J169" s="7">
        <v>0</v>
      </c>
      <c r="K169" s="97" t="str">
        <f t="shared" si="58"/>
        <v>4043/4044</v>
      </c>
      <c r="L169" s="21" t="str">
        <f>VLOOKUP(A169,'Trips&amp;Operators'!$C$1:$G$99999,5,FALSE)</f>
        <v>DAVIS WENDY</v>
      </c>
      <c r="M169" s="6">
        <f t="shared" si="59"/>
        <v>9.4560185170848854E-3</v>
      </c>
      <c r="N169" s="7">
        <f t="shared" si="72"/>
        <v>13.616666664602235</v>
      </c>
      <c r="O169" s="7"/>
      <c r="P169" s="7"/>
      <c r="Q169" s="22"/>
      <c r="R169" s="22"/>
      <c r="S169" s="31">
        <f t="shared" si="71"/>
        <v>1</v>
      </c>
      <c r="T169" s="46" t="str">
        <f t="shared" si="60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61"/>
        <v>https://d0f6bd738d7f1b3e5a7ca70fe4ff75f0.us-east-1.aws.found.io/app/kibana#/discover/Steve-Slow-Train-Analysis-(2080s-and-2083s)?_g=(refreshInterval:(display:Off,pause:!f,section:0,value:0),time:(from:'2017-03-27T06:48:52-0600',mode:absolute,to:'2017-03-27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183" t="str">
        <f t="shared" si="62"/>
        <v>N</v>
      </c>
      <c r="X169" s="183">
        <f t="shared" ref="X169:X200" si="74">VALUE(LEFT(AD169,4))-VALUE(LEFT(AD168,4))</f>
        <v>1</v>
      </c>
      <c r="Y169" s="62">
        <f t="shared" si="63"/>
        <v>9.0899999999999995E-2</v>
      </c>
      <c r="Z169" s="62">
        <f t="shared" si="73"/>
        <v>5.9009999999999998</v>
      </c>
      <c r="AA169" s="62">
        <f t="shared" si="65"/>
        <v>5.8100999999999994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6"/>
        <v>0809-27</v>
      </c>
      <c r="AE169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69" s="82" t="str">
        <f t="shared" si="68"/>
        <v>"C:\Program Files (x86)\AstroGrep\AstroGrep.exe" /e /r /s /spath="%USERPROFILE%\AppData\Local\Temp\OnboardLogs" /stypes="app*4044*20170327*" /stext=" 14:.+((SYSTEM_STATE.+slice.+state.+changed )|(ment ac)|(multiple cpu faults)|(system.+state.+changed )|(\[timeout)|(PRM\|1\|D)|(kpr)|(kdp)|(\|lc)|(penalty))"</v>
      </c>
      <c r="AG169" s="1" t="str">
        <f t="shared" si="69"/>
        <v>NW</v>
      </c>
      <c r="AH169" s="86" t="str">
        <f t="shared" si="54"/>
        <v>"%USERPROFILE%\Documents\GitHub\eaglep3\Utilities\RefineRTDCRunTimes.py" --tripid 809-27 --locoid 4044 --swversion DE.1.0.9.0 --startMP 204:909 --initTime 2017-03-27T07:48:52 --startdatetime 2017-03-27T07:51:14 --delay 1 --endMP 300:59010 --enddatetime 2017-03-27T08:04:51 --enforcementcount 0 &gt;&gt;C:\Users\stu\Documents\GitHub\eaglep3-reporting\EC\2017-03-27-refined-times.txt</v>
      </c>
      <c r="AI169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api","custom_fields":[{"id":1,"name":"Subdivision","value":"NW"},{"id":4,"name":"Milepost","value":"5.901"},{"id":17,"name":"Train ID","value":"809-27"},{"id":16,"name":"Locomotive ID","value":"4044"},{"id":130,"name":"Impact","value":""},{"id":150,"name":"Time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 t="s">
        <v>590</v>
      </c>
      <c r="AK169" s="48"/>
      <c r="AL169" s="48"/>
      <c r="AM169" s="150" t="str">
        <f t="shared" si="56"/>
        <v>start /low /b %USERPROFILE%\Documents\GitHub\eaglep3\Utilities\DownloadLogsFromS3.py --loco 4044 --day 2017-03-27</v>
      </c>
      <c r="AN169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678</v>
      </c>
      <c r="B170" s="7">
        <v>4043</v>
      </c>
      <c r="C170" s="21" t="s">
        <v>218</v>
      </c>
      <c r="D170" s="21" t="s">
        <v>949</v>
      </c>
      <c r="E170" s="13">
        <v>42821.33766203704</v>
      </c>
      <c r="F170" s="13">
        <v>42821.338750000003</v>
      </c>
      <c r="G170" s="7">
        <v>1</v>
      </c>
      <c r="H170" s="21" t="s">
        <v>950</v>
      </c>
      <c r="I170" s="13">
        <v>42821.351030092592</v>
      </c>
      <c r="J170" s="7">
        <v>0</v>
      </c>
      <c r="K170" s="97" t="str">
        <f t="shared" si="58"/>
        <v>4043/4044</v>
      </c>
      <c r="L170" s="21" t="str">
        <f>VLOOKUP(A170,'Trips&amp;Operators'!$C$1:$G$99999,5,FALSE)</f>
        <v>DAVIS WENDY</v>
      </c>
      <c r="M170" s="6">
        <f t="shared" si="59"/>
        <v>1.2280092589207925E-2</v>
      </c>
      <c r="N170" s="7">
        <f t="shared" si="72"/>
        <v>17.683333328459412</v>
      </c>
      <c r="O170" s="7"/>
      <c r="P170" s="7"/>
      <c r="Q170" s="22"/>
      <c r="R170" s="22"/>
      <c r="S170" s="31">
        <f t="shared" si="71"/>
        <v>1</v>
      </c>
      <c r="T170" s="46" t="str">
        <f t="shared" si="60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61"/>
        <v>https://d0f6bd738d7f1b3e5a7ca70fe4ff75f0.us-east-1.aws.found.io/app/kibana#/discover/Steve-Slow-Train-Analysis-(2080s-and-2083s)?_g=(refreshInterval:(display:Off,pause:!f,section:0,value:0),time:(from:'2017-03-27T07:06:14-0600',mode:absolute,to:'2017-03-27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183" t="str">
        <f t="shared" si="62"/>
        <v>N</v>
      </c>
      <c r="X170" s="183">
        <f t="shared" si="74"/>
        <v>1</v>
      </c>
      <c r="Y170" s="62">
        <f t="shared" si="63"/>
        <v>5.8701999999999996</v>
      </c>
      <c r="Z170" s="62">
        <f t="shared" si="73"/>
        <v>6.5600000000000006E-2</v>
      </c>
      <c r="AA170" s="62">
        <f t="shared" si="65"/>
        <v>5.8045999999999998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6"/>
        <v>0810-27</v>
      </c>
      <c r="AE170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70" s="82" t="str">
        <f t="shared" si="68"/>
        <v>"C:\Program Files (x86)\AstroGrep\AstroGrep.exe" /e /r /s /spath="%USERPROFILE%\AppData\Local\Temp\OnboardLogs" /stypes="app*4043*20170327*" /stext=" 14:.+((SYSTEM_STATE.+slice.+state.+changed )|(ment ac)|(multiple cpu faults)|(system.+state.+changed )|(\[timeout)|(PRM\|1\|D)|(kpr)|(kdp)|(\|lc)|(penalty))"</v>
      </c>
      <c r="AG170" s="1" t="str">
        <f t="shared" si="69"/>
        <v>NW</v>
      </c>
      <c r="AH170" s="86" t="str">
        <f t="shared" si="54"/>
        <v>"%USERPROFILE%\Documents\GitHub\eaglep3\Utilities\RefineRTDCRunTimes.py" --tripid 810-27 --locoid 4043 --swversion DE.1.0.9.0 --startMP 300:58702 --initTime 2017-03-27T08:06:14 --startdatetime 2017-03-27T08:07:48 --delay 1 --endMP 204:656 --enddatetime 2017-03-27T08:25:29 --enforcementcount 0 &gt;&gt;C:\Users\stu\Documents\GitHub\eaglep3-reporting\EC\2017-03-27-refined-times.txt</v>
      </c>
      <c r="AI17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api","custom_fields":[{"id":1,"name":"Subdivision","value":"NW"},{"id":4,"name":"Milepost","value":"0.0656"},{"id":17,"name":"Train ID","value":"810-27"},{"id":16,"name":"Locomotive ID","value":"4043"},{"id":130,"name":"Impact","value":""},{"id":150,"name":"Time of Event (Mountain Time)","value":"08:25:29"},{"id":151,"name":"Denver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 t="s">
        <v>590</v>
      </c>
      <c r="AK170" s="48"/>
      <c r="AL170" s="48"/>
      <c r="AM170" s="150" t="str">
        <f t="shared" si="56"/>
        <v>start /low /b %USERPROFILE%\Documents\GitHub\eaglep3\Utilities\DownloadLogsFromS3.py --loco 4043 --day 2017-03-27</v>
      </c>
      <c r="AN170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679</v>
      </c>
      <c r="B171" s="7">
        <v>4009</v>
      </c>
      <c r="C171" s="21" t="s">
        <v>218</v>
      </c>
      <c r="D171" s="21" t="s">
        <v>951</v>
      </c>
      <c r="E171" s="13">
        <v>42821.3434375</v>
      </c>
      <c r="F171" s="13">
        <v>42821.348124999997</v>
      </c>
      <c r="G171" s="7">
        <v>1</v>
      </c>
      <c r="H171" s="21" t="s">
        <v>521</v>
      </c>
      <c r="I171" s="13">
        <v>42821.357175925928</v>
      </c>
      <c r="J171" s="7">
        <v>0</v>
      </c>
      <c r="K171" s="97" t="str">
        <f t="shared" si="58"/>
        <v>4009/4010</v>
      </c>
      <c r="L171" s="21" t="str">
        <f>VLOOKUP(A171,'Trips&amp;Operators'!$C$1:$G$99999,5,FALSE)</f>
        <v>FORTUNATO FRANK</v>
      </c>
      <c r="M171" s="6">
        <f t="shared" si="59"/>
        <v>9.0509259316604584E-3</v>
      </c>
      <c r="N171" s="7">
        <f t="shared" si="72"/>
        <v>13.03333334159106</v>
      </c>
      <c r="O171" s="7"/>
      <c r="P171" s="7"/>
      <c r="Q171" s="22"/>
      <c r="R171" s="22"/>
      <c r="S171" s="31">
        <f t="shared" si="71"/>
        <v>1</v>
      </c>
      <c r="T171" s="46" t="str">
        <f t="shared" si="60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61"/>
        <v>https://d0f6bd738d7f1b3e5a7ca70fe4ff75f0.us-east-1.aws.found.io/app/kibana#/discover/Steve-Slow-Train-Analysis-(2080s-and-2083s)?_g=(refreshInterval:(display:Off,pause:!f,section:0,value:0),time:(from:'2017-03-27T07:14:33-0600',mode:absolute,to:'2017-03-27T09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83" t="str">
        <f t="shared" si="62"/>
        <v>N</v>
      </c>
      <c r="X171" s="183">
        <f t="shared" si="74"/>
        <v>1</v>
      </c>
      <c r="Y171" s="62">
        <f t="shared" si="63"/>
        <v>9.7199999999999995E-2</v>
      </c>
      <c r="Z171" s="62">
        <f t="shared" si="73"/>
        <v>5.8935000000000004</v>
      </c>
      <c r="AA171" s="62">
        <f t="shared" si="65"/>
        <v>5.7963000000000005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6"/>
        <v>0811-27</v>
      </c>
      <c r="AE171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71" s="82" t="str">
        <f t="shared" si="68"/>
        <v>"C:\Program Files (x86)\AstroGrep\AstroGrep.exe" /e /r /s /spath="%USERPROFILE%\AppData\Local\Temp\OnboardLogs" /stypes="app*4009*20170327*" /stext=" 14:.+((SYSTEM_STATE.+slice.+state.+changed )|(ment ac)|(multiple cpu faults)|(system.+state.+changed )|(\[timeout)|(PRM\|1\|D)|(kpr)|(kdp)|(\|lc)|(penalty))"</v>
      </c>
      <c r="AG171" s="1" t="str">
        <f t="shared" si="69"/>
        <v>NW</v>
      </c>
      <c r="AH171" s="86" t="str">
        <f t="shared" si="54"/>
        <v>"%USERPROFILE%\Documents\GitHub\eaglep3\Utilities\RefineRTDCRunTimes.py" --tripid 811-27 --locoid 4009 --swversion DE.1.0.9.0 --startMP 204:972 --initTime 2017-03-27T08:14:33 --startdatetime 2017-03-27T08:21:18 --delay 1 --endMP 300:58935 --enddatetime 2017-03-27T08:34:20 --enforcementcount 0 &gt;&gt;C:\Users\stu\Documents\GitHub\eaglep3-reporting\EC\2017-03-27-refined-times.txt</v>
      </c>
      <c r="AI171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api","custom_fields":[{"id":1,"name":"Subdivision","value":"NW"},{"id":4,"name":"Milepost","value":"5.8935"},{"id":17,"name":"Train ID","value":"811-27"},{"id":16,"name":"Locomotive ID","value":"4009"},{"id":130,"name":"Impact","value":""},{"id":150,"name":"Time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 t="s">
        <v>590</v>
      </c>
      <c r="AK171" s="48"/>
      <c r="AL171" s="48"/>
      <c r="AM171" s="150" t="str">
        <f t="shared" si="56"/>
        <v>start /low /b %USERPROFILE%\Documents\GitHub\eaglep3\Utilities\DownloadLogsFromS3.py --loco 4009 --day 2017-03-27</v>
      </c>
      <c r="AN171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604</v>
      </c>
      <c r="B172" s="7">
        <v>4010</v>
      </c>
      <c r="C172" s="21" t="s">
        <v>218</v>
      </c>
      <c r="D172" s="21" t="s">
        <v>523</v>
      </c>
      <c r="E172" s="13">
        <v>42821.35837962963</v>
      </c>
      <c r="F172" s="13">
        <v>42821.360578703701</v>
      </c>
      <c r="G172" s="7">
        <v>1</v>
      </c>
      <c r="H172" s="21" t="s">
        <v>548</v>
      </c>
      <c r="I172" s="13">
        <v>42821.371516203704</v>
      </c>
      <c r="J172" s="7">
        <v>0</v>
      </c>
      <c r="K172" s="97" t="str">
        <f t="shared" si="58"/>
        <v>4009/4010</v>
      </c>
      <c r="L172" s="21" t="str">
        <f>VLOOKUP(A172,'Trips&amp;Operators'!$C$1:$G$99999,5,FALSE)</f>
        <v>FORTUNATO FRANK</v>
      </c>
      <c r="M172" s="6">
        <f t="shared" si="59"/>
        <v>1.0937500002910383E-2</v>
      </c>
      <c r="N172" s="7">
        <f t="shared" si="72"/>
        <v>15.750000004190952</v>
      </c>
      <c r="O172" s="7"/>
      <c r="P172" s="7"/>
      <c r="Q172" s="22"/>
      <c r="R172" s="22"/>
      <c r="S172" s="31">
        <f t="shared" si="71"/>
        <v>1</v>
      </c>
      <c r="T172" s="46" t="str">
        <f t="shared" si="60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61"/>
        <v>https://d0f6bd738d7f1b3e5a7ca70fe4ff75f0.us-east-1.aws.found.io/app/kibana#/discover/Steve-Slow-Train-Analysis-(2080s-and-2083s)?_g=(refreshInterval:(display:Off,pause:!f,section:0,value:0),time:(from:'2017-03-27T07:36:04-0600',mode:absolute,to:'2017-03-27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83" t="str">
        <f t="shared" si="62"/>
        <v>N</v>
      </c>
      <c r="X172" s="183">
        <f t="shared" si="74"/>
        <v>1</v>
      </c>
      <c r="Y172" s="62">
        <f t="shared" si="63"/>
        <v>5.8624000000000001</v>
      </c>
      <c r="Z172" s="62">
        <f t="shared" si="73"/>
        <v>7.5899999999999995E-2</v>
      </c>
      <c r="AA172" s="62">
        <f t="shared" si="65"/>
        <v>5.7865000000000002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6"/>
        <v>0812-27</v>
      </c>
      <c r="AE172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72" s="82" t="str">
        <f t="shared" si="68"/>
        <v>"C:\Program Files (x86)\AstroGrep\AstroGrep.exe" /e /r /s /spath="%USERPROFILE%\AppData\Local\Temp\OnboardLogs" /stypes="app*4010*20170327*" /stext=" 14:.+((SYSTEM_STATE.+slice.+state.+changed )|(ment ac)|(multiple cpu faults)|(system.+state.+changed )|(\[timeout)|(PRM\|1\|D)|(kpr)|(kdp)|(\|lc)|(penalty))"</v>
      </c>
      <c r="AG172" s="1" t="str">
        <f t="shared" si="69"/>
        <v>NW</v>
      </c>
      <c r="AH172" s="86" t="str">
        <f t="shared" si="54"/>
        <v>"%USERPROFILE%\Documents\GitHub\eaglep3\Utilities\RefineRTDCRunTimes.py" --tripid 812-27 --locoid 4010 --swversion DE.1.0.9.0 --startMP 300:58624 --initTime 2017-03-27T08:36:04 --startdatetime 2017-03-27T08:39:14 --delay 1 --endMP 204:759 --enddatetime 2017-03-27T08:54:59 --enforcementcount 0 &gt;&gt;C:\Users\stu\Documents\GitHub\eaglep3-reporting\EC\2017-03-27-refined-times.txt</v>
      </c>
      <c r="AI17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api","custom_fields":[{"id":1,"name":"Subdivision","value":"NW"},{"id":4,"name":"Milepost","value":"0.0759"},{"id":17,"name":"Train ID","value":"812-27"},{"id":16,"name":"Locomotive ID","value":"4010"},{"id":130,"name":"Impact","value":""},{"id":150,"name":"Time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 t="s">
        <v>590</v>
      </c>
      <c r="AK172" s="48"/>
      <c r="AL172" s="48"/>
      <c r="AM172" s="150" t="str">
        <f t="shared" si="56"/>
        <v>start /low /b %USERPROFILE%\Documents\GitHub\eaglep3\Utilities\DownloadLogsFromS3.py --loco 4010 --day 2017-03-27</v>
      </c>
      <c r="AN172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688</v>
      </c>
      <c r="B173" s="7">
        <v>4009</v>
      </c>
      <c r="C173" s="21" t="s">
        <v>218</v>
      </c>
      <c r="D173" s="21" t="s">
        <v>568</v>
      </c>
      <c r="E173" s="13">
        <v>42821.383425925924</v>
      </c>
      <c r="F173" s="13">
        <v>42821.389826388891</v>
      </c>
      <c r="G173" s="7">
        <v>1</v>
      </c>
      <c r="H173" s="21" t="s">
        <v>522</v>
      </c>
      <c r="I173" s="13">
        <v>42821.399259259262</v>
      </c>
      <c r="J173" s="7">
        <v>0</v>
      </c>
      <c r="K173" s="97" t="str">
        <f t="shared" si="58"/>
        <v>4009/4010</v>
      </c>
      <c r="L173" s="21" t="str">
        <f>VLOOKUP(A173,'Trips&amp;Operators'!$C$1:$G$99999,5,FALSE)</f>
        <v>FORTUNATO FRANK</v>
      </c>
      <c r="M173" s="6">
        <f t="shared" si="59"/>
        <v>9.4328703708015382E-3</v>
      </c>
      <c r="N173" s="7">
        <f t="shared" si="72"/>
        <v>13.583333333954215</v>
      </c>
      <c r="O173" s="7"/>
      <c r="P173" s="7"/>
      <c r="Q173" s="22"/>
      <c r="R173" s="22"/>
      <c r="S173" s="31">
        <f t="shared" si="71"/>
        <v>1</v>
      </c>
      <c r="T173" s="46" t="str">
        <f t="shared" si="60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61"/>
        <v>https://d0f6bd738d7f1b3e5a7ca70fe4ff75f0.us-east-1.aws.found.io/app/kibana#/discover/Steve-Slow-Train-Analysis-(2080s-and-2083s)?_g=(refreshInterval:(display:Off,pause:!f,section:0,value:0),time:(from:'2017-03-27T08:12:08-0600',mode:absolute,to:'2017-03-27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83" t="str">
        <f t="shared" si="62"/>
        <v>N</v>
      </c>
      <c r="X173" s="183">
        <f t="shared" si="74"/>
        <v>1</v>
      </c>
      <c r="Y173" s="62">
        <f t="shared" si="63"/>
        <v>0.10390000000000001</v>
      </c>
      <c r="Z173" s="62">
        <f t="shared" si="73"/>
        <v>5.8943000000000003</v>
      </c>
      <c r="AA173" s="62">
        <f t="shared" si="65"/>
        <v>5.7904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6"/>
        <v>0813-27</v>
      </c>
      <c r="AE173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73" s="82" t="str">
        <f t="shared" si="68"/>
        <v>"C:\Program Files (x86)\AstroGrep\AstroGrep.exe" /e /r /s /spath="%USERPROFILE%\AppData\Local\Temp\OnboardLogs" /stypes="app*4009*20170327*" /stext=" 15:.+((SYSTEM_STATE.+slice.+state.+changed )|(ment ac)|(multiple cpu faults)|(system.+state.+changed )|(\[timeout)|(PRM\|1\|D)|(kpr)|(kdp)|(\|lc)|(penalty))"</v>
      </c>
      <c r="AG173" s="1" t="str">
        <f t="shared" si="69"/>
        <v>NW</v>
      </c>
      <c r="AH173" s="86" t="str">
        <f t="shared" si="54"/>
        <v>"%USERPROFILE%\Documents\GitHub\eaglep3\Utilities\RefineRTDCRunTimes.py" --tripid 813-27 --locoid 4009 --swversion DE.1.0.9.0 --startMP 204:1039 --initTime 2017-03-27T09:12:08 --startdatetime 2017-03-27T09:21:21 --delay 1 --endMP 300:58943 --enddatetime 2017-03-27T09:34:56 --enforcementcount 0 &gt;&gt;C:\Users\stu\Documents\GitHub\eaglep3-reporting\EC\2017-03-27-refined-times.txt</v>
      </c>
      <c r="AI17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api","custom_fields":[{"id":1,"name":"Subdivision","value":"NW"},{"id":4,"name":"Milepost","value":"5.8943"},{"id":17,"name":"Train ID","value":"813-27"},{"id":16,"name":"Locomotive ID","value":"4009"},{"id":130,"name":"Impact","value":""},{"id":150,"name":"Time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 t="s">
        <v>590</v>
      </c>
      <c r="AK173" s="48"/>
      <c r="AL173" s="48"/>
      <c r="AM173" s="150" t="str">
        <f t="shared" si="56"/>
        <v>start /low /b %USERPROFILE%\Documents\GitHub\eaglep3\Utilities\DownloadLogsFromS3.py --loco 4009 --day 2017-03-27</v>
      </c>
      <c r="AN173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691</v>
      </c>
      <c r="B174" s="7">
        <v>4010</v>
      </c>
      <c r="C174" s="21" t="s">
        <v>218</v>
      </c>
      <c r="D174" s="21" t="s">
        <v>504</v>
      </c>
      <c r="E174" s="13">
        <v>42821.40047453704</v>
      </c>
      <c r="F174" s="13">
        <v>42821.401967592596</v>
      </c>
      <c r="G174" s="7">
        <v>1</v>
      </c>
      <c r="H174" s="21" t="s">
        <v>941</v>
      </c>
      <c r="I174" s="13">
        <v>42821.41369212963</v>
      </c>
      <c r="J174" s="7">
        <v>0</v>
      </c>
      <c r="K174" s="97" t="str">
        <f t="shared" si="58"/>
        <v>4009/4010</v>
      </c>
      <c r="L174" s="21" t="str">
        <f>VLOOKUP(A174,'Trips&amp;Operators'!$C$1:$G$99999,5,FALSE)</f>
        <v>FORTUNATO FRANK</v>
      </c>
      <c r="M174" s="6">
        <f t="shared" si="59"/>
        <v>1.1724537034751847E-2</v>
      </c>
      <c r="N174" s="7">
        <f t="shared" si="72"/>
        <v>16.88333333004266</v>
      </c>
      <c r="O174" s="7"/>
      <c r="P174" s="7"/>
      <c r="Q174" s="22"/>
      <c r="R174" s="22"/>
      <c r="S174" s="31">
        <f t="shared" si="71"/>
        <v>1</v>
      </c>
      <c r="T174" s="46" t="str">
        <f t="shared" si="60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61"/>
        <v>https://d0f6bd738d7f1b3e5a7ca70fe4ff75f0.us-east-1.aws.found.io/app/kibana#/discover/Steve-Slow-Train-Analysis-(2080s-and-2083s)?_g=(refreshInterval:(display:Off,pause:!f,section:0,value:0),time:(from:'2017-03-27T08:36:41-0600',mode:absolute,to:'2017-03-27T10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83" t="str">
        <f t="shared" si="62"/>
        <v>N</v>
      </c>
      <c r="X174" s="183">
        <f t="shared" si="74"/>
        <v>1</v>
      </c>
      <c r="Y174" s="62">
        <f t="shared" si="63"/>
        <v>5.8616999999999999</v>
      </c>
      <c r="Z174" s="62">
        <f t="shared" si="73"/>
        <v>6.9599999999999995E-2</v>
      </c>
      <c r="AA174" s="62">
        <f t="shared" si="65"/>
        <v>5.7920999999999996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6"/>
        <v>0814-27</v>
      </c>
      <c r="AE174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74" s="82" t="str">
        <f t="shared" si="68"/>
        <v>"C:\Program Files (x86)\AstroGrep\AstroGrep.exe" /e /r /s /spath="%USERPROFILE%\AppData\Local\Temp\OnboardLogs" /stypes="app*4010*20170327*" /stext=" 15:.+((SYSTEM_STATE.+slice.+state.+changed )|(ment ac)|(multiple cpu faults)|(system.+state.+changed )|(\[timeout)|(PRM\|1\|D)|(kpr)|(kdp)|(\|lc)|(penalty))"</v>
      </c>
      <c r="AG174" s="1" t="str">
        <f t="shared" si="69"/>
        <v>NW</v>
      </c>
      <c r="AH174" s="86" t="str">
        <f t="shared" si="54"/>
        <v>"%USERPROFILE%\Documents\GitHub\eaglep3\Utilities\RefineRTDCRunTimes.py" --tripid 814-27 --locoid 4010 --swversion DE.1.0.9.0 --startMP 300:58617 --initTime 2017-03-27T09:36:41 --startdatetime 2017-03-27T09:38:50 --delay 1 --endMP 204:696 --enddatetime 2017-03-27T09:55:43 --enforcementcount 0 &gt;&gt;C:\Users\stu\Documents\GitHub\eaglep3-reporting\EC\2017-03-27-refined-times.txt</v>
      </c>
      <c r="AI174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api","custom_fields":[{"id":1,"name":"Subdivision","value":"NW"},{"id":4,"name":"Milepost","value":"0.0696"},{"id":17,"name":"Train ID","value":"814-27"},{"id":16,"name":"Locomotive ID","value":"4010"},{"id":130,"name":"Impact","value":""},{"id":150,"name":"Time of Event (Mountain Time)","value":"09:55:43"},{"id":151,"name":"Denver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 t="s">
        <v>590</v>
      </c>
      <c r="AK174" s="48"/>
      <c r="AL174" s="48"/>
      <c r="AM174" s="150" t="str">
        <f t="shared" si="56"/>
        <v>start /low /b %USERPROFILE%\Documents\GitHub\eaglep3\Utilities\DownloadLogsFromS3.py --loco 4010 --day 2017-03-27</v>
      </c>
      <c r="AN174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15:55:43"},{"id":29,"name":"Sharepoint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693</v>
      </c>
      <c r="B175" s="7">
        <v>4009</v>
      </c>
      <c r="C175" s="21" t="s">
        <v>218</v>
      </c>
      <c r="D175" s="21" t="s">
        <v>952</v>
      </c>
      <c r="E175" s="13">
        <v>42821.415034722224</v>
      </c>
      <c r="F175" s="13">
        <v>42821.431701388887</v>
      </c>
      <c r="G175" s="7">
        <v>1</v>
      </c>
      <c r="H175" s="21" t="s">
        <v>953</v>
      </c>
      <c r="I175" s="13">
        <v>42821.441145833334</v>
      </c>
      <c r="J175" s="7">
        <v>0</v>
      </c>
      <c r="K175" s="97" t="str">
        <f t="shared" si="58"/>
        <v>4009/4010</v>
      </c>
      <c r="L175" s="21" t="str">
        <f>VLOOKUP(A175,'Trips&amp;Operators'!$C$1:$G$99999,5,FALSE)</f>
        <v>FORTUNATO FRANK</v>
      </c>
      <c r="M175" s="6">
        <f t="shared" si="59"/>
        <v>9.4444444475811906E-3</v>
      </c>
      <c r="N175" s="7">
        <f t="shared" si="72"/>
        <v>13.600000004516914</v>
      </c>
      <c r="O175" s="7"/>
      <c r="P175" s="7"/>
      <c r="Q175" s="22"/>
      <c r="R175" s="22"/>
      <c r="S175" s="31">
        <f t="shared" si="71"/>
        <v>1</v>
      </c>
      <c r="T175" s="46" t="str">
        <f t="shared" si="60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61"/>
        <v>https://d0f6bd738d7f1b3e5a7ca70fe4ff75f0.us-east-1.aws.found.io/app/kibana#/discover/Steve-Slow-Train-Analysis-(2080s-and-2083s)?_g=(refreshInterval:(display:Off,pause:!f,section:0,value:0),time:(from:'2017-03-27T08:57:39-0600',mode:absolute,to:'2017-03-27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83" t="str">
        <f t="shared" si="62"/>
        <v>N</v>
      </c>
      <c r="X175" s="183">
        <f t="shared" si="74"/>
        <v>1</v>
      </c>
      <c r="Y175" s="62">
        <f t="shared" si="63"/>
        <v>9.7799999999999998E-2</v>
      </c>
      <c r="Z175" s="62">
        <f t="shared" si="73"/>
        <v>5.8936999999999999</v>
      </c>
      <c r="AA175" s="62">
        <f t="shared" si="65"/>
        <v>5.7958999999999996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6"/>
        <v>0815-27</v>
      </c>
      <c r="AE175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75" s="82" t="str">
        <f t="shared" si="68"/>
        <v>"C:\Program Files (x86)\AstroGrep\AstroGrep.exe" /e /r /s /spath="%USERPROFILE%\AppData\Local\Temp\OnboardLogs" /stypes="app*4009*20170327*" /stext=" 16:.+((SYSTEM_STATE.+slice.+state.+changed )|(ment ac)|(multiple cpu faults)|(system.+state.+changed )|(\[timeout)|(PRM\|1\|D)|(kpr)|(kdp)|(\|lc)|(penalty))"</v>
      </c>
      <c r="AG175" s="1" t="str">
        <f t="shared" si="69"/>
        <v>NW</v>
      </c>
      <c r="AH175" s="86" t="str">
        <f t="shared" si="54"/>
        <v>"%USERPROFILE%\Documents\GitHub\eaglep3\Utilities\RefineRTDCRunTimes.py" --tripid 815-27 --locoid 4009 --swversion DE.1.0.9.0 --startMP 204:978 --initTime 2017-03-27T09:57:39 --startdatetime 2017-03-27T10:21:39 --delay 1 --endMP 300:58937 --enddatetime 2017-03-27T10:35:15 --enforcementcount 0 &gt;&gt;C:\Users\stu\Documents\GitHub\eaglep3-reporting\EC\2017-03-27-refined-times.txt</v>
      </c>
      <c r="AI175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api","custom_fields":[{"id":1,"name":"Subdivision","value":"NW"},{"id":4,"name":"Milepost","value":"5.8937"},{"id":17,"name":"Train ID","value":"815-27"},{"id":16,"name":"Locomotive ID","value":"4009"},{"id":130,"name":"Impact","value":""},{"id":150,"name":"Time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 t="s">
        <v>590</v>
      </c>
      <c r="AK175" s="48"/>
      <c r="AL175" s="48"/>
      <c r="AM175" s="150" t="str">
        <f t="shared" si="56"/>
        <v>start /low /b %USERPROFILE%\Documents\GitHub\eaglep3\Utilities\DownloadLogsFromS3.py --loco 4009 --day 2017-03-27</v>
      </c>
      <c r="AN175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611</v>
      </c>
      <c r="B176" s="7">
        <v>4010</v>
      </c>
      <c r="C176" s="21" t="s">
        <v>218</v>
      </c>
      <c r="D176" s="21" t="s">
        <v>504</v>
      </c>
      <c r="E176" s="13">
        <v>42821.442233796297</v>
      </c>
      <c r="F176" s="13">
        <v>42821.443576388891</v>
      </c>
      <c r="G176" s="7">
        <v>1</v>
      </c>
      <c r="H176" s="21" t="s">
        <v>840</v>
      </c>
      <c r="I176" s="13">
        <v>42821.455185185187</v>
      </c>
      <c r="J176" s="7">
        <v>0</v>
      </c>
      <c r="K176" s="97" t="str">
        <f t="shared" si="58"/>
        <v>4009/4010</v>
      </c>
      <c r="L176" s="21" t="str">
        <f>VLOOKUP(A176,'Trips&amp;Operators'!$C$1:$G$99999,5,FALSE)</f>
        <v>FORTUNATO FRANK</v>
      </c>
      <c r="M176" s="6">
        <f t="shared" si="59"/>
        <v>1.1608796296059154E-2</v>
      </c>
      <c r="N176" s="7">
        <f t="shared" si="72"/>
        <v>16.716666666325182</v>
      </c>
      <c r="O176" s="7"/>
      <c r="P176" s="7"/>
      <c r="Q176" s="22"/>
      <c r="R176" s="22"/>
      <c r="S176" s="31">
        <f t="shared" si="71"/>
        <v>1</v>
      </c>
      <c r="T176" s="46" t="str">
        <f t="shared" si="60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61"/>
        <v>https://d0f6bd738d7f1b3e5a7ca70fe4ff75f0.us-east-1.aws.found.io/app/kibana#/discover/Steve-Slow-Train-Analysis-(2080s-and-2083s)?_g=(refreshInterval:(display:Off,pause:!f,section:0,value:0),time:(from:'2017-03-27T09:36:49-0600',mode:absolute,to:'2017-03-27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83" t="str">
        <f t="shared" si="62"/>
        <v>N</v>
      </c>
      <c r="X176" s="183">
        <f t="shared" si="74"/>
        <v>1</v>
      </c>
      <c r="Y176" s="62">
        <f t="shared" si="63"/>
        <v>5.8616999999999999</v>
      </c>
      <c r="Z176" s="62">
        <f t="shared" si="73"/>
        <v>7.7499999999999999E-2</v>
      </c>
      <c r="AA176" s="62">
        <f t="shared" si="65"/>
        <v>5.7842000000000002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6"/>
        <v>0816-27</v>
      </c>
      <c r="AE176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76" s="82" t="str">
        <f t="shared" si="68"/>
        <v>"C:\Program Files (x86)\AstroGrep\AstroGrep.exe" /e /r /s /spath="%USERPROFILE%\AppData\Local\Temp\OnboardLogs" /stypes="app*4010*20170327*" /stext=" 16:.+((SYSTEM_STATE.+slice.+state.+changed )|(ment ac)|(multiple cpu faults)|(system.+state.+changed )|(\[timeout)|(PRM\|1\|D)|(kpr)|(kdp)|(\|lc)|(penalty))"</v>
      </c>
      <c r="AG176" s="1" t="str">
        <f t="shared" si="69"/>
        <v>NW</v>
      </c>
      <c r="AH176" s="86" t="str">
        <f t="shared" si="54"/>
        <v>"%USERPROFILE%\Documents\GitHub\eaglep3\Utilities\RefineRTDCRunTimes.py" --tripid 816-27 --locoid 4010 --swversion DE.1.0.9.0 --startMP 300:58617 --initTime 2017-03-27T10:36:49 --startdatetime 2017-03-27T10:38:45 --delay 1 --endMP 204:775 --enddatetime 2017-03-27T10:55:28 --enforcementcount 0 &gt;&gt;C:\Users\stu\Documents\GitHub\eaglep3-reporting\EC\2017-03-27-refined-times.txt</v>
      </c>
      <c r="AI176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api","custom_fields":[{"id":1,"name":"Subdivision","value":"NW"},{"id":4,"name":"Milepost","value":"0.0775"},{"id":17,"name":"Train ID","value":"816-27"},{"id":16,"name":"Locomotive ID","value":"4010"},{"id":130,"name":"Impact","value":""},{"id":150,"name":"Time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 t="s">
        <v>590</v>
      </c>
      <c r="AK176" s="48"/>
      <c r="AL176" s="48"/>
      <c r="AM176" s="150" t="str">
        <f t="shared" si="56"/>
        <v>start /low /b %USERPROFILE%\Documents\GitHub\eaglep3\Utilities\DownloadLogsFromS3.py --loco 4010 --day 2017-03-27</v>
      </c>
      <c r="AN176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701</v>
      </c>
      <c r="B177" s="7">
        <v>4009</v>
      </c>
      <c r="C177" s="21" t="s">
        <v>218</v>
      </c>
      <c r="D177" s="21" t="s">
        <v>954</v>
      </c>
      <c r="E177" s="13">
        <v>42821.456574074073</v>
      </c>
      <c r="F177" s="13">
        <v>42821.473136574074</v>
      </c>
      <c r="G177" s="7">
        <v>1</v>
      </c>
      <c r="H177" s="21" t="s">
        <v>524</v>
      </c>
      <c r="I177" s="13">
        <v>42821.483541666668</v>
      </c>
      <c r="J177" s="7">
        <v>0</v>
      </c>
      <c r="K177" s="97" t="str">
        <f t="shared" si="58"/>
        <v>4009/4010</v>
      </c>
      <c r="L177" s="21" t="str">
        <f>VLOOKUP(A177,'Trips&amp;Operators'!$C$1:$G$99999,5,FALSE)</f>
        <v>FORTUNATO FRANK</v>
      </c>
      <c r="M177" s="6">
        <f t="shared" si="59"/>
        <v>1.0405092594737653E-2</v>
      </c>
      <c r="N177" s="7">
        <f t="shared" si="72"/>
        <v>14.98333333642222</v>
      </c>
      <c r="O177" s="7"/>
      <c r="P177" s="7"/>
      <c r="Q177" s="22"/>
      <c r="R177" s="22"/>
      <c r="S177" s="31">
        <f t="shared" ref="S177:S208" si="75">SUM(U177:U177)/IF(AG177="EC",12,1)</f>
        <v>1</v>
      </c>
      <c r="T177" s="46" t="str">
        <f t="shared" si="60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61"/>
        <v>https://d0f6bd738d7f1b3e5a7ca70fe4ff75f0.us-east-1.aws.found.io/app/kibana#/discover/Steve-Slow-Train-Analysis-(2080s-and-2083s)?_g=(refreshInterval:(display:Off,pause:!f,section:0,value:0),time:(from:'2017-03-27T09:57:28-0600',mode:absolute,to:'2017-03-27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83" t="str">
        <f t="shared" si="62"/>
        <v>N</v>
      </c>
      <c r="X177" s="183">
        <f t="shared" si="74"/>
        <v>1</v>
      </c>
      <c r="Y177" s="62">
        <f t="shared" si="63"/>
        <v>0.1067</v>
      </c>
      <c r="Z177" s="62">
        <f t="shared" si="73"/>
        <v>5.8930999999999996</v>
      </c>
      <c r="AA177" s="62">
        <f t="shared" si="65"/>
        <v>5.7863999999999995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6"/>
        <v>0817-27</v>
      </c>
      <c r="AE177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77" s="82" t="str">
        <f t="shared" si="68"/>
        <v>"C:\Program Files (x86)\AstroGrep\AstroGrep.exe" /e /r /s /spath="%USERPROFILE%\AppData\Local\Temp\OnboardLogs" /stypes="app*4009*20170327*" /stext=" 17:.+((SYSTEM_STATE.+slice.+state.+changed )|(ment ac)|(multiple cpu faults)|(system.+state.+changed )|(\[timeout)|(PRM\|1\|D)|(kpr)|(kdp)|(\|lc)|(penalty))"</v>
      </c>
      <c r="AG177" s="1" t="str">
        <f t="shared" si="69"/>
        <v>NW</v>
      </c>
      <c r="AH177" s="86" t="str">
        <f t="shared" si="54"/>
        <v>"%USERPROFILE%\Documents\GitHub\eaglep3\Utilities\RefineRTDCRunTimes.py" --tripid 817-27 --locoid 4009 --swversion DE.1.0.9.0 --startMP 204:1067 --initTime 2017-03-27T10:57:28 --startdatetime 2017-03-27T11:21:19 --delay 1 --endMP 300:58931 --enddatetime 2017-03-27T11:36:18 --enforcementcount 0 &gt;&gt;C:\Users\stu\Documents\GitHub\eaglep3-reporting\EC\2017-03-27-refined-times.txt</v>
      </c>
      <c r="AI177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api","custom_fields":[{"id":1,"name":"Subdivision","value":"NW"},{"id":4,"name":"Milepost","value":"5.8931"},{"id":17,"name":"Train ID","value":"817-27"},{"id":16,"name":"Locomotive ID","value":"4009"},{"id":130,"name":"Impact","value":""},{"id":150,"name":"Time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 t="s">
        <v>590</v>
      </c>
      <c r="AK177" s="48"/>
      <c r="AL177" s="48"/>
      <c r="AM177" s="150" t="str">
        <f t="shared" si="56"/>
        <v>start /low /b %USERPROFILE%\Documents\GitHub\eaglep3\Utilities\DownloadLogsFromS3.py --loco 4009 --day 2017-03-27</v>
      </c>
      <c r="AN177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710</v>
      </c>
      <c r="B178" s="7">
        <v>4010</v>
      </c>
      <c r="C178" s="21" t="s">
        <v>218</v>
      </c>
      <c r="D178" s="21" t="s">
        <v>955</v>
      </c>
      <c r="E178" s="13">
        <v>42821.486030092594</v>
      </c>
      <c r="F178" s="13">
        <v>42821.487500000003</v>
      </c>
      <c r="G178" s="7">
        <v>1</v>
      </c>
      <c r="H178" s="21" t="s">
        <v>941</v>
      </c>
      <c r="I178" s="13">
        <v>42821.497037037036</v>
      </c>
      <c r="J178" s="7">
        <v>0</v>
      </c>
      <c r="K178" s="97" t="str">
        <f t="shared" si="58"/>
        <v>4009/4010</v>
      </c>
      <c r="L178" s="21" t="str">
        <f>VLOOKUP(A178,'Trips&amp;Operators'!$C$1:$G$99999,5,FALSE)</f>
        <v>FORTUNATO FRANK</v>
      </c>
      <c r="M178" s="6">
        <f t="shared" si="59"/>
        <v>9.5370370327145793E-3</v>
      </c>
      <c r="N178" s="7">
        <f t="shared" si="72"/>
        <v>13.733333327108994</v>
      </c>
      <c r="O178" s="7"/>
      <c r="P178" s="7"/>
      <c r="Q178" s="22"/>
      <c r="R178" s="22"/>
      <c r="S178" s="31">
        <f t="shared" si="75"/>
        <v>1</v>
      </c>
      <c r="T178" s="46" t="str">
        <f t="shared" si="60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61"/>
        <v>https://d0f6bd738d7f1b3e5a7ca70fe4ff75f0.us-east-1.aws.found.io/app/kibana#/discover/Steve-Slow-Train-Analysis-(2080s-and-2083s)?_g=(refreshInterval:(display:Off,pause:!f,section:0,value:0),time:(from:'2017-03-27T10:39:53-0600',mode:absolute,to:'2017-03-27T12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83" t="str">
        <f t="shared" si="62"/>
        <v>N</v>
      </c>
      <c r="X178" s="183">
        <f t="shared" si="74"/>
        <v>1</v>
      </c>
      <c r="Y178" s="62">
        <f t="shared" si="63"/>
        <v>5.8613</v>
      </c>
      <c r="Z178" s="62">
        <f t="shared" si="73"/>
        <v>6.9599999999999995E-2</v>
      </c>
      <c r="AA178" s="62">
        <f t="shared" si="65"/>
        <v>5.7916999999999996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6"/>
        <v>0818-27</v>
      </c>
      <c r="AE178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78" s="82" t="str">
        <f t="shared" si="68"/>
        <v>"C:\Program Files (x86)\AstroGrep\AstroGrep.exe" /e /r /s /spath="%USERPROFILE%\AppData\Local\Temp\OnboardLogs" /stypes="app*4010*20170327*" /stext=" 17:.+((SYSTEM_STATE.+slice.+state.+changed )|(ment ac)|(multiple cpu faults)|(system.+state.+changed )|(\[timeout)|(PRM\|1\|D)|(kpr)|(kdp)|(\|lc)|(penalty))"</v>
      </c>
      <c r="AG178" s="1" t="str">
        <f t="shared" si="69"/>
        <v>NW</v>
      </c>
      <c r="AH178" s="86" t="str">
        <f t="shared" si="54"/>
        <v>"%USERPROFILE%\Documents\GitHub\eaglep3\Utilities\RefineRTDCRunTimes.py" --tripid 818-27 --locoid 4010 --swversion DE.1.0.9.0 --startMP 300:58613 --initTime 2017-03-27T11:39:53 --startdatetime 2017-03-27T11:42:00 --delay 1 --endMP 204:696 --enddatetime 2017-03-27T11:55:44 --enforcementcount 0 &gt;&gt;C:\Users\stu\Documents\GitHub\eaglep3-reporting\EC\2017-03-27-refined-times.txt</v>
      </c>
      <c r="AI178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api","custom_fields":[{"id":1,"name":"Subdivision","value":"NW"},{"id":4,"name":"Milepost","value":"0.0696"},{"id":17,"name":"Train ID","value":"818-27"},{"id":16,"name":"Locomotive ID","value":"4010"},{"id":130,"name":"Impact","value":""},{"id":150,"name":"Time of Event (Mountain Time)","value":"11:55:44"},{"id":151,"name":"Denver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 t="s">
        <v>590</v>
      </c>
      <c r="AK178" s="48"/>
      <c r="AL178" s="48"/>
      <c r="AM178" s="150" t="str">
        <f t="shared" si="56"/>
        <v>start /low /b %USERPROFILE%\Documents\GitHub\eaglep3\Utilities\DownloadLogsFromS3.py --loco 4010 --day 2017-03-27</v>
      </c>
      <c r="AN178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3" t="s">
        <v>709</v>
      </c>
      <c r="B179" s="7">
        <v>4009</v>
      </c>
      <c r="C179" s="21" t="s">
        <v>218</v>
      </c>
      <c r="D179" s="21" t="s">
        <v>956</v>
      </c>
      <c r="E179" s="13">
        <v>42821.512083333335</v>
      </c>
      <c r="F179" s="13">
        <v>42821.514780092592</v>
      </c>
      <c r="G179" s="7">
        <v>1</v>
      </c>
      <c r="H179" s="21" t="s">
        <v>957</v>
      </c>
      <c r="I179" s="13">
        <v>42821.52412037037</v>
      </c>
      <c r="J179" s="7">
        <v>0</v>
      </c>
      <c r="K179" s="97" t="str">
        <f t="shared" si="58"/>
        <v>4009/4010</v>
      </c>
      <c r="L179" s="21" t="str">
        <f>VLOOKUP(A179,'Trips&amp;Operators'!$C$1:$G$99999,5,FALSE)</f>
        <v>FORTUNATO FRANK</v>
      </c>
      <c r="M179" s="6">
        <f t="shared" si="59"/>
        <v>9.340277778392192E-3</v>
      </c>
      <c r="N179" s="7">
        <f t="shared" si="72"/>
        <v>13.450000000884756</v>
      </c>
      <c r="O179" s="7"/>
      <c r="P179" s="7"/>
      <c r="Q179" s="22"/>
      <c r="R179" s="22"/>
      <c r="S179" s="31">
        <f t="shared" si="75"/>
        <v>1</v>
      </c>
      <c r="T179" s="46" t="str">
        <f t="shared" si="60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61"/>
        <v>https://d0f6bd738d7f1b3e5a7ca70fe4ff75f0.us-east-1.aws.found.io/app/kibana#/discover/Steve-Slow-Train-Analysis-(2080s-and-2083s)?_g=(refreshInterval:(display:Off,pause:!f,section:0,value:0),time:(from:'2017-03-27T11:17:24-0600',mode:absolute,to:'2017-03-27T13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83" t="str">
        <f t="shared" si="62"/>
        <v>N</v>
      </c>
      <c r="X179" s="183">
        <f t="shared" si="74"/>
        <v>1</v>
      </c>
      <c r="Y179" s="62">
        <f t="shared" si="63"/>
        <v>9.8299999999999998E-2</v>
      </c>
      <c r="Z179" s="62">
        <f t="shared" si="73"/>
        <v>5.8925999999999998</v>
      </c>
      <c r="AA179" s="62">
        <f t="shared" si="65"/>
        <v>5.7942999999999998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6"/>
        <v>0819-27</v>
      </c>
      <c r="AE179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79" s="82" t="str">
        <f t="shared" si="68"/>
        <v>"C:\Program Files (x86)\AstroGrep\AstroGrep.exe" /e /r /s /spath="%USERPROFILE%\AppData\Local\Temp\OnboardLogs" /stypes="app*4009*20170327*" /stext=" 18:.+((SYSTEM_STATE.+slice.+state.+changed )|(ment ac)|(multiple cpu faults)|(system.+state.+changed )|(\[timeout)|(PRM\|1\|D)|(kpr)|(kdp)|(\|lc)|(penalty))"</v>
      </c>
      <c r="AG179" s="1" t="str">
        <f t="shared" si="69"/>
        <v>NW</v>
      </c>
      <c r="AH179" s="86" t="str">
        <f t="shared" si="54"/>
        <v>"%USERPROFILE%\Documents\GitHub\eaglep3\Utilities\RefineRTDCRunTimes.py" --tripid 819-27 --locoid 4009 --swversion DE.1.0.9.0 --startMP 204:983 --initTime 2017-03-27T12:17:24 --startdatetime 2017-03-27T12:21:17 --delay 1 --endMP 300:58926 --enddatetime 2017-03-27T12:34:44 --enforcementcount 0 &gt;&gt;C:\Users\stu\Documents\GitHub\eaglep3-reporting\EC\2017-03-27-refined-times.txt</v>
      </c>
      <c r="AI179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api","custom_fields":[{"id":1,"name":"Subdivision","value":"NW"},{"id":4,"name":"Milepost","value":"5.8926"},{"id":17,"name":"Train ID","value":"819-27"},{"id":16,"name":"Locomotive ID","value":"4009"},{"id":130,"name":"Impact","value":""},{"id":150,"name":"Time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 t="s">
        <v>590</v>
      </c>
      <c r="AK179" s="48"/>
      <c r="AL179" s="48"/>
      <c r="AM179" s="150" t="str">
        <f t="shared" si="56"/>
        <v>start /low /b %USERPROFILE%\Documents\GitHub\eaglep3\Utilities\DownloadLogsFromS3.py --loco 4009 --day 2017-03-27</v>
      </c>
      <c r="AN179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721</v>
      </c>
      <c r="B180" s="7">
        <v>4010</v>
      </c>
      <c r="C180" s="21" t="s">
        <v>218</v>
      </c>
      <c r="D180" s="21" t="s">
        <v>958</v>
      </c>
      <c r="E180" s="13">
        <v>42821.52542824074</v>
      </c>
      <c r="F180" s="13">
        <v>42821.527546296296</v>
      </c>
      <c r="G180" s="7">
        <v>1</v>
      </c>
      <c r="H180" s="21" t="s">
        <v>959</v>
      </c>
      <c r="I180" s="13">
        <v>42821.538136574076</v>
      </c>
      <c r="J180" s="7">
        <v>0</v>
      </c>
      <c r="K180" s="97" t="str">
        <f t="shared" si="58"/>
        <v>4009/4010</v>
      </c>
      <c r="L180" s="21" t="str">
        <f>VLOOKUP(A180,'Trips&amp;Operators'!$C$1:$G$99999,5,FALSE)</f>
        <v>FORTUNATO FRANK</v>
      </c>
      <c r="M180" s="6">
        <f t="shared" si="59"/>
        <v>1.0590277779556345E-2</v>
      </c>
      <c r="N180" s="7">
        <f t="shared" si="72"/>
        <v>15.250000002561137</v>
      </c>
      <c r="O180" s="7"/>
      <c r="P180" s="7"/>
      <c r="Q180" s="22"/>
      <c r="R180" s="22"/>
      <c r="S180" s="31">
        <f t="shared" si="75"/>
        <v>1</v>
      </c>
      <c r="T180" s="46" t="str">
        <f t="shared" si="60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61"/>
        <v>https://d0f6bd738d7f1b3e5a7ca70fe4ff75f0.us-east-1.aws.found.io/app/kibana#/discover/Steve-Slow-Train-Analysis-(2080s-and-2083s)?_g=(refreshInterval:(display:Off,pause:!f,section:0,value:0),time:(from:'2017-03-27T11:36:37-0600',mode:absolute,to:'2017-03-27T13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83" t="str">
        <f t="shared" si="62"/>
        <v>N</v>
      </c>
      <c r="X180" s="183">
        <f t="shared" si="74"/>
        <v>1</v>
      </c>
      <c r="Y180" s="62">
        <f t="shared" si="63"/>
        <v>5.8619000000000003</v>
      </c>
      <c r="Z180" s="62">
        <f t="shared" si="73"/>
        <v>7.0999999999999994E-2</v>
      </c>
      <c r="AA180" s="62">
        <f t="shared" si="65"/>
        <v>5.7909000000000006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6"/>
        <v>0820-27</v>
      </c>
      <c r="AE180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80" s="82" t="str">
        <f t="shared" si="68"/>
        <v>"C:\Program Files (x86)\AstroGrep\AstroGrep.exe" /e /r /s /spath="%USERPROFILE%\AppData\Local\Temp\OnboardLogs" /stypes="app*4010*20170327*" /stext=" 18:.+((SYSTEM_STATE.+slice.+state.+changed )|(ment ac)|(multiple cpu faults)|(system.+state.+changed )|(\[timeout)|(PRM\|1\|D)|(kpr)|(kdp)|(\|lc)|(penalty))"</v>
      </c>
      <c r="AG180" s="1" t="str">
        <f t="shared" si="69"/>
        <v>NW</v>
      </c>
      <c r="AH180" s="86" t="str">
        <f t="shared" si="54"/>
        <v>"%USERPROFILE%\Documents\GitHub\eaglep3\Utilities\RefineRTDCRunTimes.py" --tripid 820-27 --locoid 4010 --swversion DE.1.0.9.0 --startMP 300:58619 --initTime 2017-03-27T12:36:37 --startdatetime 2017-03-27T12:39:40 --delay 1 --endMP 204:710 --enddatetime 2017-03-27T12:54:55 --enforcementcount 0 &gt;&gt;C:\Users\stu\Documents\GitHub\eaglep3-reporting\EC\2017-03-27-refined-times.txt</v>
      </c>
      <c r="AI18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api","custom_fields":[{"id":1,"name":"Subdivision","value":"NW"},{"id":4,"name":"Milepost","value":"0.071"},{"id":17,"name":"Train ID","value":"820-27"},{"id":16,"name":"Locomotive ID","value":"4010"},{"id":130,"name":"Impact","value":""},{"id":150,"name":"Time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 t="s">
        <v>590</v>
      </c>
      <c r="AK180" s="48"/>
      <c r="AL180" s="48"/>
      <c r="AM180" s="150" t="str">
        <f t="shared" si="56"/>
        <v>start /low /b %USERPROFILE%\Documents\GitHub\eaglep3\Utilities\DownloadLogsFromS3.py --loco 4010 --day 2017-03-27</v>
      </c>
      <c r="AN180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18:54:55"},{"id":29,"name":"Sharepoint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727</v>
      </c>
      <c r="B181" s="7">
        <v>4009</v>
      </c>
      <c r="C181" s="21" t="s">
        <v>218</v>
      </c>
      <c r="D181" s="21" t="s">
        <v>960</v>
      </c>
      <c r="E181" s="13">
        <v>42821.547164351854</v>
      </c>
      <c r="F181" s="13">
        <v>42821.556458333333</v>
      </c>
      <c r="G181" s="7">
        <v>1</v>
      </c>
      <c r="H181" s="21" t="s">
        <v>521</v>
      </c>
      <c r="I181" s="13">
        <v>42821.565185185187</v>
      </c>
      <c r="J181" s="7">
        <v>0</v>
      </c>
      <c r="K181" s="97" t="str">
        <f t="shared" si="58"/>
        <v>4009/4010</v>
      </c>
      <c r="L181" s="21" t="str">
        <f>VLOOKUP(A181,'Trips&amp;Operators'!$C$1:$G$99999,5,FALSE)</f>
        <v>LEVIN SCOTT</v>
      </c>
      <c r="M181" s="6">
        <f t="shared" si="59"/>
        <v>8.7268518545897678E-3</v>
      </c>
      <c r="N181" s="7">
        <f t="shared" si="72"/>
        <v>12.566666670609266</v>
      </c>
      <c r="O181" s="7"/>
      <c r="P181" s="7"/>
      <c r="Q181" s="22"/>
      <c r="R181" s="22"/>
      <c r="S181" s="31">
        <f t="shared" si="75"/>
        <v>1</v>
      </c>
      <c r="T181" s="46" t="str">
        <f t="shared" si="60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61"/>
        <v>https://d0f6bd738d7f1b3e5a7ca70fe4ff75f0.us-east-1.aws.found.io/app/kibana#/discover/Steve-Slow-Train-Analysis-(2080s-and-2083s)?_g=(refreshInterval:(display:Off,pause:!f,section:0,value:0),time:(from:'2017-03-27T12:07:55-0600',mode:absolute,to:'2017-03-27T14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83" t="str">
        <f t="shared" si="62"/>
        <v>N</v>
      </c>
      <c r="X181" s="183">
        <f t="shared" si="74"/>
        <v>1</v>
      </c>
      <c r="Y181" s="62">
        <f t="shared" si="63"/>
        <v>0.1002</v>
      </c>
      <c r="Z181" s="62">
        <f t="shared" si="73"/>
        <v>5.8935000000000004</v>
      </c>
      <c r="AA181" s="62">
        <f t="shared" si="65"/>
        <v>5.7933000000000003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6"/>
        <v>0821-27</v>
      </c>
      <c r="AE181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81" s="82" t="str">
        <f t="shared" si="68"/>
        <v>"C:\Program Files (x86)\AstroGrep\AstroGrep.exe" /e /r /s /spath="%USERPROFILE%\AppData\Local\Temp\OnboardLogs" /stypes="app*4009*20170327*" /stext=" 19:.+((SYSTEM_STATE.+slice.+state.+changed )|(ment ac)|(multiple cpu faults)|(system.+state.+changed )|(\[timeout)|(PRM\|1\|D)|(kpr)|(kdp)|(\|lc)|(penalty))"</v>
      </c>
      <c r="AG181" s="1" t="str">
        <f t="shared" si="69"/>
        <v>NW</v>
      </c>
      <c r="AH181" s="86" t="str">
        <f t="shared" si="54"/>
        <v>"%USERPROFILE%\Documents\GitHub\eaglep3\Utilities\RefineRTDCRunTimes.py" --tripid 821-27 --locoid 4009 --swversion DE.1.0.9.0 --startMP 204:1002 --initTime 2017-03-27T13:07:55 --startdatetime 2017-03-27T13:21:18 --delay 1 --endMP 300:58935 --enddatetime 2017-03-27T13:33:52 --enforcementcount 0 &gt;&gt;C:\Users\stu\Documents\GitHub\eaglep3-reporting\EC\2017-03-27-refined-times.txt</v>
      </c>
      <c r="AI181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api","custom_fields":[{"id":1,"name":"Subdivision","value":"NW"},{"id":4,"name":"Milepost","value":"5.8935"},{"id":17,"name":"Train ID","value":"821-27"},{"id":16,"name":"Locomotive ID","value":"4009"},{"id":130,"name":"Impact","value":""},{"id":150,"name":"Time of Event (Mountain Time)","value":"13:33:52"},{"id":151,"name":"Denver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 t="s">
        <v>590</v>
      </c>
      <c r="AK181" s="48"/>
      <c r="AL181" s="48"/>
      <c r="AM181" s="150" t="str">
        <f t="shared" si="56"/>
        <v>start /low /b %USERPROFILE%\Documents\GitHub\eaglep3\Utilities\DownloadLogsFromS3.py --loco 4009 --day 2017-03-27</v>
      </c>
      <c r="AN181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730</v>
      </c>
      <c r="B182" s="7">
        <v>4010</v>
      </c>
      <c r="C182" s="21" t="s">
        <v>218</v>
      </c>
      <c r="D182" s="21" t="s">
        <v>955</v>
      </c>
      <c r="E182" s="13">
        <v>42821.566354166665</v>
      </c>
      <c r="F182" s="13">
        <v>42821.567766203705</v>
      </c>
      <c r="G182" s="7">
        <v>1</v>
      </c>
      <c r="H182" s="21" t="s">
        <v>939</v>
      </c>
      <c r="I182" s="13">
        <v>42821.579652777778</v>
      </c>
      <c r="J182" s="7">
        <v>0</v>
      </c>
      <c r="K182" s="97" t="str">
        <f t="shared" si="58"/>
        <v>4009/4010</v>
      </c>
      <c r="L182" s="21" t="str">
        <f>VLOOKUP(A182,'Trips&amp;Operators'!$C$1:$G$99999,5,FALSE)</f>
        <v>LEVIN SCOTT</v>
      </c>
      <c r="M182" s="6">
        <f t="shared" si="59"/>
        <v>1.1886574073287193E-2</v>
      </c>
      <c r="N182" s="7">
        <f t="shared" si="72"/>
        <v>17.116666665533558</v>
      </c>
      <c r="O182" s="7"/>
      <c r="P182" s="7"/>
      <c r="Q182" s="22"/>
      <c r="R182" s="22"/>
      <c r="S182" s="31">
        <f t="shared" si="75"/>
        <v>1</v>
      </c>
      <c r="T182" s="46" t="str">
        <f t="shared" si="60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61"/>
        <v>https://d0f6bd738d7f1b3e5a7ca70fe4ff75f0.us-east-1.aws.found.io/app/kibana#/discover/Steve-Slow-Train-Analysis-(2080s-and-2083s)?_g=(refreshInterval:(display:Off,pause:!f,section:0,value:0),time:(from:'2017-03-27T12:35:33-0600',mode:absolute,to:'2017-03-27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83" t="str">
        <f t="shared" si="62"/>
        <v>N</v>
      </c>
      <c r="X182" s="183">
        <f t="shared" si="74"/>
        <v>1</v>
      </c>
      <c r="Y182" s="62">
        <f t="shared" si="63"/>
        <v>5.8613</v>
      </c>
      <c r="Z182" s="62">
        <f t="shared" si="73"/>
        <v>6.4899999999999999E-2</v>
      </c>
      <c r="AA182" s="62">
        <f t="shared" si="65"/>
        <v>5.7964000000000002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6"/>
        <v>0822-27</v>
      </c>
      <c r="AE182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82" s="82" t="str">
        <f t="shared" si="68"/>
        <v>"C:\Program Files (x86)\AstroGrep\AstroGrep.exe" /e /r /s /spath="%USERPROFILE%\AppData\Local\Temp\OnboardLogs" /stypes="app*4010*20170327*" /stext=" 19:.+((SYSTEM_STATE.+slice.+state.+changed )|(ment ac)|(multiple cpu faults)|(system.+state.+changed )|(\[timeout)|(PRM\|1\|D)|(kpr)|(kdp)|(\|lc)|(penalty))"</v>
      </c>
      <c r="AG182" s="1" t="str">
        <f t="shared" si="69"/>
        <v>NW</v>
      </c>
      <c r="AH182" s="86" t="str">
        <f t="shared" si="54"/>
        <v>"%USERPROFILE%\Documents\GitHub\eaglep3\Utilities\RefineRTDCRunTimes.py" --tripid 822-27 --locoid 4010 --swversion DE.1.0.9.0 --startMP 300:58613 --initTime 2017-03-27T13:35:33 --startdatetime 2017-03-27T13:37:35 --delay 1 --endMP 204:649 --enddatetime 2017-03-27T13:54:42 --enforcementcount 0 &gt;&gt;C:\Users\stu\Documents\GitHub\eaglep3-reporting\EC\2017-03-27-refined-times.txt</v>
      </c>
      <c r="AI18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api","custom_fields":[{"id":1,"name":"Subdivision","value":"NW"},{"id":4,"name":"Milepost","value":"0.0649"},{"id":17,"name":"Train ID","value":"822-27"},{"id":16,"name":"Locomotive ID","value":"4010"},{"id":130,"name":"Impact","value":""},{"id":150,"name":"Time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 t="s">
        <v>590</v>
      </c>
      <c r="AK182" s="48"/>
      <c r="AL182" s="48"/>
      <c r="AM182" s="150" t="str">
        <f t="shared" si="56"/>
        <v>start /low /b %USERPROFILE%\Documents\GitHub\eaglep3\Utilities\DownloadLogsFromS3.py --loco 4010 --day 2017-03-27</v>
      </c>
      <c r="AN182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19:54:42"},{"id":29,"name":"Sharepoint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736</v>
      </c>
      <c r="B183" s="7">
        <v>4009</v>
      </c>
      <c r="C183" s="21" t="s">
        <v>218</v>
      </c>
      <c r="D183" s="21" t="s">
        <v>961</v>
      </c>
      <c r="E183" s="13">
        <v>42821.594965277778</v>
      </c>
      <c r="F183" s="13">
        <v>42821.598136574074</v>
      </c>
      <c r="G183" s="7">
        <v>1</v>
      </c>
      <c r="H183" s="21" t="s">
        <v>524</v>
      </c>
      <c r="I183" s="13">
        <v>42821.607314814813</v>
      </c>
      <c r="J183" s="7">
        <v>0</v>
      </c>
      <c r="K183" s="97" t="str">
        <f t="shared" si="58"/>
        <v>4009/4010</v>
      </c>
      <c r="L183" s="21" t="str">
        <f>VLOOKUP(A183,'Trips&amp;Operators'!$C$1:$G$99999,5,FALSE)</f>
        <v>LEVIN SCOTT</v>
      </c>
      <c r="M183" s="6">
        <f t="shared" si="59"/>
        <v>9.1782407398568466E-3</v>
      </c>
      <c r="N183" s="7">
        <f t="shared" si="72"/>
        <v>13.216666665393859</v>
      </c>
      <c r="O183" s="7"/>
      <c r="P183" s="7"/>
      <c r="Q183" s="22"/>
      <c r="R183" s="22"/>
      <c r="S183" s="31">
        <f t="shared" si="75"/>
        <v>1</v>
      </c>
      <c r="T183" s="46" t="str">
        <f t="shared" si="60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61"/>
        <v>https://d0f6bd738d7f1b3e5a7ca70fe4ff75f0.us-east-1.aws.found.io/app/kibana#/discover/Steve-Slow-Train-Analysis-(2080s-and-2083s)?_g=(refreshInterval:(display:Off,pause:!f,section:0,value:0),time:(from:'2017-03-27T13:16:45-0600',mode:absolute,to:'2017-03-27T15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83" t="str">
        <f t="shared" si="62"/>
        <v>N</v>
      </c>
      <c r="X183" s="183">
        <f t="shared" si="74"/>
        <v>1</v>
      </c>
      <c r="Y183" s="62">
        <f t="shared" si="63"/>
        <v>9.5299999999999996E-2</v>
      </c>
      <c r="Z183" s="62">
        <f t="shared" si="73"/>
        <v>5.8930999999999996</v>
      </c>
      <c r="AA183" s="62">
        <f t="shared" si="65"/>
        <v>5.7977999999999996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6"/>
        <v>0823-27</v>
      </c>
      <c r="AE183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83" s="82" t="str">
        <f t="shared" si="68"/>
        <v>"C:\Program Files (x86)\AstroGrep\AstroGrep.exe" /e /r /s /spath="%USERPROFILE%\AppData\Local\Temp\OnboardLogs" /stypes="app*4009*20170327*" /stext=" 20:.+((SYSTEM_STATE.+slice.+state.+changed )|(ment ac)|(multiple cpu faults)|(system.+state.+changed )|(\[timeout)|(PRM\|1\|D)|(kpr)|(kdp)|(\|lc)|(penalty))"</v>
      </c>
      <c r="AG183" s="1" t="str">
        <f t="shared" si="69"/>
        <v>NW</v>
      </c>
      <c r="AH183" s="86" t="str">
        <f t="shared" si="54"/>
        <v>"%USERPROFILE%\Documents\GitHub\eaglep3\Utilities\RefineRTDCRunTimes.py" --tripid 823-27 --locoid 4009 --swversion DE.1.0.9.0 --startMP 204:953 --initTime 2017-03-27T14:16:45 --startdatetime 2017-03-27T14:21:19 --delay 1 --endMP 300:58931 --enddatetime 2017-03-27T14:34:32 --enforcementcount 0 &gt;&gt;C:\Users\stu\Documents\GitHub\eaglep3-reporting\EC\2017-03-27-refined-times.txt</v>
      </c>
      <c r="AI18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api","custom_fields":[{"id":1,"name":"Subdivision","value":"NW"},{"id":4,"name":"Milepost","value":"5.8931"},{"id":17,"name":"Train ID","value":"823-27"},{"id":16,"name":"Locomotive ID","value":"4009"},{"id":130,"name":"Impact","value":""},{"id":150,"name":"Time of Event (Mountain Time)","value":"14:34:32"},{"id":151,"name":"Denver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 t="s">
        <v>590</v>
      </c>
      <c r="AK183" s="48"/>
      <c r="AL183" s="48"/>
      <c r="AM183" s="150" t="str">
        <f t="shared" si="56"/>
        <v>start /low /b %USERPROFILE%\Documents\GitHub\eaglep3\Utilities\DownloadLogsFromS3.py --loco 4009 --day 2017-03-27</v>
      </c>
      <c r="AN183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738</v>
      </c>
      <c r="B184" s="7">
        <v>4010</v>
      </c>
      <c r="C184" s="21" t="s">
        <v>218</v>
      </c>
      <c r="D184" s="21" t="s">
        <v>962</v>
      </c>
      <c r="E184" s="13">
        <v>42821.608969907407</v>
      </c>
      <c r="F184" s="13">
        <v>42821.610092592593</v>
      </c>
      <c r="G184" s="7">
        <v>1</v>
      </c>
      <c r="H184" s="21" t="s">
        <v>950</v>
      </c>
      <c r="I184" s="13">
        <v>42821.621354166666</v>
      </c>
      <c r="J184" s="7">
        <v>0</v>
      </c>
      <c r="K184" s="97" t="str">
        <f t="shared" si="58"/>
        <v>4009/4010</v>
      </c>
      <c r="L184" s="21" t="str">
        <f>VLOOKUP(A184,'Trips&amp;Operators'!$C$1:$G$99999,5,FALSE)</f>
        <v>LEVIN SCOTT</v>
      </c>
      <c r="M184" s="6">
        <f t="shared" si="59"/>
        <v>1.1261574072705116E-2</v>
      </c>
      <c r="N184" s="7">
        <f t="shared" si="72"/>
        <v>16.216666664695367</v>
      </c>
      <c r="O184" s="7"/>
      <c r="P184" s="7"/>
      <c r="Q184" s="22"/>
      <c r="R184" s="22"/>
      <c r="S184" s="31">
        <f t="shared" si="75"/>
        <v>1</v>
      </c>
      <c r="T184" s="46" t="str">
        <f t="shared" si="60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61"/>
        <v>https://d0f6bd738d7f1b3e5a7ca70fe4ff75f0.us-east-1.aws.found.io/app/kibana#/discover/Steve-Slow-Train-Analysis-(2080s-and-2083s)?_g=(refreshInterval:(display:Off,pause:!f,section:0,value:0),time:(from:'2017-03-27T13:36:55-0600',mode:absolute,to:'2017-03-27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83" t="str">
        <f t="shared" si="62"/>
        <v>N</v>
      </c>
      <c r="X184" s="183">
        <f t="shared" si="74"/>
        <v>1</v>
      </c>
      <c r="Y184" s="62">
        <f t="shared" si="63"/>
        <v>5.8608000000000002</v>
      </c>
      <c r="Z184" s="62">
        <f t="shared" si="73"/>
        <v>6.5600000000000006E-2</v>
      </c>
      <c r="AA184" s="62">
        <f t="shared" si="65"/>
        <v>5.7952000000000004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6"/>
        <v>0824-27</v>
      </c>
      <c r="AE184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84" s="82" t="str">
        <f t="shared" si="68"/>
        <v>"C:\Program Files (x86)\AstroGrep\AstroGrep.exe" /e /r /s /spath="%USERPROFILE%\AppData\Local\Temp\OnboardLogs" /stypes="app*4010*20170327*" /stext=" 20:.+((SYSTEM_STATE.+slice.+state.+changed )|(ment ac)|(multiple cpu faults)|(system.+state.+changed )|(\[timeout)|(PRM\|1\|D)|(kpr)|(kdp)|(\|lc)|(penalty))"</v>
      </c>
      <c r="AG184" s="1" t="str">
        <f t="shared" si="69"/>
        <v>NW</v>
      </c>
      <c r="AH184" s="86" t="str">
        <f t="shared" si="54"/>
        <v>"%USERPROFILE%\Documents\GitHub\eaglep3\Utilities\RefineRTDCRunTimes.py" --tripid 824-27 --locoid 4010 --swversion DE.1.0.9.0 --startMP 300:58608 --initTime 2017-03-27T14:36:55 --startdatetime 2017-03-27T14:38:32 --delay 1 --endMP 204:656 --enddatetime 2017-03-27T14:54:45 --enforcementcount 0 &gt;&gt;C:\Users\stu\Documents\GitHub\eaglep3-reporting\EC\2017-03-27-refined-times.txt</v>
      </c>
      <c r="AI184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api","custom_fields":[{"id":1,"name":"Subdivision","value":"NW"},{"id":4,"name":"Milepost","value":"0.0656"},{"id":17,"name":"Train ID","value":"824-27"},{"id":16,"name":"Locomotive ID","value":"4010"},{"id":130,"name":"Impact","value":""},{"id":150,"name":"Time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 t="s">
        <v>590</v>
      </c>
      <c r="AK184" s="48"/>
      <c r="AL184" s="48"/>
      <c r="AM184" s="150" t="str">
        <f t="shared" si="56"/>
        <v>start /low /b %USERPROFILE%\Documents\GitHub\eaglep3\Utilities\DownloadLogsFromS3.py --loco 4010 --day 2017-03-27</v>
      </c>
      <c r="AN184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743</v>
      </c>
      <c r="B185" s="7">
        <v>4009</v>
      </c>
      <c r="C185" s="21" t="s">
        <v>218</v>
      </c>
      <c r="D185" s="21" t="s">
        <v>963</v>
      </c>
      <c r="E185" s="13">
        <v>42821.636747685188</v>
      </c>
      <c r="F185" s="13">
        <v>42821.639849537038</v>
      </c>
      <c r="G185" s="7">
        <v>1</v>
      </c>
      <c r="H185" s="21" t="s">
        <v>524</v>
      </c>
      <c r="I185" s="13">
        <v>42821.648842592593</v>
      </c>
      <c r="J185" s="7">
        <v>0</v>
      </c>
      <c r="K185" s="97" t="str">
        <f t="shared" si="58"/>
        <v>4009/4010</v>
      </c>
      <c r="L185" s="21" t="str">
        <f>VLOOKUP(A185,'Trips&amp;Operators'!$C$1:$G$99999,5,FALSE)</f>
        <v>LEVIN SCOTT</v>
      </c>
      <c r="M185" s="6">
        <f t="shared" si="59"/>
        <v>8.9930555550381541E-3</v>
      </c>
      <c r="N185" s="7">
        <f t="shared" si="72"/>
        <v>12.949999999254942</v>
      </c>
      <c r="O185" s="7"/>
      <c r="P185" s="7"/>
      <c r="Q185" s="22"/>
      <c r="R185" s="22"/>
      <c r="S185" s="31">
        <f t="shared" si="75"/>
        <v>1</v>
      </c>
      <c r="T185" s="46" t="str">
        <f t="shared" si="60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61"/>
        <v>https://d0f6bd738d7f1b3e5a7ca70fe4ff75f0.us-east-1.aws.found.io/app/kibana#/discover/Steve-Slow-Train-Analysis-(2080s-and-2083s)?_g=(refreshInterval:(display:Off,pause:!f,section:0,value:0),time:(from:'2017-03-27T14:16:55-0600',mode:absolute,to:'2017-03-27T16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83" t="str">
        <f t="shared" si="62"/>
        <v>N</v>
      </c>
      <c r="X185" s="183">
        <f t="shared" si="74"/>
        <v>1</v>
      </c>
      <c r="Y185" s="62">
        <f t="shared" si="63"/>
        <v>9.3700000000000006E-2</v>
      </c>
      <c r="Z185" s="62">
        <f t="shared" si="73"/>
        <v>5.8930999999999996</v>
      </c>
      <c r="AA185" s="62">
        <f t="shared" si="65"/>
        <v>5.7993999999999994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6"/>
        <v>0825-27</v>
      </c>
      <c r="AE185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85" s="82" t="str">
        <f t="shared" si="68"/>
        <v>"C:\Program Files (x86)\AstroGrep\AstroGrep.exe" /e /r /s /spath="%USERPROFILE%\AppData\Local\Temp\OnboardLogs" /stypes="app*4009*20170327*" /stext=" 21:.+((SYSTEM_STATE.+slice.+state.+changed )|(ment ac)|(multiple cpu faults)|(system.+state.+changed )|(\[timeout)|(PRM\|1\|D)|(kpr)|(kdp)|(\|lc)|(penalty))"</v>
      </c>
      <c r="AG185" s="1" t="str">
        <f t="shared" si="69"/>
        <v>NW</v>
      </c>
      <c r="AH185" s="86" t="str">
        <f t="shared" si="54"/>
        <v>"%USERPROFILE%\Documents\GitHub\eaglep3\Utilities\RefineRTDCRunTimes.py" --tripid 825-27 --locoid 4009 --swversion DE.1.0.9.0 --startMP 204:937 --initTime 2017-03-27T15:16:55 --startdatetime 2017-03-27T15:21:23 --delay 1 --endMP 300:58931 --enddatetime 2017-03-27T15:34:20 --enforcementcount 0 &gt;&gt;C:\Users\stu\Documents\GitHub\eaglep3-reporting\EC\2017-03-27-refined-times.txt</v>
      </c>
      <c r="AI185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api","custom_fields":[{"id":1,"name":"Subdivision","value":"NW"},{"id":4,"name":"Milepost","value":"5.8931"},{"id":17,"name":"Train ID","value":"825-27"},{"id":16,"name":"Locomotive ID","value":"4009"},{"id":130,"name":"Impact","value":""},{"id":150,"name":"Time of Event (Mountain Time)","value":"15:34:20"},{"id":151,"name":"Denver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 t="s">
        <v>590</v>
      </c>
      <c r="AK185" s="48"/>
      <c r="AL185" s="48"/>
      <c r="AM185" s="150" t="str">
        <f t="shared" si="56"/>
        <v>start /low /b %USERPROFILE%\Documents\GitHub\eaglep3\Utilities\DownloadLogsFromS3.py --loco 4009 --day 2017-03-27</v>
      </c>
      <c r="AN185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746</v>
      </c>
      <c r="B186" s="7">
        <v>4010</v>
      </c>
      <c r="C186" s="21" t="s">
        <v>218</v>
      </c>
      <c r="D186" s="21" t="s">
        <v>409</v>
      </c>
      <c r="E186" s="13">
        <v>42821.650335648148</v>
      </c>
      <c r="F186" s="13">
        <v>42821.651574074072</v>
      </c>
      <c r="G186" s="7">
        <v>1</v>
      </c>
      <c r="H186" s="21" t="s">
        <v>964</v>
      </c>
      <c r="I186" s="13">
        <v>42821.663275462961</v>
      </c>
      <c r="J186" s="7">
        <v>0</v>
      </c>
      <c r="K186" s="97" t="str">
        <f t="shared" si="58"/>
        <v>4009/4010</v>
      </c>
      <c r="L186" s="21" t="str">
        <f>VLOOKUP(A186,'Trips&amp;Operators'!$C$1:$G$99999,5,FALSE)</f>
        <v>LEVIN SCOTT</v>
      </c>
      <c r="M186" s="6">
        <f t="shared" si="59"/>
        <v>1.17013888884685E-2</v>
      </c>
      <c r="N186" s="7">
        <f t="shared" si="72"/>
        <v>16.84999999939464</v>
      </c>
      <c r="O186" s="7"/>
      <c r="P186" s="7"/>
      <c r="Q186" s="22"/>
      <c r="R186" s="22"/>
      <c r="S186" s="31">
        <f t="shared" si="75"/>
        <v>1</v>
      </c>
      <c r="T186" s="46" t="str">
        <f t="shared" si="60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61"/>
        <v>https://d0f6bd738d7f1b3e5a7ca70fe4ff75f0.us-east-1.aws.found.io/app/kibana#/discover/Steve-Slow-Train-Analysis-(2080s-and-2083s)?_g=(refreshInterval:(display:Off,pause:!f,section:0,value:0),time:(from:'2017-03-27T14:36:29-0600',mode:absolute,to:'2017-03-27T16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83" t="str">
        <f t="shared" si="62"/>
        <v>N</v>
      </c>
      <c r="X186" s="183">
        <f t="shared" si="74"/>
        <v>1</v>
      </c>
      <c r="Y186" s="62">
        <f t="shared" si="63"/>
        <v>5.8615000000000004</v>
      </c>
      <c r="Z186" s="62">
        <f t="shared" si="73"/>
        <v>6.6799999999999998E-2</v>
      </c>
      <c r="AA186" s="62">
        <f t="shared" si="65"/>
        <v>5.7947000000000006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6"/>
        <v>0826-27</v>
      </c>
      <c r="AE186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86" s="82" t="str">
        <f t="shared" si="68"/>
        <v>"C:\Program Files (x86)\AstroGrep\AstroGrep.exe" /e /r /s /spath="%USERPROFILE%\AppData\Local\Temp\OnboardLogs" /stypes="app*4010*20170327*" /stext=" 21:.+((SYSTEM_STATE.+slice.+state.+changed )|(ment ac)|(multiple cpu faults)|(system.+state.+changed )|(\[timeout)|(PRM\|1\|D)|(kpr)|(kdp)|(\|lc)|(penalty))"</v>
      </c>
      <c r="AG186" s="1" t="str">
        <f t="shared" si="69"/>
        <v>NW</v>
      </c>
      <c r="AH186" s="86" t="str">
        <f t="shared" si="54"/>
        <v>"%USERPROFILE%\Documents\GitHub\eaglep3\Utilities\RefineRTDCRunTimes.py" --tripid 826-27 --locoid 4010 --swversion DE.1.0.9.0 --startMP 300:58615 --initTime 2017-03-27T15:36:29 --startdatetime 2017-03-27T15:38:16 --delay 1 --endMP 204:668 --enddatetime 2017-03-27T15:55:07 --enforcementcount 0 &gt;&gt;C:\Users\stu\Documents\GitHub\eaglep3-reporting\EC\2017-03-27-refined-times.txt</v>
      </c>
      <c r="AI186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api","custom_fields":[{"id":1,"name":"Subdivision","value":"NW"},{"id":4,"name":"Milepost","value":"0.0668"},{"id":17,"name":"Train ID","value":"826-27"},{"id":16,"name":"Locomotive ID","value":"4010"},{"id":130,"name":"Impact","value":""},{"id":150,"name":"Time of Event (Mountain Time)","value":"15:55:07"},{"id":151,"name":"Denver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 t="s">
        <v>590</v>
      </c>
      <c r="AK186" s="48"/>
      <c r="AL186" s="48"/>
      <c r="AM186" s="150" t="str">
        <f t="shared" si="56"/>
        <v>start /low /b %USERPROFILE%\Documents\GitHub\eaglep3\Utilities\DownloadLogsFromS3.py --loco 4010 --day 2017-03-27</v>
      </c>
      <c r="AN186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745</v>
      </c>
      <c r="B187" s="7">
        <v>4044</v>
      </c>
      <c r="C187" s="21" t="s">
        <v>218</v>
      </c>
      <c r="D187" s="21" t="s">
        <v>965</v>
      </c>
      <c r="E187" s="13">
        <v>42821.649861111109</v>
      </c>
      <c r="F187" s="13">
        <v>42821.660567129627</v>
      </c>
      <c r="G187" s="7">
        <v>2</v>
      </c>
      <c r="H187" s="21" t="s">
        <v>957</v>
      </c>
      <c r="I187" s="13">
        <v>42821.66982638889</v>
      </c>
      <c r="J187" s="7">
        <v>0</v>
      </c>
      <c r="K187" s="97" t="str">
        <f t="shared" si="58"/>
        <v>4043/4044</v>
      </c>
      <c r="L187" s="21" t="str">
        <f>VLOOKUP(A187,'Trips&amp;Operators'!$C$1:$G$99999,5,FALSE)</f>
        <v>NEWELL JAMES</v>
      </c>
      <c r="M187" s="6">
        <f t="shared" si="59"/>
        <v>9.2592592627624981E-3</v>
      </c>
      <c r="N187" s="7">
        <f t="shared" si="72"/>
        <v>13.333333338377997</v>
      </c>
      <c r="O187" s="7"/>
      <c r="P187" s="7"/>
      <c r="Q187" s="22"/>
      <c r="R187" s="22"/>
      <c r="S187" s="31">
        <f t="shared" si="75"/>
        <v>1</v>
      </c>
      <c r="T187" s="46" t="str">
        <f t="shared" si="60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61"/>
        <v>https://d0f6bd738d7f1b3e5a7ca70fe4ff75f0.us-east-1.aws.found.io/app/kibana#/discover/Steve-Slow-Train-Analysis-(2080s-and-2083s)?_g=(refreshInterval:(display:Off,pause:!f,section:0,value:0),time:(from:'2017-03-27T14:35:48-0600',mode:absolute,to:'2017-03-27T17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3" t="str">
        <f t="shared" si="62"/>
        <v>N</v>
      </c>
      <c r="X187" s="183">
        <f t="shared" si="74"/>
        <v>1</v>
      </c>
      <c r="Y187" s="62">
        <f t="shared" si="63"/>
        <v>9.3600000000000003E-2</v>
      </c>
      <c r="Z187" s="62">
        <f t="shared" si="73"/>
        <v>5.8925999999999998</v>
      </c>
      <c r="AA187" s="62">
        <f t="shared" si="65"/>
        <v>5.7989999999999995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6"/>
        <v>0827-27</v>
      </c>
      <c r="AE187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87" s="82" t="str">
        <f t="shared" si="68"/>
        <v>"C:\Program Files (x86)\AstroGrep\AstroGrep.exe" /e /r /s /spath="%USERPROFILE%\AppData\Local\Temp\OnboardLogs" /stypes="app*4044*20170327*" /stext=" 22:.+((SYSTEM_STATE.+slice.+state.+changed )|(ment ac)|(multiple cpu faults)|(system.+state.+changed )|(\[timeout)|(PRM\|1\|D)|(kpr)|(kdp)|(\|lc)|(penalty))"</v>
      </c>
      <c r="AG187" s="1" t="str">
        <f t="shared" si="69"/>
        <v>NW</v>
      </c>
      <c r="AH187" s="86" t="str">
        <f t="shared" si="54"/>
        <v>"%USERPROFILE%\Documents\GitHub\eaglep3\Utilities\RefineRTDCRunTimes.py" --tripid 827-27 --locoid 4044 --swversion DE.1.0.9.0 --startMP 204:936 --initTime 2017-03-27T15:35:48 --startdatetime 2017-03-27T15:51:13 --delay 2 --endMP 300:58926 --enddatetime 2017-03-27T16:04:33 --enforcementcount 0 &gt;&gt;C:\Users\stu\Documents\GitHub\eaglep3-reporting\EC\2017-03-27-refined-times.txt</v>
      </c>
      <c r="AI187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api","custom_fields":[{"id":1,"name":"Subdivision","value":"NW"},{"id":4,"name":"Milepost","value":"5.8926"},{"id":17,"name":"Train ID","value":"827-27"},{"id":16,"name":"Locomotive ID","value":"4044"},{"id":130,"name":"Impact","value":""},{"id":150,"name":"Time of Event (Mountain Time)","value":"16:04:33"},{"id":151,"name":"Denver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 t="s">
        <v>590</v>
      </c>
      <c r="AK187" s="48"/>
      <c r="AL187" s="48"/>
      <c r="AM187" s="150" t="str">
        <f t="shared" si="56"/>
        <v>start /low /b %USERPROFILE%\Documents\GitHub\eaglep3\Utilities\DownloadLogsFromS3.py --loco 4044 --day 2017-03-27</v>
      </c>
      <c r="AN187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750</v>
      </c>
      <c r="B188" s="7">
        <v>4043</v>
      </c>
      <c r="C188" s="21" t="s">
        <v>218</v>
      </c>
      <c r="D188" s="21" t="s">
        <v>966</v>
      </c>
      <c r="E188" s="13">
        <v>42821.670729166668</v>
      </c>
      <c r="F188" s="13">
        <v>42821.672673611109</v>
      </c>
      <c r="G188" s="7">
        <v>1</v>
      </c>
      <c r="H188" s="21" t="s">
        <v>967</v>
      </c>
      <c r="I188" s="13">
        <v>42821.685231481482</v>
      </c>
      <c r="J188" s="7">
        <v>0</v>
      </c>
      <c r="K188" s="97" t="str">
        <f t="shared" si="58"/>
        <v>4043/4044</v>
      </c>
      <c r="L188" s="21" t="str">
        <f>VLOOKUP(A188,'Trips&amp;Operators'!$C$1:$G$99999,5,FALSE)</f>
        <v>NEWELL JAMES</v>
      </c>
      <c r="M188" s="6">
        <f t="shared" si="59"/>
        <v>1.2557870373711921E-2</v>
      </c>
      <c r="N188" s="7">
        <f t="shared" si="72"/>
        <v>18.083333338145167</v>
      </c>
      <c r="O188" s="7"/>
      <c r="P188" s="7"/>
      <c r="Q188" s="22"/>
      <c r="R188" s="22"/>
      <c r="S188" s="31">
        <f t="shared" si="75"/>
        <v>1</v>
      </c>
      <c r="T188" s="46" t="str">
        <f t="shared" si="60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61"/>
        <v>https://d0f6bd738d7f1b3e5a7ca70fe4ff75f0.us-east-1.aws.found.io/app/kibana#/discover/Steve-Slow-Train-Analysis-(2080s-and-2083s)?_g=(refreshInterval:(display:Off,pause:!f,section:0,value:0),time:(from:'2017-03-27T15:05:51-0600',mode:absolute,to:'2017-03-27T17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183" t="str">
        <f t="shared" si="62"/>
        <v>N</v>
      </c>
      <c r="X188" s="183">
        <f t="shared" si="74"/>
        <v>1</v>
      </c>
      <c r="Y188" s="62">
        <f t="shared" si="63"/>
        <v>5.8609</v>
      </c>
      <c r="Z188" s="62">
        <f t="shared" si="73"/>
        <v>6.4500000000000002E-2</v>
      </c>
      <c r="AA188" s="62">
        <f t="shared" si="65"/>
        <v>5.7964000000000002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6"/>
        <v>0828-27</v>
      </c>
      <c r="AE188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88" s="82" t="str">
        <f t="shared" si="68"/>
        <v>"C:\Program Files (x86)\AstroGrep\AstroGrep.exe" /e /r /s /spath="%USERPROFILE%\AppData\Local\Temp\OnboardLogs" /stypes="app*4043*20170327*" /stext=" 22:.+((SYSTEM_STATE.+slice.+state.+changed )|(ment ac)|(multiple cpu faults)|(system.+state.+changed )|(\[timeout)|(PRM\|1\|D)|(kpr)|(kdp)|(\|lc)|(penalty))"</v>
      </c>
      <c r="AG188" s="1" t="str">
        <f t="shared" si="69"/>
        <v>NW</v>
      </c>
      <c r="AH188" s="86" t="str">
        <f t="shared" si="54"/>
        <v>"%USERPROFILE%\Documents\GitHub\eaglep3\Utilities\RefineRTDCRunTimes.py" --tripid 828-27 --locoid 4043 --swversion DE.1.0.9.0 --startMP 300:58609 --initTime 2017-03-27T16:05:51 --startdatetime 2017-03-27T16:08:39 --delay 1 --endMP 204:645 --enddatetime 2017-03-27T16:26:44 --enforcementcount 0 &gt;&gt;C:\Users\stu\Documents\GitHub\eaglep3-reporting\EC\2017-03-27-refined-times.txt</v>
      </c>
      <c r="AI188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api","custom_fields":[{"id":1,"name":"Subdivision","value":"NW"},{"id":4,"name":"Milepost","value":"0.0645"},{"id":17,"name":"Train ID","value":"828-27"},{"id":16,"name":"Locomotive ID","value":"4043"},{"id":130,"name":"Impact","value":""},{"id":150,"name":"Time of Event (Mountain Time)","value":"16:26:44"},{"id":151,"name":"Denver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 t="s">
        <v>590</v>
      </c>
      <c r="AK188" s="48"/>
      <c r="AL188" s="48"/>
      <c r="AM188" s="150" t="str">
        <f t="shared" si="56"/>
        <v>start /low /b %USERPROFILE%\Documents\GitHub\eaglep3\Utilities\DownloadLogsFromS3.py --loco 4043 --day 2017-03-27</v>
      </c>
      <c r="AN188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752</v>
      </c>
      <c r="B189" s="7">
        <v>4009</v>
      </c>
      <c r="C189" s="21" t="s">
        <v>218</v>
      </c>
      <c r="D189" s="21" t="s">
        <v>583</v>
      </c>
      <c r="E189" s="13">
        <v>42821.678761574076</v>
      </c>
      <c r="F189" s="13">
        <v>42821.681423611109</v>
      </c>
      <c r="G189" s="7">
        <v>1</v>
      </c>
      <c r="H189" s="21" t="s">
        <v>565</v>
      </c>
      <c r="I189" s="13">
        <v>42821.690578703703</v>
      </c>
      <c r="J189" s="7">
        <v>0</v>
      </c>
      <c r="K189" s="97" t="str">
        <f t="shared" si="58"/>
        <v>4009/4010</v>
      </c>
      <c r="L189" s="21" t="str">
        <f>VLOOKUP(A189,'Trips&amp;Operators'!$C$1:$G$99999,5,FALSE)</f>
        <v>LEVIN SCOTT</v>
      </c>
      <c r="M189" s="6">
        <f t="shared" si="59"/>
        <v>9.1550925935734995E-3</v>
      </c>
      <c r="N189" s="7">
        <f t="shared" si="72"/>
        <v>13.183333334745839</v>
      </c>
      <c r="O189" s="7"/>
      <c r="P189" s="7"/>
      <c r="Q189" s="22"/>
      <c r="R189" s="22"/>
      <c r="S189" s="31">
        <f t="shared" si="75"/>
        <v>1</v>
      </c>
      <c r="T189" s="46" t="str">
        <f t="shared" si="60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61"/>
        <v>https://d0f6bd738d7f1b3e5a7ca70fe4ff75f0.us-east-1.aws.found.io/app/kibana#/discover/Steve-Slow-Train-Analysis-(2080s-and-2083s)?_g=(refreshInterval:(display:Off,pause:!f,section:0,value:0),time:(from:'2017-03-27T15:17:25-0600',mode:absolute,to:'2017-03-27T17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83" t="str">
        <f t="shared" si="62"/>
        <v>N</v>
      </c>
      <c r="X189" s="183">
        <f t="shared" si="74"/>
        <v>1</v>
      </c>
      <c r="Y189" s="62">
        <f t="shared" si="63"/>
        <v>9.5100000000000004E-2</v>
      </c>
      <c r="Z189" s="62">
        <f t="shared" si="73"/>
        <v>5.8929</v>
      </c>
      <c r="AA189" s="62">
        <f t="shared" si="65"/>
        <v>5.7977999999999996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6"/>
        <v>0829-27</v>
      </c>
      <c r="AE189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89" s="82" t="str">
        <f t="shared" si="68"/>
        <v>"C:\Program Files (x86)\AstroGrep\AstroGrep.exe" /e /r /s /spath="%USERPROFILE%\AppData\Local\Temp\OnboardLogs" /stypes="app*4009*20170327*" /stext=" 22:.+((SYSTEM_STATE.+slice.+state.+changed )|(ment ac)|(multiple cpu faults)|(system.+state.+changed )|(\[timeout)|(PRM\|1\|D)|(kpr)|(kdp)|(\|lc)|(penalty))"</v>
      </c>
      <c r="AG189" s="1" t="str">
        <f t="shared" si="69"/>
        <v>NW</v>
      </c>
      <c r="AH189" s="86" t="str">
        <f t="shared" si="54"/>
        <v>"%USERPROFILE%\Documents\GitHub\eaglep3\Utilities\RefineRTDCRunTimes.py" --tripid 829-27 --locoid 4009 --swversion DE.1.0.9.0 --startMP 204:951 --initTime 2017-03-27T16:17:25 --startdatetime 2017-03-27T16:21:15 --delay 1 --endMP 300:58929 --enddatetime 2017-03-27T16:34:26 --enforcementcount 0 &gt;&gt;C:\Users\stu\Documents\GitHub\eaglep3-reporting\EC\2017-03-27-refined-times.txt</v>
      </c>
      <c r="AI189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api","custom_fields":[{"id":1,"name":"Subdivision","value":"NW"},{"id":4,"name":"Milepost","value":"5.8929"},{"id":17,"name":"Train ID","value":"829-27"},{"id":16,"name":"Locomotive ID","value":"4009"},{"id":130,"name":"Impact","value":""},{"id":150,"name":"Time of Event (Mountain Time)","value":"16:34:26"},{"id":151,"name":"Denver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 t="s">
        <v>590</v>
      </c>
      <c r="AK189" s="48"/>
      <c r="AL189" s="48"/>
      <c r="AM189" s="150" t="str">
        <f t="shared" si="56"/>
        <v>start /low /b %USERPROFILE%\Documents\GitHub\eaglep3\Utilities\DownloadLogsFromS3.py --loco 4009 --day 2017-03-27</v>
      </c>
      <c r="AN189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757</v>
      </c>
      <c r="B190" s="7">
        <v>4010</v>
      </c>
      <c r="C190" s="21" t="s">
        <v>218</v>
      </c>
      <c r="D190" s="21" t="s">
        <v>968</v>
      </c>
      <c r="E190" s="13">
        <v>42821.691701388889</v>
      </c>
      <c r="F190" s="13">
        <v>42821.693344907406</v>
      </c>
      <c r="G190" s="7">
        <v>2</v>
      </c>
      <c r="H190" s="21" t="s">
        <v>950</v>
      </c>
      <c r="I190" s="13">
        <v>42821.704942129632</v>
      </c>
      <c r="J190" s="7">
        <v>0</v>
      </c>
      <c r="K190" s="97" t="str">
        <f t="shared" si="58"/>
        <v>4009/4010</v>
      </c>
      <c r="L190" s="21" t="str">
        <f>VLOOKUP(A190,'Trips&amp;Operators'!$C$1:$G$99999,5,FALSE)</f>
        <v>LEVIN SCOTT</v>
      </c>
      <c r="M190" s="6">
        <f t="shared" si="59"/>
        <v>1.1597222226555459E-2</v>
      </c>
      <c r="N190" s="7">
        <f t="shared" ref="N190:N221" si="76">24*60*SUM($M190:$M190)</f>
        <v>16.700000006239861</v>
      </c>
      <c r="O190" s="7"/>
      <c r="P190" s="7"/>
      <c r="Q190" s="22"/>
      <c r="R190" s="22"/>
      <c r="S190" s="31">
        <f t="shared" si="75"/>
        <v>1</v>
      </c>
      <c r="T190" s="46" t="str">
        <f t="shared" si="60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61"/>
        <v>https://d0f6bd738d7f1b3e5a7ca70fe4ff75f0.us-east-1.aws.found.io/app/kibana#/discover/Steve-Slow-Train-Analysis-(2080s-and-2083s)?_g=(refreshInterval:(display:Off,pause:!f,section:0,value:0),time:(from:'2017-03-27T15:36:03-0600',mode:absolute,to:'2017-03-27T17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183" t="str">
        <f t="shared" si="62"/>
        <v>N</v>
      </c>
      <c r="X190" s="183">
        <f t="shared" si="74"/>
        <v>1</v>
      </c>
      <c r="Y190" s="62">
        <f t="shared" si="63"/>
        <v>5.7553000000000001</v>
      </c>
      <c r="Z190" s="62">
        <f t="shared" ref="Z190:Z221" si="77">RIGHT(H190,LEN(H190)-4)/10000</f>
        <v>6.5600000000000006E-2</v>
      </c>
      <c r="AA190" s="62">
        <f t="shared" si="65"/>
        <v>5.6897000000000002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6"/>
        <v>0830-27</v>
      </c>
      <c r="AE190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90" s="82" t="str">
        <f t="shared" si="68"/>
        <v>"C:\Program Files (x86)\AstroGrep\AstroGrep.exe" /e /r /s /spath="%USERPROFILE%\AppData\Local\Temp\OnboardLogs" /stypes="app*4010*20170327*" /stext=" 22:.+((SYSTEM_STATE.+slice.+state.+changed )|(ment ac)|(multiple cpu faults)|(system.+state.+changed )|(\[timeout)|(PRM\|1\|D)|(kpr)|(kdp)|(\|lc)|(penalty))"</v>
      </c>
      <c r="AG190" s="1" t="str">
        <f t="shared" si="69"/>
        <v>NW</v>
      </c>
      <c r="AH190" s="86" t="str">
        <f t="shared" si="54"/>
        <v>"%USERPROFILE%\Documents\GitHub\eaglep3\Utilities\RefineRTDCRunTimes.py" --tripid 830-27 --locoid 4010 --swversion DE.1.0.9.0 --startMP 300:57553 --initTime 2017-03-27T16:36:03 --startdatetime 2017-03-27T16:38:25 --delay 2 --endMP 204:656 --enddatetime 2017-03-27T16:55:07 --enforcementcount 0 &gt;&gt;C:\Users\stu\Documents\GitHub\eaglep3-reporting\EC\2017-03-27-refined-times.txt</v>
      </c>
      <c r="AI19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api","custom_fields":[{"id":1,"name":"Subdivision","value":"NW"},{"id":4,"name":"Milepost","value":"0.0656"},{"id":17,"name":"Train ID","value":"830-27"},{"id":16,"name":"Locomotive ID","value":"4010"},{"id":130,"name":"Impact","value":""},{"id":150,"name":"Time of Event (Mountain Time)","value":"16:55:07"},{"id":151,"name":"Denver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 t="s">
        <v>590</v>
      </c>
      <c r="AK190" s="48"/>
      <c r="AL190" s="48"/>
      <c r="AM190" s="150" t="str">
        <f t="shared" si="56"/>
        <v>start /low /b %USERPROFILE%\Documents\GitHub\eaglep3\Utilities\DownloadLogsFromS3.py --loco 4010 --day 2017-03-27</v>
      </c>
      <c r="AN190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755</v>
      </c>
      <c r="B191" s="7">
        <v>4044</v>
      </c>
      <c r="C191" s="21" t="s">
        <v>218</v>
      </c>
      <c r="D191" s="21" t="s">
        <v>583</v>
      </c>
      <c r="E191" s="13">
        <v>42821.686736111114</v>
      </c>
      <c r="F191" s="13">
        <v>42821.702233796299</v>
      </c>
      <c r="G191" s="7">
        <v>0</v>
      </c>
      <c r="H191" s="21" t="s">
        <v>503</v>
      </c>
      <c r="I191" s="13">
        <v>42821.711041666669</v>
      </c>
      <c r="J191" s="7">
        <v>0</v>
      </c>
      <c r="K191" s="97" t="str">
        <f t="shared" si="58"/>
        <v>4043/4044</v>
      </c>
      <c r="L191" s="21" t="str">
        <f>VLOOKUP(A191,'Trips&amp;Operators'!$C$1:$G$99999,5,FALSE)</f>
        <v>NEWELL JAMES</v>
      </c>
      <c r="M191" s="6">
        <f t="shared" si="59"/>
        <v>8.8078703702194616E-3</v>
      </c>
      <c r="N191" s="7">
        <f t="shared" si="76"/>
        <v>12.683333333116025</v>
      </c>
      <c r="O191" s="7"/>
      <c r="P191" s="7"/>
      <c r="Q191" s="22"/>
      <c r="R191" s="22"/>
      <c r="S191" s="31">
        <f t="shared" si="75"/>
        <v>1</v>
      </c>
      <c r="T191" s="46" t="str">
        <f t="shared" si="60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61"/>
        <v>https://d0f6bd738d7f1b3e5a7ca70fe4ff75f0.us-east-1.aws.found.io/app/kibana#/discover/Steve-Slow-Train-Analysis-(2080s-and-2083s)?_g=(refreshInterval:(display:Off,pause:!f,section:0,value:0),time:(from:'2017-03-27T15:28:54-0600',mode:absolute,to:'2017-03-27T18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183" t="str">
        <f t="shared" si="62"/>
        <v>N</v>
      </c>
      <c r="X191" s="183">
        <f t="shared" si="74"/>
        <v>1</v>
      </c>
      <c r="Y191" s="62">
        <f t="shared" si="63"/>
        <v>9.5100000000000004E-2</v>
      </c>
      <c r="Z191" s="62">
        <f t="shared" si="77"/>
        <v>5.8933</v>
      </c>
      <c r="AA191" s="62">
        <f t="shared" si="65"/>
        <v>5.7981999999999996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6"/>
        <v>0831-27</v>
      </c>
      <c r="AE191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91" s="82" t="str">
        <f t="shared" si="68"/>
        <v>"C:\Program Files (x86)\AstroGrep\AstroGrep.exe" /e /r /s /spath="%USERPROFILE%\AppData\Local\Temp\OnboardLogs" /stypes="app*4044*20170327*" /stext=" 23:.+((SYSTEM_STATE.+slice.+state.+changed )|(ment ac)|(multiple cpu faults)|(system.+state.+changed )|(\[timeout)|(PRM\|1\|D)|(kpr)|(kdp)|(\|lc)|(penalty))"</v>
      </c>
      <c r="AG191" s="1" t="str">
        <f t="shared" si="69"/>
        <v>NW</v>
      </c>
      <c r="AH191" s="86" t="str">
        <f t="shared" si="54"/>
        <v>"%USERPROFILE%\Documents\GitHub\eaglep3\Utilities\RefineRTDCRunTimes.py" --tripid 831-27 --locoid 4044 --swversion DE.1.0.9.0 --startMP 204:951 --initTime 2017-03-27T16:28:54 --startdatetime 2017-03-27T16:51:13 --delay 0 --endMP 300:58933 --enddatetime 2017-03-27T17:03:54 --enforcementcount 0 &gt;&gt;C:\Users\stu\Documents\GitHub\eaglep3-reporting\EC\2017-03-27-refined-times.txt</v>
      </c>
      <c r="AI191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api","custom_fields":[{"id":1,"name":"Subdivision","value":"NW"},{"id":4,"name":"Milepost","value":"5.8933"},{"id":17,"name":"Train ID","value":"831-27"},{"id":16,"name":"Locomotive ID","value":"4044"},{"id":130,"name":"Impact","value":""},{"id":150,"name":"Time of Event (Mountain Time)","value":"17:03:54"},{"id":151,"name":"Denver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 t="s">
        <v>590</v>
      </c>
      <c r="AK191" s="48"/>
      <c r="AL191" s="48"/>
      <c r="AM191" s="150" t="str">
        <f t="shared" si="56"/>
        <v>start /low /b %USERPROFILE%\Documents\GitHub\eaglep3\Utilities\DownloadLogsFromS3.py --loco 4044 --day 2017-03-27</v>
      </c>
      <c r="AN191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761</v>
      </c>
      <c r="B192" s="7">
        <v>4043</v>
      </c>
      <c r="C192" s="21" t="s">
        <v>218</v>
      </c>
      <c r="D192" s="21" t="s">
        <v>567</v>
      </c>
      <c r="E192" s="13">
        <v>42821.711793981478</v>
      </c>
      <c r="F192" s="13">
        <v>42821.713321759256</v>
      </c>
      <c r="G192" s="7">
        <v>1</v>
      </c>
      <c r="H192" s="21" t="s">
        <v>969</v>
      </c>
      <c r="I192" s="13">
        <v>42821.725787037038</v>
      </c>
      <c r="J192" s="7">
        <v>0</v>
      </c>
      <c r="K192" s="97" t="str">
        <f t="shared" si="58"/>
        <v>4043/4044</v>
      </c>
      <c r="L192" s="21" t="str">
        <f>VLOOKUP(A192,'Trips&amp;Operators'!$C$1:$G$99999,5,FALSE)</f>
        <v>NEWELL JAMES</v>
      </c>
      <c r="M192" s="6">
        <f t="shared" si="59"/>
        <v>1.2465277781302575E-2</v>
      </c>
      <c r="N192" s="7">
        <f t="shared" si="76"/>
        <v>17.950000005075708</v>
      </c>
      <c r="O192" s="7"/>
      <c r="P192" s="7"/>
      <c r="Q192" s="22"/>
      <c r="R192" s="22"/>
      <c r="S192" s="31">
        <f t="shared" si="75"/>
        <v>1</v>
      </c>
      <c r="T192" s="46" t="str">
        <f t="shared" si="60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61"/>
        <v>https://d0f6bd738d7f1b3e5a7ca70fe4ff75f0.us-east-1.aws.found.io/app/kibana#/discover/Steve-Slow-Train-Analysis-(2080s-and-2083s)?_g=(refreshInterval:(display:Off,pause:!f,section:0,value:0),time:(from:'2017-03-27T16:04:59-0600',mode:absolute,to:'2017-03-27T18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183" t="str">
        <f t="shared" si="62"/>
        <v>N</v>
      </c>
      <c r="X192" s="183">
        <f t="shared" si="74"/>
        <v>1</v>
      </c>
      <c r="Y192" s="62">
        <f t="shared" si="63"/>
        <v>5.8623000000000003</v>
      </c>
      <c r="Z192" s="62">
        <f t="shared" si="77"/>
        <v>6.5699999999999995E-2</v>
      </c>
      <c r="AA192" s="62">
        <f t="shared" si="65"/>
        <v>5.7966000000000006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6"/>
        <v>0832-27</v>
      </c>
      <c r="AE192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92" s="82" t="str">
        <f t="shared" si="68"/>
        <v>"C:\Program Files (x86)\AstroGrep\AstroGrep.exe" /e /r /s /spath="%USERPROFILE%\AppData\Local\Temp\OnboardLogs" /stypes="app*4043*20170327*" /stext=" 23:.+((SYSTEM_STATE.+slice.+state.+changed )|(ment ac)|(multiple cpu faults)|(system.+state.+changed )|(\[timeout)|(PRM\|1\|D)|(kpr)|(kdp)|(\|lc)|(penalty))"</v>
      </c>
      <c r="AG192" s="1" t="str">
        <f t="shared" si="69"/>
        <v>NW</v>
      </c>
      <c r="AH192" s="86" t="str">
        <f t="shared" si="54"/>
        <v>"%USERPROFILE%\Documents\GitHub\eaglep3\Utilities\RefineRTDCRunTimes.py" --tripid 832-27 --locoid 4043 --swversion DE.1.0.9.0 --startMP 300:58623 --initTime 2017-03-27T17:04:59 --startdatetime 2017-03-27T17:07:11 --delay 1 --endMP 204:657 --enddatetime 2017-03-27T17:25:08 --enforcementcount 0 &gt;&gt;C:\Users\stu\Documents\GitHub\eaglep3-reporting\EC\2017-03-27-refined-times.txt</v>
      </c>
      <c r="AI19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api","custom_fields":[{"id":1,"name":"Subdivision","value":"NW"},{"id":4,"name":"Milepost","value":"0.0657"},{"id":17,"name":"Train ID","value":"832-27"},{"id":16,"name":"Locomotive ID","value":"4043"},{"id":130,"name":"Impact","value":""},{"id":150,"name":"Time of Event (Mountain Time)","value":"17:25:08"},{"id":151,"name":"Denver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 t="s">
        <v>590</v>
      </c>
      <c r="AK192" s="48"/>
      <c r="AL192" s="48"/>
      <c r="AM192" s="150" t="str">
        <f t="shared" si="56"/>
        <v>start /low /b %USERPROFILE%\Documents\GitHub\eaglep3\Utilities\DownloadLogsFromS3.py --loco 4043 --day 2017-03-27</v>
      </c>
      <c r="AN192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764</v>
      </c>
      <c r="B193" s="7">
        <v>4009</v>
      </c>
      <c r="C193" s="21" t="s">
        <v>218</v>
      </c>
      <c r="D193" s="21" t="s">
        <v>970</v>
      </c>
      <c r="E193" s="13">
        <v>42821.720208333332</v>
      </c>
      <c r="F193" s="13">
        <v>42821.723078703704</v>
      </c>
      <c r="G193" s="7">
        <v>1</v>
      </c>
      <c r="H193" s="21" t="s">
        <v>971</v>
      </c>
      <c r="I193" s="13">
        <v>42821.732141203705</v>
      </c>
      <c r="J193" s="7">
        <v>0</v>
      </c>
      <c r="K193" s="97" t="str">
        <f t="shared" si="58"/>
        <v>4009/4010</v>
      </c>
      <c r="L193" s="21" t="str">
        <f>VLOOKUP(A193,'Trips&amp;Operators'!$C$1:$G$99999,5,FALSE)</f>
        <v>LEVIN SCOTT</v>
      </c>
      <c r="M193" s="6">
        <f t="shared" si="59"/>
        <v>9.0625000011641532E-3</v>
      </c>
      <c r="N193" s="7">
        <f t="shared" si="76"/>
        <v>13.050000001676381</v>
      </c>
      <c r="O193" s="7"/>
      <c r="P193" s="7"/>
      <c r="Q193" s="22"/>
      <c r="R193" s="22"/>
      <c r="S193" s="31">
        <f t="shared" si="75"/>
        <v>1</v>
      </c>
      <c r="T193" s="46" t="str">
        <f t="shared" si="60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61"/>
        <v>https://d0f6bd738d7f1b3e5a7ca70fe4ff75f0.us-east-1.aws.found.io/app/kibana#/discover/Steve-Slow-Train-Analysis-(2080s-and-2083s)?_g=(refreshInterval:(display:Off,pause:!f,section:0,value:0),time:(from:'2017-03-27T16:17:06-0600',mode:absolute,to:'2017-03-27T18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83" t="str">
        <f t="shared" si="62"/>
        <v>N</v>
      </c>
      <c r="X193" s="183">
        <f t="shared" si="74"/>
        <v>1</v>
      </c>
      <c r="Y193" s="62">
        <f t="shared" si="63"/>
        <v>9.4799999999999995E-2</v>
      </c>
      <c r="Z193" s="62">
        <f t="shared" si="77"/>
        <v>5.8928000000000003</v>
      </c>
      <c r="AA193" s="62">
        <f t="shared" si="65"/>
        <v>5.798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6"/>
        <v>0833-27</v>
      </c>
      <c r="AE193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93" s="82" t="str">
        <f t="shared" si="68"/>
        <v>"C:\Program Files (x86)\AstroGrep\AstroGrep.exe" /e /r /s /spath="%USERPROFILE%\AppData\Local\Temp\OnboardLogs" /stypes="app*4009*20170327*" /stext=" 23:.+((SYSTEM_STATE.+slice.+state.+changed )|(ment ac)|(multiple cpu faults)|(system.+state.+changed )|(\[timeout)|(PRM\|1\|D)|(kpr)|(kdp)|(\|lc)|(penalty))"</v>
      </c>
      <c r="AG193" s="1" t="str">
        <f t="shared" si="69"/>
        <v>NW</v>
      </c>
      <c r="AH193" s="86" t="str">
        <f t="shared" si="54"/>
        <v>"%USERPROFILE%\Documents\GitHub\eaglep3\Utilities\RefineRTDCRunTimes.py" --tripid 833-27 --locoid 4009 --swversion DE.1.0.9.0 --startMP 204:948 --initTime 2017-03-27T17:17:06 --startdatetime 2017-03-27T17:21:14 --delay 1 --endMP 300:58928 --enddatetime 2017-03-27T17:34:17 --enforcementcount 0 &gt;&gt;C:\Users\stu\Documents\GitHub\eaglep3-reporting\EC\2017-03-27-refined-times.txt</v>
      </c>
      <c r="AI19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api","custom_fields":[{"id":1,"name":"Subdivision","value":"NW"},{"id":4,"name":"Milepost","value":"5.8928"},{"id":17,"name":"Train ID","value":"833-27"},{"id":16,"name":"Locomotive ID","value":"4009"},{"id":130,"name":"Impact","value":""},{"id":150,"name":"Time of Event (Mountain Time)","value":"17:34:17"},{"id":151,"name":"Denver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 t="s">
        <v>590</v>
      </c>
      <c r="AK193" s="48"/>
      <c r="AL193" s="48"/>
      <c r="AM193" s="150" t="str">
        <f t="shared" si="56"/>
        <v>start /low /b %USERPROFILE%\Documents\GitHub\eaglep3\Utilities\DownloadLogsFromS3.py --loco 4009 --day 2017-03-27</v>
      </c>
      <c r="AN193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s="20" customFormat="1" x14ac:dyDescent="0.25">
      <c r="A194" s="33" t="s">
        <v>768</v>
      </c>
      <c r="B194" s="7">
        <v>4010</v>
      </c>
      <c r="C194" s="21" t="s">
        <v>218</v>
      </c>
      <c r="D194" s="21" t="s">
        <v>462</v>
      </c>
      <c r="E194" s="13">
        <v>42821.733055555553</v>
      </c>
      <c r="F194" s="13">
        <v>42821.734189814815</v>
      </c>
      <c r="G194" s="7">
        <v>1</v>
      </c>
      <c r="H194" s="21" t="s">
        <v>939</v>
      </c>
      <c r="I194" s="13">
        <v>42821.74659722222</v>
      </c>
      <c r="J194" s="7">
        <v>0</v>
      </c>
      <c r="K194" s="97" t="str">
        <f t="shared" si="58"/>
        <v>4009/4010</v>
      </c>
      <c r="L194" s="21" t="str">
        <f>VLOOKUP(A194,'Trips&amp;Operators'!$C$1:$G$99999,5,FALSE)</f>
        <v>LEVIN SCOTT</v>
      </c>
      <c r="M194" s="6">
        <f t="shared" si="59"/>
        <v>1.2407407404680271E-2</v>
      </c>
      <c r="N194" s="7">
        <f t="shared" si="76"/>
        <v>17.86666666273959</v>
      </c>
      <c r="O194" s="7"/>
      <c r="P194" s="7"/>
      <c r="Q194" s="22"/>
      <c r="R194" s="22"/>
      <c r="S194" s="31">
        <f t="shared" si="75"/>
        <v>1</v>
      </c>
      <c r="T194" s="46" t="str">
        <f t="shared" si="60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61"/>
        <v>https://d0f6bd738d7f1b3e5a7ca70fe4ff75f0.us-east-1.aws.found.io/app/kibana#/discover/Steve-Slow-Train-Analysis-(2080s-and-2083s)?_g=(refreshInterval:(display:Off,pause:!f,section:0,value:0),time:(from:'2017-03-27T16:35:36-0600',mode:absolute,to:'2017-03-27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183" t="str">
        <f t="shared" si="62"/>
        <v>N</v>
      </c>
      <c r="X194" s="183">
        <f t="shared" si="74"/>
        <v>1</v>
      </c>
      <c r="Y194" s="62">
        <f t="shared" si="63"/>
        <v>5.8611000000000004</v>
      </c>
      <c r="Z194" s="62">
        <f t="shared" si="77"/>
        <v>6.4899999999999999E-2</v>
      </c>
      <c r="AA194" s="62">
        <f t="shared" si="65"/>
        <v>5.7962000000000007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6"/>
        <v>0834-27</v>
      </c>
      <c r="AE194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94" s="82" t="str">
        <f t="shared" si="68"/>
        <v>"C:\Program Files (x86)\AstroGrep\AstroGrep.exe" /e /r /s /spath="%USERPROFILE%\AppData\Local\Temp\OnboardLogs" /stypes="app*4010*20170327*" /stext=" 23:.+((SYSTEM_STATE.+slice.+state.+changed )|(ment ac)|(multiple cpu faults)|(system.+state.+changed )|(\[timeout)|(PRM\|1\|D)|(kpr)|(kdp)|(\|lc)|(penalty))"</v>
      </c>
      <c r="AG194" s="1" t="str">
        <f t="shared" si="69"/>
        <v>NW</v>
      </c>
      <c r="AH194" s="86" t="str">
        <f t="shared" si="54"/>
        <v>"%USERPROFILE%\Documents\GitHub\eaglep3\Utilities\RefineRTDCRunTimes.py" --tripid 834-27 --locoid 4010 --swversion DE.1.0.9.0 --startMP 300:58611 --initTime 2017-03-27T17:35:36 --startdatetime 2017-03-27T17:37:14 --delay 1 --endMP 204:649 --enddatetime 2017-03-27T17:55:06 --enforcementcount 0 &gt;&gt;C:\Users\stu\Documents\GitHub\eaglep3-reporting\EC\2017-03-27-refined-times.txt</v>
      </c>
      <c r="AI194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api","custom_fields":[{"id":1,"name":"Subdivision","value":"NW"},{"id":4,"name":"Milepost","value":"0.0649"},{"id":17,"name":"Train ID","value":"834-27"},{"id":16,"name":"Locomotive ID","value":"4010"},{"id":130,"name":"Impact","value":""},{"id":150,"name":"Time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 t="s">
        <v>590</v>
      </c>
      <c r="AK194" s="48"/>
      <c r="AL194" s="48"/>
      <c r="AM194" s="150" t="str">
        <f t="shared" si="56"/>
        <v>start /low /b %USERPROFILE%\Documents\GitHub\eaglep3\Utilities\DownloadLogsFromS3.py --loco 4010 --day 2017-03-27</v>
      </c>
      <c r="AN194" s="159" t="str">
        <f t="shared" si="57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767</v>
      </c>
      <c r="B195" s="7">
        <v>4044</v>
      </c>
      <c r="C195" s="21" t="s">
        <v>218</v>
      </c>
      <c r="D195" s="21" t="s">
        <v>970</v>
      </c>
      <c r="E195" s="13">
        <v>42821.72724537037</v>
      </c>
      <c r="F195" s="13">
        <v>42821.743900462963</v>
      </c>
      <c r="G195" s="7">
        <v>1</v>
      </c>
      <c r="H195" s="21" t="s">
        <v>972</v>
      </c>
      <c r="I195" s="13">
        <v>42821.75271990741</v>
      </c>
      <c r="J195" s="7">
        <v>0</v>
      </c>
      <c r="K195" s="97" t="str">
        <f t="shared" si="58"/>
        <v>4043/4044</v>
      </c>
      <c r="L195" s="21" t="str">
        <f>VLOOKUP(A195,'Trips&amp;Operators'!$C$1:$G$99999,5,FALSE)</f>
        <v>NEWELL JAMES</v>
      </c>
      <c r="M195" s="6">
        <f t="shared" si="59"/>
        <v>8.819444446999114E-3</v>
      </c>
      <c r="N195" s="7">
        <f t="shared" si="76"/>
        <v>12.700000003678724</v>
      </c>
      <c r="O195" s="7"/>
      <c r="P195" s="7"/>
      <c r="Q195" s="22"/>
      <c r="R195" s="22"/>
      <c r="S195" s="31">
        <f t="shared" si="75"/>
        <v>1</v>
      </c>
      <c r="T195" s="46" t="str">
        <f t="shared" si="60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61"/>
        <v>https://d0f6bd738d7f1b3e5a7ca70fe4ff75f0.us-east-1.aws.found.io/app/kibana#/discover/Steve-Slow-Train-Analysis-(2080s-and-2083s)?_g=(refreshInterval:(display:Off,pause:!f,section:0,value:0),time:(from:'2017-03-27T16:27:14-0600',mode:absolute,to:'2017-03-27T19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183" t="str">
        <f t="shared" si="62"/>
        <v>N</v>
      </c>
      <c r="X195" s="183">
        <f t="shared" si="74"/>
        <v>1</v>
      </c>
      <c r="Y195" s="62">
        <f t="shared" si="63"/>
        <v>9.4799999999999995E-2</v>
      </c>
      <c r="Z195" s="62">
        <f t="shared" si="77"/>
        <v>5.8952</v>
      </c>
      <c r="AA195" s="62">
        <f t="shared" si="65"/>
        <v>5.8003999999999998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6"/>
        <v>0835-27</v>
      </c>
      <c r="AE195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95" s="82" t="str">
        <f t="shared" si="68"/>
        <v>"C:\Program Files (x86)\AstroGrep\AstroGrep.exe" /e /r /s /spath="%USERPROFILE%\AppData\Local\Temp\OnboardLogs" /stypes="app*4044*20170328*" /stext=" 00:.+((SYSTEM_STATE.+slice.+state.+changed )|(ment ac)|(multiple cpu faults)|(system.+state.+changed )|(\[timeout)|(PRM\|1\|D)|(kpr)|(kdp)|(\|lc)|(penalty))"</v>
      </c>
      <c r="AG195" s="1" t="str">
        <f t="shared" si="69"/>
        <v>NW</v>
      </c>
      <c r="AH195" s="86" t="str">
        <f t="shared" si="54"/>
        <v>"%USERPROFILE%\Documents\GitHub\eaglep3\Utilities\RefineRTDCRunTimes.py" --tripid 835-27 --locoid 4044 --swversion DE.1.0.9.0 --startMP 204:948 --initTime 2017-03-27T17:27:14 --startdatetime 2017-03-27T17:51:13 --delay 1 --endMP 300:58952 --enddatetime 2017-03-27T18:03:55 --enforcementcount 0 &gt;&gt;C:\Users\stu\Documents\GitHub\eaglep3-reporting\EC\2017-03-27-refined-times.txt</v>
      </c>
      <c r="AI195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api","custom_fields":[{"id":1,"name":"Subdivision","value":"NW"},{"id":4,"name":"Milepost","value":"5.8952"},{"id":17,"name":"Train ID","value":"835-27"},{"id":16,"name":"Locomotive ID","value":"4044"},{"id":130,"name":"Impact","value":""},{"id":150,"name":"Time of Event (Mountain Time)","value":"18:03:55"},{"id":151,"name":"Denver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 t="s">
        <v>590</v>
      </c>
      <c r="AK195" s="48"/>
      <c r="AL195" s="48"/>
      <c r="AM195" s="150" t="str">
        <f t="shared" si="56"/>
        <v>start /low /b %USERPROFILE%\Documents\GitHub\eaglep3\Utilities\DownloadLogsFromS3.py --loco 4044 --day 2017-03-27</v>
      </c>
      <c r="AN195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624</v>
      </c>
      <c r="B196" s="7">
        <v>4043</v>
      </c>
      <c r="C196" s="21" t="s">
        <v>218</v>
      </c>
      <c r="D196" s="21" t="s">
        <v>973</v>
      </c>
      <c r="E196" s="13">
        <v>42821.753506944442</v>
      </c>
      <c r="F196" s="13">
        <v>42821.754606481481</v>
      </c>
      <c r="G196" s="7">
        <v>0</v>
      </c>
      <c r="H196" s="21" t="s">
        <v>969</v>
      </c>
      <c r="I196" s="13">
        <v>42821.769004629627</v>
      </c>
      <c r="J196" s="7">
        <v>0</v>
      </c>
      <c r="K196" s="97" t="str">
        <f t="shared" si="58"/>
        <v>4043/4044</v>
      </c>
      <c r="L196" s="21" t="str">
        <f>VLOOKUP(A196,'Trips&amp;Operators'!$C$1:$G$99999,5,FALSE)</f>
        <v>NEWELL JAMES</v>
      </c>
      <c r="M196" s="6">
        <f t="shared" si="59"/>
        <v>1.4398148145119194E-2</v>
      </c>
      <c r="N196" s="7">
        <f t="shared" si="76"/>
        <v>20.733333328971639</v>
      </c>
      <c r="O196" s="7"/>
      <c r="P196" s="7"/>
      <c r="Q196" s="22"/>
      <c r="R196" s="22"/>
      <c r="S196" s="31">
        <f t="shared" si="75"/>
        <v>1</v>
      </c>
      <c r="T196" s="46" t="str">
        <f t="shared" si="60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61"/>
        <v>https://d0f6bd738d7f1b3e5a7ca70fe4ff75f0.us-east-1.aws.found.io/app/kibana#/discover/Steve-Slow-Train-Analysis-(2080s-and-2083s)?_g=(refreshInterval:(display:Off,pause:!f,section:0,value:0),time:(from:'2017-03-27T17:05:03-0600',mode:absolute,to:'2017-03-27T19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183" t="str">
        <f t="shared" si="62"/>
        <v>N</v>
      </c>
      <c r="X196" s="183">
        <f t="shared" si="74"/>
        <v>1</v>
      </c>
      <c r="Y196" s="62">
        <f t="shared" si="63"/>
        <v>5.8634000000000004</v>
      </c>
      <c r="Z196" s="62">
        <f t="shared" si="77"/>
        <v>6.5699999999999995E-2</v>
      </c>
      <c r="AA196" s="62">
        <f t="shared" si="65"/>
        <v>5.7977000000000007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6"/>
        <v>0836-27</v>
      </c>
      <c r="AE196" s="85" t="str">
        <f t="shared" si="67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196" s="82" t="str">
        <f t="shared" si="68"/>
        <v>"C:\Program Files (x86)\AstroGrep\AstroGrep.exe" /e /r /s /spath="%USERPROFILE%\AppData\Local\Temp\OnboardLogs" /stypes="app*4043*20170328*" /stext=" 00:.+((SYSTEM_STATE.+slice.+state.+changed )|(ment ac)|(multiple cpu faults)|(system.+state.+changed )|(\[timeout)|(PRM\|1\|D)|(kpr)|(kdp)|(\|lc)|(penalty))"</v>
      </c>
      <c r="AG196" s="1" t="str">
        <f t="shared" si="69"/>
        <v>NW</v>
      </c>
      <c r="AH196" s="86" t="str">
        <f t="shared" si="54"/>
        <v>"%USERPROFILE%\Documents\GitHub\eaglep3\Utilities\RefineRTDCRunTimes.py" --tripid 836-27 --locoid 4043 --swversion DE.1.0.9.0 --startMP 300:58634 --initTime 2017-03-27T18:05:03 --startdatetime 2017-03-27T18:06:38 --delay 0 --endMP 204:657 --enddatetime 2017-03-27T18:27:22 --enforcementcount 0 &gt;&gt;C:\Users\stu\Documents\GitHub\eaglep3-reporting\EC\2017-03-27-refined-times.txt</v>
      </c>
      <c r="AI196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api","custom_fields":[{"id":1,"name":"Subdivision","value":"NW"},{"id":4,"name":"Milepost","value":"0.0657"},{"id":17,"name":"Train ID","value":"836-27"},{"id":16,"name":"Locomotive ID","value":"4043"},{"id":130,"name":"Impact","value":""},{"id":150,"name":"Time of Event (Mountain Time)","value":"18:27:22"},{"id":151,"name":"Denver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 t="s">
        <v>590</v>
      </c>
      <c r="AK196" s="48"/>
      <c r="AL196" s="48"/>
      <c r="AM196" s="150" t="str">
        <f t="shared" si="56"/>
        <v>start /low /b %USERPROFILE%\Documents\GitHub\eaglep3\Utilities\DownloadLogsFromS3.py --loco 4043 --day 2017-03-27</v>
      </c>
      <c r="AN196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776</v>
      </c>
      <c r="B197" s="7">
        <v>4009</v>
      </c>
      <c r="C197" s="21" t="s">
        <v>218</v>
      </c>
      <c r="D197" s="21" t="s">
        <v>974</v>
      </c>
      <c r="E197" s="13">
        <v>42821.756793981483</v>
      </c>
      <c r="F197" s="13">
        <v>42821.764768518522</v>
      </c>
      <c r="G197" s="7">
        <v>1</v>
      </c>
      <c r="H197" s="21" t="s">
        <v>503</v>
      </c>
      <c r="I197" s="13">
        <v>42821.773587962962</v>
      </c>
      <c r="J197" s="7">
        <v>0</v>
      </c>
      <c r="K197" s="97" t="str">
        <f t="shared" si="58"/>
        <v>4009/4010</v>
      </c>
      <c r="L197" s="21" t="str">
        <f>VLOOKUP(A197,'Trips&amp;Operators'!$C$1:$G$99999,5,FALSE)</f>
        <v>LEVIN SCOTT</v>
      </c>
      <c r="M197" s="6">
        <f t="shared" si="59"/>
        <v>8.8194444397231564E-3</v>
      </c>
      <c r="N197" s="7">
        <f t="shared" si="76"/>
        <v>12.699999993201345</v>
      </c>
      <c r="O197" s="7"/>
      <c r="P197" s="7"/>
      <c r="Q197" s="22"/>
      <c r="R197" s="22"/>
      <c r="S197" s="31">
        <f t="shared" si="75"/>
        <v>1</v>
      </c>
      <c r="T197" s="46" t="str">
        <f t="shared" si="60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61"/>
        <v>https://d0f6bd738d7f1b3e5a7ca70fe4ff75f0.us-east-1.aws.found.io/app/kibana#/discover/Steve-Slow-Train-Analysis-(2080s-and-2083s)?_g=(refreshInterval:(display:Off,pause:!f,section:0,value:0),time:(from:'2017-03-27T17:09:47-0600',mode:absolute,to:'2017-03-27T19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83" t="str">
        <f t="shared" si="62"/>
        <v>N</v>
      </c>
      <c r="X197" s="183">
        <f t="shared" si="74"/>
        <v>1</v>
      </c>
      <c r="Y197" s="62">
        <f t="shared" si="63"/>
        <v>9.3200000000000005E-2</v>
      </c>
      <c r="Z197" s="62">
        <f t="shared" si="77"/>
        <v>5.8933</v>
      </c>
      <c r="AA197" s="62">
        <f t="shared" si="65"/>
        <v>5.8000999999999996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6"/>
        <v>0837-27</v>
      </c>
      <c r="AE197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197" s="82" t="str">
        <f t="shared" si="68"/>
        <v>"C:\Program Files (x86)\AstroGrep\AstroGrep.exe" /e /r /s /spath="%USERPROFILE%\AppData\Local\Temp\OnboardLogs" /stypes="app*4009*20170328*" /stext=" 00:.+((SYSTEM_STATE.+slice.+state.+changed )|(ment ac)|(multiple cpu faults)|(system.+state.+changed )|(\[timeout)|(PRM\|1\|D)|(kpr)|(kdp)|(\|lc)|(penalty))"</v>
      </c>
      <c r="AG197" s="1" t="str">
        <f t="shared" si="69"/>
        <v>NW</v>
      </c>
      <c r="AH197" s="86" t="str">
        <f t="shared" si="54"/>
        <v>"%USERPROFILE%\Documents\GitHub\eaglep3\Utilities\RefineRTDCRunTimes.py" --tripid 837-27 --locoid 4009 --swversion DE.1.0.9.0 --startMP 204:932 --initTime 2017-03-27T18:09:47 --startdatetime 2017-03-27T18:21:16 --delay 1 --endMP 300:58933 --enddatetime 2017-03-27T18:33:58 --enforcementcount 0 &gt;&gt;C:\Users\stu\Documents\GitHub\eaglep3-reporting\EC\2017-03-27-refined-times.txt</v>
      </c>
      <c r="AI197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api","custom_fields":[{"id":1,"name":"Subdivision","value":"NW"},{"id":4,"name":"Milepost","value":"5.8933"},{"id":17,"name":"Train ID","value":"837-27"},{"id":16,"name":"Locomotive ID","value":"4009"},{"id":130,"name":"Impact","value":""},{"id":150,"name":"Time of Event (Mountain Time)","value":"18:33:58"},{"id":151,"name":"Denver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 t="s">
        <v>590</v>
      </c>
      <c r="AK197" s="48"/>
      <c r="AL197" s="48"/>
      <c r="AM197" s="150" t="str">
        <f t="shared" si="56"/>
        <v>start /low /b %USERPROFILE%\Documents\GitHub\eaglep3\Utilities\DownloadLogsFromS3.py --loco 4009 --day 2017-03-27</v>
      </c>
      <c r="AN197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783</v>
      </c>
      <c r="B198" s="7">
        <v>4010</v>
      </c>
      <c r="C198" s="21" t="s">
        <v>218</v>
      </c>
      <c r="D198" s="21" t="s">
        <v>955</v>
      </c>
      <c r="E198" s="13">
        <v>42821.774756944447</v>
      </c>
      <c r="F198" s="13">
        <v>42821.775914351849</v>
      </c>
      <c r="G198" s="7">
        <v>1</v>
      </c>
      <c r="H198" s="21" t="s">
        <v>975</v>
      </c>
      <c r="I198" s="13">
        <v>42821.789988425924</v>
      </c>
      <c r="J198" s="7">
        <v>0</v>
      </c>
      <c r="K198" s="97" t="str">
        <f t="shared" si="58"/>
        <v>4009/4010</v>
      </c>
      <c r="L198" s="21" t="str">
        <f>VLOOKUP(A198,'Trips&amp;Operators'!$C$1:$G$99999,5,FALSE)</f>
        <v>LEVIN SCOTT</v>
      </c>
      <c r="M198" s="6">
        <f t="shared" si="59"/>
        <v>1.4074074075324461E-2</v>
      </c>
      <c r="N198" s="7">
        <f t="shared" si="76"/>
        <v>20.266666668467224</v>
      </c>
      <c r="O198" s="7"/>
      <c r="P198" s="7"/>
      <c r="Q198" s="22"/>
      <c r="R198" s="22"/>
      <c r="S198" s="31">
        <f t="shared" si="75"/>
        <v>1</v>
      </c>
      <c r="T198" s="46" t="str">
        <f t="shared" si="60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61"/>
        <v>https://d0f6bd738d7f1b3e5a7ca70fe4ff75f0.us-east-1.aws.found.io/app/kibana#/discover/Steve-Slow-Train-Analysis-(2080s-and-2083s)?_g=(refreshInterval:(display:Off,pause:!f,section:0,value:0),time:(from:'2017-03-27T17:35:39-0600',mode:absolute,to:'2017-03-27T19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83" t="str">
        <f t="shared" si="62"/>
        <v>N</v>
      </c>
      <c r="X198" s="183">
        <f t="shared" si="74"/>
        <v>1</v>
      </c>
      <c r="Y198" s="62">
        <f t="shared" si="63"/>
        <v>5.8613</v>
      </c>
      <c r="Z198" s="62">
        <f t="shared" si="77"/>
        <v>6.54E-2</v>
      </c>
      <c r="AA198" s="62">
        <f t="shared" si="65"/>
        <v>5.7958999999999996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6"/>
        <v>0838-27</v>
      </c>
      <c r="AE198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198" s="82" t="str">
        <f t="shared" si="68"/>
        <v>"C:\Program Files (x86)\AstroGrep\AstroGrep.exe" /e /r /s /spath="%USERPROFILE%\AppData\Local\Temp\OnboardLogs" /stypes="app*4010*20170328*" /stext=" 00:.+((SYSTEM_STATE.+slice.+state.+changed )|(ment ac)|(multiple cpu faults)|(system.+state.+changed )|(\[timeout)|(PRM\|1\|D)|(kpr)|(kdp)|(\|lc)|(penalty))"</v>
      </c>
      <c r="AG198" s="1" t="str">
        <f t="shared" si="69"/>
        <v>NW</v>
      </c>
      <c r="AH198" s="86" t="str">
        <f t="shared" si="54"/>
        <v>"%USERPROFILE%\Documents\GitHub\eaglep3\Utilities\RefineRTDCRunTimes.py" --tripid 838-27 --locoid 4010 --swversion DE.1.0.9.0 --startMP 300:58613 --initTime 2017-03-27T18:35:39 --startdatetime 2017-03-27T18:37:19 --delay 1 --endMP 204:654 --enddatetime 2017-03-27T18:57:35 --enforcementcount 0 &gt;&gt;C:\Users\stu\Documents\GitHub\eaglep3-reporting\EC\2017-03-27-refined-times.txt</v>
      </c>
      <c r="AI198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api","custom_fields":[{"id":1,"name":"Subdivision","value":"NW"},{"id":4,"name":"Milepost","value":"0.0654"},{"id":17,"name":"Train ID","value":"838-27"},{"id":16,"name":"Locomotive ID","value":"4010"},{"id":130,"name":"Impact","value":""},{"id":150,"name":"Time of Event (Mountain Time)","value":"18:57:35"},{"id":151,"name":"Denver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 t="s">
        <v>590</v>
      </c>
      <c r="AK198" s="48"/>
      <c r="AL198" s="48"/>
      <c r="AM198" s="150" t="str">
        <f t="shared" si="56"/>
        <v>start /low /b %USERPROFILE%\Documents\GitHub\eaglep3\Utilities\DownloadLogsFromS3.py --loco 4010 --day 2017-03-27</v>
      </c>
      <c r="AN198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782</v>
      </c>
      <c r="B199" s="7">
        <v>4044</v>
      </c>
      <c r="C199" s="21" t="s">
        <v>218</v>
      </c>
      <c r="D199" s="21" t="s">
        <v>976</v>
      </c>
      <c r="E199" s="13">
        <v>42821.770925925928</v>
      </c>
      <c r="F199" s="13">
        <v>42821.785567129627</v>
      </c>
      <c r="G199" s="7">
        <v>1</v>
      </c>
      <c r="H199" s="21" t="s">
        <v>977</v>
      </c>
      <c r="I199" s="13">
        <v>42821.794525462959</v>
      </c>
      <c r="J199" s="7">
        <v>0</v>
      </c>
      <c r="K199" s="97" t="str">
        <f t="shared" si="58"/>
        <v>4043/4044</v>
      </c>
      <c r="L199" s="21" t="str">
        <f>VLOOKUP(A199,'Trips&amp;Operators'!$C$1:$G$99999,5,FALSE)</f>
        <v>NEWELL JAMES</v>
      </c>
      <c r="M199" s="6">
        <f t="shared" si="59"/>
        <v>8.9583333319751546E-3</v>
      </c>
      <c r="N199" s="7">
        <f t="shared" si="76"/>
        <v>12.899999998044223</v>
      </c>
      <c r="O199" s="7"/>
      <c r="P199" s="7"/>
      <c r="Q199" s="22"/>
      <c r="R199" s="22"/>
      <c r="S199" s="31">
        <f t="shared" si="75"/>
        <v>1</v>
      </c>
      <c r="T199" s="46" t="str">
        <f t="shared" si="60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61"/>
        <v>https://d0f6bd738d7f1b3e5a7ca70fe4ff75f0.us-east-1.aws.found.io/app/kibana#/discover/Steve-Slow-Train-Analysis-(2080s-and-2083s)?_g=(refreshInterval:(display:Off,pause:!f,section:0,value:0),time:(from:'2017-03-27T17:30:08-0600',mode:absolute,to:'2017-03-27T20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9" s="183" t="str">
        <f t="shared" si="62"/>
        <v>N</v>
      </c>
      <c r="X199" s="183">
        <f t="shared" si="74"/>
        <v>1</v>
      </c>
      <c r="Y199" s="62">
        <f t="shared" si="63"/>
        <v>9.5500000000000002E-2</v>
      </c>
      <c r="Z199" s="62">
        <f t="shared" si="77"/>
        <v>5.8924000000000003</v>
      </c>
      <c r="AA199" s="62">
        <f t="shared" si="65"/>
        <v>5.7968999999999999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6"/>
        <v>0839-27</v>
      </c>
      <c r="AE199" s="85" t="str">
        <f t="shared" si="67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199" s="82" t="str">
        <f t="shared" si="68"/>
        <v>"C:\Program Files (x86)\AstroGrep\AstroGrep.exe" /e /r /s /spath="%USERPROFILE%\AppData\Local\Temp\OnboardLogs" /stypes="app*4044*20170328*" /stext=" 01:.+((SYSTEM_STATE.+slice.+state.+changed )|(ment ac)|(multiple cpu faults)|(system.+state.+changed )|(\[timeout)|(PRM\|1\|D)|(kpr)|(kdp)|(\|lc)|(penalty))"</v>
      </c>
      <c r="AG199" s="1" t="str">
        <f t="shared" si="69"/>
        <v>NW</v>
      </c>
      <c r="AH199" s="86" t="str">
        <f t="shared" si="54"/>
        <v>"%USERPROFILE%\Documents\GitHub\eaglep3\Utilities\RefineRTDCRunTimes.py" --tripid 839-27 --locoid 4044 --swversion DE.1.0.9.0 --startMP 204:955 --initTime 2017-03-27T18:30:08 --startdatetime 2017-03-27T18:51:13 --delay 1 --endMP 300:58924 --enddatetime 2017-03-27T19:04:07 --enforcementcount 0 &gt;&gt;C:\Users\stu\Documents\GitHub\eaglep3-reporting\EC\2017-03-27-refined-times.txt</v>
      </c>
      <c r="AI199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api","custom_fields":[{"id":1,"name":"Subdivision","value":"NW"},{"id":4,"name":"Milepost","value":"5.8924"},{"id":17,"name":"Train ID","value":"839-27"},{"id":16,"name":"Locomotive ID","value":"4044"},{"id":130,"name":"Impact","value":""},{"id":150,"name":"Time of Event (Mountain Time)","value":"19:04:07"},{"id":151,"name":"Denver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 t="s">
        <v>590</v>
      </c>
      <c r="AK199" s="48"/>
      <c r="AL199" s="48"/>
      <c r="AM199" s="150" t="str">
        <f t="shared" si="56"/>
        <v>start /low /b %USERPROFILE%\Documents\GitHub\eaglep3\Utilities\DownloadLogsFromS3.py --loco 4044 --day 2017-03-27</v>
      </c>
      <c r="AN199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793</v>
      </c>
      <c r="B200" s="7">
        <v>4010</v>
      </c>
      <c r="C200" s="21" t="s">
        <v>218</v>
      </c>
      <c r="D200" s="21" t="s">
        <v>978</v>
      </c>
      <c r="E200" s="13">
        <v>42821.816157407404</v>
      </c>
      <c r="F200" s="13">
        <v>42821.817407407405</v>
      </c>
      <c r="G200" s="7">
        <v>1</v>
      </c>
      <c r="H200" s="21" t="s">
        <v>939</v>
      </c>
      <c r="I200" s="13">
        <v>42821.829756944448</v>
      </c>
      <c r="J200" s="7">
        <v>0</v>
      </c>
      <c r="K200" s="97" t="str">
        <f t="shared" si="58"/>
        <v>4009/4010</v>
      </c>
      <c r="L200" s="21" t="str">
        <f>VLOOKUP(A200,'Trips&amp;Operators'!$C$1:$G$99999,5,FALSE)</f>
        <v>LEVIN SCOTT</v>
      </c>
      <c r="M200" s="6">
        <f t="shared" si="59"/>
        <v>1.2349537042609882E-2</v>
      </c>
      <c r="N200" s="7">
        <f t="shared" si="76"/>
        <v>17.78333334135823</v>
      </c>
      <c r="O200" s="7"/>
      <c r="P200" s="7"/>
      <c r="Q200" s="22"/>
      <c r="R200" s="22"/>
      <c r="S200" s="31">
        <f t="shared" si="75"/>
        <v>1</v>
      </c>
      <c r="T200" s="46" t="str">
        <f t="shared" si="60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61"/>
        <v>https://d0f6bd738d7f1b3e5a7ca70fe4ff75f0.us-east-1.aws.found.io/app/kibana#/discover/Steve-Slow-Train-Analysis-(2080s-and-2083s)?_g=(refreshInterval:(display:Off,pause:!f,section:0,value:0),time:(from:'2017-03-27T18:35:16-0600',mode:absolute,to:'2017-03-27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83" t="str">
        <f t="shared" si="62"/>
        <v>N</v>
      </c>
      <c r="X200" s="183">
        <f t="shared" si="74"/>
        <v>1</v>
      </c>
      <c r="Y200" s="62">
        <f t="shared" si="63"/>
        <v>5.8620999999999999</v>
      </c>
      <c r="Z200" s="62">
        <f t="shared" si="77"/>
        <v>6.4899999999999999E-2</v>
      </c>
      <c r="AA200" s="62">
        <f t="shared" si="65"/>
        <v>5.7972000000000001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6"/>
        <v>0840-27</v>
      </c>
      <c r="AE200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200" s="82" t="str">
        <f t="shared" si="68"/>
        <v>"C:\Program Files (x86)\AstroGrep\AstroGrep.exe" /e /r /s /spath="%USERPROFILE%\AppData\Local\Temp\OnboardLogs" /stypes="app*4010*20170328*" /stext=" 01:.+((SYSTEM_STATE.+slice.+state.+changed )|(ment ac)|(multiple cpu faults)|(system.+state.+changed )|(\[timeout)|(PRM\|1\|D)|(kpr)|(kdp)|(\|lc)|(penalty))"</v>
      </c>
      <c r="AG200" s="1" t="str">
        <f t="shared" si="69"/>
        <v>NW</v>
      </c>
      <c r="AH200" s="86" t="str">
        <f t="shared" si="54"/>
        <v>"%USERPROFILE%\Documents\GitHub\eaglep3\Utilities\RefineRTDCRunTimes.py" --tripid 840-27 --locoid 4010 --swversion DE.1.0.9.0 --startMP 300:58621 --initTime 2017-03-27T19:35:16 --startdatetime 2017-03-27T19:37:04 --delay 1 --endMP 204:649 --enddatetime 2017-03-27T19:54:51 --enforcementcount 0 &gt;&gt;C:\Users\stu\Documents\GitHub\eaglep3-reporting\EC\2017-03-27-refined-times.txt</v>
      </c>
      <c r="AI200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api","custom_fields":[{"id":1,"name":"Subdivision","value":"NW"},{"id":4,"name":"Milepost","value":"0.0649"},{"id":17,"name":"Train ID","value":"840-27"},{"id":16,"name":"Locomotive ID","value":"4010"},{"id":130,"name":"Impact","value":""},{"id":150,"name":"Time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 t="s">
        <v>590</v>
      </c>
      <c r="AK200" s="48"/>
      <c r="AL200" s="48"/>
      <c r="AM200" s="150" t="str">
        <f t="shared" si="56"/>
        <v>start /low /b %USERPROFILE%\Documents\GitHub\eaglep3\Utilities\DownloadLogsFromS3.py --loco 4010 --day 2017-03-27</v>
      </c>
      <c r="AN200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790</v>
      </c>
      <c r="B201" s="7">
        <v>4009</v>
      </c>
      <c r="C201" s="21" t="s">
        <v>218</v>
      </c>
      <c r="D201" s="21" t="s">
        <v>979</v>
      </c>
      <c r="E201" s="13">
        <v>42821.800937499997</v>
      </c>
      <c r="F201" s="13">
        <v>42821.806423611109</v>
      </c>
      <c r="G201" s="7">
        <v>1</v>
      </c>
      <c r="H201" s="21" t="s">
        <v>980</v>
      </c>
      <c r="I201" s="13">
        <v>42821.815196759257</v>
      </c>
      <c r="J201" s="7">
        <v>0</v>
      </c>
      <c r="K201" s="97" t="str">
        <f t="shared" si="58"/>
        <v>4009/4010</v>
      </c>
      <c r="L201" s="21" t="str">
        <f>VLOOKUP(A201,'Trips&amp;Operators'!$C$1:$G$99999,5,FALSE)</f>
        <v>LEVIN SCOTT</v>
      </c>
      <c r="M201" s="6">
        <f t="shared" si="59"/>
        <v>8.7731481471564621E-3</v>
      </c>
      <c r="N201" s="7">
        <f t="shared" si="76"/>
        <v>12.633333331905305</v>
      </c>
      <c r="O201" s="7"/>
      <c r="P201" s="7"/>
      <c r="Q201" s="22"/>
      <c r="R201" s="22"/>
      <c r="S201" s="31">
        <f t="shared" si="75"/>
        <v>1</v>
      </c>
      <c r="T201" s="46" t="str">
        <f t="shared" si="60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61"/>
        <v>https://d0f6bd738d7f1b3e5a7ca70fe4ff75f0.us-east-1.aws.found.io/app/kibana#/discover/Steve-Slow-Train-Analysis-(2080s-and-2083s)?_g=(refreshInterval:(display:Off,pause:!f,section:0,value:0),time:(from:'2017-03-27T18:13:21-0600',mode:absolute,to:'2017-03-27T20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83" t="str">
        <f t="shared" si="62"/>
        <v>N</v>
      </c>
      <c r="X201" s="183">
        <f t="shared" ref="X201:X232" si="78">VALUE(LEFT(AD201,4))-VALUE(LEFT(AD200,4))</f>
        <v>1</v>
      </c>
      <c r="Y201" s="62">
        <f t="shared" si="63"/>
        <v>9.5699999999999993E-2</v>
      </c>
      <c r="Z201" s="62">
        <f t="shared" si="77"/>
        <v>5.8921999999999999</v>
      </c>
      <c r="AA201" s="62">
        <f t="shared" si="65"/>
        <v>5.7965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6"/>
        <v>0841-27</v>
      </c>
      <c r="AE201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201" s="82" t="str">
        <f t="shared" si="68"/>
        <v>"C:\Program Files (x86)\AstroGrep\AstroGrep.exe" /e /r /s /spath="%USERPROFILE%\AppData\Local\Temp\OnboardLogs" /stypes="app*4009*20170328*" /stext=" 01:.+((SYSTEM_STATE.+slice.+state.+changed )|(ment ac)|(multiple cpu faults)|(system.+state.+changed )|(\[timeout)|(PRM\|1\|D)|(kpr)|(kdp)|(\|lc)|(penalty))"</v>
      </c>
      <c r="AG201" s="1" t="str">
        <f t="shared" si="69"/>
        <v>NW</v>
      </c>
      <c r="AH201" s="86" t="str">
        <f t="shared" si="54"/>
        <v>"%USERPROFILE%\Documents\GitHub\eaglep3\Utilities\RefineRTDCRunTimes.py" --tripid 841-27 --locoid 4009 --swversion DE.1.0.9.0 --startMP 204:957 --initTime 2017-03-27T19:13:21 --startdatetime 2017-03-27T19:21:15 --delay 1 --endMP 300:58922 --enddatetime 2017-03-27T19:33:53 --enforcementcount 0 &gt;&gt;C:\Users\stu\Documents\GitHub\eaglep3-reporting\EC\2017-03-27-refined-times.txt</v>
      </c>
      <c r="AI201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api","custom_fields":[{"id":1,"name":"Subdivision","value":"NW"},{"id":4,"name":"Milepost","value":"5.8922"},{"id":17,"name":"Train ID","value":"841-27"},{"id":16,"name":"Locomotive ID","value":"4009"},{"id":130,"name":"Impact","value":""},{"id":150,"name":"Time of Event (Mountain Time)","value":"19:33:53"},{"id":151,"name":"Denver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 t="s">
        <v>590</v>
      </c>
      <c r="AK201" s="48"/>
      <c r="AL201" s="48"/>
      <c r="AM201" s="150" t="str">
        <f t="shared" si="56"/>
        <v>start /low /b %USERPROFILE%\Documents\GitHub\eaglep3\Utilities\DownloadLogsFromS3.py --loco 4009 --day 2017-03-27</v>
      </c>
      <c r="AN201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798</v>
      </c>
      <c r="B202" s="7">
        <v>4010</v>
      </c>
      <c r="C202" s="21" t="s">
        <v>218</v>
      </c>
      <c r="D202" s="21" t="s">
        <v>978</v>
      </c>
      <c r="E202" s="13">
        <v>42821.857986111114</v>
      </c>
      <c r="F202" s="13">
        <v>42821.859259259261</v>
      </c>
      <c r="G202" s="7">
        <v>1</v>
      </c>
      <c r="H202" s="21" t="s">
        <v>981</v>
      </c>
      <c r="I202" s="13">
        <v>42821.871307870373</v>
      </c>
      <c r="J202" s="7">
        <v>0</v>
      </c>
      <c r="K202" s="97" t="str">
        <f t="shared" si="58"/>
        <v>4009/4010</v>
      </c>
      <c r="L202" s="21" t="str">
        <f>VLOOKUP(A202,'Trips&amp;Operators'!$C$1:$G$99999,5,FALSE)</f>
        <v>LEVIN SCOTT</v>
      </c>
      <c r="M202" s="6">
        <f t="shared" si="59"/>
        <v>1.2048611111822538E-2</v>
      </c>
      <c r="N202" s="7">
        <f t="shared" si="76"/>
        <v>17.350000001024455</v>
      </c>
      <c r="O202" s="7"/>
      <c r="P202" s="7"/>
      <c r="Q202" s="22"/>
      <c r="R202" s="22"/>
      <c r="S202" s="31">
        <f t="shared" si="75"/>
        <v>1</v>
      </c>
      <c r="T202" s="46" t="str">
        <f t="shared" si="60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61"/>
        <v>https://d0f6bd738d7f1b3e5a7ca70fe4ff75f0.us-east-1.aws.found.io/app/kibana#/discover/Steve-Slow-Train-Analysis-(2080s-and-2083s)?_g=(refreshInterval:(display:Off,pause:!f,section:0,value:0),time:(from:'2017-03-27T19:35:30-0600',mode:absolute,to:'2017-03-27T21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83" t="str">
        <f t="shared" si="62"/>
        <v>N</v>
      </c>
      <c r="X202" s="183">
        <f t="shared" si="78"/>
        <v>1</v>
      </c>
      <c r="Y202" s="62">
        <f t="shared" si="63"/>
        <v>5.8620999999999999</v>
      </c>
      <c r="Z202" s="62">
        <f t="shared" si="77"/>
        <v>6.6600000000000006E-2</v>
      </c>
      <c r="AA202" s="62">
        <f t="shared" si="65"/>
        <v>5.7954999999999997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6"/>
        <v>0842-27</v>
      </c>
      <c r="AE202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202" s="82" t="str">
        <f t="shared" si="68"/>
        <v>"C:\Program Files (x86)\AstroGrep\AstroGrep.exe" /e /r /s /spath="%USERPROFILE%\AppData\Local\Temp\OnboardLogs" /stypes="app*4010*20170328*" /stext=" 02:.+((SYSTEM_STATE.+slice.+state.+changed )|(ment ac)|(multiple cpu faults)|(system.+state.+changed )|(\[timeout)|(PRM\|1\|D)|(kpr)|(kdp)|(\|lc)|(penalty))"</v>
      </c>
      <c r="AG202" s="1" t="str">
        <f t="shared" si="69"/>
        <v>NW</v>
      </c>
      <c r="AH202" s="86" t="str">
        <f t="shared" si="54"/>
        <v>"%USERPROFILE%\Documents\GitHub\eaglep3\Utilities\RefineRTDCRunTimes.py" --tripid 842-27 --locoid 4010 --swversion DE.1.0.9.0 --startMP 300:58621 --initTime 2017-03-27T20:35:30 --startdatetime 2017-03-27T20:37:20 --delay 1 --endMP 204:666 --enddatetime 2017-03-27T20:54:41 --enforcementcount 0 &gt;&gt;C:\Users\stu\Documents\GitHub\eaglep3-reporting\EC\2017-03-27-refined-times.txt</v>
      </c>
      <c r="AI202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api","custom_fields":[{"id":1,"name":"Subdivision","value":"NW"},{"id":4,"name":"Milepost","value":"0.0666"},{"id":17,"name":"Train ID","value":"842-27"},{"id":16,"name":"Locomotive ID","value":"4010"},{"id":130,"name":"Impact","value":""},{"id":150,"name":"Time of Event (Mountain Time)","value":"20:54:41"},{"id":151,"name":"Denver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 t="s">
        <v>590</v>
      </c>
      <c r="AK202" s="48"/>
      <c r="AL202" s="48"/>
      <c r="AM202" s="150" t="str">
        <f t="shared" si="56"/>
        <v>start /low /b %USERPROFILE%\Documents\GitHub\eaglep3\Utilities\DownloadLogsFromS3.py --loco 4010 --day 2017-03-27</v>
      </c>
      <c r="AN202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796</v>
      </c>
      <c r="B203" s="7">
        <v>4009</v>
      </c>
      <c r="C203" s="21" t="s">
        <v>218</v>
      </c>
      <c r="D203" s="21" t="s">
        <v>982</v>
      </c>
      <c r="E203" s="13">
        <v>42821.845127314817</v>
      </c>
      <c r="F203" s="13">
        <v>42821.848101851851</v>
      </c>
      <c r="G203" s="7">
        <v>3</v>
      </c>
      <c r="H203" s="21" t="s">
        <v>521</v>
      </c>
      <c r="I203" s="13">
        <v>42821.856956018521</v>
      </c>
      <c r="J203" s="7">
        <v>0</v>
      </c>
      <c r="K203" s="97" t="str">
        <f t="shared" si="58"/>
        <v>4009/4010</v>
      </c>
      <c r="L203" s="21" t="str">
        <f>VLOOKUP(A203,'Trips&amp;Operators'!$C$1:$G$99999,5,FALSE)</f>
        <v>LEVIN SCOTT</v>
      </c>
      <c r="M203" s="6">
        <f t="shared" si="59"/>
        <v>8.8541666700621136E-3</v>
      </c>
      <c r="N203" s="7">
        <f t="shared" si="76"/>
        <v>12.750000004889444</v>
      </c>
      <c r="O203" s="7"/>
      <c r="P203" s="7"/>
      <c r="Q203" s="22"/>
      <c r="R203" s="22"/>
      <c r="S203" s="31">
        <f t="shared" si="75"/>
        <v>1</v>
      </c>
      <c r="T203" s="46" t="str">
        <f t="shared" si="60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1"/>
        <v>https://d0f6bd738d7f1b3e5a7ca70fe4ff75f0.us-east-1.aws.found.io/app/kibana#/discover/Steve-Slow-Train-Analysis-(2080s-and-2083s)?_g=(refreshInterval:(display:Off,pause:!f,section:0,value:0),time:(from:'2017-03-27T19:16:59-0600',mode:absolute,to:'2017-03-27T21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3" t="str">
        <f t="shared" si="62"/>
        <v>N</v>
      </c>
      <c r="X203" s="183">
        <f t="shared" si="78"/>
        <v>1</v>
      </c>
      <c r="Y203" s="62">
        <f t="shared" si="63"/>
        <v>9.4399999999999998E-2</v>
      </c>
      <c r="Z203" s="62">
        <f t="shared" si="77"/>
        <v>5.8935000000000004</v>
      </c>
      <c r="AA203" s="62">
        <f t="shared" si="65"/>
        <v>5.7991000000000001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6"/>
        <v>0843-27</v>
      </c>
      <c r="AE203" s="85" t="str">
        <f t="shared" si="67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203" s="82" t="str">
        <f t="shared" si="68"/>
        <v>"C:\Program Files (x86)\AstroGrep\AstroGrep.exe" /e /r /s /spath="%USERPROFILE%\AppData\Local\Temp\OnboardLogs" /stypes="app*4009*20170328*" /stext=" 02:.+((SYSTEM_STATE.+slice.+state.+changed )|(ment ac)|(multiple cpu faults)|(system.+state.+changed )|(\[timeout)|(PRM\|1\|D)|(kpr)|(kdp)|(\|lc)|(penalty))"</v>
      </c>
      <c r="AG203" s="1" t="str">
        <f t="shared" si="69"/>
        <v>NW</v>
      </c>
      <c r="AH203" s="86" t="str">
        <f t="shared" si="54"/>
        <v>"%USERPROFILE%\Documents\GitHub\eaglep3\Utilities\RefineRTDCRunTimes.py" --tripid 843-27 --locoid 4009 --swversion DE.1.0.9.0 --startMP 204:944 --initTime 2017-03-27T20:16:59 --startdatetime 2017-03-27T20:21:16 --delay 3 --endMP 300:58935 --enddatetime 2017-03-27T20:34:01 --enforcementcount 0 &gt;&gt;C:\Users\stu\Documents\GitHub\eaglep3-reporting\EC\2017-03-27-refined-times.txt</v>
      </c>
      <c r="AI203" s="104" t="str">
        <f t="shared" si="55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api","custom_fields":[{"id":1,"name":"Subdivision","value":"NW"},{"id":4,"name":"Milepost","value":"5.8935"},{"id":17,"name":"Train ID","value":"843-27"},{"id":16,"name":"Locomotive ID","value":"4009"},{"id":130,"name":"Impact","value":""},{"id":150,"name":"Time of Event (Mountain Time)","value":"20:34:01"},{"id":151,"name":"Denver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 t="s">
        <v>590</v>
      </c>
      <c r="AK203" s="48"/>
      <c r="AL203" s="48"/>
      <c r="AM203" s="150" t="str">
        <f t="shared" si="56"/>
        <v>start /low /b %USERPROFILE%\Documents\GitHub\eaglep3\Utilities\DownloadLogsFromS3.py --loco 4009 --day 2017-03-27</v>
      </c>
      <c r="AN203" s="159" t="str">
        <f t="shared" si="57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02:34:01"},{"id":29,"name":"Sharepoint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805</v>
      </c>
      <c r="B204" s="7">
        <v>4010</v>
      </c>
      <c r="C204" s="21" t="s">
        <v>218</v>
      </c>
      <c r="D204" s="21" t="s">
        <v>958</v>
      </c>
      <c r="E204" s="13">
        <v>42821.90053240741</v>
      </c>
      <c r="F204" s="13">
        <v>42821.90216435185</v>
      </c>
      <c r="G204" s="7">
        <v>1</v>
      </c>
      <c r="H204" s="21" t="s">
        <v>983</v>
      </c>
      <c r="I204" s="13">
        <v>42821.916863425926</v>
      </c>
      <c r="J204" s="7">
        <v>0</v>
      </c>
      <c r="K204" s="97" t="str">
        <f t="shared" si="58"/>
        <v>4009/4010</v>
      </c>
      <c r="L204" s="21" t="str">
        <f>VLOOKUP(A204,'Trips&amp;Operators'!$C$1:$G$99999,5,FALSE)</f>
        <v>NEWELL JAMES</v>
      </c>
      <c r="M204" s="6">
        <f t="shared" si="59"/>
        <v>1.4699074075906537E-2</v>
      </c>
      <c r="N204" s="7">
        <f t="shared" si="76"/>
        <v>21.166666669305414</v>
      </c>
      <c r="O204" s="7"/>
      <c r="P204" s="7"/>
      <c r="Q204" s="22"/>
      <c r="R204" s="22"/>
      <c r="S204" s="31">
        <f t="shared" si="75"/>
        <v>1</v>
      </c>
      <c r="T204" s="46" t="str">
        <f t="shared" si="60"/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1"/>
        <v>https://d0f6bd738d7f1b3e5a7ca70fe4ff75f0.us-east-1.aws.found.io/app/kibana#/discover/Steve-Slow-Train-Analysis-(2080s-and-2083s)?_g=(refreshInterval:(display:Off,pause:!f,section:0,value:0),time:(from:'2017-03-27T20:36:46-0600',mode:absolute,to:'2017-03-27T23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83" t="str">
        <f t="shared" si="62"/>
        <v>N</v>
      </c>
      <c r="X204" s="183">
        <f t="shared" si="78"/>
        <v>1</v>
      </c>
      <c r="Y204" s="62">
        <f t="shared" si="63"/>
        <v>5.8619000000000003</v>
      </c>
      <c r="Z204" s="62">
        <f t="shared" si="77"/>
        <v>6.5000000000000002E-2</v>
      </c>
      <c r="AA204" s="62">
        <f t="shared" si="65"/>
        <v>5.7968999999999999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6"/>
        <v>0844-27</v>
      </c>
      <c r="AE204" s="85" t="str">
        <f t="shared" si="67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204" s="82" t="str">
        <f t="shared" si="68"/>
        <v>"C:\Program Files (x86)\AstroGrep\AstroGrep.exe" /e /r /s /spath="%USERPROFILE%\AppData\Local\Temp\OnboardLogs" /stypes="app*4010*20170328*" /stext=" 04:.+((SYSTEM_STATE.+slice.+state.+changed )|(ment ac)|(multiple cpu faults)|(system.+state.+changed )|(\[timeout)|(PRM\|1\|D)|(kpr)|(kdp)|(\|lc)|(penalty))"</v>
      </c>
      <c r="AG204" s="1" t="str">
        <f t="shared" si="69"/>
        <v>NW</v>
      </c>
      <c r="AH204" s="86" t="str">
        <f t="shared" ref="AH204:AH239" si="7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844-27 --locoid 4010 --swversion DE.1.0.9.0 --startMP 300:58619 --initTime 2017-03-27T21:36:46 --startdatetime 2017-03-27T21:39:07 --delay 1 --endMP 204:650 --enddatetime 2017-03-27T22:00:17 --enforcementcount 0 &gt;&gt;C:\Users\stu\Documents\GitHub\eaglep3-reporting\EC\2017-03-27-refined-times.txt</v>
      </c>
      <c r="AI204" s="104" t="str">
        <f t="shared" ref="AI204:AI239" si="8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{"issue":{"subject":"","project_id":79,"tracker_id":40,"status_id":1,"priority_id":2,"assigned_to_id":23,"start_date":"2017-03-27","description":"test from api","custom_fields":[{"id":1,"name":"Subdivision","value":"NW"},{"id":4,"name":"Milepost","value":"0.065"},{"id":17,"name":"Train ID","value":"844-27"},{"id":16,"name":"Locomotive ID","value":"4010"},{"id":130,"name":"Impact","value":""},{"id":150,"name":"Time of Event (Mountain Time)","value":"22:00:17"},{"id":151,"name":"Denver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 t="s">
        <v>590</v>
      </c>
      <c r="AK204" s="48"/>
      <c r="AL204" s="48"/>
      <c r="AM204" s="150" t="str">
        <f t="shared" ref="AM204:AM239" si="81">"start /low /b "&amp;dls3logs&amp;" --loco "&amp;B204&amp;" --day "&amp;TEXT(F204,"YYYY-MM-DD")</f>
        <v>start /low /b %USERPROFILE%\Documents\GitHub\eaglep3\Utilities\DownloadLogsFromS3.py --loco 4010 --day 2017-03-27</v>
      </c>
      <c r="AN204" s="159" t="str">
        <f t="shared" ref="AN204:AN239" si="82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800</v>
      </c>
      <c r="B205" s="7">
        <v>4009</v>
      </c>
      <c r="C205" s="21" t="s">
        <v>218</v>
      </c>
      <c r="D205" s="21" t="s">
        <v>583</v>
      </c>
      <c r="E205" s="13">
        <v>42821.873437499999</v>
      </c>
      <c r="F205" s="13">
        <v>42821.889745370368</v>
      </c>
      <c r="G205" s="7">
        <v>1</v>
      </c>
      <c r="H205" s="21" t="s">
        <v>522</v>
      </c>
      <c r="I205" s="13">
        <v>42821.89880787037</v>
      </c>
      <c r="J205" s="7">
        <v>0</v>
      </c>
      <c r="K205" s="97" t="str">
        <f t="shared" ref="K205:K239" si="83">IF(ISEVEN(B205),(B205-1)&amp;"/"&amp;B205,B205&amp;"/"&amp;(B205+1))</f>
        <v>4009/4010</v>
      </c>
      <c r="L205" s="21" t="str">
        <f>VLOOKUP(A205,'Trips&amp;Operators'!$C$1:$G$99999,5,FALSE)</f>
        <v>NEWELL JAMES</v>
      </c>
      <c r="M205" s="6">
        <f t="shared" ref="M205:M239" si="84">I205-F205</f>
        <v>9.0625000011641532E-3</v>
      </c>
      <c r="N205" s="7">
        <f t="shared" si="76"/>
        <v>13.050000001676381</v>
      </c>
      <c r="O205" s="7"/>
      <c r="P205" s="7"/>
      <c r="Q205" s="22"/>
      <c r="R205" s="22"/>
      <c r="S205" s="31">
        <f t="shared" si="75"/>
        <v>1</v>
      </c>
      <c r="T205" s="46" t="str">
        <f t="shared" ref="T205:T239" si="85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9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-27T19:57:45-0600',mode:absolute,to:'2017-03-27T22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83" t="str">
        <f t="shared" ref="W205:W239" si="87">IF(AA205&lt;IF(AG205="EC",23,5.65),"Y","N")</f>
        <v>N</v>
      </c>
      <c r="X205" s="183">
        <f t="shared" si="78"/>
        <v>1</v>
      </c>
      <c r="Y205" s="62">
        <f t="shared" ref="Y205:Y239" si="88">RIGHT(D205,LEN(D205)-4)/10000</f>
        <v>9.5100000000000004E-2</v>
      </c>
      <c r="Z205" s="62">
        <f t="shared" si="77"/>
        <v>5.8943000000000003</v>
      </c>
      <c r="AA205" s="62">
        <f t="shared" ref="AA205:AA239" si="89">ABS(Z205-Y205)</f>
        <v>5.7991999999999999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9" si="90">IF(LEN(A205)=6,"0"&amp;A205,A205)</f>
        <v>0845-27</v>
      </c>
      <c r="AE205" s="85" t="str">
        <f t="shared" ref="AE205:AE239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205" s="82" t="str">
        <f t="shared" ref="AF205:AF239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/stypes="app*4009*20170328*" /stext=" 03:.+((SYSTEM_STATE.+slice.+state.+changed )|(ment ac)|(multiple cpu faults)|(system.+state.+changed )|(\[timeout)|(PRM\|1\|D)|(kpr)|(kdp)|(\|lc)|(penalty))"</v>
      </c>
      <c r="AG205" s="1" t="str">
        <f t="shared" ref="AG205:AG239" si="93">IFERROR(IF(VALUE(LEFT(AD205,2))&lt;=2,"EC",IF(OR(VALUE(LEFT(AD205,2))=8,VALUE(LEFT(AD205,2))=18),"NW","Other")),"Other")</f>
        <v>NW</v>
      </c>
      <c r="AH205" s="86" t="str">
        <f t="shared" si="79"/>
        <v>"%USERPROFILE%\Documents\GitHub\eaglep3\Utilities\RefineRTDCRunTimes.py" --tripid 845-27 --locoid 4009 --swversion DE.1.0.9.0 --startMP 204:951 --initTime 2017-03-27T20:57:45 --startdatetime 2017-03-27T21:21:14 --delay 1 --endMP 300:58943 --enddatetime 2017-03-27T21:34:17 --enforcementcount 0 &gt;&gt;C:\Users\stu\Documents\GitHub\eaglep3-reporting\EC\2017-03-27-refined-times.txt</v>
      </c>
      <c r="AI205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api","custom_fields":[{"id":1,"name":"Subdivision","value":"NW"},{"id":4,"name":"Milepost","value":"5.8943"},{"id":17,"name":"Train ID","value":"845-27"},{"id":16,"name":"Locomotive ID","value":"4009"},{"id":130,"name":"Impact","value":""},{"id":150,"name":"Time of Event (Mountain Time)","value":"21:34:17"},{"id":151,"name":"Denver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 t="s">
        <v>590</v>
      </c>
      <c r="AK205" s="48"/>
      <c r="AL205" s="48"/>
      <c r="AM205" s="150" t="str">
        <f t="shared" si="81"/>
        <v>start /low /b %USERPROFILE%\Documents\GitHub\eaglep3\Utilities\DownloadLogsFromS3.py --loco 4009 --day 2017-03-27</v>
      </c>
      <c r="AN205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809</v>
      </c>
      <c r="B206" s="7">
        <v>4009</v>
      </c>
      <c r="C206" s="21" t="s">
        <v>218</v>
      </c>
      <c r="D206" s="21" t="s">
        <v>984</v>
      </c>
      <c r="E206" s="13">
        <v>42821.928969907407</v>
      </c>
      <c r="F206" s="13">
        <v>42821.93141203704</v>
      </c>
      <c r="G206" s="7">
        <v>1</v>
      </c>
      <c r="H206" s="21" t="s">
        <v>985</v>
      </c>
      <c r="I206" s="13">
        <v>42821.940972222219</v>
      </c>
      <c r="J206" s="7">
        <v>0</v>
      </c>
      <c r="K206" s="97" t="str">
        <f t="shared" si="83"/>
        <v>4009/4010</v>
      </c>
      <c r="L206" s="21" t="str">
        <f>VLOOKUP(A206,'Trips&amp;Operators'!$C$1:$G$99999,5,FALSE)</f>
        <v>NEWELL JAMES</v>
      </c>
      <c r="M206" s="6">
        <f t="shared" si="84"/>
        <v>9.5601851789979264E-3</v>
      </c>
      <c r="N206" s="7">
        <f t="shared" si="76"/>
        <v>13.766666657757014</v>
      </c>
      <c r="O206" s="7"/>
      <c r="P206" s="7"/>
      <c r="Q206" s="22"/>
      <c r="R206" s="22"/>
      <c r="S206" s="31">
        <f t="shared" si="75"/>
        <v>1</v>
      </c>
      <c r="T206" s="46" t="str">
        <f t="shared" si="85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6"/>
        <v>https://d0f6bd738d7f1b3e5a7ca70fe4ff75f0.us-east-1.aws.found.io/app/kibana#/discover/Steve-Slow-Train-Analysis-(2080s-and-2083s)?_g=(refreshInterval:(display:Off,pause:!f,section:0,value:0),time:(from:'2017-03-27T21:17:43-0600',mode:absolute,to:'2017-03-27T23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6" s="183" t="str">
        <f t="shared" si="87"/>
        <v>N</v>
      </c>
      <c r="X206" s="183">
        <f t="shared" si="78"/>
        <v>2</v>
      </c>
      <c r="Y206" s="62">
        <f t="shared" si="88"/>
        <v>9.4600000000000004E-2</v>
      </c>
      <c r="Z206" s="62">
        <f t="shared" si="77"/>
        <v>5.8920000000000003</v>
      </c>
      <c r="AA206" s="62">
        <f t="shared" si="89"/>
        <v>5.7974000000000006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0"/>
        <v>0847-27</v>
      </c>
      <c r="AE206" s="85" t="str">
        <f t="shared" si="91"/>
        <v>aws s3 cp s3://rtdc.mdm.uploadarchive.raw/RTDC4009/ "%USERPROFILE%\AppData\Local\Temp\OnboardLogs"\RTDC4009\2017-03-27 --exclude "*" --recursive --include "*20170327*" &amp; "%USERPROFILE%\Documents\GitHub\mrs-test-scripts\Headless Mode &amp; Sideloading\WalkAndUnGZ.bat" "%USERPROFILE%\AppData\Local\Temp\OnboardLogs"\RTDC4009\2017-03-27 &amp; aws s3 cp s3://rtdc.mdm.uploadarchive.raw/RTDC4009/ "%USERPROFILE%\AppData\Local\Temp\OnboardLogs"\RTDC4009\2017-03-28 --exclude "*" --recursive --include "*20170328*" &amp; "%USERPROFILE%\Documents\GitHub\mrs-test-scripts\Headless Mode &amp; Sideloading\WalkAndUnGZ.bat" "%USERPROFILE%\AppData\Local\Temp\OnboardLogs"\RTDC4009\2017-03-28</v>
      </c>
      <c r="AF206" s="82" t="str">
        <f t="shared" si="92"/>
        <v>"C:\Program Files (x86)\AstroGrep\AstroGrep.exe" /e /r /s /spath="%USERPROFILE%\AppData\Local\Temp\OnboardLogs" /stypes="app*4009*20170328*" /stext=" 04:.+((SYSTEM_STATE.+slice.+state.+changed )|(ment ac)|(multiple cpu faults)|(system.+state.+changed )|(\[timeout)|(PRM\|1\|D)|(kpr)|(kdp)|(\|lc)|(penalty))"</v>
      </c>
      <c r="AG206" s="1" t="str">
        <f t="shared" si="93"/>
        <v>NW</v>
      </c>
      <c r="AH206" s="86" t="str">
        <f t="shared" si="79"/>
        <v>"%USERPROFILE%\Documents\GitHub\eaglep3\Utilities\RefineRTDCRunTimes.py" --tripid 847-27 --locoid 4009 --swversion DE.1.0.9.0 --startMP 204:946 --initTime 2017-03-27T22:17:43 --startdatetime 2017-03-27T22:21:14 --delay 1 --endMP 300:58920 --enddatetime 2017-03-27T22:35:00 --enforcementcount 0 &gt;&gt;C:\Users\stu\Documents\GitHub\eaglep3-reporting\EC\2017-03-27-refined-times.txt</v>
      </c>
      <c r="AI206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api","custom_fields":[{"id":1,"name":"Subdivision","value":"NW"},{"id":4,"name":"Milepost","value":"5.892"},{"id":17,"name":"Train ID","value":"847-27"},{"id":16,"name":"Locomotive ID","value":"4009"},{"id":130,"name":"Impact","value":""},{"id":150,"name":"Time of Event (Mountain Time)","value":"22:35:00"},{"id":151,"name":"Denver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 t="s">
        <v>590</v>
      </c>
      <c r="AK206" s="48"/>
      <c r="AL206" s="48"/>
      <c r="AM206" s="150" t="str">
        <f t="shared" si="81"/>
        <v>start /low /b %USERPROFILE%\Documents\GitHub\eaglep3\Utilities\DownloadLogsFromS3.py --loco 4009 --day 2017-03-27</v>
      </c>
      <c r="AN206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628</v>
      </c>
      <c r="B207" s="7">
        <v>4039</v>
      </c>
      <c r="C207" s="21" t="s">
        <v>218</v>
      </c>
      <c r="D207" s="21" t="s">
        <v>905</v>
      </c>
      <c r="E207" s="13">
        <v>42821.115833333337</v>
      </c>
      <c r="F207" s="13">
        <v>42821.118969907409</v>
      </c>
      <c r="G207" s="7">
        <v>4</v>
      </c>
      <c r="H207" s="21" t="s">
        <v>556</v>
      </c>
      <c r="I207" s="13">
        <v>42821.122939814813</v>
      </c>
      <c r="J207" s="7">
        <v>0</v>
      </c>
      <c r="K207" s="97" t="str">
        <f t="shared" si="83"/>
        <v>4039/4040</v>
      </c>
      <c r="L207" s="21" t="str">
        <f>VLOOKUP(A207,'Trips&amp;Operators'!$C$1:$G$99999,5,FALSE)</f>
        <v>SANTIZO D. EDY</v>
      </c>
      <c r="M207" s="6">
        <f t="shared" si="84"/>
        <v>3.9699074040981941E-3</v>
      </c>
      <c r="N207" s="7">
        <f t="shared" si="76"/>
        <v>5.7166666619013995</v>
      </c>
      <c r="O207" s="7"/>
      <c r="P207" s="7"/>
      <c r="Q207" s="22"/>
      <c r="R207" s="22"/>
      <c r="S207" s="31">
        <f t="shared" si="75"/>
        <v>1</v>
      </c>
      <c r="T207" s="46" t="str">
        <f t="shared" si="85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6"/>
        <v>https://d0f6bd738d7f1b3e5a7ca70fe4ff75f0.us-east-1.aws.found.io/app/kibana#/discover/Steve-Slow-Train-Analysis-(2080s-and-2083s)?_g=(refreshInterval:(display:Off,pause:!f,section:0,value:0),time:(from:'2017-03-27T01:46:48-0600',mode:absolute,to:'2017-03-27T03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183" t="str">
        <f t="shared" si="87"/>
        <v>Y</v>
      </c>
      <c r="X207" s="183">
        <f t="shared" si="78"/>
        <v>-545</v>
      </c>
      <c r="Y207" s="62">
        <f t="shared" si="88"/>
        <v>1.94</v>
      </c>
      <c r="Z207" s="62">
        <f t="shared" si="77"/>
        <v>1.34E-2</v>
      </c>
      <c r="AA207" s="62">
        <f t="shared" si="89"/>
        <v>1.9265999999999999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0"/>
        <v>0302-27</v>
      </c>
      <c r="AE207" s="85" t="str">
        <f t="shared" si="91"/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AF207" s="82" t="str">
        <f t="shared" si="92"/>
        <v>"C:\Program Files (x86)\AstroGrep\AstroGrep.exe" /e /r /s /spath="%USERPROFILE%\AppData\Local\Temp\OnboardLogs" /stypes="app*4039*20170327*" /stext=" 08:.+((SYSTEM_STATE.+slice.+state.+changed )|(ment ac)|(multiple cpu faults)|(system.+state.+changed )|(\[timeout)|(PRM\|1\|D)|(kpr)|(kdp)|(\|lc)|(penalty))"</v>
      </c>
      <c r="AG207" s="1" t="str">
        <f t="shared" si="93"/>
        <v>Other</v>
      </c>
      <c r="AH207" s="86" t="str">
        <f t="shared" si="79"/>
        <v>"%USERPROFILE%\Documents\GitHub\eaglep3\Utilities\RefineRTDCRunTimes.py" --tripid 302-27 --locoid 4039 --swversion DE.1.0.9.0 --startMP 300:19400 --initTime 2017-03-27T02:46:48 --startdatetime 2017-03-27T02:51:19 --delay 4 --endMP 204:134 --enddatetime 2017-03-27T02:57:02 --enforcementcount 0 &gt;&gt;C:\Users\stu\Documents\GitHub\eaglep3-reporting\EC\2017-03-27-refined-times.txt</v>
      </c>
      <c r="AI207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api","custom_fields":[{"id":1,"name":"Subdivision","value":"Other"},{"id":4,"name":"Milepost","value":"0.0134"},{"id":17,"name":"Train ID","value":"302-27"},{"id":16,"name":"Locomotive ID","value":"4039"},{"id":130,"name":"Impact","value":""},{"id":150,"name":"Time of Event (Mountain Time)","value":"02:57:02"},{"id":151,"name":"Denver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 t="s">
        <v>590</v>
      </c>
      <c r="AK207" s="48"/>
      <c r="AL207" s="48"/>
      <c r="AM207" s="150" t="str">
        <f t="shared" si="81"/>
        <v>start /low /b %USERPROFILE%\Documents\GitHub\eaglep3\Utilities\DownloadLogsFromS3.py --loco 4039 --day 2017-03-27</v>
      </c>
      <c r="AN207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784</v>
      </c>
      <c r="B208" s="7">
        <v>4025</v>
      </c>
      <c r="C208" s="21" t="s">
        <v>218</v>
      </c>
      <c r="D208" s="21" t="s">
        <v>906</v>
      </c>
      <c r="E208" s="13">
        <v>42821.777905092589</v>
      </c>
      <c r="F208" s="13">
        <v>42821.782418981478</v>
      </c>
      <c r="G208" s="7">
        <v>3</v>
      </c>
      <c r="H208" s="21" t="s">
        <v>907</v>
      </c>
      <c r="I208" s="13">
        <v>42821.787442129629</v>
      </c>
      <c r="J208" s="7">
        <v>0</v>
      </c>
      <c r="K208" s="97" t="str">
        <f t="shared" si="83"/>
        <v>4025/4026</v>
      </c>
      <c r="L208" s="21" t="str">
        <f>VLOOKUP(A208,'Trips&amp;Operators'!$C$1:$G$99999,5,FALSE)</f>
        <v>WILLIAMS DONTE</v>
      </c>
      <c r="M208" s="6">
        <f t="shared" si="84"/>
        <v>5.02314815093996E-3</v>
      </c>
      <c r="N208" s="7">
        <f t="shared" si="76"/>
        <v>7.2333333373535424</v>
      </c>
      <c r="O208" s="7"/>
      <c r="P208" s="7"/>
      <c r="Q208" s="22"/>
      <c r="R208" s="22"/>
      <c r="S208" s="31">
        <f t="shared" si="75"/>
        <v>1</v>
      </c>
      <c r="T208" s="46" t="str">
        <f t="shared" si="85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6"/>
        <v>https://d0f6bd738d7f1b3e5a7ca70fe4ff75f0.us-east-1.aws.found.io/app/kibana#/discover/Steve-Slow-Train-Analysis-(2080s-and-2083s)?_g=(refreshInterval:(display:Off,pause:!f,section:0,value:0),time:(from:'2017-03-27T17:40:11-0600',mode:absolute,to:'2017-03-27T19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83" t="str">
        <f t="shared" si="87"/>
        <v>Y</v>
      </c>
      <c r="X208" s="183">
        <f t="shared" si="78"/>
        <v>1</v>
      </c>
      <c r="Y208" s="62">
        <f t="shared" si="88"/>
        <v>3.9800000000000002E-2</v>
      </c>
      <c r="Z208" s="62">
        <f t="shared" si="77"/>
        <v>2.331</v>
      </c>
      <c r="AA208" s="62">
        <f t="shared" si="89"/>
        <v>2.2911999999999999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0"/>
        <v>0303-27</v>
      </c>
      <c r="AE208" s="85" t="str">
        <f t="shared" si="91"/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AF208" s="82" t="str">
        <f t="shared" si="92"/>
        <v>"C:\Program Files (x86)\AstroGrep\AstroGrep.exe" /e /r /s /spath="%USERPROFILE%\AppData\Local\Temp\OnboardLogs" /stypes="app*4025*20170328*" /stext=" 00:.+((SYSTEM_STATE.+slice.+state.+changed )|(ment ac)|(multiple cpu faults)|(system.+state.+changed )|(\[timeout)|(PRM\|1\|D)|(kpr)|(kdp)|(\|lc)|(penalty))"</v>
      </c>
      <c r="AG208" s="1" t="str">
        <f t="shared" si="93"/>
        <v>Other</v>
      </c>
      <c r="AH208" s="86" t="str">
        <f t="shared" si="79"/>
        <v>"%USERPROFILE%\Documents\GitHub\eaglep3\Utilities\RefineRTDCRunTimes.py" --tripid 303-27 --locoid 4025 --swversion DE.1.0.9.0 --startMP 204:398 --initTime 2017-03-27T18:40:11 --startdatetime 2017-03-27T18:46:41 --delay 3 --endMP 300:23310 --enddatetime 2017-03-27T18:53:55 --enforcementcount 0 &gt;&gt;C:\Users\stu\Documents\GitHub\eaglep3-reporting\EC\2017-03-27-refined-times.txt</v>
      </c>
      <c r="AI208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api","custom_fields":[{"id":1,"name":"Subdivision","value":"Other"},{"id":4,"name":"Milepost","value":"2.331"},{"id":17,"name":"Train ID","value":"303-27"},{"id":16,"name":"Locomotive ID","value":"4025"},{"id":130,"name":"Impact","value":""},{"id":150,"name":"Time of Event (Mountain Time)","value":"18:53:55"},{"id":151,"name":"Denver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 t="s">
        <v>590</v>
      </c>
      <c r="AK208" s="48"/>
      <c r="AL208" s="48"/>
      <c r="AM208" s="150" t="str">
        <f t="shared" si="81"/>
        <v>start /low /b %USERPROFILE%\Documents\GitHub\eaglep3\Utilities\DownloadLogsFromS3.py --loco 4025 --day 2017-03-27</v>
      </c>
      <c r="AN208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632</v>
      </c>
      <c r="B209" s="7">
        <v>4015</v>
      </c>
      <c r="C209" s="21" t="s">
        <v>218</v>
      </c>
      <c r="D209" s="21" t="s">
        <v>908</v>
      </c>
      <c r="E209" s="13">
        <v>42821.141759259262</v>
      </c>
      <c r="F209" s="13">
        <v>42821.144606481481</v>
      </c>
      <c r="G209" s="7">
        <v>4</v>
      </c>
      <c r="H209" s="21" t="s">
        <v>515</v>
      </c>
      <c r="I209" s="13">
        <v>42821.15011574074</v>
      </c>
      <c r="J209" s="7">
        <v>0</v>
      </c>
      <c r="K209" s="97" t="str">
        <f t="shared" si="83"/>
        <v>4015/4016</v>
      </c>
      <c r="L209" s="21" t="str">
        <f>VLOOKUP(A209,'Trips&amp;Operators'!$C$1:$G$99999,5,FALSE)</f>
        <v>MAELZER KURT</v>
      </c>
      <c r="M209" s="6">
        <f t="shared" si="84"/>
        <v>5.5092592592700385E-3</v>
      </c>
      <c r="N209" s="7">
        <f t="shared" si="76"/>
        <v>7.9333333333488554</v>
      </c>
      <c r="O209" s="7"/>
      <c r="P209" s="7"/>
      <c r="Q209" s="22"/>
      <c r="R209" s="22"/>
      <c r="S209" s="31">
        <f t="shared" ref="S209:S239" si="94">SUM(U209:U209)/IF(AG209="EC",12,1)</f>
        <v>1</v>
      </c>
      <c r="T209" s="46" t="str">
        <f t="shared" si="85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6"/>
        <v>https://d0f6bd738d7f1b3e5a7ca70fe4ff75f0.us-east-1.aws.found.io/app/kibana#/discover/Steve-Slow-Train-Analysis-(2080s-and-2083s)?_g=(refreshInterval:(display:Off,pause:!f,section:0,value:0),time:(from:'2017-03-27T02:24:08-0600',mode:absolute,to:'2017-03-27T04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83" t="str">
        <f t="shared" si="87"/>
        <v>Y</v>
      </c>
      <c r="X209" s="183">
        <f t="shared" si="78"/>
        <v>1</v>
      </c>
      <c r="Y209" s="62">
        <f t="shared" si="88"/>
        <v>2.2170000000000001</v>
      </c>
      <c r="Z209" s="62">
        <f t="shared" si="77"/>
        <v>1.41E-2</v>
      </c>
      <c r="AA209" s="62">
        <f t="shared" si="89"/>
        <v>2.2029000000000001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0"/>
        <v>0304-27</v>
      </c>
      <c r="AE209" s="85" t="str">
        <f t="shared" si="91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209" s="82" t="str">
        <f t="shared" si="92"/>
        <v>"C:\Program Files (x86)\AstroGrep\AstroGrep.exe" /e /r /s /spath="%USERPROFILE%\AppData\Local\Temp\OnboardLogs" /stypes="app*4015*20170327*" /stext=" 09:.+((SYSTEM_STATE.+slice.+state.+changed )|(ment ac)|(multiple cpu faults)|(system.+state.+changed )|(\[timeout)|(PRM\|1\|D)|(kpr)|(kdp)|(\|lc)|(penalty))"</v>
      </c>
      <c r="AG209" s="1" t="str">
        <f t="shared" si="93"/>
        <v>Other</v>
      </c>
      <c r="AH209" s="86" t="str">
        <f t="shared" si="79"/>
        <v>"%USERPROFILE%\Documents\GitHub\eaglep3\Utilities\RefineRTDCRunTimes.py" --tripid 304-27 --locoid 4015 --swversion DE.1.0.9.0 --startMP 300:22170 --initTime 2017-03-27T03:24:08 --startdatetime 2017-03-27T03:28:14 --delay 4 --endMP 204:141 --enddatetime 2017-03-27T03:36:10 --enforcementcount 0 &gt;&gt;C:\Users\stu\Documents\GitHub\eaglep3-reporting\EC\2017-03-27-refined-times.txt</v>
      </c>
      <c r="AI209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api","custom_fields":[{"id":1,"name":"Subdivision","value":"Other"},{"id":4,"name":"Milepost","value":"0.0141"},{"id":17,"name":"Train ID","value":"304-27"},{"id":16,"name":"Locomotive ID","value":"4015"},{"id":130,"name":"Impact","value":""},{"id":150,"name":"Time of Event (Mountain Time)","value":"03:36:10"},{"id":151,"name":"Denver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 t="s">
        <v>590</v>
      </c>
      <c r="AK209" s="48"/>
      <c r="AL209" s="48"/>
      <c r="AM209" s="150" t="str">
        <f t="shared" si="81"/>
        <v>start /low /b %USERPROFILE%\Documents\GitHub\eaglep3\Utilities\DownloadLogsFromS3.py --loco 4015 --day 2017-03-27</v>
      </c>
      <c r="AN209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09:36:10"},{"id":29,"name":"Sharepoint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632</v>
      </c>
      <c r="B210" s="7">
        <v>4015</v>
      </c>
      <c r="C210" s="21" t="s">
        <v>218</v>
      </c>
      <c r="D210" s="21" t="s">
        <v>909</v>
      </c>
      <c r="E210" s="13">
        <v>42821.141759259262</v>
      </c>
      <c r="F210" s="13">
        <v>42821.144606481481</v>
      </c>
      <c r="G210" s="7">
        <v>3</v>
      </c>
      <c r="H210" s="21" t="s">
        <v>515</v>
      </c>
      <c r="I210" s="13">
        <v>42821.15011574074</v>
      </c>
      <c r="J210" s="7">
        <v>0</v>
      </c>
      <c r="K210" s="97" t="str">
        <f t="shared" si="83"/>
        <v>4015/4016</v>
      </c>
      <c r="L210" s="21" t="str">
        <f>VLOOKUP(A210,'Trips&amp;Operators'!$C$1:$G$99999,5,FALSE)</f>
        <v>MAELZER KURT</v>
      </c>
      <c r="M210" s="6">
        <f t="shared" si="84"/>
        <v>5.5092592592700385E-3</v>
      </c>
      <c r="N210" s="7">
        <f t="shared" si="76"/>
        <v>7.9333333333488554</v>
      </c>
      <c r="O210" s="7"/>
      <c r="P210" s="7"/>
      <c r="Q210" s="22"/>
      <c r="R210" s="22"/>
      <c r="S210" s="31">
        <f t="shared" si="94"/>
        <v>1</v>
      </c>
      <c r="T210" s="46" t="str">
        <f t="shared" si="85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6"/>
        <v>https://d0f6bd738d7f1b3e5a7ca70fe4ff75f0.us-east-1.aws.found.io/app/kibana#/discover/Steve-Slow-Train-Analysis-(2080s-and-2083s)?_g=(refreshInterval:(display:Off,pause:!f,section:0,value:0),time:(from:'2017-03-27T02:24:08-0600',mode:absolute,to:'2017-03-27T04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0" s="183" t="str">
        <f t="shared" si="87"/>
        <v>Y</v>
      </c>
      <c r="X210" s="183">
        <f t="shared" si="78"/>
        <v>0</v>
      </c>
      <c r="Y210" s="62">
        <f t="shared" si="88"/>
        <v>2.3003999999999998</v>
      </c>
      <c r="Z210" s="62">
        <f t="shared" si="77"/>
        <v>1.41E-2</v>
      </c>
      <c r="AA210" s="62">
        <f t="shared" si="89"/>
        <v>2.2862999999999998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0"/>
        <v>0304-27</v>
      </c>
      <c r="AE210" s="85" t="str">
        <f t="shared" si="91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210" s="82" t="str">
        <f t="shared" si="92"/>
        <v>"C:\Program Files (x86)\AstroGrep\AstroGrep.exe" /e /r /s /spath="%USERPROFILE%\AppData\Local\Temp\OnboardLogs" /stypes="app*4015*20170327*" /stext=" 09:.+((SYSTEM_STATE.+slice.+state.+changed )|(ment ac)|(multiple cpu faults)|(system.+state.+changed )|(\[timeout)|(PRM\|1\|D)|(kpr)|(kdp)|(\|lc)|(penalty))"</v>
      </c>
      <c r="AG210" s="1" t="str">
        <f t="shared" si="93"/>
        <v>Other</v>
      </c>
      <c r="AH210" s="86" t="str">
        <f t="shared" si="79"/>
        <v>"%USERPROFILE%\Documents\GitHub\eaglep3\Utilities\RefineRTDCRunTimes.py" --tripid 304-27 --locoid 4015 --swversion DE.1.0.9.0 --startMP 300:23004 --initTime 2017-03-27T03:24:08 --startdatetime 2017-03-27T03:28:14 --delay 3 --endMP 204:141 --enddatetime 2017-03-27T03:36:10 --enforcementcount 0 &gt;&gt;C:\Users\stu\Documents\GitHub\eaglep3-reporting\EC\2017-03-27-refined-times.txt</v>
      </c>
      <c r="AI210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api","custom_fields":[{"id":1,"name":"Subdivision","value":"Other"},{"id":4,"name":"Milepost","value":"0.0141"},{"id":17,"name":"Train ID","value":"304-27"},{"id":16,"name":"Locomotive ID","value":"4015"},{"id":130,"name":"Impact","value":""},{"id":150,"name":"Time of Event (Mountain Time)","value":"03:36:10"},{"id":151,"name":"Denver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 t="s">
        <v>590</v>
      </c>
      <c r="AK210" s="48"/>
      <c r="AL210" s="48"/>
      <c r="AM210" s="150" t="str">
        <f t="shared" si="81"/>
        <v>start /low /b %USERPROFILE%\Documents\GitHub\eaglep3\Utilities\DownloadLogsFromS3.py --loco 4015 --day 2017-03-27</v>
      </c>
      <c r="AN210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09:36:10"},{"id":29,"name":"Sharepoint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3" t="s">
        <v>789</v>
      </c>
      <c r="B211" s="7">
        <v>4040</v>
      </c>
      <c r="C211" s="21" t="s">
        <v>218</v>
      </c>
      <c r="D211" s="21" t="s">
        <v>557</v>
      </c>
      <c r="E211" s="13">
        <v>42821.798263888886</v>
      </c>
      <c r="F211" s="13">
        <v>42821.803495370368</v>
      </c>
      <c r="G211" s="7">
        <v>1</v>
      </c>
      <c r="H211" s="21" t="s">
        <v>910</v>
      </c>
      <c r="I211" s="13">
        <v>42821.808078703703</v>
      </c>
      <c r="J211" s="7">
        <v>0</v>
      </c>
      <c r="K211" s="97" t="str">
        <f t="shared" si="83"/>
        <v>4039/4040</v>
      </c>
      <c r="L211" s="21" t="str">
        <f>VLOOKUP(A211,'Trips&amp;Operators'!$C$1:$G$99999,5,FALSE)</f>
        <v>LOCKLEAR TRAVIS</v>
      </c>
      <c r="M211" s="6">
        <f t="shared" si="84"/>
        <v>4.5833333351765759E-3</v>
      </c>
      <c r="N211" s="7">
        <f t="shared" si="76"/>
        <v>6.6000000026542693</v>
      </c>
      <c r="O211" s="7"/>
      <c r="P211" s="7"/>
      <c r="Q211" s="22"/>
      <c r="R211" s="22"/>
      <c r="S211" s="31">
        <f t="shared" si="94"/>
        <v>1</v>
      </c>
      <c r="T211" s="46" t="str">
        <f t="shared" si="85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6"/>
        <v>https://d0f6bd738d7f1b3e5a7ca70fe4ff75f0.us-east-1.aws.found.io/app/kibana#/discover/Steve-Slow-Train-Analysis-(2080s-and-2083s)?_g=(refreshInterval:(display:Off,pause:!f,section:0,value:0),time:(from:'2017-03-27T18:09:30-0600',mode:absolute,to:'2017-03-27T20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3" t="str">
        <f t="shared" si="87"/>
        <v>Y</v>
      </c>
      <c r="X211" s="183">
        <f t="shared" si="78"/>
        <v>1</v>
      </c>
      <c r="Y211" s="62">
        <f t="shared" si="88"/>
        <v>4.7100000000000003E-2</v>
      </c>
      <c r="Z211" s="62">
        <f t="shared" si="77"/>
        <v>2.3189000000000002</v>
      </c>
      <c r="AA211" s="62">
        <f t="shared" si="89"/>
        <v>2.2718000000000003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0"/>
        <v>0305-27</v>
      </c>
      <c r="AE211" s="85" t="str">
        <f t="shared" si="91"/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AF211" s="82" t="str">
        <f t="shared" si="92"/>
        <v>"C:\Program Files (x86)\AstroGrep\AstroGrep.exe" /e /r /s /spath="%USERPROFILE%\AppData\Local\Temp\OnboardLogs" /stypes="app*4040*20170328*" /stext=" 01:.+((SYSTEM_STATE.+slice.+state.+changed )|(ment ac)|(multiple cpu faults)|(system.+state.+changed )|(\[timeout)|(PRM\|1\|D)|(kpr)|(kdp)|(\|lc)|(penalty))"</v>
      </c>
      <c r="AG211" s="1" t="str">
        <f t="shared" si="93"/>
        <v>Other</v>
      </c>
      <c r="AH211" s="86" t="str">
        <f t="shared" si="79"/>
        <v>"%USERPROFILE%\Documents\GitHub\eaglep3\Utilities\RefineRTDCRunTimes.py" --tripid 305-27 --locoid 4040 --swversion DE.1.0.9.0 --startMP 204:471 --initTime 2017-03-27T19:09:30 --startdatetime 2017-03-27T19:17:02 --delay 1 --endMP 300:23189 --enddatetime 2017-03-27T19:23:38 --enforcementcount 0 &gt;&gt;C:\Users\stu\Documents\GitHub\eaglep3-reporting\EC\2017-03-27-refined-times.txt</v>
      </c>
      <c r="AI211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api","custom_fields":[{"id":1,"name":"Subdivision","value":"Other"},{"id":4,"name":"Milepost","value":"2.3189"},{"id":17,"name":"Train ID","value":"305-27"},{"id":16,"name":"Locomotive ID","value":"4040"},{"id":130,"name":"Impact","value":""},{"id":150,"name":"Time of Event (Mountain Time)","value":"19:23:38"},{"id":151,"name":"Denver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 t="s">
        <v>590</v>
      </c>
      <c r="AK211" s="48"/>
      <c r="AL211" s="48"/>
      <c r="AM211" s="150" t="str">
        <f t="shared" si="81"/>
        <v>start /low /b %USERPROFILE%\Documents\GitHub\eaglep3\Utilities\DownloadLogsFromS3.py --loco 4040 --day 2017-03-27</v>
      </c>
      <c r="AN211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591</v>
      </c>
      <c r="B212" s="7">
        <v>4017</v>
      </c>
      <c r="C212" s="21" t="s">
        <v>218</v>
      </c>
      <c r="D212" s="21" t="s">
        <v>911</v>
      </c>
      <c r="E212" s="13">
        <v>42821.160833333335</v>
      </c>
      <c r="F212" s="13">
        <v>42821.177268518521</v>
      </c>
      <c r="G212" s="7">
        <v>4</v>
      </c>
      <c r="H212" s="21" t="s">
        <v>205</v>
      </c>
      <c r="I212" s="13">
        <v>42821.202685185184</v>
      </c>
      <c r="J212" s="7">
        <v>0</v>
      </c>
      <c r="K212" s="97" t="str">
        <f t="shared" si="83"/>
        <v>4017/4018</v>
      </c>
      <c r="L212" s="21" t="str">
        <f>VLOOKUP(A212,'Trips&amp;Operators'!$C$1:$G$99999,5,FALSE)</f>
        <v>STARKS ANGELINA</v>
      </c>
      <c r="M212" s="6">
        <f t="shared" si="84"/>
        <v>2.5416666663659271E-2</v>
      </c>
      <c r="N212" s="7">
        <f t="shared" si="76"/>
        <v>36.59999999566935</v>
      </c>
      <c r="O212" s="7"/>
      <c r="P212" s="7"/>
      <c r="Q212" s="22"/>
      <c r="R212" s="22"/>
      <c r="S212" s="31">
        <f t="shared" si="94"/>
        <v>1</v>
      </c>
      <c r="T212" s="46" t="str">
        <f t="shared" si="85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6"/>
        <v>https://d0f6bd738d7f1b3e5a7ca70fe4ff75f0.us-east-1.aws.found.io/app/kibana#/discover/Steve-Slow-Train-Analysis-(2080s-and-2083s)?_g=(refreshInterval:(display:Off,pause:!f,section:0,value:0),time:(from:'2017-03-27T02:51:36-0600',mode:absolute,to:'2017-03-27T05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183" t="str">
        <f t="shared" si="87"/>
        <v>Y</v>
      </c>
      <c r="X212" s="183">
        <f t="shared" si="78"/>
        <v>1</v>
      </c>
      <c r="Y212" s="62">
        <f t="shared" si="88"/>
        <v>2.3462999999999998</v>
      </c>
      <c r="Z212" s="62">
        <f t="shared" si="77"/>
        <v>1.54E-2</v>
      </c>
      <c r="AA212" s="62">
        <f t="shared" si="89"/>
        <v>2.3308999999999997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0"/>
        <v>0306-27</v>
      </c>
      <c r="AE212" s="85" t="str">
        <f t="shared" si="91"/>
        <v>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 &amp; 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</v>
      </c>
      <c r="AF212" s="82" t="str">
        <f t="shared" si="92"/>
        <v>"C:\Program Files (x86)\AstroGrep\AstroGrep.exe" /e /r /s /spath="%USERPROFILE%\AppData\Local\Temp\OnboardLogs" /stypes="app*4017*20170327*" /stext=" 10:.+((SYSTEM_STATE.+slice.+state.+changed )|(ment ac)|(multiple cpu faults)|(system.+state.+changed )|(\[timeout)|(PRM\|1\|D)|(kpr)|(kdp)|(\|lc)|(penalty))"</v>
      </c>
      <c r="AG212" s="1" t="str">
        <f t="shared" si="93"/>
        <v>Other</v>
      </c>
      <c r="AH212" s="86" t="str">
        <f t="shared" si="79"/>
        <v>"%USERPROFILE%\Documents\GitHub\eaglep3\Utilities\RefineRTDCRunTimes.py" --tripid 306-27 --locoid 4017 --swversion DE.1.0.9.0 --startMP 300:23463 --initTime 2017-03-27T03:51:36 --startdatetime 2017-03-27T04:15:16 --delay 4 --endMP 204:154 --enddatetime 2017-03-27T04:51:52 --enforcementcount 0 &gt;&gt;C:\Users\stu\Documents\GitHub\eaglep3-reporting\EC\2017-03-27-refined-times.txt</v>
      </c>
      <c r="AI212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api","custom_fields":[{"id":1,"name":"Subdivision","value":"Other"},{"id":4,"name":"Milepost","value":"0.0154"},{"id":17,"name":"Train ID","value":"306-27"},{"id":16,"name":"Locomotive ID","value":"4017"},{"id":130,"name":"Impact","value":""},{"id":150,"name":"Time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 t="s">
        <v>590</v>
      </c>
      <c r="AK212" s="48"/>
      <c r="AL212" s="48"/>
      <c r="AM212" s="150" t="str">
        <f t="shared" si="81"/>
        <v>start /low /b %USERPROFILE%\Documents\GitHub\eaglep3\Utilities\DownloadLogsFromS3.py --loco 4017 --day 2017-03-27</v>
      </c>
      <c r="AN212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637</v>
      </c>
      <c r="B213" s="7">
        <v>4004</v>
      </c>
      <c r="C213" s="21" t="s">
        <v>218</v>
      </c>
      <c r="D213" s="21" t="s">
        <v>912</v>
      </c>
      <c r="E213" s="13">
        <v>42821.171365740738</v>
      </c>
      <c r="F213" s="13">
        <v>42821.173761574071</v>
      </c>
      <c r="G213" s="7">
        <v>3</v>
      </c>
      <c r="H213" s="21" t="s">
        <v>394</v>
      </c>
      <c r="I213" s="13">
        <v>42821.179305555554</v>
      </c>
      <c r="J213" s="7">
        <v>0</v>
      </c>
      <c r="K213" s="97" t="str">
        <f t="shared" si="83"/>
        <v>4003/4004</v>
      </c>
      <c r="L213" s="21" t="str">
        <f>VLOOKUP(A213,'Trips&amp;Operators'!$C$1:$G$99999,5,FALSE)</f>
        <v>MENGES BRAD</v>
      </c>
      <c r="M213" s="6">
        <f t="shared" si="84"/>
        <v>5.543981482333038E-3</v>
      </c>
      <c r="N213" s="7">
        <f t="shared" si="76"/>
        <v>7.9833333345595747</v>
      </c>
      <c r="O213" s="7"/>
      <c r="P213" s="7"/>
      <c r="Q213" s="22"/>
      <c r="R213" s="22"/>
      <c r="S213" s="31">
        <f t="shared" si="94"/>
        <v>1</v>
      </c>
      <c r="T213" s="46" t="str">
        <f t="shared" si="85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6"/>
        <v>https://d0f6bd738d7f1b3e5a7ca70fe4ff75f0.us-east-1.aws.found.io/app/kibana#/discover/Steve-Slow-Train-Analysis-(2080s-and-2083s)?_g=(refreshInterval:(display:Off,pause:!f,section:0,value:0),time:(from:'2017-03-27T03:06:46-0600',mode:absolute,to:'2017-03-27T05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183" t="str">
        <f t="shared" si="87"/>
        <v>Y</v>
      </c>
      <c r="X213" s="183">
        <f t="shared" si="78"/>
        <v>2</v>
      </c>
      <c r="Y213" s="62">
        <f t="shared" si="88"/>
        <v>2.3363999999999998</v>
      </c>
      <c r="Z213" s="62">
        <f t="shared" si="77"/>
        <v>1.43E-2</v>
      </c>
      <c r="AA213" s="62">
        <f t="shared" si="89"/>
        <v>2.3220999999999998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0"/>
        <v>0308-27</v>
      </c>
      <c r="AE213" s="85" t="str">
        <f t="shared" si="91"/>
        <v>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 &amp; aws s3 cp s3://rtdc.mdm.uploadarchive.raw/RTDC4004/ "%USERPROFILE%\AppData\Local\Temp\OnboardLogs"\RTDC4004\2017-03-28 --exclude "*" --recursive --include "*20170328*" &amp; "%USERPROFILE%\Documents\GitHub\mrs-test-scripts\Headless Mode &amp; Sideloading\WalkAndUnGZ.bat" "%USERPROFILE%\AppData\Local\Temp\OnboardLogs"\RTDC4004\2017-03-28</v>
      </c>
      <c r="AF213" s="82" t="str">
        <f t="shared" si="92"/>
        <v>"C:\Program Files (x86)\AstroGrep\AstroGrep.exe" /e /r /s /spath="%USERPROFILE%\AppData\Local\Temp\OnboardLogs" /stypes="app*4004*20170327*" /stext=" 10:.+((SYSTEM_STATE.+slice.+state.+changed )|(ment ac)|(multiple cpu faults)|(system.+state.+changed )|(\[timeout)|(PRM\|1\|D)|(kpr)|(kdp)|(\|lc)|(penalty))"</v>
      </c>
      <c r="AG213" s="1" t="str">
        <f t="shared" si="93"/>
        <v>Other</v>
      </c>
      <c r="AH213" s="86" t="str">
        <f t="shared" si="79"/>
        <v>"%USERPROFILE%\Documents\GitHub\eaglep3\Utilities\RefineRTDCRunTimes.py" --tripid 308-27 --locoid 4004 --swversion DE.1.0.9.0 --startMP 300:23364 --initTime 2017-03-27T04:06:46 --startdatetime 2017-03-27T04:10:13 --delay 3 --endMP 204:143 --enddatetime 2017-03-27T04:18:12 --enforcementcount 0 &gt;&gt;C:\Users\stu\Documents\GitHub\eaglep3-reporting\EC\2017-03-27-refined-times.txt</v>
      </c>
      <c r="AI213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api","custom_fields":[{"id":1,"name":"Subdivision","value":"Other"},{"id":4,"name":"Milepost","value":"0.0143"},{"id":17,"name":"Train ID","value":"308-27"},{"id":16,"name":"Locomotive ID","value":"4004"},{"id":130,"name":"Impact","value":""},{"id":150,"name":"Time of Event (Mountain Time)","value":"04:18:12"},{"id":151,"name":"Denver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 t="s">
        <v>590</v>
      </c>
      <c r="AK213" s="48"/>
      <c r="AL213" s="48"/>
      <c r="AM213" s="150" t="str">
        <f t="shared" si="81"/>
        <v>start /low /b %USERPROFILE%\Documents\GitHub\eaglep3\Utilities\DownloadLogsFromS3.py --loco 4004 --day 2017-03-27</v>
      </c>
      <c r="AN213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822</v>
      </c>
      <c r="B214" s="7">
        <v>4051</v>
      </c>
      <c r="C214" s="21" t="s">
        <v>218</v>
      </c>
      <c r="D214" s="21" t="s">
        <v>557</v>
      </c>
      <c r="E214" s="13">
        <v>42822.051365740743</v>
      </c>
      <c r="F214" s="13">
        <v>42822.069722222222</v>
      </c>
      <c r="G214" s="7">
        <v>2</v>
      </c>
      <c r="H214" s="21" t="s">
        <v>913</v>
      </c>
      <c r="I214" s="13">
        <v>42822.077106481483</v>
      </c>
      <c r="J214" s="7">
        <v>0</v>
      </c>
      <c r="K214" s="97" t="str">
        <f t="shared" si="83"/>
        <v>4051/4052</v>
      </c>
      <c r="L214" s="21" t="str">
        <f>VLOOKUP(A214,'Trips&amp;Operators'!$C$1:$G$99999,5,FALSE)</f>
        <v>CHANDLER KELVIN</v>
      </c>
      <c r="M214" s="6">
        <f t="shared" si="84"/>
        <v>7.3842592610162683E-3</v>
      </c>
      <c r="N214" s="7">
        <f t="shared" si="76"/>
        <v>10.633333335863426</v>
      </c>
      <c r="O214" s="7"/>
      <c r="P214" s="7"/>
      <c r="Q214" s="22"/>
      <c r="R214" s="22"/>
      <c r="S214" s="31">
        <f t="shared" si="94"/>
        <v>1</v>
      </c>
      <c r="T214" s="46" t="str">
        <f t="shared" si="85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6"/>
        <v>https://d0f6bd738d7f1b3e5a7ca70fe4ff75f0.us-east-1.aws.found.io/app/kibana#/discover/Steve-Slow-Train-Analysis-(2080s-and-2083s)?_g=(refreshInterval:(display:Off,pause:!f,section:0,value:0),time:(from:'2017-03-28T00:13:58-0600',mode:absolute,to:'2017-03-28T02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4" s="183" t="str">
        <f t="shared" si="87"/>
        <v>Y</v>
      </c>
      <c r="X214" s="183">
        <f t="shared" si="78"/>
        <v>1</v>
      </c>
      <c r="Y214" s="62">
        <f t="shared" si="88"/>
        <v>4.7100000000000003E-2</v>
      </c>
      <c r="Z214" s="62">
        <f t="shared" si="77"/>
        <v>2.3313999999999999</v>
      </c>
      <c r="AA214" s="62">
        <f t="shared" si="89"/>
        <v>2.2843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0"/>
        <v>0309-27</v>
      </c>
      <c r="AE214" s="85" t="str">
        <f t="shared" si="91"/>
        <v>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 &amp; 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</v>
      </c>
      <c r="AF214" s="82" t="str">
        <f t="shared" si="92"/>
        <v>"C:\Program Files (x86)\AstroGrep\AstroGrep.exe" /e /r /s /spath="%USERPROFILE%\AppData\Local\Temp\OnboardLogs" /stypes="app*4051*20170328*" /stext=" 07:.+((SYSTEM_STATE.+slice.+state.+changed )|(ment ac)|(multiple cpu faults)|(system.+state.+changed )|(\[timeout)|(PRM\|1\|D)|(kpr)|(kdp)|(\|lc)|(penalty))"</v>
      </c>
      <c r="AG214" s="1" t="str">
        <f t="shared" si="93"/>
        <v>Other</v>
      </c>
      <c r="AH214" s="86" t="str">
        <f t="shared" si="79"/>
        <v>"%USERPROFILE%\Documents\GitHub\eaglep3\Utilities\RefineRTDCRunTimes.py" --tripid 309-27 --locoid 4051 --swversion DE.1.0.9.0 --startMP 204:471 --initTime 2017-03-28T01:13:58 --startdatetime 2017-03-28T01:40:24 --delay 2 --endMP 300:23314 --enddatetime 2017-03-28T01:51:02 --enforcementcount 0 &gt;&gt;C:\Users\stu\Documents\GitHub\eaglep3-reporting\EC\2017-03-27-refined-times.txt</v>
      </c>
      <c r="AI214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api","custom_fields":[{"id":1,"name":"Subdivision","value":"Other"},{"id":4,"name":"Milepost","value":"2.3314"},{"id":17,"name":"Train ID","value":"309-27"},{"id":16,"name":"Locomotive ID","value":"4051"},{"id":130,"name":"Impact","value":""},{"id":150,"name":"Time of Event (Mountain Time)","value":"01:51:02"},{"id":151,"name":"Denver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 t="s">
        <v>590</v>
      </c>
      <c r="AK214" s="48"/>
      <c r="AL214" s="48"/>
      <c r="AM214" s="150" t="str">
        <f t="shared" si="81"/>
        <v>start /low /b %USERPROFILE%\Documents\GitHub\eaglep3\Utilities\DownloadLogsFromS3.py --loco 4051 --day 2017-03-28</v>
      </c>
      <c r="AN214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641</v>
      </c>
      <c r="B215" s="7">
        <v>4026</v>
      </c>
      <c r="C215" s="21" t="s">
        <v>218</v>
      </c>
      <c r="D215" s="21" t="s">
        <v>914</v>
      </c>
      <c r="E215" s="13">
        <v>42821.175671296296</v>
      </c>
      <c r="F215" s="13">
        <v>42821.17864583333</v>
      </c>
      <c r="G215" s="7">
        <v>4</v>
      </c>
      <c r="H215" s="21" t="s">
        <v>205</v>
      </c>
      <c r="I215" s="13">
        <v>42821.184259259258</v>
      </c>
      <c r="J215" s="7">
        <v>0</v>
      </c>
      <c r="K215" s="97" t="str">
        <f t="shared" si="83"/>
        <v>4025/4026</v>
      </c>
      <c r="L215" s="21" t="str">
        <f>VLOOKUP(A215,'Trips&amp;Operators'!$C$1:$G$99999,5,FALSE)</f>
        <v>MAYBERRY BILL</v>
      </c>
      <c r="M215" s="6">
        <f t="shared" si="84"/>
        <v>5.6134259284590371E-3</v>
      </c>
      <c r="N215" s="7">
        <f t="shared" si="76"/>
        <v>8.0833333369810134</v>
      </c>
      <c r="O215" s="7"/>
      <c r="P215" s="7"/>
      <c r="Q215" s="22"/>
      <c r="R215" s="22"/>
      <c r="S215" s="31">
        <f t="shared" si="94"/>
        <v>1</v>
      </c>
      <c r="T215" s="46" t="str">
        <f t="shared" si="85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6"/>
        <v>https://d0f6bd738d7f1b3e5a7ca70fe4ff75f0.us-east-1.aws.found.io/app/kibana#/discover/Steve-Slow-Train-Analysis-(2080s-and-2083s)?_g=(refreshInterval:(display:Off,pause:!f,section:0,value:0),time:(from:'2017-03-27T03:12:58-0600',mode:absolute,to:'2017-03-27T05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5" s="183" t="str">
        <f t="shared" si="87"/>
        <v>Y</v>
      </c>
      <c r="X215" s="183">
        <f t="shared" si="78"/>
        <v>1</v>
      </c>
      <c r="Y215" s="62">
        <f t="shared" si="88"/>
        <v>2.3472</v>
      </c>
      <c r="Z215" s="62">
        <f t="shared" si="77"/>
        <v>1.54E-2</v>
      </c>
      <c r="AA215" s="62">
        <f t="shared" si="89"/>
        <v>2.3317999999999999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0"/>
        <v>0310-27</v>
      </c>
      <c r="AE215" s="85" t="str">
        <f t="shared" si="91"/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AF215" s="82" t="str">
        <f t="shared" si="92"/>
        <v>"C:\Program Files (x86)\AstroGrep\AstroGrep.exe" /e /r /s /spath="%USERPROFILE%\AppData\Local\Temp\OnboardLogs" /stypes="app*4026*20170327*" /stext=" 10:.+((SYSTEM_STATE.+slice.+state.+changed )|(ment ac)|(multiple cpu faults)|(system.+state.+changed )|(\[timeout)|(PRM\|1\|D)|(kpr)|(kdp)|(\|lc)|(penalty))"</v>
      </c>
      <c r="AG215" s="1" t="str">
        <f t="shared" si="93"/>
        <v>Other</v>
      </c>
      <c r="AH215" s="86" t="str">
        <f t="shared" si="79"/>
        <v>"%USERPROFILE%\Documents\GitHub\eaglep3\Utilities\RefineRTDCRunTimes.py" --tripid 310-27 --locoid 4026 --swversion DE.1.0.9.0 --startMP 300:23472 --initTime 2017-03-27T04:12:58 --startdatetime 2017-03-27T04:17:15 --delay 4 --endMP 204:154 --enddatetime 2017-03-27T04:25:20 --enforcementcount 0 &gt;&gt;C:\Users\stu\Documents\GitHub\eaglep3-reporting\EC\2017-03-27-refined-times.txt</v>
      </c>
      <c r="AI215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api","custom_fields":[{"id":1,"name":"Subdivision","value":"Other"},{"id":4,"name":"Milepost","value":"0.0154"},{"id":17,"name":"Train ID","value":"310-27"},{"id":16,"name":"Locomotive ID","value":"4026"},{"id":130,"name":"Impact","value":""},{"id":150,"name":"Time of Event (Mountain Time)","value":"04:25:20"},{"id":151,"name":"Denver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 t="s">
        <v>590</v>
      </c>
      <c r="AK215" s="48"/>
      <c r="AL215" s="48"/>
      <c r="AM215" s="150" t="str">
        <f t="shared" si="81"/>
        <v>start /low /b %USERPROFILE%\Documents\GitHub\eaglep3\Utilities\DownloadLogsFromS3.py --loco 4026 --day 2017-03-27</v>
      </c>
      <c r="AN215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10:25:20"},{"id":29,"name":"Sharepoint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824</v>
      </c>
      <c r="B216" s="7">
        <v>4003</v>
      </c>
      <c r="C216" s="21" t="s">
        <v>218</v>
      </c>
      <c r="D216" s="21" t="s">
        <v>398</v>
      </c>
      <c r="E216" s="13">
        <v>42822.07984953704</v>
      </c>
      <c r="F216" s="13">
        <v>42822.08222222222</v>
      </c>
      <c r="G216" s="7">
        <v>1</v>
      </c>
      <c r="H216" s="21" t="s">
        <v>582</v>
      </c>
      <c r="I216" s="13">
        <v>42822.08902777778</v>
      </c>
      <c r="J216" s="7">
        <v>0</v>
      </c>
      <c r="K216" s="97" t="str">
        <f t="shared" si="83"/>
        <v>4003/4004</v>
      </c>
      <c r="L216" s="21" t="str">
        <f>VLOOKUP(A216,'Trips&amp;Operators'!$C$1:$G$99999,5,FALSE)</f>
        <v>GUZMAN DANNY</v>
      </c>
      <c r="M216" s="6">
        <f t="shared" si="84"/>
        <v>6.8055555602768436E-3</v>
      </c>
      <c r="N216" s="7">
        <f t="shared" si="76"/>
        <v>9.8000000067986548</v>
      </c>
      <c r="O216" s="7"/>
      <c r="P216" s="7"/>
      <c r="Q216" s="22"/>
      <c r="R216" s="22"/>
      <c r="S216" s="31">
        <f t="shared" si="94"/>
        <v>1</v>
      </c>
      <c r="T216" s="46" t="str">
        <f t="shared" si="8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6"/>
        <v>https://d0f6bd738d7f1b3e5a7ca70fe4ff75f0.us-east-1.aws.found.io/app/kibana#/discover/Steve-Slow-Train-Analysis-(2080s-and-2083s)?_g=(refreshInterval:(display:Off,pause:!f,section:0,value:0),time:(from:'2017-03-28T00:54:59-0600',mode:absolute,to:'2017-03-28T03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83" t="str">
        <f t="shared" si="87"/>
        <v>Y</v>
      </c>
      <c r="X216" s="183">
        <f t="shared" si="78"/>
        <v>1</v>
      </c>
      <c r="Y216" s="62">
        <f t="shared" si="88"/>
        <v>4.7300000000000002E-2</v>
      </c>
      <c r="Z216" s="62">
        <f t="shared" si="77"/>
        <v>2.3304</v>
      </c>
      <c r="AA216" s="62">
        <f t="shared" si="89"/>
        <v>2.2831000000000001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0"/>
        <v>0311-27</v>
      </c>
      <c r="AE216" s="85" t="str">
        <f t="shared" si="91"/>
        <v>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 &amp; aws s3 cp s3://rtdc.mdm.uploadarchive.raw/RTDC4003/ "%USERPROFILE%\AppData\Local\Temp\OnboardLogs"\RTDC4003\2017-03-29 --exclude "*" --recursive --include "*20170329*" &amp; "%USERPROFILE%\Documents\GitHub\mrs-test-scripts\Headless Mode &amp; Sideloading\WalkAndUnGZ.bat" "%USERPROFILE%\AppData\Local\Temp\OnboardLogs"\RTDC4003\2017-03-29</v>
      </c>
      <c r="AF216" s="82" t="str">
        <f t="shared" si="92"/>
        <v>"C:\Program Files (x86)\AstroGrep\AstroGrep.exe" /e /r /s /spath="%USERPROFILE%\AppData\Local\Temp\OnboardLogs" /stypes="app*4003*20170328*" /stext=" 08:.+((SYSTEM_STATE.+slice.+state.+changed )|(ment ac)|(multiple cpu faults)|(system.+state.+changed )|(\[timeout)|(PRM\|1\|D)|(kpr)|(kdp)|(\|lc)|(penalty))"</v>
      </c>
      <c r="AG216" s="1" t="str">
        <f t="shared" si="93"/>
        <v>Other</v>
      </c>
      <c r="AH216" s="86" t="str">
        <f t="shared" si="79"/>
        <v>"%USERPROFILE%\Documents\GitHub\eaglep3\Utilities\RefineRTDCRunTimes.py" --tripid 311-27 --locoid 4003 --swversion DE.1.0.9.0 --startMP 204:473 --initTime 2017-03-28T01:54:59 --startdatetime 2017-03-28T01:58:24 --delay 1 --endMP 300:23304 --enddatetime 2017-03-28T02:08:12 --enforcementcount 0 &gt;&gt;C:\Users\stu\Documents\GitHub\eaglep3-reporting\EC\2017-03-27-refined-times.txt</v>
      </c>
      <c r="AI216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api","custom_fields":[{"id":1,"name":"Subdivision","value":"Other"},{"id":4,"name":"Milepost","value":"2.3304"},{"id":17,"name":"Train ID","value":"311-27"},{"id":16,"name":"Locomotive ID","value":"4003"},{"id":130,"name":"Impact","value":""},{"id":150,"name":"Time of Event (Mountain Time)","value":"02:08:12"},{"id":151,"name":"Denver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 t="s">
        <v>590</v>
      </c>
      <c r="AK216" s="48"/>
      <c r="AL216" s="48"/>
      <c r="AM216" s="150" t="str">
        <f t="shared" si="81"/>
        <v>start /low /b %USERPROFILE%\Documents\GitHub\eaglep3\Utilities\DownloadLogsFromS3.py --loco 4003 --day 2017-03-28</v>
      </c>
      <c r="AN216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825</v>
      </c>
      <c r="B217" s="7">
        <v>4014</v>
      </c>
      <c r="C217" s="21" t="s">
        <v>218</v>
      </c>
      <c r="D217" s="21" t="s">
        <v>570</v>
      </c>
      <c r="E217" s="13">
        <v>42822.090092592596</v>
      </c>
      <c r="F217" s="13">
        <v>42822.09134259259</v>
      </c>
      <c r="G217" s="7">
        <v>1</v>
      </c>
      <c r="H217" s="21" t="s">
        <v>915</v>
      </c>
      <c r="I217" s="13">
        <v>42822.101689814815</v>
      </c>
      <c r="J217" s="7">
        <v>0</v>
      </c>
      <c r="K217" s="97" t="str">
        <f t="shared" si="83"/>
        <v>4013/4014</v>
      </c>
      <c r="L217" s="21" t="str">
        <f>VLOOKUP(A217,'Trips&amp;Operators'!$C$1:$G$99999,5,FALSE)</f>
        <v>STORY SAMANTHA</v>
      </c>
      <c r="M217" s="6">
        <f t="shared" si="84"/>
        <v>1.0347222225391306E-2</v>
      </c>
      <c r="N217" s="7">
        <f t="shared" si="76"/>
        <v>14.900000004563481</v>
      </c>
      <c r="O217" s="7"/>
      <c r="P217" s="7"/>
      <c r="Q217" s="22"/>
      <c r="R217" s="22"/>
      <c r="S217" s="31">
        <f t="shared" si="94"/>
        <v>0</v>
      </c>
      <c r="T217" s="46" t="str">
        <f t="shared" si="8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86"/>
        <v>https://d0f6bd738d7f1b3e5a7ca70fe4ff75f0.us-east-1.aws.found.io/app/kibana#/discover/Steve-Slow-Train-Analysis-(2080s-and-2083s)?_g=(refreshInterval:(display:Off,pause:!f,section:0,value:0),time:(from:'2017-03-28T01:09:44-0600',mode:absolute,to:'2017-03-28T03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 t="shared" si="87"/>
        <v>Y</v>
      </c>
      <c r="X217" s="183">
        <f t="shared" si="78"/>
        <v>2</v>
      </c>
      <c r="Y217" s="62">
        <f t="shared" si="88"/>
        <v>4.4200000000000003E-2</v>
      </c>
      <c r="Z217" s="62">
        <f t="shared" si="77"/>
        <v>6.0199999999999997E-2</v>
      </c>
      <c r="AA217" s="62">
        <f t="shared" si="89"/>
        <v>1.5999999999999993E-2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0"/>
        <v>0313-27</v>
      </c>
      <c r="AE217" s="85" t="str">
        <f t="shared" si="91"/>
        <v>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 &amp; 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</v>
      </c>
      <c r="AF217" s="82" t="str">
        <f t="shared" si="92"/>
        <v>"C:\Program Files (x86)\AstroGrep\AstroGrep.exe" /e /r /s /spath="%USERPROFILE%\AppData\Local\Temp\OnboardLogs" /stypes="app*4014*20170328*" /stext=" 08:.+((SYSTEM_STATE.+slice.+state.+changed )|(ment ac)|(multiple cpu faults)|(system.+state.+changed )|(\[timeout)|(PRM\|1\|D)|(kpr)|(kdp)|(\|lc)|(penalty))"</v>
      </c>
      <c r="AG217" s="1" t="str">
        <f t="shared" si="93"/>
        <v>Other</v>
      </c>
      <c r="AH217" s="86" t="str">
        <f t="shared" si="79"/>
        <v>"%USERPROFILE%\Documents\GitHub\eaglep3\Utilities\RefineRTDCRunTimes.py" --tripid 313-27 --locoid 4014 --swversion DE.1.0.9.0 --startMP 204:442 --initTime 2017-03-28T02:09:44 --startdatetime 2017-03-28T02:11:32 --delay 1 --endMP 204:602 --enddatetime 2017-03-28T02:26:26 --enforcementcount 0 &gt;&gt;C:\Users\stu\Documents\GitHub\eaglep3-reporting\EC\2017-03-27-refined-times.txt</v>
      </c>
      <c r="AI217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api","custom_fields":[{"id":1,"name":"Subdivision","value":"Other"},{"id":4,"name":"Milepost","value":"0.0602"},{"id":17,"name":"Train ID","value":"313-27"},{"id":16,"name":"Locomotive ID","value":"4014"},{"id":130,"name":"Impact","value":""},{"id":150,"name":"Time of Event (Mountain Time)","value":"02:26:26"},{"id":151,"name":"Denver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 t="s">
        <v>590</v>
      </c>
      <c r="AK217" s="48"/>
      <c r="AL217" s="48"/>
      <c r="AM217" s="150" t="str">
        <f t="shared" si="81"/>
        <v>start /low /b %USERPROFILE%\Documents\GitHub\eaglep3\Utilities\DownloadLogsFromS3.py --loco 4014 --day 2017-03-28</v>
      </c>
      <c r="AN217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820</v>
      </c>
      <c r="B218" s="7">
        <v>4053</v>
      </c>
      <c r="C218" s="21" t="s">
        <v>218</v>
      </c>
      <c r="D218" s="21" t="s">
        <v>916</v>
      </c>
      <c r="E218" s="13">
        <v>42822.028414351851</v>
      </c>
      <c r="F218" s="13">
        <v>42822.048298611109</v>
      </c>
      <c r="G218" s="7">
        <v>1</v>
      </c>
      <c r="H218" s="21" t="s">
        <v>502</v>
      </c>
      <c r="I218" s="13">
        <v>42822.074467592596</v>
      </c>
      <c r="J218" s="7">
        <v>0</v>
      </c>
      <c r="K218" s="97" t="str">
        <f t="shared" si="83"/>
        <v>4053/4054</v>
      </c>
      <c r="L218" s="21" t="str">
        <f>VLOOKUP(A218,'Trips&amp;Operators'!$C$1:$G$99999,5,FALSE)</f>
        <v>SMITH MICHAEL</v>
      </c>
      <c r="M218" s="6">
        <f t="shared" si="84"/>
        <v>2.6168981486989651E-2</v>
      </c>
      <c r="N218" s="7">
        <f t="shared" si="76"/>
        <v>37.683333341265097</v>
      </c>
      <c r="O218" s="7"/>
      <c r="P218" s="7"/>
      <c r="Q218" s="22"/>
      <c r="R218" s="22"/>
      <c r="S218" s="31">
        <f t="shared" si="94"/>
        <v>1</v>
      </c>
      <c r="T218" s="46" t="str">
        <f t="shared" si="8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6"/>
        <v>https://d0f6bd738d7f1b3e5a7ca70fe4ff75f0.us-east-1.aws.found.io/app/kibana#/discover/Steve-Slow-Train-Analysis-(2080s-and-2083s)?_g=(refreshInterval:(display:Off,pause:!f,section:0,value:0),time:(from:'2017-03-27T23:40:55-0600',mode:absolute,to:'2017-03-28T02:47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183" t="str">
        <f t="shared" si="87"/>
        <v>Y</v>
      </c>
      <c r="X218" s="183">
        <f t="shared" si="78"/>
        <v>2</v>
      </c>
      <c r="Y218" s="62">
        <f t="shared" si="88"/>
        <v>3.2500000000000001E-2</v>
      </c>
      <c r="Z218" s="62">
        <f t="shared" si="77"/>
        <v>2.3308</v>
      </c>
      <c r="AA218" s="62">
        <f t="shared" si="89"/>
        <v>2.2982999999999998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0"/>
        <v>0315-27</v>
      </c>
      <c r="AE218" s="85" t="str">
        <f t="shared" si="91"/>
        <v>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 &amp; 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</v>
      </c>
      <c r="AF218" s="82" t="str">
        <f t="shared" si="92"/>
        <v>"C:\Program Files (x86)\AstroGrep\AstroGrep.exe" /e /r /s /spath="%USERPROFILE%\AppData\Local\Temp\OnboardLogs" /stypes="app*4053*20170328*" /stext=" 07:.+((SYSTEM_STATE.+slice.+state.+changed )|(ment ac)|(multiple cpu faults)|(system.+state.+changed )|(\[timeout)|(PRM\|1\|D)|(kpr)|(kdp)|(\|lc)|(penalty))"</v>
      </c>
      <c r="AG218" s="1" t="str">
        <f t="shared" si="93"/>
        <v>Other</v>
      </c>
      <c r="AH218" s="86" t="str">
        <f t="shared" si="79"/>
        <v>"%USERPROFILE%\Documents\GitHub\eaglep3\Utilities\RefineRTDCRunTimes.py" --tripid 315-27 --locoid 4053 --swversion DE.1.0.9.0 --startMP 204:325 --initTime 2017-03-28T00:40:55 --startdatetime 2017-03-28T01:09:33 --delay 1 --endMP 300:23308 --enddatetime 2017-03-28T01:47:14 --enforcementcount 0 &gt;&gt;C:\Users\stu\Documents\GitHub\eaglep3-reporting\EC\2017-03-27-refined-times.txt</v>
      </c>
      <c r="AI218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api","custom_fields":[{"id":1,"name":"Subdivision","value":"Other"},{"id":4,"name":"Milepost","value":"2.3308"},{"id":17,"name":"Train ID","value":"315-27"},{"id":16,"name":"Locomotive ID","value":"4053"},{"id":130,"name":"Impact","value":""},{"id":150,"name":"Time of Event (Mountain Time)","value":"01:47:14"},{"id":151,"name":"Denver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 t="s">
        <v>590</v>
      </c>
      <c r="AK218" s="48"/>
      <c r="AL218" s="48"/>
      <c r="AM218" s="150" t="str">
        <f t="shared" si="81"/>
        <v>start /low /b %USERPROFILE%\Documents\GitHub\eaglep3\Utilities\DownloadLogsFromS3.py --loco 4053 --day 2017-03-28</v>
      </c>
      <c r="AN218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07:47:14"},{"id":29,"name":"Sharepoint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592</v>
      </c>
      <c r="B219" s="7">
        <v>4044</v>
      </c>
      <c r="C219" s="21" t="s">
        <v>218</v>
      </c>
      <c r="D219" s="21" t="s">
        <v>988</v>
      </c>
      <c r="E219" s="13">
        <v>42821.201562499999</v>
      </c>
      <c r="F219" s="13">
        <v>42821.206469907411</v>
      </c>
      <c r="G219" s="7">
        <v>6</v>
      </c>
      <c r="H219" s="21" t="s">
        <v>989</v>
      </c>
      <c r="I219" s="13">
        <v>42821.212453703702</v>
      </c>
      <c r="J219" s="7">
        <v>0</v>
      </c>
      <c r="K219" s="97" t="str">
        <f t="shared" si="83"/>
        <v>4043/4044</v>
      </c>
      <c r="L219" s="21" t="str">
        <f>VLOOKUP(A219,'Trips&amp;Operators'!$C$1:$G$99999,5,FALSE)</f>
        <v>DAVIS WENDY</v>
      </c>
      <c r="M219" s="6">
        <f t="shared" si="84"/>
        <v>5.9837962908204645E-3</v>
      </c>
      <c r="N219" s="7">
        <f t="shared" si="76"/>
        <v>8.6166666587814689</v>
      </c>
      <c r="O219" s="7"/>
      <c r="P219" s="7"/>
      <c r="Q219" s="22"/>
      <c r="R219" s="22"/>
      <c r="S219" s="31">
        <f t="shared" si="94"/>
        <v>0</v>
      </c>
      <c r="T219" s="46" t="str">
        <f t="shared" si="85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86"/>
        <v>https://d0f6bd738d7f1b3e5a7ca70fe4ff75f0.us-east-1.aws.found.io/app/kibana#/discover/Steve-Slow-Train-Analysis-(2080s-and-2083s)?_g=(refreshInterval:(display:Off,pause:!f,section:0,value:0),time:(from:'2017-03-27T03:50:15-0600',mode:absolute,to:'2017-03-27T06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9" s="183" t="str">
        <f t="shared" si="87"/>
        <v>Y</v>
      </c>
      <c r="X219" s="183">
        <f t="shared" si="78"/>
        <v>586</v>
      </c>
      <c r="Y219" s="62">
        <f t="shared" si="88"/>
        <v>2.9805999999999999</v>
      </c>
      <c r="Z219" s="62">
        <f t="shared" si="77"/>
        <v>5.9005000000000001</v>
      </c>
      <c r="AA219" s="62">
        <f t="shared" si="89"/>
        <v>2.9199000000000002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0"/>
        <v>0901-27</v>
      </c>
      <c r="AE219" s="85" t="str">
        <f t="shared" si="91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219" s="82" t="str">
        <f t="shared" si="92"/>
        <v>"C:\Program Files (x86)\AstroGrep\AstroGrep.exe" /e /r /s /spath="%USERPROFILE%\AppData\Local\Temp\OnboardLogs" /stypes="app*4044*20170327*" /stext=" 11:.+((SYSTEM_STATE.+slice.+state.+changed )|(ment ac)|(multiple cpu faults)|(system.+state.+changed )|(\[timeout)|(PRM\|1\|D)|(kpr)|(kdp)|(\|lc)|(penalty))"</v>
      </c>
      <c r="AG219" s="1" t="str">
        <f t="shared" si="93"/>
        <v>Other</v>
      </c>
      <c r="AH219" s="86" t="str">
        <f t="shared" si="79"/>
        <v>"%USERPROFILE%\Documents\GitHub\eaglep3\Utilities\RefineRTDCRunTimes.py" --tripid 901-27 --locoid 4044 --swversion DE.1.0.9.0 --startMP 300:29806 --initTime 2017-03-27T04:50:15 --startdatetime 2017-03-27T04:57:19 --delay 6 --endMP 300:59005 --enddatetime 2017-03-27T05:05:56 --enforcementcount 0 &gt;&gt;C:\Users\stu\Documents\GitHub\eaglep3-reporting\EC\2017-03-27-refined-times.txt</v>
      </c>
      <c r="AI219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api","custom_fields":[{"id":1,"name":"Subdivision","value":"Other"},{"id":4,"name":"Milepost","value":"5.9005"},{"id":17,"name":"Train ID","value":"901-27"},{"id":16,"name":"Locomotive ID","value":"4044"},{"id":130,"name":"Impact","value":""},{"id":150,"name":"Time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 t="s">
        <v>590</v>
      </c>
      <c r="AK219" s="48"/>
      <c r="AL219" s="48"/>
      <c r="AM219" s="150" t="str">
        <f t="shared" si="81"/>
        <v>start /low /b %USERPROFILE%\Documents\GitHub\eaglep3\Utilities\DownloadLogsFromS3.py --loco 4044 --day 2017-03-27</v>
      </c>
      <c r="AN219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597</v>
      </c>
      <c r="B220" s="7">
        <v>4010</v>
      </c>
      <c r="C220" s="21" t="s">
        <v>218</v>
      </c>
      <c r="D220" s="21" t="s">
        <v>990</v>
      </c>
      <c r="E220" s="13">
        <v>42821.250856481478</v>
      </c>
      <c r="F220" s="13">
        <v>42821.255266203705</v>
      </c>
      <c r="G220" s="7">
        <v>6</v>
      </c>
      <c r="H220" s="21" t="s">
        <v>991</v>
      </c>
      <c r="I220" s="13">
        <v>42821.255393518521</v>
      </c>
      <c r="J220" s="7">
        <v>0</v>
      </c>
      <c r="K220" s="97" t="str">
        <f t="shared" si="83"/>
        <v>4009/4010</v>
      </c>
      <c r="L220" s="21" t="str">
        <f>VLOOKUP(A220,'Trips&amp;Operators'!$C$1:$G$99999,5,FALSE)</f>
        <v>FORTUNATO FRANK</v>
      </c>
      <c r="M220" s="6">
        <f t="shared" si="84"/>
        <v>1.273148154723458E-4</v>
      </c>
      <c r="N220" s="7">
        <f t="shared" si="76"/>
        <v>0.18333333428017795</v>
      </c>
      <c r="O220" s="7"/>
      <c r="P220" s="7"/>
      <c r="Q220" s="22"/>
      <c r="R220" s="22"/>
      <c r="S220" s="31">
        <f t="shared" si="94"/>
        <v>0</v>
      </c>
      <c r="T220" s="46" t="str">
        <f t="shared" si="85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86"/>
        <v>https://d0f6bd738d7f1b3e5a7ca70fe4ff75f0.us-east-1.aws.found.io/app/kibana#/discover/Steve-Slow-Train-Analysis-(2080s-and-2083s)?_g=(refreshInterval:(display:Off,pause:!f,section:0,value:0),time:(from:'2017-03-27T05:01:14-0600',mode:absolute,to:'2017-03-27T07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183" t="str">
        <f t="shared" si="87"/>
        <v>Y</v>
      </c>
      <c r="X220" s="183">
        <f t="shared" si="78"/>
        <v>1</v>
      </c>
      <c r="Y220" s="62">
        <f t="shared" si="88"/>
        <v>2.343</v>
      </c>
      <c r="Z220" s="62">
        <f t="shared" si="77"/>
        <v>2.3199000000000001</v>
      </c>
      <c r="AA220" s="62">
        <f t="shared" si="89"/>
        <v>2.3099999999999898E-2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0"/>
        <v>0902-27</v>
      </c>
      <c r="AE220" s="85" t="str">
        <f t="shared" si="91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220" s="82" t="str">
        <f t="shared" si="92"/>
        <v>"C:\Program Files (x86)\AstroGrep\AstroGrep.exe" /e /r /s /spath="%USERPROFILE%\AppData\Local\Temp\OnboardLogs" /stypes="app*4010*20170327*" /stext=" 12:.+((SYSTEM_STATE.+slice.+state.+changed )|(ment ac)|(multiple cpu faults)|(system.+state.+changed )|(\[timeout)|(PRM\|1\|D)|(kpr)|(kdp)|(\|lc)|(penalty))"</v>
      </c>
      <c r="AG220" s="1" t="str">
        <f t="shared" si="93"/>
        <v>Other</v>
      </c>
      <c r="AH220" s="86" t="str">
        <f t="shared" si="79"/>
        <v>"%USERPROFILE%\Documents\GitHub\eaglep3\Utilities\RefineRTDCRunTimes.py" --tripid 902-27 --locoid 4010 --swversion DE.1.0.9.0 --startMP 300:23430 --initTime 2017-03-27T06:01:14 --startdatetime 2017-03-27T06:07:35 --delay 6 --endMP 300:23199 --enddatetime 2017-03-27T06:07:46 --enforcementcount 0 &gt;&gt;C:\Users\stu\Documents\GitHub\eaglep3-reporting\EC\2017-03-27-refined-times.txt</v>
      </c>
      <c r="AI220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api","custom_fields":[{"id":1,"name":"Subdivision","value":"Other"},{"id":4,"name":"Milepost","value":"2.3199"},{"id":17,"name":"Train ID","value":"902-27"},{"id":16,"name":"Locomotive ID","value":"4010"},{"id":130,"name":"Impact","value":""},{"id":150,"name":"Time of Event (Mountain Time)","value":"06:07:46"},{"id":151,"name":"Denver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 t="s">
        <v>590</v>
      </c>
      <c r="AK220" s="48"/>
      <c r="AL220" s="48"/>
      <c r="AM220" s="150" t="str">
        <f t="shared" si="81"/>
        <v>start /low /b %USERPROFILE%\Documents\GitHub\eaglep3\Utilities\DownloadLogsFromS3.py --loco 4010 --day 2017-03-27</v>
      </c>
      <c r="AN220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12:07:46"},{"id":29,"name":"Sharepoint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681</v>
      </c>
      <c r="B221" s="7">
        <v>4044</v>
      </c>
      <c r="C221" s="21" t="s">
        <v>218</v>
      </c>
      <c r="D221" s="21" t="s">
        <v>992</v>
      </c>
      <c r="E221" s="13">
        <v>42821.352453703701</v>
      </c>
      <c r="F221" s="13">
        <v>42821.353449074071</v>
      </c>
      <c r="G221" s="7">
        <v>0</v>
      </c>
      <c r="H221" s="21" t="s">
        <v>993</v>
      </c>
      <c r="I221" s="13">
        <v>42821.360405092593</v>
      </c>
      <c r="J221" s="7">
        <v>0</v>
      </c>
      <c r="K221" s="97" t="str">
        <f t="shared" si="83"/>
        <v>4043/4044</v>
      </c>
      <c r="L221" s="21" t="str">
        <f>VLOOKUP(A221,'Trips&amp;Operators'!$C$1:$G$99999,5,FALSE)</f>
        <v>DAVIS WENDY</v>
      </c>
      <c r="M221" s="6">
        <f t="shared" si="84"/>
        <v>6.9560185220325366E-3</v>
      </c>
      <c r="N221" s="7">
        <f t="shared" si="76"/>
        <v>10.016666671726853</v>
      </c>
      <c r="O221" s="7"/>
      <c r="P221" s="7"/>
      <c r="Q221" s="22"/>
      <c r="R221" s="22"/>
      <c r="S221" s="31">
        <f t="shared" si="94"/>
        <v>1</v>
      </c>
      <c r="T221" s="46" t="str">
        <f t="shared" si="85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6"/>
        <v>https://d0f6bd738d7f1b3e5a7ca70fe4ff75f0.us-east-1.aws.found.io/app/kibana#/discover/Steve-Slow-Train-Analysis-(2080s-and-2083s)?_g=(refreshInterval:(display:Off,pause:!f,section:0,value:0),time:(from:'2017-03-27T07:27:32-0600',mode:absolute,to:'2017-03-27T09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1" s="183" t="str">
        <f t="shared" si="87"/>
        <v>Y</v>
      </c>
      <c r="X221" s="183">
        <f t="shared" si="78"/>
        <v>1</v>
      </c>
      <c r="Y221" s="62">
        <f t="shared" si="88"/>
        <v>9.3399999999999997E-2</v>
      </c>
      <c r="Z221" s="62">
        <f t="shared" si="77"/>
        <v>2.544</v>
      </c>
      <c r="AA221" s="62">
        <f t="shared" si="89"/>
        <v>2.4506000000000001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0"/>
        <v>0903-27</v>
      </c>
      <c r="AE221" s="85" t="str">
        <f t="shared" si="91"/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AF221" s="82" t="str">
        <f t="shared" si="92"/>
        <v>"C:\Program Files (x86)\AstroGrep\AstroGrep.exe" /e /r /s /spath="%USERPROFILE%\AppData\Local\Temp\OnboardLogs" /stypes="app*4044*20170327*" /stext=" 14:.+((SYSTEM_STATE.+slice.+state.+changed )|(ment ac)|(multiple cpu faults)|(system.+state.+changed )|(\[timeout)|(PRM\|1\|D)|(kpr)|(kdp)|(\|lc)|(penalty))"</v>
      </c>
      <c r="AG221" s="1" t="str">
        <f t="shared" si="93"/>
        <v>Other</v>
      </c>
      <c r="AH221" s="86" t="str">
        <f t="shared" si="79"/>
        <v>"%USERPROFILE%\Documents\GitHub\eaglep3\Utilities\RefineRTDCRunTimes.py" --tripid 903-27 --locoid 4044 --swversion DE.1.0.9.0 --startMP 204:934 --initTime 2017-03-27T08:27:32 --startdatetime 2017-03-27T08:28:58 --delay 0 --endMP 300:25440 --enddatetime 2017-03-27T08:38:59 --enforcementcount 0 &gt;&gt;C:\Users\stu\Documents\GitHub\eaglep3-reporting\EC\2017-03-27-refined-times.txt</v>
      </c>
      <c r="AI221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api","custom_fields":[{"id":1,"name":"Subdivision","value":"Other"},{"id":4,"name":"Milepost","value":"2.544"},{"id":17,"name":"Train ID","value":"903-27"},{"id":16,"name":"Locomotive ID","value":"4044"},{"id":130,"name":"Impact","value":""},{"id":150,"name":"Time of Event (Mountain Time)","value":"08:38:59"},{"id":151,"name":"Denver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 t="s">
        <v>590</v>
      </c>
      <c r="AK221" s="48"/>
      <c r="AL221" s="48"/>
      <c r="AM221" s="150" t="str">
        <f t="shared" si="81"/>
        <v>start /low /b %USERPROFILE%\Documents\GitHub\eaglep3\Utilities\DownloadLogsFromS3.py --loco 4044 --day 2017-03-27</v>
      </c>
      <c r="AN221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14:38:59"},{"id":29,"name":"Sharepoint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618</v>
      </c>
      <c r="B222" s="7">
        <v>4043</v>
      </c>
      <c r="C222" s="21" t="s">
        <v>218</v>
      </c>
      <c r="D222" s="21" t="s">
        <v>994</v>
      </c>
      <c r="E222" s="13">
        <v>42821.637916666667</v>
      </c>
      <c r="F222" s="13">
        <v>42821.639780092592</v>
      </c>
      <c r="G222" s="7">
        <v>2</v>
      </c>
      <c r="H222" s="21" t="s">
        <v>995</v>
      </c>
      <c r="I222" s="13">
        <v>42821.644247685188</v>
      </c>
      <c r="J222" s="7">
        <v>0</v>
      </c>
      <c r="K222" s="97" t="str">
        <f t="shared" si="83"/>
        <v>4043/4044</v>
      </c>
      <c r="L222" s="21" t="str">
        <f>VLOOKUP(A222,'Trips&amp;Operators'!$C$1:$G$99999,5,FALSE)</f>
        <v>NEWELL JAMES</v>
      </c>
      <c r="M222" s="6">
        <f t="shared" si="84"/>
        <v>4.4675925964838825E-3</v>
      </c>
      <c r="N222" s="7">
        <f t="shared" ref="N222:N239" si="95">24*60*SUM($M222:$M222)</f>
        <v>6.4333333389367908</v>
      </c>
      <c r="O222" s="7"/>
      <c r="P222" s="7"/>
      <c r="Q222" s="22"/>
      <c r="R222" s="22"/>
      <c r="S222" s="31">
        <f t="shared" si="94"/>
        <v>1</v>
      </c>
      <c r="T222" s="46" t="str">
        <f t="shared" si="8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6"/>
        <v>https://d0f6bd738d7f1b3e5a7ca70fe4ff75f0.us-east-1.aws.found.io/app/kibana#/discover/Steve-Slow-Train-Analysis-(2080s-and-2083s)?_g=(refreshInterval:(display:Off,pause:!f,section:0,value:0),time:(from:'2017-03-27T14:18:36-0600',mode:absolute,to:'2017-03-27T16:27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183" t="str">
        <f t="shared" si="87"/>
        <v>Y</v>
      </c>
      <c r="X222" s="183">
        <f t="shared" si="78"/>
        <v>1</v>
      </c>
      <c r="Y222" s="62">
        <f t="shared" si="88"/>
        <v>2.2999000000000001</v>
      </c>
      <c r="Z222" s="62">
        <f t="shared" ref="Z222:Z239" si="96">RIGHT(H222,LEN(H222)-4)/10000</f>
        <v>6.6299999999999998E-2</v>
      </c>
      <c r="AA222" s="62">
        <f t="shared" si="89"/>
        <v>2.2336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0"/>
        <v>0904-27</v>
      </c>
      <c r="AE222" s="85" t="str">
        <f t="shared" si="91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222" s="82" t="str">
        <f t="shared" si="92"/>
        <v>"C:\Program Files (x86)\AstroGrep\AstroGrep.exe" /e /r /s /spath="%USERPROFILE%\AppData\Local\Temp\OnboardLogs" /stypes="app*4043*20170327*" /stext=" 21:.+((SYSTEM_STATE.+slice.+state.+changed )|(ment ac)|(multiple cpu faults)|(system.+state.+changed )|(\[timeout)|(PRM\|1\|D)|(kpr)|(kdp)|(\|lc)|(penalty))"</v>
      </c>
      <c r="AG222" s="1" t="str">
        <f t="shared" si="93"/>
        <v>Other</v>
      </c>
      <c r="AH222" s="86" t="str">
        <f t="shared" si="79"/>
        <v>"%USERPROFILE%\Documents\GitHub\eaglep3\Utilities\RefineRTDCRunTimes.py" --tripid 904-27 --locoid 4043 --swversion DE.1.0.9.0 --startMP 300:22999 --initTime 2017-03-27T15:18:36 --startdatetime 2017-03-27T15:21:17 --delay 2 --endMP 204:663 --enddatetime 2017-03-27T15:27:43 --enforcementcount 0 &gt;&gt;C:\Users\stu\Documents\GitHub\eaglep3-reporting\EC\2017-03-27-refined-times.txt</v>
      </c>
      <c r="AI222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api","custom_fields":[{"id":1,"name":"Subdivision","value":"Other"},{"id":4,"name":"Milepost","value":"0.0663"},{"id":17,"name":"Train ID","value":"904-27"},{"id":16,"name":"Locomotive ID","value":"4043"},{"id":130,"name":"Impact","value":""},{"id":150,"name":"Time of Event (Mountain Time)","value":"15:27:43"},{"id":151,"name":"Denver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 t="s">
        <v>590</v>
      </c>
      <c r="AK222" s="48"/>
      <c r="AL222" s="48"/>
      <c r="AM222" s="150" t="str">
        <f t="shared" si="81"/>
        <v>start /low /b %USERPROFILE%\Documents\GitHub\eaglep3\Utilities\DownloadLogsFromS3.py --loco 4043 --day 2017-03-27</v>
      </c>
      <c r="AN222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21:27:43"},{"id":29,"name":"Sharepoint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788</v>
      </c>
      <c r="B223" s="7">
        <v>4043</v>
      </c>
      <c r="C223" s="21" t="s">
        <v>218</v>
      </c>
      <c r="D223" s="21" t="s">
        <v>409</v>
      </c>
      <c r="E223" s="13">
        <v>42821.795486111114</v>
      </c>
      <c r="F223" s="13">
        <v>42821.796736111108</v>
      </c>
      <c r="G223" s="7">
        <v>1</v>
      </c>
      <c r="H223" s="21" t="s">
        <v>996</v>
      </c>
      <c r="I223" s="13">
        <v>42821.802731481483</v>
      </c>
      <c r="J223" s="7">
        <v>0</v>
      </c>
      <c r="K223" s="97" t="str">
        <f t="shared" si="83"/>
        <v>4043/4044</v>
      </c>
      <c r="L223" s="21" t="str">
        <f>VLOOKUP(A223,'Trips&amp;Operators'!$C$1:$G$99999,5,FALSE)</f>
        <v>NEWELL JAMES</v>
      </c>
      <c r="M223" s="6">
        <f t="shared" si="84"/>
        <v>5.9953703748760745E-3</v>
      </c>
      <c r="N223" s="7">
        <f t="shared" si="95"/>
        <v>8.6333333398215473</v>
      </c>
      <c r="O223" s="7"/>
      <c r="P223" s="7"/>
      <c r="Q223" s="22"/>
      <c r="R223" s="22"/>
      <c r="S223" s="31">
        <f t="shared" si="94"/>
        <v>0</v>
      </c>
      <c r="T223" s="46" t="str">
        <f t="shared" si="8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86"/>
        <v>https://d0f6bd738d7f1b3e5a7ca70fe4ff75f0.us-east-1.aws.found.io/app/kibana#/discover/Steve-Slow-Train-Analysis-(2080s-and-2083s)?_g=(refreshInterval:(display:Off,pause:!f,section:0,value:0),time:(from:'2017-03-27T18:05:30-0600',mode:absolute,to:'2017-03-27T20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83" t="str">
        <f t="shared" si="87"/>
        <v>Y</v>
      </c>
      <c r="X223" s="183">
        <f t="shared" si="78"/>
        <v>2</v>
      </c>
      <c r="Y223" s="62">
        <f t="shared" si="88"/>
        <v>5.8615000000000004</v>
      </c>
      <c r="Z223" s="62">
        <f t="shared" si="96"/>
        <v>2.8776000000000002</v>
      </c>
      <c r="AA223" s="62">
        <f t="shared" si="89"/>
        <v>2.9839000000000002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0"/>
        <v>0906-27</v>
      </c>
      <c r="AE223" s="85" t="str">
        <f t="shared" si="91"/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AF223" s="82" t="str">
        <f t="shared" si="92"/>
        <v>"C:\Program Files (x86)\AstroGrep\AstroGrep.exe" /e /r /s /spath="%USERPROFILE%\AppData\Local\Temp\OnboardLogs" /stypes="app*4043*20170328*" /stext=" 01:.+((SYSTEM_STATE.+slice.+state.+changed )|(ment ac)|(multiple cpu faults)|(system.+state.+changed )|(\[timeout)|(PRM\|1\|D)|(kpr)|(kdp)|(\|lc)|(penalty))"</v>
      </c>
      <c r="AG223" s="1" t="str">
        <f t="shared" si="93"/>
        <v>Other</v>
      </c>
      <c r="AH223" s="86" t="str">
        <f t="shared" si="79"/>
        <v>"%USERPROFILE%\Documents\GitHub\eaglep3\Utilities\RefineRTDCRunTimes.py" --tripid 906-27 --locoid 4043 --swversion DE.1.0.9.0 --startMP 300:58615 --initTime 2017-03-27T19:05:30 --startdatetime 2017-03-27T19:07:18 --delay 1 --endMP 300:28776 --enddatetime 2017-03-27T19:15:56 --enforcementcount 0 &gt;&gt;C:\Users\stu\Documents\GitHub\eaglep3-reporting\EC\2017-03-27-refined-times.txt</v>
      </c>
      <c r="AI223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api","custom_fields":[{"id":1,"name":"Subdivision","value":"Other"},{"id":4,"name":"Milepost","value":"2.8776"},{"id":17,"name":"Train ID","value":"906-27"},{"id":16,"name":"Locomotive ID","value":"4043"},{"id":130,"name":"Impact","value":""},{"id":150,"name":"Time of Event (Mountain Time)","value":"19:15:56"},{"id":151,"name":"Denver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 t="s">
        <v>590</v>
      </c>
      <c r="AK223" s="48"/>
      <c r="AL223" s="48"/>
      <c r="AM223" s="150" t="str">
        <f t="shared" si="81"/>
        <v>start /low /b %USERPROFILE%\Documents\GitHub\eaglep3\Utilities\DownloadLogsFromS3.py --loco 4043 --day 2017-03-27</v>
      </c>
      <c r="AN223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01:15:56"},{"id":29,"name":"Sharepoint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813</v>
      </c>
      <c r="B224" s="7">
        <v>4010</v>
      </c>
      <c r="C224" s="21" t="s">
        <v>218</v>
      </c>
      <c r="D224" s="21" t="s">
        <v>462</v>
      </c>
      <c r="E224" s="13">
        <v>42821.942175925928</v>
      </c>
      <c r="F224" s="13">
        <v>42821.943819444445</v>
      </c>
      <c r="G224" s="7">
        <v>1</v>
      </c>
      <c r="H224" s="21" t="s">
        <v>997</v>
      </c>
      <c r="I224" s="13">
        <v>42821.948229166665</v>
      </c>
      <c r="J224" s="7">
        <v>0</v>
      </c>
      <c r="K224" s="97" t="str">
        <f t="shared" si="83"/>
        <v>4009/4010</v>
      </c>
      <c r="L224" s="21" t="str">
        <f>VLOOKUP(A224,'Trips&amp;Operators'!$C$1:$G$99999,5,FALSE)</f>
        <v>NEWELL JAMES</v>
      </c>
      <c r="M224" s="6">
        <f t="shared" si="84"/>
        <v>4.4097222198615782E-3</v>
      </c>
      <c r="N224" s="7">
        <f t="shared" si="95"/>
        <v>6.3499999966006726</v>
      </c>
      <c r="O224" s="7"/>
      <c r="P224" s="7"/>
      <c r="Q224" s="22"/>
      <c r="R224" s="22"/>
      <c r="S224" s="31">
        <f t="shared" si="94"/>
        <v>0</v>
      </c>
      <c r="T224" s="46" t="str">
        <f t="shared" si="85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6"/>
        <v>https://d0f6bd738d7f1b3e5a7ca70fe4ff75f0.us-east-1.aws.found.io/app/kibana#/discover/Steve-Slow-Train-Analysis-(2080s-and-2083s)?_g=(refreshInterval:(display:Off,pause:!f,section:0,value:0),time:(from:'2017-03-27T21:36:44-0600',mode:absolute,to:'2017-03-27T23:45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183" t="str">
        <f t="shared" si="87"/>
        <v>Y</v>
      </c>
      <c r="X224" s="183">
        <f t="shared" si="78"/>
        <v>2</v>
      </c>
      <c r="Y224" s="62">
        <f t="shared" si="88"/>
        <v>5.8611000000000004</v>
      </c>
      <c r="Z224" s="62">
        <f t="shared" si="96"/>
        <v>2.1720999999999999</v>
      </c>
      <c r="AA224" s="62">
        <f t="shared" si="89"/>
        <v>3.6890000000000005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0"/>
        <v>0908-27</v>
      </c>
      <c r="AE224" s="85" t="str">
        <f t="shared" si="91"/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AF224" s="82" t="str">
        <f t="shared" si="92"/>
        <v>"C:\Program Files (x86)\AstroGrep\AstroGrep.exe" /e /r /s /spath="%USERPROFILE%\AppData\Local\Temp\OnboardLogs" /stypes="app*4010*20170328*" /stext=" 04:.+((SYSTEM_STATE.+slice.+state.+changed )|(ment ac)|(multiple cpu faults)|(system.+state.+changed )|(\[timeout)|(PRM\|1\|D)|(kpr)|(kdp)|(\|lc)|(penalty))"</v>
      </c>
      <c r="AG224" s="1" t="str">
        <f t="shared" si="93"/>
        <v>Other</v>
      </c>
      <c r="AH224" s="86" t="str">
        <f t="shared" si="79"/>
        <v>"%USERPROFILE%\Documents\GitHub\eaglep3\Utilities\RefineRTDCRunTimes.py" --tripid 908-27 --locoid 4010 --swversion DE.1.0.9.0 --startMP 300:58611 --initTime 2017-03-27T22:36:44 --startdatetime 2017-03-27T22:39:06 --delay 1 --endMP 300:21721 --enddatetime 2017-03-27T22:45:27 --enforcementcount 0 &gt;&gt;C:\Users\stu\Documents\GitHub\eaglep3-reporting\EC\2017-03-27-refined-times.txt</v>
      </c>
      <c r="AI224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api","custom_fields":[{"id":1,"name":"Subdivision","value":"Other"},{"id":4,"name":"Milepost","value":"2.1721"},{"id":17,"name":"Train ID","value":"908-27"},{"id":16,"name":"Locomotive ID","value":"4010"},{"id":130,"name":"Impact","value":""},{"id":150,"name":"Time of Event (Mountain Time)","value":"22:45:27"},{"id":151,"name":"Denver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 t="s">
        <v>590</v>
      </c>
      <c r="AK224" s="48"/>
      <c r="AL224" s="48"/>
      <c r="AM224" s="150" t="str">
        <f t="shared" si="81"/>
        <v>start /low /b %USERPROFILE%\Documents\GitHub\eaglep3\Utilities\DownloadLogsFromS3.py --loco 4010 --day 2017-03-27</v>
      </c>
      <c r="AN224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04:45:27"},{"id":29,"name":"Sharepoint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694</v>
      </c>
      <c r="B225" s="7">
        <v>4012</v>
      </c>
      <c r="C225" s="21" t="s">
        <v>218</v>
      </c>
      <c r="D225" s="21" t="s">
        <v>917</v>
      </c>
      <c r="E225" s="13">
        <v>42821.431979166664</v>
      </c>
      <c r="F225" s="13">
        <v>42821.435046296298</v>
      </c>
      <c r="G225" s="7">
        <v>4</v>
      </c>
      <c r="H225" s="21" t="s">
        <v>918</v>
      </c>
      <c r="I225" s="13">
        <v>42821.440127314818</v>
      </c>
      <c r="J225" s="7">
        <v>0</v>
      </c>
      <c r="K225" s="97" t="str">
        <f t="shared" si="83"/>
        <v>4011/4012</v>
      </c>
      <c r="L225" s="21" t="str">
        <f>VLOOKUP(A225,'Trips&amp;Operators'!$C$1:$G$99999,5,FALSE)</f>
        <v>MACDONALD THOMAS</v>
      </c>
      <c r="M225" s="6">
        <f t="shared" si="84"/>
        <v>5.0810185202863067E-3</v>
      </c>
      <c r="N225" s="7">
        <f t="shared" si="95"/>
        <v>7.3166666692122817</v>
      </c>
      <c r="O225" s="7"/>
      <c r="P225" s="7"/>
      <c r="Q225" s="22"/>
      <c r="R225" s="22"/>
      <c r="S225" s="31">
        <f t="shared" si="94"/>
        <v>0</v>
      </c>
      <c r="T225" s="46" t="e">
        <f t="shared" si="8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6"/>
        <v>https://d0f6bd738d7f1b3e5a7ca70fe4ff75f0.us-east-1.aws.found.io/app/kibana#/discover/Steve-Slow-Train-Analysis-(2080s-and-2083s)?_g=(refreshInterval:(display:Off,pause:!f,section:0,value:0),time:(from:'2017-03-27T09:22:03-0600',mode:absolute,to:'2017-03-27T11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183" t="str">
        <f t="shared" si="87"/>
        <v>Y</v>
      </c>
      <c r="X225" s="183" t="e">
        <f t="shared" si="78"/>
        <v>#VALUE!</v>
      </c>
      <c r="Y225" s="62">
        <f t="shared" si="88"/>
        <v>2.1800999999999999</v>
      </c>
      <c r="Z225" s="62">
        <f t="shared" si="96"/>
        <v>1.3100000000000001E-2</v>
      </c>
      <c r="AA225" s="62">
        <f t="shared" si="89"/>
        <v>2.1669999999999998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0"/>
        <v>50-27</v>
      </c>
      <c r="AE225" s="85" t="str">
        <f t="shared" si="91"/>
        <v>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 &amp; 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</v>
      </c>
      <c r="AF225" s="82" t="str">
        <f t="shared" si="92"/>
        <v>"C:\Program Files (x86)\AstroGrep\AstroGrep.exe" /e /r /s /spath="%USERPROFILE%\AppData\Local\Temp\OnboardLogs" /stypes="app*4012*20170327*" /stext=" 16:.+((SYSTEM_STATE.+slice.+state.+changed )|(ment ac)|(multiple cpu faults)|(system.+state.+changed )|(\[timeout)|(PRM\|1\|D)|(kpr)|(kdp)|(\|lc)|(penalty))"</v>
      </c>
      <c r="AG225" s="1" t="str">
        <f t="shared" si="93"/>
        <v>Other</v>
      </c>
      <c r="AH225" s="86" t="str">
        <f t="shared" si="79"/>
        <v>"%USERPROFILE%\Documents\GitHub\eaglep3\Utilities\RefineRTDCRunTimes.py" --tripid 50-27 --locoid 4012 --swversion DE.1.0.9.0 --startMP 300:21801 --initTime 2017-03-27T10:22:03 --startdatetime 2017-03-27T10:26:28 --delay 4 --endMP 204:131 --enddatetime 2017-03-27T10:33:47 --enforcementcount 0 &gt;&gt;C:\Users\stu\Documents\GitHub\eaglep3-reporting\EC\2017-03-27-refined-times.txt</v>
      </c>
      <c r="AI225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api","custom_fields":[{"id":1,"name":"Subdivision","value":"Other"},{"id":4,"name":"Milepost","value":"0.0131"},{"id":17,"name":"Train ID","value":"50-27"},{"id":16,"name":"Locomotive ID","value":"4012"},{"id":130,"name":"Impact","value":""},{"id":150,"name":"Time of Event (Mountain Time)","value":"10:33:47"},{"id":151,"name":"Denver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 t="s">
        <v>590</v>
      </c>
      <c r="AK225" s="48"/>
      <c r="AL225" s="48"/>
      <c r="AM225" s="150" t="str">
        <f t="shared" si="81"/>
        <v>start /low /b %USERPROFILE%\Documents\GitHub\eaglep3\Utilities\DownloadLogsFromS3.py --loco 4012 --day 2017-03-27</v>
      </c>
      <c r="AN225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16:33:47"},{"id":29,"name":"Sharepoint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703</v>
      </c>
      <c r="B226" s="7">
        <v>4011</v>
      </c>
      <c r="C226" s="21" t="s">
        <v>218</v>
      </c>
      <c r="D226" s="21" t="s">
        <v>495</v>
      </c>
      <c r="E226" s="13">
        <v>42821.471284722225</v>
      </c>
      <c r="F226" s="13">
        <v>42821.47284722222</v>
      </c>
      <c r="G226" s="7">
        <v>1</v>
      </c>
      <c r="H226" s="21" t="s">
        <v>919</v>
      </c>
      <c r="I226" s="13">
        <v>42821.479351851849</v>
      </c>
      <c r="J226" s="7">
        <v>0</v>
      </c>
      <c r="K226" s="97" t="str">
        <f t="shared" si="83"/>
        <v>4011/4012</v>
      </c>
      <c r="L226" s="21" t="str">
        <f>VLOOKUP(A226,'Trips&amp;Operators'!$C$1:$G$99999,5,FALSE)</f>
        <v>MAELZER KURT</v>
      </c>
      <c r="M226" s="6">
        <f t="shared" si="84"/>
        <v>6.5046296294895001E-3</v>
      </c>
      <c r="N226" s="7">
        <f t="shared" si="95"/>
        <v>9.3666666664648801</v>
      </c>
      <c r="O226" s="7"/>
      <c r="P226" s="7"/>
      <c r="Q226" s="22"/>
      <c r="R226" s="22"/>
      <c r="S226" s="31">
        <f t="shared" si="94"/>
        <v>0</v>
      </c>
      <c r="T226" s="46" t="e">
        <f t="shared" si="8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6"/>
        <v>https://d0f6bd738d7f1b3e5a7ca70fe4ff75f0.us-east-1.aws.found.io/app/kibana#/discover/Steve-Slow-Train-Analysis-(2080s-and-2083s)?_g=(refreshInterval:(display:Off,pause:!f,section:0,value:0),time:(from:'2017-03-27T10:18:39-0600',mode:absolute,to:'2017-03-27T12:30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6" s="183" t="str">
        <f t="shared" si="87"/>
        <v>Y</v>
      </c>
      <c r="X226" s="183" t="e">
        <f t="shared" si="78"/>
        <v>#VALUE!</v>
      </c>
      <c r="Y226" s="62">
        <f t="shared" si="88"/>
        <v>4.4600000000000001E-2</v>
      </c>
      <c r="Z226" s="62">
        <f t="shared" si="96"/>
        <v>2.4249999999999998</v>
      </c>
      <c r="AA226" s="62">
        <f t="shared" si="89"/>
        <v>2.3803999999999998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0"/>
        <v>51-27</v>
      </c>
      <c r="AE226" s="85" t="str">
        <f t="shared" si="91"/>
        <v>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 &amp; aws s3 cp s3://rtdc.mdm.uploadarchive.raw/RTDC4011/ "%USERPROFILE%\AppData\Local\Temp\OnboardLogs"\RTDC4011\2017-03-28 --exclude "*" --recursive --include "*20170328*" &amp; "%USERPROFILE%\Documents\GitHub\mrs-test-scripts\Headless Mode &amp; Sideloading\WalkAndUnGZ.bat" "%USERPROFILE%\AppData\Local\Temp\OnboardLogs"\RTDC4011\2017-03-28</v>
      </c>
      <c r="AF226" s="82" t="str">
        <f t="shared" si="92"/>
        <v>"C:\Program Files (x86)\AstroGrep\AstroGrep.exe" /e /r /s /spath="%USERPROFILE%\AppData\Local\Temp\OnboardLogs" /stypes="app*4011*20170327*" /stext=" 17:.+((SYSTEM_STATE.+slice.+state.+changed )|(ment ac)|(multiple cpu faults)|(system.+state.+changed )|(\[timeout)|(PRM\|1\|D)|(kpr)|(kdp)|(\|lc)|(penalty))"</v>
      </c>
      <c r="AG226" s="1" t="str">
        <f t="shared" si="93"/>
        <v>Other</v>
      </c>
      <c r="AH226" s="86" t="str">
        <f t="shared" si="79"/>
        <v>"%USERPROFILE%\Documents\GitHub\eaglep3\Utilities\RefineRTDCRunTimes.py" --tripid 51-27 --locoid 4011 --swversion DE.1.0.9.0 --startMP 204:446 --initTime 2017-03-27T11:18:39 --startdatetime 2017-03-27T11:20:54 --delay 1 --endMP 300:24250 --enddatetime 2017-03-27T11:30:16 --enforcementcount 0 &gt;&gt;C:\Users\stu\Documents\GitHub\eaglep3-reporting\EC\2017-03-27-refined-times.txt</v>
      </c>
      <c r="AI226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api","custom_fields":[{"id":1,"name":"Subdivision","value":"Other"},{"id":4,"name":"Milepost","value":"2.425"},{"id":17,"name":"Train ID","value":"51-27"},{"id":16,"name":"Locomotive ID","value":"4011"},{"id":130,"name":"Impact","value":""},{"id":150,"name":"Time of Event (Mountain Time)","value":"11:30:16"},{"id":151,"name":"Denver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 t="s">
        <v>590</v>
      </c>
      <c r="AK226" s="48"/>
      <c r="AL226" s="48"/>
      <c r="AM226" s="150" t="str">
        <f t="shared" si="81"/>
        <v>start /low /b %USERPROFILE%\Documents\GitHub\eaglep3\Utilities\DownloadLogsFromS3.py --loco 4011 --day 2017-03-27</v>
      </c>
      <c r="AN226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17:30:16"},{"id":29,"name":"Sharepoint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772</v>
      </c>
      <c r="B227" s="7">
        <v>4018</v>
      </c>
      <c r="C227" s="21" t="s">
        <v>218</v>
      </c>
      <c r="D227" s="21" t="s">
        <v>920</v>
      </c>
      <c r="E227" s="13">
        <v>42821.739641203705</v>
      </c>
      <c r="F227" s="13">
        <v>42821.746828703705</v>
      </c>
      <c r="G227" s="7">
        <v>1</v>
      </c>
      <c r="H227" s="21" t="s">
        <v>582</v>
      </c>
      <c r="I227" s="13">
        <v>42821.755335648151</v>
      </c>
      <c r="J227" s="7">
        <v>0</v>
      </c>
      <c r="K227" s="97" t="str">
        <f t="shared" si="83"/>
        <v>4017/4018</v>
      </c>
      <c r="L227" s="21" t="str">
        <f>VLOOKUP(A227,'Trips&amp;Operators'!$C$1:$G$99999,5,FALSE)</f>
        <v>MACDONALD THOMAS</v>
      </c>
      <c r="M227" s="6">
        <f t="shared" si="84"/>
        <v>8.5069444467080757E-3</v>
      </c>
      <c r="N227" s="7">
        <f t="shared" si="95"/>
        <v>12.250000003259629</v>
      </c>
      <c r="O227" s="7"/>
      <c r="P227" s="7"/>
      <c r="Q227" s="22"/>
      <c r="R227" s="22"/>
      <c r="S227" s="31">
        <f t="shared" si="94"/>
        <v>0</v>
      </c>
      <c r="T227" s="46" t="e">
        <f t="shared" si="8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6"/>
        <v>https://d0f6bd738d7f1b3e5a7ca70fe4ff75f0.us-east-1.aws.found.io/app/kibana#/discover/Steve-Slow-Train-Analysis-(2080s-and-2083s)?_g=(refreshInterval:(display:Off,pause:!f,section:0,value:0),time:(from:'2017-03-27T16:45:05-0600',mode:absolute,to:'2017-03-27T19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83" t="str">
        <f t="shared" si="87"/>
        <v>Y</v>
      </c>
      <c r="X227" s="183" t="e">
        <f t="shared" si="78"/>
        <v>#VALUE!</v>
      </c>
      <c r="Y227" s="62">
        <f t="shared" si="88"/>
        <v>0.1469</v>
      </c>
      <c r="Z227" s="62">
        <f t="shared" si="96"/>
        <v>2.3304</v>
      </c>
      <c r="AA227" s="62">
        <f t="shared" si="89"/>
        <v>2.1835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0"/>
        <v>67-27</v>
      </c>
      <c r="AE227" s="85" t="str">
        <f t="shared" si="91"/>
        <v>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 &amp; 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</v>
      </c>
      <c r="AF227" s="82" t="str">
        <f t="shared" si="92"/>
        <v>"C:\Program Files (x86)\AstroGrep\AstroGrep.exe" /e /r /s /spath="%USERPROFILE%\AppData\Local\Temp\OnboardLogs" /stypes="app*4018*20170328*" /stext=" 00:.+((SYSTEM_STATE.+slice.+state.+changed )|(ment ac)|(multiple cpu faults)|(system.+state.+changed )|(\[timeout)|(PRM\|1\|D)|(kpr)|(kdp)|(\|lc)|(penalty))"</v>
      </c>
      <c r="AG227" s="1" t="str">
        <f t="shared" si="93"/>
        <v>Other</v>
      </c>
      <c r="AH227" s="86" t="str">
        <f t="shared" si="79"/>
        <v>"%USERPROFILE%\Documents\GitHub\eaglep3\Utilities\RefineRTDCRunTimes.py" --tripid 67-27 --locoid 4018 --swversion DE.1.0.9.0 --startMP 204:1469 --initTime 2017-03-27T17:45:05 --startdatetime 2017-03-27T17:55:26 --delay 1 --endMP 300:23304 --enddatetime 2017-03-27T18:07:41 --enforcementcount 0 &gt;&gt;C:\Users\stu\Documents\GitHub\eaglep3-reporting\EC\2017-03-27-refined-times.txt</v>
      </c>
      <c r="AI227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api","custom_fields":[{"id":1,"name":"Subdivision","value":"Other"},{"id":4,"name":"Milepost","value":"2.3304"},{"id":17,"name":"Train ID","value":"67-27"},{"id":16,"name":"Locomotive ID","value":"4018"},{"id":130,"name":"Impact","value":""},{"id":150,"name":"Time of Event (Mountain Time)","value":"18:07:41"},{"id":151,"name":"Denver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 t="s">
        <v>590</v>
      </c>
      <c r="AK227" s="48"/>
      <c r="AL227" s="48"/>
      <c r="AM227" s="150" t="str">
        <f t="shared" si="81"/>
        <v>start /low /b %USERPROFILE%\Documents\GitHub\eaglep3\Utilities\DownloadLogsFromS3.py --loco 4018 --day 2017-03-27</v>
      </c>
      <c r="AN227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00:07:41"},{"id":29,"name":"Sharepoint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808</v>
      </c>
      <c r="B228" s="7">
        <v>4041</v>
      </c>
      <c r="C228" s="21" t="s">
        <v>218</v>
      </c>
      <c r="D228" s="21" t="s">
        <v>921</v>
      </c>
      <c r="E228" s="13">
        <v>42821.999409722222</v>
      </c>
      <c r="F228" s="13">
        <v>42822.001018518517</v>
      </c>
      <c r="G228" s="7">
        <v>1</v>
      </c>
      <c r="H228" s="21" t="s">
        <v>394</v>
      </c>
      <c r="I228" s="13">
        <v>42822.018865740742</v>
      </c>
      <c r="J228" s="7">
        <v>0</v>
      </c>
      <c r="K228" s="97" t="str">
        <f t="shared" si="83"/>
        <v>4041/4042</v>
      </c>
      <c r="L228" s="21" t="str">
        <f>VLOOKUP(A228,'Trips&amp;Operators'!$C$1:$G$99999,5,FALSE)</f>
        <v>YANG JAN</v>
      </c>
      <c r="M228" s="6">
        <f t="shared" si="84"/>
        <v>1.7847222225100268E-2</v>
      </c>
      <c r="N228" s="7">
        <f t="shared" si="95"/>
        <v>25.700000004144385</v>
      </c>
      <c r="O228" s="7"/>
      <c r="P228" s="7"/>
      <c r="Q228" s="22"/>
      <c r="R228" s="22"/>
      <c r="S228" s="31">
        <f t="shared" si="94"/>
        <v>0</v>
      </c>
      <c r="T228" s="46" t="e">
        <f t="shared" si="8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6"/>
        <v>https://d0f6bd738d7f1b3e5a7ca70fe4ff75f0.us-east-1.aws.found.io/app/kibana#/discover/Steve-Slow-Train-Analysis-(2080s-and-2083s)?_g=(refreshInterval:(display:Off,pause:!f,section:0,value:0),time:(from:'2017-03-27T22:59:09-0600',mode:absolute,to:'2017-03-28T01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83" t="str">
        <f t="shared" si="87"/>
        <v>N</v>
      </c>
      <c r="X228" s="183" t="e">
        <f t="shared" si="78"/>
        <v>#VALUE!</v>
      </c>
      <c r="Y228" s="62">
        <f t="shared" si="88"/>
        <v>12.800700000000001</v>
      </c>
      <c r="Z228" s="62">
        <f t="shared" si="96"/>
        <v>1.43E-2</v>
      </c>
      <c r="AA228" s="62">
        <f t="shared" si="89"/>
        <v>12.7864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0"/>
        <v>80-27</v>
      </c>
      <c r="AE228" s="85" t="str">
        <f t="shared" si="91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28" s="82" t="str">
        <f t="shared" si="92"/>
        <v>"C:\Program Files (x86)\AstroGrep\AstroGrep.exe" /e /r /s /spath="%USERPROFILE%\AppData\Local\Temp\OnboardLogs" /stypes="app*4041*20170328*" /stext=" 06:.+((SYSTEM_STATE.+slice.+state.+changed )|(ment ac)|(multiple cpu faults)|(system.+state.+changed )|(\[timeout)|(PRM\|1\|D)|(kpr)|(kdp)|(\|lc)|(penalty))"</v>
      </c>
      <c r="AG228" s="1" t="str">
        <f t="shared" si="93"/>
        <v>Other</v>
      </c>
      <c r="AH228" s="86" t="str">
        <f t="shared" si="79"/>
        <v>"%USERPROFILE%\Documents\GitHub\eaglep3\Utilities\RefineRTDCRunTimes.py" --tripid 80-27 --locoid 4041 --swversion DE.1.0.9.0 --startMP 204:128007 --initTime 2017-03-27T23:59:09 --startdatetime 2017-03-28T00:01:28 --delay 1 --endMP 204:143 --enddatetime 2017-03-28T00:27:10 --enforcementcount 0 &gt;&gt;C:\Users\stu\Documents\GitHub\eaglep3-reporting\EC\2017-03-27-refined-times.txt</v>
      </c>
      <c r="AI228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api","custom_fields":[{"id":1,"name":"Subdivision","value":"Other"},{"id":4,"name":"Milepost","value":"0.0143"},{"id":17,"name":"Train ID","value":"80-27"},{"id":16,"name":"Locomotive ID","value":"4041"},{"id":130,"name":"Impact","value":""},{"id":150,"name":"Time of Event (Mountain Time)","value":"00:27:10"},{"id":151,"name":"Denver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 t="s">
        <v>590</v>
      </c>
      <c r="AK228" s="48"/>
      <c r="AL228" s="48"/>
      <c r="AM228" s="150" t="str">
        <f t="shared" si="81"/>
        <v>start /low /b %USERPROFILE%\Documents\GitHub\eaglep3\Utilities\DownloadLogsFromS3.py --loco 4041 --day 2017-03-28</v>
      </c>
      <c r="AN228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808</v>
      </c>
      <c r="B229" s="7">
        <v>4041</v>
      </c>
      <c r="C229" s="21" t="s">
        <v>218</v>
      </c>
      <c r="D229" s="21" t="s">
        <v>922</v>
      </c>
      <c r="E229" s="13">
        <v>42821.963587962964</v>
      </c>
      <c r="F229" s="13">
        <v>42822.001018518517</v>
      </c>
      <c r="G229" s="7">
        <v>1</v>
      </c>
      <c r="H229" s="21" t="s">
        <v>923</v>
      </c>
      <c r="I229" s="13">
        <v>42822.018865740742</v>
      </c>
      <c r="J229" s="7">
        <v>0</v>
      </c>
      <c r="K229" s="97" t="str">
        <f t="shared" si="83"/>
        <v>4041/4042</v>
      </c>
      <c r="L229" s="21" t="str">
        <f>VLOOKUP(A229,'Trips&amp;Operators'!$C$1:$G$99999,5,FALSE)</f>
        <v>YANG JAN</v>
      </c>
      <c r="M229" s="6">
        <f t="shared" si="84"/>
        <v>1.7847222225100268E-2</v>
      </c>
      <c r="N229" s="7">
        <f t="shared" si="95"/>
        <v>25.700000004144385</v>
      </c>
      <c r="O229" s="7"/>
      <c r="P229" s="7"/>
      <c r="Q229" s="22"/>
      <c r="R229" s="22"/>
      <c r="S229" s="31">
        <f t="shared" si="94"/>
        <v>0</v>
      </c>
      <c r="T229" s="46" t="e">
        <f t="shared" si="8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6"/>
        <v>https://d0f6bd738d7f1b3e5a7ca70fe4ff75f0.us-east-1.aws.found.io/app/kibana#/discover/Steve-Slow-Train-Analysis-(2080s-and-2083s)?_g=(refreshInterval:(display:Off,pause:!f,section:0,value:0),time:(from:'2017-03-27T22:07:34-0600',mode:absolute,to:'2017-03-28T01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9" s="183" t="str">
        <f t="shared" si="87"/>
        <v>N</v>
      </c>
      <c r="X229" s="183" t="e">
        <f t="shared" si="78"/>
        <v>#VALUE!</v>
      </c>
      <c r="Y229" s="62">
        <f t="shared" si="88"/>
        <v>12.800800000000001</v>
      </c>
      <c r="Z229" s="62">
        <f t="shared" si="96"/>
        <v>1.0207999999999999</v>
      </c>
      <c r="AA229" s="62">
        <f t="shared" si="89"/>
        <v>11.780000000000001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0"/>
        <v>80-27</v>
      </c>
      <c r="AE229" s="85" t="str">
        <f t="shared" si="91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29" s="82" t="str">
        <f t="shared" si="92"/>
        <v>"C:\Program Files (x86)\AstroGrep\AstroGrep.exe" /e /r /s /spath="%USERPROFILE%\AppData\Local\Temp\OnboardLogs" /stypes="app*4041*20170328*" /stext=" 06:.+((SYSTEM_STATE.+slice.+state.+changed )|(ment ac)|(multiple cpu faults)|(system.+state.+changed )|(\[timeout)|(PRM\|1\|D)|(kpr)|(kdp)|(\|lc)|(penalty))"</v>
      </c>
      <c r="AG229" s="1" t="str">
        <f t="shared" si="93"/>
        <v>Other</v>
      </c>
      <c r="AH229" s="86" t="str">
        <f t="shared" si="79"/>
        <v>"%USERPROFILE%\Documents\GitHub\eaglep3\Utilities\RefineRTDCRunTimes.py" --tripid 80-27 --locoid 4041 --swversion DE.1.0.9.0 --startMP 204:128008 --initTime 2017-03-27T23:07:34 --startdatetime 2017-03-28T00:01:28 --delay 1 --endMP 204:10208 --enddatetime 2017-03-28T00:27:10 --enforcementcount 0 &gt;&gt;C:\Users\stu\Documents\GitHub\eaglep3-reporting\EC\2017-03-27-refined-times.txt</v>
      </c>
      <c r="AI229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api","custom_fields":[{"id":1,"name":"Subdivision","value":"Other"},{"id":4,"name":"Milepost","value":"1.0208"},{"id":17,"name":"Train ID","value":"80-27"},{"id":16,"name":"Locomotive ID","value":"4041"},{"id":130,"name":"Impact","value":""},{"id":150,"name":"Time of Event (Mountain Time)","value":"00:27:10"},{"id":151,"name":"Denver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 t="s">
        <v>590</v>
      </c>
      <c r="AK229" s="48"/>
      <c r="AL229" s="48"/>
      <c r="AM229" s="150" t="str">
        <f t="shared" si="81"/>
        <v>start /low /b %USERPROFILE%\Documents\GitHub\eaglep3\Utilities\DownloadLogsFromS3.py --loco 4041 --day 2017-03-28</v>
      </c>
      <c r="AN229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06:27:10"},{"id":29,"name":"Sharepoint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808</v>
      </c>
      <c r="B230" s="7">
        <v>4041</v>
      </c>
      <c r="C230" s="21" t="s">
        <v>218</v>
      </c>
      <c r="D230" s="21" t="s">
        <v>922</v>
      </c>
      <c r="E230" s="13">
        <v>42822.048726851855</v>
      </c>
      <c r="F230" s="13">
        <v>42822.052395833336</v>
      </c>
      <c r="G230" s="7">
        <v>1</v>
      </c>
      <c r="H230" s="21" t="s">
        <v>924</v>
      </c>
      <c r="I230" s="13">
        <v>42822.0784375</v>
      </c>
      <c r="J230" s="7">
        <v>0</v>
      </c>
      <c r="K230" s="97" t="str">
        <f t="shared" si="83"/>
        <v>4041/4042</v>
      </c>
      <c r="L230" s="21" t="str">
        <f>VLOOKUP(A230,'Trips&amp;Operators'!$C$1:$G$99999,5,FALSE)</f>
        <v>YANG JAN</v>
      </c>
      <c r="M230" s="6">
        <f t="shared" si="84"/>
        <v>2.6041666664241347E-2</v>
      </c>
      <c r="N230" s="7">
        <f t="shared" si="95"/>
        <v>37.49999999650754</v>
      </c>
      <c r="O230" s="7"/>
      <c r="P230" s="7"/>
      <c r="Q230" s="22"/>
      <c r="R230" s="22"/>
      <c r="S230" s="31">
        <f t="shared" si="94"/>
        <v>0</v>
      </c>
      <c r="T230" s="46" t="e">
        <f t="shared" si="8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6"/>
        <v>https://d0f6bd738d7f1b3e5a7ca70fe4ff75f0.us-east-1.aws.found.io/app/kibana#/discover/Steve-Slow-Train-Analysis-(2080s-and-2083s)?_g=(refreshInterval:(display:Off,pause:!f,section:0,value:0),time:(from:'2017-03-28T00:10:10-0600',mode:absolute,to:'2017-03-28T02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0" s="183" t="str">
        <f t="shared" si="87"/>
        <v>N</v>
      </c>
      <c r="X230" s="183" t="e">
        <f t="shared" si="78"/>
        <v>#VALUE!</v>
      </c>
      <c r="Y230" s="62">
        <f t="shared" si="88"/>
        <v>12.800800000000001</v>
      </c>
      <c r="Z230" s="62">
        <f t="shared" si="96"/>
        <v>1.0271999999999999</v>
      </c>
      <c r="AA230" s="62">
        <f t="shared" si="89"/>
        <v>11.7736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0"/>
        <v>80-27</v>
      </c>
      <c r="AE230" s="85" t="str">
        <f t="shared" si="91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0" s="82" t="str">
        <f t="shared" si="92"/>
        <v>"C:\Program Files (x86)\AstroGrep\AstroGrep.exe" /e /r /s /spath="%USERPROFILE%\AppData\Local\Temp\OnboardLogs" /stypes="app*4041*20170328*" /stext=" 07:.+((SYSTEM_STATE.+slice.+state.+changed )|(ment ac)|(multiple cpu faults)|(system.+state.+changed )|(\[timeout)|(PRM\|1\|D)|(kpr)|(kdp)|(\|lc)|(penalty))"</v>
      </c>
      <c r="AG230" s="1" t="str">
        <f t="shared" si="93"/>
        <v>Other</v>
      </c>
      <c r="AH230" s="86" t="str">
        <f t="shared" si="79"/>
        <v>"%USERPROFILE%\Documents\GitHub\eaglep3\Utilities\RefineRTDCRunTimes.py" --tripid 80-27 --locoid 4041 --swversion DE.1.0.9.0 --startMP 204:128008 --initTime 2017-03-28T01:10:10 --startdatetime 2017-03-28T01:15:27 --delay 1 --endMP 204:10272 --enddatetime 2017-03-28T01:52:57 --enforcementcount 0 &gt;&gt;C:\Users\stu\Documents\GitHub\eaglep3-reporting\EC\2017-03-27-refined-times.txt</v>
      </c>
      <c r="AI230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api","custom_fields":[{"id":1,"name":"Subdivision","value":"Other"},{"id":4,"name":"Milepost","value":"1.0272"},{"id":17,"name":"Train ID","value":"80-27"},{"id":16,"name":"Locomotive ID","value":"4041"},{"id":130,"name":"Impact","value":""},{"id":150,"name":"Time of Event (Mountain Time)","value":"01:52:57"},{"id":151,"name":"Denver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 t="s">
        <v>590</v>
      </c>
      <c r="AK230" s="48"/>
      <c r="AL230" s="48"/>
      <c r="AM230" s="150" t="str">
        <f t="shared" si="81"/>
        <v>start /low /b %USERPROFILE%\Documents\GitHub\eaglep3\Utilities\DownloadLogsFromS3.py --loco 4041 --day 2017-03-28</v>
      </c>
      <c r="AN230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808</v>
      </c>
      <c r="B231" s="7">
        <v>4041</v>
      </c>
      <c r="C231" s="21" t="s">
        <v>218</v>
      </c>
      <c r="D231" s="21" t="s">
        <v>925</v>
      </c>
      <c r="E231" s="13">
        <v>42822.104386574072</v>
      </c>
      <c r="F231" s="13">
        <v>42822.106898148151</v>
      </c>
      <c r="G231" s="7">
        <v>2</v>
      </c>
      <c r="H231" s="21" t="s">
        <v>408</v>
      </c>
      <c r="I231" s="13">
        <v>42822.12605324074</v>
      </c>
      <c r="J231" s="7">
        <v>0</v>
      </c>
      <c r="K231" s="97" t="str">
        <f t="shared" si="83"/>
        <v>4041/4042</v>
      </c>
      <c r="L231" s="21" t="str">
        <f>VLOOKUP(A231,'Trips&amp;Operators'!$C$1:$G$99999,5,FALSE)</f>
        <v>YANG JAN</v>
      </c>
      <c r="M231" s="6">
        <f t="shared" si="84"/>
        <v>1.915509258833481E-2</v>
      </c>
      <c r="N231" s="7">
        <f t="shared" si="95"/>
        <v>27.583333327202126</v>
      </c>
      <c r="O231" s="7"/>
      <c r="P231" s="7"/>
      <c r="Q231" s="22"/>
      <c r="R231" s="22"/>
      <c r="S231" s="31">
        <f t="shared" si="94"/>
        <v>0</v>
      </c>
      <c r="T231" s="46" t="e">
        <f t="shared" si="85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6"/>
        <v>https://d0f6bd738d7f1b3e5a7ca70fe4ff75f0.us-east-1.aws.found.io/app/kibana#/discover/Steve-Slow-Train-Analysis-(2080s-and-2083s)?_g=(refreshInterval:(display:Off,pause:!f,section:0,value:0),time:(from:'2017-03-28T01:30:19-0600',mode:absolute,to:'2017-03-28T04:01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1" s="183" t="str">
        <f t="shared" si="87"/>
        <v>N</v>
      </c>
      <c r="X231" s="183" t="e">
        <f t="shared" si="78"/>
        <v>#VALUE!</v>
      </c>
      <c r="Y231" s="62">
        <f t="shared" si="88"/>
        <v>12.8011</v>
      </c>
      <c r="Z231" s="62">
        <f t="shared" si="96"/>
        <v>1.6E-2</v>
      </c>
      <c r="AA231" s="62">
        <f t="shared" si="89"/>
        <v>12.7851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0"/>
        <v>80-27</v>
      </c>
      <c r="AE231" s="85" t="str">
        <f t="shared" si="91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1" s="82" t="str">
        <f t="shared" si="92"/>
        <v>"C:\Program Files (x86)\AstroGrep\AstroGrep.exe" /e /r /s /spath="%USERPROFILE%\AppData\Local\Temp\OnboardLogs" /stypes="app*4041*20170328*" /stext=" 09:.+((SYSTEM_STATE.+slice.+state.+changed )|(ment ac)|(multiple cpu faults)|(system.+state.+changed )|(\[timeout)|(PRM\|1\|D)|(kpr)|(kdp)|(\|lc)|(penalty))"</v>
      </c>
      <c r="AG231" s="1" t="str">
        <f t="shared" si="93"/>
        <v>Other</v>
      </c>
      <c r="AH231" s="86" t="str">
        <f t="shared" si="79"/>
        <v>"%USERPROFILE%\Documents\GitHub\eaglep3\Utilities\RefineRTDCRunTimes.py" --tripid 80-27 --locoid 4041 --swversion DE.1.0.9.0 --startMP 204:128011 --initTime 2017-03-28T02:30:19 --startdatetime 2017-03-28T02:33:56 --delay 2 --endMP 204:160 --enddatetime 2017-03-28T03:01:31 --enforcementcount 0 &gt;&gt;C:\Users\stu\Documents\GitHub\eaglep3-reporting\EC\2017-03-27-refined-times.txt</v>
      </c>
      <c r="AI231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api","custom_fields":[{"id":1,"name":"Subdivision","value":"Other"},{"id":4,"name":"Milepost","value":"0.016"},{"id":17,"name":"Train ID","value":"80-27"},{"id":16,"name":"Locomotive ID","value":"4041"},{"id":130,"name":"Impact","value":""},{"id":150,"name":"Time of Event (Mountain Time)","value":"03:01:31"},{"id":151,"name":"Denver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 t="s">
        <v>590</v>
      </c>
      <c r="AK231" s="48"/>
      <c r="AL231" s="48"/>
      <c r="AM231" s="150" t="str">
        <f t="shared" si="81"/>
        <v>start /low /b %USERPROFILE%\Documents\GitHub\eaglep3\Utilities\DownloadLogsFromS3.py --loco 4041 --day 2017-03-28</v>
      </c>
      <c r="AN231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808</v>
      </c>
      <c r="B232" s="7">
        <v>4041</v>
      </c>
      <c r="C232" s="21" t="s">
        <v>218</v>
      </c>
      <c r="D232" s="21" t="s">
        <v>926</v>
      </c>
      <c r="E232" s="13">
        <v>42821.914131944446</v>
      </c>
      <c r="F232" s="13">
        <v>42821.946064814816</v>
      </c>
      <c r="G232" s="7">
        <v>8</v>
      </c>
      <c r="H232" s="21" t="s">
        <v>927</v>
      </c>
      <c r="I232" s="13">
        <v>42821.962083333332</v>
      </c>
      <c r="J232" s="7">
        <v>0</v>
      </c>
      <c r="K232" s="97" t="str">
        <f t="shared" si="83"/>
        <v>4041/4042</v>
      </c>
      <c r="L232" s="21" t="str">
        <f>VLOOKUP(A232,'Trips&amp;Operators'!$C$1:$G$99999,5,FALSE)</f>
        <v>YANG JAN</v>
      </c>
      <c r="M232" s="6">
        <f t="shared" si="84"/>
        <v>1.6018518515920732E-2</v>
      </c>
      <c r="N232" s="7">
        <f t="shared" si="95"/>
        <v>23.066666662925854</v>
      </c>
      <c r="O232" s="7"/>
      <c r="P232" s="7"/>
      <c r="Q232" s="22"/>
      <c r="R232" s="22"/>
      <c r="S232" s="31">
        <f t="shared" si="94"/>
        <v>0</v>
      </c>
      <c r="T232" s="46" t="e">
        <f t="shared" si="85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6"/>
        <v>https://d0f6bd738d7f1b3e5a7ca70fe4ff75f0.us-east-1.aws.found.io/app/kibana#/discover/Steve-Slow-Train-Analysis-(2080s-and-2083s)?_g=(refreshInterval:(display:Off,pause:!f,section:0,value:0),time:(from:'2017-03-27T20:56:21-0600',mode:absolute,to:'2017-03-28T00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83" t="str">
        <f t="shared" si="87"/>
        <v>Y</v>
      </c>
      <c r="X232" s="183" t="e">
        <f t="shared" si="78"/>
        <v>#VALUE!</v>
      </c>
      <c r="Y232" s="62">
        <f t="shared" si="88"/>
        <v>2.2238000000000002</v>
      </c>
      <c r="Z232" s="62">
        <f t="shared" si="96"/>
        <v>1.4200000000000001E-2</v>
      </c>
      <c r="AA232" s="62">
        <f t="shared" si="89"/>
        <v>2.2096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0"/>
        <v>80-27</v>
      </c>
      <c r="AE232" s="85" t="str">
        <f t="shared" si="91"/>
        <v>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 &amp; 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</v>
      </c>
      <c r="AF232" s="82" t="str">
        <f t="shared" si="92"/>
        <v>"C:\Program Files (x86)\AstroGrep\AstroGrep.exe" /e /r /s /spath="%USERPROFILE%\AppData\Local\Temp\OnboardLogs" /stypes="app*4041*20170328*" /stext=" 05:.+((SYSTEM_STATE.+slice.+state.+changed )|(ment ac)|(multiple cpu faults)|(system.+state.+changed )|(\[timeout)|(PRM\|1\|D)|(kpr)|(kdp)|(\|lc)|(penalty))"</v>
      </c>
      <c r="AG232" s="1" t="str">
        <f t="shared" si="93"/>
        <v>Other</v>
      </c>
      <c r="AH232" s="86" t="str">
        <f t="shared" si="79"/>
        <v>"%USERPROFILE%\Documents\GitHub\eaglep3\Utilities\RefineRTDCRunTimes.py" --tripid 80-27 --locoid 4041 --swversion DE.1.0.9.0 --startMP 300:22238 --initTime 2017-03-27T21:56:21 --startdatetime 2017-03-27T22:42:20 --delay 8 --endMP 204:142 --enddatetime 2017-03-27T23:05:24 --enforcementcount 0 &gt;&gt;C:\Users\stu\Documents\GitHub\eaglep3-reporting\EC\2017-03-27-refined-times.txt</v>
      </c>
      <c r="AI232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api","custom_fields":[{"id":1,"name":"Subdivision","value":"Other"},{"id":4,"name":"Milepost","value":"0.0142"},{"id":17,"name":"Train ID","value":"80-27"},{"id":16,"name":"Locomotive ID","value":"4041"},{"id":130,"name":"Impact","value":""},{"id":150,"name":"Time of Event (Mountain Time)","value":"23:05:24"},{"id":151,"name":"Denver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 t="s">
        <v>590</v>
      </c>
      <c r="AK232" s="48"/>
      <c r="AL232" s="48"/>
      <c r="AM232" s="150" t="str">
        <f t="shared" si="81"/>
        <v>start /low /b %USERPROFILE%\Documents\GitHub\eaglep3\Utilities\DownloadLogsFromS3.py --loco 4041 --day 2017-03-27</v>
      </c>
      <c r="AN232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541</v>
      </c>
      <c r="B233" s="7">
        <v>4042</v>
      </c>
      <c r="C233" s="21" t="s">
        <v>218</v>
      </c>
      <c r="D233" s="21" t="s">
        <v>584</v>
      </c>
      <c r="E233" s="13">
        <v>42821.095810185187</v>
      </c>
      <c r="F233" s="13">
        <v>42821.097708333335</v>
      </c>
      <c r="G233" s="7">
        <v>1</v>
      </c>
      <c r="H233" s="21" t="s">
        <v>581</v>
      </c>
      <c r="I233" s="13">
        <v>42821.106157407405</v>
      </c>
      <c r="J233" s="7">
        <v>0</v>
      </c>
      <c r="K233" s="97" t="str">
        <f t="shared" si="83"/>
        <v>4041/4042</v>
      </c>
      <c r="L233" s="21" t="str">
        <f>VLOOKUP(A233,'Trips&amp;Operators'!$C$1:$G$99999,5,FALSE)</f>
        <v>YANG JAN</v>
      </c>
      <c r="M233" s="6">
        <f t="shared" si="84"/>
        <v>8.4490740700857714E-3</v>
      </c>
      <c r="N233" s="7">
        <f t="shared" si="95"/>
        <v>12.166666660923511</v>
      </c>
      <c r="O233" s="7"/>
      <c r="P233" s="7"/>
      <c r="Q233" s="22"/>
      <c r="R233" s="22"/>
      <c r="S233" s="31">
        <f t="shared" si="94"/>
        <v>0</v>
      </c>
      <c r="T233" s="46" t="e">
        <f t="shared" si="85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6"/>
        <v>https://d0f6bd738d7f1b3e5a7ca70fe4ff75f0.us-east-1.aws.found.io/app/kibana#/discover/Steve-Slow-Train-Analysis-(2080s-and-2083s)?_g=(refreshInterval:(display:Off,pause:!f,section:0,value:0),time:(from:'2017-03-27T01:17:58-0600',mode:absolute,to:'2017-03-27T03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83" t="str">
        <f t="shared" si="87"/>
        <v>Y</v>
      </c>
      <c r="X233" s="183" t="e">
        <f t="shared" ref="X233:X239" si="97">VALUE(LEFT(AD233,4))-VALUE(LEFT(AD232,4))</f>
        <v>#VALUE!</v>
      </c>
      <c r="Y233" s="62">
        <f t="shared" si="88"/>
        <v>0.109</v>
      </c>
      <c r="Z233" s="62">
        <f t="shared" si="96"/>
        <v>2.3302</v>
      </c>
      <c r="AA233" s="62">
        <f t="shared" si="89"/>
        <v>2.2212000000000001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0"/>
        <v>81-26</v>
      </c>
      <c r="AE233" s="85" t="str">
        <f t="shared" si="91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33" s="82" t="str">
        <f t="shared" si="92"/>
        <v>"C:\Program Files (x86)\AstroGrep\AstroGrep.exe" /e /r /s /spath="%USERPROFILE%\AppData\Local\Temp\OnboardLogs" /stypes="app*4042*20170327*" /stext=" 08:.+((SYSTEM_STATE.+slice.+state.+changed )|(ment ac)|(multiple cpu faults)|(system.+state.+changed )|(\[timeout)|(PRM\|1\|D)|(kpr)|(kdp)|(\|lc)|(penalty))"</v>
      </c>
      <c r="AG233" s="1" t="str">
        <f t="shared" si="93"/>
        <v>Other</v>
      </c>
      <c r="AH233" s="86" t="str">
        <f t="shared" si="79"/>
        <v>"%USERPROFILE%\Documents\GitHub\eaglep3\Utilities\RefineRTDCRunTimes.py" --tripid 81-26 --locoid 4042 --swversion DE.1.0.9.0 --startMP 204:1090 --initTime 2017-03-27T02:17:58 --startdatetime 2017-03-27T02:20:42 --delay 1 --endMP 300:23302 --enddatetime 2017-03-27T02:32:52 --enforcementcount 0 &gt;&gt;C:\Users\stu\Documents\GitHub\eaglep3-reporting\EC\2017-03-27-refined-times.txt</v>
      </c>
      <c r="AI233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api","custom_fields":[{"id":1,"name":"Subdivision","value":"Other"},{"id":4,"name":"Milepost","value":"2.3302"},{"id":17,"name":"Train ID","value":"81-26"},{"id":16,"name":"Locomotive ID","value":"4042"},{"id":130,"name":"Impact","value":""},{"id":150,"name":"Time of Event (Mountain Time)","value":"02:32:52"},{"id":151,"name":"Denver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 t="s">
        <v>590</v>
      </c>
      <c r="AK233" s="48"/>
      <c r="AL233" s="48"/>
      <c r="AM233" s="150" t="str">
        <f t="shared" si="81"/>
        <v>start /low /b %USERPROFILE%\Documents\GitHub\eaglep3\Utilities\DownloadLogsFromS3.py --loco 4042 --day 2017-03-27</v>
      </c>
      <c r="AN233" s="159" t="str">
        <f t="shared" si="82"/>
        <v>echo {"issue":{"subject":"","project_id":30,"tracker_id":4,"status_id":1,"priority_id":1,"assigned_to_id":10,"start_date":"2017-03-27","description":"test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811</v>
      </c>
      <c r="B234" s="7">
        <v>4042</v>
      </c>
      <c r="C234" s="21" t="s">
        <v>218</v>
      </c>
      <c r="D234" s="21" t="s">
        <v>944</v>
      </c>
      <c r="E234" s="13">
        <v>42821.982349537036</v>
      </c>
      <c r="F234" s="13">
        <v>42821.983831018515</v>
      </c>
      <c r="G234" s="7">
        <v>1</v>
      </c>
      <c r="H234" s="21" t="s">
        <v>945</v>
      </c>
      <c r="I234" s="13">
        <v>42821.998599537037</v>
      </c>
      <c r="J234" s="7">
        <v>0</v>
      </c>
      <c r="K234" s="97" t="str">
        <f t="shared" si="83"/>
        <v>4041/4042</v>
      </c>
      <c r="L234" s="21" t="str">
        <f>VLOOKUP(A234,'Trips&amp;Operators'!$C$1:$G$99999,5,FALSE)</f>
        <v>YANG JAN</v>
      </c>
      <c r="M234" s="6">
        <f t="shared" si="84"/>
        <v>1.4768518522032537E-2</v>
      </c>
      <c r="N234" s="7">
        <f t="shared" si="95"/>
        <v>21.266666671726853</v>
      </c>
      <c r="O234" s="7"/>
      <c r="P234" s="7"/>
      <c r="Q234" s="22"/>
      <c r="R234" s="22"/>
      <c r="S234" s="31">
        <f t="shared" si="94"/>
        <v>0</v>
      </c>
      <c r="T234" s="46" t="e">
        <f t="shared" si="85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6"/>
        <v>https://d0f6bd738d7f1b3e5a7ca70fe4ff75f0.us-east-1.aws.found.io/app/kibana#/discover/Steve-Slow-Train-Analysis-(2080s-and-2083s)?_g=(refreshInterval:(display:Off,pause:!f,section:0,value:0),time:(from:'2017-03-27T22:34:35-0600',mode:absolute,to:'2017-03-28T00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83" t="str">
        <f t="shared" si="87"/>
        <v>N</v>
      </c>
      <c r="X234" s="183" t="e">
        <f t="shared" si="97"/>
        <v>#VALUE!</v>
      </c>
      <c r="Y234" s="62">
        <f t="shared" si="88"/>
        <v>1.044</v>
      </c>
      <c r="Z234" s="62">
        <f t="shared" si="96"/>
        <v>12.827500000000001</v>
      </c>
      <c r="AA234" s="62">
        <f t="shared" si="89"/>
        <v>11.7835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0"/>
        <v>81-27</v>
      </c>
      <c r="AE234" s="85" t="str">
        <f t="shared" si="91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34" s="82" t="str">
        <f t="shared" si="92"/>
        <v>"C:\Program Files (x86)\AstroGrep\AstroGrep.exe" /e /r /s /spath="%USERPROFILE%\AppData\Local\Temp\OnboardLogs" /stypes="app*4042*20170328*" /stext=" 05:.+((SYSTEM_STATE.+slice.+state.+changed )|(ment ac)|(multiple cpu faults)|(system.+state.+changed )|(\[timeout)|(PRM\|1\|D)|(kpr)|(kdp)|(\|lc)|(penalty))"</v>
      </c>
      <c r="AG234" s="1" t="str">
        <f t="shared" si="93"/>
        <v>Other</v>
      </c>
      <c r="AH234" s="86" t="str">
        <f t="shared" si="79"/>
        <v>"%USERPROFILE%\Documents\GitHub\eaglep3\Utilities\RefineRTDCRunTimes.py" --tripid 81-27 --locoid 4042 --swversion DE.1.0.9.0 --startMP 204:10440 --initTime 2017-03-27T23:34:35 --startdatetime 2017-03-27T23:36:43 --delay 1 --endMP 204:128275 --enddatetime 2017-03-27T23:57:59 --enforcementcount 0 &gt;&gt;C:\Users\stu\Documents\GitHub\eaglep3-reporting\EC\2017-03-27-refined-times.txt</v>
      </c>
      <c r="AI234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api","custom_fields":[{"id":1,"name":"Subdivision","value":"Other"},{"id":4,"name":"Milepost","value":"12.8275"},{"id":17,"name":"Train ID","value":"81-27"},{"id":16,"name":"Locomotive ID","value":"4042"},{"id":130,"name":"Impact","value":""},{"id":150,"name":"Time of Event (Mountain Time)","value":"23:57:59"},{"id":151,"name":"Denver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 t="s">
        <v>590</v>
      </c>
      <c r="AK234" s="48"/>
      <c r="AL234" s="48"/>
      <c r="AM234" s="150" t="str">
        <f t="shared" si="81"/>
        <v>start /low /b %USERPROFILE%\Documents\GitHub\eaglep3\Utilities\DownloadLogsFromS3.py --loco 4042 --day 2017-03-27</v>
      </c>
      <c r="AN234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811</v>
      </c>
      <c r="B235" s="7">
        <v>4042</v>
      </c>
      <c r="C235" s="21" t="s">
        <v>218</v>
      </c>
      <c r="D235" s="21" t="s">
        <v>946</v>
      </c>
      <c r="E235" s="13">
        <v>42822.079756944448</v>
      </c>
      <c r="F235" s="13">
        <v>42822.084363425929</v>
      </c>
      <c r="G235" s="7">
        <v>1</v>
      </c>
      <c r="H235" s="21" t="s">
        <v>947</v>
      </c>
      <c r="I235" s="13">
        <v>42822.100613425922</v>
      </c>
      <c r="J235" s="7">
        <v>0</v>
      </c>
      <c r="K235" s="97" t="str">
        <f t="shared" si="83"/>
        <v>4041/4042</v>
      </c>
      <c r="L235" s="21" t="str">
        <f>VLOOKUP(A235,'Trips&amp;Operators'!$C$1:$G$99999,5,FALSE)</f>
        <v>YANG JAN</v>
      </c>
      <c r="M235" s="6">
        <f t="shared" si="84"/>
        <v>1.6249999993306119E-2</v>
      </c>
      <c r="N235" s="7">
        <f t="shared" si="95"/>
        <v>23.399999990360811</v>
      </c>
      <c r="O235" s="7"/>
      <c r="P235" s="7"/>
      <c r="Q235" s="22"/>
      <c r="R235" s="22"/>
      <c r="S235" s="31">
        <f t="shared" si="94"/>
        <v>0</v>
      </c>
      <c r="T235" s="46" t="e">
        <f t="shared" si="85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6"/>
        <v>https://d0f6bd738d7f1b3e5a7ca70fe4ff75f0.us-east-1.aws.found.io/app/kibana#/discover/Steve-Slow-Train-Analysis-(2080s-and-2083s)?_g=(refreshInterval:(display:Off,pause:!f,section:0,value:0),time:(from:'2017-03-28T00:54:51-0600',mode:absolute,to:'2017-03-28T03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5" s="183" t="str">
        <f t="shared" si="87"/>
        <v>N</v>
      </c>
      <c r="X235" s="183" t="e">
        <f t="shared" si="97"/>
        <v>#VALUE!</v>
      </c>
      <c r="Y235" s="62">
        <f t="shared" si="88"/>
        <v>1.0510999999999999</v>
      </c>
      <c r="Z235" s="62">
        <f t="shared" si="96"/>
        <v>12.8264</v>
      </c>
      <c r="AA235" s="62">
        <f t="shared" si="89"/>
        <v>11.7753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0"/>
        <v>81-27</v>
      </c>
      <c r="AE235" s="85" t="str">
        <f t="shared" si="91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5" s="82" t="str">
        <f t="shared" si="92"/>
        <v>"C:\Program Files (x86)\AstroGrep\AstroGrep.exe" /e /r /s /spath="%USERPROFILE%\AppData\Local\Temp\OnboardLogs" /stypes="app*4042*20170328*" /stext=" 08:.+((SYSTEM_STATE.+slice.+state.+changed )|(ment ac)|(multiple cpu faults)|(system.+state.+changed )|(\[timeout)|(PRM\|1\|D)|(kpr)|(kdp)|(\|lc)|(penalty))"</v>
      </c>
      <c r="AG235" s="1" t="str">
        <f t="shared" si="93"/>
        <v>Other</v>
      </c>
      <c r="AH235" s="86" t="str">
        <f t="shared" si="79"/>
        <v>"%USERPROFILE%\Documents\GitHub\eaglep3\Utilities\RefineRTDCRunTimes.py" --tripid 81-27 --locoid 4042 --swversion DE.1.0.9.0 --startMP 204:10511 --initTime 2017-03-28T01:54:51 --startdatetime 2017-03-28T02:01:29 --delay 1 --endMP 204:128264 --enddatetime 2017-03-28T02:24:53 --enforcementcount 0 &gt;&gt;C:\Users\stu\Documents\GitHub\eaglep3-reporting\EC\2017-03-27-refined-times.txt</v>
      </c>
      <c r="AI235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api","custom_fields":[{"id":1,"name":"Subdivision","value":"Other"},{"id":4,"name":"Milepost","value":"12.8264"},{"id":17,"name":"Train ID","value":"81-27"},{"id":16,"name":"Locomotive ID","value":"4042"},{"id":130,"name":"Impact","value":""},{"id":150,"name":"Time of Event (Mountain Time)","value":"02:24:53"},{"id":151,"name":"Denver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 t="s">
        <v>590</v>
      </c>
      <c r="AK235" s="48"/>
      <c r="AL235" s="48"/>
      <c r="AM235" s="150" t="str">
        <f t="shared" si="81"/>
        <v>start /low /b %USERPROFILE%\Documents\GitHub\eaglep3\Utilities\DownloadLogsFromS3.py --loco 4042 --day 2017-03-28</v>
      </c>
      <c r="AN235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811</v>
      </c>
      <c r="B236" s="7">
        <v>4042</v>
      </c>
      <c r="C236" s="21" t="s">
        <v>218</v>
      </c>
      <c r="D236" s="21" t="s">
        <v>211</v>
      </c>
      <c r="E236" s="13">
        <v>42822.030185185184</v>
      </c>
      <c r="F236" s="13">
        <v>42822.031851851854</v>
      </c>
      <c r="G236" s="7">
        <v>1</v>
      </c>
      <c r="H236" s="21" t="s">
        <v>585</v>
      </c>
      <c r="I236" s="13">
        <v>42822.047569444447</v>
      </c>
      <c r="J236" s="7">
        <v>0</v>
      </c>
      <c r="K236" s="97" t="str">
        <f t="shared" si="83"/>
        <v>4041/4042</v>
      </c>
      <c r="L236" s="21" t="str">
        <f>VLOOKUP(A236,'Trips&amp;Operators'!$C$1:$G$99999,5,FALSE)</f>
        <v>YANG JAN</v>
      </c>
      <c r="M236" s="6">
        <f t="shared" si="84"/>
        <v>1.5717592592409346E-2</v>
      </c>
      <c r="N236" s="7">
        <f t="shared" si="95"/>
        <v>22.633333333069459</v>
      </c>
      <c r="O236" s="7"/>
      <c r="P236" s="7"/>
      <c r="Q236" s="22"/>
      <c r="R236" s="22"/>
      <c r="S236" s="31">
        <f t="shared" si="94"/>
        <v>0</v>
      </c>
      <c r="T236" s="46" t="e">
        <f t="shared" si="85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6"/>
        <v>https://d0f6bd738d7f1b3e5a7ca70fe4ff75f0.us-east-1.aws.found.io/app/kibana#/discover/Steve-Slow-Train-Analysis-(2080s-and-2083s)?_g=(refreshInterval:(display:Off,pause:!f,section:0,value:0),time:(from:'2017-03-27T23:43:28-0600',mode:absolute,to:'2017-03-28T02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183" t="str">
        <f t="shared" si="87"/>
        <v>N</v>
      </c>
      <c r="X236" s="183" t="e">
        <f t="shared" si="97"/>
        <v>#VALUE!</v>
      </c>
      <c r="Y236" s="62">
        <f t="shared" si="88"/>
        <v>4.53E-2</v>
      </c>
      <c r="Z236" s="62">
        <f t="shared" si="96"/>
        <v>12.8268</v>
      </c>
      <c r="AA236" s="62">
        <f t="shared" si="89"/>
        <v>12.781500000000001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0"/>
        <v>81-27</v>
      </c>
      <c r="AE236" s="85" t="str">
        <f t="shared" si="91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6" s="82" t="str">
        <f t="shared" si="92"/>
        <v>"C:\Program Files (x86)\AstroGrep\AstroGrep.exe" /e /r /s /spath="%USERPROFILE%\AppData\Local\Temp\OnboardLogs" /stypes="app*4042*20170328*" /stext=" 07:.+((SYSTEM_STATE.+slice.+state.+changed )|(ment ac)|(multiple cpu faults)|(system.+state.+changed )|(\[timeout)|(PRM\|1\|D)|(kpr)|(kdp)|(\|lc)|(penalty))"</v>
      </c>
      <c r="AG236" s="1" t="str">
        <f t="shared" si="93"/>
        <v>Other</v>
      </c>
      <c r="AH236" s="86" t="str">
        <f t="shared" si="79"/>
        <v>"%USERPROFILE%\Documents\GitHub\eaglep3\Utilities\RefineRTDCRunTimes.py" --tripid 81-27 --locoid 4042 --swversion DE.1.0.9.0 --startMP 204:453 --initTime 2017-03-28T00:43:28 --startdatetime 2017-03-28T00:45:52 --delay 1 --endMP 204:128268 --enddatetime 2017-03-28T01:08:30 --enforcementcount 0 &gt;&gt;C:\Users\stu\Documents\GitHub\eaglep3-reporting\EC\2017-03-27-refined-times.txt</v>
      </c>
      <c r="AI236" s="104" t="str">
        <f t="shared" si="80"/>
        <v>echo {"issue":{"subject":"","project_id":79,"tracker_id":40,"status_id":1,"priority_id":2,"assigned_to_id":23,"start_date":"2017-03-28","description":"test from api","custom_fields":[{"id":1,"name":"Subdivision","value":"Other"},{"id":4,"name":"Milepost","value":"12.8268"},{"id":17,"name":"Train ID","value":"81-27"},{"id":16,"name":"Locomotive ID","value":"4042"},{"id":130,"name":"Impact","value":""},{"id":150,"name":"Time of Event (Mountain Time)","value":"01:08:30"},{"id":151,"name":"Denver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 t="s">
        <v>590</v>
      </c>
      <c r="AK236" s="48"/>
      <c r="AL236" s="48"/>
      <c r="AM236" s="150" t="str">
        <f t="shared" si="81"/>
        <v>start /low /b %USERPROFILE%\Documents\GitHub\eaglep3\Utilities\DownloadLogsFromS3.py --loco 4042 --day 2017-03-28</v>
      </c>
      <c r="AN236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07:08:30"},{"id":29,"name":"Sharepoint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811</v>
      </c>
      <c r="B237" s="7">
        <v>4042</v>
      </c>
      <c r="C237" s="21" t="s">
        <v>218</v>
      </c>
      <c r="D237" s="21" t="s">
        <v>207</v>
      </c>
      <c r="E237" s="13">
        <v>42821.938217592593</v>
      </c>
      <c r="F237" s="13">
        <v>42821.983831018515</v>
      </c>
      <c r="G237" s="7">
        <v>1</v>
      </c>
      <c r="H237" s="21" t="s">
        <v>948</v>
      </c>
      <c r="I237" s="13">
        <v>42821.998599537037</v>
      </c>
      <c r="J237" s="7">
        <v>0</v>
      </c>
      <c r="K237" s="97" t="str">
        <f t="shared" si="83"/>
        <v>4041/4042</v>
      </c>
      <c r="L237" s="21" t="str">
        <f>VLOOKUP(A237,'Trips&amp;Operators'!$C$1:$G$99999,5,FALSE)</f>
        <v>YANG JAN</v>
      </c>
      <c r="M237" s="6">
        <f t="shared" si="84"/>
        <v>1.4768518522032537E-2</v>
      </c>
      <c r="N237" s="7">
        <f t="shared" si="95"/>
        <v>21.266666671726853</v>
      </c>
      <c r="O237" s="7"/>
      <c r="P237" s="7"/>
      <c r="Q237" s="22"/>
      <c r="R237" s="22"/>
      <c r="S237" s="31">
        <f t="shared" si="94"/>
        <v>0</v>
      </c>
      <c r="T237" s="46" t="e">
        <f t="shared" si="85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6"/>
        <v>https://d0f6bd738d7f1b3e5a7ca70fe4ff75f0.us-east-1.aws.found.io/app/kibana#/discover/Steve-Slow-Train-Analysis-(2080s-and-2083s)?_g=(refreshInterval:(display:Off,pause:!f,section:0,value:0),time:(from:'2017-03-27T21:31:02-0600',mode:absolute,to:'2017-03-28T00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183" t="str">
        <f t="shared" si="87"/>
        <v>N</v>
      </c>
      <c r="X237" s="183" t="e">
        <f t="shared" si="97"/>
        <v>#VALUE!</v>
      </c>
      <c r="Y237" s="62">
        <f t="shared" si="88"/>
        <v>4.5699999999999998E-2</v>
      </c>
      <c r="Z237" s="62">
        <f t="shared" si="96"/>
        <v>12.8269</v>
      </c>
      <c r="AA237" s="62">
        <f t="shared" si="89"/>
        <v>12.7812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0"/>
        <v>81-27</v>
      </c>
      <c r="AE237" s="85" t="str">
        <f t="shared" si="91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37" s="82" t="str">
        <f t="shared" si="92"/>
        <v>"C:\Program Files (x86)\AstroGrep\AstroGrep.exe" /e /r /s /spath="%USERPROFILE%\AppData\Local\Temp\OnboardLogs" /stypes="app*4042*20170328*" /stext=" 05:.+((SYSTEM_STATE.+slice.+state.+changed )|(ment ac)|(multiple cpu faults)|(system.+state.+changed )|(\[timeout)|(PRM\|1\|D)|(kpr)|(kdp)|(\|lc)|(penalty))"</v>
      </c>
      <c r="AG237" s="1" t="str">
        <f t="shared" si="93"/>
        <v>Other</v>
      </c>
      <c r="AH237" s="86" t="str">
        <f t="shared" si="79"/>
        <v>"%USERPROFILE%\Documents\GitHub\eaglep3\Utilities\RefineRTDCRunTimes.py" --tripid 81-27 --locoid 4042 --swversion DE.1.0.9.0 --startMP 204:457 --initTime 2017-03-27T22:31:02 --startdatetime 2017-03-27T23:36:43 --delay 1 --endMP 204:128269 --enddatetime 2017-03-27T23:57:59 --enforcementcount 0 &gt;&gt;C:\Users\stu\Documents\GitHub\eaglep3-reporting\EC\2017-03-27-refined-times.txt</v>
      </c>
      <c r="AI237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api","custom_fields":[{"id":1,"name":"Subdivision","value":"Other"},{"id":4,"name":"Milepost","value":"12.8269"},{"id":17,"name":"Train ID","value":"81-27"},{"id":16,"name":"Locomotive ID","value":"4042"},{"id":130,"name":"Impact","value":""},{"id":150,"name":"Time of Event (Mountain Time)","value":"23:57:59"},{"id":151,"name":"Denver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 t="s">
        <v>590</v>
      </c>
      <c r="AK237" s="48"/>
      <c r="AL237" s="48"/>
      <c r="AM237" s="150" t="str">
        <f t="shared" si="81"/>
        <v>start /low /b %USERPROFILE%\Documents\GitHub\eaglep3\Utilities\DownloadLogsFromS3.py --loco 4042 --day 2017-03-27</v>
      </c>
      <c r="AN237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05:57:59"},{"id":29,"name":"Sharepoint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802</v>
      </c>
      <c r="B238" s="7">
        <v>4015</v>
      </c>
      <c r="C238" s="21" t="s">
        <v>218</v>
      </c>
      <c r="D238" s="21" t="s">
        <v>986</v>
      </c>
      <c r="E238" s="13">
        <v>42821.882488425923</v>
      </c>
      <c r="F238" s="13">
        <v>42821.908113425925</v>
      </c>
      <c r="G238" s="7">
        <v>2</v>
      </c>
      <c r="H238" s="21" t="s">
        <v>461</v>
      </c>
      <c r="I238" s="13">
        <v>42821.913252314815</v>
      </c>
      <c r="J238" s="7">
        <v>0</v>
      </c>
      <c r="K238" s="97" t="str">
        <f t="shared" si="83"/>
        <v>4015/4016</v>
      </c>
      <c r="L238" s="21" t="str">
        <f>VLOOKUP(A238,'Trips&amp;Operators'!$C$1:$G$99999,5,FALSE)</f>
        <v>BRANDNER MELINDA</v>
      </c>
      <c r="M238" s="6">
        <f t="shared" si="84"/>
        <v>5.1388888896326534E-3</v>
      </c>
      <c r="N238" s="7">
        <f t="shared" si="95"/>
        <v>7.400000001071021</v>
      </c>
      <c r="O238" s="7"/>
      <c r="P238" s="7"/>
      <c r="Q238" s="22"/>
      <c r="R238" s="22"/>
      <c r="S238" s="31">
        <f t="shared" si="94"/>
        <v>0</v>
      </c>
      <c r="T238" s="46" t="e">
        <f t="shared" si="85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6"/>
        <v>https://d0f6bd738d7f1b3e5a7ca70fe4ff75f0.us-east-1.aws.found.io/app/kibana#/discover/Steve-Slow-Train-Analysis-(2080s-and-2083s)?_g=(refreshInterval:(display:Off,pause:!f,section:0,value:0),time:(from:'2017-03-27T20:10:47-0600',mode:absolute,to:'2017-03-27T22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183" t="str">
        <f t="shared" si="87"/>
        <v>N</v>
      </c>
      <c r="X238" s="183" t="e">
        <f t="shared" si="97"/>
        <v>#VALUE!</v>
      </c>
      <c r="Y238" s="62">
        <f t="shared" si="88"/>
        <v>12.7857</v>
      </c>
      <c r="Z238" s="62">
        <f t="shared" si="96"/>
        <v>1.61E-2</v>
      </c>
      <c r="AA238" s="62">
        <f t="shared" si="89"/>
        <v>12.769600000000001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0"/>
        <v>88-27</v>
      </c>
      <c r="AE238" s="85" t="str">
        <f t="shared" si="91"/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AF238" s="82" t="str">
        <f t="shared" si="92"/>
        <v>"C:\Program Files (x86)\AstroGrep\AstroGrep.exe" /e /r /s /spath="%USERPROFILE%\AppData\Local\Temp\OnboardLogs" /stypes="app*4015*20170328*" /stext=" 03:.+((SYSTEM_STATE.+slice.+state.+changed )|(ment ac)|(multiple cpu faults)|(system.+state.+changed )|(\[timeout)|(PRM\|1\|D)|(kpr)|(kdp)|(\|lc)|(penalty))"</v>
      </c>
      <c r="AG238" s="1" t="str">
        <f t="shared" si="93"/>
        <v>Other</v>
      </c>
      <c r="AH238" s="86" t="str">
        <f t="shared" si="79"/>
        <v>"%USERPROFILE%\Documents\GitHub\eaglep3\Utilities\RefineRTDCRunTimes.py" --tripid 88-27 --locoid 4015 --swversion DE.1.0.9.0 --startMP 204:127857 --initTime 2017-03-27T21:10:47 --startdatetime 2017-03-27T21:47:41 --delay 2 --endMP 204:161 --enddatetime 2017-03-27T21:55:05 --enforcementcount 0 &gt;&gt;C:\Users\stu\Documents\GitHub\eaglep3-reporting\EC\2017-03-27-refined-times.txt</v>
      </c>
      <c r="AI238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api","custom_fields":[{"id":1,"name":"Subdivision","value":"Other"},{"id":4,"name":"Milepost","value":"0.0161"},{"id":17,"name":"Train ID","value":"88-27"},{"id":16,"name":"Locomotive ID","value":"4015"},{"id":130,"name":"Impact","value":""},{"id":150,"name":"Time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 t="s">
        <v>590</v>
      </c>
      <c r="AK238" s="48"/>
      <c r="AL238" s="48"/>
      <c r="AM238" s="150" t="str">
        <f t="shared" si="81"/>
        <v>start /low /b %USERPROFILE%\Documents\GitHub\eaglep3\Utilities\DownloadLogsFromS3.py --loco 4015 --day 2017-03-27</v>
      </c>
      <c r="AN238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802</v>
      </c>
      <c r="B239" s="7">
        <v>4016</v>
      </c>
      <c r="C239" s="21" t="s">
        <v>218</v>
      </c>
      <c r="D239" s="21" t="s">
        <v>465</v>
      </c>
      <c r="E239" s="13">
        <v>42821.906064814815</v>
      </c>
      <c r="F239" s="13">
        <v>42821.908113425925</v>
      </c>
      <c r="G239" s="7">
        <v>1</v>
      </c>
      <c r="H239" s="21" t="s">
        <v>987</v>
      </c>
      <c r="I239" s="13">
        <v>42821.913252314815</v>
      </c>
      <c r="J239" s="7">
        <v>0</v>
      </c>
      <c r="K239" s="97" t="str">
        <f t="shared" si="83"/>
        <v>4015/4016</v>
      </c>
      <c r="L239" s="21" t="str">
        <f>VLOOKUP(A239,'Trips&amp;Operators'!$C$1:$G$99999,5,FALSE)</f>
        <v>BRANDNER MELINDA</v>
      </c>
      <c r="M239" s="6">
        <f t="shared" si="84"/>
        <v>5.1388888896326534E-3</v>
      </c>
      <c r="N239" s="7">
        <f t="shared" si="95"/>
        <v>7.400000001071021</v>
      </c>
      <c r="O239" s="7"/>
      <c r="P239" s="7"/>
      <c r="Q239" s="22"/>
      <c r="R239" s="22"/>
      <c r="S239" s="31">
        <f t="shared" si="94"/>
        <v>0</v>
      </c>
      <c r="T239" s="46" t="e">
        <f t="shared" si="85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6"/>
        <v>https://d0f6bd738d7f1b3e5a7ca70fe4ff75f0.us-east-1.aws.found.io/app/kibana#/discover/Steve-Slow-Train-Analysis-(2080s-and-2083s)?_g=(refreshInterval:(display:Off,pause:!f,section:0,value:0),time:(from:'2017-03-27T20:44:44-0600',mode:absolute,to:'2017-03-27T22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9" s="183" t="str">
        <f t="shared" si="87"/>
        <v>Y</v>
      </c>
      <c r="X239" s="183" t="e">
        <f t="shared" si="97"/>
        <v>#VALUE!</v>
      </c>
      <c r="Y239" s="62">
        <f t="shared" si="88"/>
        <v>4.6399999999999997E-2</v>
      </c>
      <c r="Z239" s="62">
        <f t="shared" si="96"/>
        <v>2.2986</v>
      </c>
      <c r="AA239" s="62">
        <f t="shared" si="89"/>
        <v>2.2522000000000002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0"/>
        <v>88-27</v>
      </c>
      <c r="AE239" s="85" t="str">
        <f t="shared" si="91"/>
        <v>aws s3 cp s3://rtdc.mdm.uploadarchive.raw/RTDC4016/ "%USERPROFILE%\AppData\Local\Temp\OnboardLogs"\RTDC4016\2017-03-27 --exclude "*" --recursive --include "*20170327*" &amp; "%USERPROFILE%\Documents\GitHub\mrs-test-scripts\Headless Mode &amp; Sideloading\WalkAndUnGZ.bat" "%USERPROFILE%\AppData\Local\Temp\OnboardLogs"\RTDC4016\2017-03-27 &amp; aws s3 cp s3://rtdc.mdm.uploadarchive.raw/RTDC4016/ "%USERPROFILE%\AppData\Local\Temp\OnboardLogs"\RTDC4016\2017-03-28 --exclude "*" --recursive --include "*20170328*" &amp; "%USERPROFILE%\Documents\GitHub\mrs-test-scripts\Headless Mode &amp; Sideloading\WalkAndUnGZ.bat" "%USERPROFILE%\AppData\Local\Temp\OnboardLogs"\RTDC4016\2017-03-28</v>
      </c>
      <c r="AF239" s="82" t="str">
        <f t="shared" si="92"/>
        <v>"C:\Program Files (x86)\AstroGrep\AstroGrep.exe" /e /r /s /spath="%USERPROFILE%\AppData\Local\Temp\OnboardLogs" /stypes="app*4016*20170328*" /stext=" 03:.+((SYSTEM_STATE.+slice.+state.+changed )|(ment ac)|(multiple cpu faults)|(system.+state.+changed )|(\[timeout)|(PRM\|1\|D)|(kpr)|(kdp)|(\|lc)|(penalty))"</v>
      </c>
      <c r="AG239" s="1" t="str">
        <f t="shared" si="93"/>
        <v>Other</v>
      </c>
      <c r="AH239" s="86" t="str">
        <f t="shared" si="79"/>
        <v>"%USERPROFILE%\Documents\GitHub\eaglep3\Utilities\RefineRTDCRunTimes.py" --tripid 88-27 --locoid 4016 --swversion DE.1.0.9.0 --startMP 204:464 --initTime 2017-03-27T21:44:44 --startdatetime 2017-03-27T21:47:41 --delay 1 --endMP 300:22986 --enddatetime 2017-03-27T21:55:05 --enforcementcount 0 &gt;&gt;C:\Users\stu\Documents\GitHub\eaglep3-reporting\EC\2017-03-27-refined-times.txt</v>
      </c>
      <c r="AI239" s="104" t="str">
        <f t="shared" si="80"/>
        <v>echo {"issue":{"subject":"","project_id":79,"tracker_id":40,"status_id":1,"priority_id":2,"assigned_to_id":23,"start_date":"2017-03-27","description":"test from api","custom_fields":[{"id":1,"name":"Subdivision","value":"Other"},{"id":4,"name":"Milepost","value":"2.2986"},{"id":17,"name":"Train ID","value":"88-27"},{"id":16,"name":"Locomotive ID","value":"4016"},{"id":130,"name":"Impact","value":""},{"id":150,"name":"Time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 t="s">
        <v>590</v>
      </c>
      <c r="AK239" s="48"/>
      <c r="AL239" s="48"/>
      <c r="AM239" s="150" t="str">
        <f t="shared" si="81"/>
        <v>start /low /b %USERPROFILE%\Documents\GitHub\eaglep3\Utilities\DownloadLogsFromS3.py --loco 4016 --day 2017-03-27</v>
      </c>
      <c r="AN239" s="159" t="str">
        <f t="shared" si="82"/>
        <v>echo {"issue":{"subject":"","project_id":30,"tracker_id":4,"status_id":1,"priority_id":1,"assigned_to_id":10,"start_date":"2017-03-28","description":"test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8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39">
    <cfRule type="cellIs" dxfId="10" priority="370" operator="equal">
      <formula>"Y"</formula>
    </cfRule>
  </conditionalFormatting>
  <conditionalFormatting sqref="X273:X1048576 X13:X239">
    <cfRule type="cellIs" dxfId="9" priority="353" operator="greaterThan">
      <formula>1</formula>
    </cfRule>
  </conditionalFormatting>
  <conditionalFormatting sqref="X273:X1048576 X12:X239">
    <cfRule type="cellIs" dxfId="8" priority="350" operator="equal">
      <formula>0</formula>
    </cfRule>
  </conditionalFormatting>
  <conditionalFormatting sqref="A13:S239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S20" sqref="S2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- 2017-03-27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42821.504756944443</v>
      </c>
      <c r="B7" s="30" t="s">
        <v>526</v>
      </c>
      <c r="C7" s="30" t="s">
        <v>613</v>
      </c>
      <c r="D7" s="30" t="s">
        <v>49</v>
      </c>
      <c r="E7" s="30" t="s">
        <v>193</v>
      </c>
      <c r="F7" s="43">
        <v>0</v>
      </c>
      <c r="G7" s="43">
        <v>197</v>
      </c>
      <c r="H7" s="43">
        <v>26953</v>
      </c>
      <c r="I7" s="43">
        <v>27293</v>
      </c>
      <c r="J7" s="30" t="s">
        <v>194</v>
      </c>
      <c r="K7" s="43">
        <v>27053</v>
      </c>
      <c r="L7" s="139" t="s">
        <v>50</v>
      </c>
      <c r="M7" s="140">
        <f t="shared" ref="M7:M46" si="0">CONVERT((I7-K7)/10000,"mi","ft")*IF(L7="Increasing Mileposts (1)",-1,1)</f>
        <v>-126.72</v>
      </c>
      <c r="N7" s="141" t="str">
        <f>VLOOKUP(C7,'Trips&amp;Operators'!$C$1:$G$99999,5,FALSE)</f>
        <v>LOCKLEAR TRAVIS</v>
      </c>
      <c r="O7" s="190" t="s">
        <v>185</v>
      </c>
      <c r="P7" s="142" t="s">
        <v>466</v>
      </c>
      <c r="Q7" s="30"/>
      <c r="R7" s="89" t="str">
        <f>IF(VLOOKUP(C7,'Train Runs'!$A$13:$AE$9942,1,1)=C7,VLOOKUP(C7,'Train Runs'!$A$13:$AE$9942,31,1),NA())</f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-27T10:52:34-0600',mode:absolute,to:'2017-03-27T13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94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/stypes="*4051*201703271*" /stext=" 18:.+((SYSTEM_STATE.+slice.+state.+changed )|(ment ac)|(multiple cpu faults)|(system.+state.+changed )|(\[timeout)|(PRM\|1\|D)|(kpr)|(kdp)|(\|lc)|(penalty))"</v>
      </c>
      <c r="U7" s="9" t="str">
        <f t="shared" ref="U7:U46" si="2">MID(B7,13,4)</f>
        <v>4051</v>
      </c>
      <c r="V7" s="32">
        <f t="shared" ref="V7:V46" si="3">A7-utc_offset/24</f>
        <v>42821.754756944443</v>
      </c>
      <c r="W7" s="46" t="str">
        <f t="shared" ref="W7:W46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6" si="5">IF(AND(E7="TRACK WARRANT AUTHORITY",G7&lt;10),"OMIT","KEEP")</f>
        <v>KEEP</v>
      </c>
      <c r="Y7" s="104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arrival","project_id":79,"tracker_id":40,"status_id":1,"priority_id":2,"assigned_to_id":23,"start_date":"2017-03-27","description":"","custom_fields":[{"id":1,"name":"Subdivision","value":"EC"},{"id":4,"name":"Milepost","value":"2.7053"},{"id":17,"name":"Train ID","value":"167-27"},{"id":16,"name":"Locomotive ID","value":"4051"},{"id":130,"name":"Impact","value":""},{"id":150,"name":"Time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46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"%USERPROFILE%\AppData\Local\Temp\OnboardLogs"\RTDC4051\*4051*201703271*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"%USERPROFILE%\AppData\Local\Temp\OnboardLogs"\RTDC4051\*4051*201703271* &gt;&gt; 2017-03-27-SliceDisagreementCheck.txt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4051 --day 2017-03-27</v>
      </c>
    </row>
    <row r="8" spans="1:32" s="1" customFormat="1" x14ac:dyDescent="0.25">
      <c r="A8" s="32">
        <v>42821.765231481484</v>
      </c>
      <c r="B8" s="30" t="s">
        <v>471</v>
      </c>
      <c r="C8" s="30" t="s">
        <v>623</v>
      </c>
      <c r="D8" s="30" t="s">
        <v>49</v>
      </c>
      <c r="E8" s="30" t="s">
        <v>193</v>
      </c>
      <c r="F8" s="43">
        <v>0</v>
      </c>
      <c r="G8" s="43">
        <v>170</v>
      </c>
      <c r="H8" s="43">
        <v>27010</v>
      </c>
      <c r="I8" s="43">
        <v>27225</v>
      </c>
      <c r="J8" s="30" t="s">
        <v>194</v>
      </c>
      <c r="K8" s="43">
        <v>27053</v>
      </c>
      <c r="L8" s="139" t="s">
        <v>50</v>
      </c>
      <c r="M8" s="140">
        <f t="shared" si="0"/>
        <v>-90.816000000000003</v>
      </c>
      <c r="N8" s="141" t="str">
        <f>VLOOKUP(C8,'Trips&amp;Operators'!$C$1:$G$99999,5,FALSE)</f>
        <v>GUZMAN DANNY</v>
      </c>
      <c r="O8" s="190" t="s">
        <v>185</v>
      </c>
      <c r="P8" s="142" t="s">
        <v>466</v>
      </c>
      <c r="Q8" s="30"/>
      <c r="R8" s="89" t="str">
        <f>IF(VLOOKUP(C8,'Train Runs'!$A$13:$AE$9942,1,1)=C8,VLOOKUP(C8,'Train Runs'!$A$13:$AE$9942,31,1),NA())</f>
        <v>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 &amp; 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-27T17:11:15-0600',mode:absolute,to:'2017-03-27T19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94" t="str">
        <f t="shared" si="1"/>
        <v>"C:\Program Files (x86)\AstroGrep\AstroGrep.exe" /e /r /s /spath="%USERPROFILE%\AppData\Local\Temp\OnboardLogs" /stypes="*4014*201703280*" /stext=" 00:.+((SYSTEM_STATE.+slice.+state.+changed )|(ment ac)|(multiple cpu faults)|(system.+state.+changed )|(\[timeout)|(PRM\|1\|D)|(kpr)|(kdp)|(\|lc)|(penalty))"</v>
      </c>
      <c r="U8" s="9" t="str">
        <f t="shared" si="2"/>
        <v>4014</v>
      </c>
      <c r="V8" s="32">
        <f t="shared" si="3"/>
        <v>42822.015231481484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arrival","project_id":79,"tracker_id":40,"status_id":1,"priority_id":2,"assigned_to_id":23,"start_date":"2017-03-27","description":"","custom_fields":[{"id":1,"name":"Subdivision","value":"EC"},{"id":4,"name":"Milepost","value":"2.7053"},{"id":17,"name":"Train ID","value":"217-27"},{"id":16,"name":"Locomotive ID","value":"4014"},{"id":130,"name":"Impact","value":""},{"id":150,"name":"Time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"%USERPROFILE%\AppData\Local\Temp\OnboardLogs"\RTDC4014\*4014*201703280*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"%USERPROFILE%\AppData\Local\Temp\OnboardLogs"\RTDC4014\*4014*201703280* &gt;&gt; 2017-03-27-SliceDisagreementCheck.txt</v>
      </c>
      <c r="AE8" s="153" t="str">
        <f t="shared" ref="AE8:AE46" si="9">"start /low /b "&amp;dls3logs&amp;" --loco "&amp;U8&amp;" --day "&amp;TEXT(V8,"YYYY-MM-DD")</f>
        <v>start /low /b %USERPROFILE%\Documents\GitHub\eaglep3\Utilities\DownloadLogsFromS3.py --loco 4014 --day 2017-03-28</v>
      </c>
    </row>
    <row r="9" spans="1:32" s="1" customFormat="1" x14ac:dyDescent="0.25">
      <c r="A9" s="32">
        <v>42821.297731481478</v>
      </c>
      <c r="B9" s="30" t="s">
        <v>483</v>
      </c>
      <c r="C9" s="30" t="s">
        <v>600</v>
      </c>
      <c r="D9" s="30" t="s">
        <v>98</v>
      </c>
      <c r="E9" s="30" t="s">
        <v>193</v>
      </c>
      <c r="F9" s="43">
        <v>120</v>
      </c>
      <c r="G9" s="43">
        <v>176</v>
      </c>
      <c r="H9" s="43">
        <v>30988</v>
      </c>
      <c r="I9" s="43">
        <v>34499</v>
      </c>
      <c r="J9" s="30" t="s">
        <v>194</v>
      </c>
      <c r="K9" s="43">
        <v>30830</v>
      </c>
      <c r="L9" s="139" t="s">
        <v>50</v>
      </c>
      <c r="M9" s="140">
        <f t="shared" si="0"/>
        <v>-1937.232</v>
      </c>
      <c r="N9" s="141" t="str">
        <f>VLOOKUP(C9,'Trips&amp;Operators'!$C$1:$G$99999,5,FALSE)</f>
        <v>SANTIZO D. EDY</v>
      </c>
      <c r="O9" s="190" t="s">
        <v>185</v>
      </c>
      <c r="P9" s="142" t="s">
        <v>466</v>
      </c>
      <c r="Q9" s="30"/>
      <c r="R9" s="89" t="str">
        <f>IF(VLOOKUP(C9,'Train Runs'!$A$13:$AE$9942,1,1)=C9,VLOOKUP(C9,'Train Runs'!$A$13:$AE$9942,31,1),NA())</f>
        <v>aws s3 cp s3://rtdc.mdm.uploadarchive.raw/RTDC4040/ "%USERPROFILE%\AppData\Local\Temp\OnboardLogs"\RTDC4040\2017-03-27 --exclude "*" --recursive --include "*20170327*" &amp; "%USERPROFILE%\Documents\GitHub\mrs-test-scripts\Headless Mode &amp; Sideloading\WalkAndUnGZ.bat" "%USERPROFILE%\AppData\Local\Temp\OnboardLogs"\RTDC4040\2017-03-27 &amp; 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-27T05:52:33-0600',mode:absolute,to:'2017-03-27T08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9" s="94" t="str">
        <f t="shared" si="1"/>
        <v>"C:\Program Files (x86)\AstroGrep\AstroGrep.exe" /e /r /s /spath="%USERPROFILE%\AppData\Local\Temp\OnboardLogs" /stypes="*4040*201703271*" /stext=" 13:.+((SYSTEM_STATE.+slice.+state.+changed )|(ment ac)|(multiple cpu faults)|(system.+state.+changed )|(\[timeout)|(PRM\|1\|D)|(kpr)|(kdp)|(\|lc)|(penalty))"</v>
      </c>
      <c r="U9" s="9" t="str">
        <f t="shared" si="2"/>
        <v>4040</v>
      </c>
      <c r="V9" s="32">
        <f t="shared" si="3"/>
        <v>42821.547731481478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arrival","project_id":79,"tracker_id":40,"status_id":1,"priority_id":2,"assigned_to_id":23,"start_date":"2017-03-27","description":"","custom_fields":[{"id":1,"name":"Subdivision","value":"EC"},{"id":4,"name":"Milepost","value":"3.083"},{"id":17,"name":"Train ID","value":"127-27"},{"id":16,"name":"Locomotive ID","value":"4040"},{"id":130,"name":"Impact","value":""},{"id":150,"name":"Time of Event (Mountain Time)","value":"07:08:44"},{"id":151,"name":"Denver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"%USERPROFILE%\AppData\Local\Temp\OnboardLogs"\RTDC4040\*4040*201703271*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"%USERPROFILE%\AppData\Local\Temp\OnboardLogs"\RTDC4040\*4040*201703271* &gt;&gt; 2017-03-27-SliceDisagreementCheck.txt</v>
      </c>
      <c r="AE9" s="153" t="str">
        <f t="shared" si="9"/>
        <v>start /low /b %USERPROFILE%\Documents\GitHub\eaglep3\Utilities\DownloadLogsFromS3.py --loco 4040 --day 2017-03-27</v>
      </c>
    </row>
    <row r="10" spans="1:32" s="1" customFormat="1" x14ac:dyDescent="0.25">
      <c r="A10" s="32">
        <v>42821.412060185183</v>
      </c>
      <c r="B10" s="30" t="s">
        <v>447</v>
      </c>
      <c r="C10" s="30" t="s">
        <v>607</v>
      </c>
      <c r="D10" s="30" t="s">
        <v>49</v>
      </c>
      <c r="E10" s="30" t="s">
        <v>193</v>
      </c>
      <c r="F10" s="43">
        <v>290</v>
      </c>
      <c r="G10" s="43">
        <v>341</v>
      </c>
      <c r="H10" s="43">
        <v>32997</v>
      </c>
      <c r="I10" s="43">
        <v>33693</v>
      </c>
      <c r="J10" s="30" t="s">
        <v>194</v>
      </c>
      <c r="K10" s="43">
        <v>33137</v>
      </c>
      <c r="L10" s="139" t="s">
        <v>50</v>
      </c>
      <c r="M10" s="140">
        <f t="shared" si="0"/>
        <v>-293.56799999999998</v>
      </c>
      <c r="N10" s="141" t="str">
        <f>VLOOKUP(C10,'Trips&amp;Operators'!$C$1:$G$99999,5,FALSE)</f>
        <v>MENGES BRAD</v>
      </c>
      <c r="O10" s="190" t="s">
        <v>185</v>
      </c>
      <c r="P10" s="142" t="s">
        <v>466</v>
      </c>
      <c r="Q10" s="30"/>
      <c r="R10" s="89" t="str">
        <f>IF(VLOOKUP(C10,'Train Runs'!$A$13:$AE$9942,1,1)=C10,VLOOKUP(C10,'Train Runs'!$A$13:$AE$9942,31,1),NA())</f>
        <v>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 &amp; 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-27T08:38:46-0600',mode:absolute,to:'2017-03-27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/stypes="*4003*201703271*" /stext=" 15:.+((SYSTEM_STATE.+slice.+state.+changed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42821.662060185183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arrival","project_id":79,"tracker_id":40,"status_id":1,"priority_id":2,"assigned_to_id":23,"start_date":"2017-03-27","description":"","custom_fields":[{"id":1,"name":"Subdivision","value":"EC"},{"id":4,"name":"Milepost","value":"3.3137"},{"id":17,"name":"Train ID","value":"149-27"},{"id":16,"name":"Locomotive ID","value":"4003"},{"id":130,"name":"Impact","value":""},{"id":150,"name":"Time of Event (Mountain Time)","value":"09:53:22"},{"id":151,"name":"Denver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"%USERPROFILE%\AppData\Local\Temp\OnboardLogs"\RTDC4003\*4003*201703271*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"%USERPROFILE%\AppData\Local\Temp\OnboardLogs"\RTDC4003\*4003*201703271* &gt;&gt; 2017-03-27-SliceDisagreementCheck.txt</v>
      </c>
      <c r="AE10" s="153" t="str">
        <f t="shared" si="9"/>
        <v>start /low /b %USERPROFILE%\Documents\GitHub\eaglep3\Utilities\DownloadLogsFromS3.py --loco 4003 --day 2017-03-27</v>
      </c>
    </row>
    <row r="11" spans="1:32" s="1" customFormat="1" x14ac:dyDescent="0.25">
      <c r="A11" s="32">
        <v>42821.435081018521</v>
      </c>
      <c r="B11" s="30" t="s">
        <v>526</v>
      </c>
      <c r="C11" s="30" t="s">
        <v>609</v>
      </c>
      <c r="D11" s="30" t="s">
        <v>49</v>
      </c>
      <c r="E11" s="30" t="s">
        <v>193</v>
      </c>
      <c r="F11" s="43">
        <v>0</v>
      </c>
      <c r="G11" s="43">
        <v>295</v>
      </c>
      <c r="H11" s="43">
        <v>42511</v>
      </c>
      <c r="I11" s="43">
        <v>42981</v>
      </c>
      <c r="J11" s="30" t="s">
        <v>194</v>
      </c>
      <c r="K11" s="43">
        <v>42779</v>
      </c>
      <c r="L11" s="139" t="s">
        <v>50</v>
      </c>
      <c r="M11" s="140">
        <f t="shared" si="0"/>
        <v>-106.65600000000001</v>
      </c>
      <c r="N11" s="141" t="str">
        <f>VLOOKUP(C11,'Trips&amp;Operators'!$C$1:$G$99999,5,FALSE)</f>
        <v>YORK EDGAR</v>
      </c>
      <c r="O11" s="190" t="s">
        <v>185</v>
      </c>
      <c r="P11" s="142" t="s">
        <v>466</v>
      </c>
      <c r="Q11" s="30"/>
      <c r="R11" s="89" t="str">
        <f>IF(VLOOKUP(C11,'Train Runs'!$A$13:$AE$9942,1,1)=C11,VLOOKUP(C11,'Train Runs'!$A$13:$AE$9942,31,1),NA())</f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-27T09:06:15-0600',mode:absolute,to:'2017-03-27T11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94" t="str">
        <f t="shared" si="1"/>
        <v>"C:\Program Files (x86)\AstroGrep\AstroGrep.exe" /e /r /s /spath="%USERPROFILE%\AppData\Local\Temp\OnboardLogs" /stypes="*4051*201703271*" /stext=" 16:.+((SYSTEM_STATE.+slice.+state.+changed )|(ment ac)|(multiple cpu faults)|(system.+state.+changed )|(\[timeout)|(PRM\|1\|D)|(kpr)|(kdp)|(\|lc)|(penalty))"</v>
      </c>
      <c r="U11" s="9" t="str">
        <f t="shared" si="2"/>
        <v>4051</v>
      </c>
      <c r="V11" s="32">
        <f t="shared" si="3"/>
        <v>42821.685081018521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arrival","project_id":79,"tracker_id":40,"status_id":1,"priority_id":2,"assigned_to_id":23,"start_date":"2017-03-27","description":"","custom_fields":[{"id":1,"name":"Subdivision","value":"EC"},{"id":4,"name":"Milepost","value":"4.2779"},{"id":17,"name":"Train ID","value":"153-27"},{"id":16,"name":"Locomotive ID","value":"4051"},{"id":130,"name":"Impact","value":""},{"id":150,"name":"Time of Event (Mountain Time)","value":"10:26:31"},{"id":151,"name":"Denver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"%USERPROFILE%\AppData\Local\Temp\OnboardLogs"\RTDC4051\*4051*201703271*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"%USERPROFILE%\AppData\Local\Temp\OnboardLogs"\RTDC4051\*4051*201703271* &gt;&gt; 2017-03-27-SliceDisagreementCheck.txt</v>
      </c>
      <c r="AE11" s="153" t="str">
        <f t="shared" si="9"/>
        <v>start /low /b %USERPROFILE%\Documents\GitHub\eaglep3\Utilities\DownloadLogsFromS3.py --loco 4051 --day 2017-03-27</v>
      </c>
    </row>
    <row r="12" spans="1:32" s="1" customFormat="1" x14ac:dyDescent="0.25">
      <c r="A12" s="32">
        <v>42821.996886574074</v>
      </c>
      <c r="B12" s="30" t="s">
        <v>486</v>
      </c>
      <c r="C12" s="30" t="s">
        <v>627</v>
      </c>
      <c r="D12" s="30" t="s">
        <v>49</v>
      </c>
      <c r="E12" s="30" t="s">
        <v>193</v>
      </c>
      <c r="F12" s="43">
        <v>0</v>
      </c>
      <c r="G12" s="43">
        <v>445</v>
      </c>
      <c r="H12" s="43">
        <v>58859</v>
      </c>
      <c r="I12" s="43">
        <v>57272</v>
      </c>
      <c r="J12" s="30" t="s">
        <v>194</v>
      </c>
      <c r="K12" s="43">
        <v>58301</v>
      </c>
      <c r="L12" s="139" t="s">
        <v>51</v>
      </c>
      <c r="M12" s="140">
        <f t="shared" si="0"/>
        <v>-543.31200000000001</v>
      </c>
      <c r="N12" s="141" t="str">
        <f>VLOOKUP(C12,'Trips&amp;Operators'!$C$1:$G$99999,5,FALSE)</f>
        <v>STORY SAMANTHA</v>
      </c>
      <c r="O12" s="190" t="s">
        <v>185</v>
      </c>
      <c r="P12" s="142" t="s">
        <v>466</v>
      </c>
      <c r="Q12" s="30"/>
      <c r="R12" s="89" t="str">
        <f>IF(VLOOKUP(C12,'Train Runs'!$A$13:$AE$9942,1,1)=C12,VLOOKUP(C12,'Train Runs'!$A$13:$AE$9942,31,1),NA())</f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-27T22:26:56-0600',mode:absolute,to:'2017-03-28T01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94" t="str">
        <f t="shared" si="1"/>
        <v>"C:\Program Files (x86)\AstroGrep\AstroGrep.exe" /e /r /s /spath="%USERPROFILE%\AppData\Local\Temp\OnboardLogs" /stypes="*4054*201703280*" /stext=" 05:.+((SYSTEM_STATE.+slice.+state.+changed )|(ment ac)|(multiple cpu faults)|(system.+state.+changed )|(\[timeout)|(PRM\|1\|D)|(kpr)|(kdp)|(\|lc)|(penalty))"</v>
      </c>
      <c r="U12" s="9" t="str">
        <f t="shared" si="2"/>
        <v>4054</v>
      </c>
      <c r="V12" s="32">
        <f t="shared" si="3"/>
        <v>42822.246886574074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arrival","project_id":79,"tracker_id":40,"status_id":1,"priority_id":2,"assigned_to_id":23,"start_date":"2017-03-27","description":"","custom_fields":[{"id":1,"name":"Subdivision","value":"EC"},{"id":4,"name":"Milepost","value":"5.8301"},{"id":17,"name":"Train ID","value":"236-27"},{"id":16,"name":"Locomotive ID","value":"4054"},{"id":130,"name":"Impact","value":""},{"id":150,"name":"Time of Event (Mountain Time)","value":"23:55:31"},{"id":151,"name":"Denver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"%USERPROFILE%\AppData\Local\Temp\OnboardLogs"\RTDC4054\*4054*201703280*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"%USERPROFILE%\AppData\Local\Temp\OnboardLogs"\RTDC4054\*4054*201703280* &gt;&gt; 2017-03-27-SliceDisagreementCheck.txt</v>
      </c>
      <c r="AE12" s="153" t="str">
        <f t="shared" si="9"/>
        <v>start /low /b %USERPROFILE%\Documents\GitHub\eaglep3\Utilities\DownloadLogsFromS3.py --loco 4054 --day 2017-03-28</v>
      </c>
    </row>
    <row r="13" spans="1:32" s="1" customFormat="1" x14ac:dyDescent="0.25">
      <c r="A13" s="32">
        <v>42821.426886574074</v>
      </c>
      <c r="B13" s="30" t="s">
        <v>449</v>
      </c>
      <c r="C13" s="30" t="s">
        <v>608</v>
      </c>
      <c r="D13" s="30" t="s">
        <v>49</v>
      </c>
      <c r="E13" s="30" t="s">
        <v>193</v>
      </c>
      <c r="F13" s="43">
        <v>0</v>
      </c>
      <c r="G13" s="43">
        <v>442</v>
      </c>
      <c r="H13" s="43">
        <v>62102</v>
      </c>
      <c r="I13" s="43">
        <v>63377</v>
      </c>
      <c r="J13" s="30" t="s">
        <v>194</v>
      </c>
      <c r="K13" s="43">
        <v>63069</v>
      </c>
      <c r="L13" s="139" t="s">
        <v>50</v>
      </c>
      <c r="M13" s="140">
        <f t="shared" si="0"/>
        <v>-162.624</v>
      </c>
      <c r="N13" s="141" t="str">
        <f>VLOOKUP(C13,'Trips&amp;Operators'!$C$1:$G$99999,5,FALSE)</f>
        <v>MAYBERRY BILL</v>
      </c>
      <c r="O13" s="190" t="s">
        <v>185</v>
      </c>
      <c r="P13" s="142" t="s">
        <v>466</v>
      </c>
      <c r="Q13" s="30"/>
      <c r="R13" s="89" t="str">
        <f>IF(VLOOKUP(C13,'Train Runs'!$A$13:$AE$9942,1,1)=C13,VLOOKUP(C13,'Train Runs'!$A$13:$AE$9942,31,1),NA())</f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-27T08:54:00-0600',mode:absolute,to:'2017-03-27T11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94" t="str">
        <f t="shared" si="1"/>
        <v>"C:\Program Files (x86)\AstroGrep\AstroGrep.exe" /e /r /s /spath="%USERPROFILE%\AppData\Local\Temp\OnboardLogs" /stypes="*4025*201703271*" /stext=" 16:.+((SYSTEM_STATE.+slice.+state.+changed )|(ment ac)|(multiple cpu faults)|(system.+state.+changed )|(\[timeout)|(PRM\|1\|D)|(kpr)|(kdp)|(\|lc)|(penalty))"</v>
      </c>
      <c r="U13" s="9" t="str">
        <f t="shared" si="2"/>
        <v>4025</v>
      </c>
      <c r="V13" s="32">
        <f t="shared" si="3"/>
        <v>42821.676886574074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arrival","project_id":79,"tracker_id":40,"status_id":1,"priority_id":2,"assigned_to_id":23,"start_date":"2017-03-27","description":"","custom_fields":[{"id":1,"name":"Subdivision","value":"EC"},{"id":4,"name":"Milepost","value":"6.3069"},{"id":17,"name":"Train ID","value":"151-27"},{"id":16,"name":"Locomotive ID","value":"4025"},{"id":130,"name":"Impact","value":""},{"id":150,"name":"Time of Event (Mountain Time)","value":"10:14:43"},{"id":151,"name":"Denver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"%USERPROFILE%\AppData\Local\Temp\OnboardLogs"\RTDC4025\*4025*201703271*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"%USERPROFILE%\AppData\Local\Temp\OnboardLogs"\RTDC4025\*4025*201703271* &gt;&gt; 2017-03-27-SliceDisagreementCheck.txt</v>
      </c>
      <c r="AE13" s="153" t="str">
        <f t="shared" si="9"/>
        <v>start /low /b %USERPROFILE%\Documents\GitHub\eaglep3\Utilities\DownloadLogsFromS3.py --loco 4025 --day 2017-03-27</v>
      </c>
    </row>
    <row r="14" spans="1:32" x14ac:dyDescent="0.25">
      <c r="A14" s="32">
        <v>42821.44295138889</v>
      </c>
      <c r="B14" s="30" t="s">
        <v>400</v>
      </c>
      <c r="C14" s="30" t="s">
        <v>610</v>
      </c>
      <c r="D14" s="30" t="s">
        <v>98</v>
      </c>
      <c r="E14" s="30" t="s">
        <v>193</v>
      </c>
      <c r="F14" s="43">
        <v>0</v>
      </c>
      <c r="G14" s="43">
        <v>159</v>
      </c>
      <c r="H14" s="43">
        <v>63303</v>
      </c>
      <c r="I14" s="43">
        <v>63127</v>
      </c>
      <c r="J14" s="30" t="s">
        <v>194</v>
      </c>
      <c r="K14" s="43">
        <v>63309</v>
      </c>
      <c r="L14" s="139" t="s">
        <v>51</v>
      </c>
      <c r="M14" s="140">
        <f t="shared" si="0"/>
        <v>-96.096000000000004</v>
      </c>
      <c r="N14" s="141" t="str">
        <f>VLOOKUP(C14,'Trips&amp;Operators'!$C$1:$G$99999,5,FALSE)</f>
        <v>MAELZER KURT</v>
      </c>
      <c r="O14" s="190" t="s">
        <v>185</v>
      </c>
      <c r="P14" s="142" t="s">
        <v>466</v>
      </c>
      <c r="Q14" s="30"/>
      <c r="R14" s="89" t="str">
        <f>IF(VLOOKUP(C14,'Train Runs'!$A$13:$AE$9942,1,1)=C14,VLOOKUP(C14,'Train Runs'!$A$13:$AE$9942,31,1),NA())</f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-27T09:03:23-0600',mode:absolute,to:'2017-03-27T11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 t="shared" si="1"/>
        <v>"C:\Program Files (x86)\AstroGrep\AstroGrep.exe" /e /r /s /spath="%USERPROFILE%\AppData\Local\Temp\OnboardLogs" /stypes="*4015*201703271*" /stext=" 16:.+((SYSTEM_STATE.+slice.+state.+changed )|(ment ac)|(multiple cpu faults)|(system.+state.+changed )|(\[timeout)|(PRM\|1\|D)|(kpr)|(kdp)|(\|lc)|(penalty))"</v>
      </c>
      <c r="U14" s="9" t="str">
        <f t="shared" si="2"/>
        <v>4015</v>
      </c>
      <c r="V14" s="32">
        <f t="shared" si="3"/>
        <v>42821.69295138889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arrival","project_id":79,"tracker_id":40,"status_id":1,"priority_id":2,"assigned_to_id":23,"start_date":"2017-03-27","description":"","custom_fields":[{"id":1,"name":"Subdivision","value":"EC"},{"id":4,"name":"Milepost","value":"6.3309"},{"id":17,"name":"Train ID","value":"146-27"},{"id":16,"name":"Locomotive ID","value":"4015"},{"id":130,"name":"Impact","value":""},{"id":150,"name":"Time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"%USERPROFILE%\AppData\Local\Temp\OnboardLogs"\RTDC4015\*4015*201703271*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"%USERPROFILE%\AppData\Local\Temp\OnboardLogs"\RTDC4015\*4015*201703271* &gt;&gt; 2017-03-27-SliceDisagreementCheck.txt</v>
      </c>
      <c r="AE14" s="153" t="str">
        <f t="shared" si="9"/>
        <v>start /low /b %USERPROFILE%\Documents\GitHub\eaglep3\Utilities\DownloadLogsFromS3.py --loco 4015 --day 2017-03-27</v>
      </c>
      <c r="AF14" s="1"/>
    </row>
    <row r="15" spans="1:32" x14ac:dyDescent="0.25">
      <c r="A15" s="32">
        <v>42821.842129629629</v>
      </c>
      <c r="B15" s="30" t="s">
        <v>385</v>
      </c>
      <c r="C15" s="30" t="s">
        <v>625</v>
      </c>
      <c r="D15" s="30" t="s">
        <v>49</v>
      </c>
      <c r="E15" s="30" t="s">
        <v>193</v>
      </c>
      <c r="F15" s="43">
        <v>150</v>
      </c>
      <c r="G15" s="43">
        <v>203</v>
      </c>
      <c r="H15" s="43">
        <v>63723</v>
      </c>
      <c r="I15" s="43">
        <v>63327</v>
      </c>
      <c r="J15" s="30" t="s">
        <v>194</v>
      </c>
      <c r="K15" s="43">
        <v>63309</v>
      </c>
      <c r="L15" s="139" t="s">
        <v>51</v>
      </c>
      <c r="M15" s="140">
        <f t="shared" si="0"/>
        <v>9.5039999999999996</v>
      </c>
      <c r="N15" s="141" t="str">
        <f>VLOOKUP(C15,'Trips&amp;Operators'!$C$1:$G$99999,5,FALSE)</f>
        <v>DUNCAN SHEILA</v>
      </c>
      <c r="O15" s="190" t="s">
        <v>185</v>
      </c>
      <c r="P15" s="142" t="s">
        <v>466</v>
      </c>
      <c r="Q15" s="30"/>
      <c r="R15" s="89" t="str">
        <f>IF(VLOOKUP(C15,'Train Runs'!$A$13:$AE$9942,1,1)=C15,VLOOKUP(C15,'Train Runs'!$A$13:$AE$9942,31,1),NA())</f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-27T18:59:25-0600',mode:absolute,to:'2017-03-27T21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/e /r /s /spath="%USERPROFILE%\AppData\Local\Temp\OnboardLogs" /stypes="*4028*201703280*" /stext=" 02:.+((SYSTEM_STATE.+slice.+state.+changed )|(ment ac)|(multiple cpu faults)|(system.+state.+changed )|(\[timeout)|(PRM\|1\|D)|(kpr)|(kdp)|(\|lc)|(penalty))"</v>
      </c>
      <c r="U15" s="9" t="str">
        <f t="shared" si="2"/>
        <v>4028</v>
      </c>
      <c r="V15" s="32">
        <f t="shared" si="3"/>
        <v>42822.092129629629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arrival","project_id":79,"tracker_id":40,"status_id":1,"priority_id":2,"assigned_to_id":23,"start_date":"2017-03-27","description":"","custom_fields":[{"id":1,"name":"Subdivision","value":"EC"},{"id":4,"name":"Milepost","value":"6.3309"},{"id":17,"name":"Train ID","value":"224-27"},{"id":16,"name":"Locomotive ID","value":"4028"},{"id":130,"name":"Impact","value":""},{"id":150,"name":"Time of Event (Mountain Time)","value":"20:12:40"},{"id":151,"name":"Denver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"%USERPROFILE%\AppData\Local\Temp\OnboardLogs"\RTDC4028\*4028*201703280*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"%USERPROFILE%\AppData\Local\Temp\OnboardLogs"\RTDC4028\*4028*201703280* &gt;&gt; 2017-03-27-SliceDisagreementCheck.txt</v>
      </c>
      <c r="AE15" s="153" t="str">
        <f t="shared" si="9"/>
        <v>start /low /b %USERPROFILE%\Documents\GitHub\eaglep3\Utilities\DownloadLogsFromS3.py --loco 4028 --day 2017-03-28</v>
      </c>
      <c r="AF15" s="1"/>
    </row>
    <row r="16" spans="1:32" x14ac:dyDescent="0.25">
      <c r="A16" s="32">
        <v>42821.585763888892</v>
      </c>
      <c r="B16" s="30" t="s">
        <v>400</v>
      </c>
      <c r="C16" s="30" t="s">
        <v>615</v>
      </c>
      <c r="D16" s="30" t="s">
        <v>49</v>
      </c>
      <c r="E16" s="30" t="s">
        <v>193</v>
      </c>
      <c r="F16" s="43">
        <v>580</v>
      </c>
      <c r="G16" s="43">
        <v>651</v>
      </c>
      <c r="H16" s="43">
        <v>81041</v>
      </c>
      <c r="I16" s="43">
        <v>78441</v>
      </c>
      <c r="J16" s="30" t="s">
        <v>194</v>
      </c>
      <c r="K16" s="43">
        <v>78469</v>
      </c>
      <c r="L16" s="139" t="s">
        <v>51</v>
      </c>
      <c r="M16" s="140">
        <f t="shared" si="0"/>
        <v>-14.784000000000001</v>
      </c>
      <c r="N16" s="141" t="str">
        <f>VLOOKUP(C16,'Trips&amp;Operators'!$C$1:$G$99999,5,FALSE)</f>
        <v>STEWART MICHAEL</v>
      </c>
      <c r="O16" s="190" t="s">
        <v>185</v>
      </c>
      <c r="P16" s="142" t="s">
        <v>466</v>
      </c>
      <c r="Q16" s="30"/>
      <c r="R16" s="89" t="str">
        <f>IF(VLOOKUP(C16,'Train Runs'!$A$13:$AE$9942,1,1)=C16,VLOOKUP(C16,'Train Runs'!$A$13:$AE$9942,31,1),NA())</f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-27T12:36:05-0600',mode:absolute,to:'2017-03-27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94" t="str">
        <f t="shared" si="1"/>
        <v>"C:\Program Files (x86)\AstroGrep\AstroGrep.exe" /e /r /s /spath="%USERPROFILE%\AppData\Local\Temp\OnboardLogs" /stypes="*4015*201703272*" /stext=" 20:.+((SYSTEM_STATE.+slice.+state.+changed )|(ment ac)|(multiple cpu faults)|(system.+state.+changed )|(\[timeout)|(PRM\|1\|D)|(kpr)|(kdp)|(\|lc)|(penalty))"</v>
      </c>
      <c r="U16" s="9" t="str">
        <f t="shared" si="2"/>
        <v>4015</v>
      </c>
      <c r="V16" s="32">
        <f t="shared" si="3"/>
        <v>42821.835763888892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arrival","project_id":79,"tracker_id":40,"status_id":1,"priority_id":2,"assigned_to_id":23,"start_date":"2017-03-27","description":"","custom_fields":[{"id":1,"name":"Subdivision","value":"EC"},{"id":4,"name":"Milepost","value":"7.8469"},{"id":17,"name":"Train ID","value":"174-27"},{"id":16,"name":"Locomotive ID","value":"4015"},{"id":130,"name":"Impact","value":""},{"id":150,"name":"Time of Event (Mountain Time)","value":"14:03:30"},{"id":151,"name":"Denver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"%USERPROFILE%\AppData\Local\Temp\OnboardLogs"\RTDC4015\*4015*201703272*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"%USERPROFILE%\AppData\Local\Temp\OnboardLogs"\RTDC4015\*4015*201703272* &gt;&gt; 2017-03-27-SliceDisagreementCheck.txt</v>
      </c>
      <c r="AE16" s="153" t="str">
        <f t="shared" si="9"/>
        <v>start /low /b %USERPROFILE%\Documents\GitHub\eaglep3\Utilities\DownloadLogsFromS3.py --loco 4015 --day 2017-03-27</v>
      </c>
      <c r="AF16" s="1"/>
    </row>
    <row r="17" spans="1:32" x14ac:dyDescent="0.25">
      <c r="A17" s="32">
        <v>42821.395092592589</v>
      </c>
      <c r="B17" s="30" t="s">
        <v>446</v>
      </c>
      <c r="C17" s="30" t="s">
        <v>606</v>
      </c>
      <c r="D17" s="30" t="s">
        <v>49</v>
      </c>
      <c r="E17" s="30" t="s">
        <v>193</v>
      </c>
      <c r="F17" s="43">
        <v>0</v>
      </c>
      <c r="G17" s="43">
        <v>383</v>
      </c>
      <c r="H17" s="43">
        <v>109437</v>
      </c>
      <c r="I17" s="43">
        <v>108752</v>
      </c>
      <c r="J17" s="30" t="s">
        <v>194</v>
      </c>
      <c r="K17" s="43">
        <v>109135</v>
      </c>
      <c r="L17" s="139" t="s">
        <v>51</v>
      </c>
      <c r="M17" s="140">
        <f t="shared" si="0"/>
        <v>-202.22399999999999</v>
      </c>
      <c r="N17" s="141" t="str">
        <f>VLOOKUP(C17,'Trips&amp;Operators'!$C$1:$G$99999,5,FALSE)</f>
        <v>MAYBERRY BILL</v>
      </c>
      <c r="O17" s="190" t="s">
        <v>185</v>
      </c>
      <c r="P17" s="142" t="s">
        <v>466</v>
      </c>
      <c r="Q17" s="30"/>
      <c r="R17" s="89" t="str">
        <f>IF(VLOOKUP(C17,'Train Runs'!$A$13:$AE$9942,1,1)=C17,VLOOKUP(C17,'Train Runs'!$A$13:$AE$9942,31,1),NA())</f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-27T07:55:44-0600',mode:absolute,to:'2017-03-27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94" t="str">
        <f t="shared" si="1"/>
        <v>"C:\Program Files (x86)\AstroGrep\AstroGrep.exe" /e /r /s /spath="%USERPROFILE%\AppData\Local\Temp\OnboardLogs" /stypes="*4026*201703271*" /stext=" 15:.+((SYSTEM_STATE.+slice.+state.+changed )|(ment ac)|(multiple cpu faults)|(system.+state.+changed )|(\[timeout)|(PRM\|1\|D)|(kpr)|(kdp)|(\|lc)|(penalty))"</v>
      </c>
      <c r="U17" s="9" t="str">
        <f t="shared" si="2"/>
        <v>4026</v>
      </c>
      <c r="V17" s="32">
        <f t="shared" si="3"/>
        <v>42821.645092592589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arrival","project_id":79,"tracker_id":40,"status_id":1,"priority_id":2,"assigned_to_id":23,"start_date":"2017-03-27","description":"","custom_fields":[{"id":1,"name":"Subdivision","value":"EC"},{"id":4,"name":"Milepost","value":"10.9135"},{"id":17,"name":"Train ID","value":"138-27"},{"id":16,"name":"Locomotive ID","value":"4026"},{"id":130,"name":"Impact","value":""},{"id":150,"name":"Time of Event (Mountain Time)","value":"09:28:56"},{"id":151,"name":"Denver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"%USERPROFILE%\AppData\Local\Temp\OnboardLogs"\RTDC4026\*4026*201703271*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"%USERPROFILE%\AppData\Local\Temp\OnboardLogs"\RTDC4026\*4026*201703271* &gt;&gt; 2017-03-27-SliceDisagreementCheck.txt</v>
      </c>
      <c r="AE17" s="153" t="str">
        <f t="shared" si="9"/>
        <v>start /low /b %USERPROFILE%\Documents\GitHub\eaglep3\Utilities\DownloadLogsFromS3.py --loco 4026 --day 2017-03-27</v>
      </c>
      <c r="AF17" s="1"/>
    </row>
    <row r="18" spans="1:32" ht="15" customHeight="1" x14ac:dyDescent="0.25">
      <c r="A18" s="32">
        <v>42821.2499537037</v>
      </c>
      <c r="B18" s="30" t="s">
        <v>446</v>
      </c>
      <c r="C18" s="30" t="s">
        <v>594</v>
      </c>
      <c r="D18" s="30" t="s">
        <v>98</v>
      </c>
      <c r="E18" s="30" t="s">
        <v>193</v>
      </c>
      <c r="F18" s="43">
        <v>340</v>
      </c>
      <c r="G18" s="43">
        <v>393</v>
      </c>
      <c r="H18" s="43">
        <v>108913</v>
      </c>
      <c r="I18" s="43">
        <v>107495</v>
      </c>
      <c r="J18" s="30" t="s">
        <v>194</v>
      </c>
      <c r="K18" s="43">
        <v>109135</v>
      </c>
      <c r="L18" s="139" t="s">
        <v>51</v>
      </c>
      <c r="M18" s="140">
        <f t="shared" si="0"/>
        <v>-865.92</v>
      </c>
      <c r="N18" s="141" t="str">
        <f>VLOOKUP(C18,'Trips&amp;Operators'!$C$1:$G$99999,5,FALSE)</f>
        <v>MAYBERRY BILL</v>
      </c>
      <c r="O18" s="190" t="s">
        <v>185</v>
      </c>
      <c r="P18" s="142" t="s">
        <v>466</v>
      </c>
      <c r="Q18" s="30"/>
      <c r="R18" s="89" t="str">
        <f>IF(VLOOKUP(C18,'Train Runs'!$A$13:$AE$9942,1,1)=C18,VLOOKUP(C18,'Train Runs'!$A$13:$AE$9942,31,1),NA())</f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-27T04:23:48-0600',mode:absolute,to:'2017-03-27T07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94" t="str">
        <f t="shared" si="1"/>
        <v>"C:\Program Files (x86)\AstroGrep\AstroGrep.exe" /e /r /s /spath="%USERPROFILE%\AppData\Local\Temp\OnboardLogs" /stypes="*4026*201703271*" /stext=" 11:.+((SYSTEM_STATE.+slice.+state.+changed )|(ment ac)|(multiple cpu faults)|(system.+state.+changed )|(\[timeout)|(PRM\|1\|D)|(kpr)|(kdp)|(\|lc)|(penalty))"</v>
      </c>
      <c r="U18" s="9" t="str">
        <f t="shared" si="2"/>
        <v>4026</v>
      </c>
      <c r="V18" s="32">
        <f t="shared" si="3"/>
        <v>42821.4999537037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arrival","project_id":79,"tracker_id":40,"status_id":1,"priority_id":2,"assigned_to_id":23,"start_date":"2017-03-27","description":"","custom_fields":[{"id":1,"name":"Subdivision","value":"EC"},{"id":4,"name":"Milepost","value":"10.9135"},{"id":17,"name":"Train ID","value":"110-27"},{"id":16,"name":"Locomotive ID","value":"4026"},{"id":130,"name":"Impact","value":""},{"id":150,"name":"Time of Event (Mountain Time)","value":"05:59:56"},{"id":151,"name":"Denver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"%USERPROFILE%\AppData\Local\Temp\OnboardLogs"\RTDC4026\*4026*201703271*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"%USERPROFILE%\AppData\Local\Temp\OnboardLogs"\RTDC4026\*4026*201703271* &gt;&gt; 2017-03-27-SliceDisagreementCheck.txt</v>
      </c>
      <c r="AE18" s="153" t="str">
        <f t="shared" si="9"/>
        <v>start /low /b %USERPROFILE%\Documents\GitHub\eaglep3\Utilities\DownloadLogsFromS3.py --loco 4026 --day 2017-03-27</v>
      </c>
      <c r="AF18" s="1"/>
    </row>
    <row r="19" spans="1:32" x14ac:dyDescent="0.25">
      <c r="A19" s="32">
        <v>42821.836701388886</v>
      </c>
      <c r="B19" s="30" t="s">
        <v>385</v>
      </c>
      <c r="C19" s="30" t="s">
        <v>625</v>
      </c>
      <c r="D19" s="30" t="s">
        <v>49</v>
      </c>
      <c r="E19" s="30" t="s">
        <v>193</v>
      </c>
      <c r="F19" s="43">
        <v>390</v>
      </c>
      <c r="G19" s="43">
        <v>443</v>
      </c>
      <c r="H19" s="43">
        <v>110322</v>
      </c>
      <c r="I19" s="43">
        <v>108878</v>
      </c>
      <c r="J19" s="30" t="s">
        <v>194</v>
      </c>
      <c r="K19" s="43">
        <v>109135</v>
      </c>
      <c r="L19" s="139" t="s">
        <v>51</v>
      </c>
      <c r="M19" s="140">
        <f t="shared" si="0"/>
        <v>-135.696</v>
      </c>
      <c r="N19" s="141" t="str">
        <f>VLOOKUP(C19,'Trips&amp;Operators'!$C$1:$G$99999,5,FALSE)</f>
        <v>DUNCAN SHEILA</v>
      </c>
      <c r="O19" s="190" t="s">
        <v>185</v>
      </c>
      <c r="P19" s="142" t="s">
        <v>466</v>
      </c>
      <c r="Q19" s="30"/>
      <c r="R19" s="89" t="str">
        <f>IF(VLOOKUP(C19,'Train Runs'!$A$13:$AE$9942,1,1)=C19,VLOOKUP(C19,'Train Runs'!$A$13:$AE$9942,31,1),NA())</f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-27T18:59:25-0600',mode:absolute,to:'2017-03-27T21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94" t="str">
        <f t="shared" si="1"/>
        <v>"C:\Program Files (x86)\AstroGrep\AstroGrep.exe" /e /r /s /spath="%USERPROFILE%\AppData\Local\Temp\OnboardLogs" /stypes="*4028*201703280*" /stext=" 02:.+((SYSTEM_STATE.+slice.+state.+changed )|(ment ac)|(multiple cpu faults)|(system.+state.+changed )|(\[timeout)|(PRM\|1\|D)|(kpr)|(kdp)|(\|lc)|(penalty))"</v>
      </c>
      <c r="U19" s="9" t="str">
        <f t="shared" si="2"/>
        <v>4028</v>
      </c>
      <c r="V19" s="32">
        <f t="shared" si="3"/>
        <v>42822.086701388886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arrival","project_id":79,"tracker_id":40,"status_id":1,"priority_id":2,"assigned_to_id":23,"start_date":"2017-03-27","description":"","custom_fields":[{"id":1,"name":"Subdivision","value":"EC"},{"id":4,"name":"Milepost","value":"10.9135"},{"id":17,"name":"Train ID","value":"224-27"},{"id":16,"name":"Locomotive ID","value":"4028"},{"id":130,"name":"Impact","value":""},{"id":150,"name":"Time of Event (Mountain Time)","value":"20:04:51"},{"id":151,"name":"Denver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"%USERPROFILE%\AppData\Local\Temp\OnboardLogs"\RTDC4028\*4028*201703280*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"%USERPROFILE%\AppData\Local\Temp\OnboardLogs"\RTDC4028\*4028*201703280* &gt;&gt; 2017-03-27-SliceDisagreementCheck.txt</v>
      </c>
      <c r="AE19" s="153" t="str">
        <f t="shared" si="9"/>
        <v>start /low /b %USERPROFILE%\Documents\GitHub\eaglep3\Utilities\DownloadLogsFromS3.py --loco 4028 --day 2017-03-28</v>
      </c>
      <c r="AF19" s="1"/>
    </row>
    <row r="20" spans="1:32" x14ac:dyDescent="0.25">
      <c r="A20" s="32">
        <v>42821.668124999997</v>
      </c>
      <c r="B20" s="30" t="s">
        <v>505</v>
      </c>
      <c r="C20" s="30" t="s">
        <v>620</v>
      </c>
      <c r="D20" s="30" t="s">
        <v>98</v>
      </c>
      <c r="E20" s="30" t="s">
        <v>216</v>
      </c>
      <c r="F20" s="43">
        <v>150</v>
      </c>
      <c r="G20" s="43">
        <v>202</v>
      </c>
      <c r="H20" s="43">
        <v>4253</v>
      </c>
      <c r="I20" s="43">
        <v>4605</v>
      </c>
      <c r="J20" s="30" t="s">
        <v>217</v>
      </c>
      <c r="K20" s="43">
        <v>0</v>
      </c>
      <c r="L20" s="139" t="s">
        <v>50</v>
      </c>
      <c r="M20" s="140">
        <f t="shared" si="0"/>
        <v>-2431.44</v>
      </c>
      <c r="N20" s="141" t="str">
        <f>VLOOKUP(C20,'Trips&amp;Operators'!$C$1:$G$99999,5,FALSE)</f>
        <v>BRANDNER MELINDA</v>
      </c>
      <c r="O20" s="190" t="s">
        <v>185</v>
      </c>
      <c r="P20" s="142"/>
      <c r="Q20" s="30"/>
      <c r="R20" s="89" t="str">
        <f>IF(VLOOKUP(C20,'Train Runs'!$A$13:$AE$9942,1,1)=C20,VLOOKUP(C20,'Train Runs'!$A$13:$AE$9942,31,1),NA())</f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-27T14:55:02-0600',mode:absolute,to:'2017-03-27T17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94" t="str">
        <f t="shared" si="1"/>
        <v>"C:\Program Files (x86)\AstroGrep\AstroGrep.exe" /e /r /s /spath="%USERPROFILE%\AppData\Local\Temp\OnboardLogs" /stypes="*4053*201703272*" /stext=" 22:.+((SYSTEM_STATE.+slice.+state.+changed )|(ment ac)|(multiple cpu faults)|(system.+state.+changed )|(\[timeout)|(PRM\|1\|D)|(kpr)|(kdp)|(\|lc)|(penalty))"</v>
      </c>
      <c r="U20" s="9" t="str">
        <f t="shared" si="2"/>
        <v>4053</v>
      </c>
      <c r="V20" s="32">
        <f t="shared" si="3"/>
        <v>42821.918124999997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{"issue":{"subject":"","project_id":79,"tracker_id":40,"status_id":1,"priority_id":2,"assigned_to_id":23,"start_date":"2017-03-27","description":"","custom_fields":[{"id":1,"name":"Subdivision","value":"EC"},{"id":4,"name":"Milepost","value":"0"},{"id":17,"name":"Train ID","value":"199-27"},{"id":16,"name":"Locomotive ID","value":"4053"},{"id":130,"name":"Impact","value":""},{"id":150,"name":"Time of Event (Mountain Time)","value":"16:02:06"},{"id":151,"name":"Denver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"%USERPROFILE%\AppData\Local\Temp\OnboardLogs"\RTDC4053\*4053*201703272*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"%USERPROFILE%\AppData\Local\Temp\OnboardLogs"\RTDC4053\*4053*201703272* &gt;&gt; 2017-03-27-SliceDisagreementCheck.txt</v>
      </c>
      <c r="AE20" s="153" t="str">
        <f t="shared" si="9"/>
        <v>start /low /b %USERPROFILE%\Documents\GitHub\eaglep3\Utilities\DownloadLogsFromS3.py --loco 4053 --day 2017-03-27</v>
      </c>
      <c r="AF20" s="1"/>
    </row>
    <row r="21" spans="1:32" x14ac:dyDescent="0.25">
      <c r="A21" s="32">
        <v>42821.962384259263</v>
      </c>
      <c r="B21" s="30" t="s">
        <v>386</v>
      </c>
      <c r="C21" s="30" t="s">
        <v>626</v>
      </c>
      <c r="D21" s="30" t="s">
        <v>98</v>
      </c>
      <c r="E21" s="30" t="s">
        <v>216</v>
      </c>
      <c r="F21" s="43">
        <v>300</v>
      </c>
      <c r="G21" s="43">
        <v>354</v>
      </c>
      <c r="H21" s="43">
        <v>21882</v>
      </c>
      <c r="I21" s="43">
        <v>22691</v>
      </c>
      <c r="J21" s="30" t="s">
        <v>217</v>
      </c>
      <c r="K21" s="43">
        <v>20338</v>
      </c>
      <c r="L21" s="139" t="s">
        <v>50</v>
      </c>
      <c r="M21" s="140">
        <f t="shared" si="0"/>
        <v>-1242.384</v>
      </c>
      <c r="N21" s="141" t="str">
        <f>VLOOKUP(C21,'Trips&amp;Operators'!$C$1:$G$99999,5,FALSE)</f>
        <v>DUNCAN SHEILA</v>
      </c>
      <c r="O21" s="190" t="s">
        <v>185</v>
      </c>
      <c r="P21" s="142"/>
      <c r="Q21" s="30"/>
      <c r="R21" s="89" t="str">
        <f>IF(VLOOKUP(C21,'Train Runs'!$A$13:$AE$9942,1,1)=C21,VLOOKUP(C21,'Train Runs'!$A$13:$AE$9942,31,1),NA())</f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-27T21:55:37-0600',mode:absolute,to:'2017-03-28T00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94" t="str">
        <f t="shared" si="1"/>
        <v>"C:\Program Files (x86)\AstroGrep\AstroGrep.exe" /e /r /s /spath="%USERPROFILE%\AppData\Local\Temp\OnboardLogs" /stypes="*4027*201703280*" /stext=" 05:.+((SYSTEM_STATE.+slice.+state.+changed )|(ment ac)|(multiple cpu faults)|(system.+state.+changed )|(\[timeout)|(PRM\|1\|D)|(kpr)|(kdp)|(\|lc)|(penalty))"</v>
      </c>
      <c r="U21" s="9" t="str">
        <f t="shared" si="2"/>
        <v>4027</v>
      </c>
      <c r="V21" s="32">
        <f t="shared" si="3"/>
        <v>42822.212384259263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{"issue":{"subject":"","project_id":79,"tracker_id":40,"status_id":1,"priority_id":2,"assigned_to_id":23,"start_date":"2017-03-27","description":"","custom_fields":[{"id":1,"name":"Subdivision","value":"EC"},{"id":4,"name":"Milepost","value":"2.0338"},{"id":17,"name":"Train ID","value":"237-27"},{"id":16,"name":"Locomotive ID","value":"4027"},{"id":130,"name":"Impact","value":""},{"id":150,"name":"Time of Event (Mountain Time)","value":"23:05:50"},{"id":151,"name":"Denver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"%USERPROFILE%\AppData\Local\Temp\OnboardLogs"\RTDC4027\*4027*201703280*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"%USERPROFILE%\AppData\Local\Temp\OnboardLogs"\RTDC4027\*4027*201703280* &gt;&gt; 2017-03-27-SliceDisagreementCheck.txt</v>
      </c>
      <c r="AE21" s="153" t="str">
        <f t="shared" si="9"/>
        <v>start /low /b %USERPROFILE%\Documents\GitHub\eaglep3\Utilities\DownloadLogsFromS3.py --loco 4027 --day 2017-03-28</v>
      </c>
      <c r="AF21" s="1"/>
    </row>
    <row r="22" spans="1:32" x14ac:dyDescent="0.25">
      <c r="A22" s="32">
        <v>42821.521527777775</v>
      </c>
      <c r="B22" s="30" t="s">
        <v>400</v>
      </c>
      <c r="C22" s="30" t="s">
        <v>614</v>
      </c>
      <c r="D22" s="30" t="s">
        <v>49</v>
      </c>
      <c r="E22" s="30" t="s">
        <v>216</v>
      </c>
      <c r="F22" s="43">
        <v>300</v>
      </c>
      <c r="G22" s="43">
        <v>395</v>
      </c>
      <c r="H22" s="43">
        <v>22589</v>
      </c>
      <c r="I22" s="43">
        <v>21628</v>
      </c>
      <c r="J22" s="30" t="s">
        <v>217</v>
      </c>
      <c r="K22" s="43">
        <v>21848</v>
      </c>
      <c r="L22" s="139" t="s">
        <v>51</v>
      </c>
      <c r="M22" s="140">
        <f t="shared" si="0"/>
        <v>-116.16</v>
      </c>
      <c r="N22" s="141" t="str">
        <f>VLOOKUP(C22,'Trips&amp;Operators'!$C$1:$G$99999,5,FALSE)</f>
        <v>STEWART MICHAEL</v>
      </c>
      <c r="O22" s="190" t="s">
        <v>185</v>
      </c>
      <c r="P22" s="142"/>
      <c r="Q22" s="30"/>
      <c r="R22" s="89" t="str">
        <f>IF(VLOOKUP(C22,'Train Runs'!$A$13:$AE$9942,1,1)=C22,VLOOKUP(C22,'Train Runs'!$A$13:$AE$9942,31,1),NA())</f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-27T10:52:14-0600',mode:absolute,to:'2017-03-27T13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94" t="str">
        <f t="shared" si="1"/>
        <v>"C:\Program Files (x86)\AstroGrep\AstroGrep.exe" /e /r /s /spath="%USERPROFILE%\AppData\Local\Temp\OnboardLogs" /stypes="*4015*201703271*" /stext=" 18:.+((SYSTEM_STATE.+slice.+state.+changed )|(ment ac)|(multiple cpu faults)|(system.+state.+changed )|(\[timeout)|(PRM\|1\|D)|(kpr)|(kdp)|(\|lc)|(penalty))"</v>
      </c>
      <c r="U22" s="9" t="str">
        <f t="shared" si="2"/>
        <v>4015</v>
      </c>
      <c r="V22" s="32">
        <f t="shared" si="3"/>
        <v>42821.771527777775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{"issue":{"subject":"","project_id":79,"tracker_id":40,"status_id":1,"priority_id":2,"assigned_to_id":23,"start_date":"2017-03-27","description":"","custom_fields":[{"id":1,"name":"Subdivision","value":"EC"},{"id":4,"name":"Milepost","value":"2.1848"},{"id":17,"name":"Train ID","value":"160-27"},{"id":16,"name":"Locomotive ID","value":"4015"},{"id":130,"name":"Impact","value":""},{"id":150,"name":"Time of Event (Mountain Time)","value":"12:31:00"},{"id":151,"name":"Denver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"%USERPROFILE%\AppData\Local\Temp\OnboardLogs"\RTDC4015\*4015*201703271*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"%USERPROFILE%\AppData\Local\Temp\OnboardLogs"\RTDC4015\*4015*201703271* &gt;&gt; 2017-03-27-SliceDisagreementCheck.txt</v>
      </c>
      <c r="AE22" s="153" t="str">
        <f t="shared" si="9"/>
        <v>start /low /b %USERPROFILE%\Documents\GitHub\eaglep3\Utilities\DownloadLogsFromS3.py --loco 4015 --day 2017-03-27</v>
      </c>
      <c r="AF22" s="1"/>
    </row>
    <row r="23" spans="1:32" x14ac:dyDescent="0.25">
      <c r="A23" s="32">
        <v>42821.358807870369</v>
      </c>
      <c r="B23" s="30" t="s">
        <v>449</v>
      </c>
      <c r="C23" s="30" t="s">
        <v>603</v>
      </c>
      <c r="D23" s="30" t="s">
        <v>49</v>
      </c>
      <c r="E23" s="30" t="s">
        <v>216</v>
      </c>
      <c r="F23" s="43">
        <v>400</v>
      </c>
      <c r="G23" s="43">
        <v>682</v>
      </c>
      <c r="H23" s="43">
        <v>113572</v>
      </c>
      <c r="I23" s="43">
        <v>116254</v>
      </c>
      <c r="J23" s="30" t="s">
        <v>217</v>
      </c>
      <c r="K23" s="43">
        <v>116838</v>
      </c>
      <c r="L23" s="139" t="s">
        <v>50</v>
      </c>
      <c r="M23" s="140">
        <f t="shared" si="0"/>
        <v>308.35199999999998</v>
      </c>
      <c r="N23" s="141" t="str">
        <f>VLOOKUP(C23,'Trips&amp;Operators'!$C$1:$G$99999,5,FALSE)</f>
        <v>MAYBERRY BILL</v>
      </c>
      <c r="O23" s="190" t="s">
        <v>185</v>
      </c>
      <c r="P23" s="142"/>
      <c r="Q23" s="30"/>
      <c r="R23" s="89" t="str">
        <f>IF(VLOOKUP(C23,'Train Runs'!$A$13:$AE$9942,1,1)=C23,VLOOKUP(C23,'Train Runs'!$A$13:$AE$9942,31,1),NA())</f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-27T07:09:33-0600',mode:absolute,to:'2017-03-27T09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3" s="94" t="str">
        <f t="shared" si="1"/>
        <v>"C:\Program Files (x86)\AstroGrep\AstroGrep.exe" /e /r /s /spath="%USERPROFILE%\AppData\Local\Temp\OnboardLogs" /stypes="*4025*201703271*" /stext=" 14:.+((SYSTEM_STATE.+slice.+state.+changed )|(ment ac)|(multiple cpu faults)|(system.+state.+changed )|(\[timeout)|(PRM\|1\|D)|(kpr)|(kdp)|(\|lc)|(penalty))"</v>
      </c>
      <c r="U23" s="9" t="str">
        <f t="shared" si="2"/>
        <v>4025</v>
      </c>
      <c r="V23" s="32">
        <f t="shared" si="3"/>
        <v>42821.608807870369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{"issue":{"subject":"","project_id":79,"tracker_id":40,"status_id":1,"priority_id":2,"assigned_to_id":23,"start_date":"2017-03-27","description":"","custom_fields":[{"id":1,"name":"Subdivision","value":"EC"},{"id":4,"name":"Milepost","value":"11.6838"},{"id":17,"name":"Train ID","value":"137-27"},{"id":16,"name":"Locomotive ID","value":"4025"},{"id":130,"name":"Impact","value":""},{"id":150,"name":"Time of Event (Mountain Time)","value":"08:36:41"},{"id":151,"name":"Denver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"%USERPROFILE%\AppData\Local\Temp\OnboardLogs"\RTDC4025\*4025*201703271*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"%USERPROFILE%\AppData\Local\Temp\OnboardLogs"\RTDC4025\*4025*201703271* &gt;&gt; 2017-03-27-SliceDisagreementCheck.txt</v>
      </c>
      <c r="AE23" s="153" t="str">
        <f t="shared" si="9"/>
        <v>start /low /b %USERPROFILE%\Documents\GitHub\eaglep3\Utilities\DownloadLogsFromS3.py --loco 4025 --day 2017-03-27</v>
      </c>
      <c r="AF23" s="1"/>
    </row>
    <row r="24" spans="1:32" x14ac:dyDescent="0.25">
      <c r="A24" s="32">
        <v>42821.275648148148</v>
      </c>
      <c r="B24" s="30" t="s">
        <v>486</v>
      </c>
      <c r="C24" s="30" t="s">
        <v>598</v>
      </c>
      <c r="D24" s="30" t="s">
        <v>98</v>
      </c>
      <c r="E24" s="30" t="s">
        <v>355</v>
      </c>
      <c r="F24" s="43">
        <v>200</v>
      </c>
      <c r="G24" s="43">
        <v>255</v>
      </c>
      <c r="H24" s="43">
        <v>163119</v>
      </c>
      <c r="I24" s="43">
        <v>162511</v>
      </c>
      <c r="J24" s="30" t="s">
        <v>356</v>
      </c>
      <c r="K24" s="43">
        <v>168014</v>
      </c>
      <c r="L24" s="139" t="s">
        <v>51</v>
      </c>
      <c r="M24" s="140">
        <f t="shared" si="0"/>
        <v>-2905.5839999999998</v>
      </c>
      <c r="N24" s="141" t="str">
        <f>VLOOKUP(C24,'Trips&amp;Operators'!$C$1:$G$99999,5,FALSE)</f>
        <v>ACKERMAN JARED</v>
      </c>
      <c r="O24" s="190" t="s">
        <v>185</v>
      </c>
      <c r="P24" s="142" t="s">
        <v>1028</v>
      </c>
      <c r="Q24" s="30"/>
      <c r="R24" s="89" t="str">
        <f>IF(VLOOKUP(C24,'Train Runs'!$A$13:$AE$9942,1,1)=C24,VLOOKUP(C24,'Train Runs'!$A$13:$AE$9942,31,1),NA())</f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-27T05:17:26-0600',mode:absolute,to:'2017-03-27T08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4" s="94" t="str">
        <f t="shared" si="1"/>
        <v>"C:\Program Files (x86)\AstroGrep\AstroGrep.exe" /e /r /s /spath="%USERPROFILE%\AppData\Local\Temp\OnboardLogs" /stypes="*4054*201703271*" /stext=" 12:.+((SYSTEM_STATE.+slice.+state.+changed )|(ment ac)|(multiple cpu faults)|(system.+state.+changed )|(\[timeout)|(PRM\|1\|D)|(kpr)|(kdp)|(\|lc)|(penalty))"</v>
      </c>
      <c r="U24" s="9" t="str">
        <f t="shared" si="2"/>
        <v>4054</v>
      </c>
      <c r="V24" s="32">
        <f t="shared" si="3"/>
        <v>42821.525648148148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Overspeed","project_id":79,"tracker_id":40,"status_id":1,"priority_id":2,"assigned_to_id":23,"start_date":"2017-03-27","description":"","custom_fields":[{"id":1,"name":"Subdivision","value":"EC"},{"id":4,"name":"Milepost","value":"16.8014"},{"id":17,"name":"Train ID","value":"116-27"},{"id":16,"name":"Locomotive ID","value":"4054"},{"id":130,"name":"Impact","value":""},{"id":150,"name":"Time of Event (Mountain Time)","value":"06:36:56"},{"id":151,"name":"Denver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"%USERPROFILE%\AppData\Local\Temp\OnboardLogs"\RTDC4054\*4054*201703271*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"%USERPROFILE%\AppData\Local\Temp\OnboardLogs"\RTDC4054\*4054*201703271* &gt;&gt; 2017-03-27-SliceDisagreementCheck.txt</v>
      </c>
      <c r="AE24" s="153" t="str">
        <f t="shared" si="9"/>
        <v>start /low /b %USERPROFILE%\Documents\GitHub\eaglep3\Utilities\DownloadLogsFromS3.py --loco 4054 --day 2017-03-27</v>
      </c>
      <c r="AF24" s="1"/>
    </row>
    <row r="25" spans="1:32" x14ac:dyDescent="0.25">
      <c r="A25" s="32">
        <v>42821.469166666669</v>
      </c>
      <c r="B25" s="30" t="s">
        <v>505</v>
      </c>
      <c r="C25" s="30" t="s">
        <v>612</v>
      </c>
      <c r="D25" s="30" t="s">
        <v>98</v>
      </c>
      <c r="E25" s="30" t="s">
        <v>355</v>
      </c>
      <c r="F25" s="43">
        <v>0</v>
      </c>
      <c r="G25" s="43">
        <v>626</v>
      </c>
      <c r="H25" s="43">
        <v>190812</v>
      </c>
      <c r="I25" s="43">
        <v>193924</v>
      </c>
      <c r="J25" s="30" t="s">
        <v>356</v>
      </c>
      <c r="K25" s="43">
        <v>190738</v>
      </c>
      <c r="L25" s="139" t="s">
        <v>50</v>
      </c>
      <c r="M25" s="140">
        <f t="shared" si="0"/>
        <v>-1682.2080000000001</v>
      </c>
      <c r="N25" s="141" t="str">
        <f>VLOOKUP(C25,'Trips&amp;Operators'!$C$1:$G$99999,5,FALSE)</f>
        <v>ACKERMAN JARED</v>
      </c>
      <c r="O25" s="190" t="s">
        <v>357</v>
      </c>
      <c r="P25" s="142" t="s">
        <v>1023</v>
      </c>
      <c r="Q25" s="30"/>
      <c r="R25" s="89" t="str">
        <f>IF(VLOOKUP(C25,'Train Runs'!$A$13:$AE$9942,1,1)=C25,VLOOKUP(C25,'Train Runs'!$A$13:$AE$9942,31,1),NA())</f>
        <v>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 &amp; aws s3 cp s3://rtdc.mdm.uploadarchive.raw/RTDC4053/ "%USERPROFILE%\AppData\Local\Temp\OnboardLogs"\RTDC4053\2017-03-28 --exclude "*" --recursive --include "*20170328*" &amp; "%USERPROFILE%\Documents\GitHub\mrs-test-scripts\Headless Mode &amp; Sideloading\WalkAndUnGZ.bat" "%USERPROFILE%\AppData\Local\Temp\OnboardLogs"\RTDC4053\2017-03-28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-27T09:37:21-0600',mode:absolute,to:'2017-03-27T12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94" t="str">
        <f t="shared" si="1"/>
        <v>"C:\Program Files (x86)\AstroGrep\AstroGrep.exe" /e /r /s /spath="%USERPROFILE%\AppData\Local\Temp\OnboardLogs" /stypes="*4053*201703271*" /stext=" 17:.+((SYSTEM_STATE.+slice.+state.+changed )|(ment ac)|(multiple cpu faults)|(system.+state.+changed )|(\[timeout)|(PRM\|1\|D)|(kpr)|(kdp)|(\|lc)|(penalty))"</v>
      </c>
      <c r="U25" s="9" t="str">
        <f t="shared" si="2"/>
        <v>4053</v>
      </c>
      <c r="V25" s="32">
        <f t="shared" si="3"/>
        <v>42821.719166666669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{"issue":{"subject":"Premature downgrade at Pena 2N","project_id":79,"tracker_id":40,"status_id":1,"priority_id":2,"assigned_to_id":23,"start_date":"2017-03-27","description":"At 11:15:09, Pena 2N dropped from PROCEED CAB to STOP while the train was approaching. Do logs tell of anything unusual at this time?","custom_fields":[{"id":1,"name":"Subdivision","value":"EC"},{"id":4,"name":"Milepost","value":"19.0738"},{"id":17,"name":"Train ID","value":"157-27"},{"id":16,"name":"Locomotive ID","value":"4053"},{"id":130,"name":"Impact","value":"Enforcement"},{"id":150,"name":"Time of Event (Mountain Time)","value":"11:15:36"},{"id":151,"name":"Denver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218" t="s">
        <v>1024</v>
      </c>
      <c r="AA25" s="48" t="s">
        <v>124</v>
      </c>
      <c r="AB25" s="48" t="s">
        <v>129</v>
      </c>
      <c r="AC25" s="123" t="str">
        <f t="shared" si="7"/>
        <v>grep -hSE -A400 "Enforcement Action" "%USERPROFILE%\AppData\Local\Temp\OnboardLogs"\RTDC4053\*4053*201703271*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"%USERPROFILE%\AppData\Local\Temp\OnboardLogs"\RTDC4053\*4053*201703271* &gt;&gt; 2017-03-27-SliceDisagreementCheck.txt</v>
      </c>
      <c r="AE25" s="153" t="str">
        <f t="shared" si="9"/>
        <v>start /low /b %USERPROFILE%\Documents\GitHub\eaglep3\Utilities\DownloadLogsFromS3.py --loco 4053 --day 2017-03-27</v>
      </c>
      <c r="AF25" s="1"/>
    </row>
    <row r="26" spans="1:32" x14ac:dyDescent="0.25">
      <c r="A26" s="32">
        <v>42821.357222222221</v>
      </c>
      <c r="B26" s="30" t="s">
        <v>484</v>
      </c>
      <c r="C26" s="30" t="s">
        <v>602</v>
      </c>
      <c r="D26" s="30" t="s">
        <v>49</v>
      </c>
      <c r="E26" s="30" t="s">
        <v>186</v>
      </c>
      <c r="F26" s="43">
        <v>0</v>
      </c>
      <c r="G26" s="43">
        <v>38</v>
      </c>
      <c r="H26" s="43">
        <v>143</v>
      </c>
      <c r="I26" s="43">
        <v>127</v>
      </c>
      <c r="J26" s="30" t="s">
        <v>187</v>
      </c>
      <c r="K26" s="43">
        <v>1</v>
      </c>
      <c r="L26" s="139" t="s">
        <v>51</v>
      </c>
      <c r="M26" s="140">
        <f t="shared" si="0"/>
        <v>66.528000000000006</v>
      </c>
      <c r="N26" s="141" t="str">
        <f>VLOOKUP(C26,'Trips&amp;Operators'!$C$1:$G$99999,5,FALSE)</f>
        <v>SANTIZO D. EDY</v>
      </c>
      <c r="O26" s="190" t="s">
        <v>185</v>
      </c>
      <c r="P26" s="142"/>
      <c r="Q26" s="30"/>
      <c r="R26" s="89" t="str">
        <f>IF(VLOOKUP(C26,'Train Runs'!$A$13:$AE$9942,1,1)=C26,VLOOKUP(C26,'Train Runs'!$A$13:$AE$9942,31,1),NA())</f>
        <v>aws s3 cp s3://rtdc.mdm.uploadarchive.raw/RTDC4039/ "%USERPROFILE%\AppData\Local\Temp\OnboardLogs"\RTDC4039\2017-03-27 --exclude "*" --recursive --include "*20170327*" &amp; "%USERPROFILE%\Documents\GitHub\mrs-test-scripts\Headless Mode &amp; Sideloading\WalkAndUnGZ.bat" "%USERPROFILE%\AppData\Local\Temp\OnboardLogs"\RTDC4039\2017-03-27 &amp; 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-27T06:37:33-0600',mode:absolute,to:'2017-03-27T09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94" t="str">
        <f t="shared" si="1"/>
        <v>"C:\Program Files (x86)\AstroGrep\AstroGrep.exe" /e /r /s /spath="%USERPROFILE%\AppData\Local\Temp\OnboardLogs" /stypes="*4039*201703271*" /stext=" 14:.+((SYSTEM_STATE.+slice.+state.+changed )|(ment ac)|(multiple cpu faults)|(system.+state.+changed )|(\[timeout)|(PRM\|1\|D)|(kpr)|(kdp)|(\|lc)|(penalty))"</v>
      </c>
      <c r="U26" s="9" t="str">
        <f t="shared" si="2"/>
        <v>4039</v>
      </c>
      <c r="V26" s="32">
        <f t="shared" si="3"/>
        <v>42821.607222222221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{"issue":{"subject":"","project_id":79,"tracker_id":40,"status_id":1,"priority_id":2,"assigned_to_id":23,"start_date":"2017-03-27","description":"","custom_fields":[{"id":1,"name":"Subdivision","value":"EC"},{"id":4,"name":"Milepost","value":"0.0001"},{"id":17,"name":"Train ID","value":"128-27"},{"id":16,"name":"Locomotive ID","value":"4039"},{"id":130,"name":"Impact","value":""},{"id":150,"name":"Time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"%USERPROFILE%\AppData\Local\Temp\OnboardLogs"\RTDC4039\*4039*201703271*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"%USERPROFILE%\AppData\Local\Temp\OnboardLogs"\RTDC4039\*4039*201703271* &gt;&gt; 2017-03-27-SliceDisagreementCheck.txt</v>
      </c>
      <c r="AE26" s="153" t="str">
        <f t="shared" si="9"/>
        <v>start /low /b %USERPROFILE%\Documents\GitHub\eaglep3\Utilities\DownloadLogsFromS3.py --loco 4039 --day 2017-03-27</v>
      </c>
      <c r="AF26" s="1"/>
    </row>
    <row r="27" spans="1:32" x14ac:dyDescent="0.25">
      <c r="A27" s="32">
        <v>42821.378784722219</v>
      </c>
      <c r="B27" s="30" t="s">
        <v>400</v>
      </c>
      <c r="C27" s="30" t="s">
        <v>605</v>
      </c>
      <c r="D27" s="30" t="s">
        <v>49</v>
      </c>
      <c r="E27" s="30" t="s">
        <v>186</v>
      </c>
      <c r="F27" s="43">
        <v>0</v>
      </c>
      <c r="G27" s="43">
        <v>38</v>
      </c>
      <c r="H27" s="43">
        <v>139</v>
      </c>
      <c r="I27" s="43">
        <v>125</v>
      </c>
      <c r="J27" s="30" t="s">
        <v>187</v>
      </c>
      <c r="K27" s="43">
        <v>1</v>
      </c>
      <c r="L27" s="139" t="s">
        <v>51</v>
      </c>
      <c r="M27" s="140">
        <f t="shared" si="0"/>
        <v>65.471999999999994</v>
      </c>
      <c r="N27" s="141" t="str">
        <f>VLOOKUP(C27,'Trips&amp;Operators'!$C$1:$G$99999,5,FALSE)</f>
        <v>MAELZER KURT</v>
      </c>
      <c r="O27" s="190" t="s">
        <v>185</v>
      </c>
      <c r="P27" s="142"/>
      <c r="Q27" s="30"/>
      <c r="R27" s="89" t="str">
        <f>IF(VLOOKUP(C27,'Train Runs'!$A$13:$AE$9942,1,1)=C27,VLOOKUP(C27,'Train Runs'!$A$13:$AE$9942,31,1),NA())</f>
        <v>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 &amp; aws s3 cp s3://rtdc.mdm.uploadarchive.raw/RTDC4015/ "%USERPROFILE%\AppData\Local\Temp\OnboardLogs"\RTDC4015\2017-03-28 --exclude "*" --recursive --include "*20170328*" &amp; "%USERPROFILE%\Documents\GitHub\mrs-test-scripts\Headless Mode &amp; Sideloading\WalkAndUnGZ.bat" "%USERPROFILE%\AppData\Local\Temp\OnboardLogs"\RTDC4015\2017-03-28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-27T07:14:22-0600',mode:absolute,to:'2017-03-27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 t="shared" si="1"/>
        <v>"C:\Program Files (x86)\AstroGrep\AstroGrep.exe" /e /r /s /spath="%USERPROFILE%\AppData\Local\Temp\OnboardLogs" /stypes="*4015*201703271*" /stext=" 15:.+((SYSTEM_STATE.+slice.+state.+changed )|(ment ac)|(multiple cpu faults)|(system.+state.+changed )|(\[timeout)|(PRM\|1\|D)|(kpr)|(kdp)|(\|lc)|(penalty))"</v>
      </c>
      <c r="U27" s="9" t="str">
        <f t="shared" si="2"/>
        <v>4015</v>
      </c>
      <c r="V27" s="32">
        <f t="shared" si="3"/>
        <v>42821.628784722219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{"issue":{"subject":"","project_id":79,"tracker_id":40,"status_id":1,"priority_id":2,"assigned_to_id":23,"start_date":"2017-03-27","description":"","custom_fields":[{"id":1,"name":"Subdivision","value":"EC"},{"id":4,"name":"Milepost","value":"0.0001"},{"id":17,"name":"Train ID","value":"132-27"},{"id":16,"name":"Locomotive ID","value":"4015"},{"id":130,"name":"Impact","value":""},{"id":150,"name":"Time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"%USERPROFILE%\AppData\Local\Temp\OnboardLogs"\RTDC4015\*4015*201703271*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"%USERPROFILE%\AppData\Local\Temp\OnboardLogs"\RTDC4015\*4015*201703271* &gt;&gt; 2017-03-27-SliceDisagreementCheck.txt</v>
      </c>
      <c r="AE27" s="153" t="str">
        <f t="shared" si="9"/>
        <v>start /low /b %USERPROFILE%\Documents\GitHub\eaglep3\Utilities\DownloadLogsFromS3.py --loco 4015 --day 2017-03-27</v>
      </c>
      <c r="AF27" s="1"/>
    </row>
    <row r="28" spans="1:32" x14ac:dyDescent="0.25">
      <c r="A28" s="32">
        <v>42821.638842592591</v>
      </c>
      <c r="B28" s="30" t="s">
        <v>525</v>
      </c>
      <c r="C28" s="30" t="s">
        <v>617</v>
      </c>
      <c r="D28" s="30" t="s">
        <v>49</v>
      </c>
      <c r="E28" s="30" t="s">
        <v>186</v>
      </c>
      <c r="F28" s="43">
        <v>0</v>
      </c>
      <c r="G28" s="43">
        <v>57</v>
      </c>
      <c r="H28" s="43">
        <v>191</v>
      </c>
      <c r="I28" s="43">
        <v>123</v>
      </c>
      <c r="J28" s="30" t="s">
        <v>187</v>
      </c>
      <c r="K28" s="43">
        <v>1</v>
      </c>
      <c r="L28" s="139" t="s">
        <v>51</v>
      </c>
      <c r="M28" s="140">
        <f t="shared" si="0"/>
        <v>64.415999999999997</v>
      </c>
      <c r="N28" s="141" t="str">
        <f>VLOOKUP(C28,'Trips&amp;Operators'!$C$1:$G$99999,5,FALSE)</f>
        <v>LOCKLEAR TRAVIS</v>
      </c>
      <c r="O28" s="190" t="s">
        <v>185</v>
      </c>
      <c r="P28" s="142"/>
      <c r="Q28" s="30"/>
      <c r="R28" s="89" t="str">
        <f>IF(VLOOKUP(C28,'Train Runs'!$A$13:$AE$9942,1,1)=C28,VLOOKUP(C28,'Train Runs'!$A$13:$AE$9942,31,1),NA())</f>
        <v>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 &amp; aws s3 cp s3://rtdc.mdm.uploadarchive.raw/RTDC4052/ "%USERPROFILE%\AppData\Local\Temp\OnboardLogs"\RTDC4052\2017-03-28 --exclude "*" --recursive --include "*20170328*" &amp; "%USERPROFILE%\Documents\GitHub\mrs-test-scripts\Headless Mode &amp; Sideloading\WalkAndUnGZ.bat" "%USERPROFILE%\AppData\Local\Temp\OnboardLogs"\RTDC4052\2017-03-28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-27T13:38:45-0600',mode:absolute,to:'2017-03-27T16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94" t="str">
        <f t="shared" si="1"/>
        <v>"C:\Program Files (x86)\AstroGrep\AstroGrep.exe" /e /r /s /spath="%USERPROFILE%\AppData\Local\Temp\OnboardLogs" /stypes="*4052*201703272*" /stext=" 21:.+((SYSTEM_STATE.+slice.+state.+changed )|(ment ac)|(multiple cpu faults)|(system.+state.+changed )|(\[timeout)|(PRM\|1\|D)|(kpr)|(kdp)|(\|lc)|(penalty))"</v>
      </c>
      <c r="U28" s="9" t="str">
        <f t="shared" si="2"/>
        <v>4052</v>
      </c>
      <c r="V28" s="32">
        <f t="shared" si="3"/>
        <v>42821.888842592591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{"issue":{"subject":"","project_id":79,"tracker_id":40,"status_id":1,"priority_id":2,"assigned_to_id":23,"start_date":"2017-03-27","description":"","custom_fields":[{"id":1,"name":"Subdivision","value":"EC"},{"id":4,"name":"Milepost","value":"0.0001"},{"id":17,"name":"Train ID","value":"182-27"},{"id":16,"name":"Locomotive ID","value":"4052"},{"id":130,"name":"Impact","value":""},{"id":150,"name":"Time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"%USERPROFILE%\AppData\Local\Temp\OnboardLogs"\RTDC4052\*4052*201703272*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"%USERPROFILE%\AppData\Local\Temp\OnboardLogs"\RTDC4052\*4052*201703272* &gt;&gt; 2017-03-27-SliceDisagreementCheck.txt</v>
      </c>
      <c r="AE28" s="153" t="str">
        <f t="shared" si="9"/>
        <v>start /low /b %USERPROFILE%\Documents\GitHub\eaglep3\Utilities\DownloadLogsFromS3.py --loco 4052 --day 2017-03-27</v>
      </c>
      <c r="AF28" s="1"/>
    </row>
    <row r="29" spans="1:32" x14ac:dyDescent="0.25">
      <c r="A29" s="32">
        <v>42821.661620370367</v>
      </c>
      <c r="B29" s="30" t="s">
        <v>486</v>
      </c>
      <c r="C29" s="30" t="s">
        <v>619</v>
      </c>
      <c r="D29" s="30" t="s">
        <v>49</v>
      </c>
      <c r="E29" s="30" t="s">
        <v>186</v>
      </c>
      <c r="F29" s="43">
        <v>0</v>
      </c>
      <c r="G29" s="43">
        <v>50</v>
      </c>
      <c r="H29" s="43">
        <v>150</v>
      </c>
      <c r="I29" s="43">
        <v>114</v>
      </c>
      <c r="J29" s="30" t="s">
        <v>187</v>
      </c>
      <c r="K29" s="43">
        <v>1</v>
      </c>
      <c r="L29" s="139" t="s">
        <v>51</v>
      </c>
      <c r="M29" s="140">
        <f t="shared" si="0"/>
        <v>59.664000000000001</v>
      </c>
      <c r="N29" s="141" t="str">
        <f>VLOOKUP(C29,'Trips&amp;Operators'!$C$1:$G$99999,5,FALSE)</f>
        <v>BRANDNER MELINDA</v>
      </c>
      <c r="O29" s="190" t="s">
        <v>185</v>
      </c>
      <c r="P29" s="142"/>
      <c r="Q29" s="30"/>
      <c r="R29" s="89" t="str">
        <f>IF(VLOOKUP(C29,'Train Runs'!$A$13:$AE$9942,1,1)=C29,VLOOKUP(C29,'Train Runs'!$A$13:$AE$9942,31,1),NA())</f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-27T14:02:21-0600',mode:absolute,to:'2017-03-27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9" s="94" t="str">
        <f t="shared" si="1"/>
        <v>"C:\Program Files (x86)\AstroGrep\AstroGrep.exe" /e /r /s /spath="%USERPROFILE%\AppData\Local\Temp\OnboardLogs" /stypes="*4054*201703272*" /stext=" 21:.+((SYSTEM_STATE.+slice.+state.+changed )|(ment ac)|(multiple cpu faults)|(system.+state.+changed )|(\[timeout)|(PRM\|1\|D)|(kpr)|(kdp)|(\|lc)|(penalty))"</v>
      </c>
      <c r="U29" s="9" t="str">
        <f t="shared" si="2"/>
        <v>4054</v>
      </c>
      <c r="V29" s="32">
        <f t="shared" si="3"/>
        <v>42821.911620370367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{"issue":{"subject":"","project_id":79,"tracker_id":40,"status_id":1,"priority_id":2,"assigned_to_id":23,"start_date":"2017-03-27","description":"","custom_fields":[{"id":1,"name":"Subdivision","value":"EC"},{"id":4,"name":"Milepost","value":"0.0001"},{"id":17,"name":"Train ID","value":"186-27"},{"id":16,"name":"Locomotive ID","value":"4054"},{"id":130,"name":"Impact","value":""},{"id":150,"name":"Time of Event (Mountain Time)","value":"15:52:44"},{"id":151,"name":"Denver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"%USERPROFILE%\AppData\Local\Temp\OnboardLogs"\RTDC4054\*4054*201703272*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"%USERPROFILE%\AppData\Local\Temp\OnboardLogs"\RTDC4054\*4054*201703272* &gt;&gt; 2017-03-27-SliceDisagreementCheck.txt</v>
      </c>
      <c r="AE29" s="153" t="str">
        <f t="shared" si="9"/>
        <v>start /low /b %USERPROFILE%\Documents\GitHub\eaglep3\Utilities\DownloadLogsFromS3.py --loco 4054 --day 2017-03-27</v>
      </c>
      <c r="AF29" s="1"/>
    </row>
    <row r="30" spans="1:32" x14ac:dyDescent="0.25">
      <c r="A30" s="32">
        <v>42821.702581018515</v>
      </c>
      <c r="B30" s="30" t="s">
        <v>446</v>
      </c>
      <c r="C30" s="30" t="s">
        <v>622</v>
      </c>
      <c r="D30" s="30" t="s">
        <v>49</v>
      </c>
      <c r="E30" s="30" t="s">
        <v>186</v>
      </c>
      <c r="F30" s="43">
        <v>0</v>
      </c>
      <c r="G30" s="43">
        <v>47</v>
      </c>
      <c r="H30" s="43">
        <v>154</v>
      </c>
      <c r="I30" s="43">
        <v>129</v>
      </c>
      <c r="J30" s="30" t="s">
        <v>187</v>
      </c>
      <c r="K30" s="43">
        <v>1</v>
      </c>
      <c r="L30" s="139" t="s">
        <v>51</v>
      </c>
      <c r="M30" s="140">
        <f t="shared" si="0"/>
        <v>67.584000000000003</v>
      </c>
      <c r="N30" s="141" t="str">
        <f>VLOOKUP(C30,'Trips&amp;Operators'!$C$1:$G$99999,5,FALSE)</f>
        <v>WILLIAMS DONTE</v>
      </c>
      <c r="O30" s="190" t="s">
        <v>185</v>
      </c>
      <c r="P30" s="142"/>
      <c r="Q30" s="30"/>
      <c r="R30" s="89" t="str">
        <f>IF(VLOOKUP(C30,'Train Runs'!$A$13:$AE$9942,1,1)=C30,VLOOKUP(C30,'Train Runs'!$A$13:$AE$9942,31,1),NA())</f>
        <v>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 &amp; 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-27T15:02:17-0600',mode:absolute,to:'2017-03-27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94" t="str">
        <f t="shared" si="1"/>
        <v>"C:\Program Files (x86)\AstroGrep\AstroGrep.exe" /e /r /s /spath="%USERPROFILE%\AppData\Local\Temp\OnboardLogs" /stypes="*4026*201703272*" /stext=" 22:.+((SYSTEM_STATE.+slice.+state.+changed )|(ment ac)|(multiple cpu faults)|(system.+state.+changed )|(\[timeout)|(PRM\|1\|D)|(kpr)|(kdp)|(\|lc)|(penalty))"</v>
      </c>
      <c r="U30" s="9" t="str">
        <f t="shared" si="2"/>
        <v>4026</v>
      </c>
      <c r="V30" s="32">
        <f t="shared" si="3"/>
        <v>42821.952581018515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{"issue":{"subject":"","project_id":79,"tracker_id":40,"status_id":1,"priority_id":2,"assigned_to_id":23,"start_date":"2017-03-27","description":"","custom_fields":[{"id":1,"name":"Subdivision","value":"EC"},{"id":4,"name":"Milepost","value":"0.0001"},{"id":17,"name":"Train ID","value":"194-27"},{"id":16,"name":"Locomotive ID","value":"4026"},{"id":130,"name":"Impact","value":""},{"id":150,"name":"Time of Event (Mountain Time)","value":"16:51:43"},{"id":151,"name":"Denver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"%USERPROFILE%\AppData\Local\Temp\OnboardLogs"\RTDC4026\*4026*201703272*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"%USERPROFILE%\AppData\Local\Temp\OnboardLogs"\RTDC4026\*4026*201703272* &gt;&gt; 2017-03-27-SliceDisagreementCheck.txt</v>
      </c>
      <c r="AE30" s="153" t="str">
        <f t="shared" si="9"/>
        <v>start /low /b %USERPROFILE%\Documents\GitHub\eaglep3\Utilities\DownloadLogsFromS3.py --loco 4026 --day 2017-03-27</v>
      </c>
      <c r="AF30" s="1"/>
    </row>
    <row r="31" spans="1:32" x14ac:dyDescent="0.25">
      <c r="A31" s="32">
        <v>42822.007314814815</v>
      </c>
      <c r="B31" s="30" t="s">
        <v>486</v>
      </c>
      <c r="C31" s="30" t="s">
        <v>627</v>
      </c>
      <c r="D31" s="30" t="s">
        <v>49</v>
      </c>
      <c r="E31" s="30" t="s">
        <v>186</v>
      </c>
      <c r="F31" s="43">
        <v>0</v>
      </c>
      <c r="G31" s="43">
        <v>45</v>
      </c>
      <c r="H31" s="43">
        <v>138</v>
      </c>
      <c r="I31" s="43">
        <v>88</v>
      </c>
      <c r="J31" s="30" t="s">
        <v>187</v>
      </c>
      <c r="K31" s="43">
        <v>1</v>
      </c>
      <c r="L31" s="139" t="s">
        <v>51</v>
      </c>
      <c r="M31" s="140">
        <f t="shared" si="0"/>
        <v>45.936</v>
      </c>
      <c r="N31" s="141" t="str">
        <f>VLOOKUP(C31,'Trips&amp;Operators'!$C$1:$G$99999,5,FALSE)</f>
        <v>STORY SAMANTHA</v>
      </c>
      <c r="O31" s="190" t="s">
        <v>185</v>
      </c>
      <c r="P31" s="142"/>
      <c r="Q31" s="30"/>
      <c r="R31" s="89" t="str">
        <f>IF(VLOOKUP(C31,'Train Runs'!$A$13:$AE$9942,1,1)=C31,VLOOKUP(C31,'Train Runs'!$A$13:$AE$9942,31,1),NA())</f>
        <v>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 &amp; aws s3 cp s3://rtdc.mdm.uploadarchive.raw/RTDC4054/ "%USERPROFILE%\AppData\Local\Temp\OnboardLogs"\RTDC4054\2017-03-28 --exclude "*" --recursive --include "*20170328*" &amp; "%USERPROFILE%\Documents\GitHub\mrs-test-scripts\Headless Mode &amp; Sideloading\WalkAndUnGZ.bat" "%USERPROFILE%\AppData\Local\Temp\OnboardLogs"\RTDC4054\2017-03-28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-27T22:26:56-0600',mode:absolute,to:'2017-03-28T01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1" s="94" t="str">
        <f t="shared" si="1"/>
        <v>"C:\Program Files (x86)\AstroGrep\AstroGrep.exe" /e /r /s /spath="%USERPROFILE%\AppData\Local\Temp\OnboardLogs" /stypes="*4054*201703280*" /stext=" 06:.+((SYSTEM_STATE.+slice.+state.+changed )|(ment ac)|(multiple cpu faults)|(system.+state.+changed )|(\[timeout)|(PRM\|1\|D)|(kpr)|(kdp)|(\|lc)|(penalty))"</v>
      </c>
      <c r="U31" s="9" t="str">
        <f t="shared" si="2"/>
        <v>4054</v>
      </c>
      <c r="V31" s="32">
        <f t="shared" si="3"/>
        <v>42822.257314814815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ID","value":"236-27"},{"id":16,"name":"Locomotive ID","value":"4054"},{"id":130,"name":"Impact","value":""},{"id":150,"name":"Time of Event (Mountain Time)","value":"00:10:32"},{"id":151,"name":"Denver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"%USERPROFILE%\AppData\Local\Temp\OnboardLogs"\RTDC4054\*4054*201703280*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"%USERPROFILE%\AppData\Local\Temp\OnboardLogs"\RTDC4054\*4054*201703280* &gt;&gt; 2017-03-27-SliceDisagreementCheck.txt</v>
      </c>
      <c r="AE31" s="153" t="str">
        <f t="shared" si="9"/>
        <v>start /low /b %USERPROFILE%\Documents\GitHub\eaglep3\Utilities\DownloadLogsFromS3.py --loco 4054 --day 2017-03-28</v>
      </c>
      <c r="AF31" s="1"/>
    </row>
    <row r="32" spans="1:32" x14ac:dyDescent="0.25">
      <c r="A32" s="32">
        <v>42821.370138888888</v>
      </c>
      <c r="B32" s="30" t="s">
        <v>449</v>
      </c>
      <c r="C32" s="30" t="s">
        <v>603</v>
      </c>
      <c r="D32" s="30" t="s">
        <v>49</v>
      </c>
      <c r="E32" s="30" t="s">
        <v>186</v>
      </c>
      <c r="F32" s="43">
        <v>0</v>
      </c>
      <c r="G32" s="43">
        <v>75</v>
      </c>
      <c r="H32" s="43">
        <v>233199</v>
      </c>
      <c r="I32" s="43">
        <v>233280</v>
      </c>
      <c r="J32" s="30" t="s">
        <v>187</v>
      </c>
      <c r="K32" s="43">
        <v>233491</v>
      </c>
      <c r="L32" s="139" t="s">
        <v>50</v>
      </c>
      <c r="M32" s="140">
        <f t="shared" si="0"/>
        <v>111.408</v>
      </c>
      <c r="N32" s="141" t="str">
        <f>VLOOKUP(C32,'Trips&amp;Operators'!$C$1:$G$99999,5,FALSE)</f>
        <v>MAYBERRY BILL</v>
      </c>
      <c r="O32" s="190" t="s">
        <v>185</v>
      </c>
      <c r="P32" s="142"/>
      <c r="Q32" s="30"/>
      <c r="R32" s="89" t="str">
        <f>IF(VLOOKUP(C32,'Train Runs'!$A$13:$AE$9942,1,1)=C32,VLOOKUP(C32,'Train Runs'!$A$13:$AE$9942,31,1),NA())</f>
        <v>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 &amp; 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-27T07:09:33-0600',mode:absolute,to:'2017-03-27T09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94" t="str">
        <f t="shared" si="1"/>
        <v>"C:\Program Files (x86)\AstroGrep\AstroGrep.exe" /e /r /s /spath="%USERPROFILE%\AppData\Local\Temp\OnboardLogs" /stypes="*4025*201703271*" /stext=" 14:.+((SYSTEM_STATE.+slice.+state.+changed )|(ment ac)|(multiple cpu faults)|(system.+state.+changed )|(\[timeout)|(PRM\|1\|D)|(kpr)|(kdp)|(\|lc)|(penalty))"</v>
      </c>
      <c r="U32" s="9" t="str">
        <f t="shared" si="2"/>
        <v>4025</v>
      </c>
      <c r="V32" s="32">
        <f t="shared" si="3"/>
        <v>42821.620138888888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{"issue":{"subject":"","project_id":79,"tracker_id":40,"status_id":1,"priority_id":2,"assigned_to_id":23,"start_date":"2017-03-27","description":"","custom_fields":[{"id":1,"name":"Subdivision","value":"EC"},{"id":4,"name":"Milepost","value":"23.3491"},{"id":17,"name":"Train ID","value":"137-27"},{"id":16,"name":"Locomotive ID","value":"4025"},{"id":130,"name":"Impact","value":""},{"id":150,"name":"Time of Event (Mountain Time)","value":"08:53:00"},{"id":151,"name":"Denver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"%USERPROFILE%\AppData\Local\Temp\OnboardLogs"\RTDC4025\*4025*201703271*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"%USERPROFILE%\AppData\Local\Temp\OnboardLogs"\RTDC4025\*4025*201703271* &gt;&gt; 2017-03-27-SliceDisagreementCheck.txt</v>
      </c>
      <c r="AE32" s="153" t="str">
        <f t="shared" si="9"/>
        <v>start /low /b %USERPROFILE%\Documents\GitHub\eaglep3\Utilities\DownloadLogsFromS3.py --loco 4025 --day 2017-03-27</v>
      </c>
      <c r="AF32" s="1"/>
    </row>
    <row r="33" spans="1:32" x14ac:dyDescent="0.25">
      <c r="A33" s="32">
        <v>42821.599907407406</v>
      </c>
      <c r="B33" s="30" t="s">
        <v>526</v>
      </c>
      <c r="C33" s="30" t="s">
        <v>616</v>
      </c>
      <c r="D33" s="30" t="s">
        <v>49</v>
      </c>
      <c r="E33" s="30" t="s">
        <v>186</v>
      </c>
      <c r="F33" s="43">
        <v>0</v>
      </c>
      <c r="G33" s="43">
        <v>45</v>
      </c>
      <c r="H33" s="43">
        <v>233355</v>
      </c>
      <c r="I33" s="43">
        <v>233391</v>
      </c>
      <c r="J33" s="30" t="s">
        <v>187</v>
      </c>
      <c r="K33" s="43">
        <v>233491</v>
      </c>
      <c r="L33" s="139" t="s">
        <v>50</v>
      </c>
      <c r="M33" s="140">
        <f t="shared" si="0"/>
        <v>52.8</v>
      </c>
      <c r="N33" s="141" t="str">
        <f>VLOOKUP(C33,'Trips&amp;Operators'!$C$1:$G$99999,5,FALSE)</f>
        <v>LOCKLEAR TRAVIS</v>
      </c>
      <c r="O33" s="190" t="s">
        <v>185</v>
      </c>
      <c r="P33" s="142"/>
      <c r="Q33" s="30"/>
      <c r="R33" s="89" t="str">
        <f>IF(VLOOKUP(C33,'Train Runs'!$A$13:$AE$9942,1,1)=C33,VLOOKUP(C33,'Train Runs'!$A$13:$AE$9942,31,1),NA())</f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-27T12:40:09-0600',mode:absolute,to:'2017-03-27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/e /r /s /spath="%USERPROFILE%\AppData\Local\Temp\OnboardLogs" /stypes="*4051*201703272*" /stext=" 20:.+((SYSTEM_STATE.+slice.+state.+changed )|(ment ac)|(multiple cpu faults)|(system.+state.+changed )|(\[timeout)|(PRM\|1\|D)|(kpr)|(kdp)|(\|lc)|(penalty))"</v>
      </c>
      <c r="U33" s="9" t="str">
        <f t="shared" si="2"/>
        <v>4051</v>
      </c>
      <c r="V33" s="32">
        <f t="shared" si="3"/>
        <v>42821.849907407406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{"issue":{"subject":"","project_id":79,"tracker_id":40,"status_id":1,"priority_id":2,"assigned_to_id":23,"start_date":"2017-03-27","description":"","custom_fields":[{"id":1,"name":"Subdivision","value":"EC"},{"id":4,"name":"Milepost","value":"23.3491"},{"id":17,"name":"Train ID","value":"181-27"},{"id":16,"name":"Locomotive ID","value":"4051"},{"id":130,"name":"Impact","value":""},{"id":150,"name":"Time of Event (Mountain Time)","value":"14:23:52"},{"id":151,"name":"Denver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"%USERPROFILE%\AppData\Local\Temp\OnboardLogs"\RTDC4051\*4051*201703272*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"%USERPROFILE%\AppData\Local\Temp\OnboardLogs"\RTDC4051\*4051*201703272* &gt;&gt; 2017-03-27-SliceDisagreementCheck.txt</v>
      </c>
      <c r="AE33" s="153" t="str">
        <f t="shared" si="9"/>
        <v>start /low /b %USERPROFILE%\Documents\GitHub\eaglep3\Utilities\DownloadLogsFromS3.py --loco 4051 --day 2017-03-27</v>
      </c>
      <c r="AF33" s="1"/>
    </row>
    <row r="34" spans="1:32" x14ac:dyDescent="0.25">
      <c r="A34" s="32">
        <v>42821.671122685184</v>
      </c>
      <c r="B34" s="30" t="s">
        <v>526</v>
      </c>
      <c r="C34" s="30" t="s">
        <v>621</v>
      </c>
      <c r="D34" s="30" t="s">
        <v>49</v>
      </c>
      <c r="E34" s="30" t="s">
        <v>186</v>
      </c>
      <c r="F34" s="43">
        <v>0</v>
      </c>
      <c r="G34" s="43">
        <v>27</v>
      </c>
      <c r="H34" s="43">
        <v>233438</v>
      </c>
      <c r="I34" s="43">
        <v>233470</v>
      </c>
      <c r="J34" s="30" t="s">
        <v>187</v>
      </c>
      <c r="K34" s="43">
        <v>233491</v>
      </c>
      <c r="L34" s="139" t="s">
        <v>50</v>
      </c>
      <c r="M34" s="140">
        <f t="shared" si="0"/>
        <v>11.087999999999999</v>
      </c>
      <c r="N34" s="141" t="str">
        <f>VLOOKUP(C34,'Trips&amp;Operators'!$C$1:$G$99999,5,FALSE)</f>
        <v>LOCKLEAR TRAVIS</v>
      </c>
      <c r="O34" s="190" t="s">
        <v>185</v>
      </c>
      <c r="P34" s="142"/>
      <c r="Q34" s="30"/>
      <c r="R34" s="89" t="str">
        <f>IF(VLOOKUP(C34,'Train Runs'!$A$13:$AE$9942,1,1)=C34,VLOOKUP(C34,'Train Runs'!$A$13:$AE$9942,31,1),NA())</f>
        <v>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 &amp; aws s3 cp s3://rtdc.mdm.uploadarchive.raw/RTDC4051/ "%USERPROFILE%\AppData\Local\Temp\OnboardLogs"\RTDC4051\2017-03-28 --exclude "*" --recursive --include "*20170328*" &amp; "%USERPROFILE%\Documents\GitHub\mrs-test-scripts\Headless Mode &amp; Sideloading\WalkAndUnGZ.bat" "%USERPROFILE%\AppData\Local\Temp\OnboardLogs"\RTDC4051\2017-03-28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-27T14:25:24-0600',mode:absolute,to:'2017-03-27T17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4" s="94" t="str">
        <f t="shared" si="1"/>
        <v>"C:\Program Files (x86)\AstroGrep\AstroGrep.exe" /e /r /s /spath="%USERPROFILE%\AppData\Local\Temp\OnboardLogs" /stypes="*4051*201703272*" /stext=" 22:.+((SYSTEM_STATE.+slice.+state.+changed )|(ment ac)|(multiple cpu faults)|(system.+state.+changed )|(\[timeout)|(PRM\|1\|D)|(kpr)|(kdp)|(\|lc)|(penalty))"</v>
      </c>
      <c r="U34" s="9" t="str">
        <f t="shared" si="2"/>
        <v>4051</v>
      </c>
      <c r="V34" s="32">
        <f t="shared" si="3"/>
        <v>42821.921122685184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{"issue":{"subject":"","project_id":79,"tracker_id":40,"status_id":1,"priority_id":2,"assigned_to_id":23,"start_date":"2017-03-27","description":"","custom_fields":[{"id":1,"name":"Subdivision","value":"EC"},{"id":4,"name":"Milepost","value":"23.3491"},{"id":17,"name":"Train ID","value":"195-27"},{"id":16,"name":"Locomotive ID","value":"4051"},{"id":130,"name":"Impact","value":""},{"id":150,"name":"Time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"%USERPROFILE%\AppData\Local\Temp\OnboardLogs"\RTDC4051\*4051*201703272*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"%USERPROFILE%\AppData\Local\Temp\OnboardLogs"\RTDC4051\*4051*201703272* &gt;&gt; 2017-03-27-SliceDisagreementCheck.txt</v>
      </c>
      <c r="AE34" s="153" t="str">
        <f t="shared" si="9"/>
        <v>start /low /b %USERPROFILE%\Documents\GitHub\eaglep3\Utilities\DownloadLogsFromS3.py --loco 4051 --day 2017-03-27</v>
      </c>
      <c r="AF34" s="1"/>
    </row>
    <row r="35" spans="1:32" x14ac:dyDescent="0.25">
      <c r="A35" s="32">
        <v>42821.76699074074</v>
      </c>
      <c r="B35" s="30" t="s">
        <v>402</v>
      </c>
      <c r="C35" s="30" t="s">
        <v>624</v>
      </c>
      <c r="D35" s="30" t="s">
        <v>49</v>
      </c>
      <c r="E35" s="30" t="s">
        <v>355</v>
      </c>
      <c r="F35" s="43">
        <v>0</v>
      </c>
      <c r="G35" s="43">
        <v>16</v>
      </c>
      <c r="H35" s="43">
        <v>4937</v>
      </c>
      <c r="I35" s="43">
        <v>4872</v>
      </c>
      <c r="J35" s="30" t="s">
        <v>356</v>
      </c>
      <c r="K35" s="43">
        <v>4790</v>
      </c>
      <c r="L35" s="139" t="s">
        <v>51</v>
      </c>
      <c r="M35" s="140">
        <f t="shared" si="0"/>
        <v>43.296000000000006</v>
      </c>
      <c r="N35" s="141" t="str">
        <f>VLOOKUP(C35,'Trips&amp;Operators'!$C$1:$G$99999,5,FALSE)</f>
        <v>NEWELL JAMES</v>
      </c>
      <c r="O35" s="190" t="s">
        <v>357</v>
      </c>
      <c r="P35" s="142" t="s">
        <v>1029</v>
      </c>
      <c r="Q35" s="30"/>
      <c r="R35" s="89" t="str">
        <f>IF(VLOOKUP(C35,'Train Runs'!$A$13:$AE$9942,1,1)=C35,VLOOKUP(C35,'Train Runs'!$A$13:$AE$9942,31,1),NA())</f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-27T17:05:03-0600',mode:absolute,to:'2017-03-27T19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5" s="94" t="str">
        <f t="shared" si="1"/>
        <v>"C:\Program Files (x86)\AstroGrep\AstroGrep.exe" /e /r /s /spath="%USERPROFILE%\AppData\Local\Temp\OnboardLogs" /stypes="*4043*201703280*" /stext=" 00:.+((SYSTEM_STATE.+slice.+state.+changed )|(ment ac)|(multiple cpu faults)|(system.+state.+changed )|(\[timeout)|(PRM\|1\|D)|(kpr)|(kdp)|(\|lc)|(penalty))"</v>
      </c>
      <c r="U35" s="9" t="str">
        <f t="shared" si="2"/>
        <v>4043</v>
      </c>
      <c r="V35" s="32">
        <f t="shared" si="3"/>
        <v>42822.01699074074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{"issue":{"subject":"DUS 28S fluctuating aspects","project_id":79,"tracker_id":40,"status_id":1,"priority_id":2,"assigned_to_id":23,"start_date":"2017-03-27","description":"During timeframe 18:24:12 - 18:24:25, DUS 28S flipped between PROCEED CAB and STOP a few times. This seems unintended (unless the dispatcher was spamming requests/stops?). Do logs tell anything interesting?","custom_fields":[{"id":1,"name":"Subdivision","value":"NW"},{"id":4,"name":"Milepost","value":"0.479"},{"id":17,"name":"Train ID","value":"836-27"},{"id":16,"name":"Locomotive ID","value":"4043"},{"id":130,"name":"Impact","value":"Enforcement"},{"id":150,"name":"Time of Event (Mountain Time)","value":"18:24:28"},{"id":151,"name":"Denver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5" s="218" t="s">
        <v>1030</v>
      </c>
      <c r="AA35" s="48" t="s">
        <v>124</v>
      </c>
      <c r="AB35" s="48" t="s">
        <v>129</v>
      </c>
      <c r="AC35" s="123" t="str">
        <f t="shared" si="7"/>
        <v>grep -hSE -A400 "Enforcement Action" "%USERPROFILE%\AppData\Local\Temp\OnboardLogs"\RTDC4043\*4043*201703280*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"%USERPROFILE%\AppData\Local\Temp\OnboardLogs"\RTDC4043\*4043*201703280* &gt;&gt; 2017-03-27-SliceDisagreementCheck.txt</v>
      </c>
      <c r="AE35" s="153" t="str">
        <f t="shared" si="9"/>
        <v>start /low /b %USERPROFILE%\Documents\GitHub\eaglep3\Utilities\DownloadLogsFromS3.py --loco 4043 --day 2017-03-28</v>
      </c>
      <c r="AF35" s="1"/>
    </row>
    <row r="36" spans="1:32" x14ac:dyDescent="0.25">
      <c r="A36" s="32">
        <v>42821.225439814814</v>
      </c>
      <c r="B36" s="30" t="s">
        <v>402</v>
      </c>
      <c r="C36" s="30" t="s">
        <v>593</v>
      </c>
      <c r="D36" s="30" t="s">
        <v>49</v>
      </c>
      <c r="E36" s="30" t="s">
        <v>186</v>
      </c>
      <c r="F36" s="43">
        <v>0</v>
      </c>
      <c r="G36" s="43">
        <v>62</v>
      </c>
      <c r="H36" s="43">
        <v>785</v>
      </c>
      <c r="I36" s="43">
        <v>734</v>
      </c>
      <c r="J36" s="30" t="s">
        <v>187</v>
      </c>
      <c r="K36" s="43">
        <v>575</v>
      </c>
      <c r="L36" s="139" t="s">
        <v>51</v>
      </c>
      <c r="M36" s="140">
        <f t="shared" si="0"/>
        <v>83.951999999999998</v>
      </c>
      <c r="N36" s="141" t="str">
        <f>VLOOKUP(C36,'Trips&amp;Operators'!$C$1:$G$99999,5,FALSE)</f>
        <v>DAVIS WENDY</v>
      </c>
      <c r="O36" s="190" t="s">
        <v>185</v>
      </c>
      <c r="P36" s="142"/>
      <c r="Q36" s="30"/>
      <c r="R36" s="89" t="str">
        <f>IF(VLOOKUP(C36,'Train Runs'!$A$13:$AE$9942,1,1)=C36,VLOOKUP(C36,'Train Runs'!$A$13:$AE$9942,31,1),NA())</f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-27T04:07:26-0600',mode:absolute,to:'2017-03-27T06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6" s="94" t="str">
        <f t="shared" si="1"/>
        <v>"C:\Program Files (x86)\AstroGrep\AstroGrep.exe" /e /r /s /spath="%USERPROFILE%\AppData\Local\Temp\OnboardLogs" /stypes="*4043*201703271*" /stext=" 11:.+((SYSTEM_STATE.+slice.+state.+changed )|(ment ac)|(multiple cpu faults)|(system.+state.+changed )|(\[timeout)|(PRM\|1\|D)|(kpr)|(kdp)|(\|lc)|(penalty))"</v>
      </c>
      <c r="U36" s="9" t="str">
        <f t="shared" si="2"/>
        <v>4043</v>
      </c>
      <c r="V36" s="32">
        <f t="shared" si="3"/>
        <v>42821.475439814814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{"issue":{"subject":"","project_id":79,"tracker_id":40,"status_id":1,"priority_id":2,"assigned_to_id":23,"start_date":"2017-03-27","description":"","custom_fields":[{"id":1,"name":"Subdivision","value":"NW"},{"id":4,"name":"Milepost","value":"0.0575"},{"id":17,"name":"Train ID","value":"800-27"},{"id":16,"name":"Locomotive ID","value":"4043"},{"id":130,"name":"Impact","value":""},{"id":150,"name":"Time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"%USERPROFILE%\AppData\Local\Temp\OnboardLogs"\RTDC4043\*4043*201703271*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"%USERPROFILE%\AppData\Local\Temp\OnboardLogs"\RTDC4043\*4043*201703271* &gt;&gt; 2017-03-27-SliceDisagreementCheck.txt</v>
      </c>
      <c r="AE36" s="153" t="str">
        <f t="shared" si="9"/>
        <v>start /low /b %USERPROFILE%\Documents\GitHub\eaglep3\Utilities\DownloadLogsFromS3.py --loco 4043 --day 2017-03-27</v>
      </c>
      <c r="AF36" s="1"/>
    </row>
    <row r="37" spans="1:32" x14ac:dyDescent="0.25">
      <c r="A37" s="32">
        <v>42821.226099537038</v>
      </c>
      <c r="B37" s="30" t="s">
        <v>402</v>
      </c>
      <c r="C37" s="30" t="s">
        <v>593</v>
      </c>
      <c r="D37" s="30" t="s">
        <v>49</v>
      </c>
      <c r="E37" s="30" t="s">
        <v>186</v>
      </c>
      <c r="F37" s="43">
        <v>0</v>
      </c>
      <c r="G37" s="43">
        <v>34</v>
      </c>
      <c r="H37" s="43">
        <v>722</v>
      </c>
      <c r="I37" s="43">
        <v>701</v>
      </c>
      <c r="J37" s="30" t="s">
        <v>187</v>
      </c>
      <c r="K37" s="43">
        <v>575</v>
      </c>
      <c r="L37" s="139" t="s">
        <v>51</v>
      </c>
      <c r="M37" s="140">
        <f t="shared" si="0"/>
        <v>66.528000000000006</v>
      </c>
      <c r="N37" s="141" t="str">
        <f>VLOOKUP(C37,'Trips&amp;Operators'!$C$1:$G$99999,5,FALSE)</f>
        <v>DAVIS WENDY</v>
      </c>
      <c r="O37" s="190" t="s">
        <v>185</v>
      </c>
      <c r="P37" s="142"/>
      <c r="Q37" s="30"/>
      <c r="R37" s="89" t="str">
        <f>IF(VLOOKUP(C37,'Train Runs'!$A$13:$AE$9942,1,1)=C37,VLOOKUP(C37,'Train Runs'!$A$13:$AE$9942,31,1),NA())</f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-27T04:07:26-0600',mode:absolute,to:'2017-03-27T06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94" t="str">
        <f t="shared" si="1"/>
        <v>"C:\Program Files (x86)\AstroGrep\AstroGrep.exe" /e /r /s /spath="%USERPROFILE%\AppData\Local\Temp\OnboardLogs" /stypes="*4043*201703271*" /stext=" 11:.+((SYSTEM_STATE.+slice.+state.+changed )|(ment ac)|(multiple cpu faults)|(system.+state.+changed )|(\[timeout)|(PRM\|1\|D)|(kpr)|(kdp)|(\|lc)|(penalty))"</v>
      </c>
      <c r="U37" s="9" t="str">
        <f t="shared" si="2"/>
        <v>4043</v>
      </c>
      <c r="V37" s="32">
        <f t="shared" si="3"/>
        <v>42821.476099537038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{"issue":{"subject":"","project_id":79,"tracker_id":40,"status_id":1,"priority_id":2,"assigned_to_id":23,"start_date":"2017-03-27","description":"","custom_fields":[{"id":1,"name":"Subdivision","value":"NW"},{"id":4,"name":"Milepost","value":"0.0575"},{"id":17,"name":"Train ID","value":"800-27"},{"id":16,"name":"Locomotive ID","value":"4043"},{"id":130,"name":"Impact","value":""},{"id":150,"name":"Time of Event (Mountain Time)","value":"05:25:35"},{"id":151,"name":"Denver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"%USERPROFILE%\AppData\Local\Temp\OnboardLogs"\RTDC4043\*4043*201703271*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"%USERPROFILE%\AppData\Local\Temp\OnboardLogs"\RTDC4043\*4043*201703271* &gt;&gt; 2017-03-27-SliceDisagreementCheck.txt</v>
      </c>
      <c r="AE37" s="153" t="str">
        <f t="shared" si="9"/>
        <v>start /low /b %USERPROFILE%\Documents\GitHub\eaglep3\Utilities\DownloadLogsFromS3.py --loco 4043 --day 2017-03-27</v>
      </c>
      <c r="AF37" s="1"/>
    </row>
    <row r="38" spans="1:32" x14ac:dyDescent="0.25">
      <c r="A38" s="32">
        <v>42821.371516203704</v>
      </c>
      <c r="B38" s="30" t="s">
        <v>596</v>
      </c>
      <c r="C38" s="30" t="s">
        <v>604</v>
      </c>
      <c r="D38" s="30" t="s">
        <v>49</v>
      </c>
      <c r="E38" s="30" t="s">
        <v>186</v>
      </c>
      <c r="F38" s="43">
        <v>0</v>
      </c>
      <c r="G38" s="43">
        <v>50</v>
      </c>
      <c r="H38" s="43">
        <v>747</v>
      </c>
      <c r="I38" s="43">
        <v>724</v>
      </c>
      <c r="J38" s="30" t="s">
        <v>187</v>
      </c>
      <c r="K38" s="43">
        <v>575</v>
      </c>
      <c r="L38" s="139" t="s">
        <v>51</v>
      </c>
      <c r="M38" s="140">
        <f t="shared" si="0"/>
        <v>78.671999999999997</v>
      </c>
      <c r="N38" s="141" t="str">
        <f>VLOOKUP(C38,'Trips&amp;Operators'!$C$1:$G$99999,5,FALSE)</f>
        <v>FORTUNATO FRANK</v>
      </c>
      <c r="O38" s="190" t="s">
        <v>185</v>
      </c>
      <c r="P38" s="142"/>
      <c r="Q38" s="30"/>
      <c r="R38" s="89" t="str">
        <f>IF(VLOOKUP(C38,'Train Runs'!$A$13:$AE$9942,1,1)=C38,VLOOKUP(C38,'Train Runs'!$A$13:$AE$9942,31,1),NA())</f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S38" s="92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-03-27T07:36:04-0600',mode:absolute,to:'2017-03-27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94" t="str">
        <f t="shared" si="1"/>
        <v>"C:\Program Files (x86)\AstroGrep\AstroGrep.exe" /e /r /s /spath="%USERPROFILE%\AppData\Local\Temp\OnboardLogs" /stypes="*4010*201703271*" /stext=" 14:.+((SYSTEM_STATE.+slice.+state.+changed )|(ment ac)|(multiple cpu faults)|(system.+state.+changed )|(\[timeout)|(PRM\|1\|D)|(kpr)|(kdp)|(\|lc)|(penalty))"</v>
      </c>
      <c r="U38" s="9" t="str">
        <f t="shared" si="2"/>
        <v>4010</v>
      </c>
      <c r="V38" s="32">
        <f t="shared" si="3"/>
        <v>42821.621516203704</v>
      </c>
      <c r="W38" s="46" t="str">
        <f t="shared" si="4"/>
        <v>NW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{"issue":{"subject":"","project_id":79,"tracker_id":40,"status_id":1,"priority_id":2,"assigned_to_id":23,"start_date":"2017-03-27","description":"","custom_fields":[{"id":1,"name":"Subdivision","value":"NW"},{"id":4,"name":"Milepost","value":"0.0575"},{"id":17,"name":"Train ID","value":"812-27"},{"id":16,"name":"Locomotive ID","value":"4010"},{"id":130,"name":"Impact","value":""},{"id":150,"name":"Time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"%USERPROFILE%\AppData\Local\Temp\OnboardLogs"\RTDC4010\*4010*201703271*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"%USERPROFILE%\AppData\Local\Temp\OnboardLogs"\RTDC4010\*4010*201703271* &gt;&gt; 2017-03-27-SliceDisagreementCheck.txt</v>
      </c>
      <c r="AE38" s="153" t="str">
        <f t="shared" si="9"/>
        <v>start /low /b %USERPROFILE%\Documents\GitHub\eaglep3\Utilities\DownloadLogsFromS3.py --loco 4010 --day 2017-03-27</v>
      </c>
      <c r="AF38" s="1"/>
    </row>
    <row r="39" spans="1:32" x14ac:dyDescent="0.25">
      <c r="A39" s="32">
        <v>42821.455185185187</v>
      </c>
      <c r="B39" s="30" t="s">
        <v>596</v>
      </c>
      <c r="C39" s="30" t="s">
        <v>611</v>
      </c>
      <c r="D39" s="30" t="s">
        <v>49</v>
      </c>
      <c r="E39" s="30" t="s">
        <v>186</v>
      </c>
      <c r="F39" s="43">
        <v>0</v>
      </c>
      <c r="G39" s="43">
        <v>57</v>
      </c>
      <c r="H39" s="43">
        <v>783</v>
      </c>
      <c r="I39" s="43">
        <v>750</v>
      </c>
      <c r="J39" s="30" t="s">
        <v>187</v>
      </c>
      <c r="K39" s="43">
        <v>575</v>
      </c>
      <c r="L39" s="139" t="s">
        <v>51</v>
      </c>
      <c r="M39" s="140">
        <f t="shared" si="0"/>
        <v>92.4</v>
      </c>
      <c r="N39" s="141" t="str">
        <f>VLOOKUP(C39,'Trips&amp;Operators'!$C$1:$G$99999,5,FALSE)</f>
        <v>FORTUNATO FRANK</v>
      </c>
      <c r="O39" s="190" t="s">
        <v>185</v>
      </c>
      <c r="P39" s="142"/>
      <c r="Q39" s="30"/>
      <c r="R39" s="89" t="str">
        <f>IF(VLOOKUP(C39,'Train Runs'!$A$13:$AE$9942,1,1)=C39,VLOOKUP(C39,'Train Runs'!$A$13:$AE$9942,31,1),NA())</f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S39" s="92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-03-27T09:36:49-0600',mode:absolute,to:'2017-03-27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94" t="str">
        <f t="shared" si="1"/>
        <v>"C:\Program Files (x86)\AstroGrep\AstroGrep.exe" /e /r /s /spath="%USERPROFILE%\AppData\Local\Temp\OnboardLogs" /stypes="*4010*201703271*" /stext=" 16:.+((SYSTEM_STATE.+slice.+state.+changed )|(ment ac)|(multiple cpu faults)|(system.+state.+changed )|(\[timeout)|(PRM\|1\|D)|(kpr)|(kdp)|(\|lc)|(penalty))"</v>
      </c>
      <c r="U39" s="9" t="str">
        <f t="shared" si="2"/>
        <v>4010</v>
      </c>
      <c r="V39" s="32">
        <f t="shared" si="3"/>
        <v>42821.705185185187</v>
      </c>
      <c r="W39" s="46" t="str">
        <f t="shared" si="4"/>
        <v>NW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{"issue":{"subject":"","project_id":79,"tracker_id":40,"status_id":1,"priority_id":2,"assigned_to_id":23,"start_date":"2017-03-27","description":"","custom_fields":[{"id":1,"name":"Subdivision","value":"NW"},{"id":4,"name":"Milepost","value":"0.0575"},{"id":17,"name":"Train ID","value":"816-27"},{"id":16,"name":"Locomotive ID","value":"4010"},{"id":130,"name":"Impact","value":""},{"id":150,"name":"Time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7"/>
        <v>grep -hSE -A400 "Enforcement Action" "%USERPROFILE%\AppData\Local\Temp\OnboardLogs"\RTDC4010\*4010*201703271*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"%USERPROFILE%\AppData\Local\Temp\OnboardLogs"\RTDC4010\*4010*201703271* &gt;&gt; 2017-03-27-SliceDisagreementCheck.txt</v>
      </c>
      <c r="AE39" s="153" t="str">
        <f t="shared" si="9"/>
        <v>start /low /b %USERPROFILE%\Documents\GitHub\eaglep3\Utilities\DownloadLogsFromS3.py --loco 4010 --day 2017-03-27</v>
      </c>
      <c r="AF39" s="1"/>
    </row>
    <row r="40" spans="1:32" x14ac:dyDescent="0.25">
      <c r="A40" s="32">
        <v>42821.253680555557</v>
      </c>
      <c r="B40" s="30" t="s">
        <v>401</v>
      </c>
      <c r="C40" s="30" t="s">
        <v>595</v>
      </c>
      <c r="D40" s="30" t="s">
        <v>49</v>
      </c>
      <c r="E40" s="30" t="s">
        <v>186</v>
      </c>
      <c r="F40" s="43">
        <v>0</v>
      </c>
      <c r="G40" s="43">
        <v>13</v>
      </c>
      <c r="H40" s="43">
        <v>59037</v>
      </c>
      <c r="I40" s="43">
        <v>59042</v>
      </c>
      <c r="J40" s="30" t="s">
        <v>187</v>
      </c>
      <c r="K40" s="43">
        <v>59048</v>
      </c>
      <c r="L40" s="139" t="s">
        <v>50</v>
      </c>
      <c r="M40" s="140">
        <f t="shared" si="0"/>
        <v>3.1680000000000001</v>
      </c>
      <c r="N40" s="141" t="str">
        <f>VLOOKUP(C40,'Trips&amp;Operators'!$C$1:$G$99999,5,FALSE)</f>
        <v>DAVIS WENDY</v>
      </c>
      <c r="O40" s="190" t="s">
        <v>185</v>
      </c>
      <c r="P40" s="142"/>
      <c r="Q40" s="30"/>
      <c r="R40" s="89" t="str">
        <f>IF(VLOOKUP(C40,'Train Runs'!$A$13:$AE$9942,1,1)=C40,VLOOKUP(C40,'Train Runs'!$A$13:$AE$9942,31,1),NA())</f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S40" s="92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-03-27T04:48:01-0600',mode:absolute,to:'2017-03-27T07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0" s="94" t="str">
        <f t="shared" si="1"/>
        <v>"C:\Program Files (x86)\AstroGrep\AstroGrep.exe" /e /r /s /spath="%USERPROFILE%\AppData\Local\Temp\OnboardLogs" /stypes="*4044*201703271*" /stext=" 12:.+((SYSTEM_STATE.+slice.+state.+changed )|(ment ac)|(multiple cpu faults)|(system.+state.+changed )|(\[timeout)|(PRM\|1\|D)|(kpr)|(kdp)|(\|lc)|(penalty))"</v>
      </c>
      <c r="U40" s="9" t="str">
        <f t="shared" si="2"/>
        <v>4044</v>
      </c>
      <c r="V40" s="32">
        <f t="shared" si="3"/>
        <v>42821.503680555557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{"issue":{"subject":"","project_id":79,"tracker_id":40,"status_id":1,"priority_id":2,"assigned_to_id":23,"start_date":"2017-03-27","description":"","custom_fields":[{"id":1,"name":"Subdivision","value":"NW"},{"id":4,"name":"Milepost","value":"5.9048"},{"id":17,"name":"Train ID","value":"801-27"},{"id":16,"name":"Locomotive ID","value":"4044"},{"id":130,"name":"Impact","value":""},{"id":150,"name":"Time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7"/>
        <v>grep -hSE -A400 "Enforcement Action" "%USERPROFILE%\AppData\Local\Temp\OnboardLogs"\RTDC4044\*4044*201703271*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"%USERPROFILE%\AppData\Local\Temp\OnboardLogs"\RTDC4044\*4044*201703271* &gt;&gt; 2017-03-27-SliceDisagreementCheck.txt</v>
      </c>
      <c r="AE40" s="153" t="str">
        <f t="shared" si="9"/>
        <v>start /low /b %USERPROFILE%\Documents\GitHub\eaglep3\Utilities\DownloadLogsFromS3.py --loco 4044 --day 2017-03-27</v>
      </c>
      <c r="AF40" s="1"/>
    </row>
    <row r="41" spans="1:32" x14ac:dyDescent="0.25">
      <c r="A41" s="32">
        <v>42821.294999999998</v>
      </c>
      <c r="B41" s="30" t="s">
        <v>401</v>
      </c>
      <c r="C41" s="30" t="s">
        <v>599</v>
      </c>
      <c r="D41" s="30" t="s">
        <v>49</v>
      </c>
      <c r="E41" s="30" t="s">
        <v>186</v>
      </c>
      <c r="F41" s="43">
        <v>0</v>
      </c>
      <c r="G41" s="43">
        <v>17</v>
      </c>
      <c r="H41" s="43">
        <v>59025</v>
      </c>
      <c r="I41" s="43">
        <v>59035</v>
      </c>
      <c r="J41" s="30" t="s">
        <v>187</v>
      </c>
      <c r="K41" s="43">
        <v>59048</v>
      </c>
      <c r="L41" s="139" t="s">
        <v>50</v>
      </c>
      <c r="M41" s="140">
        <f t="shared" si="0"/>
        <v>6.8639999999999999</v>
      </c>
      <c r="N41" s="141" t="str">
        <f>VLOOKUP(C41,'Trips&amp;Operators'!$C$1:$G$99999,5,FALSE)</f>
        <v>DAVIS WENDY</v>
      </c>
      <c r="O41" s="190" t="s">
        <v>185</v>
      </c>
      <c r="P41" s="142"/>
      <c r="Q41" s="30"/>
      <c r="R41" s="89" t="str">
        <f>IF(VLOOKUP(C41,'Train Runs'!$A$13:$AE$9942,1,1)=C41,VLOOKUP(C41,'Train Runs'!$A$13:$AE$9942,31,1),NA())</f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S41" s="92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-03-27T05:48:05-0600',mode:absolute,to:'2017-03-27T08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1" s="94" t="str">
        <f t="shared" si="1"/>
        <v>"C:\Program Files (x86)\AstroGrep\AstroGrep.exe" /e /r /s /spath="%USERPROFILE%\AppData\Local\Temp\OnboardLogs" /stypes="*4044*201703271*" /stext=" 13:.+((SYSTEM_STATE.+slice.+state.+changed )|(ment ac)|(multiple cpu faults)|(system.+state.+changed )|(\[timeout)|(PRM\|1\|D)|(kpr)|(kdp)|(\|lc)|(penalty))"</v>
      </c>
      <c r="U41" s="9" t="str">
        <f t="shared" si="2"/>
        <v>4044</v>
      </c>
      <c r="V41" s="32">
        <f t="shared" si="3"/>
        <v>42821.544999999998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{"issue":{"subject":"","project_id":79,"tracker_id":40,"status_id":1,"priority_id":2,"assigned_to_id":23,"start_date":"2017-03-27","description":"","custom_fields":[{"id":1,"name":"Subdivision","value":"NW"},{"id":4,"name":"Milepost","value":"5.9048"},{"id":17,"name":"Train ID","value":"805-27"},{"id":16,"name":"Locomotive ID","value":"4044"},{"id":130,"name":"Impact","value":""},{"id":150,"name":"Time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7"/>
        <v>grep -hSE -A400 "Enforcement Action" "%USERPROFILE%\AppData\Local\Temp\OnboardLogs"\RTDC4044\*4044*201703271*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"%USERPROFILE%\AppData\Local\Temp\OnboardLogs"\RTDC4044\*4044*201703271* &gt;&gt; 2017-03-27-SliceDisagreementCheck.txt</v>
      </c>
      <c r="AE41" s="153" t="str">
        <f t="shared" si="9"/>
        <v>start /low /b %USERPROFILE%\Documents\GitHub\eaglep3\Utilities\DownloadLogsFromS3.py --loco 4044 --day 2017-03-27</v>
      </c>
      <c r="AF41" s="1"/>
    </row>
    <row r="42" spans="1:32" x14ac:dyDescent="0.25">
      <c r="A42" s="32">
        <v>42821.336712962962</v>
      </c>
      <c r="B42" s="30" t="s">
        <v>401</v>
      </c>
      <c r="C42" s="30" t="s">
        <v>601</v>
      </c>
      <c r="D42" s="30" t="s">
        <v>98</v>
      </c>
      <c r="E42" s="30" t="s">
        <v>186</v>
      </c>
      <c r="F42" s="43">
        <v>0</v>
      </c>
      <c r="G42" s="43">
        <v>7</v>
      </c>
      <c r="H42" s="43">
        <v>59048</v>
      </c>
      <c r="I42" s="43">
        <v>0</v>
      </c>
      <c r="J42" s="30" t="s">
        <v>187</v>
      </c>
      <c r="K42" s="43">
        <v>59048</v>
      </c>
      <c r="L42" s="139" t="s">
        <v>50</v>
      </c>
      <c r="M42" s="140">
        <f t="shared" si="0"/>
        <v>31177.344000000001</v>
      </c>
      <c r="N42" s="141" t="str">
        <f>VLOOKUP(C42,'Trips&amp;Operators'!$C$1:$G$99999,5,FALSE)</f>
        <v>DAVIS WENDY</v>
      </c>
      <c r="O42" s="190" t="s">
        <v>185</v>
      </c>
      <c r="P42" s="142"/>
      <c r="Q42" s="30"/>
      <c r="R42" s="89" t="str">
        <f>IF(VLOOKUP(C42,'Train Runs'!$A$13:$AE$9942,1,1)=C42,VLOOKUP(C42,'Train Runs'!$A$13:$AE$9942,31,1),NA())</f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S42" s="92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-03-27T06:48:52-0600',mode:absolute,to:'2017-03-27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2" s="94" t="str">
        <f t="shared" si="1"/>
        <v>"C:\Program Files (x86)\AstroGrep\AstroGrep.exe" /e /r /s /spath="%USERPROFILE%\AppData\Local\Temp\OnboardLogs" /stypes="*4044*201703271*" /stext=" 14:.+((SYSTEM_STATE.+slice.+state.+changed )|(ment ac)|(multiple cpu faults)|(system.+state.+changed )|(\[timeout)|(PRM\|1\|D)|(kpr)|(kdp)|(\|lc)|(penalty))"</v>
      </c>
      <c r="U42" s="9" t="str">
        <f t="shared" si="2"/>
        <v>4044</v>
      </c>
      <c r="V42" s="32">
        <f t="shared" si="3"/>
        <v>42821.586712962962</v>
      </c>
      <c r="W42" s="46" t="str">
        <f t="shared" si="4"/>
        <v>NW</v>
      </c>
      <c r="X42" s="46" t="str">
        <f t="shared" si="5"/>
        <v>OMIT</v>
      </c>
      <c r="Y42" s="104" t="str">
        <f t="shared" si="6"/>
        <v>echo {"issue":{"subject":"","project_id":79,"tracker_id":40,"status_id":1,"priority_id":2,"assigned_to_id":23,"start_date":"2017-03-27","description":"","custom_fields":[{"id":1,"name":"Subdivision","value":"NW"},{"id":4,"name":"Milepost","value":"5.9048"},{"id":17,"name":"Train ID","value":"809-27"},{"id":16,"name":"Locomotive ID","value":"4044"},{"id":130,"name":"Impact","value":""},{"id":150,"name":"Time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7"/>
        <v>grep -hSE -A400 "Enforcement Action" "%USERPROFILE%\AppData\Local\Temp\OnboardLogs"\RTDC4044\*4044*201703271*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"%USERPROFILE%\AppData\Local\Temp\OnboardLogs"\RTDC4044\*4044*201703271* &gt;&gt; 2017-03-27-SliceDisagreementCheck.txt</v>
      </c>
      <c r="AE42" s="153" t="str">
        <f t="shared" si="9"/>
        <v>start /low /b %USERPROFILE%\Documents\GitHub\eaglep3\Utilities\DownloadLogsFromS3.py --loco 4044 --day 2017-03-27</v>
      </c>
      <c r="AF42" s="1"/>
    </row>
    <row r="43" spans="1:32" x14ac:dyDescent="0.25">
      <c r="A43" s="32">
        <v>42821.25540509259</v>
      </c>
      <c r="B43" s="30" t="s">
        <v>596</v>
      </c>
      <c r="C43" s="30" t="s">
        <v>597</v>
      </c>
      <c r="D43" s="30" t="s">
        <v>98</v>
      </c>
      <c r="E43" s="30" t="s">
        <v>355</v>
      </c>
      <c r="F43" s="43">
        <v>0</v>
      </c>
      <c r="G43" s="43">
        <v>37</v>
      </c>
      <c r="H43" s="43">
        <v>23218</v>
      </c>
      <c r="I43" s="43">
        <v>23169</v>
      </c>
      <c r="J43" s="30" t="s">
        <v>356</v>
      </c>
      <c r="K43" s="43">
        <v>24161</v>
      </c>
      <c r="L43" s="139" t="s">
        <v>51</v>
      </c>
      <c r="M43" s="140">
        <f t="shared" si="0"/>
        <v>-523.77599999999995</v>
      </c>
      <c r="N43" s="141" t="str">
        <f>VLOOKUP(C43,'Trips&amp;Operators'!$C$1:$G$99999,5,FALSE)</f>
        <v>FORTUNATO FRANK</v>
      </c>
      <c r="O43" s="190" t="s">
        <v>185</v>
      </c>
      <c r="P43" s="142"/>
      <c r="Q43" s="30"/>
      <c r="R43" s="89" t="str">
        <f>IF(VLOOKUP(C43,'Train Runs'!$A$13:$AE$9942,1,1)=C43,VLOOKUP(C43,'Train Runs'!$A$13:$AE$9942,31,1),NA())</f>
        <v>aws s3 cp s3://rtdc.mdm.uploadarchive.raw/RTDC4010/ "%USERPROFILE%\AppData\Local\Temp\OnboardLogs"\RTDC4010\2017-03-27 --exclude "*" --recursive --include "*20170327*" &amp; "%USERPROFILE%\Documents\GitHub\mrs-test-scripts\Headless Mode &amp; Sideloading\WalkAndUnGZ.bat" "%USERPROFILE%\AppData\Local\Temp\OnboardLogs"\RTDC4010\2017-03-27 &amp; 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</v>
      </c>
      <c r="S43" s="92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-03-27T05:01:14-0600',mode:absolute,to:'2017-03-27T07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3" s="94" t="str">
        <f t="shared" si="1"/>
        <v>"C:\Program Files (x86)\AstroGrep\AstroGrep.exe" /e /r /s /spath="%USERPROFILE%\AppData\Local\Temp\OnboardLogs" /stypes="*4010*201703271*" /stext=" 12:.+((SYSTEM_STATE.+slice.+state.+changed )|(ment ac)|(multiple cpu faults)|(system.+state.+changed )|(\[timeout)|(PRM\|1\|D)|(kpr)|(kdp)|(\|lc)|(penalty))"</v>
      </c>
      <c r="U43" s="9" t="str">
        <f t="shared" si="2"/>
        <v>4010</v>
      </c>
      <c r="V43" s="32">
        <f t="shared" si="3"/>
        <v>42821.50540509259</v>
      </c>
      <c r="W43" s="46" t="str">
        <f t="shared" si="4"/>
        <v>Other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{"issue":{"subject":"","project_id":79,"tracker_id":40,"status_id":1,"priority_id":2,"assigned_to_id":23,"start_date":"2017-03-27","description":"","custom_fields":[{"id":1,"name":"Subdivision","value":"Other"},{"id":4,"name":"Milepost","value":"2.4161"},{"id":17,"name":"Train ID","value":"902-27"},{"id":16,"name":"Locomotive ID","value":"4010"},{"id":130,"name":"Impact","value":""},{"id":150,"name":"Time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7"/>
        <v>grep -hSE -A400 "Enforcement Action" "%USERPROFILE%\AppData\Local\Temp\OnboardLogs"\RTDC4010\*4010*201703271*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"%USERPROFILE%\AppData\Local\Temp\OnboardLogs"\RTDC4010\*4010*201703271* &gt;&gt; 2017-03-27-SliceDisagreementCheck.txt</v>
      </c>
      <c r="AE43" s="153" t="str">
        <f t="shared" si="9"/>
        <v>start /low /b %USERPROFILE%\Documents\GitHub\eaglep3\Utilities\DownloadLogsFromS3.py --loco 4010 --day 2017-03-27</v>
      </c>
      <c r="AF43" s="1"/>
    </row>
    <row r="44" spans="1:32" x14ac:dyDescent="0.25">
      <c r="A44" s="32">
        <v>42821.170081018521</v>
      </c>
      <c r="B44" s="30" t="s">
        <v>448</v>
      </c>
      <c r="C44" s="30" t="s">
        <v>591</v>
      </c>
      <c r="D44" s="30" t="s">
        <v>49</v>
      </c>
      <c r="E44" s="30" t="s">
        <v>186</v>
      </c>
      <c r="F44" s="43">
        <v>0</v>
      </c>
      <c r="G44" s="43">
        <v>95</v>
      </c>
      <c r="H44" s="43">
        <v>446</v>
      </c>
      <c r="I44" s="43">
        <v>351</v>
      </c>
      <c r="J44" s="30" t="s">
        <v>187</v>
      </c>
      <c r="K44" s="43">
        <v>1</v>
      </c>
      <c r="L44" s="139" t="s">
        <v>51</v>
      </c>
      <c r="M44" s="140">
        <f t="shared" si="0"/>
        <v>184.8</v>
      </c>
      <c r="N44" s="141" t="str">
        <f>VLOOKUP(C44,'Trips&amp;Operators'!$C$1:$G$99999,5,FALSE)</f>
        <v>STARKS ANGELINA</v>
      </c>
      <c r="O44" s="190" t="s">
        <v>185</v>
      </c>
      <c r="P44" s="142"/>
      <c r="Q44" s="30"/>
      <c r="R44" s="89" t="e">
        <f>IF(VLOOKUP(C44,'Train Runs'!$A$13:$AE$9942,1,1)=C44,VLOOKUP(C44,'Train Runs'!$A$13:$AE$9942,31,1),NA())</f>
        <v>#N/A</v>
      </c>
      <c r="S44" s="92" t="str">
        <f>VLOOKUP(C44,'Train Runs'!$A$13:$AE$9942,22,0)</f>
        <v>https://d0f6bd738d7f1b3e5a7ca70fe4ff75f0.us-east-1.aws.found.io/app/kibana#/discover/Steve-Slow-Train-Analysis-(2080s-and-2083s)?_g=(refreshInterval:(display:Off,pause:!f,section:0,value:0),time:(from:'2017-03-27T02:51:36-0600',mode:absolute,to:'2017-03-27T05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94" t="str">
        <f t="shared" si="1"/>
        <v>"C:\Program Files (x86)\AstroGrep\AstroGrep.exe" /e /r /s /spath="%USERPROFILE%\AppData\Local\Temp\OnboardLogs" /stypes="*4017*201703271*" /stext=" 10:.+((SYSTEM_STATE.+slice.+state.+changed )|(ment ac)|(multiple cpu faults)|(system.+state.+changed )|(\[timeout)|(PRM\|1\|D)|(kpr)|(kdp)|(\|lc)|(penalty))"</v>
      </c>
      <c r="U44" s="9" t="str">
        <f t="shared" si="2"/>
        <v>4017</v>
      </c>
      <c r="V44" s="32">
        <f t="shared" si="3"/>
        <v>42821.420081018521</v>
      </c>
      <c r="W44" s="46" t="str">
        <f t="shared" si="4"/>
        <v>Other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{"issue":{"subject":"","project_id":79,"tracker_id":40,"status_id":1,"priority_id":2,"assigned_to_id":23,"start_date":"2017-03-27","description":"","custom_fields":[{"id":1,"name":"Subdivision","value":"Other"},{"id":4,"name":"Milepost","value":"0.0001"},{"id":17,"name":"Train ID","value":"306-27"},{"id":16,"name":"Locomotive ID","value":"4017"},{"id":130,"name":"Impact","value":""},{"id":150,"name":"Time of Event (Mountain Time)","value":"04:04:55"},{"id":151,"name":"Denver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7"/>
        <v>grep -hSE -A400 "Enforcement Action" "%USERPROFILE%\AppData\Local\Temp\OnboardLogs"\RTDC4017\*4017*201703271*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"%USERPROFILE%\AppData\Local\Temp\OnboardLogs"\RTDC4017\*4017*201703271* &gt;&gt; 2017-03-27-SliceDisagreementCheck.txt</v>
      </c>
      <c r="AE44" s="153" t="str">
        <f t="shared" si="9"/>
        <v>start /low /b %USERPROFILE%\Documents\GitHub\eaglep3\Utilities\DownloadLogsFromS3.py --loco 4017 --day 2017-03-27</v>
      </c>
      <c r="AF44" s="1"/>
    </row>
    <row r="45" spans="1:32" x14ac:dyDescent="0.25">
      <c r="A45" s="32">
        <v>42821.644247685188</v>
      </c>
      <c r="B45" s="30" t="s">
        <v>402</v>
      </c>
      <c r="C45" s="30" t="s">
        <v>618</v>
      </c>
      <c r="D45" s="30" t="s">
        <v>49</v>
      </c>
      <c r="E45" s="30" t="s">
        <v>186</v>
      </c>
      <c r="F45" s="43">
        <v>0</v>
      </c>
      <c r="G45" s="43">
        <v>124</v>
      </c>
      <c r="H45" s="43">
        <v>1142</v>
      </c>
      <c r="I45" s="43">
        <v>999</v>
      </c>
      <c r="J45" s="30" t="s">
        <v>187</v>
      </c>
      <c r="K45" s="43">
        <v>575</v>
      </c>
      <c r="L45" s="139" t="s">
        <v>51</v>
      </c>
      <c r="M45" s="140">
        <f t="shared" si="0"/>
        <v>223.87200000000001</v>
      </c>
      <c r="N45" s="141" t="str">
        <f>VLOOKUP(C45,'Trips&amp;Operators'!$C$1:$G$99999,5,FALSE)</f>
        <v>NEWELL JAMES</v>
      </c>
      <c r="O45" s="190" t="s">
        <v>185</v>
      </c>
      <c r="P45" s="142"/>
      <c r="Q45" s="30"/>
      <c r="R45" s="89" t="str">
        <f>IF(VLOOKUP(C45,'Train Runs'!$A$13:$AE$9942,1,1)=C45,VLOOKUP(C45,'Train Runs'!$A$13:$AE$9942,31,1),NA())</f>
        <v>aws s3 cp s3://rtdc.mdm.uploadarchive.raw/RTDC4043/ "%USERPROFILE%\AppData\Local\Temp\OnboardLogs"\RTDC4043\2017-03-27 --exclude "*" --recursive --include "*20170327*" &amp; "%USERPROFILE%\Documents\GitHub\mrs-test-scripts\Headless Mode &amp; Sideloading\WalkAndUnGZ.bat" "%USERPROFILE%\AppData\Local\Temp\OnboardLogs"\RTDC4043\2017-03-27 &amp; 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</v>
      </c>
      <c r="S45" s="92" t="str">
        <f>VLOOKUP(C45,'Train Runs'!$A$13:$AE$9942,22,0)</f>
        <v>https://d0f6bd738d7f1b3e5a7ca70fe4ff75f0.us-east-1.aws.found.io/app/kibana#/discover/Steve-Slow-Train-Analysis-(2080s-and-2083s)?_g=(refreshInterval:(display:Off,pause:!f,section:0,value:0),time:(from:'2017-03-27T14:18:36-0600',mode:absolute,to:'2017-03-27T16:27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5" s="94" t="str">
        <f t="shared" si="1"/>
        <v>"C:\Program Files (x86)\AstroGrep\AstroGrep.exe" /e /r /s /spath="%USERPROFILE%\AppData\Local\Temp\OnboardLogs" /stypes="*4043*201703272*" /stext=" 21:.+((SYSTEM_STATE.+slice.+state.+changed )|(ment ac)|(multiple cpu faults)|(system.+state.+changed )|(\[timeout)|(PRM\|1\|D)|(kpr)|(kdp)|(\|lc)|(penalty))"</v>
      </c>
      <c r="U45" s="9" t="str">
        <f t="shared" si="2"/>
        <v>4043</v>
      </c>
      <c r="V45" s="32">
        <f t="shared" si="3"/>
        <v>42821.894247685188</v>
      </c>
      <c r="W45" s="46" t="str">
        <f t="shared" si="4"/>
        <v>Other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{"issue":{"subject":"","project_id":79,"tracker_id":40,"status_id":1,"priority_id":2,"assigned_to_id":23,"start_date":"2017-03-27","description":"","custom_fields":[{"id":1,"name":"Subdivision","value":"Other"},{"id":4,"name":"Milepost","value":"0.0575"},{"id":17,"name":"Train ID","value":"904-27"},{"id":16,"name":"Locomotive ID","value":"4043"},{"id":130,"name":"Impact","value":""},{"id":150,"name":"Time of Event (Mountain Time)","value":"15:27:43"},{"id":151,"name":"Denver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7"/>
        <v>grep -hSE -A400 "Enforcement Action" "%USERPROFILE%\AppData\Local\Temp\OnboardLogs"\RTDC4043\*4043*201703272*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"%USERPROFILE%\AppData\Local\Temp\OnboardLogs"\RTDC4043\*4043*201703272* &gt;&gt; 2017-03-27-SliceDisagreementCheck.txt</v>
      </c>
      <c r="AE45" s="153" t="str">
        <f t="shared" si="9"/>
        <v>start /low /b %USERPROFILE%\Documents\GitHub\eaglep3\Utilities\DownloadLogsFromS3.py --loco 4043 --day 2017-03-27</v>
      </c>
      <c r="AF45" s="1"/>
    </row>
    <row r="46" spans="1:32" x14ac:dyDescent="0.25">
      <c r="A46" s="32">
        <v>42821.212465277778</v>
      </c>
      <c r="B46" s="30" t="s">
        <v>401</v>
      </c>
      <c r="C46" s="30" t="s">
        <v>592</v>
      </c>
      <c r="D46" s="30" t="s">
        <v>98</v>
      </c>
      <c r="E46" s="30" t="s">
        <v>186</v>
      </c>
      <c r="F46" s="43">
        <v>0</v>
      </c>
      <c r="G46" s="43">
        <v>6</v>
      </c>
      <c r="H46" s="43">
        <v>59048</v>
      </c>
      <c r="I46" s="43">
        <v>0</v>
      </c>
      <c r="J46" s="30" t="s">
        <v>187</v>
      </c>
      <c r="K46" s="43">
        <v>59048</v>
      </c>
      <c r="L46" s="139" t="s">
        <v>50</v>
      </c>
      <c r="M46" s="140">
        <f t="shared" si="0"/>
        <v>31177.344000000001</v>
      </c>
      <c r="N46" s="141" t="str">
        <f>VLOOKUP(C46,'Trips&amp;Operators'!$C$1:$G$99999,5,FALSE)</f>
        <v>DAVIS WENDY</v>
      </c>
      <c r="O46" s="190" t="s">
        <v>185</v>
      </c>
      <c r="P46" s="142"/>
      <c r="Q46" s="30"/>
      <c r="R46" s="89" t="str">
        <f>IF(VLOOKUP(C46,'Train Runs'!$A$13:$AE$9942,1,1)=C46,VLOOKUP(C46,'Train Runs'!$A$13:$AE$9942,31,1),NA())</f>
        <v>aws s3 cp s3://rtdc.mdm.uploadarchive.raw/RTDC4044/ "%USERPROFILE%\AppData\Local\Temp\OnboardLogs"\RTDC4044\2017-03-27 --exclude "*" --recursive --include "*20170327*" &amp; "%USERPROFILE%\Documents\GitHub\mrs-test-scripts\Headless Mode &amp; Sideloading\WalkAndUnGZ.bat" "%USERPROFILE%\AppData\Local\Temp\OnboardLogs"\RTDC4044\2017-03-27 &amp; 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</v>
      </c>
      <c r="S46" s="92" t="str">
        <f>VLOOKUP(C46,'Train Runs'!$A$13:$AE$9942,22,0)</f>
        <v>https://d0f6bd738d7f1b3e5a7ca70fe4ff75f0.us-east-1.aws.found.io/app/kibana#/discover/Steve-Slow-Train-Analysis-(2080s-and-2083s)?_g=(refreshInterval:(display:Off,pause:!f,section:0,value:0),time:(from:'2017-03-27T03:50:15-0600',mode:absolute,to:'2017-03-27T06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6" s="94" t="str">
        <f t="shared" si="1"/>
        <v>"C:\Program Files (x86)\AstroGrep\AstroGrep.exe" /e /r /s /spath="%USERPROFILE%\AppData\Local\Temp\OnboardLogs" /stypes="*4044*201703271*" /stext=" 11:.+((SYSTEM_STATE.+slice.+state.+changed )|(ment ac)|(multiple cpu faults)|(system.+state.+changed )|(\[timeout)|(PRM\|1\|D)|(kpr)|(kdp)|(\|lc)|(penalty))"</v>
      </c>
      <c r="U46" s="9" t="str">
        <f t="shared" si="2"/>
        <v>4044</v>
      </c>
      <c r="V46" s="32">
        <f t="shared" si="3"/>
        <v>42821.462465277778</v>
      </c>
      <c r="W46" s="46" t="str">
        <f t="shared" si="4"/>
        <v>Other</v>
      </c>
      <c r="X46" s="46" t="str">
        <f t="shared" si="5"/>
        <v>OMIT</v>
      </c>
      <c r="Y46" s="104" t="str">
        <f t="shared" si="6"/>
        <v>echo {"issue":{"subject":"","project_id":79,"tracker_id":40,"status_id":1,"priority_id":2,"assigned_to_id":23,"start_date":"2017-03-27","description":"","custom_fields":[{"id":1,"name":"Subdivision","value":"Other"},{"id":4,"name":"Milepost","value":"5.9048"},{"id":17,"name":"Train ID","value":"901-27"},{"id":16,"name":"Locomotive ID","value":"4044"},{"id":130,"name":"Impact","value":""},{"id":150,"name":"Time of Event (Mountain Time)","value":"05:05:57"},{"id":151,"name":"Denver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7"/>
        <v>grep -hSE -A400 "Enforcement Action" "%USERPROFILE%\AppData\Local\Temp\OnboardLogs"\RTDC4044\*4044*201703271*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"%USERPROFILE%\AppData\Local\Temp\OnboardLogs"\RTDC4044\*4044*201703271* &gt;&gt; 2017-03-27-SliceDisagreementCheck.txt</v>
      </c>
      <c r="AE46" s="153" t="str">
        <f t="shared" si="9"/>
        <v>start /low /b %USERPROFILE%\Documents\GitHub\eaglep3\Utilities\DownloadLogsFromS3.py --loco 4044 --day 2017-03-27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6"/>
      <sortCondition ref="E7:E46"/>
      <sortCondition ref="K7:K46"/>
      <sortCondition ref="F7:F46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2017-03-27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216-27</v>
      </c>
      <c r="C3" s="143"/>
      <c r="D3" s="161"/>
      <c r="E3" s="30" t="s">
        <v>1027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-27%22)),sort:!(Time.ISO8601,asc))</v>
      </c>
      <c r="J3" s="30" t="e">
        <f>VLOOKUP(B3,'Train Runs'!$A$13:$A$99939,1,FALSE)</f>
        <v>#N/A</v>
      </c>
    </row>
    <row r="4" spans="1:10" x14ac:dyDescent="0.25">
      <c r="A4" s="181">
        <v>218</v>
      </c>
      <c r="B4" s="43" t="str">
        <f>A4&amp;"-"&amp;IF(DAY(Variables!$A$2)&lt;10,0,"")&amp;DAY(Variables!$A$2)</f>
        <v>218-27</v>
      </c>
      <c r="C4" s="143"/>
      <c r="D4" s="161"/>
      <c r="E4" s="30" t="s">
        <v>1027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-27%22)),sort:!(Time.ISO8601,asc))</v>
      </c>
      <c r="J4" s="30" t="e">
        <f>VLOOKUP(B4,'Train Runs'!$A$13:$A$99939,1,FALSE)</f>
        <v>#N/A</v>
      </c>
    </row>
    <row r="5" spans="1:10" x14ac:dyDescent="0.25">
      <c r="A5" s="181"/>
      <c r="B5" s="43" t="str">
        <f>A5&amp;"-"&amp;IF(DAY(Variables!$A$2)&lt;10,0,"")&amp;DAY(Variables!$A$2)</f>
        <v>-27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Runs'!$A$13:$A$99939,1,FALSE)</f>
        <v>#N/A</v>
      </c>
    </row>
    <row r="6" spans="1:10" x14ac:dyDescent="0.25">
      <c r="A6" s="181"/>
      <c r="B6" s="43" t="str">
        <f>A6&amp;"-"&amp;IF(DAY(Variables!$A$2)&lt;10,0,"")&amp;DAY(Variables!$A$2)</f>
        <v>-27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Runs'!$A$13:$A$99939,1,FALSE)</f>
        <v>#N/A</v>
      </c>
    </row>
    <row r="7" spans="1:10" x14ac:dyDescent="0.25">
      <c r="A7" s="181"/>
      <c r="B7" s="43" t="str">
        <f>A7&amp;"-"&amp;IF(DAY(Variables!$A$2)&lt;10,0,"")&amp;DAY(Variables!$A$2)</f>
        <v>-27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Runs'!$A$13:$A$99939,1,FALSE)</f>
        <v>#N/A</v>
      </c>
    </row>
    <row r="8" spans="1:10" x14ac:dyDescent="0.25">
      <c r="A8" s="181"/>
      <c r="B8" s="43" t="str">
        <f>A8&amp;"-"&amp;IF(DAY(Variables!$A$2)&lt;10,0,"")&amp;DAY(Variables!$A$2)</f>
        <v>-27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Runs'!$A$13:$A$99939,1,FALSE)</f>
        <v>#N/A</v>
      </c>
    </row>
    <row r="9" spans="1:10" x14ac:dyDescent="0.25">
      <c r="A9" s="181"/>
      <c r="B9" s="43" t="str">
        <f>A9&amp;"-"&amp;IF(DAY(Variables!$A$2)&lt;10,0,"")&amp;DAY(Variables!$A$2)</f>
        <v>-27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Runs'!$A$13:$A$99939,1,FALSE)</f>
        <v>#N/A</v>
      </c>
    </row>
    <row r="10" spans="1:10" x14ac:dyDescent="0.25">
      <c r="A10" s="181"/>
      <c r="B10" s="43" t="str">
        <f>A10&amp;"-"&amp;IF(DAY(Variables!$A$2)&lt;10,0,"")&amp;DAY(Variables!$A$2)</f>
        <v>-27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Runs'!$A$13:$A$99939,1,FALSE)</f>
        <v>#N/A</v>
      </c>
    </row>
    <row r="11" spans="1:10" x14ac:dyDescent="0.25">
      <c r="A11" s="181"/>
      <c r="B11" s="43" t="str">
        <f>A11&amp;"-"&amp;IF(DAY(Variables!$A$2)&lt;10,0,"")&amp;DAY(Variables!$A$2)</f>
        <v>-27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Runs'!$A$13:$A$99939,1,FALSE)</f>
        <v>#N/A</v>
      </c>
    </row>
    <row r="12" spans="1:10" x14ac:dyDescent="0.25">
      <c r="A12" s="181"/>
      <c r="B12" s="43" t="str">
        <f>A12&amp;"-"&amp;IF(DAY(Variables!$A$2)&lt;10,0,"")&amp;DAY(Variables!$A$2)</f>
        <v>-27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Runs'!$A$13:$A$99939,1,FALSE)</f>
        <v>#N/A</v>
      </c>
    </row>
    <row r="13" spans="1:10" x14ac:dyDescent="0.25">
      <c r="A13" s="181"/>
      <c r="B13" s="43" t="str">
        <f>A13&amp;"-"&amp;IF(DAY(Variables!$A$2)&lt;10,0,"")&amp;DAY(Variables!$A$2)</f>
        <v>-27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Runs'!$A$13:$A$99939,1,FALSE)</f>
        <v>#N/A</v>
      </c>
    </row>
    <row r="14" spans="1:10" x14ac:dyDescent="0.25">
      <c r="A14" s="181"/>
      <c r="B14" s="43" t="str">
        <f>A14&amp;"-"&amp;IF(DAY(Variables!$A$2)&lt;10,0,"")&amp;DAY(Variables!$A$2)</f>
        <v>-27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Runs'!$A$13:$A$99939,1,FALSE)</f>
        <v>#N/A</v>
      </c>
    </row>
    <row r="15" spans="1:10" x14ac:dyDescent="0.25">
      <c r="A15" s="181"/>
      <c r="B15" s="43" t="str">
        <f>A15&amp;"-"&amp;IF(DAY(Variables!$A$2)&lt;10,0,"")&amp;DAY(Variables!$A$2)</f>
        <v>-27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Runs'!$A$13:$A$99939,1,FALSE)</f>
        <v>#N/A</v>
      </c>
    </row>
    <row r="16" spans="1:10" x14ac:dyDescent="0.25">
      <c r="A16" s="181"/>
      <c r="B16" s="43" t="str">
        <f>A16&amp;"-"&amp;IF(DAY(Variables!$A$2)&lt;10,0,"")&amp;DAY(Variables!$A$2)</f>
        <v>-27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Runs'!$A$13:$A$99939,1,FALSE)</f>
        <v>#N/A</v>
      </c>
    </row>
    <row r="17" spans="1:10" x14ac:dyDescent="0.25">
      <c r="A17" s="181"/>
      <c r="B17" s="43" t="str">
        <f>A17&amp;"-"&amp;IF(DAY(Variables!$A$2)&lt;10,0,"")&amp;DAY(Variables!$A$2)</f>
        <v>-27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Runs'!$A$13:$A$99939,1,FALSE)</f>
        <v>#N/A</v>
      </c>
    </row>
    <row r="18" spans="1:10" x14ac:dyDescent="0.25">
      <c r="A18" s="181"/>
      <c r="B18" s="43" t="str">
        <f>A18&amp;"-"&amp;IF(DAY(Variables!$A$2)&lt;10,0,"")&amp;DAY(Variables!$A$2)</f>
        <v>-27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Runs'!$A$13:$A$99939,1,FALSE)</f>
        <v>#N/A</v>
      </c>
    </row>
    <row r="19" spans="1:10" x14ac:dyDescent="0.25">
      <c r="A19" s="181"/>
      <c r="B19" s="43" t="str">
        <f>A19&amp;"-"&amp;IF(DAY(Variables!$A$2)&lt;10,0,"")&amp;DAY(Variables!$A$2)</f>
        <v>-27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Runs'!$A$13:$A$99939,1,FALSE)</f>
        <v>#N/A</v>
      </c>
    </row>
    <row r="20" spans="1:10" x14ac:dyDescent="0.25">
      <c r="A20" s="181"/>
      <c r="B20" s="43" t="str">
        <f>A20&amp;"-"&amp;IF(DAY(Variables!$A$2)&lt;10,0,"")&amp;DAY(Variables!$A$2)</f>
        <v>-27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Runs'!$A$13:$A$99939,1,FALSE)</f>
        <v>#N/A</v>
      </c>
    </row>
    <row r="21" spans="1:10" x14ac:dyDescent="0.25">
      <c r="A21" s="181"/>
      <c r="B21" s="43" t="str">
        <f>A21&amp;"-"&amp;IF(DAY(Variables!$A$2)&lt;10,0,"")&amp;DAY(Variables!$A$2)</f>
        <v>-27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Runs'!$A$13:$A$99939,1,FALSE)</f>
        <v>#N/A</v>
      </c>
    </row>
    <row r="22" spans="1:10" x14ac:dyDescent="0.25">
      <c r="A22" s="181"/>
      <c r="B22" s="43" t="str">
        <f>A22&amp;"-"&amp;IF(DAY(Variables!$A$2)&lt;10,0,"")&amp;DAY(Variables!$A$2)</f>
        <v>-27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Runs'!$A$13:$A$99939,1,FALSE)</f>
        <v>#N/A</v>
      </c>
    </row>
    <row r="23" spans="1:10" x14ac:dyDescent="0.25">
      <c r="A23" s="181"/>
      <c r="B23" s="43" t="str">
        <f>A23&amp;"-"&amp;IF(DAY(Variables!$A$2)&lt;10,0,"")&amp;DAY(Variables!$A$2)</f>
        <v>-27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Runs'!$A$13:$A$99939,1,FALSE)</f>
        <v>#N/A</v>
      </c>
    </row>
    <row r="24" spans="1:10" x14ac:dyDescent="0.25">
      <c r="A24" s="181"/>
      <c r="B24" s="43" t="str">
        <f>A24&amp;"-"&amp;IF(DAY(Variables!$A$2)&lt;10,0,"")&amp;DAY(Variables!$A$2)</f>
        <v>-27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0" t="e">
        <f>VLOOKUP(B24,'Train Runs'!$A$13:$A$99939,1,FALSE)</f>
        <v>#N/A</v>
      </c>
    </row>
    <row r="25" spans="1:10" x14ac:dyDescent="0.25">
      <c r="A25" s="181"/>
      <c r="B25" s="43" t="str">
        <f>A25&amp;"-"&amp;IF(DAY(Variables!$A$2)&lt;10,0,"")&amp;DAY(Variables!$A$2)</f>
        <v>-27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0" t="e">
        <f>VLOOKUP(B25,'Train Runs'!$A$13:$A$99939,1,FALSE)</f>
        <v>#N/A</v>
      </c>
    </row>
    <row r="26" spans="1:10" x14ac:dyDescent="0.25">
      <c r="A26" s="181"/>
      <c r="B26" s="43" t="str">
        <f>A26&amp;"-"&amp;IF(DAY(Variables!$A$2)&lt;10,0,"")&amp;DAY(Variables!$A$2)</f>
        <v>-27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0" t="e">
        <f>VLOOKUP(B26,'Train Runs'!$A$13:$A$99939,1,FALSE)</f>
        <v>#N/A</v>
      </c>
    </row>
    <row r="27" spans="1:10" x14ac:dyDescent="0.25">
      <c r="A27" s="181"/>
      <c r="B27" s="43" t="str">
        <f>A27&amp;"-"&amp;IF(DAY(Variables!$A$2)&lt;10,0,"")&amp;DAY(Variables!$A$2)</f>
        <v>-27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0" t="e">
        <f>VLOOKUP(B27,'Train Runs'!$A$13:$A$99939,1,FALSE)</f>
        <v>#N/A</v>
      </c>
    </row>
    <row r="28" spans="1:10" x14ac:dyDescent="0.25">
      <c r="A28" s="181"/>
      <c r="B28" s="43" t="str">
        <f>A28&amp;"-"&amp;IF(DAY(Variables!$A$2)&lt;10,0,"")&amp;DAY(Variables!$A$2)</f>
        <v>-27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0" t="e">
        <f>VLOOKUP(B28,'Train Runs'!$A$13:$A$99939,1,FALSE)</f>
        <v>#N/A</v>
      </c>
    </row>
    <row r="29" spans="1:10" x14ac:dyDescent="0.25">
      <c r="A29" s="181"/>
      <c r="B29" s="43" t="str">
        <f>A29&amp;"-"&amp;IF(DAY(Variables!$A$2)&lt;10,0,"")&amp;DAY(Variables!$A$2)</f>
        <v>-27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9" s="30" t="e">
        <f>VLOOKUP(B29,'Train Runs'!$A$13:$A$99939,1,FALSE)</f>
        <v>#N/A</v>
      </c>
    </row>
    <row r="30" spans="1:10" x14ac:dyDescent="0.25">
      <c r="A30" s="181"/>
      <c r="B30" s="43" t="str">
        <f>A30&amp;"-"&amp;IF(DAY(Variables!$A$2)&lt;10,0,"")&amp;DAY(Variables!$A$2)</f>
        <v>-27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0" s="30" t="e">
        <f>VLOOKUP(B30,'Train Runs'!$A$13:$A$99939,1,FALSE)</f>
        <v>#N/A</v>
      </c>
    </row>
    <row r="31" spans="1:10" x14ac:dyDescent="0.25">
      <c r="A31" s="181"/>
      <c r="B31" s="43" t="str">
        <f>A31&amp;"-"&amp;IF(DAY(Variables!$A$2)&lt;10,0,"")&amp;DAY(Variables!$A$2)</f>
        <v>-27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1" s="30" t="e">
        <f>VLOOKUP(B31,'Train Runs'!$A$13:$A$99939,1,FALSE)</f>
        <v>#N/A</v>
      </c>
    </row>
    <row r="32" spans="1:10" x14ac:dyDescent="0.25">
      <c r="A32" s="181"/>
      <c r="B32" s="43" t="str">
        <f>A32&amp;"-"&amp;IF(DAY(Variables!$A$2)&lt;10,0,"")&amp;DAY(Variables!$A$2)</f>
        <v>-27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2" s="30" t="e">
        <f>VLOOKUP(B32,'Train Runs'!$A$13:$A$99939,1,FALSE)</f>
        <v>#N/A</v>
      </c>
    </row>
    <row r="33" spans="1:10" x14ac:dyDescent="0.25">
      <c r="A33" s="181"/>
      <c r="B33" s="43" t="str">
        <f>A33&amp;"-"&amp;IF(DAY(Variables!$A$2)&lt;10,0,"")&amp;DAY(Variables!$A$2)</f>
        <v>-27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3" s="30" t="e">
        <f>VLOOKUP(B33,'Train Runs'!$A$13:$A$99939,1,FALSE)</f>
        <v>#N/A</v>
      </c>
    </row>
    <row r="34" spans="1:10" x14ac:dyDescent="0.25">
      <c r="A34" s="181"/>
      <c r="B34" s="43" t="str">
        <f>A34&amp;"-"&amp;IF(DAY(Variables!$A$2)&lt;10,0,"")&amp;DAY(Variables!$A$2)</f>
        <v>-27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4" s="30" t="e">
        <f>VLOOKUP(B34,'Train Runs'!$A$13:$A$99939,1,FALSE)</f>
        <v>#N/A</v>
      </c>
    </row>
    <row r="35" spans="1:10" x14ac:dyDescent="0.25">
      <c r="A35" s="181"/>
      <c r="B35" s="43" t="str">
        <f>A35&amp;"-"&amp;IF(DAY(Variables!$A$2)&lt;10,0,"")&amp;DAY(Variables!$A$2)</f>
        <v>-27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5" s="30" t="e">
        <f>VLOOKUP(B35,'Train Runs'!$A$13:$A$99939,1,FALSE)</f>
        <v>#N/A</v>
      </c>
    </row>
    <row r="36" spans="1:10" x14ac:dyDescent="0.25">
      <c r="A36" s="181"/>
      <c r="B36" s="43" t="str">
        <f>A36&amp;"-"&amp;IF(DAY(Variables!$A$2)&lt;10,0,"")&amp;DAY(Variables!$A$2)</f>
        <v>-27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6" s="30" t="e">
        <f>VLOOKUP(B36,'Train Runs'!$A$13:$A$99939,1,FALSE)</f>
        <v>#N/A</v>
      </c>
    </row>
    <row r="37" spans="1:10" x14ac:dyDescent="0.25">
      <c r="A37" s="181"/>
      <c r="B37" s="43" t="str">
        <f>A37&amp;"-"&amp;IF(DAY(Variables!$A$2)&lt;10,0,"")&amp;DAY(Variables!$A$2)</f>
        <v>-27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7" s="30" t="e">
        <f>VLOOKUP(B37,'Train Runs'!$A$13:$A$99939,1,FALSE)</f>
        <v>#N/A</v>
      </c>
    </row>
    <row r="38" spans="1:10" x14ac:dyDescent="0.25">
      <c r="A38" s="181"/>
      <c r="B38" s="43" t="str">
        <f>A38&amp;"-"&amp;IF(DAY(Variables!$A$2)&lt;10,0,"")&amp;DAY(Variables!$A$2)</f>
        <v>-27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8" s="30" t="e">
        <f>VLOOKUP(B38,'Train Runs'!$A$13:$A$99939,1,FALSE)</f>
        <v>#N/A</v>
      </c>
    </row>
    <row r="39" spans="1:10" x14ac:dyDescent="0.25">
      <c r="A39" s="181"/>
      <c r="B39" s="43" t="str">
        <f>A39&amp;"-"&amp;IF(DAY(Variables!$A$2)&lt;10,0,"")&amp;DAY(Variables!$A$2)</f>
        <v>-27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9" s="30" t="e">
        <f>VLOOKUP(B39,'Train Runs'!$A$13:$A$99939,1,FALSE)</f>
        <v>#N/A</v>
      </c>
    </row>
    <row r="40" spans="1:10" x14ac:dyDescent="0.25">
      <c r="A40" s="181"/>
      <c r="B40" s="43" t="str">
        <f>A40&amp;"-"&amp;IF(DAY(Variables!$A$2)&lt;10,0,"")&amp;DAY(Variables!$A$2)</f>
        <v>-27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0" s="30" t="e">
        <f>VLOOKUP(B40,'Train Runs'!$A$13:$A$99939,1,FALSE)</f>
        <v>#N/A</v>
      </c>
    </row>
    <row r="41" spans="1:10" x14ac:dyDescent="0.25">
      <c r="A41" s="181"/>
      <c r="B41" s="43" t="str">
        <f>A41&amp;"-"&amp;IF(DAY(Variables!$A$2)&lt;10,0,"")&amp;DAY(Variables!$A$2)</f>
        <v>-27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1" s="30" t="e">
        <f>VLOOKUP(B41,'Train Runs'!$A$13:$A$99939,1,FALSE)</f>
        <v>#N/A</v>
      </c>
    </row>
    <row r="42" spans="1:10" x14ac:dyDescent="0.25">
      <c r="A42" s="181"/>
      <c r="B42" s="43" t="str">
        <f>A42&amp;"-"&amp;IF(DAY(Variables!$A$2)&lt;10,0,"")&amp;DAY(Variables!$A$2)</f>
        <v>-27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2" s="30" t="e">
        <f>VLOOKUP(B42,'Train Runs'!$A$13:$A$99939,1,FALSE)</f>
        <v>#N/A</v>
      </c>
    </row>
    <row r="43" spans="1:10" x14ac:dyDescent="0.25">
      <c r="A43" s="181"/>
      <c r="B43" s="43" t="str">
        <f>A43&amp;"-"&amp;IF(DAY(Variables!$A$2)&lt;10,0,"")&amp;DAY(Variables!$A$2)</f>
        <v>-27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3" s="30" t="e">
        <f>VLOOKUP(B43,'Train Runs'!$A$13:$A$99939,1,FALSE)</f>
        <v>#N/A</v>
      </c>
    </row>
    <row r="44" spans="1:10" x14ac:dyDescent="0.25">
      <c r="A44" s="181"/>
      <c r="B44" s="43" t="str">
        <f>A44&amp;"-"&amp;IF(DAY(Variables!$A$2)&lt;10,0,"")&amp;DAY(Variables!$A$2)</f>
        <v>-27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4" s="30" t="e">
        <f>VLOOKUP(B44,'Train Runs'!$A$13:$A$99939,1,FALSE)</f>
        <v>#N/A</v>
      </c>
    </row>
    <row r="45" spans="1:10" x14ac:dyDescent="0.25">
      <c r="A45" s="181"/>
      <c r="B45" s="43" t="str">
        <f>A45&amp;"-"&amp;IF(DAY(Variables!$A$2)&lt;10,0,"")&amp;DAY(Variables!$A$2)</f>
        <v>-27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5" s="30" t="e">
        <f>VLOOKUP(B45,'Train Runs'!$A$13:$A$99939,1,FALSE)</f>
        <v>#N/A</v>
      </c>
    </row>
    <row r="46" spans="1:10" x14ac:dyDescent="0.25">
      <c r="A46" s="181"/>
      <c r="B46" s="43" t="str">
        <f>A46&amp;"-"&amp;IF(DAY(Variables!$A$2)&lt;10,0,"")&amp;DAY(Variables!$A$2)</f>
        <v>-27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6" s="30" t="e">
        <f>VLOOKUP(B46,'Train Runs'!$A$13:$A$99939,1,FALSE)</f>
        <v>#N/A</v>
      </c>
    </row>
    <row r="47" spans="1:10" x14ac:dyDescent="0.25">
      <c r="A47" s="181"/>
      <c r="B47" s="43" t="str">
        <f>A47&amp;"-"&amp;IF(DAY(Variables!$A$2)&lt;10,0,"")&amp;DAY(Variables!$A$2)</f>
        <v>-27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7" s="30" t="e">
        <f>VLOOKUP(B47,'Train Runs'!$A$13:$A$99939,1,FALSE)</f>
        <v>#N/A</v>
      </c>
    </row>
    <row r="48" spans="1:10" x14ac:dyDescent="0.25">
      <c r="A48" s="181"/>
      <c r="B48" s="43" t="str">
        <f>A48&amp;"-"&amp;IF(DAY(Variables!$A$2)&lt;10,0,"")&amp;DAY(Variables!$A$2)</f>
        <v>-27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8" s="30" t="e">
        <f>VLOOKUP(B48,'Train Runs'!$A$13:$A$99939,1,FALSE)</f>
        <v>#N/A</v>
      </c>
    </row>
    <row r="49" spans="1:10" x14ac:dyDescent="0.25">
      <c r="A49" s="181"/>
      <c r="B49" s="43" t="str">
        <f>A49&amp;"-"&amp;IF(DAY(Variables!$A$2)&lt;10,0,"")&amp;DAY(Variables!$A$2)</f>
        <v>-27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9" s="30" t="e">
        <f>VLOOKUP(B49,'Train Runs'!$A$13:$A$99939,1,FALSE)</f>
        <v>#N/A</v>
      </c>
    </row>
    <row r="50" spans="1:10" x14ac:dyDescent="0.25">
      <c r="A50" s="181"/>
      <c r="B50" s="43" t="str">
        <f>A50&amp;"-"&amp;IF(DAY(Variables!$A$2)&lt;10,0,"")&amp;DAY(Variables!$A$2)</f>
        <v>-27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0" s="30" t="e">
        <f>VLOOKUP(B50,'Train Runs'!$A$13:$A$99939,1,FALSE)</f>
        <v>#N/A</v>
      </c>
    </row>
    <row r="51" spans="1:10" x14ac:dyDescent="0.25">
      <c r="A51" s="181"/>
      <c r="B51" s="43" t="str">
        <f>A51&amp;"-"&amp;IF(DAY(Variables!$A$2)&lt;10,0,"")&amp;DAY(Variables!$A$2)</f>
        <v>-27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1" s="30" t="e">
        <f>VLOOKUP(B51,'Train Runs'!$A$13:$A$99939,1,FALSE)</f>
        <v>#N/A</v>
      </c>
    </row>
    <row r="52" spans="1:10" x14ac:dyDescent="0.25">
      <c r="A52" s="181"/>
      <c r="B52" s="43" t="str">
        <f>A52&amp;"-"&amp;IF(DAY(Variables!$A$2)&lt;10,0,"")&amp;DAY(Variables!$A$2)</f>
        <v>-27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2" s="30" t="e">
        <f>VLOOKUP(B52,'Train Runs'!$A$13:$A$99939,1,FALSE)</f>
        <v>#N/A</v>
      </c>
    </row>
    <row r="53" spans="1:10" x14ac:dyDescent="0.25">
      <c r="A53" s="181"/>
      <c r="B53" s="43" t="str">
        <f>A53&amp;"-"&amp;IF(DAY(Variables!$A$2)&lt;10,0,"")&amp;DAY(Variables!$A$2)</f>
        <v>-27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3" s="30" t="e">
        <f>VLOOKUP(B53,'Train Runs'!$A$13:$A$99939,1,FALSE)</f>
        <v>#N/A</v>
      </c>
    </row>
    <row r="54" spans="1:10" x14ac:dyDescent="0.25">
      <c r="A54" s="181"/>
      <c r="B54" s="43" t="str">
        <f>A54&amp;"-"&amp;IF(DAY(Variables!$A$2)&lt;10,0,"")&amp;DAY(Variables!$A$2)</f>
        <v>-27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4" s="30" t="e">
        <f>VLOOKUP(B54,'Train Runs'!$A$13:$A$99939,1,FALSE)</f>
        <v>#N/A</v>
      </c>
    </row>
    <row r="55" spans="1:10" x14ac:dyDescent="0.25">
      <c r="A55" s="181"/>
      <c r="B55" s="43" t="str">
        <f>A55&amp;"-"&amp;IF(DAY(Variables!$A$2)&lt;10,0,"")&amp;DAY(Variables!$A$2)</f>
        <v>-27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5" s="30" t="e">
        <f>VLOOKUP(B55,'Train Runs'!$A$13:$A$99939,1,FALSE)</f>
        <v>#N/A</v>
      </c>
    </row>
    <row r="56" spans="1:10" x14ac:dyDescent="0.25">
      <c r="A56" s="181"/>
      <c r="B56" s="43" t="str">
        <f>A56&amp;"-"&amp;IF(DAY(Variables!$A$2)&lt;10,0,"")&amp;DAY(Variables!$A$2)</f>
        <v>-27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6" s="30" t="e">
        <f>VLOOKUP(B56,'Train Runs'!$A$13:$A$99939,1,FALSE)</f>
        <v>#N/A</v>
      </c>
    </row>
    <row r="57" spans="1:10" x14ac:dyDescent="0.25">
      <c r="A57" s="181"/>
      <c r="B57" s="43" t="str">
        <f>A57&amp;"-"&amp;IF(DAY(Variables!$A$2)&lt;10,0,"")&amp;DAY(Variables!$A$2)</f>
        <v>-27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7" s="30" t="e">
        <f>VLOOKUP(B57,'Train Runs'!$A$13:$A$99939,1,FALSE)</f>
        <v>#N/A</v>
      </c>
    </row>
    <row r="58" spans="1:10" x14ac:dyDescent="0.25">
      <c r="A58" s="181"/>
      <c r="B58" s="43" t="str">
        <f>A58&amp;"-"&amp;IF(DAY(Variables!$A$2)&lt;10,0,"")&amp;DAY(Variables!$A$2)</f>
        <v>-27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8" s="30" t="e">
        <f>VLOOKUP(B58,'Train Runs'!$A$13:$A$99939,1,FALSE)</f>
        <v>#N/A</v>
      </c>
    </row>
    <row r="59" spans="1:10" x14ac:dyDescent="0.25">
      <c r="A59" s="181"/>
      <c r="B59" s="43" t="str">
        <f>A59&amp;"-"&amp;IF(DAY(Variables!$A$2)&lt;10,0,"")&amp;DAY(Variables!$A$2)</f>
        <v>-27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9" s="30" t="e">
        <f>VLOOKUP(B59,'Train Runs'!$A$13:$A$99939,1,FALSE)</f>
        <v>#N/A</v>
      </c>
    </row>
    <row r="60" spans="1:10" x14ac:dyDescent="0.25">
      <c r="A60" s="181"/>
      <c r="B60" s="43" t="str">
        <f>A60&amp;"-"&amp;IF(DAY(Variables!$A$2)&lt;10,0,"")&amp;DAY(Variables!$A$2)</f>
        <v>-27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0" s="30" t="e">
        <f>VLOOKUP(B60,'Train Runs'!$A$13:$A$99939,1,FALSE)</f>
        <v>#N/A</v>
      </c>
    </row>
    <row r="61" spans="1:10" x14ac:dyDescent="0.25">
      <c r="A61" s="181"/>
      <c r="B61" s="43" t="str">
        <f>A61&amp;"-"&amp;IF(DAY(Variables!$A$2)&lt;10,0,"")&amp;DAY(Variables!$A$2)</f>
        <v>-27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1" s="30" t="e">
        <f>VLOOKUP(B61,'Train Runs'!$A$13:$A$99939,1,FALSE)</f>
        <v>#N/A</v>
      </c>
    </row>
    <row r="62" spans="1:10" x14ac:dyDescent="0.25">
      <c r="A62" s="181"/>
      <c r="B62" s="43" t="str">
        <f>A62&amp;"-"&amp;IF(DAY(Variables!$A$2)&lt;10,0,"")&amp;DAY(Variables!$A$2)</f>
        <v>-27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2" s="30" t="e">
        <f>VLOOKUP(B62,'Train Runs'!$A$13:$A$99939,1,FALSE)</f>
        <v>#N/A</v>
      </c>
    </row>
    <row r="63" spans="1:10" x14ac:dyDescent="0.25">
      <c r="A63" s="181"/>
      <c r="B63" s="43" t="str">
        <f>A63&amp;"-"&amp;IF(DAY(Variables!$A$2)&lt;10,0,"")&amp;DAY(Variables!$A$2)</f>
        <v>-27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3" s="30" t="e">
        <f>VLOOKUP(B63,'Train Runs'!$A$13:$A$99939,1,FALSE)</f>
        <v>#N/A</v>
      </c>
    </row>
    <row r="64" spans="1:10" x14ac:dyDescent="0.25">
      <c r="A64" s="181"/>
      <c r="B64" s="43" t="str">
        <f>A64&amp;"-"&amp;IF(DAY(Variables!$A$2)&lt;10,0,"")&amp;DAY(Variables!$A$2)</f>
        <v>-27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4" s="30" t="e">
        <f>VLOOKUP(B64,'Train Runs'!$A$13:$A$99939,1,FALSE)</f>
        <v>#N/A</v>
      </c>
    </row>
    <row r="65" spans="1:10" x14ac:dyDescent="0.25">
      <c r="A65" s="181"/>
      <c r="B65" s="43" t="str">
        <f>A65&amp;"-"&amp;IF(DAY(Variables!$A$2)&lt;10,0,"")&amp;DAY(Variables!$A$2)</f>
        <v>-27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5" s="30" t="e">
        <f>VLOOKUP(B65,'Train Runs'!$A$13:$A$99939,1,FALSE)</f>
        <v>#N/A</v>
      </c>
    </row>
    <row r="66" spans="1:10" x14ac:dyDescent="0.25">
      <c r="A66" s="181"/>
      <c r="B66" s="43" t="str">
        <f>A66&amp;"-"&amp;IF(DAY(Variables!$A$2)&lt;10,0,"")&amp;DAY(Variables!$A$2)</f>
        <v>-27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6" s="30" t="e">
        <f>VLOOKUP(B66,'Train Runs'!$A$13:$A$99939,1,FALSE)</f>
        <v>#N/A</v>
      </c>
    </row>
    <row r="67" spans="1:10" x14ac:dyDescent="0.25">
      <c r="A67" s="181"/>
      <c r="B67" s="43" t="str">
        <f>A67&amp;"-"&amp;IF(DAY(Variables!$A$2)&lt;10,0,"")&amp;DAY(Variables!$A$2)</f>
        <v>-27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7" s="30" t="e">
        <f>VLOOKUP(B67,'Train Runs'!$A$13:$A$99939,1,FALSE)</f>
        <v>#N/A</v>
      </c>
    </row>
    <row r="68" spans="1:10" x14ac:dyDescent="0.25">
      <c r="A68" s="181"/>
      <c r="B68" s="43" t="str">
        <f>A68&amp;"-"&amp;IF(DAY(Variables!$A$2)&lt;10,0,"")&amp;DAY(Variables!$A$2)</f>
        <v>-27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8" s="30" t="e">
        <f>VLOOKUP(B68,'Train Runs'!$A$13:$A$99939,1,FALSE)</f>
        <v>#N/A</v>
      </c>
    </row>
    <row r="69" spans="1:10" x14ac:dyDescent="0.25">
      <c r="A69" s="181"/>
      <c r="B69" s="43" t="str">
        <f>A69&amp;"-"&amp;IF(DAY(Variables!$A$2)&lt;10,0,"")&amp;DAY(Variables!$A$2)</f>
        <v>-27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9" s="30" t="e">
        <f>VLOOKUP(B69,'Train Runs'!$A$13:$A$99939,1,FALSE)</f>
        <v>#N/A</v>
      </c>
    </row>
    <row r="70" spans="1:10" x14ac:dyDescent="0.25">
      <c r="A70" s="181"/>
      <c r="B70" s="43" t="str">
        <f>A70&amp;"-"&amp;IF(DAY(Variables!$A$2)&lt;10,0,"")&amp;DAY(Variables!$A$2)</f>
        <v>-27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0" s="30" t="e">
        <f>VLOOKUP(B70,'Train Runs'!$A$13:$A$99939,1,FALSE)</f>
        <v>#N/A</v>
      </c>
    </row>
    <row r="71" spans="1:10" x14ac:dyDescent="0.25">
      <c r="A71" s="181"/>
      <c r="B71" s="43" t="str">
        <f>A71&amp;"-"&amp;IF(DAY(Variables!$A$2)&lt;10,0,"")&amp;DAY(Variables!$A$2)</f>
        <v>-27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1" s="30" t="e">
        <f>VLOOKUP(B71,'Train Runs'!$A$13:$A$99939,1,FALSE)</f>
        <v>#N/A</v>
      </c>
    </row>
    <row r="72" spans="1:10" x14ac:dyDescent="0.25">
      <c r="A72" s="181"/>
      <c r="B72" s="43" t="str">
        <f>A72&amp;"-"&amp;IF(DAY(Variables!$A$2)&lt;10,0,"")&amp;DAY(Variables!$A$2)</f>
        <v>-27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2" s="30" t="e">
        <f>VLOOKUP(B72,'Train Runs'!$A$13:$A$99939,1,FALSE)</f>
        <v>#N/A</v>
      </c>
    </row>
    <row r="73" spans="1:10" x14ac:dyDescent="0.25">
      <c r="A73" s="181"/>
      <c r="B73" s="43" t="str">
        <f>A73&amp;"-"&amp;IF(DAY(Variables!$A$2)&lt;10,0,"")&amp;DAY(Variables!$A$2)</f>
        <v>-27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3" s="30" t="e">
        <f>VLOOKUP(B73,'Train Runs'!$A$13:$A$99939,1,FALSE)</f>
        <v>#N/A</v>
      </c>
    </row>
    <row r="74" spans="1:10" x14ac:dyDescent="0.25">
      <c r="A74" s="181"/>
      <c r="B74" s="43" t="str">
        <f>A74&amp;"-"&amp;IF(DAY(Variables!$A$2)&lt;10,0,"")&amp;DAY(Variables!$A$2)</f>
        <v>-27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4" s="30" t="e">
        <f>VLOOKUP(B74,'Train Runs'!$A$13:$A$99939,1,FALSE)</f>
        <v>#N/A</v>
      </c>
    </row>
    <row r="75" spans="1:10" x14ac:dyDescent="0.25">
      <c r="A75" s="181"/>
      <c r="B75" s="43" t="str">
        <f>A75&amp;"-"&amp;IF(DAY(Variables!$A$2)&lt;10,0,"")&amp;DAY(Variables!$A$2)</f>
        <v>-27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5" s="30" t="e">
        <f>VLOOKUP(B75,'Train Runs'!$A$13:$A$99939,1,FALSE)</f>
        <v>#N/A</v>
      </c>
    </row>
    <row r="76" spans="1:10" x14ac:dyDescent="0.25">
      <c r="A76" s="181"/>
      <c r="B76" s="43" t="str">
        <f>A76&amp;"-"&amp;IF(DAY(Variables!$A$2)&lt;10,0,"")&amp;DAY(Variables!$A$2)</f>
        <v>-27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6" s="30" t="e">
        <f>VLOOKUP(B76,'Train Runs'!$A$13:$A$99939,1,FALSE)</f>
        <v>#N/A</v>
      </c>
    </row>
    <row r="77" spans="1:10" x14ac:dyDescent="0.25">
      <c r="A77" s="181"/>
      <c r="B77" s="43" t="str">
        <f>A77&amp;"-"&amp;IF(DAY(Variables!$A$2)&lt;10,0,"")&amp;DAY(Variables!$A$2)</f>
        <v>-27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7" s="30" t="e">
        <f>VLOOKUP(B77,'Train Runs'!$A$13:$A$99939,1,FALSE)</f>
        <v>#N/A</v>
      </c>
    </row>
    <row r="78" spans="1:10" x14ac:dyDescent="0.25">
      <c r="A78" s="181"/>
      <c r="B78" s="43" t="str">
        <f>A78&amp;"-"&amp;IF(DAY(Variables!$A$2)&lt;10,0,"")&amp;DAY(Variables!$A$2)</f>
        <v>-27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8" s="30" t="e">
        <f>VLOOKUP(B78,'Train Runs'!$A$13:$A$99939,1,FALSE)</f>
        <v>#N/A</v>
      </c>
    </row>
    <row r="79" spans="1:10" x14ac:dyDescent="0.25">
      <c r="A79" s="181"/>
      <c r="B79" s="43" t="str">
        <f>A79&amp;"-"&amp;IF(DAY(Variables!$A$2)&lt;10,0,"")&amp;DAY(Variables!$A$2)</f>
        <v>-27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9" s="30" t="e">
        <f>VLOOKUP(B79,'Train Runs'!$A$13:$A$99939,1,FALSE)</f>
        <v>#N/A</v>
      </c>
    </row>
    <row r="80" spans="1:10" x14ac:dyDescent="0.25">
      <c r="A80" s="181"/>
      <c r="B80" s="43" t="str">
        <f>A80&amp;"-"&amp;IF(DAY(Variables!$A$2)&lt;10,0,"")&amp;DAY(Variables!$A$2)</f>
        <v>-27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0" s="30" t="e">
        <f>VLOOKUP(B80,'Train Runs'!$A$13:$A$99939,1,FALSE)</f>
        <v>#N/A</v>
      </c>
    </row>
    <row r="81" spans="1:10" x14ac:dyDescent="0.25">
      <c r="A81" s="181"/>
      <c r="B81" s="43" t="str">
        <f>A81&amp;"-"&amp;IF(DAY(Variables!$A$2)&lt;10,0,"")&amp;DAY(Variables!$A$2)</f>
        <v>-27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1" s="30" t="e">
        <f>VLOOKUP(B81,'Train Runs'!$A$13:$A$99939,1,FALSE)</f>
        <v>#N/A</v>
      </c>
    </row>
    <row r="82" spans="1:10" x14ac:dyDescent="0.25">
      <c r="A82" s="181"/>
      <c r="B82" s="43" t="str">
        <f>A82&amp;"-"&amp;IF(DAY(Variables!$A$2)&lt;10,0,"")&amp;DAY(Variables!$A$2)</f>
        <v>-27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2" s="30" t="e">
        <f>VLOOKUP(B82,'Train Runs'!$A$13:$A$99939,1,FALSE)</f>
        <v>#N/A</v>
      </c>
    </row>
    <row r="83" spans="1:10" x14ac:dyDescent="0.25">
      <c r="A83" s="181"/>
      <c r="B83" s="43" t="str">
        <f>A83&amp;"-"&amp;IF(DAY(Variables!$A$2)&lt;10,0,"")&amp;DAY(Variables!$A$2)</f>
        <v>-27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3" s="30" t="e">
        <f>VLOOKUP(B83,'Train Runs'!$A$13:$A$99939,1,FALSE)</f>
        <v>#N/A</v>
      </c>
    </row>
    <row r="84" spans="1:10" x14ac:dyDescent="0.25">
      <c r="A84" s="181"/>
      <c r="B84" s="43" t="str">
        <f>A84&amp;"-"&amp;IF(DAY(Variables!$A$2)&lt;10,0,"")&amp;DAY(Variables!$A$2)</f>
        <v>-27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4" s="30" t="e">
        <f>VLOOKUP(B84,'Train Runs'!$A$13:$A$99939,1,FALSE)</f>
        <v>#N/A</v>
      </c>
    </row>
    <row r="85" spans="1:10" x14ac:dyDescent="0.25">
      <c r="A85" s="181"/>
      <c r="B85" s="43" t="str">
        <f>A85&amp;"-"&amp;IF(DAY(Variables!$A$2)&lt;10,0,"")&amp;DAY(Variables!$A$2)</f>
        <v>-27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5" s="30" t="e">
        <f>VLOOKUP(B85,'Train Runs'!$A$13:$A$99939,1,FALSE)</f>
        <v>#N/A</v>
      </c>
    </row>
    <row r="86" spans="1:10" x14ac:dyDescent="0.25">
      <c r="A86" s="181"/>
      <c r="B86" s="43" t="str">
        <f>A86&amp;"-"&amp;IF(DAY(Variables!$A$2)&lt;10,0,"")&amp;DAY(Variables!$A$2)</f>
        <v>-27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6" s="30" t="e">
        <f>VLOOKUP(B86,'Train Runs'!$A$13:$A$99939,1,FALSE)</f>
        <v>#N/A</v>
      </c>
    </row>
    <row r="87" spans="1:10" x14ac:dyDescent="0.25">
      <c r="A87" s="181"/>
      <c r="B87" s="43" t="str">
        <f>A87&amp;"-"&amp;IF(DAY(Variables!$A$2)&lt;10,0,"")&amp;DAY(Variables!$A$2)</f>
        <v>-27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7" s="30" t="e">
        <f>VLOOKUP(B87,'Train Runs'!$A$13:$A$99939,1,FALSE)</f>
        <v>#N/A</v>
      </c>
    </row>
    <row r="88" spans="1:10" x14ac:dyDescent="0.25">
      <c r="A88" s="181"/>
      <c r="B88" s="43" t="str">
        <f>A88&amp;"-"&amp;IF(DAY(Variables!$A$2)&lt;10,0,"")&amp;DAY(Variables!$A$2)</f>
        <v>-27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8" s="30" t="e">
        <f>VLOOKUP(B88,'Train Runs'!$A$13:$A$99939,1,FALSE)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359</v>
      </c>
      <c r="B1" s="203" t="s">
        <v>360</v>
      </c>
      <c r="C1" s="195" t="s">
        <v>368</v>
      </c>
      <c r="D1" s="207" t="s">
        <v>58</v>
      </c>
      <c r="E1" s="192" t="s">
        <v>24</v>
      </c>
      <c r="F1" s="207" t="s">
        <v>374</v>
      </c>
      <c r="G1" s="211" t="s">
        <v>94</v>
      </c>
      <c r="H1" s="213" t="s">
        <v>378</v>
      </c>
      <c r="I1" s="209" t="s">
        <v>377</v>
      </c>
      <c r="J1" s="205" t="s">
        <v>84</v>
      </c>
      <c r="K1" s="205" t="s">
        <v>373</v>
      </c>
      <c r="L1" s="200" t="s">
        <v>370</v>
      </c>
      <c r="M1" s="200" t="s">
        <v>361</v>
      </c>
      <c r="N1" s="200" t="s">
        <v>363</v>
      </c>
      <c r="O1" s="200" t="s">
        <v>364</v>
      </c>
      <c r="P1" s="200" t="s">
        <v>365</v>
      </c>
      <c r="Q1" s="199" t="s">
        <v>362</v>
      </c>
    </row>
    <row r="2" spans="1:17" x14ac:dyDescent="0.25">
      <c r="A2" s="197">
        <v>42800.21875</v>
      </c>
      <c r="B2" s="204" t="s">
        <v>367</v>
      </c>
      <c r="C2" s="194" t="s">
        <v>369</v>
      </c>
      <c r="D2" s="208">
        <v>104</v>
      </c>
      <c r="E2" s="30" t="s">
        <v>372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/stypes="*4015*201703061*"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"%USERPROFILE%\AppData\Local\Temp\OnboardLogs"\RTDC4015\*4015*201703061*</v>
      </c>
      <c r="I2" s="210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-27T03:31:39-0600',mode:absolute,to:'2017-03-27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104-27</v>
      </c>
      <c r="L2" s="202">
        <f>IF(VLOOKUP(K2,'Train Runs'!$A$12:$B$995,1,TRUE)=K2,VLOOKUP(K2,'Train Runs'!$A$12:$B$995,2,TRUE),NA())</f>
        <v>4015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367</v>
      </c>
      <c r="C3" s="194" t="s">
        <v>369</v>
      </c>
      <c r="D3" s="208">
        <v>126</v>
      </c>
      <c r="E3" s="30" t="s">
        <v>371</v>
      </c>
      <c r="F3" s="208" t="b">
        <v>1</v>
      </c>
      <c r="G3" s="212" t="str">
        <f t="shared" si="0"/>
        <v>"C:\Program Files (x86)\AstroGrep\AstroGrep.exe" /e /r /s /spath="%USERPROFILE%\AppData\Local\Temp\OnboardLogs" /stypes="*4052*201703061*"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"%USERPROFILE%\AppData\Local\Temp\OnboardLogs"\RTDC4052\*4052*201703061*</v>
      </c>
      <c r="I3" s="210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-27T06:23:09-0600',mode:absolute,to:'2017-03-27T09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126-27</v>
      </c>
      <c r="L3" s="202">
        <f>IF(VLOOKUP(K3,'Train Runs'!$A$12:$B$995,1,TRUE)=K3,VLOOKUP(K3,'Train Runs'!$A$12:$B$995,2,TRUE),NA())</f>
        <v>4052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367</v>
      </c>
      <c r="C4" s="194" t="s">
        <v>369</v>
      </c>
      <c r="D4" s="208">
        <v>128</v>
      </c>
      <c r="E4" s="30" t="s">
        <v>371</v>
      </c>
      <c r="F4" s="208" t="b">
        <v>1</v>
      </c>
      <c r="G4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"%USERPROFILE%\AppData\Local\Temp\OnboardLogs"\RTDC4039\*4039*201703061*</v>
      </c>
      <c r="I4" s="210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-27T06:37:33-0600',mode:absolute,to:'2017-03-27T09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128-27</v>
      </c>
      <c r="L4" s="202">
        <f>IF(VLOOKUP(K4,'Train Runs'!$A$12:$B$995,1,TRUE)=K4,VLOOKUP(K4,'Train Runs'!$A$12:$B$995,2,TRUE),NA())</f>
        <v>4039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367</v>
      </c>
      <c r="C5" s="194" t="s">
        <v>369</v>
      </c>
      <c r="D5" s="208">
        <f>D4+2</f>
        <v>130</v>
      </c>
      <c r="E5" s="30" t="s">
        <v>371</v>
      </c>
      <c r="F5" s="208" t="b">
        <v>1</v>
      </c>
      <c r="G5" s="212" t="str">
        <f t="shared" si="0"/>
        <v>"C:\Program Files (x86)\AstroGrep\AstroGrep.exe" /e /r /s /spath="%USERPROFILE%\AppData\Local\Temp\OnboardLogs" /stypes="*4054*201703061*"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"%USERPROFILE%\AppData\Local\Temp\OnboardLogs"\RTDC4054\*4054*201703061*</v>
      </c>
      <c r="I5" s="210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-27T06:59:12-0600',mode:absolute,to:'2017-03-27T09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130-27</v>
      </c>
      <c r="L5" s="202">
        <f>IF(VLOOKUP(K5,'Train Runs'!$A$12:$B$995,1,TRUE)=K5,VLOOKUP(K5,'Train Runs'!$A$12:$B$995,2,TRUE),NA())</f>
        <v>4054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367</v>
      </c>
      <c r="C6" s="194" t="s">
        <v>369</v>
      </c>
      <c r="D6" s="208">
        <f>D5+2</f>
        <v>132</v>
      </c>
      <c r="E6" s="30" t="s">
        <v>371</v>
      </c>
      <c r="F6" s="208" t="b">
        <v>1</v>
      </c>
      <c r="G6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"%USERPROFILE%\AppData\Local\Temp\OnboardLogs"\RTDC4015\*4015*201703061*</v>
      </c>
      <c r="I6" s="210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-27T07:14:22-0600',mode:absolute,to:'2017-03-27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6" s="206">
        <f t="shared" si="2"/>
        <v>42800.625</v>
      </c>
      <c r="K6" s="206" t="str">
        <f>D6&amp;"-"&amp;IF(DAY(Variables!$A$2)&lt;10,0,"")&amp;DAY(Variables!$A$2)</f>
        <v>132-27</v>
      </c>
      <c r="L6" s="202">
        <f>IF(VLOOKUP(K6,'Train Runs'!$A$12:$B$995,1,TRUE)=K6,VLOOKUP(K6,'Train Runs'!$A$12:$B$995,2,TRUE),NA())</f>
        <v>4015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367</v>
      </c>
      <c r="C7" s="194" t="s">
        <v>369</v>
      </c>
      <c r="D7" s="208">
        <f t="shared" ref="D7:D11" si="4">D6+2</f>
        <v>134</v>
      </c>
      <c r="E7" s="30" t="s">
        <v>371</v>
      </c>
      <c r="F7" s="208" t="b">
        <v>1</v>
      </c>
      <c r="G7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"%USERPROFILE%\AppData\Local\Temp\OnboardLogs"\RTDC4013\*4013*201703061*</v>
      </c>
      <c r="I7" s="210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-27T07:37:40-0600',mode:absolute,to:'2017-03-27T10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134-27</v>
      </c>
      <c r="L7" s="202">
        <f>IF(VLOOKUP(K7,'Train Runs'!$A$12:$B$995,1,TRUE)=K7,VLOOKUP(K7,'Train Runs'!$A$12:$B$995,2,TRUE),NA())</f>
        <v>4013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367</v>
      </c>
      <c r="C8" s="194" t="s">
        <v>369</v>
      </c>
      <c r="D8" s="208">
        <f t="shared" si="4"/>
        <v>136</v>
      </c>
      <c r="E8" s="30" t="s">
        <v>371</v>
      </c>
      <c r="F8" s="208" t="b">
        <v>1</v>
      </c>
      <c r="G8" s="212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"%USERPROFILE%\AppData\Local\Temp\OnboardLogs"\RTDC4004\*4004*201703061*</v>
      </c>
      <c r="I8" s="210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-27T07:49:32-0600',mode:absolute,to:'2017-03-27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136-27</v>
      </c>
      <c r="L8" s="202">
        <f>IF(VLOOKUP(K8,'Train Runs'!$A$12:$B$995,1,TRUE)=K8,VLOOKUP(K8,'Train Runs'!$A$12:$B$995,2,TRUE),NA())</f>
        <v>4004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367</v>
      </c>
      <c r="C9" s="194" t="s">
        <v>369</v>
      </c>
      <c r="D9" s="208">
        <f t="shared" si="4"/>
        <v>138</v>
      </c>
      <c r="E9" s="30" t="s">
        <v>371</v>
      </c>
      <c r="F9" s="208" t="b">
        <v>1</v>
      </c>
      <c r="G9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"%USERPROFILE%\AppData\Local\Temp\OnboardLogs"\RTDC4026\*4026*201703061*</v>
      </c>
      <c r="I9" s="210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-27T07:55:44-0600',mode:absolute,to:'2017-03-27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138-27</v>
      </c>
      <c r="L9" s="202">
        <f>IF(VLOOKUP(K9,'Train Runs'!$A$12:$B$995,1,TRUE)=K9,VLOOKUP(K9,'Train Runs'!$A$12:$B$995,2,TRUE),NA())</f>
        <v>4026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367</v>
      </c>
      <c r="C10" s="194" t="s">
        <v>369</v>
      </c>
      <c r="D10" s="208">
        <f t="shared" si="4"/>
        <v>140</v>
      </c>
      <c r="E10" s="30" t="s">
        <v>371</v>
      </c>
      <c r="F10" s="208" t="b">
        <v>1</v>
      </c>
      <c r="G10" s="212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"%USERPROFILE%\AppData\Local\Temp\OnboardLogs"\RTDC4052\*4052*201703061*</v>
      </c>
      <c r="I10" s="210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-27T08:06:50-0600',mode:absolute,to:'2017-03-27T11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140-27</v>
      </c>
      <c r="L10" s="202">
        <f>IF(VLOOKUP(K10,'Train Runs'!$A$12:$B$995,1,TRUE)=K10,VLOOKUP(K10,'Train Runs'!$A$12:$B$995,2,TRUE),NA())</f>
        <v>4052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367</v>
      </c>
      <c r="C11" s="194" t="s">
        <v>369</v>
      </c>
      <c r="D11" s="208">
        <f t="shared" si="4"/>
        <v>142</v>
      </c>
      <c r="E11" s="30" t="s">
        <v>371</v>
      </c>
      <c r="F11" s="208" t="b">
        <v>1</v>
      </c>
      <c r="G11" s="212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"%USERPROFILE%\AppData\Local\Temp\OnboardLogs"\RTDC4039\*4039*201703061*</v>
      </c>
      <c r="I11" s="210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-27T08:22:00-0600',mode:absolute,to:'2017-03-27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142-27</v>
      </c>
      <c r="L11" s="202">
        <f>IF(VLOOKUP(K11,'Train Runs'!$A$12:$B$995,1,TRUE)=K11,VLOOKUP(K11,'Train Runs'!$A$12:$B$995,2,TRUE),NA())</f>
        <v>4039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367</v>
      </c>
      <c r="C12" s="194" t="s">
        <v>369</v>
      </c>
      <c r="D12" s="208">
        <v>144</v>
      </c>
      <c r="E12" s="30" t="s">
        <v>371</v>
      </c>
      <c r="F12" s="208" t="b">
        <v>1</v>
      </c>
      <c r="G12" s="212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"%USERPROFILE%\AppData\Local\Temp\OnboardLogs"\RTDC4054\*4054*201703061*</v>
      </c>
      <c r="I12" s="210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-27T08:46:03-0600',mode:absolute,to:'2017-03-27T11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144-27</v>
      </c>
      <c r="L12" s="202">
        <f>IF(VLOOKUP(K12,'Train Runs'!$A$12:$B$995,1,TRUE)=K12,VLOOKUP(K12,'Train Runs'!$A$12:$B$995,2,TRUE),NA())</f>
        <v>4054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367</v>
      </c>
      <c r="C13" s="194" t="s">
        <v>369</v>
      </c>
      <c r="D13" s="208">
        <v>146</v>
      </c>
      <c r="E13" s="30" t="s">
        <v>371</v>
      </c>
      <c r="F13" s="208" t="b">
        <v>1</v>
      </c>
      <c r="G13" s="212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"%USERPROFILE%\AppData\Local\Temp\OnboardLogs"\RTDC4015\*4015*201703061*</v>
      </c>
      <c r="I13" s="210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-27T09:03:23-0600',mode:absolute,to:'2017-03-27T11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146-27</v>
      </c>
      <c r="L13" s="202">
        <f>IF(VLOOKUP(K13,'Train Runs'!$A$12:$B$995,1,TRUE)=K13,VLOOKUP(K13,'Train Runs'!$A$12:$B$995,2,TRUE),NA())</f>
        <v>4015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367</v>
      </c>
      <c r="C14" s="194" t="s">
        <v>369</v>
      </c>
      <c r="D14" s="208">
        <v>148</v>
      </c>
      <c r="E14" s="30" t="s">
        <v>375</v>
      </c>
      <c r="F14" s="208" t="b">
        <v>1</v>
      </c>
      <c r="G14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"%USERPROFILE%\AppData\Local\Temp\OnboardLogs"\RTDC4013\*4013*201703061*</v>
      </c>
      <c r="I14" s="210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-27T09:22:30-0600',mode:absolute,to:'2017-03-27T12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148-27</v>
      </c>
      <c r="L14" s="202">
        <f>IF(VLOOKUP(K14,'Train Runs'!$A$12:$B$995,1,TRUE)=K14,VLOOKUP(K14,'Train Runs'!$A$12:$B$995,2,TRUE),NA())</f>
        <v>4013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367</v>
      </c>
      <c r="C15" s="194" t="s">
        <v>369</v>
      </c>
      <c r="D15" s="208">
        <v>178</v>
      </c>
      <c r="E15" s="30" t="s">
        <v>376</v>
      </c>
      <c r="F15" s="208" t="b">
        <v>1</v>
      </c>
      <c r="G15" s="212" t="str">
        <f t="shared" si="0"/>
        <v>"C:\Program Files (x86)\AstroGrep\AstroGrep.exe" /e /r /s /spath="%USERPROFILE%\AppData\Local\Temp\OnboardLogs" /stypes="*4004*201703062*"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"%USERPROFILE%\AppData\Local\Temp\OnboardLogs"\RTDC4004\*4004*201703062*</v>
      </c>
      <c r="I15" s="210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-27T13:04:21-0600',mode:absolute,to:'2017-03-27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178-27</v>
      </c>
      <c r="L15" s="202">
        <f>IF(VLOOKUP(K15,'Train Runs'!$A$12:$B$995,1,TRUE)=K15,VLOOKUP(K15,'Train Runs'!$A$12:$B$995,2,TRUE),NA())</f>
        <v>4004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367</v>
      </c>
      <c r="C16" s="194" t="s">
        <v>369</v>
      </c>
      <c r="D16" s="208">
        <v>194</v>
      </c>
      <c r="E16" s="30" t="s">
        <v>376</v>
      </c>
      <c r="F16" s="208" t="b">
        <v>1</v>
      </c>
      <c r="G16" s="212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"%USERPROFILE%\AppData\Local\Temp\OnboardLogs"\RTDC4026\*4026*201703062*</v>
      </c>
      <c r="I16" s="210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-27T15:02:17-0600',mode:absolute,to:'2017-03-27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194-27</v>
      </c>
      <c r="L16" s="202">
        <f>IF(VLOOKUP(K16,'Train Runs'!$A$12:$B$995,1,TRUE)=K16,VLOOKUP(K16,'Train Runs'!$A$12:$B$995,2,TRUE),NA())</f>
        <v>4026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367</v>
      </c>
      <c r="C17" s="194" t="s">
        <v>369</v>
      </c>
      <c r="D17" s="208">
        <v>206</v>
      </c>
      <c r="E17" s="30" t="s">
        <v>371</v>
      </c>
      <c r="F17" s="208" t="b">
        <v>1</v>
      </c>
      <c r="G17" s="212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"%USERPROFILE%\AppData\Local\Temp\OnboardLogs"\RTDC4004\*4004*201703070*</v>
      </c>
      <c r="I17" s="210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-27T16:36:29-0600',mode:absolute,to:'2017-03-27T19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206-27</v>
      </c>
      <c r="L17" s="202">
        <f>IF(VLOOKUP(K17,'Train Runs'!$A$12:$B$995,1,TRUE)=K17,VLOOKUP(K17,'Train Runs'!$A$12:$B$995,2,TRUE),NA())</f>
        <v>4004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367</v>
      </c>
      <c r="C18" s="194" t="s">
        <v>369</v>
      </c>
      <c r="D18" s="208">
        <v>210</v>
      </c>
      <c r="E18" s="30" t="s">
        <v>371</v>
      </c>
      <c r="F18" s="208" t="b">
        <v>1</v>
      </c>
      <c r="G18" s="212" t="str">
        <f t="shared" si="0"/>
        <v>"C:\Program Files (x86)\AstroGrep\AstroGrep.exe" /e /r /s /spath="%USERPROFILE%\AppData\Local\Temp\OnboardLogs" /stypes="*4052*201703070*"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"%USERPROFILE%\AppData\Local\Temp\OnboardLogs"\RTDC4052\*4052*201703070*</v>
      </c>
      <c r="I18" s="210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-27T17:07:46-0600',mode:absolute,to:'2017-03-27T19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210-27</v>
      </c>
      <c r="L18" s="202">
        <f>IF(VLOOKUP(K18,'Train Runs'!$A$12:$B$995,1,TRUE)=K18,VLOOKUP(K18,'Train Runs'!$A$12:$B$995,2,TRUE),NA())</f>
        <v>4052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367</v>
      </c>
      <c r="C19" s="194" t="s">
        <v>369</v>
      </c>
      <c r="D19" s="208">
        <f>D18+2</f>
        <v>212</v>
      </c>
      <c r="E19" s="30" t="s">
        <v>371</v>
      </c>
      <c r="F19" s="208" t="b">
        <v>1</v>
      </c>
      <c r="G19" s="212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"%USERPROFILE%\AppData\Local\Temp\OnboardLogs"\RTDC4039\*4039*201703070*</v>
      </c>
      <c r="I19" s="210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-27T17:21:55-0600',mode:absolute,to:'2017-03-27T20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212-27</v>
      </c>
      <c r="L19" s="202">
        <f>IF(VLOOKUP(K19,'Train Runs'!$A$12:$B$995,1,TRUE)=K19,VLOOKUP(K19,'Train Runs'!$A$12:$B$995,2,TRUE),NA())</f>
        <v>4039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367</v>
      </c>
      <c r="C20" s="194" t="s">
        <v>369</v>
      </c>
      <c r="D20" s="208">
        <v>214</v>
      </c>
      <c r="E20" s="30" t="s">
        <v>371</v>
      </c>
      <c r="F20" s="208" t="b">
        <v>1</v>
      </c>
      <c r="G20" s="212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"%USERPROFILE%\AppData\Local\Temp\OnboardLogs"\RTDC4054\*4054*201703070*</v>
      </c>
      <c r="I20" s="210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-27T17:29:04-0600',mode:absolute,to:'2017-03-27T21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214-27</v>
      </c>
      <c r="L20" s="202">
        <f>IF(VLOOKUP(K20,'Train Runs'!$A$12:$B$995,1,TRUE)=K20,VLOOKUP(K20,'Train Runs'!$A$12:$B$995,2,TRUE),NA())</f>
        <v>4054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367</v>
      </c>
      <c r="C21" s="194" t="s">
        <v>369</v>
      </c>
      <c r="D21" s="208">
        <v>216</v>
      </c>
      <c r="E21" s="30" t="s">
        <v>371</v>
      </c>
      <c r="F21" s="208" t="b">
        <v>1</v>
      </c>
      <c r="G21" s="212" t="e">
        <f t="shared" si="0"/>
        <v>#N/A</v>
      </c>
      <c r="H21" s="214" t="e">
        <f t="shared" si="1"/>
        <v>#N/A</v>
      </c>
      <c r="I21" s="210" t="e">
        <f>IF(VLOOKUP(K21,'Train Runs'!$A$13:$V$995,1,TRUE)=K21,VLOOKUP(K21,'Train Runs'!$A$13:$V$995,22,TRUE),NA())</f>
        <v>#N/A</v>
      </c>
      <c r="J21" s="206">
        <f t="shared" si="2"/>
        <v>42801.069444444445</v>
      </c>
      <c r="K21" s="206" t="str">
        <f>D21&amp;"-"&amp;IF(DAY(Variables!$A$2)&lt;10,0,"")&amp;DAY(Variables!$A$2)</f>
        <v>216-27</v>
      </c>
      <c r="L21" s="202" t="e">
        <f>IF(VLOOKUP(K21,'Train Runs'!$A$12:$B$995,1,TRUE)=K21,VLOOKUP(K21,'Train Runs'!$A$12:$B$995,2,TRUE),NA())</f>
        <v>#N/A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367</v>
      </c>
      <c r="C22" s="194" t="s">
        <v>369</v>
      </c>
      <c r="D22" s="208">
        <f>D21+2</f>
        <v>218</v>
      </c>
      <c r="E22" s="30" t="s">
        <v>371</v>
      </c>
      <c r="F22" s="208" t="b">
        <v>1</v>
      </c>
      <c r="G22" s="212" t="e">
        <f t="shared" si="0"/>
        <v>#N/A</v>
      </c>
      <c r="H22" s="214" t="e">
        <f t="shared" si="1"/>
        <v>#N/A</v>
      </c>
      <c r="I22" s="210" t="e">
        <f>IF(VLOOKUP(K22,'Train Runs'!$A$13:$V$995,1,TRUE)=K22,VLOOKUP(K22,'Train Runs'!$A$13:$V$995,22,TRUE),NA())</f>
        <v>#N/A</v>
      </c>
      <c r="J22" s="206">
        <f t="shared" si="2"/>
        <v>42801.078472222223</v>
      </c>
      <c r="K22" s="206" t="str">
        <f>D22&amp;"-"&amp;IF(DAY(Variables!$A$2)&lt;10,0,"")&amp;DAY(Variables!$A$2)</f>
        <v>218-27</v>
      </c>
      <c r="L22" s="202" t="e">
        <f>IF(VLOOKUP(K22,'Train Runs'!$A$12:$B$995,1,TRUE)=K22,VLOOKUP(K22,'Train Runs'!$A$12:$B$995,2,TRUE),NA())</f>
        <v>#N/A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367</v>
      </c>
      <c r="C23" s="194" t="s">
        <v>369</v>
      </c>
      <c r="D23" s="208">
        <f>D22+2</f>
        <v>220</v>
      </c>
      <c r="E23" s="30" t="s">
        <v>371</v>
      </c>
      <c r="F23" s="208" t="b">
        <v>1</v>
      </c>
      <c r="G23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"%USERPROFILE%\AppData\Local\Temp\OnboardLogs"\RTDC4013\*4013*201703070*</v>
      </c>
      <c r="I23" s="210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-27T19:30:05-0600',mode:absolute,to:'2017-03-27T21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220-27</v>
      </c>
      <c r="L23" s="202">
        <f>IF(VLOOKUP(K23,'Train Runs'!$A$12:$B$995,1,TRUE)=K23,VLOOKUP(K23,'Train Runs'!$A$12:$B$995,2,TRUE),NA())</f>
        <v>4013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367</v>
      </c>
      <c r="C24" s="194" t="s">
        <v>369</v>
      </c>
      <c r="D24" s="208">
        <f>D23+2</f>
        <v>222</v>
      </c>
      <c r="E24" s="30" t="s">
        <v>371</v>
      </c>
      <c r="F24" s="208" t="b">
        <v>1</v>
      </c>
      <c r="G24" s="212" t="str">
        <f t="shared" si="0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"%USERPROFILE%\AppData\Local\Temp\OnboardLogs"\RTDC4052\*4052*201703070*</v>
      </c>
      <c r="I24" s="210" t="str">
        <f>IF(VLOOKUP(K24,'Train Runs'!$A$13:$V$995,1,TRUE)=K24,VLOOKUP(K24,'Train Runs'!$A$13:$V$995,22,TRUE),NA())</f>
        <v>https://d0f6bd738d7f1b3e5a7ca70fe4ff75f0.us-east-1.aws.found.io/app/kibana#/discover/Steve-Slow-Train-Analysis-(2080s-and-2083s)?_g=(refreshInterval:(display:Off,pause:!f,section:0,value:0),time:(from:'2017-03-27T19:08:14-0600',mode:absolute,to:'2017-03-27T21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222-27</v>
      </c>
      <c r="L24" s="202">
        <f>IF(VLOOKUP(K24,'Train Runs'!$A$12:$B$995,1,TRUE)=K24,VLOOKUP(K24,'Train Runs'!$A$12:$B$995,2,TRUE),NA())</f>
        <v>4052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367</v>
      </c>
      <c r="C25" s="194" t="s">
        <v>369</v>
      </c>
      <c r="D25" s="208">
        <f>D24+2</f>
        <v>224</v>
      </c>
      <c r="E25" s="30" t="s">
        <v>371</v>
      </c>
      <c r="F25" s="208" t="b">
        <v>1</v>
      </c>
      <c r="G25" s="212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"%USERPROFILE%\AppData\Local\Temp\OnboardLogs"\RTDC4028\*4028*201703070*</v>
      </c>
      <c r="I25" s="210" t="str">
        <f>IF(VLOOKUP(K25,'Train Runs'!$A$13:$V$995,1,TRUE)=K25,VLOOKUP(K25,'Train Runs'!$A$13:$V$995,22,TRUE),NA())</f>
        <v>https://d0f6bd738d7f1b3e5a7ca70fe4ff75f0.us-east-1.aws.found.io/app/kibana#/discover/Steve-Slow-Train-Analysis-(2080s-and-2083s)?_g=(refreshInterval:(display:Off,pause:!f,section:0,value:0),time:(from:'2017-03-27T18:59:25-0600',mode:absolute,to:'2017-03-27T21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224-27</v>
      </c>
      <c r="L25" s="202">
        <f>IF(VLOOKUP(K25,'Train Runs'!$A$12:$B$995,1,TRUE)=K25,VLOOKUP(K25,'Train Runs'!$A$12:$B$995,2,TRUE),NA())</f>
        <v>4028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367</v>
      </c>
      <c r="C26" s="194" t="s">
        <v>369</v>
      </c>
      <c r="D26" s="208">
        <f>D25+2</f>
        <v>226</v>
      </c>
      <c r="E26" s="30" t="s">
        <v>371</v>
      </c>
      <c r="F26" s="208" t="b">
        <v>1</v>
      </c>
      <c r="G26" s="212" t="str">
        <f t="shared" si="0"/>
        <v>"C:\Program Files (x86)\AstroGrep\AstroGrep.exe" /e /r /s /spath="%USERPROFILE%\AppData\Local\Temp\OnboardLogs" /stypes="*4004*201703070*"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"%USERPROFILE%\AppData\Local\Temp\OnboardLogs"\RTDC4004\*4004*201703070*</v>
      </c>
      <c r="I26" s="210" t="str">
        <f>IF(VLOOKUP(K26,'Train Runs'!$A$13:$V$995,1,TRUE)=K26,VLOOKUP(K26,'Train Runs'!$A$13:$V$995,22,TRUE),NA())</f>
        <v>https://d0f6bd738d7f1b3e5a7ca70fe4ff75f0.us-east-1.aws.found.io/app/kibana#/discover/Steve-Slow-Train-Analysis-(2080s-and-2083s)?_g=(refreshInterval:(display:Off,pause:!f,section:0,value:0),time:(from:'2017-03-27T19:50:08-0600',mode:absolute,to:'2017-03-27T22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226-27</v>
      </c>
      <c r="L26" s="202">
        <f>IF(VLOOKUP(K26,'Train Runs'!$A$12:$B$995,1,TRUE)=K26,VLOOKUP(K26,'Train Runs'!$A$12:$B$995,2,TRUE),NA())</f>
        <v>4004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367</v>
      </c>
      <c r="C27" s="194" t="s">
        <v>369</v>
      </c>
      <c r="D27" s="208">
        <f t="shared" ref="D27:D33" si="5">D26+2</f>
        <v>228</v>
      </c>
      <c r="E27" s="30" t="s">
        <v>371</v>
      </c>
      <c r="F27" s="208" t="b">
        <v>1</v>
      </c>
      <c r="G27" s="212" t="str">
        <f t="shared" si="0"/>
        <v>"C:\Program Files (x86)\AstroGrep\AstroGrep.exe" /e /r /s /spath="%USERPROFILE%\AppData\Local\Temp\OnboardLogs" /stypes="*4054*201703070*"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"%USERPROFILE%\AppData\Local\Temp\OnboardLogs"\RTDC4054\*4054*201703070*</v>
      </c>
      <c r="I27" s="210" t="str">
        <f>IF(VLOOKUP(K27,'Train Runs'!$A$13:$V$995,1,TRUE)=K27,VLOOKUP(K27,'Train Runs'!$A$13:$V$995,22,TRUE),NA())</f>
        <v>https://d0f6bd738d7f1b3e5a7ca70fe4ff75f0.us-east-1.aws.found.io/app/kibana#/discover/Steve-Slow-Train-Analysis-(2080s-and-2083s)?_g=(refreshInterval:(display:Off,pause:!f,section:0,value:0),time:(from:'2017-03-27T20:29:19-0600',mode:absolute,to:'2017-03-27T23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228-27</v>
      </c>
      <c r="L27" s="202">
        <f>IF(VLOOKUP(K27,'Train Runs'!$A$12:$B$995,1,TRUE)=K27,VLOOKUP(K27,'Train Runs'!$A$12:$B$995,2,TRUE),NA())</f>
        <v>4054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367</v>
      </c>
      <c r="C28" s="194" t="s">
        <v>369</v>
      </c>
      <c r="D28" s="208">
        <f t="shared" si="5"/>
        <v>230</v>
      </c>
      <c r="E28" s="30" t="s">
        <v>371</v>
      </c>
      <c r="F28" s="208" t="b">
        <v>1</v>
      </c>
      <c r="G28" s="212" t="str">
        <f t="shared" si="0"/>
        <v>"C:\Program Files (x86)\AstroGrep\AstroGrep.exe" /e /r /s /spath="%USERPROFILE%\AppData\Local\Temp\OnboardLogs" /stypes="*4028*201703070*"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"%USERPROFILE%\AppData\Local\Temp\OnboardLogs"\RTDC4028\*4028*201703070*</v>
      </c>
      <c r="I28" s="210" t="str">
        <f>IF(VLOOKUP(K28,'Train Runs'!$A$13:$V$995,1,TRUE)=K28,VLOOKUP(K28,'Train Runs'!$A$13:$V$995,22,TRUE),NA())</f>
        <v>https://d0f6bd738d7f1b3e5a7ca70fe4ff75f0.us-east-1.aws.found.io/app/kibana#/discover/Steve-Slow-Train-Analysis-(2080s-and-2083s)?_g=(refreshInterval:(display:Off,pause:!f,section:0,value:0),time:(from:'2017-03-27T20:53:07-0600',mode:absolute,to:'2017-03-27T23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230-27</v>
      </c>
      <c r="L28" s="202">
        <f>IF(VLOOKUP(K28,'Train Runs'!$A$12:$B$995,1,TRUE)=K28,VLOOKUP(K28,'Train Runs'!$A$12:$B$995,2,TRUE),NA())</f>
        <v>4028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367</v>
      </c>
      <c r="C29" s="194" t="s">
        <v>369</v>
      </c>
      <c r="D29" s="208">
        <f t="shared" si="5"/>
        <v>232</v>
      </c>
      <c r="E29" s="30" t="s">
        <v>371</v>
      </c>
      <c r="F29" s="208" t="b">
        <v>1</v>
      </c>
      <c r="G29" s="212" t="str">
        <f t="shared" si="0"/>
        <v>"C:\Program Files (x86)\AstroGrep\AstroGrep.exe" /e /r /s /spath="%USERPROFILE%\AppData\Local\Temp\OnboardLogs" /stypes="*4052*201703070*"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"%USERPROFILE%\AppData\Local\Temp\OnboardLogs"\RTDC4052\*4052*201703070*</v>
      </c>
      <c r="I29" s="210" t="str">
        <f>IF(VLOOKUP(K29,'Train Runs'!$A$13:$V$995,1,TRUE)=K29,VLOOKUP(K29,'Train Runs'!$A$13:$V$995,22,TRUE),NA())</f>
        <v>https://d0f6bd738d7f1b3e5a7ca70fe4ff75f0.us-east-1.aws.found.io/app/kibana#/discover/Steve-Slow-Train-Analysis-(2080s-and-2083s)?_g=(refreshInterval:(display:Off,pause:!f,section:0,value:0),time:(from:'2017-03-27T21:21:41-0600',mode:absolute,to:'2017-03-28T01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232-27</v>
      </c>
      <c r="L29" s="202">
        <f>IF(VLOOKUP(K29,'Train Runs'!$A$12:$B$995,1,TRUE)=K29,VLOOKUP(K29,'Train Runs'!$A$12:$B$995,2,TRUE),NA())</f>
        <v>4052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367</v>
      </c>
      <c r="C30" s="194" t="s">
        <v>369</v>
      </c>
      <c r="D30" s="208">
        <f t="shared" si="5"/>
        <v>234</v>
      </c>
      <c r="E30" s="30" t="s">
        <v>371</v>
      </c>
      <c r="F30" s="208" t="b">
        <v>1</v>
      </c>
      <c r="G30" s="212" t="str">
        <f t="shared" si="0"/>
        <v>"C:\Program Files (x86)\AstroGrep\AstroGrep.exe" /e /r /s /spath="%USERPROFILE%\AppData\Local\Temp\OnboardLogs" /stypes="*4004*201703070*"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"%USERPROFILE%\AppData\Local\Temp\OnboardLogs"\RTDC4004\*4004*201703070*</v>
      </c>
      <c r="I30" s="210" t="str">
        <f>IF(VLOOKUP(K30,'Train Runs'!$A$13:$V$995,1,TRUE)=K30,VLOOKUP(K30,'Train Runs'!$A$13:$V$995,22,TRUE),NA())</f>
        <v>https://d0f6bd738d7f1b3e5a7ca70fe4ff75f0.us-east-1.aws.found.io/app/kibana#/discover/Steve-Slow-Train-Analysis-(2080s-and-2083s)?_g=(refreshInterval:(display:Off,pause:!f,section:0,value:0),time:(from:'2017-03-27T22:06:09-0600',mode:absolute,to:'2017-03-28T00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234-27</v>
      </c>
      <c r="L30" s="202">
        <f>IF(VLOOKUP(K30,'Train Runs'!$A$12:$B$995,1,TRUE)=K30,VLOOKUP(K30,'Train Runs'!$A$12:$B$995,2,TRUE),NA())</f>
        <v>4004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367</v>
      </c>
      <c r="C31" s="194" t="s">
        <v>369</v>
      </c>
      <c r="D31" s="208">
        <f t="shared" si="5"/>
        <v>236</v>
      </c>
      <c r="E31" s="30" t="s">
        <v>371</v>
      </c>
      <c r="F31" s="208" t="b">
        <v>1</v>
      </c>
      <c r="G31" s="212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"%USERPROFILE%\AppData\Local\Temp\OnboardLogs"\RTDC4054\*4054*201703070*</v>
      </c>
      <c r="I31" s="210" t="str">
        <f>IF(VLOOKUP(K31,'Train Runs'!$A$13:$V$995,1,TRUE)=K31,VLOOKUP(K31,'Train Runs'!$A$13:$V$995,22,TRUE),NA())</f>
        <v>https://d0f6bd738d7f1b3e5a7ca70fe4ff75f0.us-east-1.aws.found.io/app/kibana#/discover/Steve-Slow-Train-Analysis-(2080s-and-2083s)?_g=(refreshInterval:(display:Off,pause:!f,section:0,value:0),time:(from:'2017-03-27T22:26:56-0600',mode:absolute,to:'2017-03-28T01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236-27</v>
      </c>
      <c r="L31" s="202">
        <f>IF(VLOOKUP(K31,'Train Runs'!$A$12:$B$995,1,TRUE)=K31,VLOOKUP(K31,'Train Runs'!$A$12:$B$995,2,TRUE),NA())</f>
        <v>4054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367</v>
      </c>
      <c r="C32" s="194" t="s">
        <v>369</v>
      </c>
      <c r="D32" s="208">
        <f t="shared" si="5"/>
        <v>238</v>
      </c>
      <c r="E32" s="30" t="s">
        <v>371</v>
      </c>
      <c r="F32" s="208" t="b">
        <v>1</v>
      </c>
      <c r="G32" s="212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"%USERPROFILE%\AppData\Local\Temp\OnboardLogs"\RTDC4028\*4028*201703070*</v>
      </c>
      <c r="I32" s="210" t="str">
        <f>IF(VLOOKUP(K32,'Train Runs'!$A$13:$V$995,1,TRUE)=K32,VLOOKUP(K32,'Train Runs'!$A$13:$V$995,22,TRUE),NA())</f>
        <v>https://d0f6bd738d7f1b3e5a7ca70fe4ff75f0.us-east-1.aws.found.io/app/kibana#/discover/Steve-Slow-Train-Analysis-(2080s-and-2083s)?_g=(refreshInterval:(display:Off,pause:!f,section:0,value:0),time:(from:'2017-03-27T22:49:46-0600',mode:absolute,to:'2017-03-28T01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238-27</v>
      </c>
      <c r="L32" s="202">
        <f>IF(VLOOKUP(K32,'Train Runs'!$A$12:$B$995,1,TRUE)=K32,VLOOKUP(K32,'Train Runs'!$A$12:$B$995,2,TRUE),NA())</f>
        <v>4028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367</v>
      </c>
      <c r="C33" s="194" t="s">
        <v>369</v>
      </c>
      <c r="D33" s="208">
        <f t="shared" si="5"/>
        <v>240</v>
      </c>
      <c r="E33" s="30" t="s">
        <v>371</v>
      </c>
      <c r="F33" s="208" t="b">
        <v>1</v>
      </c>
      <c r="G33" s="212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"%USERPROFILE%\AppData\Local\Temp\OnboardLogs"\RTDC4052\*4052*201703070*</v>
      </c>
      <c r="I33" s="210" t="str">
        <f>IF(VLOOKUP(K33,'Train Runs'!$A$13:$V$995,1,TRUE)=K33,VLOOKUP(K33,'Train Runs'!$A$13:$V$995,22,TRUE),NA())</f>
        <v>https://d0f6bd738d7f1b3e5a7ca70fe4ff75f0.us-east-1.aws.found.io/app/kibana#/discover/Steve-Slow-Train-Analysis-(2080s-and-2083s)?_g=(refreshInterval:(display:Off,pause:!f,section:0,value:0),time:(from:'2017-03-27T23:21:49-0600',mode:absolute,to:'2017-03-28T02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240-27</v>
      </c>
      <c r="L33" s="202">
        <f>IF(VLOOKUP(K33,'Train Runs'!$A$12:$B$995,1,TRUE)=K33,VLOOKUP(K33,'Train Runs'!$A$12:$B$995,2,TRUE),NA())</f>
        <v>4052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367</v>
      </c>
      <c r="C34" s="194" t="s">
        <v>369</v>
      </c>
      <c r="D34" s="208">
        <v>240</v>
      </c>
      <c r="E34" s="30" t="s">
        <v>371</v>
      </c>
      <c r="F34" s="208" t="b">
        <v>1</v>
      </c>
      <c r="G34" s="212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"%USERPROFILE%\AppData\Local\Temp\OnboardLogs"\RTDC4052\*4052*201703070*</v>
      </c>
      <c r="I34" s="210" t="str">
        <f>IF(VLOOKUP(K34,'Train Runs'!$A$13:$V$995,1,TRUE)=K34,VLOOKUP(K34,'Train Runs'!$A$13:$V$995,22,TRUE),NA())</f>
        <v>https://d0f6bd738d7f1b3e5a7ca70fe4ff75f0.us-east-1.aws.found.io/app/kibana#/discover/Steve-Slow-Train-Analysis-(2080s-and-2083s)?_g=(refreshInterval:(display:Off,pause:!f,section:0,value:0),time:(from:'2017-03-27T23:21:49-0600',mode:absolute,to:'2017-03-28T02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240-27</v>
      </c>
      <c r="L34" s="202">
        <f>IF(VLOOKUP(K34,'Train Runs'!$A$12:$B$995,1,TRUE)=K34,VLOOKUP(K34,'Train Runs'!$A$12:$B$995,2,TRUE),NA())</f>
        <v>4052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367</v>
      </c>
      <c r="C35" s="194" t="s">
        <v>369</v>
      </c>
      <c r="D35" s="208">
        <v>242</v>
      </c>
      <c r="E35" s="30" t="s">
        <v>371</v>
      </c>
      <c r="F35" s="208" t="b">
        <v>1</v>
      </c>
      <c r="G35" s="212" t="str">
        <f t="shared" si="0"/>
        <v>"C:\Program Files (x86)\AstroGrep\AstroGrep.exe" /e /r /s /spath="%USERPROFILE%\AppData\Local\Temp\OnboardLogs" /stypes="*4004*201703070*"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"%USERPROFILE%\AppData\Local\Temp\OnboardLogs"\RTDC4004\*4004*201703070*</v>
      </c>
      <c r="I35" s="210" t="str">
        <f>IF(VLOOKUP(K35,'Train Runs'!$A$13:$V$995,1,TRUE)=K35,VLOOKUP(K35,'Train Runs'!$A$13:$V$995,22,TRUE),NA())</f>
        <v>https://d0f6bd738d7f1b3e5a7ca70fe4ff75f0.us-east-1.aws.found.io/app/kibana#/discover/Steve-Slow-Train-Analysis-(2080s-and-2083s)?_g=(refreshInterval:(display:Off,pause:!f,section:0,value:0),time:(from:'2017-03-27T23:45:17-0600',mode:absolute,to:'2017-03-28T02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242-27</v>
      </c>
      <c r="L35" s="202">
        <f>IF(VLOOKUP(K35,'Train Runs'!$A$12:$B$995,1,TRUE)=K35,VLOOKUP(K35,'Train Runs'!$A$12:$B$995,2,TRUE),NA())</f>
        <v>4004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42821.047164351854</v>
      </c>
      <c r="B2" s="20" t="s">
        <v>386</v>
      </c>
      <c r="C2" s="20" t="s">
        <v>542</v>
      </c>
      <c r="D2" s="146">
        <v>1810000</v>
      </c>
      <c r="E2" s="20" t="s">
        <v>459</v>
      </c>
      <c r="F2" s="20" t="s">
        <v>195</v>
      </c>
      <c r="G2" s="8" t="str">
        <f>E2&amp;" "&amp;F2</f>
        <v>NEWELL JAMES</v>
      </c>
    </row>
    <row r="3" spans="1:7" x14ac:dyDescent="0.25">
      <c r="A3" s="8">
        <v>42821.050578703704</v>
      </c>
      <c r="B3" s="20" t="s">
        <v>453</v>
      </c>
      <c r="C3" s="20" t="s">
        <v>541</v>
      </c>
      <c r="D3" s="146">
        <v>2730000</v>
      </c>
      <c r="E3" s="20" t="s">
        <v>539</v>
      </c>
      <c r="F3" s="20" t="s">
        <v>540</v>
      </c>
      <c r="G3" s="8" t="str">
        <f t="shared" ref="G3:G66" si="0">E3&amp;" "&amp;F3</f>
        <v>YANG JAN</v>
      </c>
    </row>
    <row r="4" spans="1:7" x14ac:dyDescent="0.25">
      <c r="A4" s="8">
        <v>42821.058495370373</v>
      </c>
      <c r="B4" s="20" t="s">
        <v>485</v>
      </c>
      <c r="C4" s="20" t="s">
        <v>543</v>
      </c>
      <c r="D4" s="146">
        <v>2000000</v>
      </c>
      <c r="E4" s="20" t="s">
        <v>387</v>
      </c>
      <c r="F4" s="20" t="s">
        <v>195</v>
      </c>
      <c r="G4" s="8" t="str">
        <f t="shared" si="0"/>
        <v>STAMBAUGH JAMES</v>
      </c>
    </row>
    <row r="5" spans="1:7" x14ac:dyDescent="0.25">
      <c r="A5" s="8">
        <v>42821.068425925929</v>
      </c>
      <c r="B5" s="20" t="s">
        <v>450</v>
      </c>
      <c r="C5" s="20" t="s">
        <v>538</v>
      </c>
      <c r="D5" s="146">
        <v>2730000</v>
      </c>
      <c r="E5" s="20" t="s">
        <v>539</v>
      </c>
      <c r="F5" s="20" t="s">
        <v>540</v>
      </c>
      <c r="G5" s="8" t="str">
        <f t="shared" si="0"/>
        <v>YANG JAN</v>
      </c>
    </row>
    <row r="6" spans="1:7" x14ac:dyDescent="0.25">
      <c r="A6" s="8">
        <v>42821.069618055553</v>
      </c>
      <c r="B6" s="20" t="s">
        <v>389</v>
      </c>
      <c r="C6" s="20" t="s">
        <v>544</v>
      </c>
      <c r="D6" s="146">
        <v>2230000</v>
      </c>
      <c r="E6" s="20" t="s">
        <v>397</v>
      </c>
      <c r="F6" s="20" t="s">
        <v>198</v>
      </c>
      <c r="G6" s="8" t="str">
        <f t="shared" si="0"/>
        <v>SMITH MICHAEL</v>
      </c>
    </row>
    <row r="7" spans="1:7" x14ac:dyDescent="0.25">
      <c r="A7" s="8">
        <v>42821.087881944448</v>
      </c>
      <c r="B7" s="20" t="s">
        <v>391</v>
      </c>
      <c r="C7" s="20" t="s">
        <v>545</v>
      </c>
      <c r="D7" s="146">
        <v>2000000</v>
      </c>
      <c r="E7" s="20" t="s">
        <v>387</v>
      </c>
      <c r="F7" s="20" t="s">
        <v>195</v>
      </c>
      <c r="G7" s="8" t="str">
        <f t="shared" si="0"/>
        <v>STAMBAUGH JAMES</v>
      </c>
    </row>
    <row r="8" spans="1:7" x14ac:dyDescent="0.25">
      <c r="A8" s="8">
        <v>42821.09615740741</v>
      </c>
      <c r="B8" s="20" t="s">
        <v>453</v>
      </c>
      <c r="C8" s="20" t="s">
        <v>541</v>
      </c>
      <c r="D8" s="146">
        <v>2730000</v>
      </c>
      <c r="E8" s="20" t="s">
        <v>539</v>
      </c>
      <c r="F8" s="20" t="s">
        <v>540</v>
      </c>
      <c r="G8" s="8" t="str">
        <f t="shared" si="0"/>
        <v>YANG JAN</v>
      </c>
    </row>
    <row r="9" spans="1:7" ht="15.75" thickBot="1" x14ac:dyDescent="0.3">
      <c r="A9" s="24">
        <v>42821.116597222222</v>
      </c>
      <c r="B9" s="20" t="s">
        <v>484</v>
      </c>
      <c r="C9" s="20" t="s">
        <v>628</v>
      </c>
      <c r="D9" s="146">
        <v>1360000</v>
      </c>
      <c r="E9" s="20" t="s">
        <v>629</v>
      </c>
      <c r="F9" s="20" t="s">
        <v>630</v>
      </c>
      <c r="G9" s="8" t="str">
        <f t="shared" si="0"/>
        <v>SANTIZO D. EDY</v>
      </c>
    </row>
    <row r="10" spans="1:7" x14ac:dyDescent="0.25">
      <c r="A10" s="8">
        <v>42821.126539351855</v>
      </c>
      <c r="B10" s="20" t="s">
        <v>526</v>
      </c>
      <c r="C10" s="20" t="s">
        <v>631</v>
      </c>
      <c r="D10" s="146">
        <v>1360000</v>
      </c>
      <c r="E10" s="20" t="s">
        <v>629</v>
      </c>
      <c r="F10" s="20" t="s">
        <v>630</v>
      </c>
      <c r="G10" s="8" t="str">
        <f t="shared" si="0"/>
        <v>SANTIZO D. EDY</v>
      </c>
    </row>
    <row r="11" spans="1:7" x14ac:dyDescent="0.25">
      <c r="A11" s="8">
        <v>42821.142106481479</v>
      </c>
      <c r="B11" s="20" t="s">
        <v>400</v>
      </c>
      <c r="C11" s="20" t="s">
        <v>632</v>
      </c>
      <c r="D11" s="146">
        <v>2010000</v>
      </c>
      <c r="E11" s="20" t="s">
        <v>529</v>
      </c>
      <c r="F11" s="20" t="s">
        <v>530</v>
      </c>
      <c r="G11" s="8" t="str">
        <f t="shared" si="0"/>
        <v>MAELZER KURT</v>
      </c>
    </row>
    <row r="12" spans="1:7" x14ac:dyDescent="0.25">
      <c r="A12" s="8">
        <v>42821.152928240743</v>
      </c>
      <c r="B12" s="20" t="s">
        <v>505</v>
      </c>
      <c r="C12" s="20" t="s">
        <v>633</v>
      </c>
      <c r="D12" s="146">
        <v>2010000</v>
      </c>
      <c r="E12" s="20" t="s">
        <v>529</v>
      </c>
      <c r="F12" s="20" t="s">
        <v>530</v>
      </c>
      <c r="G12" s="8" t="str">
        <f t="shared" si="0"/>
        <v>MAELZER KURT</v>
      </c>
    </row>
    <row r="13" spans="1:7" x14ac:dyDescent="0.25">
      <c r="A13" s="8">
        <v>42821.161782407406</v>
      </c>
      <c r="B13" s="20" t="s">
        <v>448</v>
      </c>
      <c r="C13" s="20" t="s">
        <v>591</v>
      </c>
      <c r="D13" s="146">
        <v>1110000</v>
      </c>
      <c r="E13" s="20" t="s">
        <v>634</v>
      </c>
      <c r="F13" s="20" t="s">
        <v>635</v>
      </c>
      <c r="G13" s="8" t="str">
        <f t="shared" si="0"/>
        <v>STARKS ANGELINA</v>
      </c>
    </row>
    <row r="14" spans="1:7" x14ac:dyDescent="0.25">
      <c r="A14" s="8">
        <v>42821.163842592592</v>
      </c>
      <c r="B14" s="20" t="s">
        <v>484</v>
      </c>
      <c r="C14" s="20" t="s">
        <v>636</v>
      </c>
      <c r="D14" s="146">
        <v>1360000</v>
      </c>
      <c r="E14" s="20" t="s">
        <v>629</v>
      </c>
      <c r="F14" s="20" t="s">
        <v>630</v>
      </c>
      <c r="G14" s="8" t="str">
        <f t="shared" si="0"/>
        <v>SANTIZO D. EDY</v>
      </c>
    </row>
    <row r="15" spans="1:7" x14ac:dyDescent="0.25">
      <c r="A15" s="8">
        <v>42821.171967592592</v>
      </c>
      <c r="B15" s="20" t="s">
        <v>445</v>
      </c>
      <c r="C15" s="20" t="s">
        <v>637</v>
      </c>
      <c r="D15" s="146">
        <v>3020000</v>
      </c>
      <c r="E15" s="20" t="s">
        <v>638</v>
      </c>
      <c r="F15" s="20" t="s">
        <v>639</v>
      </c>
      <c r="G15" s="8" t="str">
        <f t="shared" si="0"/>
        <v>MENGES BRAD</v>
      </c>
    </row>
    <row r="16" spans="1:7" x14ac:dyDescent="0.25">
      <c r="A16" s="8">
        <v>42821.174953703703</v>
      </c>
      <c r="B16" s="20" t="s">
        <v>471</v>
      </c>
      <c r="C16" s="20" t="s">
        <v>591</v>
      </c>
      <c r="D16" s="146">
        <v>1110000</v>
      </c>
      <c r="E16" s="20" t="s">
        <v>634</v>
      </c>
      <c r="F16" s="20" t="s">
        <v>635</v>
      </c>
      <c r="G16" s="8" t="str">
        <f t="shared" si="0"/>
        <v>STARKS ANGELINA</v>
      </c>
    </row>
    <row r="17" spans="1:7" x14ac:dyDescent="0.25">
      <c r="A17" s="8">
        <v>42821.176041666666</v>
      </c>
      <c r="B17" s="20" t="s">
        <v>471</v>
      </c>
      <c r="C17" s="20" t="s">
        <v>640</v>
      </c>
      <c r="D17" s="146">
        <v>1110000</v>
      </c>
      <c r="E17" s="20" t="s">
        <v>634</v>
      </c>
      <c r="F17" s="20" t="s">
        <v>635</v>
      </c>
      <c r="G17" s="8" t="str">
        <f t="shared" si="0"/>
        <v>STARKS ANGELINA</v>
      </c>
    </row>
    <row r="18" spans="1:7" x14ac:dyDescent="0.25">
      <c r="A18" s="8">
        <v>42821.176238425927</v>
      </c>
      <c r="B18" s="20" t="s">
        <v>446</v>
      </c>
      <c r="C18" s="20" t="s">
        <v>641</v>
      </c>
      <c r="D18" s="146">
        <v>1520000</v>
      </c>
      <c r="E18" s="20" t="s">
        <v>527</v>
      </c>
      <c r="F18" s="20" t="s">
        <v>528</v>
      </c>
      <c r="G18" s="8" t="str">
        <f t="shared" si="0"/>
        <v>MAYBERRY BILL</v>
      </c>
    </row>
    <row r="19" spans="1:7" x14ac:dyDescent="0.25">
      <c r="A19" s="8">
        <v>42821.18246527778</v>
      </c>
      <c r="B19" s="20" t="s">
        <v>447</v>
      </c>
      <c r="C19" s="20" t="s">
        <v>642</v>
      </c>
      <c r="D19" s="146">
        <v>3020000</v>
      </c>
      <c r="E19" s="20" t="s">
        <v>638</v>
      </c>
      <c r="F19" s="20" t="s">
        <v>639</v>
      </c>
      <c r="G19" s="8" t="str">
        <f t="shared" si="0"/>
        <v>MENGES BRAD</v>
      </c>
    </row>
    <row r="20" spans="1:7" x14ac:dyDescent="0.25">
      <c r="A20" s="8">
        <v>42821.1875462963</v>
      </c>
      <c r="B20" s="20" t="s">
        <v>449</v>
      </c>
      <c r="C20" s="20" t="s">
        <v>643</v>
      </c>
      <c r="D20" s="146">
        <v>1520000</v>
      </c>
      <c r="E20" s="20" t="s">
        <v>527</v>
      </c>
      <c r="F20" s="20" t="s">
        <v>528</v>
      </c>
      <c r="G20" s="8" t="str">
        <f t="shared" si="0"/>
        <v>MAYBERRY BILL</v>
      </c>
    </row>
    <row r="21" spans="1:7" x14ac:dyDescent="0.25">
      <c r="A21" s="8">
        <v>42821.188946759263</v>
      </c>
      <c r="B21" s="20" t="s">
        <v>400</v>
      </c>
      <c r="C21" s="20" t="s">
        <v>644</v>
      </c>
      <c r="D21" s="146">
        <v>2010000</v>
      </c>
      <c r="E21" s="20" t="s">
        <v>529</v>
      </c>
      <c r="F21" s="20" t="s">
        <v>530</v>
      </c>
      <c r="G21" s="8" t="str">
        <f t="shared" si="0"/>
        <v>MAELZER KURT</v>
      </c>
    </row>
    <row r="22" spans="1:7" x14ac:dyDescent="0.25">
      <c r="A22" s="26">
        <v>42821.202233796299</v>
      </c>
      <c r="B22" s="20" t="s">
        <v>401</v>
      </c>
      <c r="C22" s="20" t="s">
        <v>592</v>
      </c>
      <c r="D22" s="146">
        <v>1990000</v>
      </c>
      <c r="E22" s="20" t="s">
        <v>531</v>
      </c>
      <c r="F22" s="20" t="s">
        <v>532</v>
      </c>
      <c r="G22" s="8" t="str">
        <f t="shared" si="0"/>
        <v>DAVIS WENDY</v>
      </c>
    </row>
    <row r="23" spans="1:7" x14ac:dyDescent="0.25">
      <c r="A23" s="8">
        <v>42821.203622685185</v>
      </c>
      <c r="B23" s="20" t="s">
        <v>526</v>
      </c>
      <c r="C23" s="20" t="s">
        <v>645</v>
      </c>
      <c r="D23" s="146">
        <v>1830000</v>
      </c>
      <c r="E23" s="20" t="s">
        <v>473</v>
      </c>
      <c r="F23" s="20" t="s">
        <v>474</v>
      </c>
      <c r="G23" s="8" t="str">
        <f t="shared" si="0"/>
        <v>YORK EDGAR</v>
      </c>
    </row>
    <row r="24" spans="1:7" x14ac:dyDescent="0.25">
      <c r="A24" s="8">
        <v>42821.203726851854</v>
      </c>
      <c r="B24" s="20" t="s">
        <v>401</v>
      </c>
      <c r="C24" s="20" t="s">
        <v>592</v>
      </c>
      <c r="D24" s="146">
        <v>1990000</v>
      </c>
      <c r="E24" s="20" t="s">
        <v>531</v>
      </c>
      <c r="F24" s="20" t="s">
        <v>532</v>
      </c>
      <c r="G24" s="8" t="str">
        <f t="shared" si="0"/>
        <v>DAVIS WENDY</v>
      </c>
    </row>
    <row r="25" spans="1:7" x14ac:dyDescent="0.25">
      <c r="A25" s="8">
        <v>42821.204004629632</v>
      </c>
      <c r="B25" s="20" t="s">
        <v>483</v>
      </c>
      <c r="C25" s="20" t="s">
        <v>646</v>
      </c>
      <c r="D25" s="146">
        <v>1360000</v>
      </c>
      <c r="E25" s="20" t="s">
        <v>629</v>
      </c>
      <c r="F25" s="20" t="s">
        <v>630</v>
      </c>
      <c r="G25" s="8" t="str">
        <f t="shared" si="0"/>
        <v>SANTIZO D. EDY</v>
      </c>
    </row>
    <row r="26" spans="1:7" x14ac:dyDescent="0.25">
      <c r="A26" s="8">
        <v>42821.213969907411</v>
      </c>
      <c r="B26" s="20" t="s">
        <v>402</v>
      </c>
      <c r="C26" s="20" t="s">
        <v>593</v>
      </c>
      <c r="D26" s="146">
        <v>1990000</v>
      </c>
      <c r="E26" s="20" t="s">
        <v>531</v>
      </c>
      <c r="F26" s="20" t="s">
        <v>532</v>
      </c>
      <c r="G26" s="8" t="str">
        <f t="shared" si="0"/>
        <v>DAVIS WENDY</v>
      </c>
    </row>
    <row r="27" spans="1:7" x14ac:dyDescent="0.25">
      <c r="A27" s="8">
        <v>42821.214039351849</v>
      </c>
      <c r="B27" s="20" t="s">
        <v>448</v>
      </c>
      <c r="C27" s="20" t="s">
        <v>647</v>
      </c>
      <c r="D27" s="146">
        <v>1110000</v>
      </c>
      <c r="E27" s="20" t="s">
        <v>634</v>
      </c>
      <c r="F27" s="20" t="s">
        <v>635</v>
      </c>
      <c r="G27" s="8" t="str">
        <f t="shared" si="0"/>
        <v>STARKS ANGELINA</v>
      </c>
    </row>
    <row r="28" spans="1:7" x14ac:dyDescent="0.25">
      <c r="A28" s="8">
        <v>42821.22042824074</v>
      </c>
      <c r="B28" s="20" t="s">
        <v>445</v>
      </c>
      <c r="C28" s="20" t="s">
        <v>648</v>
      </c>
      <c r="D28" s="146">
        <v>3020000</v>
      </c>
      <c r="E28" s="20" t="s">
        <v>638</v>
      </c>
      <c r="F28" s="20" t="s">
        <v>639</v>
      </c>
      <c r="G28" s="8" t="str">
        <f t="shared" si="0"/>
        <v>MENGES BRAD</v>
      </c>
    </row>
    <row r="29" spans="1:7" x14ac:dyDescent="0.25">
      <c r="A29" s="8">
        <v>42821.225335648145</v>
      </c>
      <c r="B29" s="20" t="s">
        <v>446</v>
      </c>
      <c r="C29" s="20" t="s">
        <v>594</v>
      </c>
      <c r="D29" s="146">
        <v>1520000</v>
      </c>
      <c r="E29" s="20" t="s">
        <v>527</v>
      </c>
      <c r="F29" s="20" t="s">
        <v>528</v>
      </c>
      <c r="G29" s="8" t="str">
        <f t="shared" si="0"/>
        <v>MAYBERRY BILL</v>
      </c>
    </row>
    <row r="30" spans="1:7" x14ac:dyDescent="0.25">
      <c r="A30" s="8">
        <v>42821.2262962963</v>
      </c>
      <c r="B30" s="20" t="s">
        <v>505</v>
      </c>
      <c r="C30" s="20" t="s">
        <v>649</v>
      </c>
      <c r="D30" s="146">
        <v>1260000</v>
      </c>
      <c r="E30" s="20" t="s">
        <v>650</v>
      </c>
      <c r="F30" s="20" t="s">
        <v>651</v>
      </c>
      <c r="G30" s="8" t="str">
        <f t="shared" si="0"/>
        <v>ACKERMAN JARED</v>
      </c>
    </row>
    <row r="31" spans="1:7" x14ac:dyDescent="0.25">
      <c r="A31" s="8">
        <v>42821.227824074071</v>
      </c>
      <c r="B31" s="20" t="s">
        <v>404</v>
      </c>
      <c r="C31" s="20" t="s">
        <v>652</v>
      </c>
      <c r="D31" s="146">
        <v>2010000</v>
      </c>
      <c r="E31" s="20" t="s">
        <v>529</v>
      </c>
      <c r="F31" s="20" t="s">
        <v>530</v>
      </c>
      <c r="G31" s="8" t="str">
        <f t="shared" si="0"/>
        <v>MAELZER KURT</v>
      </c>
    </row>
    <row r="32" spans="1:7" x14ac:dyDescent="0.25">
      <c r="A32" s="8">
        <v>42821.234571759262</v>
      </c>
      <c r="B32" s="20" t="s">
        <v>525</v>
      </c>
      <c r="C32" s="20" t="s">
        <v>653</v>
      </c>
      <c r="D32" s="146">
        <v>1830000</v>
      </c>
      <c r="E32" s="20" t="s">
        <v>473</v>
      </c>
      <c r="F32" s="20" t="s">
        <v>474</v>
      </c>
      <c r="G32" s="8" t="str">
        <f t="shared" si="0"/>
        <v>YORK EDGAR</v>
      </c>
    </row>
    <row r="33" spans="1:7" x14ac:dyDescent="0.25">
      <c r="A33" s="8">
        <v>42821.242025462961</v>
      </c>
      <c r="B33" s="20" t="s">
        <v>401</v>
      </c>
      <c r="C33" s="20" t="s">
        <v>595</v>
      </c>
      <c r="D33" s="146">
        <v>1990000</v>
      </c>
      <c r="E33" s="20" t="s">
        <v>531</v>
      </c>
      <c r="F33" s="20" t="s">
        <v>532</v>
      </c>
      <c r="G33" s="8" t="str">
        <f t="shared" si="0"/>
        <v>DAVIS WENDY</v>
      </c>
    </row>
    <row r="34" spans="1:7" x14ac:dyDescent="0.25">
      <c r="A34" s="8">
        <v>42821.24627314815</v>
      </c>
      <c r="B34" s="20" t="s">
        <v>484</v>
      </c>
      <c r="C34" s="20" t="s">
        <v>654</v>
      </c>
      <c r="D34" s="146">
        <v>1360000</v>
      </c>
      <c r="E34" s="20" t="s">
        <v>629</v>
      </c>
      <c r="F34" s="20" t="s">
        <v>630</v>
      </c>
      <c r="G34" s="8" t="str">
        <f t="shared" si="0"/>
        <v>SANTIZO D. EDY</v>
      </c>
    </row>
    <row r="35" spans="1:7" x14ac:dyDescent="0.25">
      <c r="A35" s="8">
        <v>42821.248333333337</v>
      </c>
      <c r="B35" s="20" t="s">
        <v>471</v>
      </c>
      <c r="C35" s="20" t="s">
        <v>655</v>
      </c>
      <c r="D35" s="146">
        <v>1110000</v>
      </c>
      <c r="E35" s="20" t="s">
        <v>634</v>
      </c>
      <c r="F35" s="20" t="s">
        <v>635</v>
      </c>
      <c r="G35" s="8" t="str">
        <f t="shared" si="0"/>
        <v>STARKS ANGELINA</v>
      </c>
    </row>
    <row r="36" spans="1:7" x14ac:dyDescent="0.25">
      <c r="A36" s="8">
        <v>42821.251446759263</v>
      </c>
      <c r="B36" s="20" t="s">
        <v>596</v>
      </c>
      <c r="C36" s="20" t="s">
        <v>597</v>
      </c>
      <c r="D36" s="146">
        <v>3000000</v>
      </c>
      <c r="E36" s="20" t="s">
        <v>656</v>
      </c>
      <c r="F36" s="20" t="s">
        <v>657</v>
      </c>
      <c r="G36" s="8" t="str">
        <f t="shared" si="0"/>
        <v>FORTUNATO FRANK</v>
      </c>
    </row>
    <row r="37" spans="1:7" x14ac:dyDescent="0.25">
      <c r="A37" s="8">
        <v>42821.254837962966</v>
      </c>
      <c r="B37" s="20" t="s">
        <v>402</v>
      </c>
      <c r="C37" s="20" t="s">
        <v>658</v>
      </c>
      <c r="D37" s="146">
        <v>1990000</v>
      </c>
      <c r="E37" s="20" t="s">
        <v>531</v>
      </c>
      <c r="F37" s="20" t="s">
        <v>532</v>
      </c>
      <c r="G37" s="8" t="str">
        <f t="shared" si="0"/>
        <v>DAVIS WENDY</v>
      </c>
    </row>
    <row r="38" spans="1:7" x14ac:dyDescent="0.25">
      <c r="A38" s="8">
        <v>42821.257037037038</v>
      </c>
      <c r="B38" s="20" t="s">
        <v>447</v>
      </c>
      <c r="C38" s="20" t="s">
        <v>659</v>
      </c>
      <c r="D38" s="146">
        <v>3020000</v>
      </c>
      <c r="E38" s="20" t="s">
        <v>638</v>
      </c>
      <c r="F38" s="20" t="s">
        <v>639</v>
      </c>
      <c r="G38" s="8" t="str">
        <f t="shared" si="0"/>
        <v>MENGES BRAD</v>
      </c>
    </row>
    <row r="39" spans="1:7" x14ac:dyDescent="0.25">
      <c r="A39" s="8">
        <v>42821.263159722221</v>
      </c>
      <c r="B39" s="20" t="s">
        <v>486</v>
      </c>
      <c r="C39" s="20" t="s">
        <v>598</v>
      </c>
      <c r="D39" s="146">
        <v>1260000</v>
      </c>
      <c r="E39" s="20" t="s">
        <v>650</v>
      </c>
      <c r="F39" s="20" t="s">
        <v>651</v>
      </c>
      <c r="G39" s="8" t="str">
        <f t="shared" si="0"/>
        <v>ACKERMAN JARED</v>
      </c>
    </row>
    <row r="40" spans="1:7" x14ac:dyDescent="0.25">
      <c r="A40" s="8">
        <v>42821.264097222222</v>
      </c>
      <c r="B40" s="25" t="s">
        <v>660</v>
      </c>
      <c r="C40" s="20" t="s">
        <v>661</v>
      </c>
      <c r="D40" s="146">
        <v>3000000</v>
      </c>
      <c r="E40" s="20" t="s">
        <v>656</v>
      </c>
      <c r="F40" s="20" t="s">
        <v>657</v>
      </c>
      <c r="G40" s="8" t="str">
        <f t="shared" si="0"/>
        <v>FORTUNATO FRANK</v>
      </c>
    </row>
    <row r="41" spans="1:7" x14ac:dyDescent="0.25">
      <c r="A41" s="8">
        <v>42821.270937499998</v>
      </c>
      <c r="B41" s="20" t="s">
        <v>449</v>
      </c>
      <c r="C41" s="20" t="s">
        <v>662</v>
      </c>
      <c r="D41" s="146">
        <v>1520000</v>
      </c>
      <c r="E41" s="20" t="s">
        <v>527</v>
      </c>
      <c r="F41" s="20" t="s">
        <v>528</v>
      </c>
      <c r="G41" s="8" t="str">
        <f t="shared" si="0"/>
        <v>MAYBERRY BILL</v>
      </c>
    </row>
    <row r="42" spans="1:7" x14ac:dyDescent="0.25">
      <c r="A42" s="8">
        <v>42821.272638888891</v>
      </c>
      <c r="B42" s="20" t="s">
        <v>400</v>
      </c>
      <c r="C42" s="20" t="s">
        <v>663</v>
      </c>
      <c r="D42" s="146">
        <v>2010000</v>
      </c>
      <c r="E42" s="20" t="s">
        <v>529</v>
      </c>
      <c r="F42" s="20" t="s">
        <v>530</v>
      </c>
      <c r="G42" s="8" t="str">
        <f t="shared" si="0"/>
        <v>MAELZER KURT</v>
      </c>
    </row>
    <row r="43" spans="1:7" x14ac:dyDescent="0.25">
      <c r="A43" s="8">
        <v>42821.275625000002</v>
      </c>
      <c r="B43" s="20" t="s">
        <v>526</v>
      </c>
      <c r="C43" s="20" t="s">
        <v>664</v>
      </c>
      <c r="D43" s="146">
        <v>1830000</v>
      </c>
      <c r="E43" s="20" t="s">
        <v>473</v>
      </c>
      <c r="F43" s="20" t="s">
        <v>474</v>
      </c>
      <c r="G43" s="8" t="str">
        <f t="shared" si="0"/>
        <v>YORK EDGAR</v>
      </c>
    </row>
    <row r="44" spans="1:7" x14ac:dyDescent="0.25">
      <c r="A44" s="8">
        <v>42821.277488425927</v>
      </c>
      <c r="B44" s="20" t="s">
        <v>596</v>
      </c>
      <c r="C44" s="20" t="s">
        <v>665</v>
      </c>
      <c r="D44" s="146">
        <v>3000000</v>
      </c>
      <c r="E44" s="20" t="s">
        <v>656</v>
      </c>
      <c r="F44" s="20" t="s">
        <v>657</v>
      </c>
      <c r="G44" s="8" t="str">
        <f t="shared" si="0"/>
        <v>FORTUNATO FRANK</v>
      </c>
    </row>
    <row r="45" spans="1:7" x14ac:dyDescent="0.25">
      <c r="A45" s="8">
        <v>42821.284143518518</v>
      </c>
      <c r="B45" s="20" t="s">
        <v>401</v>
      </c>
      <c r="C45" s="20" t="s">
        <v>599</v>
      </c>
      <c r="D45" s="146">
        <v>1990000</v>
      </c>
      <c r="E45" s="20" t="s">
        <v>531</v>
      </c>
      <c r="F45" s="20" t="s">
        <v>532</v>
      </c>
      <c r="G45" s="8" t="str">
        <f t="shared" si="0"/>
        <v>DAVIS WENDY</v>
      </c>
    </row>
    <row r="46" spans="1:7" x14ac:dyDescent="0.25">
      <c r="A46" s="8">
        <v>42821.286238425928</v>
      </c>
      <c r="B46" s="20" t="s">
        <v>472</v>
      </c>
      <c r="C46" s="20" t="s">
        <v>666</v>
      </c>
      <c r="D46" s="146">
        <v>1110000</v>
      </c>
      <c r="E46" s="20" t="s">
        <v>634</v>
      </c>
      <c r="F46" s="20" t="s">
        <v>635</v>
      </c>
      <c r="G46" s="8" t="str">
        <f t="shared" si="0"/>
        <v>STARKS ANGELINA</v>
      </c>
    </row>
    <row r="47" spans="1:7" x14ac:dyDescent="0.25">
      <c r="A47" s="8">
        <v>42821.286863425928</v>
      </c>
      <c r="B47" s="20" t="s">
        <v>483</v>
      </c>
      <c r="C47" s="20" t="s">
        <v>600</v>
      </c>
      <c r="D47" s="146">
        <v>1360000</v>
      </c>
      <c r="E47" s="20" t="s">
        <v>629</v>
      </c>
      <c r="F47" s="20" t="s">
        <v>630</v>
      </c>
      <c r="G47" s="8" t="str">
        <f t="shared" si="0"/>
        <v>SANTIZO D. EDY</v>
      </c>
    </row>
    <row r="48" spans="1:7" x14ac:dyDescent="0.25">
      <c r="A48" s="8">
        <v>42821.290914351855</v>
      </c>
      <c r="B48" s="20" t="s">
        <v>660</v>
      </c>
      <c r="C48" s="20" t="s">
        <v>667</v>
      </c>
      <c r="D48" s="146">
        <v>3000000</v>
      </c>
      <c r="E48" s="20" t="s">
        <v>656</v>
      </c>
      <c r="F48" s="20" t="s">
        <v>657</v>
      </c>
      <c r="G48" s="8" t="str">
        <f t="shared" si="0"/>
        <v>FORTUNATO FRANK</v>
      </c>
    </row>
    <row r="49" spans="1:7" x14ac:dyDescent="0.25">
      <c r="A49" s="8">
        <v>42821.296157407407</v>
      </c>
      <c r="B49" s="20" t="s">
        <v>402</v>
      </c>
      <c r="C49" s="20" t="s">
        <v>668</v>
      </c>
      <c r="D49" s="146">
        <v>1990000</v>
      </c>
      <c r="E49" s="20" t="s">
        <v>531</v>
      </c>
      <c r="F49" s="20" t="s">
        <v>532</v>
      </c>
      <c r="G49" s="8" t="str">
        <f t="shared" si="0"/>
        <v>DAVIS WENDY</v>
      </c>
    </row>
    <row r="50" spans="1:7" x14ac:dyDescent="0.25">
      <c r="A50" s="8">
        <v>42821.296215277776</v>
      </c>
      <c r="B50" s="20" t="s">
        <v>445</v>
      </c>
      <c r="C50" s="20" t="s">
        <v>669</v>
      </c>
      <c r="D50" s="146">
        <v>3020000</v>
      </c>
      <c r="E50" s="20" t="s">
        <v>638</v>
      </c>
      <c r="F50" s="20" t="s">
        <v>639</v>
      </c>
      <c r="G50" s="8" t="str">
        <f t="shared" si="0"/>
        <v>MENGES BRAD</v>
      </c>
    </row>
    <row r="51" spans="1:7" x14ac:dyDescent="0.25">
      <c r="A51" s="8">
        <v>42821.299259259256</v>
      </c>
      <c r="B51" s="20" t="s">
        <v>505</v>
      </c>
      <c r="C51" s="20" t="s">
        <v>670</v>
      </c>
      <c r="D51" s="146">
        <v>1260000</v>
      </c>
      <c r="E51" s="20" t="s">
        <v>650</v>
      </c>
      <c r="F51" s="20" t="s">
        <v>651</v>
      </c>
      <c r="G51" s="8" t="str">
        <f t="shared" si="0"/>
        <v>ACKERMAN JARED</v>
      </c>
    </row>
    <row r="52" spans="1:7" x14ac:dyDescent="0.25">
      <c r="A52" s="8">
        <v>42821.307106481479</v>
      </c>
      <c r="B52" s="20" t="s">
        <v>446</v>
      </c>
      <c r="C52" s="20" t="s">
        <v>671</v>
      </c>
      <c r="D52" s="146">
        <v>1520000</v>
      </c>
      <c r="E52" s="20" t="s">
        <v>527</v>
      </c>
      <c r="F52" s="20" t="s">
        <v>528</v>
      </c>
      <c r="G52" s="8" t="str">
        <f t="shared" si="0"/>
        <v>MAYBERRY BILL</v>
      </c>
    </row>
    <row r="53" spans="1:7" x14ac:dyDescent="0.25">
      <c r="A53" s="8">
        <v>42821.308032407411</v>
      </c>
      <c r="B53" s="20" t="s">
        <v>525</v>
      </c>
      <c r="C53" s="20" t="s">
        <v>672</v>
      </c>
      <c r="D53" s="146">
        <v>1830000</v>
      </c>
      <c r="E53" s="20" t="s">
        <v>473</v>
      </c>
      <c r="F53" s="20" t="s">
        <v>474</v>
      </c>
      <c r="G53" s="8" t="str">
        <f t="shared" si="0"/>
        <v>YORK EDGAR</v>
      </c>
    </row>
    <row r="54" spans="1:7" x14ac:dyDescent="0.25">
      <c r="A54" s="8">
        <v>42821.309513888889</v>
      </c>
      <c r="B54" s="20" t="s">
        <v>404</v>
      </c>
      <c r="C54" s="20" t="s">
        <v>673</v>
      </c>
      <c r="D54" s="146">
        <v>2010000</v>
      </c>
      <c r="E54" s="20" t="s">
        <v>529</v>
      </c>
      <c r="F54" s="20" t="s">
        <v>530</v>
      </c>
      <c r="G54" s="8" t="str">
        <f t="shared" si="0"/>
        <v>MAELZER KURT</v>
      </c>
    </row>
    <row r="55" spans="1:7" x14ac:dyDescent="0.25">
      <c r="A55" s="8">
        <v>42821.317777777775</v>
      </c>
      <c r="B55" s="20" t="s">
        <v>596</v>
      </c>
      <c r="C55" s="20" t="s">
        <v>674</v>
      </c>
      <c r="D55" s="146">
        <v>3000000</v>
      </c>
      <c r="E55" s="20" t="s">
        <v>656</v>
      </c>
      <c r="F55" s="20" t="s">
        <v>657</v>
      </c>
      <c r="G55" s="8" t="str">
        <f t="shared" si="0"/>
        <v>FORTUNATO FRANK</v>
      </c>
    </row>
    <row r="56" spans="1:7" x14ac:dyDescent="0.25">
      <c r="A56" s="8">
        <v>42821.318148148152</v>
      </c>
      <c r="B56" s="20" t="s">
        <v>484</v>
      </c>
      <c r="C56" s="20" t="s">
        <v>602</v>
      </c>
      <c r="D56" s="146">
        <v>1360000</v>
      </c>
      <c r="E56" s="20" t="s">
        <v>629</v>
      </c>
      <c r="F56" s="20" t="s">
        <v>630</v>
      </c>
      <c r="G56" s="8" t="str">
        <f t="shared" si="0"/>
        <v>SANTIZO D. EDY</v>
      </c>
    </row>
    <row r="57" spans="1:7" x14ac:dyDescent="0.25">
      <c r="A57" s="8">
        <v>42821.320092592592</v>
      </c>
      <c r="B57" s="20" t="s">
        <v>471</v>
      </c>
      <c r="C57" s="20" t="s">
        <v>675</v>
      </c>
      <c r="D57" s="146">
        <v>1110000</v>
      </c>
      <c r="E57" s="20" t="s">
        <v>634</v>
      </c>
      <c r="F57" s="20" t="s">
        <v>635</v>
      </c>
      <c r="G57" s="8" t="str">
        <f t="shared" si="0"/>
        <v>STARKS ANGELINA</v>
      </c>
    </row>
    <row r="58" spans="1:7" x14ac:dyDescent="0.25">
      <c r="A58" s="8">
        <v>42821.326006944444</v>
      </c>
      <c r="B58" s="20" t="s">
        <v>401</v>
      </c>
      <c r="C58" s="20" t="s">
        <v>601</v>
      </c>
      <c r="D58" s="146">
        <v>1990000</v>
      </c>
      <c r="E58" s="20" t="s">
        <v>531</v>
      </c>
      <c r="F58" s="20" t="s">
        <v>532</v>
      </c>
      <c r="G58" s="8" t="str">
        <f t="shared" si="0"/>
        <v>DAVIS WENDY</v>
      </c>
    </row>
    <row r="59" spans="1:7" x14ac:dyDescent="0.25">
      <c r="A59" s="8">
        <v>42821.329097222224</v>
      </c>
      <c r="B59" s="20" t="s">
        <v>447</v>
      </c>
      <c r="C59" s="20" t="s">
        <v>676</v>
      </c>
      <c r="D59" s="146">
        <v>3020000</v>
      </c>
      <c r="E59" s="20" t="s">
        <v>638</v>
      </c>
      <c r="F59" s="20" t="s">
        <v>639</v>
      </c>
      <c r="G59" s="8" t="str">
        <f t="shared" si="0"/>
        <v>MENGES BRAD</v>
      </c>
    </row>
    <row r="60" spans="1:7" x14ac:dyDescent="0.25">
      <c r="A60" s="8">
        <v>42821.333333333336</v>
      </c>
      <c r="B60" s="20" t="s">
        <v>486</v>
      </c>
      <c r="C60" s="20" t="s">
        <v>677</v>
      </c>
      <c r="D60" s="146">
        <v>1260000</v>
      </c>
      <c r="E60" s="20" t="s">
        <v>650</v>
      </c>
      <c r="F60" s="20" t="s">
        <v>651</v>
      </c>
      <c r="G60" s="8" t="str">
        <f t="shared" si="0"/>
        <v>ACKERMAN JARED</v>
      </c>
    </row>
    <row r="61" spans="1:7" x14ac:dyDescent="0.25">
      <c r="A61" s="8">
        <v>42821.33797453704</v>
      </c>
      <c r="B61" s="20" t="s">
        <v>402</v>
      </c>
      <c r="C61" s="20" t="s">
        <v>678</v>
      </c>
      <c r="D61" s="146">
        <v>1990000</v>
      </c>
      <c r="E61" s="20" t="s">
        <v>531</v>
      </c>
      <c r="F61" s="20" t="s">
        <v>532</v>
      </c>
      <c r="G61" s="8" t="str">
        <f t="shared" si="0"/>
        <v>DAVIS WENDY</v>
      </c>
    </row>
    <row r="62" spans="1:7" x14ac:dyDescent="0.25">
      <c r="A62" s="8">
        <v>42821.34033564815</v>
      </c>
      <c r="B62" s="20" t="s">
        <v>449</v>
      </c>
      <c r="C62" s="20" t="s">
        <v>603</v>
      </c>
      <c r="D62" s="146">
        <v>1520000</v>
      </c>
      <c r="E62" s="20" t="s">
        <v>527</v>
      </c>
      <c r="F62" s="20" t="s">
        <v>528</v>
      </c>
      <c r="G62" s="8" t="str">
        <f t="shared" si="0"/>
        <v>MAYBERRY BILL</v>
      </c>
    </row>
    <row r="63" spans="1:7" x14ac:dyDescent="0.25">
      <c r="A63" s="8">
        <v>42821.343611111108</v>
      </c>
      <c r="B63" s="20" t="s">
        <v>400</v>
      </c>
      <c r="C63" s="20" t="s">
        <v>605</v>
      </c>
      <c r="D63" s="146">
        <v>2010000</v>
      </c>
      <c r="E63" s="20" t="s">
        <v>529</v>
      </c>
      <c r="F63" s="20" t="s">
        <v>530</v>
      </c>
      <c r="G63" s="8" t="str">
        <f t="shared" si="0"/>
        <v>MAELZER KURT</v>
      </c>
    </row>
    <row r="64" spans="1:7" x14ac:dyDescent="0.25">
      <c r="A64" s="26">
        <v>42821.343842592592</v>
      </c>
      <c r="B64" s="20" t="s">
        <v>660</v>
      </c>
      <c r="C64" s="20" t="s">
        <v>679</v>
      </c>
      <c r="D64" s="146">
        <v>3000000</v>
      </c>
      <c r="E64" s="20" t="s">
        <v>656</v>
      </c>
      <c r="F64" s="20" t="s">
        <v>657</v>
      </c>
      <c r="G64" s="8" t="str">
        <f t="shared" si="0"/>
        <v>FORTUNATO FRANK</v>
      </c>
    </row>
    <row r="65" spans="1:7" x14ac:dyDescent="0.25">
      <c r="A65" s="8">
        <v>42821.348634259259</v>
      </c>
      <c r="B65" s="20" t="s">
        <v>526</v>
      </c>
      <c r="C65" s="20" t="s">
        <v>680</v>
      </c>
      <c r="D65" s="146">
        <v>1830000</v>
      </c>
      <c r="E65" s="20" t="s">
        <v>473</v>
      </c>
      <c r="F65" s="20" t="s">
        <v>474</v>
      </c>
      <c r="G65" s="8" t="str">
        <f t="shared" si="0"/>
        <v>YORK EDGAR</v>
      </c>
    </row>
    <row r="66" spans="1:7" x14ac:dyDescent="0.25">
      <c r="A66" s="8">
        <v>42821.352812500001</v>
      </c>
      <c r="B66" s="20" t="s">
        <v>401</v>
      </c>
      <c r="C66" s="20" t="s">
        <v>681</v>
      </c>
      <c r="D66" s="146">
        <v>1990000</v>
      </c>
      <c r="E66" s="20" t="s">
        <v>531</v>
      </c>
      <c r="F66" s="20" t="s">
        <v>532</v>
      </c>
      <c r="G66" s="8" t="str">
        <f t="shared" si="0"/>
        <v>DAVIS WENDY</v>
      </c>
    </row>
    <row r="67" spans="1:7" x14ac:dyDescent="0.25">
      <c r="A67" s="8">
        <v>42821.358923611115</v>
      </c>
      <c r="B67" s="20" t="s">
        <v>596</v>
      </c>
      <c r="C67" s="20" t="s">
        <v>604</v>
      </c>
      <c r="D67" s="146">
        <v>3000000</v>
      </c>
      <c r="E67" s="20" t="s">
        <v>656</v>
      </c>
      <c r="F67" s="20" t="s">
        <v>657</v>
      </c>
      <c r="G67" s="8" t="str">
        <f t="shared" ref="G67:G130" si="1">E67&amp;" "&amp;F67</f>
        <v>FORTUNATO FRANK</v>
      </c>
    </row>
    <row r="68" spans="1:7" x14ac:dyDescent="0.25">
      <c r="A68" s="8">
        <v>42821.359629629631</v>
      </c>
      <c r="B68" s="20" t="s">
        <v>483</v>
      </c>
      <c r="C68" s="20" t="s">
        <v>682</v>
      </c>
      <c r="D68" s="146">
        <v>1360000</v>
      </c>
      <c r="E68" s="20" t="s">
        <v>629</v>
      </c>
      <c r="F68" s="20" t="s">
        <v>630</v>
      </c>
      <c r="G68" s="8" t="str">
        <f t="shared" si="1"/>
        <v>SANTIZO D. EDY</v>
      </c>
    </row>
    <row r="69" spans="1:7" x14ac:dyDescent="0.25">
      <c r="A69" s="8">
        <v>42821.360254629632</v>
      </c>
      <c r="B69" s="20" t="s">
        <v>472</v>
      </c>
      <c r="C69" s="20" t="s">
        <v>683</v>
      </c>
      <c r="D69" s="146">
        <v>1110000</v>
      </c>
      <c r="E69" s="20" t="s">
        <v>634</v>
      </c>
      <c r="F69" s="20" t="s">
        <v>635</v>
      </c>
      <c r="G69" s="8" t="str">
        <f t="shared" si="1"/>
        <v>STARKS ANGELINA</v>
      </c>
    </row>
    <row r="70" spans="1:7" x14ac:dyDescent="0.25">
      <c r="A70" s="8">
        <v>42821.368067129632</v>
      </c>
      <c r="B70" s="20" t="s">
        <v>445</v>
      </c>
      <c r="C70" s="20" t="s">
        <v>684</v>
      </c>
      <c r="D70" s="146">
        <v>3020000</v>
      </c>
      <c r="E70" s="20" t="s">
        <v>638</v>
      </c>
      <c r="F70" s="20" t="s">
        <v>639</v>
      </c>
      <c r="G70" s="8" t="str">
        <f t="shared" si="1"/>
        <v>MENGES BRAD</v>
      </c>
    </row>
    <row r="71" spans="1:7" x14ac:dyDescent="0.25">
      <c r="A71" s="8">
        <v>42821.371157407404</v>
      </c>
      <c r="B71" s="20" t="s">
        <v>505</v>
      </c>
      <c r="C71" s="20" t="s">
        <v>685</v>
      </c>
      <c r="D71" s="146">
        <v>1260000</v>
      </c>
      <c r="E71" s="20" t="s">
        <v>650</v>
      </c>
      <c r="F71" s="20" t="s">
        <v>651</v>
      </c>
      <c r="G71" s="8" t="str">
        <f t="shared" si="1"/>
        <v>ACKERMAN JARED</v>
      </c>
    </row>
    <row r="72" spans="1:7" x14ac:dyDescent="0.25">
      <c r="A72" s="8">
        <v>42821.372835648152</v>
      </c>
      <c r="B72" s="20" t="s">
        <v>446</v>
      </c>
      <c r="C72" s="20" t="s">
        <v>606</v>
      </c>
      <c r="D72" s="146">
        <v>1520000</v>
      </c>
      <c r="E72" s="20" t="s">
        <v>527</v>
      </c>
      <c r="F72" s="20" t="s">
        <v>528</v>
      </c>
      <c r="G72" s="8" t="str">
        <f t="shared" si="1"/>
        <v>MAYBERRY BILL</v>
      </c>
    </row>
    <row r="73" spans="1:7" x14ac:dyDescent="0.25">
      <c r="A73" s="8">
        <v>42821.380023148151</v>
      </c>
      <c r="B73" s="20" t="s">
        <v>525</v>
      </c>
      <c r="C73" s="20" t="s">
        <v>686</v>
      </c>
      <c r="D73" s="146">
        <v>1830000</v>
      </c>
      <c r="E73" s="20" t="s">
        <v>473</v>
      </c>
      <c r="F73" s="20" t="s">
        <v>474</v>
      </c>
      <c r="G73" s="8" t="str">
        <f t="shared" si="1"/>
        <v>YORK EDGAR</v>
      </c>
    </row>
    <row r="74" spans="1:7" x14ac:dyDescent="0.25">
      <c r="A74" s="8">
        <v>42821.381608796299</v>
      </c>
      <c r="B74" s="20" t="s">
        <v>404</v>
      </c>
      <c r="C74" s="20" t="s">
        <v>687</v>
      </c>
      <c r="D74" s="146">
        <v>2010000</v>
      </c>
      <c r="E74" s="20" t="s">
        <v>529</v>
      </c>
      <c r="F74" s="20" t="s">
        <v>530</v>
      </c>
      <c r="G74" s="8" t="str">
        <f t="shared" si="1"/>
        <v>MAELZER KURT</v>
      </c>
    </row>
    <row r="75" spans="1:7" x14ac:dyDescent="0.25">
      <c r="A75" s="8">
        <v>42821.383981481478</v>
      </c>
      <c r="B75" s="20" t="s">
        <v>660</v>
      </c>
      <c r="C75" s="20" t="s">
        <v>688</v>
      </c>
      <c r="D75" s="146">
        <v>3000000</v>
      </c>
      <c r="E75" s="20" t="s">
        <v>656</v>
      </c>
      <c r="F75" s="20" t="s">
        <v>657</v>
      </c>
      <c r="G75" s="8" t="str">
        <f t="shared" si="1"/>
        <v>FORTUNATO FRANK</v>
      </c>
    </row>
    <row r="76" spans="1:7" x14ac:dyDescent="0.25">
      <c r="A76" s="8">
        <v>42821.390648148146</v>
      </c>
      <c r="B76" s="20" t="s">
        <v>484</v>
      </c>
      <c r="C76" s="20" t="s">
        <v>689</v>
      </c>
      <c r="D76" s="146">
        <v>1360000</v>
      </c>
      <c r="E76" s="20" t="s">
        <v>629</v>
      </c>
      <c r="F76" s="20" t="s">
        <v>630</v>
      </c>
      <c r="G76" s="8" t="str">
        <f t="shared" si="1"/>
        <v>SANTIZO D. EDY</v>
      </c>
    </row>
    <row r="77" spans="1:7" x14ac:dyDescent="0.25">
      <c r="A77" s="8">
        <v>42821.392152777778</v>
      </c>
      <c r="B77" s="20" t="s">
        <v>471</v>
      </c>
      <c r="C77" s="20" t="s">
        <v>690</v>
      </c>
      <c r="D77" s="146">
        <v>1110000</v>
      </c>
      <c r="E77" s="20" t="s">
        <v>634</v>
      </c>
      <c r="F77" s="20" t="s">
        <v>635</v>
      </c>
      <c r="G77" s="8" t="str">
        <f t="shared" si="1"/>
        <v>STARKS ANGELINA</v>
      </c>
    </row>
    <row r="78" spans="1:7" x14ac:dyDescent="0.25">
      <c r="A78" s="8">
        <v>42821.400983796295</v>
      </c>
      <c r="B78" s="20" t="s">
        <v>596</v>
      </c>
      <c r="C78" s="20" t="s">
        <v>691</v>
      </c>
      <c r="D78" s="146">
        <v>3000000</v>
      </c>
      <c r="E78" s="20" t="s">
        <v>656</v>
      </c>
      <c r="F78" s="20" t="s">
        <v>657</v>
      </c>
      <c r="G78" s="8" t="str">
        <f t="shared" si="1"/>
        <v>FORTUNATO FRANK</v>
      </c>
    </row>
    <row r="79" spans="1:7" x14ac:dyDescent="0.25">
      <c r="A79" s="8">
        <v>42821.402256944442</v>
      </c>
      <c r="B79" s="20" t="s">
        <v>447</v>
      </c>
      <c r="C79" s="20" t="s">
        <v>607</v>
      </c>
      <c r="D79" s="146">
        <v>3020000</v>
      </c>
      <c r="E79" s="20" t="s">
        <v>638</v>
      </c>
      <c r="F79" s="20" t="s">
        <v>639</v>
      </c>
      <c r="G79" s="8" t="str">
        <f t="shared" si="1"/>
        <v>MENGES BRAD</v>
      </c>
    </row>
    <row r="80" spans="1:7" x14ac:dyDescent="0.25">
      <c r="A80" s="8">
        <v>42821.407407407409</v>
      </c>
      <c r="B80" s="20" t="s">
        <v>486</v>
      </c>
      <c r="C80" s="20" t="s">
        <v>692</v>
      </c>
      <c r="D80" s="146">
        <v>1260000</v>
      </c>
      <c r="E80" s="20" t="s">
        <v>650</v>
      </c>
      <c r="F80" s="20" t="s">
        <v>651</v>
      </c>
      <c r="G80" s="8" t="str">
        <f t="shared" si="1"/>
        <v>ACKERMAN JARED</v>
      </c>
    </row>
    <row r="81" spans="1:7" x14ac:dyDescent="0.25">
      <c r="A81" s="8">
        <v>42821.412835648145</v>
      </c>
      <c r="B81" s="20" t="s">
        <v>449</v>
      </c>
      <c r="C81" s="20" t="s">
        <v>608</v>
      </c>
      <c r="D81" s="146">
        <v>1520000</v>
      </c>
      <c r="E81" s="20" t="s">
        <v>527</v>
      </c>
      <c r="F81" s="20" t="s">
        <v>528</v>
      </c>
      <c r="G81" s="8" t="str">
        <f t="shared" si="1"/>
        <v>MAYBERRY BILL</v>
      </c>
    </row>
    <row r="82" spans="1:7" x14ac:dyDescent="0.25">
      <c r="A82" s="8">
        <v>42821.415405092594</v>
      </c>
      <c r="B82" s="20" t="s">
        <v>660</v>
      </c>
      <c r="C82" s="20" t="s">
        <v>693</v>
      </c>
      <c r="D82" s="146">
        <v>3000000</v>
      </c>
      <c r="E82" s="20" t="s">
        <v>656</v>
      </c>
      <c r="F82" s="20" t="s">
        <v>657</v>
      </c>
      <c r="G82" s="8" t="str">
        <f t="shared" si="1"/>
        <v>FORTUNATO FRANK</v>
      </c>
    </row>
    <row r="83" spans="1:7" x14ac:dyDescent="0.25">
      <c r="A83" s="8">
        <v>42821.419305555559</v>
      </c>
      <c r="B83" s="20" t="s">
        <v>400</v>
      </c>
      <c r="C83" s="20" t="s">
        <v>610</v>
      </c>
      <c r="D83" s="146">
        <v>2010000</v>
      </c>
      <c r="E83" s="20" t="s">
        <v>529</v>
      </c>
      <c r="F83" s="20" t="s">
        <v>530</v>
      </c>
      <c r="G83" s="8" t="str">
        <f t="shared" si="1"/>
        <v>MAELZER KURT</v>
      </c>
    </row>
    <row r="84" spans="1:7" x14ac:dyDescent="0.25">
      <c r="A84" s="8">
        <v>42821.421296296299</v>
      </c>
      <c r="B84" s="20" t="s">
        <v>526</v>
      </c>
      <c r="C84" s="20" t="s">
        <v>609</v>
      </c>
      <c r="D84" s="146">
        <v>1830000</v>
      </c>
      <c r="E84" s="20" t="s">
        <v>473</v>
      </c>
      <c r="F84" s="20" t="s">
        <v>474</v>
      </c>
      <c r="G84" s="8" t="str">
        <f t="shared" si="1"/>
        <v>YORK EDGAR</v>
      </c>
    </row>
    <row r="85" spans="1:7" x14ac:dyDescent="0.25">
      <c r="A85" s="8">
        <v>42821.432500000003</v>
      </c>
      <c r="B85" s="20" t="s">
        <v>403</v>
      </c>
      <c r="C85" s="20" t="s">
        <v>694</v>
      </c>
      <c r="D85" s="146">
        <v>2560000</v>
      </c>
      <c r="E85" s="20" t="s">
        <v>413</v>
      </c>
      <c r="F85" s="20" t="s">
        <v>414</v>
      </c>
      <c r="G85" s="8" t="str">
        <f t="shared" si="1"/>
        <v>MACDONALD THOMAS</v>
      </c>
    </row>
    <row r="86" spans="1:7" x14ac:dyDescent="0.25">
      <c r="A86" s="8">
        <v>42821.432800925926</v>
      </c>
      <c r="B86" s="20" t="s">
        <v>472</v>
      </c>
      <c r="C86" s="20" t="s">
        <v>695</v>
      </c>
      <c r="D86" s="146">
        <v>1110000</v>
      </c>
      <c r="E86" s="20" t="s">
        <v>634</v>
      </c>
      <c r="F86" s="20" t="s">
        <v>635</v>
      </c>
      <c r="G86" s="8" t="str">
        <f t="shared" si="1"/>
        <v>STARKS ANGELINA</v>
      </c>
    </row>
    <row r="87" spans="1:7" x14ac:dyDescent="0.25">
      <c r="A87" s="8">
        <v>42821.435416666667</v>
      </c>
      <c r="B87" s="20" t="s">
        <v>483</v>
      </c>
      <c r="C87" s="20" t="s">
        <v>696</v>
      </c>
      <c r="D87" s="146">
        <v>1990000</v>
      </c>
      <c r="E87" s="20" t="s">
        <v>531</v>
      </c>
      <c r="F87" s="20" t="s">
        <v>532</v>
      </c>
      <c r="G87" s="8" t="str">
        <f t="shared" si="1"/>
        <v>DAVIS WENDY</v>
      </c>
    </row>
    <row r="88" spans="1:7" x14ac:dyDescent="0.25">
      <c r="A88" s="8">
        <v>42821.441782407404</v>
      </c>
      <c r="B88" s="20" t="s">
        <v>445</v>
      </c>
      <c r="C88" s="20" t="s">
        <v>697</v>
      </c>
      <c r="D88" s="146">
        <v>3020000</v>
      </c>
      <c r="E88" s="20" t="s">
        <v>638</v>
      </c>
      <c r="F88" s="20" t="s">
        <v>639</v>
      </c>
      <c r="G88" s="8" t="str">
        <f t="shared" si="1"/>
        <v>MENGES BRAD</v>
      </c>
    </row>
    <row r="89" spans="1:7" x14ac:dyDescent="0.25">
      <c r="A89" s="8">
        <v>42821.442569444444</v>
      </c>
      <c r="B89" s="20" t="s">
        <v>596</v>
      </c>
      <c r="C89" s="20" t="s">
        <v>611</v>
      </c>
      <c r="D89" s="146">
        <v>3000000</v>
      </c>
      <c r="E89" s="20" t="s">
        <v>656</v>
      </c>
      <c r="F89" s="20" t="s">
        <v>657</v>
      </c>
      <c r="G89" s="8" t="str">
        <f t="shared" si="1"/>
        <v>FORTUNATO FRANK</v>
      </c>
    </row>
    <row r="90" spans="1:7" x14ac:dyDescent="0.25">
      <c r="A90" s="8">
        <v>42821.443472222221</v>
      </c>
      <c r="B90" s="20" t="s">
        <v>505</v>
      </c>
      <c r="C90" s="20" t="s">
        <v>612</v>
      </c>
      <c r="D90" s="146">
        <v>1260000</v>
      </c>
      <c r="E90" s="20" t="s">
        <v>650</v>
      </c>
      <c r="F90" s="20" t="s">
        <v>651</v>
      </c>
      <c r="G90" s="8" t="str">
        <f t="shared" si="1"/>
        <v>ACKERMAN JARED</v>
      </c>
    </row>
    <row r="91" spans="1:7" x14ac:dyDescent="0.25">
      <c r="A91" s="8">
        <v>42821.447685185187</v>
      </c>
      <c r="B91" s="20" t="s">
        <v>446</v>
      </c>
      <c r="C91" s="20" t="s">
        <v>698</v>
      </c>
      <c r="D91" s="146">
        <v>1520000</v>
      </c>
      <c r="E91" s="20" t="s">
        <v>527</v>
      </c>
      <c r="F91" s="20" t="s">
        <v>528</v>
      </c>
      <c r="G91" s="8" t="str">
        <f t="shared" si="1"/>
        <v>MAYBERRY BILL</v>
      </c>
    </row>
    <row r="92" spans="1:7" x14ac:dyDescent="0.25">
      <c r="A92" s="8">
        <v>42821.454456018517</v>
      </c>
      <c r="B92" s="20" t="s">
        <v>525</v>
      </c>
      <c r="C92" s="20" t="s">
        <v>699</v>
      </c>
      <c r="D92" s="146">
        <v>1830000</v>
      </c>
      <c r="E92" s="20" t="s">
        <v>473</v>
      </c>
      <c r="F92" s="20" t="s">
        <v>474</v>
      </c>
      <c r="G92" s="8" t="str">
        <f t="shared" si="1"/>
        <v>YORK EDGAR</v>
      </c>
    </row>
    <row r="93" spans="1:7" x14ac:dyDescent="0.25">
      <c r="A93" s="8">
        <v>42821.456932870373</v>
      </c>
      <c r="B93" s="20" t="s">
        <v>404</v>
      </c>
      <c r="C93" s="20" t="s">
        <v>700</v>
      </c>
      <c r="D93" s="146">
        <v>880000</v>
      </c>
      <c r="E93" s="20" t="s">
        <v>533</v>
      </c>
      <c r="F93" s="20" t="s">
        <v>198</v>
      </c>
      <c r="G93" s="8" t="str">
        <f t="shared" si="1"/>
        <v>STEWART MICHAEL</v>
      </c>
    </row>
    <row r="94" spans="1:7" x14ac:dyDescent="0.25">
      <c r="A94" s="8">
        <v>42821.456990740742</v>
      </c>
      <c r="B94" s="20" t="s">
        <v>660</v>
      </c>
      <c r="C94" s="20" t="s">
        <v>701</v>
      </c>
      <c r="D94" s="146">
        <v>3000000</v>
      </c>
      <c r="E94" s="20" t="s">
        <v>656</v>
      </c>
      <c r="F94" s="20" t="s">
        <v>657</v>
      </c>
      <c r="G94" s="8" t="str">
        <f t="shared" si="1"/>
        <v>FORTUNATO FRANK</v>
      </c>
    </row>
    <row r="95" spans="1:7" x14ac:dyDescent="0.25">
      <c r="A95" s="8">
        <v>42821.467488425929</v>
      </c>
      <c r="B95" s="20" t="s">
        <v>471</v>
      </c>
      <c r="C95" s="20" t="s">
        <v>702</v>
      </c>
      <c r="D95" s="146">
        <v>920000</v>
      </c>
      <c r="E95" s="20" t="s">
        <v>531</v>
      </c>
      <c r="F95" s="20" t="s">
        <v>198</v>
      </c>
      <c r="G95" s="8" t="str">
        <f t="shared" si="1"/>
        <v>DAVIS MICHAEL</v>
      </c>
    </row>
    <row r="96" spans="1:7" x14ac:dyDescent="0.25">
      <c r="A96" s="8">
        <v>42821.471782407411</v>
      </c>
      <c r="B96" s="20" t="s">
        <v>399</v>
      </c>
      <c r="C96" s="20" t="s">
        <v>703</v>
      </c>
      <c r="D96" s="146">
        <v>2010000</v>
      </c>
      <c r="E96" s="20" t="s">
        <v>529</v>
      </c>
      <c r="F96" s="20" t="s">
        <v>530</v>
      </c>
      <c r="G96" s="8" t="str">
        <f t="shared" si="1"/>
        <v>MAELZER KURT</v>
      </c>
    </row>
    <row r="97" spans="1:7" x14ac:dyDescent="0.25">
      <c r="A97" s="8">
        <v>42821.47415509259</v>
      </c>
      <c r="B97" s="20" t="s">
        <v>484</v>
      </c>
      <c r="C97" s="20" t="s">
        <v>704</v>
      </c>
      <c r="D97" s="146">
        <v>1990000</v>
      </c>
      <c r="E97" s="20" t="s">
        <v>531</v>
      </c>
      <c r="F97" s="20" t="s">
        <v>532</v>
      </c>
      <c r="G97" s="8" t="str">
        <f t="shared" si="1"/>
        <v>DAVIS WENDY</v>
      </c>
    </row>
    <row r="98" spans="1:7" x14ac:dyDescent="0.25">
      <c r="A98" s="8">
        <v>42821.476331018515</v>
      </c>
      <c r="B98" s="20" t="s">
        <v>447</v>
      </c>
      <c r="C98" s="20" t="s">
        <v>705</v>
      </c>
      <c r="D98" s="146">
        <v>930000</v>
      </c>
      <c r="E98" s="20" t="s">
        <v>706</v>
      </c>
      <c r="F98" s="20" t="s">
        <v>707</v>
      </c>
      <c r="G98" s="8" t="str">
        <f t="shared" si="1"/>
        <v>CLARK KATHLEEN</v>
      </c>
    </row>
    <row r="99" spans="1:7" x14ac:dyDescent="0.25">
      <c r="A99" s="8">
        <v>42821.480474537035</v>
      </c>
      <c r="B99" s="20" t="s">
        <v>486</v>
      </c>
      <c r="C99" s="20" t="s">
        <v>708</v>
      </c>
      <c r="D99" s="146">
        <v>1260000</v>
      </c>
      <c r="E99" s="20" t="s">
        <v>650</v>
      </c>
      <c r="F99" s="20" t="s">
        <v>651</v>
      </c>
      <c r="G99" s="8" t="str">
        <f t="shared" si="1"/>
        <v>ACKERMAN JARED</v>
      </c>
    </row>
    <row r="100" spans="1:7" x14ac:dyDescent="0.25">
      <c r="A100" s="8">
        <v>42821.485462962963</v>
      </c>
      <c r="B100" s="20" t="s">
        <v>596</v>
      </c>
      <c r="C100" s="20" t="s">
        <v>709</v>
      </c>
      <c r="D100" s="146">
        <v>3000000</v>
      </c>
      <c r="E100" s="20" t="s">
        <v>656</v>
      </c>
      <c r="F100" s="20" t="s">
        <v>657</v>
      </c>
      <c r="G100" s="8" t="str">
        <f t="shared" si="1"/>
        <v>FORTUNATO FRANK</v>
      </c>
    </row>
    <row r="101" spans="1:7" x14ac:dyDescent="0.25">
      <c r="A101" s="8">
        <v>42821.486504629633</v>
      </c>
      <c r="B101" s="20" t="s">
        <v>596</v>
      </c>
      <c r="C101" s="20" t="s">
        <v>710</v>
      </c>
      <c r="D101" s="146">
        <v>3000000</v>
      </c>
      <c r="E101" s="20" t="s">
        <v>656</v>
      </c>
      <c r="F101" s="20" t="s">
        <v>657</v>
      </c>
      <c r="G101" s="8" t="str">
        <f t="shared" si="1"/>
        <v>FORTUNATO FRANK</v>
      </c>
    </row>
    <row r="102" spans="1:7" x14ac:dyDescent="0.25">
      <c r="A102" s="8">
        <v>42821.489004629628</v>
      </c>
      <c r="B102" s="20" t="s">
        <v>449</v>
      </c>
      <c r="C102" s="20" t="s">
        <v>711</v>
      </c>
      <c r="D102" s="146">
        <v>3040000</v>
      </c>
      <c r="E102" s="20" t="s">
        <v>712</v>
      </c>
      <c r="F102" s="20" t="s">
        <v>713</v>
      </c>
      <c r="G102" s="8" t="str">
        <f t="shared" si="1"/>
        <v>WILLIAMS DONTE</v>
      </c>
    </row>
    <row r="103" spans="1:7" x14ac:dyDescent="0.25">
      <c r="A103" s="8">
        <v>42821.495243055557</v>
      </c>
      <c r="B103" s="20" t="s">
        <v>526</v>
      </c>
      <c r="C103" s="20" t="s">
        <v>613</v>
      </c>
      <c r="D103" s="146">
        <v>1120000</v>
      </c>
      <c r="E103" s="20" t="s">
        <v>454</v>
      </c>
      <c r="F103" s="20" t="s">
        <v>455</v>
      </c>
      <c r="G103" s="8" t="str">
        <f t="shared" si="1"/>
        <v>LOCKLEAR TRAVIS</v>
      </c>
    </row>
    <row r="104" spans="1:7" x14ac:dyDescent="0.25">
      <c r="A104" s="8">
        <v>42821.495555555557</v>
      </c>
      <c r="B104" s="20" t="s">
        <v>400</v>
      </c>
      <c r="C104" s="20" t="s">
        <v>614</v>
      </c>
      <c r="D104" s="146">
        <v>880000</v>
      </c>
      <c r="E104" s="20" t="s">
        <v>533</v>
      </c>
      <c r="F104" s="20" t="s">
        <v>198</v>
      </c>
      <c r="G104" s="8" t="str">
        <f t="shared" si="1"/>
        <v>STEWART MICHAEL</v>
      </c>
    </row>
    <row r="105" spans="1:7" x14ac:dyDescent="0.25">
      <c r="A105" s="8">
        <v>42821.506053240744</v>
      </c>
      <c r="B105" s="20" t="s">
        <v>472</v>
      </c>
      <c r="C105" s="20" t="s">
        <v>714</v>
      </c>
      <c r="D105" s="146">
        <v>920000</v>
      </c>
      <c r="E105" s="20" t="s">
        <v>531</v>
      </c>
      <c r="F105" s="20" t="s">
        <v>198</v>
      </c>
      <c r="G105" s="8" t="str">
        <f t="shared" si="1"/>
        <v>DAVIS MICHAEL</v>
      </c>
    </row>
    <row r="106" spans="1:7" x14ac:dyDescent="0.25">
      <c r="A106" s="8">
        <v>42821.508275462962</v>
      </c>
      <c r="B106" s="20" t="s">
        <v>483</v>
      </c>
      <c r="C106" s="20" t="s">
        <v>715</v>
      </c>
      <c r="D106" s="146">
        <v>1180000</v>
      </c>
      <c r="E106" s="20" t="s">
        <v>716</v>
      </c>
      <c r="F106" s="20" t="s">
        <v>717</v>
      </c>
      <c r="G106" s="8" t="str">
        <f t="shared" si="1"/>
        <v>LEVERE CRAIG</v>
      </c>
    </row>
    <row r="107" spans="1:7" x14ac:dyDescent="0.25">
      <c r="A107" s="8">
        <v>42821.512696759259</v>
      </c>
      <c r="B107" s="20" t="s">
        <v>660</v>
      </c>
      <c r="C107" s="20" t="s">
        <v>709</v>
      </c>
      <c r="D107" s="146">
        <v>3000000</v>
      </c>
      <c r="E107" s="20" t="s">
        <v>656</v>
      </c>
      <c r="F107" s="20" t="s">
        <v>657</v>
      </c>
      <c r="G107" s="8" t="str">
        <f t="shared" si="1"/>
        <v>FORTUNATO FRANK</v>
      </c>
    </row>
    <row r="108" spans="1:7" x14ac:dyDescent="0.25">
      <c r="A108" s="8">
        <v>42821.5155787037</v>
      </c>
      <c r="B108" s="20" t="s">
        <v>445</v>
      </c>
      <c r="C108" s="20" t="s">
        <v>718</v>
      </c>
      <c r="D108" s="146">
        <v>930000</v>
      </c>
      <c r="E108" s="20" t="s">
        <v>706</v>
      </c>
      <c r="F108" s="20" t="s">
        <v>707</v>
      </c>
      <c r="G108" s="8" t="str">
        <f t="shared" si="1"/>
        <v>CLARK KATHLEEN</v>
      </c>
    </row>
    <row r="109" spans="1:7" x14ac:dyDescent="0.25">
      <c r="A109" s="8">
        <v>42821.518831018519</v>
      </c>
      <c r="B109" s="20" t="s">
        <v>505</v>
      </c>
      <c r="C109" s="20" t="s">
        <v>719</v>
      </c>
      <c r="D109" s="146">
        <v>2360000</v>
      </c>
      <c r="E109" s="20" t="s">
        <v>506</v>
      </c>
      <c r="F109" s="20" t="s">
        <v>507</v>
      </c>
      <c r="G109" s="8" t="str">
        <f t="shared" si="1"/>
        <v>BRANDNER MELINDA</v>
      </c>
    </row>
    <row r="110" spans="1:7" x14ac:dyDescent="0.25">
      <c r="A110" s="8">
        <v>42821.519456018519</v>
      </c>
      <c r="B110" s="20" t="s">
        <v>446</v>
      </c>
      <c r="C110" s="20" t="s">
        <v>720</v>
      </c>
      <c r="D110" s="146">
        <v>3040000</v>
      </c>
      <c r="E110" s="20" t="s">
        <v>712</v>
      </c>
      <c r="F110" s="20" t="s">
        <v>713</v>
      </c>
      <c r="G110" s="8" t="str">
        <f t="shared" si="1"/>
        <v>WILLIAMS DONTE</v>
      </c>
    </row>
    <row r="111" spans="1:7" x14ac:dyDescent="0.25">
      <c r="A111" s="8">
        <v>42821.525833333333</v>
      </c>
      <c r="B111" s="20" t="s">
        <v>596</v>
      </c>
      <c r="C111" s="20" t="s">
        <v>721</v>
      </c>
      <c r="D111" s="146">
        <v>3000000</v>
      </c>
      <c r="E111" s="20" t="s">
        <v>656</v>
      </c>
      <c r="F111" s="20" t="s">
        <v>657</v>
      </c>
      <c r="G111" s="8" t="str">
        <f t="shared" si="1"/>
        <v>FORTUNATO FRANK</v>
      </c>
    </row>
    <row r="112" spans="1:7" x14ac:dyDescent="0.25">
      <c r="A112" s="8">
        <v>42821.529421296298</v>
      </c>
      <c r="B112" s="20" t="s">
        <v>404</v>
      </c>
      <c r="C112" s="20" t="s">
        <v>722</v>
      </c>
      <c r="D112" s="146">
        <v>880000</v>
      </c>
      <c r="E112" s="20" t="s">
        <v>533</v>
      </c>
      <c r="F112" s="20" t="s">
        <v>198</v>
      </c>
      <c r="G112" s="8" t="str">
        <f t="shared" si="1"/>
        <v>STEWART MICHAEL</v>
      </c>
    </row>
    <row r="113" spans="1:7" x14ac:dyDescent="0.25">
      <c r="A113" s="8">
        <v>42821.534826388888</v>
      </c>
      <c r="B113" s="20" t="s">
        <v>525</v>
      </c>
      <c r="C113" s="20" t="s">
        <v>723</v>
      </c>
      <c r="D113" s="146">
        <v>1120000</v>
      </c>
      <c r="E113" s="20" t="s">
        <v>454</v>
      </c>
      <c r="F113" s="20" t="s">
        <v>455</v>
      </c>
      <c r="G113" s="8" t="str">
        <f t="shared" si="1"/>
        <v>LOCKLEAR TRAVIS</v>
      </c>
    </row>
    <row r="114" spans="1:7" x14ac:dyDescent="0.25">
      <c r="A114" s="8">
        <v>42821.540555555555</v>
      </c>
      <c r="B114" s="20" t="s">
        <v>471</v>
      </c>
      <c r="C114" s="20" t="s">
        <v>724</v>
      </c>
      <c r="D114" s="146">
        <v>2530000</v>
      </c>
      <c r="E114" s="20" t="s">
        <v>451</v>
      </c>
      <c r="F114" s="20" t="s">
        <v>452</v>
      </c>
      <c r="G114" s="8" t="str">
        <f t="shared" si="1"/>
        <v>LALONDE GREGORY</v>
      </c>
    </row>
    <row r="115" spans="1:7" x14ac:dyDescent="0.25">
      <c r="A115" s="8">
        <v>42821.542199074072</v>
      </c>
      <c r="B115" s="20" t="s">
        <v>484</v>
      </c>
      <c r="C115" s="20" t="s">
        <v>725</v>
      </c>
      <c r="D115" s="146">
        <v>1180000</v>
      </c>
      <c r="E115" s="20" t="s">
        <v>716</v>
      </c>
      <c r="F115" s="20" t="s">
        <v>717</v>
      </c>
      <c r="G115" s="8" t="str">
        <f t="shared" si="1"/>
        <v>LEVERE CRAIG</v>
      </c>
    </row>
    <row r="116" spans="1:7" x14ac:dyDescent="0.25">
      <c r="A116" s="8">
        <v>42821.547511574077</v>
      </c>
      <c r="B116" s="20" t="s">
        <v>447</v>
      </c>
      <c r="C116" s="20" t="s">
        <v>726</v>
      </c>
      <c r="D116" s="146">
        <v>930000</v>
      </c>
      <c r="E116" s="20" t="s">
        <v>706</v>
      </c>
      <c r="F116" s="20" t="s">
        <v>707</v>
      </c>
      <c r="G116" s="8" t="str">
        <f t="shared" si="1"/>
        <v>CLARK KATHLEEN</v>
      </c>
    </row>
    <row r="117" spans="1:7" x14ac:dyDescent="0.25">
      <c r="A117" s="8">
        <v>42821.547905092593</v>
      </c>
      <c r="B117" s="20" t="s">
        <v>660</v>
      </c>
      <c r="C117" s="20" t="s">
        <v>727</v>
      </c>
      <c r="D117" s="146">
        <v>1300000</v>
      </c>
      <c r="E117" s="20" t="s">
        <v>534</v>
      </c>
      <c r="F117" s="20" t="s">
        <v>535</v>
      </c>
      <c r="G117" s="8" t="str">
        <f t="shared" si="1"/>
        <v>LEVIN SCOTT</v>
      </c>
    </row>
    <row r="118" spans="1:7" x14ac:dyDescent="0.25">
      <c r="A118" s="8">
        <v>42821.555555555555</v>
      </c>
      <c r="B118" s="20" t="s">
        <v>486</v>
      </c>
      <c r="C118" s="20" t="s">
        <v>728</v>
      </c>
      <c r="D118" s="146">
        <v>2360000</v>
      </c>
      <c r="E118" s="20" t="s">
        <v>506</v>
      </c>
      <c r="F118" s="20" t="s">
        <v>507</v>
      </c>
      <c r="G118" s="8" t="str">
        <f t="shared" si="1"/>
        <v>BRANDNER MELINDA</v>
      </c>
    </row>
    <row r="119" spans="1:7" x14ac:dyDescent="0.25">
      <c r="A119" s="8">
        <v>42821.559004629627</v>
      </c>
      <c r="B119" s="20" t="s">
        <v>449</v>
      </c>
      <c r="C119" s="20" t="s">
        <v>729</v>
      </c>
      <c r="D119" s="146">
        <v>3040000</v>
      </c>
      <c r="E119" s="20" t="s">
        <v>712</v>
      </c>
      <c r="F119" s="20" t="s">
        <v>713</v>
      </c>
      <c r="G119" s="8" t="str">
        <f t="shared" si="1"/>
        <v>WILLIAMS DONTE</v>
      </c>
    </row>
    <row r="120" spans="1:7" x14ac:dyDescent="0.25">
      <c r="A120" s="8">
        <v>42821.567025462966</v>
      </c>
      <c r="B120" s="20" t="s">
        <v>596</v>
      </c>
      <c r="C120" s="20" t="s">
        <v>730</v>
      </c>
      <c r="D120" s="146">
        <v>1300000</v>
      </c>
      <c r="E120" s="20" t="s">
        <v>534</v>
      </c>
      <c r="F120" s="20" t="s">
        <v>535</v>
      </c>
      <c r="G120" s="8" t="str">
        <f t="shared" si="1"/>
        <v>LEVIN SCOTT</v>
      </c>
    </row>
    <row r="121" spans="1:7" x14ac:dyDescent="0.25">
      <c r="A121" s="8">
        <v>42821.567766203705</v>
      </c>
      <c r="B121" s="20" t="s">
        <v>400</v>
      </c>
      <c r="C121" s="20" t="s">
        <v>615</v>
      </c>
      <c r="D121" s="146">
        <v>880000</v>
      </c>
      <c r="E121" s="20" t="s">
        <v>533</v>
      </c>
      <c r="F121" s="20" t="s">
        <v>198</v>
      </c>
      <c r="G121" s="8" t="str">
        <f t="shared" si="1"/>
        <v>STEWART MICHAEL</v>
      </c>
    </row>
    <row r="122" spans="1:7" x14ac:dyDescent="0.25">
      <c r="A122" s="8">
        <v>42821.569745370369</v>
      </c>
      <c r="B122" s="25" t="s">
        <v>472</v>
      </c>
      <c r="C122" s="20" t="s">
        <v>731</v>
      </c>
      <c r="D122" s="146">
        <v>2530000</v>
      </c>
      <c r="E122" s="20" t="s">
        <v>451</v>
      </c>
      <c r="F122" s="20" t="s">
        <v>452</v>
      </c>
      <c r="G122" s="8" t="str">
        <f t="shared" si="1"/>
        <v>LALONDE GREGORY</v>
      </c>
    </row>
    <row r="123" spans="1:7" x14ac:dyDescent="0.25">
      <c r="A123" s="8">
        <v>42821.570023148146</v>
      </c>
      <c r="B123" s="20" t="s">
        <v>526</v>
      </c>
      <c r="C123" s="20" t="s">
        <v>616</v>
      </c>
      <c r="D123" s="146">
        <v>1120000</v>
      </c>
      <c r="E123" s="20" t="s">
        <v>454</v>
      </c>
      <c r="F123" s="20" t="s">
        <v>455</v>
      </c>
      <c r="G123" s="8" t="str">
        <f t="shared" si="1"/>
        <v>LOCKLEAR TRAVIS</v>
      </c>
    </row>
    <row r="124" spans="1:7" x14ac:dyDescent="0.25">
      <c r="A124" s="8">
        <v>42821.579143518517</v>
      </c>
      <c r="B124" s="20" t="s">
        <v>483</v>
      </c>
      <c r="C124" s="20" t="s">
        <v>732</v>
      </c>
      <c r="D124" s="146">
        <v>1180000</v>
      </c>
      <c r="E124" s="20" t="s">
        <v>716</v>
      </c>
      <c r="F124" s="20" t="s">
        <v>717</v>
      </c>
      <c r="G124" s="8" t="str">
        <f t="shared" si="1"/>
        <v>LEVERE CRAIG</v>
      </c>
    </row>
    <row r="125" spans="1:7" x14ac:dyDescent="0.25">
      <c r="A125" s="8">
        <v>42821.586689814816</v>
      </c>
      <c r="B125" s="20" t="s">
        <v>445</v>
      </c>
      <c r="C125" s="20" t="s">
        <v>733</v>
      </c>
      <c r="D125" s="146">
        <v>930000</v>
      </c>
      <c r="E125" s="20" t="s">
        <v>706</v>
      </c>
      <c r="F125" s="20" t="s">
        <v>707</v>
      </c>
      <c r="G125" s="8" t="str">
        <f t="shared" si="1"/>
        <v>CLARK KATHLEEN</v>
      </c>
    </row>
    <row r="126" spans="1:7" x14ac:dyDescent="0.25">
      <c r="A126" s="8">
        <v>42821.59034722222</v>
      </c>
      <c r="B126" s="20" t="s">
        <v>505</v>
      </c>
      <c r="C126" s="20" t="s">
        <v>734</v>
      </c>
      <c r="D126" s="146">
        <v>2360000</v>
      </c>
      <c r="E126" s="20" t="s">
        <v>506</v>
      </c>
      <c r="F126" s="20" t="s">
        <v>507</v>
      </c>
      <c r="G126" s="8" t="str">
        <f t="shared" si="1"/>
        <v>BRANDNER MELINDA</v>
      </c>
    </row>
    <row r="127" spans="1:7" x14ac:dyDescent="0.25">
      <c r="A127" s="8">
        <v>42821.595335648148</v>
      </c>
      <c r="B127" s="20" t="s">
        <v>446</v>
      </c>
      <c r="C127" s="20" t="s">
        <v>735</v>
      </c>
      <c r="D127" s="146">
        <v>3040000</v>
      </c>
      <c r="E127" s="20" t="s">
        <v>712</v>
      </c>
      <c r="F127" s="20" t="s">
        <v>713</v>
      </c>
      <c r="G127" s="8" t="str">
        <f t="shared" si="1"/>
        <v>WILLIAMS DONTE</v>
      </c>
    </row>
    <row r="128" spans="1:7" x14ac:dyDescent="0.25">
      <c r="A128" s="8">
        <v>42821.595347222225</v>
      </c>
      <c r="B128" s="20" t="s">
        <v>660</v>
      </c>
      <c r="C128" s="20" t="s">
        <v>736</v>
      </c>
      <c r="D128" s="146">
        <v>1300000</v>
      </c>
      <c r="E128" s="20" t="s">
        <v>534</v>
      </c>
      <c r="F128" s="20" t="s">
        <v>535</v>
      </c>
      <c r="G128" s="8" t="str">
        <f t="shared" si="1"/>
        <v>LEVIN SCOTT</v>
      </c>
    </row>
    <row r="129" spans="1:7" x14ac:dyDescent="0.25">
      <c r="A129" s="8">
        <v>42821.596250000002</v>
      </c>
      <c r="B129" s="20" t="s">
        <v>446</v>
      </c>
      <c r="C129" s="20" t="s">
        <v>735</v>
      </c>
      <c r="D129" s="146">
        <v>3040000</v>
      </c>
      <c r="E129" s="20" t="s">
        <v>712</v>
      </c>
      <c r="F129" s="20" t="s">
        <v>713</v>
      </c>
      <c r="G129" s="8" t="str">
        <f t="shared" si="1"/>
        <v>WILLIAMS DONTE</v>
      </c>
    </row>
    <row r="130" spans="1:7" x14ac:dyDescent="0.25">
      <c r="A130" s="8">
        <v>42821.598749999997</v>
      </c>
      <c r="B130" s="20" t="s">
        <v>446</v>
      </c>
      <c r="C130" s="20" t="s">
        <v>735</v>
      </c>
      <c r="D130" s="146">
        <v>3040000</v>
      </c>
      <c r="E130" s="20" t="s">
        <v>712</v>
      </c>
      <c r="F130" s="20" t="s">
        <v>713</v>
      </c>
      <c r="G130" s="8" t="str">
        <f t="shared" si="1"/>
        <v>WILLIAMS DONTE</v>
      </c>
    </row>
    <row r="131" spans="1:7" x14ac:dyDescent="0.25">
      <c r="A131" s="8">
        <v>42821.601921296293</v>
      </c>
      <c r="B131" s="20" t="s">
        <v>404</v>
      </c>
      <c r="C131" s="20" t="s">
        <v>737</v>
      </c>
      <c r="D131" s="146">
        <v>880000</v>
      </c>
      <c r="E131" s="20" t="s">
        <v>533</v>
      </c>
      <c r="F131" s="20" t="s">
        <v>198</v>
      </c>
      <c r="G131" s="8" t="str">
        <f t="shared" ref="G131:G194" si="2">E131&amp;" "&amp;F131</f>
        <v>STEWART MICHAEL</v>
      </c>
    </row>
    <row r="132" spans="1:7" x14ac:dyDescent="0.25">
      <c r="A132" s="8">
        <v>42821.609305555554</v>
      </c>
      <c r="B132" s="20" t="s">
        <v>596</v>
      </c>
      <c r="C132" s="20" t="s">
        <v>738</v>
      </c>
      <c r="D132" s="146">
        <v>1300000</v>
      </c>
      <c r="E132" s="20" t="s">
        <v>534</v>
      </c>
      <c r="F132" s="20" t="s">
        <v>535</v>
      </c>
      <c r="G132" s="8" t="str">
        <f t="shared" si="2"/>
        <v>LEVIN SCOTT</v>
      </c>
    </row>
    <row r="133" spans="1:7" x14ac:dyDescent="0.25">
      <c r="A133" s="8">
        <v>42821.610729166663</v>
      </c>
      <c r="B133" s="20" t="s">
        <v>525</v>
      </c>
      <c r="C133" s="20" t="s">
        <v>617</v>
      </c>
      <c r="D133" s="146">
        <v>1120000</v>
      </c>
      <c r="E133" s="20" t="s">
        <v>454</v>
      </c>
      <c r="F133" s="20" t="s">
        <v>455</v>
      </c>
      <c r="G133" s="8" t="str">
        <f t="shared" si="2"/>
        <v>LOCKLEAR TRAVIS</v>
      </c>
    </row>
    <row r="134" spans="1:7" x14ac:dyDescent="0.25">
      <c r="A134" s="8">
        <v>42821.613032407404</v>
      </c>
      <c r="B134" s="20" t="s">
        <v>471</v>
      </c>
      <c r="C134" s="20" t="s">
        <v>739</v>
      </c>
      <c r="D134" s="146">
        <v>920000</v>
      </c>
      <c r="E134" s="20" t="s">
        <v>531</v>
      </c>
      <c r="F134" s="20" t="s">
        <v>198</v>
      </c>
      <c r="G134" s="8" t="str">
        <f t="shared" si="2"/>
        <v>DAVIS MICHAEL</v>
      </c>
    </row>
    <row r="135" spans="1:7" x14ac:dyDescent="0.25">
      <c r="A135" s="8">
        <v>42821.617881944447</v>
      </c>
      <c r="B135" s="20" t="s">
        <v>484</v>
      </c>
      <c r="C135" s="20" t="s">
        <v>740</v>
      </c>
      <c r="D135" s="146">
        <v>1180000</v>
      </c>
      <c r="E135" s="20" t="s">
        <v>716</v>
      </c>
      <c r="F135" s="20" t="s">
        <v>717</v>
      </c>
      <c r="G135" s="8" t="str">
        <f t="shared" si="2"/>
        <v>LEVERE CRAIG</v>
      </c>
    </row>
    <row r="136" spans="1:7" x14ac:dyDescent="0.25">
      <c r="A136" s="8">
        <v>42821.621493055558</v>
      </c>
      <c r="B136" s="20" t="s">
        <v>447</v>
      </c>
      <c r="C136" s="20" t="s">
        <v>741</v>
      </c>
      <c r="D136" s="146">
        <v>930000</v>
      </c>
      <c r="E136" s="20" t="s">
        <v>706</v>
      </c>
      <c r="F136" s="20" t="s">
        <v>707</v>
      </c>
      <c r="G136" s="8" t="str">
        <f t="shared" si="2"/>
        <v>CLARK KATHLEEN</v>
      </c>
    </row>
    <row r="137" spans="1:7" x14ac:dyDescent="0.25">
      <c r="A137" s="8">
        <v>42821.627488425926</v>
      </c>
      <c r="B137" s="20" t="s">
        <v>486</v>
      </c>
      <c r="C137" s="20" t="s">
        <v>619</v>
      </c>
      <c r="D137" s="146">
        <v>2360000</v>
      </c>
      <c r="E137" s="20" t="s">
        <v>506</v>
      </c>
      <c r="F137" s="20" t="s">
        <v>507</v>
      </c>
      <c r="G137" s="8" t="str">
        <f t="shared" si="2"/>
        <v>BRANDNER MELINDA</v>
      </c>
    </row>
    <row r="138" spans="1:7" x14ac:dyDescent="0.25">
      <c r="A138" s="8">
        <v>42821.632708333331</v>
      </c>
      <c r="B138" s="20" t="s">
        <v>449</v>
      </c>
      <c r="C138" s="20" t="s">
        <v>742</v>
      </c>
      <c r="D138" s="146">
        <v>3040000</v>
      </c>
      <c r="E138" s="20" t="s">
        <v>712</v>
      </c>
      <c r="F138" s="20" t="s">
        <v>713</v>
      </c>
      <c r="G138" s="8" t="str">
        <f t="shared" si="2"/>
        <v>WILLIAMS DONTE</v>
      </c>
    </row>
    <row r="139" spans="1:7" x14ac:dyDescent="0.25">
      <c r="A139" s="8">
        <v>42821.63726851852</v>
      </c>
      <c r="B139" s="20" t="s">
        <v>660</v>
      </c>
      <c r="C139" s="20" t="s">
        <v>743</v>
      </c>
      <c r="D139" s="146">
        <v>1300000</v>
      </c>
      <c r="E139" s="20" t="s">
        <v>534</v>
      </c>
      <c r="F139" s="20" t="s">
        <v>535</v>
      </c>
      <c r="G139" s="8" t="str">
        <f t="shared" si="2"/>
        <v>LEVIN SCOTT</v>
      </c>
    </row>
    <row r="140" spans="1:7" x14ac:dyDescent="0.25">
      <c r="A140" s="8">
        <v>42821.638344907406</v>
      </c>
      <c r="B140" s="20" t="s">
        <v>402</v>
      </c>
      <c r="C140" s="20" t="s">
        <v>618</v>
      </c>
      <c r="D140" s="146">
        <v>1810000</v>
      </c>
      <c r="E140" s="20" t="s">
        <v>459</v>
      </c>
      <c r="F140" s="20" t="s">
        <v>195</v>
      </c>
      <c r="G140" s="8" t="str">
        <f t="shared" si="2"/>
        <v>NEWELL JAMES</v>
      </c>
    </row>
    <row r="141" spans="1:7" x14ac:dyDescent="0.25">
      <c r="A141" s="8">
        <v>42821.639363425929</v>
      </c>
      <c r="B141" s="20" t="s">
        <v>400</v>
      </c>
      <c r="C141" s="20" t="s">
        <v>744</v>
      </c>
      <c r="D141" s="146">
        <v>880000</v>
      </c>
      <c r="E141" s="20" t="s">
        <v>533</v>
      </c>
      <c r="F141" s="20" t="s">
        <v>198</v>
      </c>
      <c r="G141" s="8" t="str">
        <f t="shared" si="2"/>
        <v>STEWART MICHAEL</v>
      </c>
    </row>
    <row r="142" spans="1:7" x14ac:dyDescent="0.25">
      <c r="A142" s="8">
        <v>42821.642951388887</v>
      </c>
      <c r="B142" s="20" t="s">
        <v>526</v>
      </c>
      <c r="C142" s="20" t="s">
        <v>621</v>
      </c>
      <c r="D142" s="146">
        <v>1120000</v>
      </c>
      <c r="E142" s="20" t="s">
        <v>454</v>
      </c>
      <c r="F142" s="20" t="s">
        <v>455</v>
      </c>
      <c r="G142" s="8" t="str">
        <f t="shared" si="2"/>
        <v>LOCKLEAR TRAVIS</v>
      </c>
    </row>
    <row r="143" spans="1:7" x14ac:dyDescent="0.25">
      <c r="A143" s="8">
        <v>42821.650729166664</v>
      </c>
      <c r="B143" s="20" t="s">
        <v>401</v>
      </c>
      <c r="C143" s="20" t="s">
        <v>745</v>
      </c>
      <c r="D143" s="146">
        <v>1810000</v>
      </c>
      <c r="E143" s="20" t="s">
        <v>459</v>
      </c>
      <c r="F143" s="20" t="s">
        <v>195</v>
      </c>
      <c r="G143" s="8" t="str">
        <f t="shared" si="2"/>
        <v>NEWELL JAMES</v>
      </c>
    </row>
    <row r="144" spans="1:7" x14ac:dyDescent="0.25">
      <c r="A144" s="8">
        <v>42821.65084490741</v>
      </c>
      <c r="B144" s="20" t="s">
        <v>596</v>
      </c>
      <c r="C144" s="20" t="s">
        <v>746</v>
      </c>
      <c r="D144" s="146">
        <v>1300000</v>
      </c>
      <c r="E144" s="20" t="s">
        <v>534</v>
      </c>
      <c r="F144" s="20" t="s">
        <v>535</v>
      </c>
      <c r="G144" s="8" t="str">
        <f t="shared" si="2"/>
        <v>LEVIN SCOTT</v>
      </c>
    </row>
    <row r="145" spans="1:7" x14ac:dyDescent="0.25">
      <c r="A145" s="8">
        <v>42821.651550925926</v>
      </c>
      <c r="B145" s="20" t="s">
        <v>472</v>
      </c>
      <c r="C145" s="20" t="s">
        <v>747</v>
      </c>
      <c r="D145" s="146">
        <v>920000</v>
      </c>
      <c r="E145" s="20" t="s">
        <v>531</v>
      </c>
      <c r="F145" s="20" t="s">
        <v>198</v>
      </c>
      <c r="G145" s="8" t="str">
        <f t="shared" si="2"/>
        <v>DAVIS MICHAEL</v>
      </c>
    </row>
    <row r="146" spans="1:7" x14ac:dyDescent="0.25">
      <c r="A146" s="8">
        <v>42821.652870370373</v>
      </c>
      <c r="B146" s="20" t="s">
        <v>483</v>
      </c>
      <c r="C146" s="20" t="s">
        <v>748</v>
      </c>
      <c r="D146" s="146">
        <v>1180000</v>
      </c>
      <c r="E146" s="20" t="s">
        <v>716</v>
      </c>
      <c r="F146" s="20" t="s">
        <v>717</v>
      </c>
      <c r="G146" s="8" t="str">
        <f t="shared" si="2"/>
        <v>LEVERE CRAIG</v>
      </c>
    </row>
    <row r="147" spans="1:7" x14ac:dyDescent="0.25">
      <c r="A147" s="8">
        <v>42821.66002314815</v>
      </c>
      <c r="B147" s="20" t="s">
        <v>445</v>
      </c>
      <c r="C147" s="20" t="s">
        <v>749</v>
      </c>
      <c r="D147" s="146">
        <v>930000</v>
      </c>
      <c r="E147" s="20" t="s">
        <v>706</v>
      </c>
      <c r="F147" s="20" t="s">
        <v>707</v>
      </c>
      <c r="G147" s="8" t="str">
        <f t="shared" si="2"/>
        <v>CLARK KATHLEEN</v>
      </c>
    </row>
    <row r="148" spans="1:7" x14ac:dyDescent="0.25">
      <c r="A148" s="8">
        <v>42821.663703703707</v>
      </c>
      <c r="B148" s="20" t="s">
        <v>505</v>
      </c>
      <c r="C148" s="20" t="s">
        <v>620</v>
      </c>
      <c r="D148" s="146">
        <v>2360000</v>
      </c>
      <c r="E148" s="20" t="s">
        <v>506</v>
      </c>
      <c r="F148" s="20" t="s">
        <v>507</v>
      </c>
      <c r="G148" s="8" t="str">
        <f t="shared" si="2"/>
        <v>BRANDNER MELINDA</v>
      </c>
    </row>
    <row r="149" spans="1:7" x14ac:dyDescent="0.25">
      <c r="A149" s="8">
        <v>42821.66878472222</v>
      </c>
      <c r="B149" s="20" t="s">
        <v>446</v>
      </c>
      <c r="C149" s="20" t="s">
        <v>622</v>
      </c>
      <c r="D149" s="146">
        <v>3040000</v>
      </c>
      <c r="E149" s="20" t="s">
        <v>712</v>
      </c>
      <c r="F149" s="20" t="s">
        <v>713</v>
      </c>
      <c r="G149" s="8" t="str">
        <f t="shared" si="2"/>
        <v>WILLIAMS DONTE</v>
      </c>
    </row>
    <row r="150" spans="1:7" x14ac:dyDescent="0.25">
      <c r="A150" s="8">
        <v>42821.671064814815</v>
      </c>
      <c r="B150" s="20" t="s">
        <v>402</v>
      </c>
      <c r="C150" s="20" t="s">
        <v>750</v>
      </c>
      <c r="D150" s="146">
        <v>1810000</v>
      </c>
      <c r="E150" s="20" t="s">
        <v>459</v>
      </c>
      <c r="F150" s="20" t="s">
        <v>195</v>
      </c>
      <c r="G150" s="8" t="str">
        <f t="shared" si="2"/>
        <v>NEWELL JAMES</v>
      </c>
    </row>
    <row r="151" spans="1:7" x14ac:dyDescent="0.25">
      <c r="A151" s="8">
        <v>42821.674166666664</v>
      </c>
      <c r="B151" s="20" t="s">
        <v>404</v>
      </c>
      <c r="C151" s="20" t="s">
        <v>751</v>
      </c>
      <c r="D151" s="146">
        <v>880000</v>
      </c>
      <c r="E151" s="20" t="s">
        <v>533</v>
      </c>
      <c r="F151" s="20" t="s">
        <v>198</v>
      </c>
      <c r="G151" s="8" t="str">
        <f t="shared" si="2"/>
        <v>STEWART MICHAEL</v>
      </c>
    </row>
    <row r="152" spans="1:7" x14ac:dyDescent="0.25">
      <c r="A152" s="8">
        <v>42821.679108796299</v>
      </c>
      <c r="B152" s="20" t="s">
        <v>660</v>
      </c>
      <c r="C152" s="20" t="s">
        <v>752</v>
      </c>
      <c r="D152" s="146">
        <v>1300000</v>
      </c>
      <c r="E152" s="20" t="s">
        <v>534</v>
      </c>
      <c r="F152" s="20" t="s">
        <v>535</v>
      </c>
      <c r="G152" s="8" t="str">
        <f t="shared" si="2"/>
        <v>LEVIN SCOTT</v>
      </c>
    </row>
    <row r="153" spans="1:7" x14ac:dyDescent="0.25">
      <c r="A153" s="8">
        <v>42821.68172453704</v>
      </c>
      <c r="B153" s="20" t="s">
        <v>525</v>
      </c>
      <c r="C153" s="20" t="s">
        <v>753</v>
      </c>
      <c r="D153" s="146">
        <v>1120000</v>
      </c>
      <c r="E153" s="20" t="s">
        <v>454</v>
      </c>
      <c r="F153" s="20" t="s">
        <v>455</v>
      </c>
      <c r="G153" s="8" t="str">
        <f t="shared" si="2"/>
        <v>LOCKLEAR TRAVIS</v>
      </c>
    </row>
    <row r="154" spans="1:7" x14ac:dyDescent="0.25">
      <c r="A154" s="8">
        <v>42821.684293981481</v>
      </c>
      <c r="B154" s="20" t="s">
        <v>471</v>
      </c>
      <c r="C154" s="20" t="s">
        <v>754</v>
      </c>
      <c r="D154" s="146">
        <v>920000</v>
      </c>
      <c r="E154" s="20" t="s">
        <v>531</v>
      </c>
      <c r="F154" s="20" t="s">
        <v>198</v>
      </c>
      <c r="G154" s="8" t="str">
        <f t="shared" si="2"/>
        <v>DAVIS MICHAEL</v>
      </c>
    </row>
    <row r="155" spans="1:7" x14ac:dyDescent="0.25">
      <c r="A155" s="8">
        <v>42821.687083333331</v>
      </c>
      <c r="B155" s="20" t="s">
        <v>401</v>
      </c>
      <c r="C155" s="20" t="s">
        <v>755</v>
      </c>
      <c r="D155" s="146">
        <v>1810000</v>
      </c>
      <c r="E155" s="20" t="s">
        <v>459</v>
      </c>
      <c r="F155" s="20" t="s">
        <v>195</v>
      </c>
      <c r="G155" s="8" t="str">
        <f t="shared" si="2"/>
        <v>NEWELL JAMES</v>
      </c>
    </row>
    <row r="156" spans="1:7" x14ac:dyDescent="0.25">
      <c r="A156" s="8">
        <v>42821.690462962964</v>
      </c>
      <c r="B156" s="20" t="s">
        <v>484</v>
      </c>
      <c r="C156" s="20" t="s">
        <v>756</v>
      </c>
      <c r="D156" s="146">
        <v>1180000</v>
      </c>
      <c r="E156" s="20" t="s">
        <v>716</v>
      </c>
      <c r="F156" s="20" t="s">
        <v>717</v>
      </c>
      <c r="G156" s="8" t="str">
        <f t="shared" si="2"/>
        <v>LEVERE CRAIG</v>
      </c>
    </row>
    <row r="157" spans="1:7" x14ac:dyDescent="0.25">
      <c r="A157" s="8">
        <v>42821.69226851852</v>
      </c>
      <c r="B157" s="20" t="s">
        <v>596</v>
      </c>
      <c r="C157" s="20" t="s">
        <v>757</v>
      </c>
      <c r="D157" s="146">
        <v>1300000</v>
      </c>
      <c r="E157" s="20" t="s">
        <v>534</v>
      </c>
      <c r="F157" s="20" t="s">
        <v>535</v>
      </c>
      <c r="G157" s="8" t="str">
        <f t="shared" si="2"/>
        <v>LEVIN SCOTT</v>
      </c>
    </row>
    <row r="158" spans="1:7" x14ac:dyDescent="0.25">
      <c r="A158" s="8">
        <v>42821.693414351852</v>
      </c>
      <c r="B158" s="20" t="s">
        <v>447</v>
      </c>
      <c r="C158" s="20" t="s">
        <v>758</v>
      </c>
      <c r="D158" s="146">
        <v>930000</v>
      </c>
      <c r="E158" s="20" t="s">
        <v>706</v>
      </c>
      <c r="F158" s="20" t="s">
        <v>707</v>
      </c>
      <c r="G158" s="8" t="str">
        <f t="shared" si="2"/>
        <v>CLARK KATHLEEN</v>
      </c>
    </row>
    <row r="159" spans="1:7" x14ac:dyDescent="0.25">
      <c r="A159" s="8">
        <v>42821.700613425928</v>
      </c>
      <c r="B159" s="20" t="s">
        <v>486</v>
      </c>
      <c r="C159" s="20" t="s">
        <v>759</v>
      </c>
      <c r="D159" s="146">
        <v>2360000</v>
      </c>
      <c r="E159" s="20" t="s">
        <v>506</v>
      </c>
      <c r="F159" s="20" t="s">
        <v>507</v>
      </c>
      <c r="G159" s="8" t="str">
        <f t="shared" si="2"/>
        <v>BRANDNER MELINDA</v>
      </c>
    </row>
    <row r="160" spans="1:7" x14ac:dyDescent="0.25">
      <c r="A160" s="8">
        <v>42821.705729166664</v>
      </c>
      <c r="B160" s="20" t="s">
        <v>449</v>
      </c>
      <c r="C160" s="20" t="s">
        <v>760</v>
      </c>
      <c r="D160" s="146">
        <v>3040000</v>
      </c>
      <c r="E160" s="20" t="s">
        <v>712</v>
      </c>
      <c r="F160" s="20" t="s">
        <v>713</v>
      </c>
      <c r="G160" s="8" t="str">
        <f t="shared" si="2"/>
        <v>WILLIAMS DONTE</v>
      </c>
    </row>
    <row r="161" spans="1:7" x14ac:dyDescent="0.25">
      <c r="A161" s="8">
        <v>42821.71234953704</v>
      </c>
      <c r="B161" s="20" t="s">
        <v>402</v>
      </c>
      <c r="C161" s="20" t="s">
        <v>761</v>
      </c>
      <c r="D161" s="146">
        <v>1810000</v>
      </c>
      <c r="E161" s="20" t="s">
        <v>459</v>
      </c>
      <c r="F161" s="20" t="s">
        <v>195</v>
      </c>
      <c r="G161" s="8" t="str">
        <f t="shared" si="2"/>
        <v>NEWELL JAMES</v>
      </c>
    </row>
    <row r="162" spans="1:7" x14ac:dyDescent="0.25">
      <c r="A162" s="8">
        <v>42821.713819444441</v>
      </c>
      <c r="B162" s="20" t="s">
        <v>400</v>
      </c>
      <c r="C162" s="20" t="s">
        <v>762</v>
      </c>
      <c r="D162" s="146">
        <v>880000</v>
      </c>
      <c r="E162" s="20" t="s">
        <v>533</v>
      </c>
      <c r="F162" s="20" t="s">
        <v>198</v>
      </c>
      <c r="G162" s="8" t="str">
        <f t="shared" si="2"/>
        <v>STEWART MICHAEL</v>
      </c>
    </row>
    <row r="163" spans="1:7" x14ac:dyDescent="0.25">
      <c r="A163" s="8">
        <v>42821.71707175926</v>
      </c>
      <c r="B163" s="20" t="s">
        <v>526</v>
      </c>
      <c r="C163" s="20" t="s">
        <v>763</v>
      </c>
      <c r="D163" s="146">
        <v>1800000</v>
      </c>
      <c r="E163" s="20" t="s">
        <v>456</v>
      </c>
      <c r="F163" s="20" t="s">
        <v>457</v>
      </c>
      <c r="G163" s="8" t="str">
        <f t="shared" si="2"/>
        <v>CHANDLER KELVIN</v>
      </c>
    </row>
    <row r="164" spans="1:7" x14ac:dyDescent="0.25">
      <c r="A164" s="8">
        <v>42821.720532407409</v>
      </c>
      <c r="B164" s="20" t="s">
        <v>660</v>
      </c>
      <c r="C164" s="20" t="s">
        <v>764</v>
      </c>
      <c r="D164" s="146">
        <v>1300000</v>
      </c>
      <c r="E164" s="20" t="s">
        <v>534</v>
      </c>
      <c r="F164" s="20" t="s">
        <v>535</v>
      </c>
      <c r="G164" s="8" t="str">
        <f t="shared" si="2"/>
        <v>LEVIN SCOTT</v>
      </c>
    </row>
    <row r="165" spans="1:7" x14ac:dyDescent="0.25">
      <c r="A165" s="8">
        <v>42821.724548611113</v>
      </c>
      <c r="B165" s="20" t="s">
        <v>472</v>
      </c>
      <c r="C165" s="20" t="s">
        <v>765</v>
      </c>
      <c r="D165" s="146">
        <v>920000</v>
      </c>
      <c r="E165" s="20" t="s">
        <v>531</v>
      </c>
      <c r="F165" s="20" t="s">
        <v>198</v>
      </c>
      <c r="G165" s="8" t="str">
        <f t="shared" si="2"/>
        <v>DAVIS MICHAEL</v>
      </c>
    </row>
    <row r="166" spans="1:7" x14ac:dyDescent="0.25">
      <c r="A166" s="8">
        <v>42821.726076388892</v>
      </c>
      <c r="B166" s="20" t="s">
        <v>483</v>
      </c>
      <c r="C166" s="20" t="s">
        <v>766</v>
      </c>
      <c r="D166" s="146">
        <v>1120000</v>
      </c>
      <c r="E166" s="20" t="s">
        <v>454</v>
      </c>
      <c r="F166" s="20" t="s">
        <v>455</v>
      </c>
      <c r="G166" s="8" t="str">
        <f t="shared" si="2"/>
        <v>LOCKLEAR TRAVIS</v>
      </c>
    </row>
    <row r="167" spans="1:7" x14ac:dyDescent="0.25">
      <c r="A167" s="8">
        <v>42821.727546296293</v>
      </c>
      <c r="B167" s="20" t="s">
        <v>401</v>
      </c>
      <c r="C167" s="20" t="s">
        <v>767</v>
      </c>
      <c r="D167" s="146">
        <v>1810000</v>
      </c>
      <c r="E167" s="20" t="s">
        <v>459</v>
      </c>
      <c r="F167" s="20" t="s">
        <v>195</v>
      </c>
      <c r="G167" s="8" t="str">
        <f t="shared" si="2"/>
        <v>NEWELL JAMES</v>
      </c>
    </row>
    <row r="168" spans="1:7" x14ac:dyDescent="0.25">
      <c r="A168" s="8">
        <v>42821.733391203707</v>
      </c>
      <c r="B168" s="20" t="s">
        <v>596</v>
      </c>
      <c r="C168" s="20" t="s">
        <v>768</v>
      </c>
      <c r="D168" s="146">
        <v>1300000</v>
      </c>
      <c r="E168" s="20" t="s">
        <v>534</v>
      </c>
      <c r="F168" s="20" t="s">
        <v>535</v>
      </c>
      <c r="G168" s="8" t="str">
        <f t="shared" si="2"/>
        <v>LEVIN SCOTT</v>
      </c>
    </row>
    <row r="169" spans="1:7" x14ac:dyDescent="0.25">
      <c r="A169" s="8">
        <v>42821.734050925923</v>
      </c>
      <c r="B169" s="20" t="s">
        <v>445</v>
      </c>
      <c r="C169" s="20" t="s">
        <v>769</v>
      </c>
      <c r="D169" s="146">
        <v>930000</v>
      </c>
      <c r="E169" s="20" t="s">
        <v>706</v>
      </c>
      <c r="F169" s="20" t="s">
        <v>707</v>
      </c>
      <c r="G169" s="8" t="str">
        <f t="shared" si="2"/>
        <v>CLARK KATHLEEN</v>
      </c>
    </row>
    <row r="170" spans="1:7" x14ac:dyDescent="0.25">
      <c r="A170" s="8">
        <v>42821.737847222219</v>
      </c>
      <c r="B170" s="20" t="s">
        <v>505</v>
      </c>
      <c r="C170" s="20" t="s">
        <v>770</v>
      </c>
      <c r="D170" s="146">
        <v>2230000</v>
      </c>
      <c r="E170" s="20" t="s">
        <v>397</v>
      </c>
      <c r="F170" s="20" t="s">
        <v>198</v>
      </c>
      <c r="G170" s="8" t="str">
        <f t="shared" si="2"/>
        <v>SMITH MICHAEL</v>
      </c>
    </row>
    <row r="171" spans="1:7" x14ac:dyDescent="0.25">
      <c r="A171" s="8">
        <v>42821.739699074074</v>
      </c>
      <c r="B171" s="20" t="s">
        <v>385</v>
      </c>
      <c r="C171" s="20" t="s">
        <v>771</v>
      </c>
      <c r="D171" s="146">
        <v>2680000</v>
      </c>
      <c r="E171" s="20" t="s">
        <v>536</v>
      </c>
      <c r="F171" s="20" t="s">
        <v>537</v>
      </c>
      <c r="G171" s="8" t="str">
        <f t="shared" si="2"/>
        <v>DUNCAN SHEILA</v>
      </c>
    </row>
    <row r="172" spans="1:7" x14ac:dyDescent="0.25">
      <c r="A172" s="8">
        <v>42821.740081018521</v>
      </c>
      <c r="B172" s="20" t="s">
        <v>458</v>
      </c>
      <c r="C172" s="20" t="s">
        <v>772</v>
      </c>
      <c r="D172" s="146">
        <v>2560000</v>
      </c>
      <c r="E172" s="20" t="s">
        <v>413</v>
      </c>
      <c r="F172" s="20" t="s">
        <v>414</v>
      </c>
      <c r="G172" s="8" t="str">
        <f t="shared" si="2"/>
        <v>MACDONALD THOMAS</v>
      </c>
    </row>
    <row r="173" spans="1:7" x14ac:dyDescent="0.25">
      <c r="A173" s="8">
        <v>42821.741168981483</v>
      </c>
      <c r="B173" s="20" t="s">
        <v>385</v>
      </c>
      <c r="C173" s="20" t="s">
        <v>771</v>
      </c>
      <c r="D173" s="146">
        <v>2680000</v>
      </c>
      <c r="E173" s="20" t="s">
        <v>536</v>
      </c>
      <c r="F173" s="20" t="s">
        <v>537</v>
      </c>
      <c r="G173" s="8" t="str">
        <f t="shared" si="2"/>
        <v>DUNCAN SHEILA</v>
      </c>
    </row>
    <row r="174" spans="1:7" x14ac:dyDescent="0.25">
      <c r="A174" s="8">
        <v>42821.741956018515</v>
      </c>
      <c r="B174" s="20" t="s">
        <v>446</v>
      </c>
      <c r="C174" s="20" t="s">
        <v>773</v>
      </c>
      <c r="D174" s="146">
        <v>3040000</v>
      </c>
      <c r="E174" s="20" t="s">
        <v>712</v>
      </c>
      <c r="F174" s="20" t="s">
        <v>713</v>
      </c>
      <c r="G174" s="8" t="str">
        <f t="shared" si="2"/>
        <v>WILLIAMS DONTE</v>
      </c>
    </row>
    <row r="175" spans="1:7" x14ac:dyDescent="0.25">
      <c r="A175" s="8">
        <v>42821.746724537035</v>
      </c>
      <c r="B175" s="20" t="s">
        <v>404</v>
      </c>
      <c r="C175" s="20" t="s">
        <v>774</v>
      </c>
      <c r="D175" s="146">
        <v>2360000</v>
      </c>
      <c r="E175" s="20" t="s">
        <v>506</v>
      </c>
      <c r="F175" s="20" t="s">
        <v>507</v>
      </c>
      <c r="G175" s="8" t="str">
        <f t="shared" si="2"/>
        <v>BRANDNER MELINDA</v>
      </c>
    </row>
    <row r="176" spans="1:7" x14ac:dyDescent="0.25">
      <c r="A176" s="8">
        <v>42821.753831018519</v>
      </c>
      <c r="B176" s="20" t="s">
        <v>402</v>
      </c>
      <c r="C176" s="20" t="s">
        <v>624</v>
      </c>
      <c r="D176" s="146">
        <v>1810000</v>
      </c>
      <c r="E176" s="20" t="s">
        <v>459</v>
      </c>
      <c r="F176" s="20" t="s">
        <v>195</v>
      </c>
      <c r="G176" s="8" t="str">
        <f t="shared" si="2"/>
        <v>NEWELL JAMES</v>
      </c>
    </row>
    <row r="177" spans="1:7" x14ac:dyDescent="0.25">
      <c r="A177" s="8">
        <v>42821.756053240744</v>
      </c>
      <c r="B177" s="20" t="s">
        <v>525</v>
      </c>
      <c r="C177" s="20" t="s">
        <v>775</v>
      </c>
      <c r="D177" s="146">
        <v>1800000</v>
      </c>
      <c r="E177" s="20" t="s">
        <v>456</v>
      </c>
      <c r="F177" s="20" t="s">
        <v>457</v>
      </c>
      <c r="G177" s="8" t="str">
        <f t="shared" si="2"/>
        <v>CHANDLER KELVIN</v>
      </c>
    </row>
    <row r="178" spans="1:7" x14ac:dyDescent="0.25">
      <c r="A178" s="8">
        <v>42821.757233796299</v>
      </c>
      <c r="B178" s="20" t="s">
        <v>660</v>
      </c>
      <c r="C178" s="20" t="s">
        <v>776</v>
      </c>
      <c r="D178" s="146">
        <v>1300000</v>
      </c>
      <c r="E178" s="20" t="s">
        <v>534</v>
      </c>
      <c r="F178" s="20" t="s">
        <v>535</v>
      </c>
      <c r="G178" s="8" t="str">
        <f t="shared" si="2"/>
        <v>LEVIN SCOTT</v>
      </c>
    </row>
    <row r="179" spans="1:7" x14ac:dyDescent="0.25">
      <c r="A179" s="8">
        <v>42821.758356481485</v>
      </c>
      <c r="B179" s="20" t="s">
        <v>471</v>
      </c>
      <c r="C179" s="20" t="s">
        <v>623</v>
      </c>
      <c r="D179" s="146">
        <v>2970000</v>
      </c>
      <c r="E179" s="20" t="s">
        <v>777</v>
      </c>
      <c r="F179" s="20" t="s">
        <v>778</v>
      </c>
      <c r="G179" s="8" t="str">
        <f t="shared" si="2"/>
        <v>GUZMAN DANNY</v>
      </c>
    </row>
    <row r="180" spans="1:7" x14ac:dyDescent="0.25">
      <c r="A180" s="8">
        <v>42821.765694444446</v>
      </c>
      <c r="B180" s="20" t="s">
        <v>484</v>
      </c>
      <c r="C180" s="20" t="s">
        <v>779</v>
      </c>
      <c r="D180" s="146">
        <v>1120000</v>
      </c>
      <c r="E180" s="20" t="s">
        <v>454</v>
      </c>
      <c r="F180" s="20" t="s">
        <v>455</v>
      </c>
      <c r="G180" s="8" t="str">
        <f t="shared" si="2"/>
        <v>LOCKLEAR TRAVIS</v>
      </c>
    </row>
    <row r="181" spans="1:7" x14ac:dyDescent="0.25">
      <c r="A181" s="8">
        <v>42821.768506944441</v>
      </c>
      <c r="B181" s="20" t="s">
        <v>447</v>
      </c>
      <c r="C181" s="20" t="s">
        <v>780</v>
      </c>
      <c r="D181" s="146">
        <v>1740000</v>
      </c>
      <c r="E181" s="20" t="s">
        <v>467</v>
      </c>
      <c r="F181" s="20" t="s">
        <v>468</v>
      </c>
      <c r="G181" s="8" t="str">
        <f t="shared" si="2"/>
        <v>STORY SAMANTHA</v>
      </c>
    </row>
    <row r="182" spans="1:7" x14ac:dyDescent="0.25">
      <c r="A182" s="8">
        <v>42821.770960648151</v>
      </c>
      <c r="B182" s="20" t="s">
        <v>486</v>
      </c>
      <c r="C182" s="20" t="s">
        <v>781</v>
      </c>
      <c r="D182" s="146">
        <v>2230000</v>
      </c>
      <c r="E182" s="20" t="s">
        <v>397</v>
      </c>
      <c r="F182" s="20" t="s">
        <v>198</v>
      </c>
      <c r="G182" s="8" t="str">
        <f t="shared" si="2"/>
        <v>SMITH MICHAEL</v>
      </c>
    </row>
    <row r="183" spans="1:7" x14ac:dyDescent="0.25">
      <c r="A183" s="8">
        <v>42821.77134259259</v>
      </c>
      <c r="B183" s="20" t="s">
        <v>401</v>
      </c>
      <c r="C183" s="20" t="s">
        <v>782</v>
      </c>
      <c r="D183" s="146">
        <v>1810000</v>
      </c>
      <c r="E183" s="20" t="s">
        <v>459</v>
      </c>
      <c r="F183" s="20" t="s">
        <v>195</v>
      </c>
      <c r="G183" s="8" t="str">
        <f t="shared" si="2"/>
        <v>NEWELL JAMES</v>
      </c>
    </row>
    <row r="184" spans="1:7" x14ac:dyDescent="0.25">
      <c r="A184" s="8">
        <v>42821.77511574074</v>
      </c>
      <c r="B184" s="20" t="s">
        <v>596</v>
      </c>
      <c r="C184" s="20" t="s">
        <v>783</v>
      </c>
      <c r="D184" s="146">
        <v>1300000</v>
      </c>
      <c r="E184" s="20" t="s">
        <v>534</v>
      </c>
      <c r="F184" s="20" t="s">
        <v>535</v>
      </c>
      <c r="G184" s="8" t="str">
        <f t="shared" si="2"/>
        <v>LEVIN SCOTT</v>
      </c>
    </row>
    <row r="185" spans="1:7" x14ac:dyDescent="0.25">
      <c r="A185" s="8">
        <v>42821.778344907405</v>
      </c>
      <c r="B185" s="20" t="s">
        <v>449</v>
      </c>
      <c r="C185" s="20" t="s">
        <v>784</v>
      </c>
      <c r="D185" s="146">
        <v>3040000</v>
      </c>
      <c r="E185" s="20" t="s">
        <v>712</v>
      </c>
      <c r="F185" s="20" t="s">
        <v>713</v>
      </c>
      <c r="G185" s="8" t="str">
        <f t="shared" si="2"/>
        <v>WILLIAMS DONTE</v>
      </c>
    </row>
    <row r="186" spans="1:7" x14ac:dyDescent="0.25">
      <c r="A186" s="8">
        <v>42821.790416666663</v>
      </c>
      <c r="B186" s="20" t="s">
        <v>526</v>
      </c>
      <c r="C186" s="20" t="s">
        <v>785</v>
      </c>
      <c r="D186" s="146">
        <v>2610000</v>
      </c>
      <c r="E186" s="20" t="s">
        <v>786</v>
      </c>
      <c r="F186" s="20" t="s">
        <v>787</v>
      </c>
      <c r="G186" s="8" t="str">
        <f t="shared" si="2"/>
        <v>MAGEE KENYA</v>
      </c>
    </row>
    <row r="187" spans="1:7" x14ac:dyDescent="0.25">
      <c r="A187" s="8">
        <v>42821.795914351853</v>
      </c>
      <c r="B187" s="20" t="s">
        <v>402</v>
      </c>
      <c r="C187" s="20" t="s">
        <v>788</v>
      </c>
      <c r="D187" s="146">
        <v>1810000</v>
      </c>
      <c r="E187" s="20" t="s">
        <v>459</v>
      </c>
      <c r="F187" s="20" t="s">
        <v>195</v>
      </c>
      <c r="G187" s="8" t="str">
        <f t="shared" si="2"/>
        <v>NEWELL JAMES</v>
      </c>
    </row>
    <row r="188" spans="1:7" x14ac:dyDescent="0.25">
      <c r="A188" s="8">
        <v>42821.798587962963</v>
      </c>
      <c r="B188" s="20" t="s">
        <v>483</v>
      </c>
      <c r="C188" s="20" t="s">
        <v>789</v>
      </c>
      <c r="D188" s="146">
        <v>1120000</v>
      </c>
      <c r="E188" s="20" t="s">
        <v>454</v>
      </c>
      <c r="F188" s="20" t="s">
        <v>455</v>
      </c>
      <c r="G188" s="8" t="str">
        <f t="shared" si="2"/>
        <v>LOCKLEAR TRAVIS</v>
      </c>
    </row>
    <row r="189" spans="1:7" x14ac:dyDescent="0.25">
      <c r="A189" s="8">
        <v>42821.801712962966</v>
      </c>
      <c r="B189" s="20" t="s">
        <v>660</v>
      </c>
      <c r="C189" s="20" t="s">
        <v>790</v>
      </c>
      <c r="D189" s="146">
        <v>1300000</v>
      </c>
      <c r="E189" s="20" t="s">
        <v>534</v>
      </c>
      <c r="F189" s="20" t="s">
        <v>535</v>
      </c>
      <c r="G189" s="8" t="str">
        <f t="shared" si="2"/>
        <v>LEVIN SCOTT</v>
      </c>
    </row>
    <row r="190" spans="1:7" x14ac:dyDescent="0.25">
      <c r="A190" s="8">
        <v>42821.803784722222</v>
      </c>
      <c r="B190" s="20" t="s">
        <v>386</v>
      </c>
      <c r="C190" s="20" t="s">
        <v>791</v>
      </c>
      <c r="D190" s="146">
        <v>2680000</v>
      </c>
      <c r="E190" s="20" t="s">
        <v>536</v>
      </c>
      <c r="F190" s="20" t="s">
        <v>537</v>
      </c>
      <c r="G190" s="8" t="str">
        <f t="shared" si="2"/>
        <v>DUNCAN SHEILA</v>
      </c>
    </row>
    <row r="191" spans="1:7" x14ac:dyDescent="0.25">
      <c r="A191" s="8">
        <v>42821.80678240741</v>
      </c>
      <c r="B191" s="20" t="s">
        <v>472</v>
      </c>
      <c r="C191" s="20" t="s">
        <v>792</v>
      </c>
      <c r="D191" s="146">
        <v>2970000</v>
      </c>
      <c r="E191" s="20" t="s">
        <v>777</v>
      </c>
      <c r="F191" s="20" t="s">
        <v>778</v>
      </c>
      <c r="G191" s="8" t="str">
        <f t="shared" si="2"/>
        <v>GUZMAN DANNY</v>
      </c>
    </row>
    <row r="192" spans="1:7" x14ac:dyDescent="0.25">
      <c r="A192" s="8">
        <v>42821.807835648149</v>
      </c>
      <c r="B192" s="20" t="s">
        <v>472</v>
      </c>
      <c r="C192" s="20" t="s">
        <v>792</v>
      </c>
      <c r="D192" s="146">
        <v>2970000</v>
      </c>
      <c r="E192" s="20" t="s">
        <v>777</v>
      </c>
      <c r="F192" s="20" t="s">
        <v>778</v>
      </c>
      <c r="G192" s="8" t="str">
        <f t="shared" si="2"/>
        <v>GUZMAN DANNY</v>
      </c>
    </row>
    <row r="193" spans="1:7" x14ac:dyDescent="0.25">
      <c r="A193" s="8">
        <v>42821.816493055558</v>
      </c>
      <c r="B193" s="20" t="s">
        <v>596</v>
      </c>
      <c r="C193" s="20" t="s">
        <v>793</v>
      </c>
      <c r="D193" s="146">
        <v>1300000</v>
      </c>
      <c r="E193" s="20" t="s">
        <v>534</v>
      </c>
      <c r="F193" s="20" t="s">
        <v>535</v>
      </c>
      <c r="G193" s="8" t="str">
        <f t="shared" si="2"/>
        <v>LEVIN SCOTT</v>
      </c>
    </row>
    <row r="194" spans="1:7" x14ac:dyDescent="0.25">
      <c r="A194" s="8">
        <v>42821.821018518516</v>
      </c>
      <c r="B194" s="20" t="s">
        <v>486</v>
      </c>
      <c r="C194" s="20" t="s">
        <v>781</v>
      </c>
      <c r="D194" s="146">
        <v>2230000</v>
      </c>
      <c r="E194" s="20" t="s">
        <v>397</v>
      </c>
      <c r="F194" s="20" t="s">
        <v>198</v>
      </c>
      <c r="G194" s="8" t="str">
        <f t="shared" si="2"/>
        <v>SMITH MICHAEL</v>
      </c>
    </row>
    <row r="195" spans="1:7" x14ac:dyDescent="0.25">
      <c r="A195" s="8">
        <v>42821.833541666667</v>
      </c>
      <c r="B195" s="20" t="s">
        <v>385</v>
      </c>
      <c r="C195" s="20" t="s">
        <v>625</v>
      </c>
      <c r="D195" s="146">
        <v>2680000</v>
      </c>
      <c r="E195" s="20" t="s">
        <v>536</v>
      </c>
      <c r="F195" s="20" t="s">
        <v>537</v>
      </c>
      <c r="G195" s="8" t="str">
        <f t="shared" ref="G195:G258" si="3">E195&amp;" "&amp;F195</f>
        <v>DUNCAN SHEILA</v>
      </c>
    </row>
    <row r="196" spans="1:7" x14ac:dyDescent="0.25">
      <c r="A196" s="8">
        <v>42821.840648148151</v>
      </c>
      <c r="B196" s="20" t="s">
        <v>525</v>
      </c>
      <c r="C196" s="20" t="s">
        <v>794</v>
      </c>
      <c r="D196" s="146">
        <v>2610000</v>
      </c>
      <c r="E196" s="20" t="s">
        <v>786</v>
      </c>
      <c r="F196" s="20" t="s">
        <v>787</v>
      </c>
      <c r="G196" s="8" t="str">
        <f t="shared" si="3"/>
        <v>MAGEE KENYA</v>
      </c>
    </row>
    <row r="197" spans="1:7" x14ac:dyDescent="0.25">
      <c r="A197" s="8">
        <v>42821.844502314816</v>
      </c>
      <c r="B197" s="20" t="s">
        <v>505</v>
      </c>
      <c r="C197" s="20" t="s">
        <v>795</v>
      </c>
      <c r="D197" s="146">
        <v>2230000</v>
      </c>
      <c r="E197" s="20" t="s">
        <v>397</v>
      </c>
      <c r="F197" s="20" t="s">
        <v>198</v>
      </c>
      <c r="G197" s="8" t="str">
        <f t="shared" si="3"/>
        <v>SMITH MICHAEL</v>
      </c>
    </row>
    <row r="198" spans="1:7" x14ac:dyDescent="0.25">
      <c r="A198" s="8">
        <v>42821.845127314817</v>
      </c>
      <c r="B198" s="20" t="s">
        <v>505</v>
      </c>
      <c r="C198" s="20" t="s">
        <v>795</v>
      </c>
      <c r="D198" s="146">
        <v>2230000</v>
      </c>
      <c r="E198" s="20" t="s">
        <v>397</v>
      </c>
      <c r="F198" s="20" t="s">
        <v>198</v>
      </c>
      <c r="G198" s="8" t="str">
        <f t="shared" si="3"/>
        <v>SMITH MICHAEL</v>
      </c>
    </row>
    <row r="199" spans="1:7" x14ac:dyDescent="0.25">
      <c r="A199" s="8">
        <v>42821.846226851849</v>
      </c>
      <c r="B199" s="20" t="s">
        <v>505</v>
      </c>
      <c r="C199" s="20" t="s">
        <v>795</v>
      </c>
      <c r="D199" s="146">
        <v>2230000</v>
      </c>
      <c r="E199" s="20" t="s">
        <v>397</v>
      </c>
      <c r="F199" s="20" t="s">
        <v>198</v>
      </c>
      <c r="G199" s="8" t="str">
        <f t="shared" si="3"/>
        <v>SMITH MICHAEL</v>
      </c>
    </row>
    <row r="200" spans="1:7" x14ac:dyDescent="0.25">
      <c r="A200" s="8">
        <v>42821.846875000003</v>
      </c>
      <c r="B200" s="20" t="s">
        <v>660</v>
      </c>
      <c r="C200" s="20" t="s">
        <v>796</v>
      </c>
      <c r="D200" s="146">
        <v>1300000</v>
      </c>
      <c r="E200" s="20" t="s">
        <v>534</v>
      </c>
      <c r="F200" s="20" t="s">
        <v>535</v>
      </c>
      <c r="G200" s="8" t="str">
        <f t="shared" si="3"/>
        <v>LEVIN SCOTT</v>
      </c>
    </row>
    <row r="201" spans="1:7" x14ac:dyDescent="0.25">
      <c r="A201" s="8">
        <v>42821.854398148149</v>
      </c>
      <c r="B201" s="20" t="s">
        <v>472</v>
      </c>
      <c r="C201" s="20" t="s">
        <v>792</v>
      </c>
      <c r="D201" s="146">
        <v>2970000</v>
      </c>
      <c r="E201" s="20" t="s">
        <v>777</v>
      </c>
      <c r="F201" s="20" t="s">
        <v>778</v>
      </c>
      <c r="G201" s="8" t="str">
        <f t="shared" si="3"/>
        <v>GUZMAN DANNY</v>
      </c>
    </row>
    <row r="202" spans="1:7" x14ac:dyDescent="0.25">
      <c r="A202" s="26">
        <v>42821.856226851851</v>
      </c>
      <c r="B202" s="20" t="s">
        <v>386</v>
      </c>
      <c r="C202" s="20" t="s">
        <v>797</v>
      </c>
      <c r="D202" s="146">
        <v>2680000</v>
      </c>
      <c r="E202" s="20" t="s">
        <v>536</v>
      </c>
      <c r="F202" s="20" t="s">
        <v>537</v>
      </c>
      <c r="G202" s="8" t="str">
        <f t="shared" si="3"/>
        <v>DUNCAN SHEILA</v>
      </c>
    </row>
    <row r="203" spans="1:7" x14ac:dyDescent="0.25">
      <c r="A203" s="8">
        <v>42821.858344907407</v>
      </c>
      <c r="B203" s="20" t="s">
        <v>596</v>
      </c>
      <c r="C203" s="20" t="s">
        <v>798</v>
      </c>
      <c r="D203" s="146">
        <v>1300000</v>
      </c>
      <c r="E203" s="20" t="s">
        <v>534</v>
      </c>
      <c r="F203" s="20" t="s">
        <v>535</v>
      </c>
      <c r="G203" s="8" t="str">
        <f t="shared" si="3"/>
        <v>LEVIN SCOTT</v>
      </c>
    </row>
    <row r="204" spans="1:7" x14ac:dyDescent="0.25">
      <c r="A204" s="8">
        <v>42821.867268518516</v>
      </c>
      <c r="B204" s="20" t="s">
        <v>445</v>
      </c>
      <c r="C204" s="20" t="s">
        <v>799</v>
      </c>
      <c r="D204" s="146">
        <v>1740000</v>
      </c>
      <c r="E204" s="20" t="s">
        <v>467</v>
      </c>
      <c r="F204" s="20" t="s">
        <v>468</v>
      </c>
      <c r="G204" s="8" t="str">
        <f t="shared" si="3"/>
        <v>STORY SAMANTHA</v>
      </c>
    </row>
    <row r="205" spans="1:7" x14ac:dyDescent="0.25">
      <c r="A205" s="8">
        <v>42821.868564814817</v>
      </c>
      <c r="B205" s="20" t="s">
        <v>445</v>
      </c>
      <c r="C205" s="20" t="s">
        <v>799</v>
      </c>
      <c r="D205" s="146">
        <v>1740000</v>
      </c>
      <c r="E205" s="20" t="s">
        <v>467</v>
      </c>
      <c r="F205" s="20" t="s">
        <v>468</v>
      </c>
      <c r="G205" s="8" t="str">
        <f t="shared" si="3"/>
        <v>STORY SAMANTHA</v>
      </c>
    </row>
    <row r="206" spans="1:7" x14ac:dyDescent="0.25">
      <c r="A206" s="8">
        <v>42821.873923611114</v>
      </c>
      <c r="B206" s="20" t="s">
        <v>660</v>
      </c>
      <c r="C206" s="20" t="s">
        <v>800</v>
      </c>
      <c r="D206" s="146">
        <v>1810000</v>
      </c>
      <c r="E206" s="20" t="s">
        <v>459</v>
      </c>
      <c r="F206" s="20" t="s">
        <v>195</v>
      </c>
      <c r="G206" s="8" t="str">
        <f t="shared" si="3"/>
        <v>NEWELL JAMES</v>
      </c>
    </row>
    <row r="207" spans="1:7" x14ac:dyDescent="0.25">
      <c r="A207" s="8">
        <v>42821.874456018515</v>
      </c>
      <c r="B207" s="20" t="s">
        <v>471</v>
      </c>
      <c r="C207" s="20" t="s">
        <v>801</v>
      </c>
      <c r="D207" s="146">
        <v>2970000</v>
      </c>
      <c r="E207" s="20" t="s">
        <v>777</v>
      </c>
      <c r="F207" s="20" t="s">
        <v>778</v>
      </c>
      <c r="G207" s="8" t="str">
        <f t="shared" si="3"/>
        <v>GUZMAN DANNY</v>
      </c>
    </row>
    <row r="208" spans="1:7" x14ac:dyDescent="0.25">
      <c r="A208" s="8">
        <v>42821.877789351849</v>
      </c>
      <c r="B208" s="20" t="s">
        <v>471</v>
      </c>
      <c r="C208" s="20" t="s">
        <v>801</v>
      </c>
      <c r="D208" s="146">
        <v>2970000</v>
      </c>
      <c r="E208" s="20" t="s">
        <v>777</v>
      </c>
      <c r="F208" s="20" t="s">
        <v>778</v>
      </c>
      <c r="G208" s="8" t="str">
        <f t="shared" si="3"/>
        <v>GUZMAN DANNY</v>
      </c>
    </row>
    <row r="209" spans="1:7" x14ac:dyDescent="0.25">
      <c r="A209" s="8">
        <v>42821.883506944447</v>
      </c>
      <c r="B209" s="20" t="s">
        <v>400</v>
      </c>
      <c r="C209" s="20" t="s">
        <v>802</v>
      </c>
      <c r="D209" s="146">
        <v>2360000</v>
      </c>
      <c r="E209" s="20" t="s">
        <v>506</v>
      </c>
      <c r="F209" s="20" t="s">
        <v>507</v>
      </c>
      <c r="G209" s="8" t="str">
        <f t="shared" si="3"/>
        <v>BRANDNER MELINDA</v>
      </c>
    </row>
    <row r="210" spans="1:7" x14ac:dyDescent="0.25">
      <c r="A210" s="8">
        <v>42821.891782407409</v>
      </c>
      <c r="B210" s="20" t="s">
        <v>445</v>
      </c>
      <c r="C210" s="20" t="s">
        <v>799</v>
      </c>
      <c r="D210" s="146">
        <v>1740000</v>
      </c>
      <c r="E210" s="20" t="s">
        <v>467</v>
      </c>
      <c r="F210" s="20" t="s">
        <v>468</v>
      </c>
      <c r="G210" s="8" t="str">
        <f t="shared" si="3"/>
        <v>STORY SAMANTHA</v>
      </c>
    </row>
    <row r="211" spans="1:7" x14ac:dyDescent="0.25">
      <c r="A211" s="8">
        <v>42821.893171296295</v>
      </c>
      <c r="B211" s="20" t="s">
        <v>505</v>
      </c>
      <c r="C211" s="20" t="s">
        <v>795</v>
      </c>
      <c r="D211" s="146">
        <v>2230000</v>
      </c>
      <c r="E211" s="20" t="s">
        <v>397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42821.893854166665</v>
      </c>
      <c r="B212" s="20" t="s">
        <v>526</v>
      </c>
      <c r="C212" s="20" t="s">
        <v>803</v>
      </c>
      <c r="D212" s="146">
        <v>1800000</v>
      </c>
      <c r="E212" s="20" t="s">
        <v>456</v>
      </c>
      <c r="F212" s="20" t="s">
        <v>457</v>
      </c>
      <c r="G212" s="8" t="str">
        <f t="shared" si="3"/>
        <v>CHANDLER KELVIN</v>
      </c>
    </row>
    <row r="213" spans="1:7" x14ac:dyDescent="0.25">
      <c r="A213" s="8">
        <v>42821.894930555558</v>
      </c>
      <c r="B213" s="20" t="s">
        <v>526</v>
      </c>
      <c r="C213" s="20" t="s">
        <v>803</v>
      </c>
      <c r="D213" s="146">
        <v>1800000</v>
      </c>
      <c r="E213" s="20" t="s">
        <v>456</v>
      </c>
      <c r="F213" s="20" t="s">
        <v>457</v>
      </c>
      <c r="G213" s="8" t="str">
        <f t="shared" si="3"/>
        <v>CHANDLER KELVIN</v>
      </c>
    </row>
    <row r="214" spans="1:7" x14ac:dyDescent="0.25">
      <c r="A214" s="8">
        <v>42821.895752314813</v>
      </c>
      <c r="B214" s="20" t="s">
        <v>486</v>
      </c>
      <c r="C214" s="20" t="s">
        <v>804</v>
      </c>
      <c r="D214" s="146">
        <v>2230000</v>
      </c>
      <c r="E214" s="20" t="s">
        <v>397</v>
      </c>
      <c r="F214" s="20" t="s">
        <v>198</v>
      </c>
      <c r="G214" s="8" t="str">
        <f t="shared" si="3"/>
        <v>SMITH MICHAEL</v>
      </c>
    </row>
    <row r="215" spans="1:7" x14ac:dyDescent="0.25">
      <c r="A215" s="8">
        <v>42821.90116898148</v>
      </c>
      <c r="B215" s="20" t="s">
        <v>596</v>
      </c>
      <c r="C215" s="20" t="s">
        <v>805</v>
      </c>
      <c r="D215" s="146">
        <v>1810000</v>
      </c>
      <c r="E215" s="20" t="s">
        <v>459</v>
      </c>
      <c r="F215" s="20" t="s">
        <v>195</v>
      </c>
      <c r="G215" s="8" t="str">
        <f t="shared" si="3"/>
        <v>NEWELL JAMES</v>
      </c>
    </row>
    <row r="216" spans="1:7" x14ac:dyDescent="0.25">
      <c r="A216" s="8">
        <v>42821.906458333331</v>
      </c>
      <c r="B216" s="20" t="s">
        <v>404</v>
      </c>
      <c r="C216" s="20" t="s">
        <v>802</v>
      </c>
      <c r="D216" s="146">
        <v>2360000</v>
      </c>
      <c r="E216" s="20" t="s">
        <v>506</v>
      </c>
      <c r="F216" s="20" t="s">
        <v>507</v>
      </c>
      <c r="G216" s="8" t="str">
        <f t="shared" si="3"/>
        <v>BRANDNER MELINDA</v>
      </c>
    </row>
    <row r="217" spans="1:7" x14ac:dyDescent="0.25">
      <c r="A217" s="8">
        <v>42821.911817129629</v>
      </c>
      <c r="B217" s="20" t="s">
        <v>447</v>
      </c>
      <c r="C217" s="20" t="s">
        <v>806</v>
      </c>
      <c r="D217" s="146">
        <v>1740000</v>
      </c>
      <c r="E217" s="20" t="s">
        <v>467</v>
      </c>
      <c r="F217" s="20" t="s">
        <v>468</v>
      </c>
      <c r="G217" s="8" t="str">
        <f t="shared" si="3"/>
        <v>STORY SAMANTHA</v>
      </c>
    </row>
    <row r="218" spans="1:7" x14ac:dyDescent="0.25">
      <c r="A218" s="8">
        <v>42821.912291666667</v>
      </c>
      <c r="B218" s="20" t="s">
        <v>385</v>
      </c>
      <c r="C218" s="20" t="s">
        <v>807</v>
      </c>
      <c r="D218" s="146">
        <v>2680000</v>
      </c>
      <c r="E218" s="20" t="s">
        <v>536</v>
      </c>
      <c r="F218" s="20" t="s">
        <v>537</v>
      </c>
      <c r="G218" s="8" t="str">
        <f t="shared" si="3"/>
        <v>DUNCAN SHEILA</v>
      </c>
    </row>
    <row r="219" spans="1:7" x14ac:dyDescent="0.25">
      <c r="A219" s="8">
        <v>42821.914502314816</v>
      </c>
      <c r="B219" s="20" t="s">
        <v>450</v>
      </c>
      <c r="C219" s="20" t="s">
        <v>808</v>
      </c>
      <c r="D219" s="146">
        <v>2730000</v>
      </c>
      <c r="E219" s="20" t="s">
        <v>539</v>
      </c>
      <c r="F219" s="20" t="s">
        <v>540</v>
      </c>
      <c r="G219" s="8" t="str">
        <f t="shared" si="3"/>
        <v>YANG JAN</v>
      </c>
    </row>
    <row r="220" spans="1:7" x14ac:dyDescent="0.25">
      <c r="A220" s="8">
        <v>42821.920532407406</v>
      </c>
      <c r="B220" s="20" t="s">
        <v>486</v>
      </c>
      <c r="C220" s="20" t="s">
        <v>804</v>
      </c>
      <c r="D220" s="146">
        <v>2230000</v>
      </c>
      <c r="E220" s="20" t="s">
        <v>397</v>
      </c>
      <c r="F220" s="20" t="s">
        <v>198</v>
      </c>
      <c r="G220" s="8" t="str">
        <f t="shared" si="3"/>
        <v>SMITH MICHAEL</v>
      </c>
    </row>
    <row r="221" spans="1:7" x14ac:dyDescent="0.25">
      <c r="A221" s="8">
        <v>42821.92931712963</v>
      </c>
      <c r="B221" s="20" t="s">
        <v>660</v>
      </c>
      <c r="C221" s="20" t="s">
        <v>809</v>
      </c>
      <c r="D221" s="146">
        <v>1810000</v>
      </c>
      <c r="E221" s="20" t="s">
        <v>459</v>
      </c>
      <c r="F221" s="20" t="s">
        <v>195</v>
      </c>
      <c r="G221" s="8" t="str">
        <f t="shared" si="3"/>
        <v>NEWELL JAMES</v>
      </c>
    </row>
    <row r="222" spans="1:7" x14ac:dyDescent="0.25">
      <c r="A222" s="8">
        <v>42821.93236111111</v>
      </c>
      <c r="B222" s="20" t="s">
        <v>525</v>
      </c>
      <c r="C222" s="20" t="s">
        <v>810</v>
      </c>
      <c r="D222" s="146">
        <v>1800000</v>
      </c>
      <c r="E222" s="20" t="s">
        <v>456</v>
      </c>
      <c r="F222" s="20" t="s">
        <v>457</v>
      </c>
      <c r="G222" s="8" t="str">
        <f t="shared" si="3"/>
        <v>CHANDLER KELVIN</v>
      </c>
    </row>
    <row r="223" spans="1:7" x14ac:dyDescent="0.25">
      <c r="A223" s="8">
        <v>42821.936631944445</v>
      </c>
      <c r="B223" s="20" t="s">
        <v>453</v>
      </c>
      <c r="C223" s="20" t="s">
        <v>808</v>
      </c>
      <c r="D223" s="146">
        <v>2730000</v>
      </c>
      <c r="E223" s="20" t="s">
        <v>539</v>
      </c>
      <c r="F223" s="20" t="s">
        <v>540</v>
      </c>
      <c r="G223" s="8" t="str">
        <f t="shared" si="3"/>
        <v>YANG JAN</v>
      </c>
    </row>
    <row r="224" spans="1:7" x14ac:dyDescent="0.25">
      <c r="A224" s="8">
        <v>42821.938564814816</v>
      </c>
      <c r="B224" t="s">
        <v>453</v>
      </c>
      <c r="C224" t="s">
        <v>811</v>
      </c>
      <c r="D224" s="146">
        <v>2730000</v>
      </c>
      <c r="E224" t="s">
        <v>539</v>
      </c>
      <c r="F224" s="20" t="s">
        <v>540</v>
      </c>
      <c r="G224" s="8" t="str">
        <f t="shared" si="3"/>
        <v>YANG JAN</v>
      </c>
    </row>
    <row r="225" spans="1:7" x14ac:dyDescent="0.25">
      <c r="A225" s="8">
        <v>42821.940960648149</v>
      </c>
      <c r="B225" t="s">
        <v>505</v>
      </c>
      <c r="C225" t="s">
        <v>812</v>
      </c>
      <c r="D225" s="146">
        <v>2230000</v>
      </c>
      <c r="E225" t="s">
        <v>397</v>
      </c>
      <c r="F225" s="20" t="s">
        <v>198</v>
      </c>
      <c r="G225" s="8" t="str">
        <f t="shared" si="3"/>
        <v>SMITH MICHAEL</v>
      </c>
    </row>
    <row r="226" spans="1:7" x14ac:dyDescent="0.25">
      <c r="A226" s="8">
        <v>42821.942557870374</v>
      </c>
      <c r="B226" t="s">
        <v>596</v>
      </c>
      <c r="C226" t="s">
        <v>813</v>
      </c>
      <c r="D226" s="146">
        <v>1810000</v>
      </c>
      <c r="E226" t="s">
        <v>459</v>
      </c>
      <c r="F226" s="20" t="s">
        <v>195</v>
      </c>
      <c r="G226" s="8" t="str">
        <f t="shared" si="3"/>
        <v>NEWELL JAMES</v>
      </c>
    </row>
    <row r="227" spans="1:7" x14ac:dyDescent="0.25">
      <c r="A227" s="8">
        <v>42821.955613425926</v>
      </c>
      <c r="B227" t="s">
        <v>386</v>
      </c>
      <c r="C227" t="s">
        <v>626</v>
      </c>
      <c r="D227" s="146">
        <v>2680000</v>
      </c>
      <c r="E227" t="s">
        <v>536</v>
      </c>
      <c r="F227" s="20" t="s">
        <v>537</v>
      </c>
      <c r="G227" s="8" t="str">
        <f t="shared" si="3"/>
        <v>DUNCAN SHEILA</v>
      </c>
    </row>
    <row r="228" spans="1:7" x14ac:dyDescent="0.25">
      <c r="A228" s="8">
        <v>42821.962326388886</v>
      </c>
      <c r="B228" t="s">
        <v>445</v>
      </c>
      <c r="C228" t="s">
        <v>814</v>
      </c>
      <c r="D228" s="146">
        <v>2970000</v>
      </c>
      <c r="E228" t="s">
        <v>777</v>
      </c>
      <c r="F228" s="20" t="s">
        <v>778</v>
      </c>
      <c r="G228" s="8" t="str">
        <f t="shared" si="3"/>
        <v>GUZMAN DANNY</v>
      </c>
    </row>
    <row r="229" spans="1:7" x14ac:dyDescent="0.25">
      <c r="A229" s="8">
        <v>42821.962997685187</v>
      </c>
      <c r="B229" t="s">
        <v>445</v>
      </c>
      <c r="C229" t="s">
        <v>815</v>
      </c>
      <c r="D229" s="146">
        <v>2000000</v>
      </c>
      <c r="E229" t="s">
        <v>387</v>
      </c>
      <c r="F229" s="20" t="s">
        <v>195</v>
      </c>
      <c r="G229" s="8" t="str">
        <f t="shared" si="3"/>
        <v>STAMBAUGH JAMES</v>
      </c>
    </row>
    <row r="230" spans="1:7" x14ac:dyDescent="0.25">
      <c r="A230" s="8">
        <v>42821.963912037034</v>
      </c>
      <c r="B230" t="s">
        <v>450</v>
      </c>
      <c r="C230" t="s">
        <v>808</v>
      </c>
      <c r="D230" s="146">
        <v>2730000</v>
      </c>
      <c r="E230" t="s">
        <v>539</v>
      </c>
      <c r="F230" s="20" t="s">
        <v>540</v>
      </c>
      <c r="G230" s="8" t="str">
        <f t="shared" si="3"/>
        <v>YANG JAN</v>
      </c>
    </row>
    <row r="231" spans="1:7" x14ac:dyDescent="0.25">
      <c r="A231" s="8">
        <v>42821.976631944446</v>
      </c>
      <c r="B231" t="s">
        <v>486</v>
      </c>
      <c r="C231" t="s">
        <v>816</v>
      </c>
      <c r="D231" s="146">
        <v>1740000</v>
      </c>
      <c r="E231" t="s">
        <v>467</v>
      </c>
      <c r="F231" s="20" t="s">
        <v>468</v>
      </c>
      <c r="G231" s="8" t="str">
        <f t="shared" si="3"/>
        <v>STORY SAMANTHA</v>
      </c>
    </row>
    <row r="232" spans="1:7" x14ac:dyDescent="0.25">
      <c r="A232" s="8">
        <v>42821.977002314816</v>
      </c>
      <c r="B232" t="s">
        <v>526</v>
      </c>
      <c r="C232" t="s">
        <v>810</v>
      </c>
      <c r="D232" s="146">
        <v>1800000</v>
      </c>
      <c r="E232" t="s">
        <v>456</v>
      </c>
      <c r="F232" s="20" t="s">
        <v>457</v>
      </c>
      <c r="G232" s="8" t="str">
        <f t="shared" si="3"/>
        <v>CHANDLER KELVIN</v>
      </c>
    </row>
    <row r="233" spans="1:7" x14ac:dyDescent="0.25">
      <c r="A233" s="8">
        <v>42821.977650462963</v>
      </c>
      <c r="B233" t="s">
        <v>486</v>
      </c>
      <c r="C233" t="s">
        <v>627</v>
      </c>
      <c r="D233" s="146">
        <v>1740000</v>
      </c>
      <c r="E233" t="s">
        <v>467</v>
      </c>
      <c r="F233" s="20" t="s">
        <v>468</v>
      </c>
      <c r="G233" s="8" t="str">
        <f t="shared" si="3"/>
        <v>STORY SAMANTHA</v>
      </c>
    </row>
    <row r="234" spans="1:7" x14ac:dyDescent="0.25">
      <c r="A234" s="8">
        <v>42821.978437500002</v>
      </c>
      <c r="B234" t="s">
        <v>526</v>
      </c>
      <c r="C234" t="s">
        <v>817</v>
      </c>
      <c r="D234" s="146">
        <v>1800000</v>
      </c>
      <c r="E234" t="s">
        <v>456</v>
      </c>
      <c r="F234" s="20" t="s">
        <v>457</v>
      </c>
      <c r="G234" s="8" t="str">
        <f t="shared" si="3"/>
        <v>CHANDLER KELVIN</v>
      </c>
    </row>
    <row r="235" spans="1:7" x14ac:dyDescent="0.25">
      <c r="A235" s="8">
        <v>42821.982175925928</v>
      </c>
      <c r="B235" t="s">
        <v>453</v>
      </c>
      <c r="C235" t="s">
        <v>808</v>
      </c>
      <c r="D235" s="146">
        <v>2730000</v>
      </c>
      <c r="E235" t="s">
        <v>539</v>
      </c>
      <c r="F235" s="20" t="s">
        <v>540</v>
      </c>
      <c r="G235" s="8" t="str">
        <f t="shared" si="3"/>
        <v>YANG JAN</v>
      </c>
    </row>
    <row r="236" spans="1:7" x14ac:dyDescent="0.25">
      <c r="A236" s="8">
        <v>42821.982708333337</v>
      </c>
      <c r="B236" t="s">
        <v>453</v>
      </c>
      <c r="C236" t="s">
        <v>811</v>
      </c>
      <c r="D236" s="146">
        <v>2730000</v>
      </c>
      <c r="E236" t="s">
        <v>539</v>
      </c>
      <c r="F236" s="20" t="s">
        <v>540</v>
      </c>
      <c r="G236" s="8" t="str">
        <f t="shared" si="3"/>
        <v>YANG JAN</v>
      </c>
    </row>
    <row r="237" spans="1:7" x14ac:dyDescent="0.25">
      <c r="A237" s="8">
        <v>42821.993287037039</v>
      </c>
      <c r="B237" t="s">
        <v>385</v>
      </c>
      <c r="C237" t="s">
        <v>818</v>
      </c>
      <c r="D237" s="146">
        <v>2680000</v>
      </c>
      <c r="E237" t="s">
        <v>536</v>
      </c>
      <c r="F237" s="20" t="s">
        <v>537</v>
      </c>
      <c r="G237" s="8" t="str">
        <f t="shared" si="3"/>
        <v>DUNCAN SHEILA</v>
      </c>
    </row>
    <row r="238" spans="1:7" x14ac:dyDescent="0.25">
      <c r="A238" s="8">
        <v>42821.998194444444</v>
      </c>
      <c r="B238" t="s">
        <v>447</v>
      </c>
      <c r="C238" t="s">
        <v>814</v>
      </c>
      <c r="D238" s="146">
        <v>2970000</v>
      </c>
      <c r="E238" t="s">
        <v>777</v>
      </c>
      <c r="F238" s="20" t="s">
        <v>778</v>
      </c>
      <c r="G238" s="8" t="str">
        <f t="shared" si="3"/>
        <v>GUZMAN DANNY</v>
      </c>
    </row>
    <row r="239" spans="1:7" x14ac:dyDescent="0.25">
      <c r="A239" s="8">
        <v>42821.999699074076</v>
      </c>
      <c r="B239" t="s">
        <v>450</v>
      </c>
      <c r="C239" t="s">
        <v>808</v>
      </c>
      <c r="D239" s="146">
        <v>2730000</v>
      </c>
      <c r="E239" t="s">
        <v>539</v>
      </c>
      <c r="F239" s="20" t="s">
        <v>540</v>
      </c>
      <c r="G239" s="8" t="str">
        <f t="shared" si="3"/>
        <v>YANG JAN</v>
      </c>
    </row>
    <row r="240" spans="1:7" x14ac:dyDescent="0.25">
      <c r="A240" s="8">
        <v>42822.014270833337</v>
      </c>
      <c r="B240" t="s">
        <v>471</v>
      </c>
      <c r="C240" t="s">
        <v>816</v>
      </c>
      <c r="D240" s="146">
        <v>1740000</v>
      </c>
      <c r="E240" t="s">
        <v>467</v>
      </c>
      <c r="F240" s="20" t="s">
        <v>468</v>
      </c>
      <c r="G240" s="8" t="str">
        <f t="shared" si="3"/>
        <v>STORY SAMANTHA</v>
      </c>
    </row>
    <row r="241" spans="1:7" x14ac:dyDescent="0.25">
      <c r="A241" s="8">
        <v>42822.0155787037</v>
      </c>
      <c r="B241" t="s">
        <v>525</v>
      </c>
      <c r="C241" t="s">
        <v>819</v>
      </c>
      <c r="D241" s="146">
        <v>1800000</v>
      </c>
      <c r="E241" t="s">
        <v>456</v>
      </c>
      <c r="F241" s="20" t="s">
        <v>457</v>
      </c>
      <c r="G241" s="8" t="str">
        <f t="shared" si="3"/>
        <v>CHANDLER KELVIN</v>
      </c>
    </row>
    <row r="242" spans="1:7" x14ac:dyDescent="0.25">
      <c r="A242" s="8">
        <v>42822.028946759259</v>
      </c>
      <c r="B242" t="s">
        <v>505</v>
      </c>
      <c r="C242" t="s">
        <v>820</v>
      </c>
      <c r="D242" s="146">
        <v>2230000</v>
      </c>
      <c r="E242" t="s">
        <v>397</v>
      </c>
      <c r="F242" s="20" t="s">
        <v>198</v>
      </c>
      <c r="G242" s="8" t="str">
        <f t="shared" si="3"/>
        <v>SMITH MICHAEL</v>
      </c>
    </row>
    <row r="243" spans="1:7" x14ac:dyDescent="0.25">
      <c r="A243" s="8">
        <v>42822.03056712963</v>
      </c>
      <c r="B243" t="s">
        <v>453</v>
      </c>
      <c r="C243" t="s">
        <v>811</v>
      </c>
      <c r="D243" s="146">
        <v>2730000</v>
      </c>
      <c r="E243" t="s">
        <v>539</v>
      </c>
      <c r="F243" s="20" t="s">
        <v>540</v>
      </c>
      <c r="G243" s="8" t="str">
        <f t="shared" si="3"/>
        <v>YANG JAN</v>
      </c>
    </row>
    <row r="244" spans="1:7" x14ac:dyDescent="0.25">
      <c r="A244" s="8">
        <v>42822.032418981478</v>
      </c>
      <c r="B244" t="s">
        <v>445</v>
      </c>
      <c r="C244" t="s">
        <v>821</v>
      </c>
      <c r="D244" s="146">
        <v>2970000</v>
      </c>
      <c r="E244" t="s">
        <v>777</v>
      </c>
      <c r="F244" s="20" t="s">
        <v>778</v>
      </c>
      <c r="G244" s="8" t="str">
        <f t="shared" si="3"/>
        <v>GUZMAN DANNY</v>
      </c>
    </row>
    <row r="245" spans="1:7" x14ac:dyDescent="0.25">
      <c r="A245" s="8">
        <v>42822.049143518518</v>
      </c>
      <c r="B245" t="s">
        <v>450</v>
      </c>
      <c r="C245" t="s">
        <v>808</v>
      </c>
      <c r="D245" s="146">
        <v>2730000</v>
      </c>
      <c r="E245" t="s">
        <v>539</v>
      </c>
      <c r="F245" s="20" t="s">
        <v>540</v>
      </c>
      <c r="G245" s="8" t="str">
        <f t="shared" si="3"/>
        <v>YANG JAN</v>
      </c>
    </row>
    <row r="246" spans="1:7" x14ac:dyDescent="0.25">
      <c r="A246" s="8">
        <v>42822.052175925928</v>
      </c>
      <c r="B246" t="s">
        <v>526</v>
      </c>
      <c r="C246" t="s">
        <v>822</v>
      </c>
      <c r="D246" s="146">
        <v>1800000</v>
      </c>
      <c r="E246" t="s">
        <v>456</v>
      </c>
      <c r="F246" s="20" t="s">
        <v>457</v>
      </c>
      <c r="G246" s="8" t="str">
        <f t="shared" si="3"/>
        <v>CHANDLER KELVIN</v>
      </c>
    </row>
    <row r="247" spans="1:7" x14ac:dyDescent="0.25">
      <c r="A247" s="8">
        <v>42822.052465277775</v>
      </c>
      <c r="B247" t="s">
        <v>472</v>
      </c>
      <c r="C247" t="s">
        <v>823</v>
      </c>
      <c r="D247" s="146">
        <v>1740000</v>
      </c>
      <c r="E247" t="s">
        <v>467</v>
      </c>
      <c r="F247" s="20" t="s">
        <v>468</v>
      </c>
      <c r="G247" s="8" t="str">
        <f t="shared" si="3"/>
        <v>STORY SAMANTHA</v>
      </c>
    </row>
    <row r="248" spans="1:7" x14ac:dyDescent="0.25">
      <c r="A248" s="8">
        <v>42822.080127314817</v>
      </c>
      <c r="B248" t="s">
        <v>453</v>
      </c>
      <c r="C248" t="s">
        <v>811</v>
      </c>
      <c r="D248" s="146">
        <v>2730000</v>
      </c>
      <c r="E248" t="s">
        <v>539</v>
      </c>
      <c r="F248" s="20" t="s">
        <v>540</v>
      </c>
      <c r="G248" s="8" t="str">
        <f t="shared" si="3"/>
        <v>YANG JAN</v>
      </c>
    </row>
    <row r="249" spans="1:7" x14ac:dyDescent="0.25">
      <c r="A249" s="8">
        <v>42822.080289351848</v>
      </c>
      <c r="B249" t="s">
        <v>447</v>
      </c>
      <c r="C249" t="s">
        <v>824</v>
      </c>
      <c r="D249" s="146">
        <v>2970000</v>
      </c>
      <c r="E249" t="s">
        <v>777</v>
      </c>
      <c r="F249" s="20" t="s">
        <v>778</v>
      </c>
      <c r="G249" s="8" t="str">
        <f t="shared" si="3"/>
        <v>GUZMAN DANNY</v>
      </c>
    </row>
    <row r="250" spans="1:7" x14ac:dyDescent="0.25">
      <c r="A250" s="8">
        <v>42822.090428240743</v>
      </c>
      <c r="B250" t="s">
        <v>471</v>
      </c>
      <c r="C250" t="s">
        <v>825</v>
      </c>
      <c r="D250" s="146">
        <v>1740000</v>
      </c>
      <c r="E250" t="s">
        <v>467</v>
      </c>
      <c r="F250" s="20" t="s">
        <v>468</v>
      </c>
      <c r="G250" s="8" t="str">
        <f t="shared" si="3"/>
        <v>STORY SAMANTHA</v>
      </c>
    </row>
    <row r="251" spans="1:7" x14ac:dyDescent="0.25">
      <c r="A251" s="8">
        <v>42822.105439814812</v>
      </c>
      <c r="B251" t="s">
        <v>450</v>
      </c>
      <c r="C251" t="s">
        <v>808</v>
      </c>
      <c r="D251" s="146">
        <v>2730000</v>
      </c>
      <c r="E251" t="s">
        <v>539</v>
      </c>
      <c r="F251" s="20" t="s">
        <v>540</v>
      </c>
      <c r="G251" s="8" t="str">
        <f t="shared" si="3"/>
        <v>YANG JAN</v>
      </c>
    </row>
    <row r="252" spans="1:7" x14ac:dyDescent="0.25">
      <c r="A252" s="8">
        <v>42816.072013888886</v>
      </c>
      <c r="B252" t="s">
        <v>389</v>
      </c>
      <c r="C252" t="s">
        <v>475</v>
      </c>
      <c r="D252" s="146">
        <v>1740000</v>
      </c>
      <c r="E252" t="s">
        <v>467</v>
      </c>
      <c r="F252" s="20" t="s">
        <v>468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389</v>
      </c>
      <c r="C253" t="s">
        <v>476</v>
      </c>
      <c r="D253" s="146">
        <v>1740000</v>
      </c>
      <c r="E253" t="s">
        <v>467</v>
      </c>
      <c r="F253" s="20" t="s">
        <v>468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471</v>
      </c>
      <c r="C254" t="s">
        <v>477</v>
      </c>
      <c r="D254" s="146">
        <v>2000000</v>
      </c>
      <c r="E254" t="s">
        <v>387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399</v>
      </c>
      <c r="C255" t="s">
        <v>415</v>
      </c>
      <c r="D255" s="146">
        <v>2150000</v>
      </c>
      <c r="E255" t="s">
        <v>382</v>
      </c>
      <c r="F255" s="20" t="s">
        <v>383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402</v>
      </c>
      <c r="C256" t="s">
        <v>416</v>
      </c>
      <c r="D256" s="146">
        <v>2560000</v>
      </c>
      <c r="E256" t="s">
        <v>413</v>
      </c>
      <c r="F256" s="20" t="s">
        <v>414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396</v>
      </c>
      <c r="C257" t="s">
        <v>417</v>
      </c>
      <c r="D257" s="146">
        <v>1540000</v>
      </c>
      <c r="E257" t="s">
        <v>392</v>
      </c>
      <c r="F257" s="20" t="s">
        <v>393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402</v>
      </c>
      <c r="C258" t="s">
        <v>418</v>
      </c>
      <c r="D258" s="146">
        <v>2560000</v>
      </c>
      <c r="E258" t="s">
        <v>413</v>
      </c>
      <c r="F258" s="20" t="s">
        <v>414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402</v>
      </c>
      <c r="C259" t="s">
        <v>418</v>
      </c>
      <c r="D259" s="146">
        <v>2560000</v>
      </c>
      <c r="E259" t="s">
        <v>413</v>
      </c>
      <c r="F259" s="20" t="s">
        <v>414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402</v>
      </c>
      <c r="C260" t="s">
        <v>418</v>
      </c>
      <c r="D260" s="146">
        <v>2560000</v>
      </c>
      <c r="E260" t="s">
        <v>413</v>
      </c>
      <c r="F260" s="20" t="s">
        <v>414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402</v>
      </c>
      <c r="C261" t="s">
        <v>418</v>
      </c>
      <c r="D261" s="146">
        <v>2560000</v>
      </c>
      <c r="E261" t="s">
        <v>413</v>
      </c>
      <c r="F261" s="20" t="s">
        <v>414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395</v>
      </c>
      <c r="C262" t="s">
        <v>419</v>
      </c>
      <c r="D262" s="146">
        <v>1540000</v>
      </c>
      <c r="E262" t="s">
        <v>392</v>
      </c>
      <c r="F262" s="20" t="s">
        <v>393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420</v>
      </c>
      <c r="D263" s="146">
        <v>2230000</v>
      </c>
      <c r="E263" t="s">
        <v>397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386</v>
      </c>
      <c r="C264" t="s">
        <v>421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396</v>
      </c>
      <c r="C265" t="s">
        <v>422</v>
      </c>
      <c r="D265" s="146">
        <v>1540000</v>
      </c>
      <c r="E265" t="s">
        <v>392</v>
      </c>
      <c r="F265" s="20" t="s">
        <v>393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402</v>
      </c>
      <c r="C266" t="s">
        <v>418</v>
      </c>
      <c r="D266" s="146">
        <v>2560000</v>
      </c>
      <c r="E266" t="s">
        <v>413</v>
      </c>
      <c r="F266" s="20" t="s">
        <v>414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403</v>
      </c>
      <c r="C267" t="s">
        <v>423</v>
      </c>
      <c r="D267" s="146">
        <v>2150000</v>
      </c>
      <c r="E267" t="s">
        <v>382</v>
      </c>
      <c r="F267" s="20" t="s">
        <v>383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389</v>
      </c>
      <c r="C268" t="s">
        <v>424</v>
      </c>
      <c r="D268" s="146">
        <v>2000000</v>
      </c>
      <c r="E268" t="s">
        <v>387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395</v>
      </c>
      <c r="C269" t="s">
        <v>425</v>
      </c>
      <c r="D269" s="146">
        <v>1540000</v>
      </c>
      <c r="E269" t="s">
        <v>392</v>
      </c>
      <c r="F269" s="20" t="s">
        <v>393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396</v>
      </c>
      <c r="C270" t="s">
        <v>426</v>
      </c>
      <c r="D270" s="146">
        <v>2630000</v>
      </c>
      <c r="E270" t="s">
        <v>405</v>
      </c>
      <c r="F270" s="20" t="s">
        <v>406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389</v>
      </c>
      <c r="C271" t="s">
        <v>424</v>
      </c>
      <c r="D271" s="146">
        <v>2000000</v>
      </c>
      <c r="E271" t="s">
        <v>387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420</v>
      </c>
      <c r="D272" s="146">
        <v>2230000</v>
      </c>
      <c r="E272" t="s">
        <v>397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385</v>
      </c>
      <c r="C273" t="s">
        <v>411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395</v>
      </c>
      <c r="C274" t="s">
        <v>427</v>
      </c>
      <c r="D274" s="146">
        <v>2630000</v>
      </c>
      <c r="E274" t="s">
        <v>405</v>
      </c>
      <c r="F274" s="20" t="s">
        <v>406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385</v>
      </c>
      <c r="C275" t="s">
        <v>411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385</v>
      </c>
      <c r="C276" t="s">
        <v>411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410</v>
      </c>
      <c r="C277" t="s">
        <v>428</v>
      </c>
      <c r="D277" s="146">
        <v>2230000</v>
      </c>
      <c r="E277" t="s">
        <v>397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410</v>
      </c>
      <c r="C278" t="s">
        <v>429</v>
      </c>
      <c r="D278" s="146">
        <v>2230000</v>
      </c>
      <c r="E278" t="s">
        <v>397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399</v>
      </c>
      <c r="C279" t="s">
        <v>412</v>
      </c>
      <c r="D279" s="146">
        <v>2150000</v>
      </c>
      <c r="E279" t="s">
        <v>382</v>
      </c>
      <c r="F279" s="20" t="s">
        <v>383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399</v>
      </c>
      <c r="C280" t="s">
        <v>412</v>
      </c>
      <c r="D280" s="146">
        <v>2150000</v>
      </c>
      <c r="E280" t="s">
        <v>382</v>
      </c>
      <c r="F280" s="20" t="s">
        <v>383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410</v>
      </c>
      <c r="C281" t="s">
        <v>429</v>
      </c>
      <c r="D281" s="146">
        <v>2230000</v>
      </c>
      <c r="E281" t="s">
        <v>397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388</v>
      </c>
      <c r="C282" t="s">
        <v>430</v>
      </c>
      <c r="D282" s="146">
        <v>2000000</v>
      </c>
      <c r="E282" t="s">
        <v>387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410</v>
      </c>
      <c r="C283" t="s">
        <v>429</v>
      </c>
      <c r="D283" s="146">
        <v>2230000</v>
      </c>
      <c r="E283" t="s">
        <v>397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401</v>
      </c>
      <c r="C284" t="s">
        <v>431</v>
      </c>
      <c r="D284" s="146">
        <v>2560000</v>
      </c>
      <c r="E284" t="s">
        <v>413</v>
      </c>
      <c r="F284" s="20" t="s">
        <v>414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410</v>
      </c>
      <c r="C285" t="s">
        <v>429</v>
      </c>
      <c r="D285" s="146">
        <v>2230000</v>
      </c>
      <c r="E285" t="s">
        <v>397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386</v>
      </c>
      <c r="C286" t="s">
        <v>432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433</v>
      </c>
      <c r="D287" s="146">
        <v>2230000</v>
      </c>
      <c r="E287" t="s">
        <v>397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389</v>
      </c>
      <c r="C288" t="s">
        <v>434</v>
      </c>
      <c r="D288" s="146">
        <v>2000000</v>
      </c>
      <c r="E288" t="s">
        <v>387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403</v>
      </c>
      <c r="C289" t="s">
        <v>435</v>
      </c>
      <c r="D289" s="146">
        <v>2150000</v>
      </c>
      <c r="E289" t="s">
        <v>382</v>
      </c>
      <c r="F289" s="20" t="s">
        <v>383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403</v>
      </c>
      <c r="C290" t="s">
        <v>435</v>
      </c>
      <c r="D290" s="146">
        <v>2150000</v>
      </c>
      <c r="E290" t="s">
        <v>382</v>
      </c>
      <c r="F290" s="20" t="s">
        <v>383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403</v>
      </c>
      <c r="C291" t="s">
        <v>435</v>
      </c>
      <c r="D291" s="146">
        <v>2150000</v>
      </c>
      <c r="E291" t="s">
        <v>382</v>
      </c>
      <c r="F291" s="20" t="s">
        <v>383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410</v>
      </c>
      <c r="C292" t="s">
        <v>436</v>
      </c>
      <c r="D292" s="146">
        <v>2230000</v>
      </c>
      <c r="E292" t="s">
        <v>397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385</v>
      </c>
      <c r="C293" t="s">
        <v>437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385</v>
      </c>
      <c r="C294" t="s">
        <v>437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385</v>
      </c>
      <c r="C295" t="s">
        <v>437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396</v>
      </c>
      <c r="C296" t="s">
        <v>438</v>
      </c>
      <c r="D296" s="146">
        <v>2150000</v>
      </c>
      <c r="E296" t="s">
        <v>382</v>
      </c>
      <c r="F296" s="20" t="s">
        <v>383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386</v>
      </c>
      <c r="C297" t="s">
        <v>439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K34" sqref="K34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508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44.14</v>
      </c>
      <c r="B2" s="164">
        <v>0.82</v>
      </c>
      <c r="C2" s="164">
        <v>38.08</v>
      </c>
      <c r="D2" s="8">
        <v>42821</v>
      </c>
      <c r="E2" s="164">
        <v>0.79</v>
      </c>
      <c r="F2" s="164" t="s">
        <v>352</v>
      </c>
      <c r="G2" s="164">
        <v>305.27</v>
      </c>
      <c r="H2" s="164">
        <v>0</v>
      </c>
      <c r="I2" s="164">
        <v>0</v>
      </c>
      <c r="J2" s="164"/>
      <c r="K2" s="164">
        <v>1013.67</v>
      </c>
      <c r="L2" s="164" t="s">
        <v>460</v>
      </c>
      <c r="M2" s="164">
        <v>44.14</v>
      </c>
      <c r="N2" s="164">
        <v>1490594400</v>
      </c>
      <c r="O2" s="164">
        <v>3.76</v>
      </c>
      <c r="P2" s="164">
        <v>357</v>
      </c>
      <c r="Q2" s="164">
        <v>0.54</v>
      </c>
      <c r="R2"/>
    </row>
    <row r="3" spans="1:18" x14ac:dyDescent="0.25">
      <c r="A3" s="164">
        <v>42.72</v>
      </c>
      <c r="B3" s="164">
        <v>0.68</v>
      </c>
      <c r="C3" s="164">
        <v>37.729999999999997</v>
      </c>
      <c r="D3" s="8">
        <v>42821.041666666664</v>
      </c>
      <c r="E3" s="164">
        <v>0.82</v>
      </c>
      <c r="F3" s="164" t="s">
        <v>352</v>
      </c>
      <c r="G3" s="164">
        <v>303.99</v>
      </c>
      <c r="H3" s="164">
        <v>0</v>
      </c>
      <c r="I3" s="164">
        <v>0</v>
      </c>
      <c r="J3" s="164"/>
      <c r="K3" s="164">
        <v>1013.69</v>
      </c>
      <c r="L3" s="164" t="s">
        <v>460</v>
      </c>
      <c r="M3" s="164">
        <v>42.72</v>
      </c>
      <c r="N3" s="164">
        <v>1490598000</v>
      </c>
      <c r="O3" s="164">
        <v>10</v>
      </c>
      <c r="P3" s="164">
        <v>290</v>
      </c>
      <c r="Q3" s="164">
        <v>0.32</v>
      </c>
      <c r="R3"/>
    </row>
    <row r="4" spans="1:18" x14ac:dyDescent="0.25">
      <c r="A4" s="164">
        <v>41.67</v>
      </c>
      <c r="B4" s="164">
        <v>0.54</v>
      </c>
      <c r="C4" s="164">
        <v>37.020000000000003</v>
      </c>
      <c r="D4" s="8">
        <v>42821.083333333336</v>
      </c>
      <c r="E4" s="164">
        <v>0.83</v>
      </c>
      <c r="F4" s="164" t="s">
        <v>352</v>
      </c>
      <c r="G4" s="164">
        <v>302.7</v>
      </c>
      <c r="H4" s="164">
        <v>0</v>
      </c>
      <c r="I4" s="164">
        <v>0</v>
      </c>
      <c r="J4" s="164"/>
      <c r="K4" s="164">
        <v>1013.76</v>
      </c>
      <c r="L4" s="164" t="s">
        <v>353</v>
      </c>
      <c r="M4" s="164">
        <v>41.67</v>
      </c>
      <c r="N4" s="164">
        <v>1490601600</v>
      </c>
      <c r="O4" s="164">
        <v>4</v>
      </c>
      <c r="P4" s="164">
        <v>145</v>
      </c>
      <c r="Q4" s="164">
        <v>0.75</v>
      </c>
      <c r="R4"/>
    </row>
    <row r="5" spans="1:18" x14ac:dyDescent="0.25">
      <c r="A5" s="164">
        <v>40.14</v>
      </c>
      <c r="B5" s="164">
        <v>0.4</v>
      </c>
      <c r="C5" s="164">
        <v>36.24</v>
      </c>
      <c r="D5" s="8">
        <v>42821.125</v>
      </c>
      <c r="E5" s="164">
        <v>0.86</v>
      </c>
      <c r="F5" s="164" t="s">
        <v>352</v>
      </c>
      <c r="G5" s="164">
        <v>301.41000000000003</v>
      </c>
      <c r="H5" s="164">
        <v>0</v>
      </c>
      <c r="I5" s="164">
        <v>0</v>
      </c>
      <c r="J5" s="164"/>
      <c r="K5" s="164">
        <v>1013.93</v>
      </c>
      <c r="L5" s="164" t="s">
        <v>353</v>
      </c>
      <c r="M5" s="164">
        <v>40.14</v>
      </c>
      <c r="N5" s="164">
        <v>1490605200</v>
      </c>
      <c r="O5" s="164">
        <v>3.61</v>
      </c>
      <c r="P5" s="164">
        <v>180</v>
      </c>
      <c r="Q5" s="164">
        <v>0.5</v>
      </c>
      <c r="R5"/>
    </row>
    <row r="6" spans="1:18" x14ac:dyDescent="0.25">
      <c r="A6" s="164">
        <v>38.51</v>
      </c>
      <c r="B6" s="164">
        <v>0.36</v>
      </c>
      <c r="C6" s="164">
        <v>35.17</v>
      </c>
      <c r="D6" s="8">
        <v>42821.166666666664</v>
      </c>
      <c r="E6" s="164">
        <v>0.88</v>
      </c>
      <c r="F6" s="164" t="s">
        <v>352</v>
      </c>
      <c r="G6" s="164">
        <v>300.67</v>
      </c>
      <c r="H6" s="164">
        <v>0</v>
      </c>
      <c r="I6" s="164">
        <v>0</v>
      </c>
      <c r="J6" s="164"/>
      <c r="K6" s="164">
        <v>1014.17</v>
      </c>
      <c r="L6" s="164" t="s">
        <v>353</v>
      </c>
      <c r="M6" s="164">
        <v>38.51</v>
      </c>
      <c r="N6" s="164">
        <v>1490608800</v>
      </c>
      <c r="O6" s="164">
        <v>3.59</v>
      </c>
      <c r="P6" s="164">
        <v>215</v>
      </c>
      <c r="Q6" s="164">
        <v>0.84</v>
      </c>
      <c r="R6"/>
    </row>
    <row r="7" spans="1:18" x14ac:dyDescent="0.25">
      <c r="A7" s="164">
        <v>37.380000000000003</v>
      </c>
      <c r="B7" s="164">
        <v>0.35</v>
      </c>
      <c r="C7" s="164">
        <v>34.159999999999997</v>
      </c>
      <c r="D7" s="8">
        <v>42821.208333333336</v>
      </c>
      <c r="E7" s="164">
        <v>0.88</v>
      </c>
      <c r="F7" s="164" t="s">
        <v>352</v>
      </c>
      <c r="G7" s="164">
        <v>300.2</v>
      </c>
      <c r="H7" s="164">
        <v>0</v>
      </c>
      <c r="I7" s="164">
        <v>0</v>
      </c>
      <c r="J7" s="164"/>
      <c r="K7" s="164">
        <v>1014.39</v>
      </c>
      <c r="L7" s="164" t="s">
        <v>353</v>
      </c>
      <c r="M7" s="164">
        <v>37.380000000000003</v>
      </c>
      <c r="N7" s="164">
        <v>1490612400</v>
      </c>
      <c r="O7" s="164">
        <v>4.0999999999999996</v>
      </c>
      <c r="P7" s="164">
        <v>218</v>
      </c>
      <c r="Q7" s="164">
        <v>1.1299999999999999</v>
      </c>
      <c r="R7"/>
    </row>
    <row r="8" spans="1:18" x14ac:dyDescent="0.25">
      <c r="A8" s="164">
        <v>36.479999999999997</v>
      </c>
      <c r="B8" s="164">
        <v>0.38</v>
      </c>
      <c r="C8" s="164">
        <v>33.21</v>
      </c>
      <c r="D8" s="8">
        <v>42821.25</v>
      </c>
      <c r="E8" s="164">
        <v>0.88</v>
      </c>
      <c r="F8" s="164" t="s">
        <v>352</v>
      </c>
      <c r="G8" s="164">
        <v>300.01</v>
      </c>
      <c r="H8" s="164">
        <v>0</v>
      </c>
      <c r="I8" s="164">
        <v>0</v>
      </c>
      <c r="J8" s="164"/>
      <c r="K8" s="164">
        <v>1014.33</v>
      </c>
      <c r="L8" s="164" t="s">
        <v>353</v>
      </c>
      <c r="M8" s="164">
        <v>36.479999999999997</v>
      </c>
      <c r="N8" s="164">
        <v>1490616000</v>
      </c>
      <c r="O8" s="164">
        <v>10</v>
      </c>
      <c r="P8" s="164">
        <v>212</v>
      </c>
      <c r="Q8" s="164">
        <v>1.48</v>
      </c>
      <c r="R8"/>
    </row>
    <row r="9" spans="1:18" x14ac:dyDescent="0.25">
      <c r="A9" s="164">
        <v>36.74</v>
      </c>
      <c r="B9" s="164">
        <v>0.4</v>
      </c>
      <c r="C9" s="164">
        <v>33.14</v>
      </c>
      <c r="D9" s="8">
        <v>42821.291666666664</v>
      </c>
      <c r="E9" s="164">
        <v>0.87</v>
      </c>
      <c r="F9" s="164" t="s">
        <v>354</v>
      </c>
      <c r="G9" s="164">
        <v>300.43</v>
      </c>
      <c r="H9" s="164">
        <v>0</v>
      </c>
      <c r="I9" s="164">
        <v>0</v>
      </c>
      <c r="J9" s="164"/>
      <c r="K9" s="164">
        <v>1013.75</v>
      </c>
      <c r="L9" s="164" t="s">
        <v>353</v>
      </c>
      <c r="M9" s="164">
        <v>36.74</v>
      </c>
      <c r="N9" s="164">
        <v>1490619600</v>
      </c>
      <c r="O9" s="164">
        <v>4.18</v>
      </c>
      <c r="P9" s="164">
        <v>198</v>
      </c>
      <c r="Q9" s="164">
        <v>1.3</v>
      </c>
      <c r="R9"/>
    </row>
    <row r="10" spans="1:18" x14ac:dyDescent="0.25">
      <c r="A10" s="164">
        <v>37.94</v>
      </c>
      <c r="B10" s="164">
        <v>0.43</v>
      </c>
      <c r="C10" s="164">
        <v>33.33</v>
      </c>
      <c r="D10" s="8">
        <v>42821.333333333336</v>
      </c>
      <c r="E10" s="164">
        <v>0.83</v>
      </c>
      <c r="F10" s="164" t="s">
        <v>354</v>
      </c>
      <c r="G10" s="164">
        <v>301.13</v>
      </c>
      <c r="H10" s="164">
        <v>0</v>
      </c>
      <c r="I10" s="164">
        <v>0</v>
      </c>
      <c r="J10" s="164"/>
      <c r="K10" s="164">
        <v>1012.84</v>
      </c>
      <c r="L10" s="164" t="s">
        <v>353</v>
      </c>
      <c r="M10" s="164">
        <v>37.94</v>
      </c>
      <c r="N10" s="164">
        <v>1490623200</v>
      </c>
      <c r="O10" s="164">
        <v>3.9</v>
      </c>
      <c r="P10" s="164">
        <v>227</v>
      </c>
      <c r="Q10" s="164">
        <v>0.57999999999999996</v>
      </c>
      <c r="R10"/>
    </row>
    <row r="11" spans="1:18" x14ac:dyDescent="0.25">
      <c r="A11" s="164">
        <v>43.62</v>
      </c>
      <c r="B11" s="164">
        <v>0.45</v>
      </c>
      <c r="C11" s="164">
        <v>36.770000000000003</v>
      </c>
      <c r="D11" s="8">
        <v>42821.375</v>
      </c>
      <c r="E11" s="164">
        <v>0.77</v>
      </c>
      <c r="F11" s="164" t="s">
        <v>354</v>
      </c>
      <c r="G11" s="164">
        <v>301.17</v>
      </c>
      <c r="H11" s="164">
        <v>0</v>
      </c>
      <c r="I11" s="164">
        <v>0</v>
      </c>
      <c r="J11" s="164"/>
      <c r="K11" s="164">
        <v>1011.96</v>
      </c>
      <c r="L11" s="164" t="s">
        <v>353</v>
      </c>
      <c r="M11" s="164">
        <v>43.62</v>
      </c>
      <c r="N11" s="164">
        <v>1490626800</v>
      </c>
      <c r="O11" s="164">
        <v>3.91</v>
      </c>
      <c r="P11" s="164">
        <v>205</v>
      </c>
      <c r="Q11" s="164">
        <v>0.7</v>
      </c>
      <c r="R11"/>
    </row>
    <row r="12" spans="1:18" x14ac:dyDescent="0.25">
      <c r="A12" s="164">
        <v>46.96</v>
      </c>
      <c r="B12" s="164">
        <v>0.43</v>
      </c>
      <c r="C12" s="164">
        <v>35.369999999999997</v>
      </c>
      <c r="D12" s="8">
        <v>42821.416666666664</v>
      </c>
      <c r="E12" s="164">
        <v>0.64</v>
      </c>
      <c r="F12" s="164" t="s">
        <v>354</v>
      </c>
      <c r="G12" s="164">
        <v>299.77</v>
      </c>
      <c r="H12" s="164">
        <v>0</v>
      </c>
      <c r="I12" s="164">
        <v>0</v>
      </c>
      <c r="J12" s="164"/>
      <c r="K12" s="164">
        <v>1011.09</v>
      </c>
      <c r="L12" s="164" t="s">
        <v>353</v>
      </c>
      <c r="M12" s="164">
        <v>46.96</v>
      </c>
      <c r="N12" s="164">
        <v>1490630400</v>
      </c>
      <c r="O12" s="164">
        <v>3.01</v>
      </c>
      <c r="P12" s="164">
        <v>342</v>
      </c>
      <c r="Q12" s="164">
        <v>0.81</v>
      </c>
      <c r="R12"/>
    </row>
    <row r="13" spans="1:18" x14ac:dyDescent="0.25">
      <c r="A13" s="164">
        <v>49.41</v>
      </c>
      <c r="B13" s="164">
        <v>0.41</v>
      </c>
      <c r="C13" s="164">
        <v>35.01</v>
      </c>
      <c r="D13" s="8">
        <v>42821.458333333336</v>
      </c>
      <c r="E13" s="164">
        <v>0.56999999999999995</v>
      </c>
      <c r="F13" s="164" t="s">
        <v>354</v>
      </c>
      <c r="G13" s="164">
        <v>297.7</v>
      </c>
      <c r="H13" s="164">
        <v>0</v>
      </c>
      <c r="I13" s="164">
        <v>0</v>
      </c>
      <c r="J13" s="164"/>
      <c r="K13" s="164">
        <v>1010.06</v>
      </c>
      <c r="L13" s="164" t="s">
        <v>353</v>
      </c>
      <c r="M13" s="164">
        <v>49.41</v>
      </c>
      <c r="N13" s="164">
        <v>1490634000</v>
      </c>
      <c r="O13" s="164">
        <v>3.01</v>
      </c>
      <c r="P13" s="164">
        <v>27</v>
      </c>
      <c r="Q13" s="164">
        <v>1.74</v>
      </c>
      <c r="R13"/>
    </row>
    <row r="14" spans="1:18" x14ac:dyDescent="0.25">
      <c r="A14" s="164">
        <v>54.21</v>
      </c>
      <c r="B14" s="164">
        <v>0.4</v>
      </c>
      <c r="C14" s="164">
        <v>34.619999999999997</v>
      </c>
      <c r="D14" s="8">
        <v>42821.5</v>
      </c>
      <c r="E14" s="164">
        <v>0.47</v>
      </c>
      <c r="F14" s="164" t="s">
        <v>354</v>
      </c>
      <c r="G14" s="164">
        <v>296.37</v>
      </c>
      <c r="H14" s="164">
        <v>0</v>
      </c>
      <c r="I14" s="164">
        <v>0</v>
      </c>
      <c r="J14" s="164"/>
      <c r="K14" s="164">
        <v>1009</v>
      </c>
      <c r="L14" s="164" t="s">
        <v>353</v>
      </c>
      <c r="M14" s="164">
        <v>54.21</v>
      </c>
      <c r="N14" s="164">
        <v>1490637600</v>
      </c>
      <c r="O14" s="164">
        <v>3.05</v>
      </c>
      <c r="P14" s="164">
        <v>31</v>
      </c>
      <c r="Q14" s="164">
        <v>2.2999999999999998</v>
      </c>
      <c r="R14"/>
    </row>
    <row r="15" spans="1:18" x14ac:dyDescent="0.25">
      <c r="A15" s="164">
        <v>58.61</v>
      </c>
      <c r="B15" s="164">
        <v>0.42</v>
      </c>
      <c r="C15" s="164">
        <v>34.909999999999997</v>
      </c>
      <c r="D15" s="8">
        <v>42821.541666666664</v>
      </c>
      <c r="E15" s="164">
        <v>0.41</v>
      </c>
      <c r="F15" s="164" t="s">
        <v>354</v>
      </c>
      <c r="G15" s="164">
        <v>296.33</v>
      </c>
      <c r="H15" s="164">
        <v>0</v>
      </c>
      <c r="I15" s="164">
        <v>0</v>
      </c>
      <c r="J15" s="164"/>
      <c r="K15" s="164">
        <v>1007.95</v>
      </c>
      <c r="L15" s="164" t="s">
        <v>353</v>
      </c>
      <c r="M15" s="164">
        <v>58.61</v>
      </c>
      <c r="N15" s="164">
        <v>1490641200</v>
      </c>
      <c r="O15" s="164">
        <v>3.07</v>
      </c>
      <c r="P15" s="164">
        <v>35</v>
      </c>
      <c r="Q15" s="164">
        <v>3.18</v>
      </c>
      <c r="R15"/>
    </row>
    <row r="16" spans="1:18" x14ac:dyDescent="0.25">
      <c r="A16" s="164">
        <v>60.56</v>
      </c>
      <c r="B16" s="164">
        <v>0.47</v>
      </c>
      <c r="C16" s="164">
        <v>34.33</v>
      </c>
      <c r="D16" s="8">
        <v>42821.583333333336</v>
      </c>
      <c r="E16" s="164">
        <v>0.37</v>
      </c>
      <c r="F16" s="164" t="s">
        <v>354</v>
      </c>
      <c r="G16" s="164">
        <v>297.01</v>
      </c>
      <c r="H16" s="164">
        <v>0</v>
      </c>
      <c r="I16" s="164">
        <v>0</v>
      </c>
      <c r="J16" s="164"/>
      <c r="K16" s="164">
        <v>1006.91</v>
      </c>
      <c r="L16" s="164" t="s">
        <v>353</v>
      </c>
      <c r="M16" s="164">
        <v>60.56</v>
      </c>
      <c r="N16" s="164">
        <v>1490644800</v>
      </c>
      <c r="O16" s="164">
        <v>3.05</v>
      </c>
      <c r="P16" s="164">
        <v>96</v>
      </c>
      <c r="Q16" s="164">
        <v>3.56</v>
      </c>
      <c r="R16"/>
    </row>
    <row r="17" spans="1:18" x14ac:dyDescent="0.25">
      <c r="A17" s="164">
        <v>60.85</v>
      </c>
      <c r="B17" s="164">
        <v>0.54</v>
      </c>
      <c r="C17" s="164">
        <v>34.299999999999997</v>
      </c>
      <c r="D17" s="8">
        <v>42821.625</v>
      </c>
      <c r="E17" s="164">
        <v>0.37</v>
      </c>
      <c r="F17" s="164" t="s">
        <v>354</v>
      </c>
      <c r="G17" s="164">
        <v>298.18</v>
      </c>
      <c r="H17" s="164">
        <v>0</v>
      </c>
      <c r="I17" s="164">
        <v>0</v>
      </c>
      <c r="J17" s="164"/>
      <c r="K17" s="164">
        <v>1006.05</v>
      </c>
      <c r="L17" s="164" t="s">
        <v>353</v>
      </c>
      <c r="M17" s="164">
        <v>60.85</v>
      </c>
      <c r="N17" s="164">
        <v>1490648400</v>
      </c>
      <c r="O17" s="164">
        <v>3.08</v>
      </c>
      <c r="P17" s="164">
        <v>100</v>
      </c>
      <c r="Q17" s="164">
        <v>2.38</v>
      </c>
      <c r="R17"/>
    </row>
    <row r="18" spans="1:18" x14ac:dyDescent="0.25">
      <c r="A18" s="164">
        <v>60.56</v>
      </c>
      <c r="B18" s="164">
        <v>0.61</v>
      </c>
      <c r="C18" s="164">
        <v>33.67</v>
      </c>
      <c r="D18" s="8">
        <v>42821.666666666664</v>
      </c>
      <c r="E18" s="164">
        <v>0.36</v>
      </c>
      <c r="F18" s="164" t="s">
        <v>354</v>
      </c>
      <c r="G18" s="164">
        <v>299.89999999999998</v>
      </c>
      <c r="H18" s="164">
        <v>8.0000000000000004E-4</v>
      </c>
      <c r="I18" s="164">
        <v>0.01</v>
      </c>
      <c r="J18" s="164" t="s">
        <v>509</v>
      </c>
      <c r="K18" s="164">
        <v>1005.34</v>
      </c>
      <c r="L18" s="164" t="s">
        <v>460</v>
      </c>
      <c r="M18" s="164">
        <v>60.56</v>
      </c>
      <c r="N18" s="164">
        <v>1490652000</v>
      </c>
      <c r="O18" s="164">
        <v>3.14</v>
      </c>
      <c r="P18" s="164">
        <v>140</v>
      </c>
      <c r="Q18" s="164">
        <v>2.5499999999999998</v>
      </c>
      <c r="R18"/>
    </row>
    <row r="19" spans="1:18" x14ac:dyDescent="0.25">
      <c r="A19" s="164">
        <v>58.64</v>
      </c>
      <c r="B19" s="164">
        <v>0.69</v>
      </c>
      <c r="C19" s="164">
        <v>36.93</v>
      </c>
      <c r="D19" s="8">
        <v>42821.708333333336</v>
      </c>
      <c r="E19" s="164">
        <v>0.44</v>
      </c>
      <c r="F19" s="164" t="s">
        <v>354</v>
      </c>
      <c r="G19" s="164">
        <v>302.11</v>
      </c>
      <c r="H19" s="164">
        <v>2.7000000000000001E-3</v>
      </c>
      <c r="I19" s="164">
        <v>0.08</v>
      </c>
      <c r="J19" s="164" t="s">
        <v>509</v>
      </c>
      <c r="K19" s="164">
        <v>1004.81</v>
      </c>
      <c r="L19" s="164" t="s">
        <v>460</v>
      </c>
      <c r="M19" s="164">
        <v>58.64</v>
      </c>
      <c r="N19" s="164">
        <v>1490655600</v>
      </c>
      <c r="O19" s="164">
        <v>5.36</v>
      </c>
      <c r="P19" s="164">
        <v>163</v>
      </c>
      <c r="Q19" s="164">
        <v>3.66</v>
      </c>
      <c r="R19"/>
    </row>
    <row r="20" spans="1:18" x14ac:dyDescent="0.25">
      <c r="A20" s="164">
        <v>56.41</v>
      </c>
      <c r="B20" s="164">
        <v>0.68</v>
      </c>
      <c r="C20" s="164">
        <v>35.29</v>
      </c>
      <c r="D20" s="8">
        <v>42821.75</v>
      </c>
      <c r="E20" s="164">
        <v>0.45</v>
      </c>
      <c r="F20" s="164" t="s">
        <v>509</v>
      </c>
      <c r="G20" s="164">
        <v>304.35000000000002</v>
      </c>
      <c r="H20" s="164">
        <v>7.3000000000000001E-3</v>
      </c>
      <c r="I20" s="164">
        <v>0.36</v>
      </c>
      <c r="J20" s="164" t="s">
        <v>509</v>
      </c>
      <c r="K20" s="164">
        <v>1004.67</v>
      </c>
      <c r="L20" s="164" t="s">
        <v>826</v>
      </c>
      <c r="M20" s="164">
        <v>56.41</v>
      </c>
      <c r="N20" s="164">
        <v>1490659200</v>
      </c>
      <c r="O20" s="164">
        <v>5.72</v>
      </c>
      <c r="P20" s="164">
        <v>175</v>
      </c>
      <c r="Q20" s="164">
        <v>1.82</v>
      </c>
      <c r="R20"/>
    </row>
    <row r="21" spans="1:18" x14ac:dyDescent="0.25">
      <c r="A21" s="164">
        <v>53.28</v>
      </c>
      <c r="B21" s="164">
        <v>0.65</v>
      </c>
      <c r="C21" s="164">
        <v>39.86</v>
      </c>
      <c r="D21" s="8">
        <v>42821.791666666664</v>
      </c>
      <c r="E21" s="164">
        <v>0.6</v>
      </c>
      <c r="F21" s="164" t="s">
        <v>509</v>
      </c>
      <c r="G21" s="164">
        <v>306.47000000000003</v>
      </c>
      <c r="H21" s="164">
        <v>9.7000000000000003E-3</v>
      </c>
      <c r="I21" s="164">
        <v>0.5</v>
      </c>
      <c r="J21" s="164" t="s">
        <v>509</v>
      </c>
      <c r="K21" s="164">
        <v>1005.01</v>
      </c>
      <c r="L21" s="164" t="s">
        <v>827</v>
      </c>
      <c r="M21" s="164">
        <v>53.28</v>
      </c>
      <c r="N21" s="164">
        <v>1490662800</v>
      </c>
      <c r="O21" s="164">
        <v>6.19</v>
      </c>
      <c r="P21" s="164">
        <v>198</v>
      </c>
      <c r="Q21" s="164">
        <v>1.0900000000000001</v>
      </c>
      <c r="R21"/>
    </row>
    <row r="22" spans="1:18" x14ac:dyDescent="0.25">
      <c r="A22" s="164">
        <v>50.98</v>
      </c>
      <c r="B22" s="164">
        <v>0.62</v>
      </c>
      <c r="C22" s="164">
        <v>41.63</v>
      </c>
      <c r="D22" s="8">
        <v>42821.833333333336</v>
      </c>
      <c r="E22" s="164">
        <v>0.7</v>
      </c>
      <c r="F22" s="164" t="s">
        <v>509</v>
      </c>
      <c r="G22" s="164">
        <v>308.63</v>
      </c>
      <c r="H22" s="164">
        <v>6.7999999999999996E-3</v>
      </c>
      <c r="I22" s="164">
        <v>0.32</v>
      </c>
      <c r="J22" s="164" t="s">
        <v>509</v>
      </c>
      <c r="K22" s="164">
        <v>1005.78</v>
      </c>
      <c r="L22" s="164" t="s">
        <v>826</v>
      </c>
      <c r="M22" s="164">
        <v>50.98</v>
      </c>
      <c r="N22" s="164">
        <v>1490666400</v>
      </c>
      <c r="O22" s="164">
        <v>6.75</v>
      </c>
      <c r="P22" s="164">
        <v>258</v>
      </c>
      <c r="Q22" s="164">
        <v>0.91</v>
      </c>
      <c r="R22"/>
    </row>
    <row r="23" spans="1:18" x14ac:dyDescent="0.25">
      <c r="A23" s="164">
        <v>49.53</v>
      </c>
      <c r="B23" s="164">
        <v>0.6</v>
      </c>
      <c r="C23" s="164">
        <v>39.869999999999997</v>
      </c>
      <c r="D23" s="8">
        <v>42821.875</v>
      </c>
      <c r="E23" s="164">
        <v>0.69</v>
      </c>
      <c r="F23" s="164" t="s">
        <v>509</v>
      </c>
      <c r="G23" s="164">
        <v>310.83999999999997</v>
      </c>
      <c r="H23" s="164">
        <v>8.6999999999999994E-3</v>
      </c>
      <c r="I23" s="164">
        <v>0.46</v>
      </c>
      <c r="J23" s="164" t="s">
        <v>509</v>
      </c>
      <c r="K23" s="164">
        <v>1006.47</v>
      </c>
      <c r="L23" s="164" t="s">
        <v>826</v>
      </c>
      <c r="M23" s="164">
        <v>49.53</v>
      </c>
      <c r="N23" s="164">
        <v>1490670000</v>
      </c>
      <c r="O23" s="164">
        <v>6.72</v>
      </c>
      <c r="P23" s="164">
        <v>319</v>
      </c>
      <c r="Q23" s="164">
        <v>2.58</v>
      </c>
      <c r="R23"/>
    </row>
    <row r="24" spans="1:18" x14ac:dyDescent="0.25">
      <c r="A24" s="164">
        <v>48.75</v>
      </c>
      <c r="B24" s="164">
        <v>0.75</v>
      </c>
      <c r="C24" s="164">
        <v>39.76</v>
      </c>
      <c r="D24" s="8">
        <v>42821.916666666664</v>
      </c>
      <c r="E24" s="164">
        <v>0.71</v>
      </c>
      <c r="F24" s="164" t="s">
        <v>509</v>
      </c>
      <c r="G24" s="164">
        <v>313.19</v>
      </c>
      <c r="H24" s="164">
        <v>7.7000000000000002E-3</v>
      </c>
      <c r="I24" s="164">
        <v>0.39</v>
      </c>
      <c r="J24" s="164" t="s">
        <v>509</v>
      </c>
      <c r="K24" s="164">
        <v>1006.97</v>
      </c>
      <c r="L24" s="164" t="s">
        <v>826</v>
      </c>
      <c r="M24" s="164">
        <v>48.75</v>
      </c>
      <c r="N24" s="164">
        <v>1490673600</v>
      </c>
      <c r="O24" s="164">
        <v>5.08</v>
      </c>
      <c r="P24" s="164">
        <v>320</v>
      </c>
      <c r="Q24" s="164">
        <v>2.44</v>
      </c>
      <c r="R24"/>
    </row>
    <row r="25" spans="1:18" x14ac:dyDescent="0.25">
      <c r="A25" s="164">
        <v>47.08</v>
      </c>
      <c r="B25" s="164">
        <v>0.82</v>
      </c>
      <c r="C25" s="164">
        <v>40.74</v>
      </c>
      <c r="D25" s="8">
        <v>42821.958333333336</v>
      </c>
      <c r="E25" s="164">
        <v>0.78</v>
      </c>
      <c r="F25" s="164" t="s">
        <v>352</v>
      </c>
      <c r="G25" s="164">
        <v>315.58999999999997</v>
      </c>
      <c r="H25" s="164">
        <v>2.3999999999999998E-3</v>
      </c>
      <c r="I25" s="164">
        <v>7.0000000000000007E-2</v>
      </c>
      <c r="J25" s="164" t="s">
        <v>509</v>
      </c>
      <c r="K25" s="164">
        <v>1007.45</v>
      </c>
      <c r="L25" s="164" t="s">
        <v>460</v>
      </c>
      <c r="M25" s="164">
        <v>47.08</v>
      </c>
      <c r="N25" s="164">
        <v>1490677200</v>
      </c>
      <c r="O25" s="164">
        <v>4.51</v>
      </c>
      <c r="P25" s="164">
        <v>315</v>
      </c>
      <c r="Q25" s="164">
        <v>1.57</v>
      </c>
      <c r="R25"/>
    </row>
    <row r="26" spans="1:18" x14ac:dyDescent="0.25">
      <c r="A26" s="164">
        <v>46.02</v>
      </c>
      <c r="B26" s="164">
        <v>0.86</v>
      </c>
      <c r="C26" s="164">
        <v>41.62</v>
      </c>
      <c r="D26" s="8">
        <v>42822</v>
      </c>
      <c r="E26" s="164">
        <v>0.84</v>
      </c>
      <c r="F26" s="164" t="s">
        <v>352</v>
      </c>
      <c r="G26" s="164">
        <v>317.79000000000002</v>
      </c>
      <c r="H26" s="164">
        <v>1E-3</v>
      </c>
      <c r="I26" s="164">
        <v>0.01</v>
      </c>
      <c r="J26" s="164" t="s">
        <v>509</v>
      </c>
      <c r="K26" s="164">
        <v>1007.7</v>
      </c>
      <c r="L26" s="164" t="s">
        <v>460</v>
      </c>
      <c r="M26" s="164">
        <v>46.02</v>
      </c>
      <c r="N26" s="164">
        <v>1490680800</v>
      </c>
      <c r="O26" s="164">
        <v>3.75</v>
      </c>
      <c r="P26" s="164">
        <v>337</v>
      </c>
      <c r="Q26" s="164">
        <v>2.23</v>
      </c>
      <c r="R26"/>
    </row>
    <row r="27" spans="1:18" x14ac:dyDescent="0.25">
      <c r="A27" s="164">
        <v>45.61</v>
      </c>
      <c r="B27" s="164">
        <v>0.84</v>
      </c>
      <c r="C27" s="164">
        <v>41.87</v>
      </c>
      <c r="D27" s="8">
        <v>42822.041666666664</v>
      </c>
      <c r="E27" s="164">
        <v>0.87</v>
      </c>
      <c r="F27" s="164" t="s">
        <v>352</v>
      </c>
      <c r="G27" s="164">
        <v>319.52</v>
      </c>
      <c r="H27" s="164">
        <v>3.3999999999999998E-3</v>
      </c>
      <c r="I27" s="164">
        <v>0.12</v>
      </c>
      <c r="J27" s="164" t="s">
        <v>509</v>
      </c>
      <c r="K27" s="164">
        <v>1007.33</v>
      </c>
      <c r="L27" s="164" t="s">
        <v>460</v>
      </c>
      <c r="M27" s="164">
        <v>45.61</v>
      </c>
      <c r="N27" s="164">
        <v>1490684400</v>
      </c>
      <c r="O27" s="164">
        <v>3.57</v>
      </c>
      <c r="P27" s="164">
        <v>323</v>
      </c>
      <c r="Q27" s="164">
        <v>1.75</v>
      </c>
      <c r="R27"/>
    </row>
    <row r="28" spans="1:18" x14ac:dyDescent="0.25">
      <c r="A28" s="164">
        <v>45.11</v>
      </c>
      <c r="B28" s="164">
        <v>0.83</v>
      </c>
      <c r="C28" s="164">
        <v>40.340000000000003</v>
      </c>
      <c r="D28" s="8">
        <v>42822.083333333336</v>
      </c>
      <c r="E28" s="164">
        <v>0.83</v>
      </c>
      <c r="F28" s="164" t="s">
        <v>352</v>
      </c>
      <c r="G28" s="164">
        <v>321.24</v>
      </c>
      <c r="H28" s="164">
        <v>1.4E-3</v>
      </c>
      <c r="I28" s="164">
        <v>0.03</v>
      </c>
      <c r="J28" s="164" t="s">
        <v>509</v>
      </c>
      <c r="K28" s="164">
        <v>1007.02</v>
      </c>
      <c r="L28" s="164" t="s">
        <v>460</v>
      </c>
      <c r="M28" s="164">
        <v>45.11</v>
      </c>
      <c r="N28" s="164">
        <v>1490688000</v>
      </c>
      <c r="O28" s="164">
        <v>3.74</v>
      </c>
      <c r="P28" s="164">
        <v>304</v>
      </c>
      <c r="Q28" s="164">
        <v>0.76</v>
      </c>
      <c r="R28"/>
    </row>
    <row r="29" spans="1:18" x14ac:dyDescent="0.25">
      <c r="A29" s="164">
        <v>45.72</v>
      </c>
      <c r="B29" s="164">
        <v>0.82</v>
      </c>
      <c r="C29" s="164">
        <v>40.24</v>
      </c>
      <c r="D29" s="8">
        <v>42822.125</v>
      </c>
      <c r="E29" s="164">
        <v>0.81</v>
      </c>
      <c r="F29" s="164" t="s">
        <v>352</v>
      </c>
      <c r="G29" s="164">
        <v>322.97000000000003</v>
      </c>
      <c r="H29" s="164">
        <v>0</v>
      </c>
      <c r="I29" s="164">
        <v>0</v>
      </c>
      <c r="J29" s="164"/>
      <c r="K29" s="164">
        <v>1006.77</v>
      </c>
      <c r="L29" s="164" t="s">
        <v>460</v>
      </c>
      <c r="M29" s="164">
        <v>45.72</v>
      </c>
      <c r="N29" s="164">
        <v>1490691600</v>
      </c>
      <c r="O29" s="164">
        <v>7.75</v>
      </c>
      <c r="P29" s="164">
        <v>164</v>
      </c>
      <c r="Q29" s="164">
        <v>2.0499999999999998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366</v>
      </c>
      <c r="U1" s="215"/>
      <c r="V1" s="215"/>
      <c r="W1" s="215"/>
      <c r="X1" s="215"/>
    </row>
    <row r="2" spans="1:24" ht="15.75" thickBot="1" x14ac:dyDescent="0.3">
      <c r="A2" s="12">
        <v>42821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380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381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998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999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1000</v>
      </c>
      <c r="J20" s="148" t="s">
        <v>87</v>
      </c>
      <c r="M20" s="164" t="s">
        <v>358</v>
      </c>
      <c r="N20" s="164" t="s">
        <v>358</v>
      </c>
      <c r="T20" s="193"/>
      <c r="U20" s="193"/>
      <c r="V20" s="193"/>
      <c r="W20" s="193"/>
      <c r="X20" s="193"/>
    </row>
    <row r="21" spans="3:24" x14ac:dyDescent="0.25">
      <c r="C21" t="s">
        <v>1001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1002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1003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1004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1005</v>
      </c>
      <c r="J25" s="148" t="s">
        <v>150</v>
      </c>
      <c r="M25" s="164" t="b">
        <v>1</v>
      </c>
    </row>
    <row r="26" spans="3:24" x14ac:dyDescent="0.25">
      <c r="C26" t="s">
        <v>1006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C:\Users\stu\Documents\GitHub\eaglep3-reporting\EC\2017-03-27-refined-times.txt</v>
      </c>
    </row>
    <row r="27" spans="3:24" x14ac:dyDescent="0.25">
      <c r="C27" t="s">
        <v>586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C:\Users\stu\Documents\GitHub\eaglep3-reporting\EC\2017-03-27-Enforcements.txt</v>
      </c>
    </row>
    <row r="28" spans="3:24" x14ac:dyDescent="0.25">
      <c r="C28" t="s">
        <v>1007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C:\Users\stu\Documents\GitHub\eaglep3-reporting\EC\2017-03-27-Runs-refined.txt</v>
      </c>
    </row>
    <row r="29" spans="3:24" x14ac:dyDescent="0.25">
      <c r="C29" t="s">
        <v>1008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C:\Users\stu\Documents\GitHub\eaglep3-reporting\EC\2017-03-27-Trips.txt</v>
      </c>
    </row>
    <row r="30" spans="3:24" x14ac:dyDescent="0.25">
      <c r="C30" t="s">
        <v>1009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C:\Users\stu\Documents\GitHub\eaglep3-reporting\EC\2017-03-27-Weather.txt</v>
      </c>
    </row>
    <row r="31" spans="3:24" x14ac:dyDescent="0.25">
      <c r="C31" t="s">
        <v>1010</v>
      </c>
      <c r="J31" s="148" t="s">
        <v>203</v>
      </c>
      <c r="M31" s="164" t="s">
        <v>204</v>
      </c>
    </row>
    <row r="32" spans="3:24" x14ac:dyDescent="0.25">
      <c r="C32" t="s">
        <v>1011</v>
      </c>
    </row>
    <row r="33" spans="3:3" x14ac:dyDescent="0.25">
      <c r="C33" t="s">
        <v>1012</v>
      </c>
    </row>
    <row r="34" spans="3:3" x14ac:dyDescent="0.25">
      <c r="C34" t="s">
        <v>1013</v>
      </c>
    </row>
    <row r="35" spans="3:3" x14ac:dyDescent="0.25">
      <c r="C35" t="s">
        <v>1014</v>
      </c>
    </row>
    <row r="36" spans="3:3" x14ac:dyDescent="0.25">
      <c r="C36" t="s">
        <v>1015</v>
      </c>
    </row>
    <row r="37" spans="3:3" x14ac:dyDescent="0.25">
      <c r="C37" t="s">
        <v>1016</v>
      </c>
    </row>
    <row r="38" spans="3:3" x14ac:dyDescent="0.25">
      <c r="C38" t="s">
        <v>1017</v>
      </c>
    </row>
    <row r="39" spans="3:3" x14ac:dyDescent="0.25">
      <c r="C39" t="s">
        <v>1018</v>
      </c>
    </row>
    <row r="40" spans="3:3" x14ac:dyDescent="0.25">
      <c r="C40" t="s">
        <v>1019</v>
      </c>
    </row>
    <row r="41" spans="3:3" x14ac:dyDescent="0.25">
      <c r="C41" t="s">
        <v>1020</v>
      </c>
    </row>
    <row r="42" spans="3:3" x14ac:dyDescent="0.25">
      <c r="C42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588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589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2017-03-28T17:51:32Z</dcterms:modified>
</cp:coreProperties>
</file>