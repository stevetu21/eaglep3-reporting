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Enforcements!$A$6:$AC$70</definedName>
    <definedName name="_xlnm._FilterDatabase" localSheetId="2" hidden="1">'Missing Trips'!$A$2:$J$36</definedName>
    <definedName name="_xlnm._FilterDatabase" localSheetId="0" hidden="1">'Train Runs'!$A$12:$AG$260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98" i="1" l="1"/>
  <c r="P156" i="1"/>
  <c r="X156" i="1"/>
  <c r="X157" i="1"/>
  <c r="X158" i="1"/>
  <c r="X159" i="1"/>
  <c r="X160" i="1"/>
  <c r="X161" i="1"/>
  <c r="X162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R19" i="3" s="1"/>
  <c r="AF14" i="1"/>
  <c r="AH14" i="1"/>
  <c r="AM14" i="1"/>
  <c r="AN14" i="1"/>
  <c r="K15" i="1"/>
  <c r="L15" i="1"/>
  <c r="M15" i="1"/>
  <c r="N15" i="1"/>
  <c r="V15" i="1"/>
  <c r="Y15" i="1"/>
  <c r="AA15" i="1" s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X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X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X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S20" i="3" s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S21" i="3" s="1"/>
  <c r="Y44" i="1"/>
  <c r="Z44" i="1"/>
  <c r="AB44" i="1"/>
  <c r="AC44" i="1"/>
  <c r="AD44" i="1"/>
  <c r="T44" i="1" s="1"/>
  <c r="AE44" i="1"/>
  <c r="R21" i="3" s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X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A46" i="1" s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T49" i="1"/>
  <c r="V49" i="1"/>
  <c r="X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X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P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P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X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S8" i="3" s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R23" i="3" s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S24" i="3" s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S18" i="3" s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S27" i="3" s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A86" i="1" s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R17" i="3" s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158" i="1"/>
  <c r="L158" i="1"/>
  <c r="M158" i="1"/>
  <c r="N158" i="1" s="1"/>
  <c r="V158" i="1"/>
  <c r="S37" i="3" s="1"/>
  <c r="Y158" i="1"/>
  <c r="Z158" i="1"/>
  <c r="AB158" i="1"/>
  <c r="AC158" i="1"/>
  <c r="AD158" i="1"/>
  <c r="AE158" i="1"/>
  <c r="AF158" i="1"/>
  <c r="AH92" i="1"/>
  <c r="AM92" i="1"/>
  <c r="AN92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93" i="1"/>
  <c r="AM93" i="1"/>
  <c r="AN93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4" i="1"/>
  <c r="AM94" i="1"/>
  <c r="AN94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5" i="1"/>
  <c r="AM95" i="1"/>
  <c r="AN95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6" i="1"/>
  <c r="AM96" i="1"/>
  <c r="AN96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7" i="1"/>
  <c r="AM97" i="1"/>
  <c r="AN97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98" i="1"/>
  <c r="AM98" i="1"/>
  <c r="AN98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99" i="1"/>
  <c r="AM99" i="1"/>
  <c r="AN9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0" i="1"/>
  <c r="AM100" i="1"/>
  <c r="AN100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1" i="1"/>
  <c r="AM101" i="1"/>
  <c r="AN10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102" i="1"/>
  <c r="AM102" i="1"/>
  <c r="AN102" i="1"/>
  <c r="K168" i="1"/>
  <c r="L168" i="1"/>
  <c r="M168" i="1"/>
  <c r="N168" i="1" s="1"/>
  <c r="T168" i="1"/>
  <c r="V168" i="1"/>
  <c r="Y168" i="1"/>
  <c r="Z168" i="1"/>
  <c r="AB168" i="1"/>
  <c r="AC168" i="1"/>
  <c r="AD168" i="1"/>
  <c r="AE168" i="1"/>
  <c r="AF168" i="1"/>
  <c r="AH103" i="1"/>
  <c r="AM103" i="1"/>
  <c r="AN103" i="1"/>
  <c r="K169" i="1"/>
  <c r="L169" i="1"/>
  <c r="M169" i="1"/>
  <c r="N169" i="1" s="1"/>
  <c r="T169" i="1"/>
  <c r="V169" i="1"/>
  <c r="Y169" i="1"/>
  <c r="Z169" i="1"/>
  <c r="AA169" i="1" s="1"/>
  <c r="AB169" i="1"/>
  <c r="AC169" i="1"/>
  <c r="AD169" i="1"/>
  <c r="AE169" i="1"/>
  <c r="AF169" i="1"/>
  <c r="AH104" i="1"/>
  <c r="AM104" i="1"/>
  <c r="AN104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5" i="1"/>
  <c r="AM105" i="1"/>
  <c r="AN105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6" i="1"/>
  <c r="AM106" i="1"/>
  <c r="AN106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7" i="1"/>
  <c r="AM107" i="1"/>
  <c r="AN107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8" i="1"/>
  <c r="AM108" i="1"/>
  <c r="AN108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09" i="1"/>
  <c r="AM109" i="1"/>
  <c r="AN109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10" i="1"/>
  <c r="AM110" i="1"/>
  <c r="AN110" i="1"/>
  <c r="K176" i="1"/>
  <c r="L176" i="1"/>
  <c r="M176" i="1"/>
  <c r="N176" i="1" s="1"/>
  <c r="V176" i="1"/>
  <c r="Y176" i="1"/>
  <c r="Z176" i="1"/>
  <c r="AA176" i="1" s="1"/>
  <c r="AB176" i="1"/>
  <c r="AC176" i="1"/>
  <c r="AD176" i="1"/>
  <c r="T176" i="1" s="1"/>
  <c r="AE176" i="1"/>
  <c r="AF176" i="1"/>
  <c r="AH111" i="1"/>
  <c r="AM111" i="1"/>
  <c r="AN111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2" i="1"/>
  <c r="AM112" i="1"/>
  <c r="AN11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113" i="1"/>
  <c r="AM113" i="1"/>
  <c r="AN113" i="1"/>
  <c r="K178" i="1"/>
  <c r="L178" i="1"/>
  <c r="M178" i="1"/>
  <c r="N178" i="1" s="1"/>
  <c r="V178" i="1"/>
  <c r="S38" i="3" s="1"/>
  <c r="Y178" i="1"/>
  <c r="Z178" i="1"/>
  <c r="AB178" i="1"/>
  <c r="AC178" i="1"/>
  <c r="AD178" i="1"/>
  <c r="T178" i="1" s="1"/>
  <c r="AE178" i="1"/>
  <c r="AF178" i="1"/>
  <c r="AH114" i="1"/>
  <c r="AM114" i="1"/>
  <c r="AN114" i="1"/>
  <c r="K179" i="1"/>
  <c r="L179" i="1"/>
  <c r="M179" i="1"/>
  <c r="N179" i="1" s="1"/>
  <c r="V179" i="1"/>
  <c r="Y179" i="1"/>
  <c r="Z179" i="1"/>
  <c r="AA179" i="1" s="1"/>
  <c r="AB179" i="1"/>
  <c r="AC179" i="1"/>
  <c r="AD179" i="1"/>
  <c r="T179" i="1" s="1"/>
  <c r="AE179" i="1"/>
  <c r="AF179" i="1"/>
  <c r="AH115" i="1"/>
  <c r="AM115" i="1"/>
  <c r="AN115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6" i="1"/>
  <c r="AM116" i="1"/>
  <c r="AN116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7" i="1"/>
  <c r="AM117" i="1"/>
  <c r="AN117" i="1"/>
  <c r="K182" i="1"/>
  <c r="L182" i="1"/>
  <c r="M182" i="1"/>
  <c r="N182" i="1" s="1"/>
  <c r="V182" i="1"/>
  <c r="S39" i="3" s="1"/>
  <c r="Y182" i="1"/>
  <c r="Z182" i="1"/>
  <c r="AB182" i="1"/>
  <c r="AC182" i="1"/>
  <c r="AD182" i="1"/>
  <c r="AE182" i="1"/>
  <c r="R39" i="3" s="1"/>
  <c r="AF182" i="1"/>
  <c r="AH118" i="1"/>
  <c r="AM118" i="1"/>
  <c r="AN118" i="1"/>
  <c r="K183" i="1"/>
  <c r="L183" i="1"/>
  <c r="M183" i="1"/>
  <c r="N183" i="1" s="1"/>
  <c r="V183" i="1"/>
  <c r="S36" i="3" s="1"/>
  <c r="Y183" i="1"/>
  <c r="Z183" i="1"/>
  <c r="AB183" i="1"/>
  <c r="AC183" i="1"/>
  <c r="AD183" i="1"/>
  <c r="T183" i="1" s="1"/>
  <c r="AE183" i="1"/>
  <c r="R36" i="3" s="1"/>
  <c r="AF183" i="1"/>
  <c r="AH119" i="1"/>
  <c r="AM119" i="1"/>
  <c r="AN119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20" i="1"/>
  <c r="AM120" i="1"/>
  <c r="AN120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R41" i="3" s="1"/>
  <c r="AF185" i="1"/>
  <c r="AH121" i="1"/>
  <c r="AM121" i="1"/>
  <c r="AN121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2" i="1"/>
  <c r="AM122" i="1"/>
  <c r="AN122" i="1"/>
  <c r="K187" i="1"/>
  <c r="L187" i="1"/>
  <c r="M187" i="1"/>
  <c r="N187" i="1" s="1"/>
  <c r="V187" i="1"/>
  <c r="Y187" i="1"/>
  <c r="Z187" i="1"/>
  <c r="AB187" i="1"/>
  <c r="AC187" i="1"/>
  <c r="AD187" i="1"/>
  <c r="X187" i="1" s="1"/>
  <c r="AE187" i="1"/>
  <c r="AF187" i="1"/>
  <c r="AH123" i="1"/>
  <c r="AM123" i="1"/>
  <c r="AN12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124" i="1"/>
  <c r="AM124" i="1"/>
  <c r="AN124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5" i="1"/>
  <c r="AM125" i="1"/>
  <c r="AN125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6" i="1"/>
  <c r="AM126" i="1"/>
  <c r="AN126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7" i="1"/>
  <c r="AM127" i="1"/>
  <c r="AN127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28" i="1"/>
  <c r="AM128" i="1"/>
  <c r="AN128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29" i="1"/>
  <c r="AM129" i="1"/>
  <c r="AN129" i="1"/>
  <c r="K96" i="1"/>
  <c r="L96" i="1"/>
  <c r="M96" i="1"/>
  <c r="N96" i="1" s="1"/>
  <c r="V96" i="1"/>
  <c r="S7" i="3" s="1"/>
  <c r="Y96" i="1"/>
  <c r="Z96" i="1"/>
  <c r="AB96" i="1"/>
  <c r="AC96" i="1"/>
  <c r="AD96" i="1"/>
  <c r="T96" i="1" s="1"/>
  <c r="AE96" i="1"/>
  <c r="R7" i="3" s="1"/>
  <c r="AF96" i="1"/>
  <c r="AH130" i="1"/>
  <c r="AM130" i="1"/>
  <c r="AN130" i="1"/>
  <c r="K97" i="1"/>
  <c r="L97" i="1"/>
  <c r="M97" i="1"/>
  <c r="N97" i="1" s="1"/>
  <c r="V97" i="1"/>
  <c r="S13" i="3" s="1"/>
  <c r="Y97" i="1"/>
  <c r="Z97" i="1"/>
  <c r="AB97" i="1"/>
  <c r="AC97" i="1"/>
  <c r="AD97" i="1"/>
  <c r="X97" i="1" s="1"/>
  <c r="AE97" i="1"/>
  <c r="R13" i="3" s="1"/>
  <c r="AF97" i="1"/>
  <c r="AH131" i="1"/>
  <c r="AM131" i="1"/>
  <c r="AN131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2" i="1"/>
  <c r="AM132" i="1"/>
  <c r="AN132" i="1"/>
  <c r="K99" i="1"/>
  <c r="L99" i="1"/>
  <c r="M99" i="1"/>
  <c r="N99" i="1" s="1"/>
  <c r="V99" i="1"/>
  <c r="Y99" i="1"/>
  <c r="Z99" i="1"/>
  <c r="AA99" i="1" s="1"/>
  <c r="AB99" i="1"/>
  <c r="AC99" i="1"/>
  <c r="AD99" i="1"/>
  <c r="T99" i="1" s="1"/>
  <c r="AE99" i="1"/>
  <c r="AF99" i="1"/>
  <c r="AH133" i="1"/>
  <c r="AM133" i="1"/>
  <c r="AN133" i="1"/>
  <c r="K100" i="1"/>
  <c r="L100" i="1"/>
  <c r="M100" i="1"/>
  <c r="N100" i="1" s="1"/>
  <c r="V100" i="1"/>
  <c r="Y100" i="1"/>
  <c r="Z100" i="1"/>
  <c r="AA100" i="1" s="1"/>
  <c r="AB100" i="1"/>
  <c r="AC100" i="1"/>
  <c r="AD100" i="1"/>
  <c r="T100" i="1" s="1"/>
  <c r="AE100" i="1"/>
  <c r="AF100" i="1"/>
  <c r="AH134" i="1"/>
  <c r="AM134" i="1"/>
  <c r="AN134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5" i="1"/>
  <c r="AM135" i="1"/>
  <c r="AN13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136" i="1"/>
  <c r="AM136" i="1"/>
  <c r="AN13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37" i="1"/>
  <c r="AM137" i="1"/>
  <c r="AN13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38" i="1"/>
  <c r="AM138" i="1"/>
  <c r="AN138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R28" i="3" s="1"/>
  <c r="AF102" i="1"/>
  <c r="AH139" i="1"/>
  <c r="AM139" i="1"/>
  <c r="AN139" i="1"/>
  <c r="K103" i="1"/>
  <c r="L103" i="1"/>
  <c r="M103" i="1"/>
  <c r="N103" i="1" s="1"/>
  <c r="V103" i="1"/>
  <c r="S15" i="3" s="1"/>
  <c r="Y103" i="1"/>
  <c r="Z103" i="1"/>
  <c r="AB103" i="1"/>
  <c r="AC103" i="1"/>
  <c r="AD103" i="1"/>
  <c r="T103" i="1" s="1"/>
  <c r="AE103" i="1"/>
  <c r="R15" i="3" s="1"/>
  <c r="AF103" i="1"/>
  <c r="AH140" i="1"/>
  <c r="AM140" i="1"/>
  <c r="AN140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41" i="1"/>
  <c r="AM141" i="1"/>
  <c r="AN141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2" i="1"/>
  <c r="AM142" i="1"/>
  <c r="AN142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3" i="1"/>
  <c r="AM143" i="1"/>
  <c r="AN143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4" i="1"/>
  <c r="AM144" i="1"/>
  <c r="AN144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R29" i="3" s="1"/>
  <c r="AF108" i="1"/>
  <c r="AH145" i="1"/>
  <c r="AM145" i="1"/>
  <c r="AN145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6" i="1"/>
  <c r="AM146" i="1"/>
  <c r="AN146" i="1"/>
  <c r="K110" i="1"/>
  <c r="L110" i="1"/>
  <c r="M110" i="1"/>
  <c r="N110" i="1" s="1"/>
  <c r="V110" i="1"/>
  <c r="Y110" i="1"/>
  <c r="Z110" i="1"/>
  <c r="AB110" i="1"/>
  <c r="AC110" i="1"/>
  <c r="AD110" i="1"/>
  <c r="X110" i="1" s="1"/>
  <c r="AE110" i="1"/>
  <c r="AF110" i="1"/>
  <c r="AH147" i="1"/>
  <c r="AM147" i="1"/>
  <c r="AN147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8" i="1"/>
  <c r="AM148" i="1"/>
  <c r="AN148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49" i="1"/>
  <c r="AM149" i="1"/>
  <c r="AN149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50" i="1"/>
  <c r="AM150" i="1"/>
  <c r="AN150" i="1"/>
  <c r="K114" i="1"/>
  <c r="L114" i="1"/>
  <c r="M114" i="1"/>
  <c r="N114" i="1" s="1"/>
  <c r="T114" i="1"/>
  <c r="V114" i="1"/>
  <c r="X114" i="1"/>
  <c r="Y114" i="1"/>
  <c r="Z114" i="1"/>
  <c r="AB114" i="1"/>
  <c r="AC114" i="1"/>
  <c r="AD114" i="1"/>
  <c r="AE114" i="1"/>
  <c r="AF114" i="1"/>
  <c r="AH151" i="1"/>
  <c r="AM151" i="1"/>
  <c r="AN151" i="1"/>
  <c r="K115" i="1"/>
  <c r="L115" i="1"/>
  <c r="M115" i="1"/>
  <c r="N115" i="1"/>
  <c r="V115" i="1"/>
  <c r="Y115" i="1"/>
  <c r="AA115" i="1" s="1"/>
  <c r="Z115" i="1"/>
  <c r="AB115" i="1"/>
  <c r="AC115" i="1"/>
  <c r="AD115" i="1"/>
  <c r="AE115" i="1"/>
  <c r="AF115" i="1"/>
  <c r="AH152" i="1"/>
  <c r="AM152" i="1"/>
  <c r="AN152" i="1"/>
  <c r="K116" i="1"/>
  <c r="L116" i="1"/>
  <c r="M116" i="1"/>
  <c r="N116" i="1" s="1"/>
  <c r="V116" i="1"/>
  <c r="Y116" i="1"/>
  <c r="Z116" i="1"/>
  <c r="AB116" i="1"/>
  <c r="AC116" i="1"/>
  <c r="AD116" i="1"/>
  <c r="AE116" i="1"/>
  <c r="R30" i="3" s="1"/>
  <c r="AF116" i="1"/>
  <c r="AH153" i="1"/>
  <c r="AM153" i="1"/>
  <c r="AN153" i="1"/>
  <c r="K117" i="1"/>
  <c r="L117" i="1"/>
  <c r="M117" i="1"/>
  <c r="N117" i="1" s="1"/>
  <c r="V117" i="1"/>
  <c r="Y117" i="1"/>
  <c r="AA117" i="1" s="1"/>
  <c r="Z117" i="1"/>
  <c r="AB117" i="1"/>
  <c r="AC117" i="1"/>
  <c r="AD117" i="1"/>
  <c r="T117" i="1" s="1"/>
  <c r="AE117" i="1"/>
  <c r="AF117" i="1"/>
  <c r="AH154" i="1"/>
  <c r="AM154" i="1"/>
  <c r="AN154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5" i="1"/>
  <c r="AM155" i="1"/>
  <c r="AN155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6" i="1"/>
  <c r="AM156" i="1"/>
  <c r="AN156" i="1"/>
  <c r="K120" i="1"/>
  <c r="L120" i="1"/>
  <c r="M120" i="1"/>
  <c r="P120" i="1" s="1"/>
  <c r="V120" i="1"/>
  <c r="Y120" i="1"/>
  <c r="Z120" i="1"/>
  <c r="AB120" i="1"/>
  <c r="AC120" i="1"/>
  <c r="AD120" i="1"/>
  <c r="T120" i="1" s="1"/>
  <c r="AE120" i="1"/>
  <c r="R31" i="3" s="1"/>
  <c r="AF120" i="1"/>
  <c r="AH157" i="1"/>
  <c r="AM157" i="1"/>
  <c r="AN157" i="1"/>
  <c r="K121" i="1"/>
  <c r="L121" i="1"/>
  <c r="M121" i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58" i="1"/>
  <c r="AM158" i="1"/>
  <c r="AN158" i="1"/>
  <c r="K123" i="1"/>
  <c r="L123" i="1"/>
  <c r="M123" i="1"/>
  <c r="N123" i="1" s="1"/>
  <c r="V123" i="1"/>
  <c r="Y123" i="1"/>
  <c r="AA123" i="1" s="1"/>
  <c r="Z123" i="1"/>
  <c r="AB123" i="1"/>
  <c r="AC123" i="1"/>
  <c r="AD123" i="1"/>
  <c r="AE123" i="1"/>
  <c r="R32" i="3" s="1"/>
  <c r="AF123" i="1"/>
  <c r="AH159" i="1"/>
  <c r="AM159" i="1"/>
  <c r="AN159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60" i="1"/>
  <c r="AM160" i="1"/>
  <c r="AN160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1" i="1"/>
  <c r="AM161" i="1"/>
  <c r="AN161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62" i="1"/>
  <c r="AM162" i="1"/>
  <c r="AN162" i="1"/>
  <c r="K127" i="1"/>
  <c r="L127" i="1"/>
  <c r="M127" i="1"/>
  <c r="N127" i="1" s="1"/>
  <c r="V127" i="1"/>
  <c r="Y127" i="1"/>
  <c r="AA127" i="1" s="1"/>
  <c r="Z127" i="1"/>
  <c r="AB127" i="1"/>
  <c r="AC127" i="1"/>
  <c r="AD127" i="1"/>
  <c r="AE127" i="1"/>
  <c r="AF127" i="1"/>
  <c r="AH163" i="1"/>
  <c r="AM163" i="1"/>
  <c r="AN163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4" i="1"/>
  <c r="AM164" i="1"/>
  <c r="AN164" i="1"/>
  <c r="K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5" i="1"/>
  <c r="AM165" i="1"/>
  <c r="AN165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66" i="1"/>
  <c r="AM166" i="1"/>
  <c r="AN166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7" i="1"/>
  <c r="AM167" i="1"/>
  <c r="AN167" i="1"/>
  <c r="K132" i="1"/>
  <c r="L132" i="1"/>
  <c r="M132" i="1"/>
  <c r="N132" i="1" s="1"/>
  <c r="V132" i="1"/>
  <c r="S12" i="3" s="1"/>
  <c r="Y132" i="1"/>
  <c r="Z132" i="1"/>
  <c r="AB132" i="1"/>
  <c r="AC132" i="1"/>
  <c r="AD132" i="1"/>
  <c r="T132" i="1" s="1"/>
  <c r="AE132" i="1"/>
  <c r="R12" i="3" s="1"/>
  <c r="AF132" i="1"/>
  <c r="AH168" i="1"/>
  <c r="AM168" i="1"/>
  <c r="AN168" i="1"/>
  <c r="K133" i="1"/>
  <c r="L133" i="1"/>
  <c r="M133" i="1"/>
  <c r="N133" i="1" s="1"/>
  <c r="V133" i="1"/>
  <c r="S33" i="3" s="1"/>
  <c r="Y133" i="1"/>
  <c r="Z133" i="1"/>
  <c r="AB133" i="1"/>
  <c r="AC133" i="1"/>
  <c r="AD133" i="1"/>
  <c r="T133" i="1" s="1"/>
  <c r="AE133" i="1"/>
  <c r="AF133" i="1"/>
  <c r="AH169" i="1"/>
  <c r="AM169" i="1"/>
  <c r="AN169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70" i="1"/>
  <c r="AM170" i="1"/>
  <c r="AN170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1" i="1"/>
  <c r="AM171" i="1"/>
  <c r="AN171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2" i="1"/>
  <c r="AM172" i="1"/>
  <c r="AN172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3" i="1"/>
  <c r="AM173" i="1"/>
  <c r="AN173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4" i="1"/>
  <c r="AM174" i="1"/>
  <c r="AN174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75" i="1"/>
  <c r="AM175" i="1"/>
  <c r="AN175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6" i="1"/>
  <c r="AM176" i="1"/>
  <c r="AN176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7" i="1"/>
  <c r="AM177" i="1"/>
  <c r="AN177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78" i="1"/>
  <c r="AM178" i="1"/>
  <c r="AN178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79" i="1"/>
  <c r="AM179" i="1"/>
  <c r="AN179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80" i="1"/>
  <c r="AM180" i="1"/>
  <c r="AN180" i="1"/>
  <c r="K145" i="1"/>
  <c r="L145" i="1"/>
  <c r="M145" i="1"/>
  <c r="N145" i="1" s="1"/>
  <c r="V145" i="1"/>
  <c r="S34" i="3" s="1"/>
  <c r="Y145" i="1"/>
  <c r="Z145" i="1"/>
  <c r="AB145" i="1"/>
  <c r="AC145" i="1"/>
  <c r="AD145" i="1"/>
  <c r="T145" i="1" s="1"/>
  <c r="AE145" i="1"/>
  <c r="AF145" i="1"/>
  <c r="AH181" i="1"/>
  <c r="AM181" i="1"/>
  <c r="AN181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82" i="1"/>
  <c r="AM182" i="1"/>
  <c r="AN182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3" i="1"/>
  <c r="AM183" i="1"/>
  <c r="AN183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4" i="1"/>
  <c r="AM184" i="1"/>
  <c r="AN184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R35" i="3" s="1"/>
  <c r="AF149" i="1"/>
  <c r="AH185" i="1"/>
  <c r="AM185" i="1"/>
  <c r="AN185" i="1"/>
  <c r="K150" i="1"/>
  <c r="L150" i="1"/>
  <c r="M150" i="1"/>
  <c r="N150" i="1" s="1"/>
  <c r="V150" i="1"/>
  <c r="S25" i="3" s="1"/>
  <c r="Y150" i="1"/>
  <c r="Z150" i="1"/>
  <c r="AB150" i="1"/>
  <c r="AC150" i="1"/>
  <c r="AD150" i="1"/>
  <c r="AE150" i="1"/>
  <c r="R9" i="3" s="1"/>
  <c r="AF150" i="1"/>
  <c r="AH186" i="1"/>
  <c r="AM186" i="1"/>
  <c r="AN186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7" i="1"/>
  <c r="AM187" i="1"/>
  <c r="AN187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8" i="1"/>
  <c r="AM188" i="1"/>
  <c r="AN188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9" i="1"/>
  <c r="AM189" i="1"/>
  <c r="AN189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90" i="1"/>
  <c r="AM190" i="1"/>
  <c r="AN190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1" i="1"/>
  <c r="AM191" i="1"/>
  <c r="AN191" i="1"/>
  <c r="K156" i="1"/>
  <c r="L156" i="1"/>
  <c r="M156" i="1"/>
  <c r="V156" i="1"/>
  <c r="S26" i="3" s="1"/>
  <c r="Y156" i="1"/>
  <c r="Z156" i="1"/>
  <c r="AB156" i="1"/>
  <c r="AC156" i="1"/>
  <c r="AD156" i="1"/>
  <c r="T156" i="1" s="1"/>
  <c r="AE156" i="1"/>
  <c r="AF156" i="1"/>
  <c r="AH192" i="1"/>
  <c r="AM192" i="1"/>
  <c r="AN192" i="1"/>
  <c r="K157" i="1"/>
  <c r="L157" i="1"/>
  <c r="M157" i="1"/>
  <c r="V157" i="1"/>
  <c r="Y157" i="1"/>
  <c r="Z157" i="1"/>
  <c r="AB157" i="1"/>
  <c r="AC157" i="1"/>
  <c r="AD157" i="1"/>
  <c r="T157" i="1" s="1"/>
  <c r="AE157" i="1"/>
  <c r="AF157" i="1"/>
  <c r="AH193" i="1"/>
  <c r="AM193" i="1"/>
  <c r="AN193" i="1"/>
  <c r="AH194" i="1"/>
  <c r="AM194" i="1"/>
  <c r="AN194" i="1"/>
  <c r="K192" i="1"/>
  <c r="L192" i="1"/>
  <c r="M192" i="1"/>
  <c r="N192" i="1" s="1"/>
  <c r="V192" i="1"/>
  <c r="Y192" i="1"/>
  <c r="Z192" i="1"/>
  <c r="AB192" i="1"/>
  <c r="AC192" i="1"/>
  <c r="AD192" i="1"/>
  <c r="X192" i="1" s="1"/>
  <c r="AE192" i="1"/>
  <c r="AF192" i="1"/>
  <c r="AH195" i="1"/>
  <c r="AM195" i="1"/>
  <c r="AN195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96" i="1"/>
  <c r="AM196" i="1"/>
  <c r="AN196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7" i="1"/>
  <c r="AM197" i="1"/>
  <c r="AN197" i="1"/>
  <c r="K195" i="1"/>
  <c r="L195" i="1"/>
  <c r="M195" i="1"/>
  <c r="N195" i="1" s="1"/>
  <c r="V195" i="1"/>
  <c r="Y195" i="1"/>
  <c r="Z195" i="1"/>
  <c r="AA195" i="1" s="1"/>
  <c r="AB195" i="1"/>
  <c r="AC195" i="1"/>
  <c r="AD195" i="1"/>
  <c r="T195" i="1" s="1"/>
  <c r="AE195" i="1"/>
  <c r="AF195" i="1"/>
  <c r="AH198" i="1"/>
  <c r="AM198" i="1"/>
  <c r="AN198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9" i="1"/>
  <c r="AM199" i="1"/>
  <c r="AN199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00" i="1"/>
  <c r="AM200" i="1"/>
  <c r="AN200" i="1"/>
  <c r="K198" i="1"/>
  <c r="L198" i="1"/>
  <c r="M198" i="1"/>
  <c r="V198" i="1"/>
  <c r="Y198" i="1"/>
  <c r="Z198" i="1"/>
  <c r="AA198" i="1" s="1"/>
  <c r="AB198" i="1"/>
  <c r="AC198" i="1"/>
  <c r="AD198" i="1"/>
  <c r="T198" i="1" s="1"/>
  <c r="AE198" i="1"/>
  <c r="AF198" i="1"/>
  <c r="AH201" i="1"/>
  <c r="AM201" i="1"/>
  <c r="AN201" i="1"/>
  <c r="K199" i="1"/>
  <c r="L199" i="1"/>
  <c r="M199" i="1"/>
  <c r="N199" i="1" s="1"/>
  <c r="V199" i="1"/>
  <c r="Y199" i="1"/>
  <c r="Z199" i="1"/>
  <c r="AA199" i="1" s="1"/>
  <c r="AB199" i="1"/>
  <c r="AC199" i="1"/>
  <c r="AD199" i="1"/>
  <c r="T199" i="1" s="1"/>
  <c r="AE199" i="1"/>
  <c r="AF199" i="1"/>
  <c r="AH202" i="1"/>
  <c r="AM202" i="1"/>
  <c r="AN202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3" i="1"/>
  <c r="AM203" i="1"/>
  <c r="AN203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4" i="1"/>
  <c r="AM204" i="1"/>
  <c r="AN204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5" i="1"/>
  <c r="AM205" i="1"/>
  <c r="AN205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6" i="1"/>
  <c r="AM206" i="1"/>
  <c r="AN206" i="1"/>
  <c r="K207" i="1"/>
  <c r="L207" i="1"/>
  <c r="M207" i="1"/>
  <c r="N207" i="1" s="1"/>
  <c r="T207" i="1"/>
  <c r="V207" i="1"/>
  <c r="X207" i="1"/>
  <c r="Y207" i="1"/>
  <c r="Z207" i="1"/>
  <c r="AB207" i="1"/>
  <c r="AC207" i="1"/>
  <c r="AD207" i="1"/>
  <c r="AE207" i="1"/>
  <c r="AF207" i="1"/>
  <c r="AH207" i="1"/>
  <c r="AM207" i="1"/>
  <c r="AN207" i="1"/>
  <c r="K208" i="1"/>
  <c r="L208" i="1"/>
  <c r="M208" i="1"/>
  <c r="N208" i="1"/>
  <c r="V208" i="1"/>
  <c r="Y208" i="1"/>
  <c r="Z208" i="1"/>
  <c r="AB208" i="1"/>
  <c r="AC208" i="1"/>
  <c r="AD208" i="1"/>
  <c r="T208" i="1" s="1"/>
  <c r="AE208" i="1"/>
  <c r="AF208" i="1"/>
  <c r="AH208" i="1"/>
  <c r="AM208" i="1"/>
  <c r="AN208" i="1"/>
  <c r="K209" i="1"/>
  <c r="L209" i="1"/>
  <c r="M209" i="1"/>
  <c r="N209" i="1" s="1"/>
  <c r="V209" i="1"/>
  <c r="Y209" i="1"/>
  <c r="AA209" i="1" s="1"/>
  <c r="Z209" i="1"/>
  <c r="AB209" i="1"/>
  <c r="AC209" i="1"/>
  <c r="AD209" i="1"/>
  <c r="T209" i="1" s="1"/>
  <c r="AE209" i="1"/>
  <c r="AF209" i="1"/>
  <c r="AH209" i="1"/>
  <c r="AM209" i="1"/>
  <c r="AN209" i="1"/>
  <c r="K210" i="1"/>
  <c r="L210" i="1"/>
  <c r="M210" i="1"/>
  <c r="N210" i="1" s="1"/>
  <c r="V210" i="1"/>
  <c r="Y210" i="1"/>
  <c r="AA210" i="1" s="1"/>
  <c r="Z210" i="1"/>
  <c r="AB210" i="1"/>
  <c r="AC210" i="1"/>
  <c r="AD210" i="1"/>
  <c r="T210" i="1" s="1"/>
  <c r="AE210" i="1"/>
  <c r="AF210" i="1"/>
  <c r="AH210" i="1"/>
  <c r="AM210" i="1"/>
  <c r="AN210" i="1"/>
  <c r="K211" i="1"/>
  <c r="L211" i="1"/>
  <c r="M211" i="1"/>
  <c r="N211" i="1" s="1"/>
  <c r="T211" i="1"/>
  <c r="V211" i="1"/>
  <c r="X211" i="1"/>
  <c r="Y211" i="1"/>
  <c r="Z211" i="1"/>
  <c r="AB211" i="1"/>
  <c r="AC211" i="1"/>
  <c r="AD211" i="1"/>
  <c r="AE211" i="1"/>
  <c r="AF211" i="1"/>
  <c r="AH211" i="1"/>
  <c r="AM211" i="1"/>
  <c r="AN211" i="1"/>
  <c r="K212" i="1"/>
  <c r="L212" i="1"/>
  <c r="M212" i="1"/>
  <c r="N212" i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AA213" i="1" s="1"/>
  <c r="Z213" i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 s="1"/>
  <c r="V214" i="1"/>
  <c r="S45" i="3" s="1"/>
  <c r="Y214" i="1"/>
  <c r="AA214" i="1" s="1"/>
  <c r="Z214" i="1"/>
  <c r="AB214" i="1"/>
  <c r="AC214" i="1"/>
  <c r="AD214" i="1"/>
  <c r="T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AM216" i="1"/>
  <c r="AN216" i="1"/>
  <c r="K217" i="1"/>
  <c r="L217" i="1"/>
  <c r="M217" i="1"/>
  <c r="N217" i="1" s="1"/>
  <c r="V217" i="1"/>
  <c r="S44" i="3" s="1"/>
  <c r="Y217" i="1"/>
  <c r="Z217" i="1"/>
  <c r="AB217" i="1"/>
  <c r="AC217" i="1"/>
  <c r="AD217" i="1"/>
  <c r="T217" i="1" s="1"/>
  <c r="AE217" i="1"/>
  <c r="R44" i="3" s="1"/>
  <c r="AF217" i="1"/>
  <c r="AH217" i="1"/>
  <c r="AM217" i="1"/>
  <c r="AN217" i="1"/>
  <c r="K218" i="1"/>
  <c r="L218" i="1"/>
  <c r="M218" i="1"/>
  <c r="N218" i="1" s="1"/>
  <c r="V218" i="1"/>
  <c r="S46" i="3" s="1"/>
  <c r="Y218" i="1"/>
  <c r="Z218" i="1"/>
  <c r="AB218" i="1"/>
  <c r="AC218" i="1"/>
  <c r="AD218" i="1"/>
  <c r="T218" i="1" s="1"/>
  <c r="AE218" i="1"/>
  <c r="R46" i="3" s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19" i="1"/>
  <c r="AM219" i="1"/>
  <c r="AN219" i="1"/>
  <c r="M19" i="3"/>
  <c r="S19" i="3"/>
  <c r="U19" i="3"/>
  <c r="T19" i="3" s="1"/>
  <c r="V19" i="3"/>
  <c r="X19" i="3"/>
  <c r="AC19" i="3"/>
  <c r="M37" i="3"/>
  <c r="R37" i="3"/>
  <c r="U37" i="3"/>
  <c r="AC37" i="3" s="1"/>
  <c r="V37" i="3"/>
  <c r="X37" i="3"/>
  <c r="M20" i="3"/>
  <c r="R20" i="3"/>
  <c r="U20" i="3"/>
  <c r="AC20" i="3" s="1"/>
  <c r="V20" i="3"/>
  <c r="X20" i="3"/>
  <c r="M21" i="3"/>
  <c r="T21" i="3"/>
  <c r="U21" i="3"/>
  <c r="AC21" i="3" s="1"/>
  <c r="V21" i="3"/>
  <c r="X21" i="3"/>
  <c r="M10" i="3"/>
  <c r="R10" i="3"/>
  <c r="S10" i="3"/>
  <c r="U10" i="3"/>
  <c r="T10" i="3" s="1"/>
  <c r="V10" i="3"/>
  <c r="X10" i="3"/>
  <c r="M16" i="3"/>
  <c r="R16" i="3"/>
  <c r="S16" i="3"/>
  <c r="U16" i="3"/>
  <c r="AC16" i="3" s="1"/>
  <c r="V16" i="3"/>
  <c r="X16" i="3"/>
  <c r="M44" i="3"/>
  <c r="U44" i="3"/>
  <c r="AC44" i="3" s="1"/>
  <c r="V44" i="3"/>
  <c r="X44" i="3"/>
  <c r="M11" i="3"/>
  <c r="R11" i="3"/>
  <c r="S11" i="3"/>
  <c r="U11" i="3"/>
  <c r="AC11" i="3" s="1"/>
  <c r="V11" i="3"/>
  <c r="X11" i="3"/>
  <c r="M22" i="3"/>
  <c r="R22" i="3"/>
  <c r="S22" i="3"/>
  <c r="U22" i="3"/>
  <c r="T22" i="3" s="1"/>
  <c r="V22" i="3"/>
  <c r="X22" i="3"/>
  <c r="AD16" i="3"/>
  <c r="M8" i="3"/>
  <c r="R8" i="3"/>
  <c r="U8" i="3"/>
  <c r="AC8" i="3" s="1"/>
  <c r="V8" i="3"/>
  <c r="X8" i="3"/>
  <c r="M23" i="3"/>
  <c r="S23" i="3"/>
  <c r="U23" i="3"/>
  <c r="AC23" i="3" s="1"/>
  <c r="V23" i="3"/>
  <c r="X23" i="3"/>
  <c r="M27" i="3"/>
  <c r="R27" i="3"/>
  <c r="T27" i="3"/>
  <c r="U27" i="3"/>
  <c r="AC27" i="3" s="1"/>
  <c r="V27" i="3"/>
  <c r="X27" i="3"/>
  <c r="AD19" i="3"/>
  <c r="M18" i="3"/>
  <c r="R18" i="3"/>
  <c r="U18" i="3"/>
  <c r="T18" i="3" s="1"/>
  <c r="V18" i="3"/>
  <c r="X18" i="3"/>
  <c r="AC18" i="3"/>
  <c r="M24" i="3"/>
  <c r="R24" i="3"/>
  <c r="U24" i="3"/>
  <c r="AD21" i="3" s="1"/>
  <c r="V24" i="3"/>
  <c r="X24" i="3"/>
  <c r="M17" i="3"/>
  <c r="S17" i="3"/>
  <c r="U17" i="3"/>
  <c r="AC17" i="3" s="1"/>
  <c r="V17" i="3"/>
  <c r="X17" i="3"/>
  <c r="M7" i="3"/>
  <c r="U7" i="3"/>
  <c r="AC7" i="3" s="1"/>
  <c r="V7" i="3"/>
  <c r="X7" i="3"/>
  <c r="M45" i="3"/>
  <c r="R45" i="3"/>
  <c r="U45" i="3"/>
  <c r="T45" i="3" s="1"/>
  <c r="V45" i="3"/>
  <c r="X45" i="3"/>
  <c r="M28" i="3"/>
  <c r="S28" i="3"/>
  <c r="U28" i="3"/>
  <c r="AD28" i="3" s="1"/>
  <c r="V28" i="3"/>
  <c r="X28" i="3"/>
  <c r="M13" i="3"/>
  <c r="U13" i="3"/>
  <c r="AC13" i="3" s="1"/>
  <c r="V13" i="3"/>
  <c r="X13" i="3"/>
  <c r="M38" i="3"/>
  <c r="R38" i="3"/>
  <c r="U38" i="3"/>
  <c r="AC38" i="3" s="1"/>
  <c r="V38" i="3"/>
  <c r="X38" i="3"/>
  <c r="AD27" i="3"/>
  <c r="M15" i="3"/>
  <c r="U15" i="3"/>
  <c r="T15" i="3" s="1"/>
  <c r="V15" i="3"/>
  <c r="X15" i="3"/>
  <c r="M29" i="3"/>
  <c r="S29" i="3"/>
  <c r="U29" i="3"/>
  <c r="AD29" i="3" s="1"/>
  <c r="V29" i="3"/>
  <c r="X29" i="3"/>
  <c r="M30" i="3"/>
  <c r="S30" i="3"/>
  <c r="U30" i="3"/>
  <c r="AC30" i="3" s="1"/>
  <c r="V30" i="3"/>
  <c r="X30" i="3"/>
  <c r="M14" i="3"/>
  <c r="R14" i="3"/>
  <c r="S14" i="3"/>
  <c r="U14" i="3"/>
  <c r="AC14" i="3" s="1"/>
  <c r="V14" i="3"/>
  <c r="X14" i="3"/>
  <c r="M31" i="3"/>
  <c r="S31" i="3"/>
  <c r="U31" i="3"/>
  <c r="T31" i="3" s="1"/>
  <c r="V31" i="3"/>
  <c r="X31" i="3"/>
  <c r="M39" i="3"/>
  <c r="U39" i="3"/>
  <c r="AD33" i="3" s="1"/>
  <c r="V39" i="3"/>
  <c r="X39" i="3"/>
  <c r="M32" i="3"/>
  <c r="S32" i="3"/>
  <c r="U32" i="3"/>
  <c r="AC32" i="3" s="1"/>
  <c r="V32" i="3"/>
  <c r="X32" i="3"/>
  <c r="M36" i="3"/>
  <c r="U36" i="3"/>
  <c r="AD36" i="3" s="1"/>
  <c r="V36" i="3"/>
  <c r="X36" i="3"/>
  <c r="M40" i="3"/>
  <c r="R40" i="3"/>
  <c r="U40" i="3"/>
  <c r="T40" i="3" s="1"/>
  <c r="V40" i="3"/>
  <c r="X40" i="3"/>
  <c r="AC40" i="3"/>
  <c r="M41" i="3"/>
  <c r="S41" i="3"/>
  <c r="U41" i="3"/>
  <c r="V41" i="3"/>
  <c r="X41" i="3"/>
  <c r="M33" i="3"/>
  <c r="R33" i="3"/>
  <c r="U33" i="3"/>
  <c r="AC33" i="3" s="1"/>
  <c r="V33" i="3"/>
  <c r="X33" i="3"/>
  <c r="M12" i="3"/>
  <c r="U12" i="3"/>
  <c r="AE39" i="3" s="1"/>
  <c r="V12" i="3"/>
  <c r="X12" i="3"/>
  <c r="M46" i="3"/>
  <c r="U46" i="3"/>
  <c r="T46" i="3" s="1"/>
  <c r="V46" i="3"/>
  <c r="X46" i="3"/>
  <c r="AD40" i="3"/>
  <c r="M42" i="3"/>
  <c r="R42" i="3"/>
  <c r="S42" i="3"/>
  <c r="U42" i="3"/>
  <c r="V42" i="3"/>
  <c r="X42" i="3"/>
  <c r="AC42" i="3"/>
  <c r="M34" i="3"/>
  <c r="R34" i="3"/>
  <c r="U34" i="3"/>
  <c r="AC34" i="3" s="1"/>
  <c r="V34" i="3"/>
  <c r="X34" i="3"/>
  <c r="M35" i="3"/>
  <c r="S35" i="3"/>
  <c r="U35" i="3"/>
  <c r="AD35" i="3" s="1"/>
  <c r="V35" i="3"/>
  <c r="X35" i="3"/>
  <c r="M9" i="3"/>
  <c r="U9" i="3"/>
  <c r="T9" i="3" s="1"/>
  <c r="V9" i="3"/>
  <c r="X9" i="3"/>
  <c r="AD44" i="3"/>
  <c r="M25" i="3"/>
  <c r="U25" i="3"/>
  <c r="AD45" i="3" s="1"/>
  <c r="V25" i="3"/>
  <c r="X25" i="3"/>
  <c r="M26" i="3"/>
  <c r="R26" i="3"/>
  <c r="U26" i="3"/>
  <c r="AC26" i="3" s="1"/>
  <c r="V26" i="3"/>
  <c r="X26" i="3"/>
  <c r="AG16" i="1"/>
  <c r="AG32" i="1"/>
  <c r="AG48" i="1"/>
  <c r="AG27" i="1"/>
  <c r="AG43" i="1"/>
  <c r="AG18" i="1"/>
  <c r="AG34" i="1"/>
  <c r="AG50" i="1"/>
  <c r="AG29" i="1"/>
  <c r="AG45" i="1"/>
  <c r="AG62" i="1"/>
  <c r="AG78" i="1"/>
  <c r="AG61" i="1"/>
  <c r="AG60" i="1"/>
  <c r="AG76" i="1"/>
  <c r="AG55" i="1"/>
  <c r="AG87" i="1"/>
  <c r="AG86" i="1"/>
  <c r="AG182" i="1"/>
  <c r="AG93" i="1"/>
  <c r="AG98" i="1"/>
  <c r="AG101" i="1"/>
  <c r="AG109" i="1"/>
  <c r="AG108" i="1"/>
  <c r="AG129" i="1"/>
  <c r="AG145" i="1"/>
  <c r="AG213" i="1"/>
  <c r="AG140" i="1"/>
  <c r="AG208" i="1"/>
  <c r="AG139" i="1"/>
  <c r="AG122" i="1"/>
  <c r="AG154" i="1"/>
  <c r="AG90" i="1"/>
  <c r="AG184" i="1"/>
  <c r="AG183" i="1"/>
  <c r="AG99" i="1"/>
  <c r="AG133" i="1"/>
  <c r="AG198" i="1"/>
  <c r="AG144" i="1"/>
  <c r="AG127" i="1"/>
  <c r="AG192" i="1"/>
  <c r="AG126" i="1"/>
  <c r="AG210" i="1"/>
  <c r="AG54" i="1"/>
  <c r="AG84" i="1"/>
  <c r="AG176" i="1"/>
  <c r="AG170" i="1"/>
  <c r="AG94" i="1"/>
  <c r="AG106" i="1"/>
  <c r="AG185" i="1"/>
  <c r="AG121" i="1"/>
  <c r="AG202" i="1"/>
  <c r="AG148" i="1"/>
  <c r="AG147" i="1"/>
  <c r="AG146" i="1"/>
  <c r="AG171" i="1"/>
  <c r="AG187" i="1"/>
  <c r="AG100" i="1"/>
  <c r="AG112" i="1"/>
  <c r="AG149" i="1"/>
  <c r="AG128" i="1"/>
  <c r="AG212" i="1"/>
  <c r="AG211" i="1"/>
  <c r="AG42" i="1"/>
  <c r="AG53" i="1"/>
  <c r="AG68" i="1"/>
  <c r="AG79" i="1"/>
  <c r="AG175" i="1"/>
  <c r="AG173" i="1"/>
  <c r="AG186" i="1"/>
  <c r="AG205" i="1"/>
  <c r="AG153" i="1"/>
  <c r="AG132" i="1"/>
  <c r="AG131" i="1"/>
  <c r="AG130" i="1"/>
  <c r="AG24" i="1"/>
  <c r="AG40" i="1"/>
  <c r="AG19" i="1"/>
  <c r="AG35" i="1"/>
  <c r="AG51" i="1"/>
  <c r="AG26" i="1"/>
  <c r="AG21" i="1"/>
  <c r="AG70" i="1"/>
  <c r="AG160" i="1"/>
  <c r="AG103" i="1"/>
  <c r="AG206" i="1"/>
  <c r="AG137" i="1"/>
  <c r="AG197" i="1"/>
  <c r="AG215" i="1"/>
  <c r="AG214" i="1"/>
  <c r="AG28" i="1"/>
  <c r="AG44" i="1"/>
  <c r="AG23" i="1"/>
  <c r="AG39" i="1"/>
  <c r="AG14" i="1"/>
  <c r="AG30" i="1"/>
  <c r="AG46" i="1"/>
  <c r="AG25" i="1"/>
  <c r="AG41" i="1"/>
  <c r="AG58" i="1"/>
  <c r="AG74" i="1"/>
  <c r="AG57" i="1"/>
  <c r="AG73" i="1"/>
  <c r="AG56" i="1"/>
  <c r="AG72" i="1"/>
  <c r="AG52" i="1"/>
  <c r="AG67" i="1"/>
  <c r="AG83" i="1"/>
  <c r="AG165" i="1"/>
  <c r="AG179" i="1"/>
  <c r="AG164" i="1"/>
  <c r="AG178" i="1"/>
  <c r="AG159" i="1"/>
  <c r="AG174" i="1"/>
  <c r="AG162" i="1"/>
  <c r="AG177" i="1"/>
  <c r="AG191" i="1"/>
  <c r="AG107" i="1"/>
  <c r="AG97" i="1"/>
  <c r="AG110" i="1"/>
  <c r="AG189" i="1"/>
  <c r="AG105" i="1"/>
  <c r="AG188" i="1"/>
  <c r="AG104" i="1"/>
  <c r="AG114" i="1"/>
  <c r="AG125" i="1"/>
  <c r="AG141" i="1"/>
  <c r="AG157" i="1"/>
  <c r="AG209" i="1"/>
  <c r="AG120" i="1"/>
  <c r="AG136" i="1"/>
  <c r="AG152" i="1"/>
  <c r="AG201" i="1"/>
  <c r="AG119" i="1"/>
  <c r="AG135" i="1"/>
  <c r="AG151" i="1"/>
  <c r="AG200" i="1"/>
  <c r="AG118" i="1"/>
  <c r="AG134" i="1"/>
  <c r="AG150" i="1"/>
  <c r="AG199" i="1"/>
  <c r="AG218" i="1"/>
  <c r="AG77" i="1"/>
  <c r="AG71" i="1"/>
  <c r="AG168" i="1"/>
  <c r="AG92" i="1"/>
  <c r="AG163" i="1"/>
  <c r="AG166" i="1"/>
  <c r="AG180" i="1"/>
  <c r="AG111" i="1"/>
  <c r="AG181" i="1"/>
  <c r="AG96" i="1"/>
  <c r="AG95" i="1"/>
  <c r="AG115" i="1"/>
  <c r="AG194" i="1"/>
  <c r="AG124" i="1"/>
  <c r="AG156" i="1"/>
  <c r="AG123" i="1"/>
  <c r="AG155" i="1"/>
  <c r="AG207" i="1"/>
  <c r="AG138" i="1"/>
  <c r="AG203" i="1"/>
  <c r="AG20" i="1"/>
  <c r="AG36" i="1"/>
  <c r="AG15" i="1"/>
  <c r="AG31" i="1"/>
  <c r="AG47" i="1"/>
  <c r="AG22" i="1"/>
  <c r="AG38" i="1"/>
  <c r="AG17" i="1"/>
  <c r="AG33" i="1"/>
  <c r="AG49" i="1"/>
  <c r="AG66" i="1"/>
  <c r="AG82" i="1"/>
  <c r="AG65" i="1"/>
  <c r="AG81" i="1"/>
  <c r="AG64" i="1"/>
  <c r="AG80" i="1"/>
  <c r="AG59" i="1"/>
  <c r="AG75" i="1"/>
  <c r="AG91" i="1"/>
  <c r="AG172" i="1"/>
  <c r="AG85" i="1"/>
  <c r="AG167" i="1"/>
  <c r="AG88" i="1"/>
  <c r="AG169" i="1"/>
  <c r="AG204" i="1"/>
  <c r="AG102" i="1"/>
  <c r="AG113" i="1"/>
  <c r="AG117" i="1"/>
  <c r="AG217" i="1"/>
  <c r="AG193" i="1"/>
  <c r="AG143" i="1"/>
  <c r="AG142" i="1"/>
  <c r="AG37" i="1"/>
  <c r="AG69" i="1"/>
  <c r="AG63" i="1"/>
  <c r="AG161" i="1"/>
  <c r="AG89" i="1"/>
  <c r="AG158" i="1"/>
  <c r="AG190" i="1"/>
  <c r="AG116" i="1"/>
  <c r="AG219" i="1"/>
  <c r="AG216" i="1"/>
  <c r="AG196" i="1"/>
  <c r="AG195" i="1"/>
  <c r="W39" i="3"/>
  <c r="W35" i="3"/>
  <c r="W10" i="3"/>
  <c r="W24" i="3"/>
  <c r="W41" i="3"/>
  <c r="W14" i="3"/>
  <c r="W17" i="3"/>
  <c r="W33" i="3"/>
  <c r="W40" i="3"/>
  <c r="W27" i="3"/>
  <c r="W45" i="3"/>
  <c r="W22" i="3"/>
  <c r="W37" i="3"/>
  <c r="W28" i="3"/>
  <c r="W42" i="3"/>
  <c r="W20" i="3"/>
  <c r="W13" i="3"/>
  <c r="W34" i="3"/>
  <c r="W46" i="3"/>
  <c r="W7" i="3"/>
  <c r="W15" i="3"/>
  <c r="W18" i="3"/>
  <c r="W16" i="3"/>
  <c r="W29" i="3"/>
  <c r="W25" i="3"/>
  <c r="W44" i="3"/>
  <c r="W30" i="3"/>
  <c r="W36" i="3"/>
  <c r="W21" i="3"/>
  <c r="W38" i="3"/>
  <c r="W19" i="3"/>
  <c r="W31" i="3"/>
  <c r="W8" i="3"/>
  <c r="W26" i="3"/>
  <c r="W23" i="3"/>
  <c r="W32" i="3"/>
  <c r="W11" i="3"/>
  <c r="W12" i="3"/>
  <c r="W9" i="3"/>
  <c r="R25" i="3" l="1"/>
  <c r="AD39" i="3"/>
  <c r="AC39" i="3"/>
  <c r="AC29" i="3"/>
  <c r="AC28" i="3"/>
  <c r="AD23" i="3"/>
  <c r="AC24" i="3"/>
  <c r="X118" i="1"/>
  <c r="AA110" i="1"/>
  <c r="T110" i="1"/>
  <c r="AA105" i="1"/>
  <c r="AA80" i="1"/>
  <c r="W80" i="1" s="1"/>
  <c r="X73" i="1"/>
  <c r="AA71" i="1"/>
  <c r="AA37" i="1"/>
  <c r="AA23" i="1"/>
  <c r="T21" i="1"/>
  <c r="AA20" i="1"/>
  <c r="AA16" i="1"/>
  <c r="X55" i="1"/>
  <c r="X215" i="1"/>
  <c r="X61" i="1"/>
  <c r="X54" i="1"/>
  <c r="S9" i="3"/>
  <c r="AE27" i="3"/>
  <c r="AD24" i="3"/>
  <c r="AA119" i="1"/>
  <c r="AA113" i="1"/>
  <c r="W113" i="1" s="1"/>
  <c r="AA111" i="1"/>
  <c r="X169" i="1"/>
  <c r="AA89" i="1"/>
  <c r="AA87" i="1"/>
  <c r="W87" i="1" s="1"/>
  <c r="X81" i="1"/>
  <c r="AA24" i="1"/>
  <c r="AA22" i="1"/>
  <c r="AA19" i="1"/>
  <c r="W19" i="1" s="1"/>
  <c r="X53" i="1"/>
  <c r="T7" i="3"/>
  <c r="AC10" i="3"/>
  <c r="AA203" i="1"/>
  <c r="W203" i="1" s="1"/>
  <c r="X200" i="1"/>
  <c r="AA157" i="1"/>
  <c r="AA153" i="1"/>
  <c r="AA149" i="1"/>
  <c r="W149" i="1" s="1"/>
  <c r="AA145" i="1"/>
  <c r="AA141" i="1"/>
  <c r="AA137" i="1"/>
  <c r="AA133" i="1"/>
  <c r="W133" i="1" s="1"/>
  <c r="AA129" i="1"/>
  <c r="AA101" i="1"/>
  <c r="AA96" i="1"/>
  <c r="AA186" i="1"/>
  <c r="W186" i="1" s="1"/>
  <c r="AA168" i="1"/>
  <c r="W168" i="1" s="1"/>
  <c r="X166" i="1"/>
  <c r="T81" i="1"/>
  <c r="AA76" i="1"/>
  <c r="W76" i="1" s="1"/>
  <c r="AA68" i="1"/>
  <c r="W68" i="1" s="1"/>
  <c r="AA60" i="1"/>
  <c r="AA58" i="1"/>
  <c r="AA56" i="1"/>
  <c r="W56" i="1" s="1"/>
  <c r="AA54" i="1"/>
  <c r="W54" i="1" s="1"/>
  <c r="AA52" i="1"/>
  <c r="AA40" i="1"/>
  <c r="AA38" i="1"/>
  <c r="W38" i="1" s="1"/>
  <c r="X33" i="1"/>
  <c r="X29" i="1"/>
  <c r="AA29" i="1"/>
  <c r="X25" i="1"/>
  <c r="T17" i="1"/>
  <c r="U17" i="1" s="1"/>
  <c r="S17" i="1" s="1"/>
  <c r="AC35" i="3"/>
  <c r="T35" i="3"/>
  <c r="AC36" i="3"/>
  <c r="T36" i="3"/>
  <c r="AD31" i="3"/>
  <c r="T14" i="3"/>
  <c r="T38" i="3"/>
  <c r="AD20" i="3"/>
  <c r="AE19" i="3"/>
  <c r="T11" i="3"/>
  <c r="X195" i="1"/>
  <c r="X155" i="1"/>
  <c r="X151" i="1"/>
  <c r="X147" i="1"/>
  <c r="X143" i="1"/>
  <c r="X139" i="1"/>
  <c r="X135" i="1"/>
  <c r="X131" i="1"/>
  <c r="X127" i="1"/>
  <c r="X123" i="1"/>
  <c r="X119" i="1"/>
  <c r="X116" i="1"/>
  <c r="AA172" i="1"/>
  <c r="W172" i="1" s="1"/>
  <c r="X88" i="1"/>
  <c r="X40" i="1"/>
  <c r="X16" i="1"/>
  <c r="AD37" i="3"/>
  <c r="S40" i="3"/>
  <c r="AD32" i="3"/>
  <c r="AE23" i="3"/>
  <c r="AA217" i="1"/>
  <c r="W217" i="1" s="1"/>
  <c r="T192" i="1"/>
  <c r="AA156" i="1"/>
  <c r="AA154" i="1"/>
  <c r="AA152" i="1"/>
  <c r="W152" i="1" s="1"/>
  <c r="AA150" i="1"/>
  <c r="AA148" i="1"/>
  <c r="AA146" i="1"/>
  <c r="AA144" i="1"/>
  <c r="W144" i="1" s="1"/>
  <c r="AA142" i="1"/>
  <c r="AA140" i="1"/>
  <c r="AA138" i="1"/>
  <c r="AA136" i="1"/>
  <c r="W136" i="1" s="1"/>
  <c r="AA134" i="1"/>
  <c r="AA132" i="1"/>
  <c r="AA130" i="1"/>
  <c r="AA206" i="1"/>
  <c r="W206" i="1" s="1"/>
  <c r="AA204" i="1"/>
  <c r="AA181" i="1"/>
  <c r="AA92" i="1"/>
  <c r="AA166" i="1"/>
  <c r="W166" i="1" s="1"/>
  <c r="AA165" i="1"/>
  <c r="AA161" i="1"/>
  <c r="AA79" i="1"/>
  <c r="AA63" i="1"/>
  <c r="W63" i="1" s="1"/>
  <c r="AA59" i="1"/>
  <c r="AA55" i="1"/>
  <c r="AA51" i="1"/>
  <c r="AA45" i="1"/>
  <c r="W45" i="1" s="1"/>
  <c r="AA35" i="1"/>
  <c r="AA32" i="1"/>
  <c r="AA128" i="1"/>
  <c r="AA126" i="1"/>
  <c r="W126" i="1" s="1"/>
  <c r="AA124" i="1"/>
  <c r="AA122" i="1"/>
  <c r="AA120" i="1"/>
  <c r="AA109" i="1"/>
  <c r="W109" i="1" s="1"/>
  <c r="AA107" i="1"/>
  <c r="X106" i="1"/>
  <c r="AA103" i="1"/>
  <c r="X102" i="1"/>
  <c r="AA97" i="1"/>
  <c r="T97" i="1"/>
  <c r="AA188" i="1"/>
  <c r="AA187" i="1"/>
  <c r="W187" i="1" s="1"/>
  <c r="T187" i="1"/>
  <c r="AA183" i="1"/>
  <c r="X180" i="1"/>
  <c r="AA174" i="1"/>
  <c r="W174" i="1" s="1"/>
  <c r="AA170" i="1"/>
  <c r="AA167" i="1"/>
  <c r="AA91" i="1"/>
  <c r="AA85" i="1"/>
  <c r="W85" i="1" s="1"/>
  <c r="AA83" i="1"/>
  <c r="X80" i="1"/>
  <c r="X77" i="1"/>
  <c r="AA72" i="1"/>
  <c r="W72" i="1" s="1"/>
  <c r="X69" i="1"/>
  <c r="AA67" i="1"/>
  <c r="AA64" i="1"/>
  <c r="T61" i="1"/>
  <c r="U61" i="1" s="1"/>
  <c r="S61" i="1" s="1"/>
  <c r="AA57" i="1"/>
  <c r="AA53" i="1"/>
  <c r="AA48" i="1"/>
  <c r="W48" i="1" s="1"/>
  <c r="AA36" i="1"/>
  <c r="T33" i="1"/>
  <c r="AA30" i="1"/>
  <c r="AA28" i="1"/>
  <c r="AA27" i="1"/>
  <c r="W27" i="1" s="1"/>
  <c r="T25" i="1"/>
  <c r="X219" i="1"/>
  <c r="AA219" i="1"/>
  <c r="W219" i="1" s="1"/>
  <c r="T215" i="1"/>
  <c r="U215" i="1" s="1"/>
  <c r="S215" i="1" s="1"/>
  <c r="X210" i="1"/>
  <c r="AA202" i="1"/>
  <c r="X199" i="1"/>
  <c r="X196" i="1"/>
  <c r="X154" i="1"/>
  <c r="X150" i="1"/>
  <c r="X146" i="1"/>
  <c r="X142" i="1"/>
  <c r="X138" i="1"/>
  <c r="X134" i="1"/>
  <c r="X130" i="1"/>
  <c r="X126" i="1"/>
  <c r="X122" i="1"/>
  <c r="X190" i="1"/>
  <c r="T88" i="1"/>
  <c r="X76" i="1"/>
  <c r="AA47" i="1"/>
  <c r="X44" i="1"/>
  <c r="X41" i="1"/>
  <c r="X36" i="1"/>
  <c r="AA125" i="1"/>
  <c r="AA121" i="1"/>
  <c r="W121" i="1" s="1"/>
  <c r="AA116" i="1"/>
  <c r="AA106" i="1"/>
  <c r="W106" i="1" s="1"/>
  <c r="AA102" i="1"/>
  <c r="X101" i="1"/>
  <c r="X96" i="1"/>
  <c r="AA191" i="1"/>
  <c r="W191" i="1" s="1"/>
  <c r="AA189" i="1"/>
  <c r="X186" i="1"/>
  <c r="AA184" i="1"/>
  <c r="AA182" i="1"/>
  <c r="W182" i="1" s="1"/>
  <c r="X177" i="1"/>
  <c r="X173" i="1"/>
  <c r="AA88" i="1"/>
  <c r="X84" i="1"/>
  <c r="AA84" i="1"/>
  <c r="W84" i="1" s="1"/>
  <c r="AA75" i="1"/>
  <c r="X65" i="1"/>
  <c r="X64" i="1"/>
  <c r="AA39" i="1"/>
  <c r="W39" i="1" s="1"/>
  <c r="AA31" i="1"/>
  <c r="X28" i="1"/>
  <c r="X214" i="1"/>
  <c r="X203" i="1"/>
  <c r="AA194" i="1"/>
  <c r="AA155" i="1"/>
  <c r="W155" i="1" s="1"/>
  <c r="AA151" i="1"/>
  <c r="W151" i="1" s="1"/>
  <c r="AA147" i="1"/>
  <c r="AA143" i="1"/>
  <c r="AA139" i="1"/>
  <c r="AA135" i="1"/>
  <c r="W135" i="1" s="1"/>
  <c r="AA131" i="1"/>
  <c r="AA44" i="1"/>
  <c r="W44" i="1" s="1"/>
  <c r="AA43" i="1"/>
  <c r="W43" i="1" s="1"/>
  <c r="T219" i="1"/>
  <c r="X218" i="1"/>
  <c r="T155" i="1"/>
  <c r="T151" i="1"/>
  <c r="U151" i="1" s="1"/>
  <c r="S151" i="1" s="1"/>
  <c r="T147" i="1"/>
  <c r="U147" i="1" s="1"/>
  <c r="S147" i="1" s="1"/>
  <c r="T143" i="1"/>
  <c r="T139" i="1"/>
  <c r="U139" i="1" s="1"/>
  <c r="S139" i="1" s="1"/>
  <c r="T135" i="1"/>
  <c r="U135" i="1" s="1"/>
  <c r="S135" i="1" s="1"/>
  <c r="T131" i="1"/>
  <c r="T127" i="1"/>
  <c r="T123" i="1"/>
  <c r="U123" i="1" s="1"/>
  <c r="S123" i="1" s="1"/>
  <c r="T119" i="1"/>
  <c r="U119" i="1" s="1"/>
  <c r="S119" i="1" s="1"/>
  <c r="AA118" i="1"/>
  <c r="T118" i="1"/>
  <c r="X113" i="1"/>
  <c r="AA108" i="1"/>
  <c r="W108" i="1" s="1"/>
  <c r="X105" i="1"/>
  <c r="AA205" i="1"/>
  <c r="X100" i="1"/>
  <c r="AA95" i="1"/>
  <c r="X189" i="1"/>
  <c r="AA185" i="1"/>
  <c r="X183" i="1"/>
  <c r="AA177" i="1"/>
  <c r="W177" i="1" s="1"/>
  <c r="AA175" i="1"/>
  <c r="AA162" i="1"/>
  <c r="AA160" i="1"/>
  <c r="AA159" i="1"/>
  <c r="W159" i="1" s="1"/>
  <c r="T56" i="1"/>
  <c r="T36" i="1"/>
  <c r="AA218" i="1"/>
  <c r="AA216" i="1"/>
  <c r="W216" i="1" s="1"/>
  <c r="AA215" i="1"/>
  <c r="AA212" i="1"/>
  <c r="AA211" i="1"/>
  <c r="W211" i="1" s="1"/>
  <c r="AA208" i="1"/>
  <c r="W208" i="1" s="1"/>
  <c r="AA207" i="1"/>
  <c r="AA201" i="1"/>
  <c r="AA200" i="1"/>
  <c r="W200" i="1" s="1"/>
  <c r="AA197" i="1"/>
  <c r="W197" i="1" s="1"/>
  <c r="AA196" i="1"/>
  <c r="AA193" i="1"/>
  <c r="AA192" i="1"/>
  <c r="W192" i="1" s="1"/>
  <c r="T154" i="1"/>
  <c r="U154" i="1" s="1"/>
  <c r="S154" i="1" s="1"/>
  <c r="T150" i="1"/>
  <c r="U150" i="1" s="1"/>
  <c r="S150" i="1" s="1"/>
  <c r="T146" i="1"/>
  <c r="U146" i="1" s="1"/>
  <c r="S146" i="1" s="1"/>
  <c r="T142" i="1"/>
  <c r="U142" i="1" s="1"/>
  <c r="S142" i="1" s="1"/>
  <c r="T138" i="1"/>
  <c r="U138" i="1" s="1"/>
  <c r="S138" i="1" s="1"/>
  <c r="T134" i="1"/>
  <c r="T130" i="1"/>
  <c r="U130" i="1" s="1"/>
  <c r="S130" i="1" s="1"/>
  <c r="T126" i="1"/>
  <c r="T122" i="1"/>
  <c r="U122" i="1" s="1"/>
  <c r="S122" i="1" s="1"/>
  <c r="T116" i="1"/>
  <c r="AA98" i="1"/>
  <c r="AA190" i="1"/>
  <c r="W190" i="1" s="1"/>
  <c r="T190" i="1"/>
  <c r="AA94" i="1"/>
  <c r="AA173" i="1"/>
  <c r="T173" i="1"/>
  <c r="U173" i="1" s="1"/>
  <c r="S173" i="1" s="1"/>
  <c r="AA171" i="1"/>
  <c r="W171" i="1" s="1"/>
  <c r="AA158" i="1"/>
  <c r="T158" i="1"/>
  <c r="AA90" i="1"/>
  <c r="W90" i="1" s="1"/>
  <c r="X72" i="1"/>
  <c r="X68" i="1"/>
  <c r="AA62" i="1"/>
  <c r="AA61" i="1"/>
  <c r="W61" i="1" s="1"/>
  <c r="X57" i="1"/>
  <c r="X48" i="1"/>
  <c r="T45" i="1"/>
  <c r="AA42" i="1"/>
  <c r="W42" i="1" s="1"/>
  <c r="AA41" i="1"/>
  <c r="T40" i="1"/>
  <c r="X37" i="1"/>
  <c r="X32" i="1"/>
  <c r="T29" i="1"/>
  <c r="AA26" i="1"/>
  <c r="AA25" i="1"/>
  <c r="T24" i="1"/>
  <c r="U24" i="1" s="1"/>
  <c r="S24" i="1" s="1"/>
  <c r="X20" i="1"/>
  <c r="AA17" i="1"/>
  <c r="T16" i="1"/>
  <c r="AA14" i="1"/>
  <c r="W14" i="1" s="1"/>
  <c r="AA112" i="1"/>
  <c r="X109" i="1"/>
  <c r="AA104" i="1"/>
  <c r="X206" i="1"/>
  <c r="AA66" i="1"/>
  <c r="AA65" i="1"/>
  <c r="AA18" i="1"/>
  <c r="X182" i="1"/>
  <c r="AA180" i="1"/>
  <c r="AA178" i="1"/>
  <c r="AA93" i="1"/>
  <c r="AA164" i="1"/>
  <c r="W164" i="1" s="1"/>
  <c r="AA163" i="1"/>
  <c r="AA82" i="1"/>
  <c r="AA81" i="1"/>
  <c r="AA78" i="1"/>
  <c r="W78" i="1" s="1"/>
  <c r="AA77" i="1"/>
  <c r="AA74" i="1"/>
  <c r="AA73" i="1"/>
  <c r="AA70" i="1"/>
  <c r="W70" i="1" s="1"/>
  <c r="AA69" i="1"/>
  <c r="X60" i="1"/>
  <c r="AA50" i="1"/>
  <c r="AA49" i="1"/>
  <c r="W49" i="1" s="1"/>
  <c r="AA34" i="1"/>
  <c r="AA33" i="1"/>
  <c r="AA21" i="1"/>
  <c r="AI218" i="1"/>
  <c r="U218" i="1"/>
  <c r="S218" i="1" s="1"/>
  <c r="AI214" i="1"/>
  <c r="U214" i="1"/>
  <c r="S214" i="1" s="1"/>
  <c r="AI210" i="1"/>
  <c r="U210" i="1"/>
  <c r="S210" i="1" s="1"/>
  <c r="AI206" i="1"/>
  <c r="U203" i="1"/>
  <c r="S203" i="1" s="1"/>
  <c r="AI202" i="1"/>
  <c r="U199" i="1"/>
  <c r="S199" i="1" s="1"/>
  <c r="AI198" i="1"/>
  <c r="U195" i="1"/>
  <c r="S195" i="1" s="1"/>
  <c r="AI194" i="1"/>
  <c r="AI190" i="1"/>
  <c r="AI186" i="1"/>
  <c r="AI182" i="1"/>
  <c r="AI178" i="1"/>
  <c r="AI174" i="1"/>
  <c r="AI170" i="1"/>
  <c r="U134" i="1"/>
  <c r="S134" i="1" s="1"/>
  <c r="AI166" i="1"/>
  <c r="AI162" i="1"/>
  <c r="U126" i="1"/>
  <c r="S126" i="1" s="1"/>
  <c r="AI158" i="1"/>
  <c r="AI155" i="1"/>
  <c r="U118" i="1"/>
  <c r="S118" i="1" s="1"/>
  <c r="AI215" i="1"/>
  <c r="AI211" i="1"/>
  <c r="U211" i="1"/>
  <c r="S211" i="1" s="1"/>
  <c r="AI207" i="1"/>
  <c r="U207" i="1"/>
  <c r="S207" i="1" s="1"/>
  <c r="AI203" i="1"/>
  <c r="U200" i="1"/>
  <c r="S200" i="1" s="1"/>
  <c r="AI199" i="1"/>
  <c r="U196" i="1"/>
  <c r="S196" i="1" s="1"/>
  <c r="AI195" i="1"/>
  <c r="U192" i="1"/>
  <c r="S192" i="1" s="1"/>
  <c r="AI191" i="1"/>
  <c r="U155" i="1"/>
  <c r="S155" i="1" s="1"/>
  <c r="AI187" i="1"/>
  <c r="AI183" i="1"/>
  <c r="AI179" i="1"/>
  <c r="U143" i="1"/>
  <c r="S143" i="1" s="1"/>
  <c r="AI175" i="1"/>
  <c r="AI171" i="1"/>
  <c r="AI167" i="1"/>
  <c r="U131" i="1"/>
  <c r="S131" i="1" s="1"/>
  <c r="AI163" i="1"/>
  <c r="U127" i="1"/>
  <c r="S127" i="1" s="1"/>
  <c r="AI159" i="1"/>
  <c r="AI156" i="1"/>
  <c r="U216" i="1"/>
  <c r="S216" i="1"/>
  <c r="AI216" i="1"/>
  <c r="U212" i="1"/>
  <c r="S212" i="1" s="1"/>
  <c r="AI212" i="1"/>
  <c r="U208" i="1"/>
  <c r="S208" i="1" s="1"/>
  <c r="AI208" i="1"/>
  <c r="U201" i="1"/>
  <c r="S201" i="1" s="1"/>
  <c r="AI204" i="1"/>
  <c r="U197" i="1"/>
  <c r="S197" i="1" s="1"/>
  <c r="AI200" i="1"/>
  <c r="U193" i="1"/>
  <c r="S193" i="1" s="1"/>
  <c r="AI196" i="1"/>
  <c r="U156" i="1"/>
  <c r="S156" i="1" s="1"/>
  <c r="AI192" i="1"/>
  <c r="U152" i="1"/>
  <c r="S152" i="1" s="1"/>
  <c r="AI188" i="1"/>
  <c r="U148" i="1"/>
  <c r="S148" i="1" s="1"/>
  <c r="AI184" i="1"/>
  <c r="U144" i="1"/>
  <c r="S144" i="1" s="1"/>
  <c r="AI180" i="1"/>
  <c r="U140" i="1"/>
  <c r="S140" i="1" s="1"/>
  <c r="AI176" i="1"/>
  <c r="U136" i="1"/>
  <c r="S136" i="1" s="1"/>
  <c r="AI172" i="1"/>
  <c r="U132" i="1"/>
  <c r="S132" i="1" s="1"/>
  <c r="AI168" i="1"/>
  <c r="U128" i="1"/>
  <c r="S128" i="1" s="1"/>
  <c r="AI164" i="1"/>
  <c r="U124" i="1"/>
  <c r="S124" i="1" s="1"/>
  <c r="AI160" i="1"/>
  <c r="U120" i="1"/>
  <c r="S120" i="1" s="1"/>
  <c r="AI157" i="1"/>
  <c r="AI219" i="1"/>
  <c r="U219" i="1"/>
  <c r="S219" i="1" s="1"/>
  <c r="U217" i="1"/>
  <c r="S217" i="1" s="1"/>
  <c r="AI217" i="1"/>
  <c r="U213" i="1"/>
  <c r="S213" i="1" s="1"/>
  <c r="AI213" i="1"/>
  <c r="U209" i="1"/>
  <c r="S209" i="1" s="1"/>
  <c r="AI209" i="1"/>
  <c r="U202" i="1"/>
  <c r="S202" i="1" s="1"/>
  <c r="AI205" i="1"/>
  <c r="U198" i="1"/>
  <c r="S198" i="1" s="1"/>
  <c r="AI201" i="1"/>
  <c r="U194" i="1"/>
  <c r="S194" i="1" s="1"/>
  <c r="AI197" i="1"/>
  <c r="U157" i="1"/>
  <c r="S157" i="1" s="1"/>
  <c r="AI193" i="1"/>
  <c r="U153" i="1"/>
  <c r="S153" i="1" s="1"/>
  <c r="AI189" i="1"/>
  <c r="U149" i="1"/>
  <c r="S149" i="1" s="1"/>
  <c r="AI185" i="1"/>
  <c r="U145" i="1"/>
  <c r="S145" i="1" s="1"/>
  <c r="AI181" i="1"/>
  <c r="U141" i="1"/>
  <c r="S141" i="1" s="1"/>
  <c r="AI177" i="1"/>
  <c r="U137" i="1"/>
  <c r="S137" i="1" s="1"/>
  <c r="AI173" i="1"/>
  <c r="U133" i="1"/>
  <c r="S133" i="1" s="1"/>
  <c r="AI169" i="1"/>
  <c r="U129" i="1"/>
  <c r="S129" i="1" s="1"/>
  <c r="AI165" i="1"/>
  <c r="U125" i="1"/>
  <c r="S125" i="1" s="1"/>
  <c r="AI161" i="1"/>
  <c r="U121" i="1"/>
  <c r="S121" i="1" s="1"/>
  <c r="U117" i="1"/>
  <c r="S117" i="1" s="1"/>
  <c r="AI154" i="1"/>
  <c r="AI152" i="1"/>
  <c r="AI151" i="1"/>
  <c r="U114" i="1"/>
  <c r="S114" i="1" s="1"/>
  <c r="U116" i="1"/>
  <c r="S116" i="1" s="1"/>
  <c r="AI153" i="1"/>
  <c r="AI149" i="1"/>
  <c r="U112" i="1"/>
  <c r="S112" i="1" s="1"/>
  <c r="AI145" i="1"/>
  <c r="U108" i="1"/>
  <c r="S108" i="1" s="1"/>
  <c r="AI141" i="1"/>
  <c r="U104" i="1"/>
  <c r="S104" i="1" s="1"/>
  <c r="AI137" i="1"/>
  <c r="U205" i="1"/>
  <c r="S205" i="1" s="1"/>
  <c r="AI133" i="1"/>
  <c r="U99" i="1"/>
  <c r="S99" i="1" s="1"/>
  <c r="AI129" i="1"/>
  <c r="U95" i="1"/>
  <c r="S95" i="1" s="1"/>
  <c r="AI125" i="1"/>
  <c r="U188" i="1"/>
  <c r="S188" i="1" s="1"/>
  <c r="AI121" i="1"/>
  <c r="U185" i="1"/>
  <c r="S185" i="1" s="1"/>
  <c r="U113" i="1"/>
  <c r="S113" i="1" s="1"/>
  <c r="AI150" i="1"/>
  <c r="AI146" i="1"/>
  <c r="U109" i="1"/>
  <c r="S109" i="1" s="1"/>
  <c r="S105" i="1"/>
  <c r="AI142" i="1"/>
  <c r="U105" i="1"/>
  <c r="AI138" i="1"/>
  <c r="U206" i="1"/>
  <c r="S206" i="1" s="1"/>
  <c r="AI134" i="1"/>
  <c r="U100" i="1"/>
  <c r="S100" i="1" s="1"/>
  <c r="AI130" i="1"/>
  <c r="U96" i="1"/>
  <c r="S96" i="1" s="1"/>
  <c r="AI126" i="1"/>
  <c r="U189" i="1"/>
  <c r="S189" i="1" s="1"/>
  <c r="AI122" i="1"/>
  <c r="U186" i="1"/>
  <c r="S186" i="1" s="1"/>
  <c r="AI119" i="1"/>
  <c r="U183" i="1"/>
  <c r="S183" i="1" s="1"/>
  <c r="AI117" i="1"/>
  <c r="U181" i="1"/>
  <c r="S181" i="1" s="1"/>
  <c r="U110" i="1"/>
  <c r="S110" i="1" s="1"/>
  <c r="AI147" i="1"/>
  <c r="U106" i="1"/>
  <c r="S106" i="1" s="1"/>
  <c r="AI143" i="1"/>
  <c r="U102" i="1"/>
  <c r="S102" i="1" s="1"/>
  <c r="AI139" i="1"/>
  <c r="U101" i="1"/>
  <c r="S101" i="1" s="1"/>
  <c r="AI135" i="1"/>
  <c r="U97" i="1"/>
  <c r="S97" i="1" s="1"/>
  <c r="AI131" i="1"/>
  <c r="U190" i="1"/>
  <c r="S190" i="1" s="1"/>
  <c r="AI127" i="1"/>
  <c r="U187" i="1"/>
  <c r="S187" i="1" s="1"/>
  <c r="AI123" i="1"/>
  <c r="U111" i="1"/>
  <c r="S111" i="1" s="1"/>
  <c r="AI148" i="1"/>
  <c r="U107" i="1"/>
  <c r="S107" i="1" s="1"/>
  <c r="AI144" i="1"/>
  <c r="U103" i="1"/>
  <c r="S103" i="1" s="1"/>
  <c r="AI140" i="1"/>
  <c r="U204" i="1"/>
  <c r="S204" i="1" s="1"/>
  <c r="AI136" i="1"/>
  <c r="U98" i="1"/>
  <c r="S98" i="1" s="1"/>
  <c r="AI132" i="1"/>
  <c r="U191" i="1"/>
  <c r="S191" i="1" s="1"/>
  <c r="AI128" i="1"/>
  <c r="U94" i="1"/>
  <c r="S94" i="1" s="1"/>
  <c r="AI124" i="1"/>
  <c r="U184" i="1"/>
  <c r="S184" i="1" s="1"/>
  <c r="AI120" i="1"/>
  <c r="AI116" i="1"/>
  <c r="U180" i="1"/>
  <c r="S180" i="1" s="1"/>
  <c r="AI112" i="1"/>
  <c r="U177" i="1"/>
  <c r="S177" i="1" s="1"/>
  <c r="AI108" i="1"/>
  <c r="AI104" i="1"/>
  <c r="U169" i="1"/>
  <c r="S169" i="1" s="1"/>
  <c r="AI100" i="1"/>
  <c r="U166" i="1"/>
  <c r="S166" i="1" s="1"/>
  <c r="AI96" i="1"/>
  <c r="U162" i="1"/>
  <c r="S162" i="1" s="1"/>
  <c r="AI92" i="1"/>
  <c r="U158" i="1"/>
  <c r="S158" i="1" s="1"/>
  <c r="AI88" i="1"/>
  <c r="U88" i="1"/>
  <c r="S88" i="1" s="1"/>
  <c r="AI113" i="1"/>
  <c r="U93" i="1"/>
  <c r="S93" i="1" s="1"/>
  <c r="AI109" i="1"/>
  <c r="U174" i="1"/>
  <c r="S174" i="1" s="1"/>
  <c r="AI105" i="1"/>
  <c r="U170" i="1"/>
  <c r="S170" i="1" s="1"/>
  <c r="AI101" i="1"/>
  <c r="U167" i="1"/>
  <c r="S167" i="1" s="1"/>
  <c r="AI97" i="1"/>
  <c r="U163" i="1"/>
  <c r="S163" i="1" s="1"/>
  <c r="AI93" i="1"/>
  <c r="U159" i="1"/>
  <c r="S159" i="1" s="1"/>
  <c r="AI89" i="1"/>
  <c r="U89" i="1"/>
  <c r="S89" i="1" s="1"/>
  <c r="AI85" i="1"/>
  <c r="U85" i="1"/>
  <c r="S85" i="1" s="1"/>
  <c r="AI118" i="1"/>
  <c r="U178" i="1"/>
  <c r="S178" i="1" s="1"/>
  <c r="AI114" i="1"/>
  <c r="U175" i="1"/>
  <c r="S175" i="1" s="1"/>
  <c r="AI110" i="1"/>
  <c r="U171" i="1"/>
  <c r="S171" i="1" s="1"/>
  <c r="AI106" i="1"/>
  <c r="U92" i="1"/>
  <c r="S92" i="1" s="1"/>
  <c r="AI102" i="1"/>
  <c r="U164" i="1"/>
  <c r="S164" i="1" s="1"/>
  <c r="AI98" i="1"/>
  <c r="U160" i="1"/>
  <c r="S160" i="1" s="1"/>
  <c r="AI94" i="1"/>
  <c r="U90" i="1"/>
  <c r="S90" i="1" s="1"/>
  <c r="AI90" i="1"/>
  <c r="U86" i="1"/>
  <c r="S86" i="1" s="1"/>
  <c r="AI86" i="1"/>
  <c r="U179" i="1"/>
  <c r="S179" i="1" s="1"/>
  <c r="AI115" i="1"/>
  <c r="U176" i="1"/>
  <c r="S176" i="1" s="1"/>
  <c r="AI111" i="1"/>
  <c r="U172" i="1"/>
  <c r="S172" i="1" s="1"/>
  <c r="AI107" i="1"/>
  <c r="U168" i="1"/>
  <c r="S168" i="1" s="1"/>
  <c r="AI103" i="1"/>
  <c r="U165" i="1"/>
  <c r="S165" i="1" s="1"/>
  <c r="AI99" i="1"/>
  <c r="U161" i="1"/>
  <c r="S161" i="1" s="1"/>
  <c r="AI95" i="1"/>
  <c r="U91" i="1"/>
  <c r="S91" i="1" s="1"/>
  <c r="AI91" i="1"/>
  <c r="U87" i="1"/>
  <c r="S87" i="1" s="1"/>
  <c r="AI87" i="1"/>
  <c r="AI83" i="1"/>
  <c r="AI79" i="1"/>
  <c r="U79" i="1"/>
  <c r="S79" i="1" s="1"/>
  <c r="AI75" i="1"/>
  <c r="U75" i="1"/>
  <c r="S75" i="1" s="1"/>
  <c r="AI71" i="1"/>
  <c r="U71" i="1"/>
  <c r="S71" i="1" s="1"/>
  <c r="AI67" i="1"/>
  <c r="U67" i="1"/>
  <c r="S67" i="1" s="1"/>
  <c r="AI63" i="1"/>
  <c r="U63" i="1"/>
  <c r="S63" i="1" s="1"/>
  <c r="AI59" i="1"/>
  <c r="U59" i="1"/>
  <c r="S59" i="1" s="1"/>
  <c r="AI55" i="1"/>
  <c r="U55" i="1"/>
  <c r="S55" i="1" s="1"/>
  <c r="AI52" i="1"/>
  <c r="U84" i="1"/>
  <c r="S84" i="1" s="1"/>
  <c r="AI84" i="1"/>
  <c r="AI80" i="1"/>
  <c r="U80" i="1"/>
  <c r="S80" i="1" s="1"/>
  <c r="AI76" i="1"/>
  <c r="U76" i="1"/>
  <c r="S76" i="1" s="1"/>
  <c r="AI72" i="1"/>
  <c r="U72" i="1"/>
  <c r="S72" i="1" s="1"/>
  <c r="AI68" i="1"/>
  <c r="U68" i="1"/>
  <c r="S68" i="1" s="1"/>
  <c r="AI64" i="1"/>
  <c r="U64" i="1"/>
  <c r="S64" i="1" s="1"/>
  <c r="AI60" i="1"/>
  <c r="U60" i="1"/>
  <c r="S60" i="1" s="1"/>
  <c r="AI56" i="1"/>
  <c r="U56" i="1"/>
  <c r="S56" i="1" s="1"/>
  <c r="U81" i="1"/>
  <c r="S81" i="1" s="1"/>
  <c r="AI81" i="1"/>
  <c r="U77" i="1"/>
  <c r="S77" i="1" s="1"/>
  <c r="AI77" i="1"/>
  <c r="U73" i="1"/>
  <c r="S73" i="1" s="1"/>
  <c r="AI73" i="1"/>
  <c r="U69" i="1"/>
  <c r="S69" i="1" s="1"/>
  <c r="AI69" i="1"/>
  <c r="U65" i="1"/>
  <c r="S65" i="1" s="1"/>
  <c r="AI65" i="1"/>
  <c r="AI61" i="1"/>
  <c r="U57" i="1"/>
  <c r="S57" i="1" s="1"/>
  <c r="AI57" i="1"/>
  <c r="U53" i="1"/>
  <c r="S53" i="1" s="1"/>
  <c r="AI53" i="1"/>
  <c r="AI82" i="1"/>
  <c r="U78" i="1"/>
  <c r="S78" i="1" s="1"/>
  <c r="AI78" i="1"/>
  <c r="U74" i="1"/>
  <c r="S74" i="1" s="1"/>
  <c r="AI74" i="1"/>
  <c r="U70" i="1"/>
  <c r="S70" i="1" s="1"/>
  <c r="AI70" i="1"/>
  <c r="U66" i="1"/>
  <c r="S66" i="1" s="1"/>
  <c r="AI66" i="1"/>
  <c r="U62" i="1"/>
  <c r="S62" i="1" s="1"/>
  <c r="AI62" i="1"/>
  <c r="U58" i="1"/>
  <c r="S58" i="1" s="1"/>
  <c r="AI58" i="1"/>
  <c r="U54" i="1"/>
  <c r="S54" i="1"/>
  <c r="AI54" i="1"/>
  <c r="AI49" i="1"/>
  <c r="U49" i="1"/>
  <c r="S49" i="1" s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AI50" i="1"/>
  <c r="U50" i="1"/>
  <c r="S50" i="1" s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S14" i="1"/>
  <c r="AI14" i="1"/>
  <c r="U14" i="1"/>
  <c r="U51" i="1"/>
  <c r="S51" i="1" s="1"/>
  <c r="AI51" i="1"/>
  <c r="U47" i="1"/>
  <c r="S47" i="1" s="1"/>
  <c r="AI47" i="1"/>
  <c r="U43" i="1"/>
  <c r="S43" i="1" s="1"/>
  <c r="AI43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U48" i="1"/>
  <c r="S48" i="1" s="1"/>
  <c r="AI48" i="1"/>
  <c r="U44" i="1"/>
  <c r="S44" i="1" s="1"/>
  <c r="AI44" i="1"/>
  <c r="U40" i="1"/>
  <c r="S40" i="1" s="1"/>
  <c r="AI40" i="1"/>
  <c r="U36" i="1"/>
  <c r="S36" i="1" s="1"/>
  <c r="AI36" i="1"/>
  <c r="U32" i="1"/>
  <c r="S32" i="1" s="1"/>
  <c r="AI32" i="1"/>
  <c r="U28" i="1"/>
  <c r="S28" i="1" s="1"/>
  <c r="AI28" i="1"/>
  <c r="AI24" i="1"/>
  <c r="U20" i="1"/>
  <c r="S20" i="1" s="1"/>
  <c r="AI20" i="1"/>
  <c r="U16" i="1"/>
  <c r="S16" i="1" s="1"/>
  <c r="AI16" i="1"/>
  <c r="W202" i="1"/>
  <c r="W214" i="1"/>
  <c r="W210" i="1"/>
  <c r="W199" i="1"/>
  <c r="W195" i="1"/>
  <c r="W154" i="1"/>
  <c r="W150" i="1"/>
  <c r="W146" i="1"/>
  <c r="W142" i="1"/>
  <c r="W138" i="1"/>
  <c r="W134" i="1"/>
  <c r="W130" i="1"/>
  <c r="W122" i="1"/>
  <c r="W118" i="1"/>
  <c r="W116" i="1"/>
  <c r="W218" i="1"/>
  <c r="W215" i="1"/>
  <c r="W212" i="1"/>
  <c r="W207" i="1"/>
  <c r="W201" i="1"/>
  <c r="W196" i="1"/>
  <c r="W193" i="1"/>
  <c r="W156" i="1"/>
  <c r="W148" i="1"/>
  <c r="W147" i="1"/>
  <c r="W143" i="1"/>
  <c r="W140" i="1"/>
  <c r="W139" i="1"/>
  <c r="W132" i="1"/>
  <c r="W131" i="1"/>
  <c r="W128" i="1"/>
  <c r="W127" i="1"/>
  <c r="W124" i="1"/>
  <c r="W123" i="1"/>
  <c r="W120" i="1"/>
  <c r="W119" i="1"/>
  <c r="W117" i="1"/>
  <c r="W213" i="1"/>
  <c r="W209" i="1"/>
  <c r="W198" i="1"/>
  <c r="W194" i="1"/>
  <c r="W157" i="1"/>
  <c r="W153" i="1"/>
  <c r="W145" i="1"/>
  <c r="W141" i="1"/>
  <c r="W137" i="1"/>
  <c r="W129" i="1"/>
  <c r="W125" i="1"/>
  <c r="W115" i="1"/>
  <c r="X217" i="1"/>
  <c r="X213" i="1"/>
  <c r="X209" i="1"/>
  <c r="X202" i="1"/>
  <c r="X198" i="1"/>
  <c r="X194" i="1"/>
  <c r="X153" i="1"/>
  <c r="X149" i="1"/>
  <c r="X145" i="1"/>
  <c r="X141" i="1"/>
  <c r="X137" i="1"/>
  <c r="X133" i="1"/>
  <c r="X129" i="1"/>
  <c r="X125" i="1"/>
  <c r="X121" i="1"/>
  <c r="X117" i="1"/>
  <c r="W205" i="1"/>
  <c r="W95" i="1"/>
  <c r="W185" i="1"/>
  <c r="AA114" i="1"/>
  <c r="W114" i="1" s="1"/>
  <c r="W111" i="1"/>
  <c r="W105" i="1"/>
  <c r="W103" i="1"/>
  <c r="W101" i="1"/>
  <c r="W100" i="1"/>
  <c r="W98" i="1"/>
  <c r="W189" i="1"/>
  <c r="W94" i="1"/>
  <c r="W183" i="1"/>
  <c r="T115" i="1"/>
  <c r="U115" i="1" s="1"/>
  <c r="S115" i="1" s="1"/>
  <c r="X115" i="1"/>
  <c r="W112" i="1"/>
  <c r="W104" i="1"/>
  <c r="W99" i="1"/>
  <c r="W188" i="1"/>
  <c r="X216" i="1"/>
  <c r="X212" i="1"/>
  <c r="X208" i="1"/>
  <c r="X201" i="1"/>
  <c r="X197" i="1"/>
  <c r="X193" i="1"/>
  <c r="X152" i="1"/>
  <c r="X148" i="1"/>
  <c r="X144" i="1"/>
  <c r="X140" i="1"/>
  <c r="X136" i="1"/>
  <c r="X132" i="1"/>
  <c r="X128" i="1"/>
  <c r="X124" i="1"/>
  <c r="X120" i="1"/>
  <c r="W110" i="1"/>
  <c r="W107" i="1"/>
  <c r="W102" i="1"/>
  <c r="W204" i="1"/>
  <c r="W97" i="1"/>
  <c r="W96" i="1"/>
  <c r="W184" i="1"/>
  <c r="X111" i="1"/>
  <c r="X107" i="1"/>
  <c r="X103" i="1"/>
  <c r="X204" i="1"/>
  <c r="X98" i="1"/>
  <c r="X191" i="1"/>
  <c r="X94" i="1"/>
  <c r="X184" i="1"/>
  <c r="T182" i="1"/>
  <c r="U182" i="1" s="1"/>
  <c r="S182" i="1" s="1"/>
  <c r="W181" i="1"/>
  <c r="W176" i="1"/>
  <c r="W175" i="1"/>
  <c r="W162" i="1"/>
  <c r="W161" i="1"/>
  <c r="W160" i="1"/>
  <c r="X112" i="1"/>
  <c r="X108" i="1"/>
  <c r="X104" i="1"/>
  <c r="X205" i="1"/>
  <c r="X99" i="1"/>
  <c r="X95" i="1"/>
  <c r="X188" i="1"/>
  <c r="X185" i="1"/>
  <c r="W173" i="1"/>
  <c r="W170" i="1"/>
  <c r="W158" i="1"/>
  <c r="W91" i="1"/>
  <c r="W89" i="1"/>
  <c r="W180" i="1"/>
  <c r="W169" i="1"/>
  <c r="W92" i="1"/>
  <c r="W167" i="1"/>
  <c r="W88" i="1"/>
  <c r="W86" i="1"/>
  <c r="W179" i="1"/>
  <c r="W178" i="1"/>
  <c r="W93" i="1"/>
  <c r="W165" i="1"/>
  <c r="W163" i="1"/>
  <c r="W83" i="1"/>
  <c r="X179" i="1"/>
  <c r="X176" i="1"/>
  <c r="X172" i="1"/>
  <c r="X168" i="1"/>
  <c r="X165" i="1"/>
  <c r="X91" i="1"/>
  <c r="X87" i="1"/>
  <c r="T82" i="1"/>
  <c r="U82" i="1" s="1"/>
  <c r="S82" i="1" s="1"/>
  <c r="X82" i="1"/>
  <c r="W60" i="1"/>
  <c r="W58" i="1"/>
  <c r="W57" i="1"/>
  <c r="W53" i="1"/>
  <c r="W51" i="1"/>
  <c r="W64" i="1"/>
  <c r="W62" i="1"/>
  <c r="W59" i="1"/>
  <c r="W55" i="1"/>
  <c r="W52" i="1"/>
  <c r="X181" i="1"/>
  <c r="X93" i="1"/>
  <c r="X174" i="1"/>
  <c r="X170" i="1"/>
  <c r="X167" i="1"/>
  <c r="X163" i="1"/>
  <c r="X89" i="1"/>
  <c r="X85" i="1"/>
  <c r="T83" i="1"/>
  <c r="U83" i="1" s="1"/>
  <c r="S83" i="1" s="1"/>
  <c r="X83" i="1"/>
  <c r="W66" i="1"/>
  <c r="W65" i="1"/>
  <c r="X178" i="1"/>
  <c r="X175" i="1"/>
  <c r="X171" i="1"/>
  <c r="X92" i="1"/>
  <c r="X164" i="1"/>
  <c r="X90" i="1"/>
  <c r="X86" i="1"/>
  <c r="W82" i="1"/>
  <c r="W81" i="1"/>
  <c r="W79" i="1"/>
  <c r="W77" i="1"/>
  <c r="W75" i="1"/>
  <c r="W74" i="1"/>
  <c r="W73" i="1"/>
  <c r="W71" i="1"/>
  <c r="W69" i="1"/>
  <c r="W67" i="1"/>
  <c r="X78" i="1"/>
  <c r="X74" i="1"/>
  <c r="X70" i="1"/>
  <c r="X66" i="1"/>
  <c r="X62" i="1"/>
  <c r="X58" i="1"/>
  <c r="T52" i="1"/>
  <c r="U52" i="1" s="1"/>
  <c r="S52" i="1" s="1"/>
  <c r="W40" i="1"/>
  <c r="W37" i="1"/>
  <c r="W35" i="1"/>
  <c r="W24" i="1"/>
  <c r="W22" i="1"/>
  <c r="W16" i="1"/>
  <c r="X79" i="1"/>
  <c r="X75" i="1"/>
  <c r="X71" i="1"/>
  <c r="X67" i="1"/>
  <c r="X63" i="1"/>
  <c r="X59" i="1"/>
  <c r="W41" i="1"/>
  <c r="W28" i="1"/>
  <c r="W26" i="1"/>
  <c r="W25" i="1"/>
  <c r="W23" i="1"/>
  <c r="W17" i="1"/>
  <c r="W15" i="1"/>
  <c r="W46" i="1"/>
  <c r="W32" i="1"/>
  <c r="W30" i="1"/>
  <c r="W29" i="1"/>
  <c r="W20" i="1"/>
  <c r="W18" i="1"/>
  <c r="W50" i="1"/>
  <c r="W47" i="1"/>
  <c r="W36" i="1"/>
  <c r="W34" i="1"/>
  <c r="W33" i="1"/>
  <c r="W31" i="1"/>
  <c r="W21" i="1"/>
  <c r="X50" i="1"/>
  <c r="X46" i="1"/>
  <c r="X42" i="1"/>
  <c r="X38" i="1"/>
  <c r="X34" i="1"/>
  <c r="X30" i="1"/>
  <c r="X26" i="1"/>
  <c r="X22" i="1"/>
  <c r="X18" i="1"/>
  <c r="X51" i="1"/>
  <c r="X47" i="1"/>
  <c r="X43" i="1"/>
  <c r="X39" i="1"/>
  <c r="X35" i="1"/>
  <c r="X31" i="1"/>
  <c r="X27" i="1"/>
  <c r="X23" i="1"/>
  <c r="X19" i="1"/>
  <c r="X15" i="1"/>
  <c r="AC9" i="3"/>
  <c r="AD17" i="3"/>
  <c r="AD13" i="3"/>
  <c r="AD41" i="3"/>
  <c r="AE35" i="3"/>
  <c r="AE31" i="3"/>
  <c r="AD15" i="3"/>
  <c r="AD12" i="3"/>
  <c r="AD25" i="3"/>
  <c r="AE11" i="3"/>
  <c r="AD9" i="3"/>
  <c r="AE15" i="3"/>
  <c r="AD11" i="3"/>
  <c r="AD8" i="3"/>
  <c r="AC12" i="3"/>
  <c r="T12" i="3"/>
  <c r="AC41" i="3"/>
  <c r="AC31" i="3"/>
  <c r="AC45" i="3"/>
  <c r="AC22" i="3"/>
  <c r="AC25" i="3"/>
  <c r="AC46" i="3"/>
  <c r="AC15" i="3"/>
  <c r="Y9" i="3"/>
  <c r="Y31" i="3"/>
  <c r="Y18" i="3"/>
  <c r="Y22" i="3"/>
  <c r="Y10" i="3"/>
  <c r="Y19" i="3"/>
  <c r="Y15" i="3"/>
  <c r="Y45" i="3"/>
  <c r="Y12" i="3"/>
  <c r="Y38" i="3"/>
  <c r="Y7" i="3"/>
  <c r="Y27" i="3"/>
  <c r="Y11" i="3"/>
  <c r="Y21" i="3"/>
  <c r="Y46" i="3"/>
  <c r="Y40" i="3"/>
  <c r="Y35" i="3"/>
  <c r="Y36" i="3"/>
  <c r="Y34" i="3"/>
  <c r="Y33" i="3"/>
  <c r="Y32" i="3"/>
  <c r="Y30" i="3"/>
  <c r="Y13" i="3"/>
  <c r="Y17" i="3"/>
  <c r="Y23" i="3"/>
  <c r="Y44" i="3"/>
  <c r="Y20" i="3"/>
  <c r="Y14" i="3"/>
  <c r="Y26" i="3"/>
  <c r="Y25" i="3"/>
  <c r="Y42" i="3"/>
  <c r="Y41" i="3"/>
  <c r="Y39" i="3"/>
  <c r="Y29" i="3"/>
  <c r="Y28" i="3"/>
  <c r="Y24" i="3"/>
  <c r="Y8" i="3"/>
  <c r="Y16" i="3"/>
  <c r="Y37" i="3"/>
  <c r="AE34" i="3"/>
  <c r="T32" i="3"/>
  <c r="AE26" i="3"/>
  <c r="T13" i="3"/>
  <c r="AE22" i="3"/>
  <c r="T17" i="3"/>
  <c r="AE18" i="3"/>
  <c r="T23" i="3"/>
  <c r="AE14" i="3"/>
  <c r="T44" i="3"/>
  <c r="AE10" i="3"/>
  <c r="T20" i="3"/>
  <c r="AE30" i="3"/>
  <c r="T30" i="3"/>
  <c r="AE45" i="3"/>
  <c r="T25" i="3"/>
  <c r="AD42" i="3"/>
  <c r="AD38" i="3"/>
  <c r="AE37" i="3"/>
  <c r="T41" i="3"/>
  <c r="AD34" i="3"/>
  <c r="AE33" i="3"/>
  <c r="T39" i="3"/>
  <c r="AD30" i="3"/>
  <c r="AE29" i="3"/>
  <c r="T29" i="3"/>
  <c r="AD26" i="3"/>
  <c r="AE25" i="3"/>
  <c r="T28" i="3"/>
  <c r="AD22" i="3"/>
  <c r="AE21" i="3"/>
  <c r="T24" i="3"/>
  <c r="AD18" i="3"/>
  <c r="AE17" i="3"/>
  <c r="T8" i="3"/>
  <c r="AD14" i="3"/>
  <c r="AE13" i="3"/>
  <c r="T16" i="3"/>
  <c r="AD10" i="3"/>
  <c r="AE9" i="3"/>
  <c r="T37" i="3"/>
  <c r="AE46" i="3"/>
  <c r="T26" i="3"/>
  <c r="AE42" i="3"/>
  <c r="T34" i="3"/>
  <c r="AE38" i="3"/>
  <c r="T33" i="3"/>
  <c r="AD46" i="3"/>
  <c r="AE41" i="3"/>
  <c r="T42" i="3"/>
  <c r="AE44" i="3"/>
  <c r="AE40" i="3"/>
  <c r="AE36" i="3"/>
  <c r="AE32" i="3"/>
  <c r="AE28" i="3"/>
  <c r="AE24" i="3"/>
  <c r="AE20" i="3"/>
  <c r="AE16" i="3"/>
  <c r="AE12" i="3"/>
  <c r="AE8" i="3"/>
  <c r="M43" i="3"/>
  <c r="R43" i="3"/>
  <c r="S43" i="3"/>
  <c r="U43" i="3"/>
  <c r="V43" i="3"/>
  <c r="X43" i="3"/>
  <c r="W43" i="3"/>
  <c r="AD43" i="3" l="1"/>
  <c r="AE43" i="3"/>
  <c r="Y43" i="3"/>
  <c r="AC43" i="3"/>
  <c r="T43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N19" i="3" s="1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N37" i="3" s="1"/>
  <c r="G37" i="4"/>
  <c r="G38" i="4"/>
  <c r="G39" i="4"/>
  <c r="G40" i="4"/>
  <c r="G41" i="4"/>
  <c r="G42" i="4"/>
  <c r="G43" i="4"/>
  <c r="G44" i="4"/>
  <c r="N20" i="3" s="1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N21" i="3" s="1"/>
  <c r="G65" i="4"/>
  <c r="G66" i="4"/>
  <c r="G67" i="4"/>
  <c r="G68" i="4"/>
  <c r="G69" i="4"/>
  <c r="N10" i="3" s="1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N16" i="3" s="1"/>
  <c r="G86" i="4"/>
  <c r="G87" i="4"/>
  <c r="G88" i="4"/>
  <c r="N44" i="3" s="1"/>
  <c r="G89" i="4"/>
  <c r="G90" i="4"/>
  <c r="G91" i="4"/>
  <c r="G92" i="4"/>
  <c r="G93" i="4"/>
  <c r="G94" i="4"/>
  <c r="G95" i="4"/>
  <c r="G96" i="4"/>
  <c r="G97" i="4"/>
  <c r="G98" i="4"/>
  <c r="G99" i="4"/>
  <c r="N11" i="3" s="1"/>
  <c r="G100" i="4"/>
  <c r="G101" i="4"/>
  <c r="N22" i="3" s="1"/>
  <c r="G102" i="4"/>
  <c r="G103" i="4"/>
  <c r="G104" i="4"/>
  <c r="G105" i="4"/>
  <c r="G106" i="4"/>
  <c r="G107" i="4"/>
  <c r="N8" i="3" s="1"/>
  <c r="G108" i="4"/>
  <c r="G109" i="4"/>
  <c r="G110" i="4"/>
  <c r="N23" i="3" s="1"/>
  <c r="G111" i="4"/>
  <c r="G112" i="4"/>
  <c r="G113" i="4"/>
  <c r="N27" i="3" s="1"/>
  <c r="G114" i="4"/>
  <c r="G115" i="4"/>
  <c r="G116" i="4"/>
  <c r="N24" i="3" s="1"/>
  <c r="G117" i="4"/>
  <c r="G118" i="4"/>
  <c r="G119" i="4"/>
  <c r="G120" i="4"/>
  <c r="G121" i="4"/>
  <c r="G122" i="4"/>
  <c r="N18" i="3" s="1"/>
  <c r="G123" i="4"/>
  <c r="G124" i="4"/>
  <c r="G125" i="4"/>
  <c r="N17" i="3" s="1"/>
  <c r="G126" i="4"/>
  <c r="G127" i="4"/>
  <c r="G128" i="4"/>
  <c r="G129" i="4"/>
  <c r="G130" i="4"/>
  <c r="G131" i="4"/>
  <c r="G132" i="4"/>
  <c r="N7" i="3" s="1"/>
  <c r="G133" i="4"/>
  <c r="G134" i="4"/>
  <c r="G135" i="4"/>
  <c r="G136" i="4"/>
  <c r="G137" i="4"/>
  <c r="G138" i="4"/>
  <c r="G139" i="4"/>
  <c r="N45" i="3" s="1"/>
  <c r="G140" i="4"/>
  <c r="G141" i="4"/>
  <c r="G142" i="4"/>
  <c r="G143" i="4"/>
  <c r="N28" i="3" s="1"/>
  <c r="G144" i="4"/>
  <c r="N13" i="3" s="1"/>
  <c r="G145" i="4"/>
  <c r="G146" i="4"/>
  <c r="G147" i="4"/>
  <c r="G148" i="4"/>
  <c r="G149" i="4"/>
  <c r="N29" i="3" s="1"/>
  <c r="G150" i="4"/>
  <c r="N38" i="3" s="1"/>
  <c r="G151" i="4"/>
  <c r="G152" i="4"/>
  <c r="G153" i="4"/>
  <c r="N15" i="3" s="1"/>
  <c r="G154" i="4"/>
  <c r="G155" i="4"/>
  <c r="G156" i="4"/>
  <c r="G157" i="4"/>
  <c r="G158" i="4"/>
  <c r="G159" i="4"/>
  <c r="G160" i="4"/>
  <c r="G161" i="4"/>
  <c r="G162" i="4"/>
  <c r="N14" i="3" s="1"/>
  <c r="G163" i="4"/>
  <c r="N30" i="3" s="1"/>
  <c r="G164" i="4"/>
  <c r="G165" i="4"/>
  <c r="G166" i="4"/>
  <c r="N31" i="3" s="1"/>
  <c r="G167" i="4"/>
  <c r="G168" i="4"/>
  <c r="G169" i="4"/>
  <c r="N32" i="3" s="1"/>
  <c r="G170" i="4"/>
  <c r="G171" i="4"/>
  <c r="G172" i="4"/>
  <c r="N39" i="3" s="1"/>
  <c r="G173" i="4"/>
  <c r="G174" i="4"/>
  <c r="G175" i="4"/>
  <c r="G176" i="4"/>
  <c r="G177" i="4"/>
  <c r="G178" i="4"/>
  <c r="G179" i="4"/>
  <c r="G180" i="4"/>
  <c r="G181" i="4"/>
  <c r="G182" i="4"/>
  <c r="G183" i="4"/>
  <c r="G184" i="4"/>
  <c r="N33" i="3" s="1"/>
  <c r="G185" i="4"/>
  <c r="G186" i="4"/>
  <c r="G187" i="4"/>
  <c r="N12" i="3" s="1"/>
  <c r="G188" i="4"/>
  <c r="N41" i="3" s="1"/>
  <c r="G189" i="4"/>
  <c r="G190" i="4"/>
  <c r="G191" i="4"/>
  <c r="G192" i="4"/>
  <c r="G193" i="4"/>
  <c r="G194" i="4"/>
  <c r="G195" i="4"/>
  <c r="G196" i="4"/>
  <c r="G197" i="4"/>
  <c r="N46" i="3" s="1"/>
  <c r="G198" i="4"/>
  <c r="G199" i="4"/>
  <c r="G200" i="4"/>
  <c r="G201" i="4"/>
  <c r="G202" i="4"/>
  <c r="G203" i="4"/>
  <c r="N42" i="3" s="1"/>
  <c r="G204" i="4"/>
  <c r="G205" i="4"/>
  <c r="G206" i="4"/>
  <c r="G207" i="4"/>
  <c r="G208" i="4"/>
  <c r="G209" i="4"/>
  <c r="N34" i="3" s="1"/>
  <c r="G210" i="4"/>
  <c r="G211" i="4"/>
  <c r="G212" i="4"/>
  <c r="G213" i="4"/>
  <c r="G214" i="4"/>
  <c r="G215" i="4"/>
  <c r="N35" i="3" s="1"/>
  <c r="G216" i="4"/>
  <c r="G217" i="4"/>
  <c r="G218" i="4"/>
  <c r="G219" i="4"/>
  <c r="G220" i="4"/>
  <c r="G221" i="4"/>
  <c r="G222" i="4"/>
  <c r="G223" i="4"/>
  <c r="G224" i="4"/>
  <c r="G225" i="4"/>
  <c r="G226" i="4"/>
  <c r="G227" i="4"/>
  <c r="N26" i="3" s="1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6" i="3" l="1"/>
  <c r="N40" i="3"/>
  <c r="N9" i="3"/>
  <c r="N25" i="3"/>
  <c r="N43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3" i="6" l="1"/>
  <c r="G259" i="4"/>
  <c r="G260" i="4"/>
  <c r="G261" i="4"/>
  <c r="G262" i="4"/>
  <c r="G263" i="4"/>
  <c r="G264" i="4"/>
  <c r="G265" i="4"/>
  <c r="B4" i="6" l="1"/>
  <c r="G3" i="6"/>
  <c r="I3" i="6"/>
  <c r="H3" i="6"/>
  <c r="J3" i="6"/>
  <c r="F3" i="6"/>
  <c r="M14" i="5"/>
  <c r="M13" i="5"/>
  <c r="M12" i="5"/>
  <c r="M11" i="5"/>
  <c r="M10" i="5"/>
  <c r="M9" i="5"/>
  <c r="M8" i="5"/>
  <c r="M7" i="5"/>
  <c r="M6" i="5"/>
  <c r="M5" i="5"/>
  <c r="M4" i="5"/>
  <c r="M3" i="5"/>
  <c r="F4" i="6" l="1"/>
  <c r="G4" i="6"/>
  <c r="I4" i="6"/>
  <c r="J4" i="6"/>
  <c r="H4" i="6"/>
  <c r="B5" i="6"/>
  <c r="O3" i="3"/>
  <c r="H5" i="6" l="1"/>
  <c r="I5" i="6"/>
  <c r="F5" i="6"/>
  <c r="G5" i="6"/>
  <c r="J5" i="6"/>
  <c r="B6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7" i="6" l="1"/>
  <c r="F7" i="6" s="1"/>
  <c r="F6" i="6"/>
  <c r="G6" i="6"/>
  <c r="I6" i="6"/>
  <c r="H6" i="6"/>
  <c r="J6" i="6"/>
  <c r="J8" i="1"/>
  <c r="J4" i="1"/>
  <c r="S8" i="1"/>
  <c r="S4" i="1"/>
  <c r="J7" i="6" l="1"/>
  <c r="I7" i="6"/>
  <c r="G7" i="6"/>
  <c r="H7" i="6"/>
  <c r="B8" i="6"/>
  <c r="S9" i="1"/>
  <c r="J9" i="1"/>
  <c r="B9" i="6" l="1"/>
  <c r="H8" i="6"/>
  <c r="J8" i="6"/>
  <c r="F8" i="6"/>
  <c r="G8" i="6"/>
  <c r="I8" i="6"/>
  <c r="S11" i="1"/>
  <c r="A11" i="1"/>
  <c r="B10" i="6" l="1"/>
  <c r="F9" i="6"/>
  <c r="I9" i="6"/>
  <c r="J9" i="6"/>
  <c r="G9" i="6"/>
  <c r="H9" i="6"/>
  <c r="B1" i="6"/>
  <c r="A5" i="3"/>
  <c r="B11" i="6" l="1"/>
  <c r="G10" i="6"/>
  <c r="H10" i="6"/>
  <c r="F10" i="6"/>
  <c r="I10" i="6"/>
  <c r="J10" i="6"/>
  <c r="G11" i="6" l="1"/>
  <c r="H11" i="6"/>
  <c r="I11" i="6"/>
  <c r="J11" i="6"/>
  <c r="F11" i="6"/>
  <c r="B12" i="6"/>
  <c r="H12" i="6" l="1"/>
  <c r="F12" i="6"/>
  <c r="G12" i="6"/>
  <c r="I12" i="6"/>
  <c r="J12" i="6"/>
  <c r="B13" i="6"/>
  <c r="B14" i="6" l="1"/>
  <c r="G13" i="6"/>
  <c r="H13" i="6"/>
  <c r="I13" i="6"/>
  <c r="J13" i="6"/>
  <c r="F13" i="6"/>
  <c r="B15" i="6" l="1"/>
  <c r="I14" i="6"/>
  <c r="G14" i="6"/>
  <c r="F14" i="6"/>
  <c r="H14" i="6"/>
  <c r="J14" i="6"/>
  <c r="G15" i="6" l="1"/>
  <c r="F15" i="6"/>
  <c r="H15" i="6"/>
  <c r="I15" i="6"/>
  <c r="J15" i="6"/>
  <c r="B16" i="6"/>
  <c r="H16" i="6" l="1"/>
  <c r="J16" i="6"/>
  <c r="F16" i="6"/>
  <c r="G16" i="6"/>
  <c r="I16" i="6"/>
  <c r="B17" i="6"/>
  <c r="B18" i="6" l="1"/>
  <c r="F17" i="6"/>
  <c r="G17" i="6"/>
  <c r="I17" i="6"/>
  <c r="H17" i="6"/>
  <c r="J17" i="6"/>
  <c r="F18" i="6" l="1"/>
  <c r="G18" i="6"/>
  <c r="J18" i="6"/>
  <c r="H18" i="6"/>
  <c r="I18" i="6"/>
  <c r="B19" i="6"/>
  <c r="G19" i="6" l="1"/>
  <c r="J19" i="6"/>
  <c r="F19" i="6"/>
  <c r="H19" i="6"/>
  <c r="I19" i="6"/>
  <c r="B20" i="6"/>
  <c r="B21" i="6" l="1"/>
  <c r="F20" i="6"/>
  <c r="G20" i="6"/>
  <c r="H20" i="6"/>
  <c r="I20" i="6"/>
  <c r="J20" i="6"/>
  <c r="B22" i="6" l="1"/>
  <c r="J21" i="6"/>
  <c r="F21" i="6"/>
  <c r="I21" i="6"/>
  <c r="G21" i="6"/>
  <c r="H21" i="6"/>
  <c r="B23" i="6" l="1"/>
  <c r="G22" i="6"/>
  <c r="H22" i="6"/>
  <c r="F22" i="6"/>
  <c r="I22" i="6"/>
  <c r="J22" i="6"/>
  <c r="G23" i="6" l="1"/>
  <c r="I23" i="6"/>
  <c r="J23" i="6"/>
  <c r="F23" i="6"/>
  <c r="H23" i="6"/>
  <c r="B24" i="6"/>
  <c r="B25" i="6" l="1"/>
  <c r="J24" i="6"/>
  <c r="F24" i="6"/>
  <c r="H24" i="6"/>
  <c r="G24" i="6"/>
  <c r="I24" i="6"/>
  <c r="B26" i="6" l="1"/>
  <c r="H25" i="6"/>
  <c r="F25" i="6"/>
  <c r="I25" i="6"/>
  <c r="J25" i="6"/>
  <c r="G25" i="6"/>
  <c r="B28" i="6" l="1"/>
  <c r="B27" i="6"/>
  <c r="G26" i="6"/>
  <c r="H26" i="6"/>
  <c r="F26" i="6"/>
  <c r="I26" i="6"/>
  <c r="J26" i="6"/>
  <c r="G27" i="6" l="1"/>
  <c r="H27" i="6"/>
  <c r="I27" i="6"/>
  <c r="J27" i="6"/>
  <c r="F27" i="6"/>
  <c r="H28" i="6"/>
  <c r="J28" i="6"/>
  <c r="G28" i="6"/>
  <c r="I28" i="6"/>
  <c r="F2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<sst xmlns="http://schemas.openxmlformats.org/spreadsheetml/2006/main" count="2833" uniqueCount="1051">
  <si>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</si>
  <si>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</si>
  <si>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</si>
  <si>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</si>
  <si>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</si>
  <si>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</si>
  <si>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</si>
  <si>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</si>
  <si>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</si>
  <si>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</si>
  <si>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</si>
  <si>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</si>
  <si>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</si>
  <si>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</si>
  <si>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</si>
  <si>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</si>
  <si>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</si>
  <si>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</si>
  <si>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</si>
  <si>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</si>
  <si>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</si>
  <si>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</si>
  <si>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</si>
  <si>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</si>
  <si>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</si>
  <si>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</si>
  <si>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</si>
  <si>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</si>
  <si>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</si>
  <si>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</si>
  <si>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</si>
  <si>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</si>
  <si>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</si>
  <si>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</si>
  <si>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</si>
  <si>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</si>
  <si>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</si>
  <si>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</si>
  <si>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</si>
  <si>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</si>
  <si>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</si>
  <si>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</si>
  <si>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</si>
  <si>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</si>
  <si>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</si>
  <si>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</si>
  <si>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</si>
  <si>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</si>
  <si>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</si>
  <si>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</si>
  <si>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</si>
  <si>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</si>
  <si>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</si>
  <si>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</si>
  <si>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</si>
  <si>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</si>
  <si>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</si>
  <si>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</si>
  <si>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</si>
  <si>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</si>
  <si>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</si>
  <si>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</si>
  <si>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</si>
  <si>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</si>
  <si>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</si>
  <si>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</si>
  <si>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</si>
  <si>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</si>
  <si>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</si>
  <si>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</si>
  <si>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</si>
  <si>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</si>
  <si>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</si>
  <si>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</si>
  <si>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</si>
  <si>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</si>
  <si>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</si>
  <si>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</si>
  <si>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</si>
  <si>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</si>
  <si>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</si>
  <si>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</si>
  <si>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</si>
  <si>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</si>
  <si>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</si>
  <si>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</si>
  <si>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</si>
  <si>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</si>
  <si>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</si>
  <si>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</si>
  <si>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</si>
  <si>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</si>
  <si>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</si>
  <si>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</si>
  <si>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</si>
  <si>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</si>
  <si>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</si>
  <si>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</si>
  <si>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</si>
  <si>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</si>
  <si>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</si>
  <si>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</si>
  <si>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</si>
  <si>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</si>
  <si>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</si>
  <si>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</si>
  <si>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</si>
  <si>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</si>
  <si>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</si>
  <si>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</si>
  <si>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</si>
  <si>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</si>
  <si>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</si>
  <si>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</si>
  <si>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</si>
  <si>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</si>
  <si>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</si>
  <si>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</si>
  <si>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</si>
  <si>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</si>
  <si>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</si>
  <si>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</si>
  <si>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</si>
  <si>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</si>
  <si>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</si>
  <si>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</si>
  <si>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</si>
  <si>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</si>
  <si>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</si>
  <si>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</si>
  <si>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</si>
  <si>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</si>
  <si>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</si>
  <si>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</si>
  <si>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</si>
  <si>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</si>
  <si>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</si>
  <si>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</si>
  <si>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</si>
  <si>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</si>
  <si>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</si>
  <si>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</si>
  <si>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</si>
  <si>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</si>
  <si>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</si>
  <si>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</si>
  <si>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</si>
  <si>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</si>
  <si>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</si>
  <si>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</si>
  <si>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</si>
  <si>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</si>
  <si>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</si>
  <si>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</si>
  <si>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</si>
  <si>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</si>
  <si>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</si>
  <si>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</si>
  <si>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</si>
  <si>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</si>
  <si>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</si>
  <si>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</si>
  <si>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</si>
  <si>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</si>
  <si>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</si>
  <si>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</si>
  <si>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</si>
  <si>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</si>
  <si>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</si>
  <si>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</si>
  <si>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</si>
  <si>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</si>
  <si>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</si>
  <si>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</si>
  <si>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</si>
  <si>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</si>
  <si>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</si>
  <si>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</si>
  <si>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</si>
  <si>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</si>
  <si>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</si>
  <si>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</si>
  <si>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</si>
  <si>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</si>
  <si>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</si>
  <si>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</si>
  <si>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</si>
  <si>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</si>
  <si>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</si>
  <si>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</si>
  <si>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</si>
  <si>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</si>
  <si>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</si>
  <si>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</si>
  <si>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</si>
  <si>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</si>
  <si>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</si>
  <si>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</si>
  <si>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</si>
  <si>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</si>
  <si>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</si>
  <si>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</si>
  <si>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</si>
  <si>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</si>
  <si>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</si>
  <si>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</si>
  <si>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</si>
  <si>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</si>
  <si>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</si>
  <si>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</si>
  <si>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</si>
  <si>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</si>
  <si>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</si>
  <si>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</si>
  <si>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</si>
  <si>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</si>
  <si>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</si>
  <si>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</si>
  <si>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</si>
  <si>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</si>
  <si>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</si>
  <si>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</si>
  <si>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</si>
  <si>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</si>
  <si>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</si>
  <si>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</si>
  <si>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</si>
  <si>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</si>
  <si>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</si>
  <si>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</si>
  <si>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</si>
  <si>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</si>
  <si>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</si>
  <si>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</si>
  <si>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</si>
  <si>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</si>
  <si>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</si>
  <si>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</si>
  <si>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</si>
  <si>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</si>
  <si>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</si>
  <si>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</si>
  <si>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</si>
  <si>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</si>
  <si>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</si>
  <si>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</si>
  <si>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</si>
  <si>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</si>
  <si>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</si>
  <si>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</si>
  <si>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</si>
  <si>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</si>
  <si>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</si>
  <si>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</si>
  <si>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</si>
  <si>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</si>
  <si>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</si>
  <si>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</si>
  <si>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</si>
  <si>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</si>
  <si>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</si>
  <si>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</si>
  <si>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</si>
  <si>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</si>
  <si>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</si>
  <si>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</si>
  <si>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</si>
  <si>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</si>
  <si>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</si>
  <si>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</si>
  <si>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</si>
  <si>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</si>
  <si>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</si>
  <si>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</si>
  <si>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</si>
  <si>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</si>
  <si>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</si>
  <si>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</si>
  <si>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</si>
  <si>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</si>
  <si>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</si>
  <si>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</si>
  <si>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</si>
  <si>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</si>
  <si>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</si>
  <si>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</si>
  <si>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</si>
  <si>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</si>
  <si>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</si>
  <si>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</si>
  <si>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</si>
  <si>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</si>
  <si>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</si>
  <si>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</si>
  <si>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</si>
  <si>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</si>
  <si>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</si>
  <si>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</si>
  <si>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</si>
  <si>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</si>
  <si>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</si>
  <si>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</si>
  <si>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</si>
  <si>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</si>
  <si>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</si>
  <si>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</si>
  <si>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</si>
  <si>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</si>
  <si>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</si>
  <si>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</si>
  <si>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</si>
  <si>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</si>
  <si>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</si>
  <si>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</si>
  <si>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</si>
  <si>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</si>
  <si>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</si>
  <si>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</si>
  <si>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</si>
  <si>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</si>
  <si>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</si>
  <si>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</si>
  <si>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</si>
  <si>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</si>
  <si>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</si>
  <si>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</si>
  <si>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</si>
  <si>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</si>
  <si>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</si>
  <si>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</si>
  <si>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</si>
  <si>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</si>
  <si>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</si>
  <si>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</si>
  <si>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</si>
  <si>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</si>
  <si>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</si>
  <si>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</si>
  <si>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</si>
  <si>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</si>
  <si>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</si>
  <si>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</si>
  <si>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</si>
  <si>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</si>
  <si>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</si>
  <si>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</si>
  <si>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</si>
  <si>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</si>
  <si>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</si>
  <si>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</si>
  <si>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</si>
  <si>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</si>
  <si>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</si>
  <si>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</si>
  <si>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</si>
  <si>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</si>
  <si>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</si>
  <si>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</si>
  <si>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</si>
  <si>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</si>
  <si>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</si>
  <si>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</si>
  <si>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</si>
  <si>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</si>
  <si>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</si>
  <si>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</si>
  <si>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</si>
  <si>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</si>
  <si>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</si>
  <si>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</si>
  <si>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</si>
  <si>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</si>
  <si>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</si>
  <si>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</si>
  <si>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</si>
  <si>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</si>
  <si>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</si>
  <si>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</si>
  <si>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</si>
  <si>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</si>
  <si>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</si>
  <si>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</si>
  <si>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FORTUNATO</t>
  </si>
  <si>
    <t>FRANK</t>
  </si>
  <si>
    <t>M - F = 49 trips</t>
  </si>
  <si>
    <t>Sat - Sun = 35 Trips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</si>
  <si>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</si>
  <si>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</si>
  <si>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</si>
  <si>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</si>
  <si>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</si>
  <si>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</si>
  <si>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</si>
  <si>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</si>
  <si>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</si>
  <si>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</si>
  <si>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</si>
  <si>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</si>
  <si>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</si>
  <si>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</si>
  <si>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</si>
  <si>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</si>
  <si>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</si>
  <si>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</si>
  <si>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</si>
  <si>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</si>
  <si>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</si>
  <si>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Early arrival</t>
  </si>
  <si>
    <t>rtdc.l.rtdc.4007:itc</t>
  </si>
  <si>
    <t>204:435</t>
  </si>
  <si>
    <t>204:471</t>
  </si>
  <si>
    <t>STARKS</t>
  </si>
  <si>
    <t>ANGELINA</t>
  </si>
  <si>
    <t>MOSES</t>
  </si>
  <si>
    <t>BRADLEY</t>
  </si>
  <si>
    <t>rtdc.l.rtdc.4041:itc</t>
  </si>
  <si>
    <t>rtdc.l.rtdc.4062:itc</t>
  </si>
  <si>
    <t>rtdc.l.rtdc.4061:itc</t>
  </si>
  <si>
    <t>240-05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</si>
  <si>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</si>
  <si>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</si>
  <si>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</si>
  <si>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</si>
  <si>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</si>
  <si>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</si>
  <si>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</si>
  <si>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</si>
  <si>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</si>
  <si>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</si>
  <si>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</si>
  <si>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</si>
  <si>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</si>
  <si>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</si>
  <si>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</si>
  <si>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</si>
  <si>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</si>
  <si>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</si>
  <si>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</si>
  <si>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</si>
  <si>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</si>
  <si>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</si>
  <si>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</si>
  <si>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</si>
  <si>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</si>
  <si>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rtdc.l.rtdc.4031:itc</t>
  </si>
  <si>
    <t>300-07</t>
  </si>
  <si>
    <t>204:158</t>
  </si>
  <si>
    <t>204:442</t>
  </si>
  <si>
    <t>204:232994</t>
  </si>
  <si>
    <t>204:152</t>
  </si>
  <si>
    <t>204:233291</t>
  </si>
  <si>
    <t>204:460</t>
  </si>
  <si>
    <t>204:449</t>
  </si>
  <si>
    <t>BRANDON</t>
  </si>
  <si>
    <t>rtdc.l.rtdc.4024:itc</t>
  </si>
  <si>
    <t>ROMERO</t>
  </si>
  <si>
    <t>CHAD</t>
  </si>
  <si>
    <t>partly-cloudy-day</t>
  </si>
  <si>
    <t>Partly Cloudy</t>
  </si>
  <si>
    <t>partly-cloudy-night</t>
  </si>
  <si>
    <t>204:440</t>
  </si>
  <si>
    <t>204:232998</t>
  </si>
  <si>
    <t>rtdc.l.rtdc.4056:itc</t>
  </si>
  <si>
    <t>rtdc.l.rtdc.4055:itc</t>
  </si>
  <si>
    <t>204:233306</t>
  </si>
  <si>
    <t>204:163</t>
  </si>
  <si>
    <t>204:160</t>
  </si>
  <si>
    <t>204:438</t>
  </si>
  <si>
    <t>204:232978</t>
  </si>
  <si>
    <t>204:985</t>
  </si>
  <si>
    <t>300:58626</t>
  </si>
  <si>
    <t>rtdc.l.rtdc.4023:itc</t>
  </si>
  <si>
    <t>MACDONALD</t>
  </si>
  <si>
    <t>BADERTSCHER</t>
  </si>
  <si>
    <t>DIANE</t>
  </si>
  <si>
    <t>204:457</t>
  </si>
  <si>
    <t>204:232980</t>
  </si>
  <si>
    <t>rtdc.l.rtdc.4027:itc</t>
  </si>
  <si>
    <t>MAELZER</t>
  </si>
  <si>
    <t>KURT</t>
  </si>
  <si>
    <t>rtdc.l.rtdc.4028:itc</t>
  </si>
  <si>
    <t>GONZALEZ</t>
  </si>
  <si>
    <t>ARMANDO</t>
  </si>
  <si>
    <t>CASSIDY</t>
  </si>
  <si>
    <t>204:233307</t>
  </si>
  <si>
    <t>204:232985</t>
  </si>
  <si>
    <t>204:482</t>
  </si>
  <si>
    <t>204:232961</t>
  </si>
  <si>
    <t>204:232989</t>
  </si>
  <si>
    <t>204:233278</t>
  </si>
  <si>
    <t>204:233314</t>
  </si>
  <si>
    <t>300:58935</t>
  </si>
  <si>
    <t>300:58944</t>
  </si>
  <si>
    <t>204:976</t>
  </si>
  <si>
    <t>300:58634</t>
  </si>
  <si>
    <t>YANG</t>
  </si>
  <si>
    <t>JAN</t>
  </si>
  <si>
    <t>PAGE</t>
  </si>
  <si>
    <t>MARCUS</t>
  </si>
  <si>
    <t>precipType</t>
  </si>
  <si>
    <t>Mostly Cloudy</t>
  </si>
  <si>
    <t>rain</t>
  </si>
  <si>
    <t>Drizzle</t>
  </si>
  <si>
    <t>Light Rain</t>
  </si>
  <si>
    <t>204:233010</t>
  </si>
  <si>
    <t>204:233332</t>
  </si>
  <si>
    <t>204:232977</t>
  </si>
  <si>
    <t>204:444</t>
  </si>
  <si>
    <t>204:233304</t>
  </si>
  <si>
    <t>204:233280</t>
  </si>
  <si>
    <t>204:232976</t>
  </si>
  <si>
    <t>204:233308</t>
  </si>
  <si>
    <t>204:233038</t>
  </si>
  <si>
    <t>204:467</t>
  </si>
  <si>
    <t>204:232981</t>
  </si>
  <si>
    <t>204:469</t>
  </si>
  <si>
    <t>204:473</t>
  </si>
  <si>
    <t>204:484</t>
  </si>
  <si>
    <t>204:233316</t>
  </si>
  <si>
    <t>204:167</t>
  </si>
  <si>
    <t>300:23301</t>
  </si>
  <si>
    <t>204:1152</t>
  </si>
  <si>
    <t>204:1164</t>
  </si>
  <si>
    <t>300:58948</t>
  </si>
  <si>
    <t>300:58941</t>
  </si>
  <si>
    <t>300:58628</t>
  </si>
  <si>
    <t>rtdc.l.rtdc.4003:itc</t>
  </si>
  <si>
    <t>rtdc.l.rtdc.4005:itc</t>
  </si>
  <si>
    <t>rtdc.l.rtdc.4006:itc</t>
  </si>
  <si>
    <t>SIGNAL</t>
  </si>
  <si>
    <t>Signal based authority (5)</t>
  </si>
  <si>
    <t>rtdc.l.rtdc.4065:itc</t>
  </si>
  <si>
    <t>rtdc.l.rtdc.4066:itc</t>
  </si>
  <si>
    <t>rtdc.l.rtdc.4004:itc</t>
  </si>
  <si>
    <t>228-26</t>
  </si>
  <si>
    <t>908-26</t>
  </si>
  <si>
    <t>234-26</t>
  </si>
  <si>
    <t>WENDY</t>
  </si>
  <si>
    <t>rtdc.l.rtdc.4015:itc</t>
  </si>
  <si>
    <t>rtdc.l.rtdc.4016:itc</t>
  </si>
  <si>
    <t>LOPES</t>
  </si>
  <si>
    <t>KIMBERLY</t>
  </si>
  <si>
    <t>NELSON</t>
  </si>
  <si>
    <t>ARIANE</t>
  </si>
  <si>
    <t>224-26</t>
  </si>
  <si>
    <t>843-26</t>
  </si>
  <si>
    <t>227-26</t>
  </si>
  <si>
    <t>842-26</t>
  </si>
  <si>
    <t>226-26</t>
  </si>
  <si>
    <t>229-26</t>
  </si>
  <si>
    <t>845-26</t>
  </si>
  <si>
    <t>231-26</t>
  </si>
  <si>
    <t>RESPASS</t>
  </si>
  <si>
    <t>AARON</t>
  </si>
  <si>
    <t>844-26</t>
  </si>
  <si>
    <t>233-26</t>
  </si>
  <si>
    <t>230-26</t>
  </si>
  <si>
    <t>847-26</t>
  </si>
  <si>
    <t>232-26</t>
  </si>
  <si>
    <t>235-26</t>
  </si>
  <si>
    <t>87-26</t>
  </si>
  <si>
    <t>88-26</t>
  </si>
  <si>
    <t>237-26</t>
  </si>
  <si>
    <t>239-26</t>
  </si>
  <si>
    <t>236-26</t>
  </si>
  <si>
    <t>238-26</t>
  </si>
  <si>
    <t>241-26</t>
  </si>
  <si>
    <t>240-26</t>
  </si>
  <si>
    <t>243-26</t>
  </si>
  <si>
    <t>307-26</t>
  </si>
  <si>
    <t>242-26</t>
  </si>
  <si>
    <t>309-26</t>
  </si>
  <si>
    <t>244-26</t>
  </si>
  <si>
    <t>311-26</t>
  </si>
  <si>
    <t>313-26</t>
  </si>
  <si>
    <t>204:233370</t>
  </si>
  <si>
    <t>204:233299</t>
  </si>
  <si>
    <t>204:125</t>
  </si>
  <si>
    <t>204:233006</t>
  </si>
  <si>
    <t>204:232971</t>
  </si>
  <si>
    <t>204:464</t>
  </si>
  <si>
    <t>204:233004</t>
  </si>
  <si>
    <t>204:130</t>
  </si>
  <si>
    <t>204:478</t>
  </si>
  <si>
    <t>204:232988</t>
  </si>
  <si>
    <t>204:233287</t>
  </si>
  <si>
    <t>204:233298</t>
  </si>
  <si>
    <t>204:232986</t>
  </si>
  <si>
    <t>204:129</t>
  </si>
  <si>
    <t>204:127</t>
  </si>
  <si>
    <t>204:233410</t>
  </si>
  <si>
    <t>204:233128</t>
  </si>
  <si>
    <t>204:233389</t>
  </si>
  <si>
    <t>204:233385</t>
  </si>
  <si>
    <t>204:233053</t>
  </si>
  <si>
    <t>204:233300</t>
  </si>
  <si>
    <t>204:136</t>
  </si>
  <si>
    <t>204:233349</t>
  </si>
  <si>
    <t>204:433</t>
  </si>
  <si>
    <t>204:233346</t>
  </si>
  <si>
    <t>204:1156</t>
  </si>
  <si>
    <t>300:23306</t>
  </si>
  <si>
    <t>300:58638</t>
  </si>
  <si>
    <t>204:685</t>
  </si>
  <si>
    <t>204:990</t>
  </si>
  <si>
    <t>204:712</t>
  </si>
  <si>
    <t>300:58649</t>
  </si>
  <si>
    <t>204:691</t>
  </si>
  <si>
    <t>300:58952</t>
  </si>
  <si>
    <t>204:983</t>
  </si>
  <si>
    <t>300:58641</t>
  </si>
  <si>
    <t>300:58971</t>
  </si>
  <si>
    <t>204:1150</t>
  </si>
  <si>
    <t>204:706</t>
  </si>
  <si>
    <t>300:58632</t>
  </si>
  <si>
    <t>Form C</t>
  </si>
  <si>
    <t>rtdc.l.rtdc.4011:itc</t>
  </si>
  <si>
    <t>310-30</t>
  </si>
  <si>
    <t>SWITCH UNKNOWN</t>
  </si>
  <si>
    <t>Track device (7)</t>
  </si>
  <si>
    <t>rtdc.l.rtdc.4043:itc</t>
  </si>
  <si>
    <t>102-30</t>
  </si>
  <si>
    <t>rtdc.l.rtdc.4021:itc</t>
  </si>
  <si>
    <t>1800-30</t>
  </si>
  <si>
    <t>118-30</t>
  </si>
  <si>
    <t>132-30</t>
  </si>
  <si>
    <t>143-30</t>
  </si>
  <si>
    <t>146-30</t>
  </si>
  <si>
    <t>70-30</t>
  </si>
  <si>
    <t>154-30</t>
  </si>
  <si>
    <t>156-30</t>
  </si>
  <si>
    <t>160-30</t>
  </si>
  <si>
    <t>162-30</t>
  </si>
  <si>
    <t>171-30</t>
  </si>
  <si>
    <t>170-30</t>
  </si>
  <si>
    <t>rtdc.l.rtdc.4029:itc</t>
  </si>
  <si>
    <t>166-30</t>
  </si>
  <si>
    <t>rtdc.l.rtdc.4030:itc</t>
  </si>
  <si>
    <t>179-30</t>
  </si>
  <si>
    <t>185-30</t>
  </si>
  <si>
    <t>67-30</t>
  </si>
  <si>
    <t>191-30</t>
  </si>
  <si>
    <t>186-30</t>
  </si>
  <si>
    <t>1820-30</t>
  </si>
  <si>
    <t>192-30</t>
  </si>
  <si>
    <t>rtdc.l.rtdc.4044:itc</t>
  </si>
  <si>
    <t>197-30</t>
  </si>
  <si>
    <t>205-30</t>
  </si>
  <si>
    <t>200-30</t>
  </si>
  <si>
    <t>209-30</t>
  </si>
  <si>
    <t>1824-30</t>
  </si>
  <si>
    <t>211-30</t>
  </si>
  <si>
    <t>1825-30</t>
  </si>
  <si>
    <t>1827-30</t>
  </si>
  <si>
    <t>221-30</t>
  </si>
  <si>
    <t>220-30</t>
  </si>
  <si>
    <t>87-30</t>
  </si>
  <si>
    <t>1831-30</t>
  </si>
  <si>
    <t>rtdc.l.rtdc.4032:itc</t>
  </si>
  <si>
    <t>233-30</t>
  </si>
  <si>
    <t>237-30</t>
  </si>
  <si>
    <t>238-30</t>
  </si>
  <si>
    <t>rtdc.l.rtdc.4053:itc</t>
  </si>
  <si>
    <t>244-30</t>
  </si>
  <si>
    <t>242-29</t>
  </si>
  <si>
    <t>PERKINS</t>
  </si>
  <si>
    <t>DARREN</t>
  </si>
  <si>
    <t>245-29</t>
  </si>
  <si>
    <t>307-29</t>
  </si>
  <si>
    <t>244-29</t>
  </si>
  <si>
    <t>309-29</t>
  </si>
  <si>
    <t>246-29</t>
  </si>
  <si>
    <t>311-29</t>
  </si>
  <si>
    <t>313-29</t>
  </si>
  <si>
    <t>rtdc.l.rtdc.4057:itc</t>
  </si>
  <si>
    <t>300-30</t>
  </si>
  <si>
    <t>101-30</t>
  </si>
  <si>
    <t>302-30</t>
  </si>
  <si>
    <t>rtdc.l.rtdc.4058:itc</t>
  </si>
  <si>
    <t>51-30</t>
  </si>
  <si>
    <t>CHANDLER</t>
  </si>
  <si>
    <t>KELVIN</t>
  </si>
  <si>
    <t>52-30</t>
  </si>
  <si>
    <t>103-30</t>
  </si>
  <si>
    <t>304-30</t>
  </si>
  <si>
    <t>105-30</t>
  </si>
  <si>
    <t>306-30</t>
  </si>
  <si>
    <t>LALONDE</t>
  </si>
  <si>
    <t>GREGORY</t>
  </si>
  <si>
    <t>308-30</t>
  </si>
  <si>
    <t>GEBRETEKLE</t>
  </si>
  <si>
    <t>DAGNEW</t>
  </si>
  <si>
    <t>107-30</t>
  </si>
  <si>
    <t>104-30</t>
  </si>
  <si>
    <t>109-30</t>
  </si>
  <si>
    <t>111-30</t>
  </si>
  <si>
    <t>rtdc.l.rtdc.4012:itc</t>
  </si>
  <si>
    <t>113-30</t>
  </si>
  <si>
    <t>108-30</t>
  </si>
  <si>
    <t>106-30</t>
  </si>
  <si>
    <t>1901-30</t>
  </si>
  <si>
    <t>DAVIDSON</t>
  </si>
  <si>
    <t>DAVID</t>
  </si>
  <si>
    <t>110-30</t>
  </si>
  <si>
    <t>312-30</t>
  </si>
  <si>
    <t>115-30</t>
  </si>
  <si>
    <t>117-30</t>
  </si>
  <si>
    <t>112-30</t>
  </si>
  <si>
    <t>114-30</t>
  </si>
  <si>
    <t>119-30</t>
  </si>
  <si>
    <t>1801-30</t>
  </si>
  <si>
    <t>121-30</t>
  </si>
  <si>
    <t>116-30</t>
  </si>
  <si>
    <t>123-30</t>
  </si>
  <si>
    <t>1802-30</t>
  </si>
  <si>
    <t>125-30</t>
  </si>
  <si>
    <t>127-30</t>
  </si>
  <si>
    <t>120-30</t>
  </si>
  <si>
    <t>122-30</t>
  </si>
  <si>
    <t>1803-30</t>
  </si>
  <si>
    <t>129-30</t>
  </si>
  <si>
    <t>124-30</t>
  </si>
  <si>
    <t>131-30</t>
  </si>
  <si>
    <t>126-30</t>
  </si>
  <si>
    <t>1804-30</t>
  </si>
  <si>
    <t>128-30</t>
  </si>
  <si>
    <t>133-30</t>
  </si>
  <si>
    <t>130-30</t>
  </si>
  <si>
    <t>135-30</t>
  </si>
  <si>
    <t>1805-30</t>
  </si>
  <si>
    <t>137-30</t>
  </si>
  <si>
    <t>139-30</t>
  </si>
  <si>
    <t>1806-30</t>
  </si>
  <si>
    <t>136-30</t>
  </si>
  <si>
    <t>141-30</t>
  </si>
  <si>
    <t>134-30</t>
  </si>
  <si>
    <t>138-30</t>
  </si>
  <si>
    <t>1807-30</t>
  </si>
  <si>
    <t>145-30</t>
  </si>
  <si>
    <t>140-30</t>
  </si>
  <si>
    <t>147-30</t>
  </si>
  <si>
    <t>142-30</t>
  </si>
  <si>
    <t>149-30</t>
  </si>
  <si>
    <t>1808-30</t>
  </si>
  <si>
    <t>151-30</t>
  </si>
  <si>
    <t>1809-30</t>
  </si>
  <si>
    <t>153-30</t>
  </si>
  <si>
    <t>SULLIVAN</t>
  </si>
  <si>
    <t>54-30</t>
  </si>
  <si>
    <t>BROWN</t>
  </si>
  <si>
    <t>JACOB</t>
  </si>
  <si>
    <t>155-30</t>
  </si>
  <si>
    <t>148-30</t>
  </si>
  <si>
    <t>157-30</t>
  </si>
  <si>
    <t>1810-30</t>
  </si>
  <si>
    <t>150-30</t>
  </si>
  <si>
    <t>rtdc.l.rtdc.4054:itc</t>
  </si>
  <si>
    <t>56-30</t>
  </si>
  <si>
    <t>152-30</t>
  </si>
  <si>
    <t>159-30</t>
  </si>
  <si>
    <t>1811-30</t>
  </si>
  <si>
    <t>161-30</t>
  </si>
  <si>
    <t>158-30</t>
  </si>
  <si>
    <t>163-30</t>
  </si>
  <si>
    <t>THOMPSON</t>
  </si>
  <si>
    <t>LESTER</t>
  </si>
  <si>
    <t>1812-30</t>
  </si>
  <si>
    <t>165-30</t>
  </si>
  <si>
    <t>167-30</t>
  </si>
  <si>
    <t>1813-30</t>
  </si>
  <si>
    <t>169-30</t>
  </si>
  <si>
    <t>DELGADO</t>
  </si>
  <si>
    <t>DIANAH</t>
  </si>
  <si>
    <t>164-30</t>
  </si>
  <si>
    <t>50-30</t>
  </si>
  <si>
    <t>1814-30</t>
  </si>
  <si>
    <t>173-30</t>
  </si>
  <si>
    <t>MCREYNOLDS</t>
  </si>
  <si>
    <t>KYLE</t>
  </si>
  <si>
    <t>168-30</t>
  </si>
  <si>
    <t>1815-30</t>
  </si>
  <si>
    <t>175-30</t>
  </si>
  <si>
    <t>177-30</t>
  </si>
  <si>
    <t>172-30</t>
  </si>
  <si>
    <t>174-30</t>
  </si>
  <si>
    <t>1816-30</t>
  </si>
  <si>
    <t>181-30</t>
  </si>
  <si>
    <t>183-30</t>
  </si>
  <si>
    <t>176-30</t>
  </si>
  <si>
    <t>1817-30</t>
  </si>
  <si>
    <t>178-30</t>
  </si>
  <si>
    <t>187-30</t>
  </si>
  <si>
    <t>180-30</t>
  </si>
  <si>
    <t>182-30</t>
  </si>
  <si>
    <t>1818-30</t>
  </si>
  <si>
    <t>184-30</t>
  </si>
  <si>
    <t>189-30</t>
  </si>
  <si>
    <t>188-30</t>
  </si>
  <si>
    <t>193-30</t>
  </si>
  <si>
    <t>1819-30</t>
  </si>
  <si>
    <t>HOLCOMB</t>
  </si>
  <si>
    <t>KAMDEN</t>
  </si>
  <si>
    <t>195-30</t>
  </si>
  <si>
    <t>190-30</t>
  </si>
  <si>
    <t>199-30</t>
  </si>
  <si>
    <t>194-30</t>
  </si>
  <si>
    <t>201-30</t>
  </si>
  <si>
    <t>1821-30</t>
  </si>
  <si>
    <t>196-30</t>
  </si>
  <si>
    <t>203-30</t>
  </si>
  <si>
    <t>69-30</t>
  </si>
  <si>
    <t>1822-30</t>
  </si>
  <si>
    <t>198-30</t>
  </si>
  <si>
    <t>202-30</t>
  </si>
  <si>
    <t>207-30</t>
  </si>
  <si>
    <t>1823-30</t>
  </si>
  <si>
    <t>204-30</t>
  </si>
  <si>
    <t>206-30</t>
  </si>
  <si>
    <t>213-30</t>
  </si>
  <si>
    <t>208-30</t>
  </si>
  <si>
    <t>215-30</t>
  </si>
  <si>
    <t>210-30</t>
  </si>
  <si>
    <t>212-30</t>
  </si>
  <si>
    <t>219-30</t>
  </si>
  <si>
    <t>214-30</t>
  </si>
  <si>
    <t>1826-30</t>
  </si>
  <si>
    <t>301-30</t>
  </si>
  <si>
    <t>216-30</t>
  </si>
  <si>
    <t>218-30</t>
  </si>
  <si>
    <t>303-30</t>
  </si>
  <si>
    <t>223-30</t>
  </si>
  <si>
    <t>1828-30</t>
  </si>
  <si>
    <t>305-30</t>
  </si>
  <si>
    <t>222-30</t>
  </si>
  <si>
    <t>225-30</t>
  </si>
  <si>
    <t>224-30</t>
  </si>
  <si>
    <t>227-30</t>
  </si>
  <si>
    <t>MILLER</t>
  </si>
  <si>
    <t>KEVIN</t>
  </si>
  <si>
    <t>1829-30</t>
  </si>
  <si>
    <t>1830-30</t>
  </si>
  <si>
    <t>229-30</t>
  </si>
  <si>
    <t>226-30</t>
  </si>
  <si>
    <t>231-30</t>
  </si>
  <si>
    <t>228-30</t>
  </si>
  <si>
    <t>1832-30</t>
  </si>
  <si>
    <t>230-30</t>
  </si>
  <si>
    <t>235-30</t>
  </si>
  <si>
    <t>232-30</t>
  </si>
  <si>
    <t>1833-30</t>
  </si>
  <si>
    <t>1902-30</t>
  </si>
  <si>
    <t>234-30</t>
  </si>
  <si>
    <t>239-30</t>
  </si>
  <si>
    <t>236-30</t>
  </si>
  <si>
    <t>241-30</t>
  </si>
  <si>
    <t>243-30</t>
  </si>
  <si>
    <t>240-30</t>
  </si>
  <si>
    <t>307-30</t>
  </si>
  <si>
    <t>242-30</t>
  </si>
  <si>
    <t>309-30</t>
  </si>
  <si>
    <t>311-30</t>
  </si>
  <si>
    <t>313-30</t>
  </si>
  <si>
    <t>clear-day</t>
  </si>
  <si>
    <t>Clear</t>
  </si>
  <si>
    <t>204:752</t>
  </si>
  <si>
    <t>204:233336</t>
  </si>
  <si>
    <t>204:233019</t>
  </si>
  <si>
    <t>204:233289</t>
  </si>
  <si>
    <t>204:232979</t>
  </si>
  <si>
    <t>204:475</t>
  </si>
  <si>
    <t>204:233345</t>
  </si>
  <si>
    <t>204:233009</t>
  </si>
  <si>
    <t>204:232968</t>
  </si>
  <si>
    <t>204:138</t>
  </si>
  <si>
    <t>204:233293</t>
  </si>
  <si>
    <t>204:233025</t>
  </si>
  <si>
    <t>204:233276</t>
  </si>
  <si>
    <t>204:232965</t>
  </si>
  <si>
    <t>204:194</t>
  </si>
  <si>
    <t>204:233351</t>
  </si>
  <si>
    <t>204:233030</t>
  </si>
  <si>
    <t>204:427</t>
  </si>
  <si>
    <t>204:233309</t>
  </si>
  <si>
    <t>204:156</t>
  </si>
  <si>
    <t>204:233323</t>
  </si>
  <si>
    <t>204:233330</t>
  </si>
  <si>
    <t>204:233015</t>
  </si>
  <si>
    <t>204:477</t>
  </si>
  <si>
    <t>204:233343</t>
  </si>
  <si>
    <t>204:233001</t>
  </si>
  <si>
    <t>204:233347</t>
  </si>
  <si>
    <t>204:53784</t>
  </si>
  <si>
    <t>204:128275</t>
  </si>
  <si>
    <t>204:232809</t>
  </si>
  <si>
    <t>204:1475</t>
  </si>
  <si>
    <t>204:233270</t>
  </si>
  <si>
    <t>204:233318</t>
  </si>
  <si>
    <t>204:232984</t>
  </si>
  <si>
    <t>204:233331</t>
  </si>
  <si>
    <t>204:233023</t>
  </si>
  <si>
    <t>204:233353</t>
  </si>
  <si>
    <t>204:233036</t>
  </si>
  <si>
    <t>204:233378</t>
  </si>
  <si>
    <t>204:233066</t>
  </si>
  <si>
    <t>204:216</t>
  </si>
  <si>
    <t>204:233321</t>
  </si>
  <si>
    <t>204:233286</t>
  </si>
  <si>
    <t>204:232992</t>
  </si>
  <si>
    <t>204:205</t>
  </si>
  <si>
    <t>204:233072</t>
  </si>
  <si>
    <t>204:165</t>
  </si>
  <si>
    <t>204:233085</t>
  </si>
  <si>
    <t>204:531</t>
  </si>
  <si>
    <t>204:233401</t>
  </si>
  <si>
    <t>204:233090</t>
  </si>
  <si>
    <t>204:1483</t>
  </si>
  <si>
    <t>204:233383</t>
  </si>
  <si>
    <t>204:233079</t>
  </si>
  <si>
    <t>204:123</t>
  </si>
  <si>
    <t>204:233360</t>
  </si>
  <si>
    <t>204:489</t>
  </si>
  <si>
    <t>204:233281</t>
  </si>
  <si>
    <t>204:233322</t>
  </si>
  <si>
    <t>204:233423</t>
  </si>
  <si>
    <t>204:121</t>
  </si>
  <si>
    <t>300:58621</t>
  </si>
  <si>
    <t>204:713</t>
  </si>
  <si>
    <t>204:680</t>
  </si>
  <si>
    <t>204:986</t>
  </si>
  <si>
    <t>300:58623</t>
  </si>
  <si>
    <t>204:692</t>
  </si>
  <si>
    <t>204:703</t>
  </si>
  <si>
    <t>204:992</t>
  </si>
  <si>
    <t>204:233408</t>
  </si>
  <si>
    <t>204:661</t>
  </si>
  <si>
    <t>204:972</t>
  </si>
  <si>
    <t>300:58943</t>
  </si>
  <si>
    <t>204:981</t>
  </si>
  <si>
    <t>204:708</t>
  </si>
  <si>
    <t>204:1021</t>
  </si>
  <si>
    <t>300:58997</t>
  </si>
  <si>
    <t>204:233086</t>
  </si>
  <si>
    <t>300:58668</t>
  </si>
  <si>
    <t>204:764</t>
  </si>
  <si>
    <t>204:1053</t>
  </si>
  <si>
    <t>300:58999</t>
  </si>
  <si>
    <t>300:58675</t>
  </si>
  <si>
    <t>204:698</t>
  </si>
  <si>
    <t>300:58688</t>
  </si>
  <si>
    <t>204:720</t>
  </si>
  <si>
    <t>300:58992</t>
  </si>
  <si>
    <t>300:58683</t>
  </si>
  <si>
    <t>300:58978</t>
  </si>
  <si>
    <t>300:58664</t>
  </si>
  <si>
    <t>204:715</t>
  </si>
  <si>
    <t>300:58984</t>
  </si>
  <si>
    <t>300:58672</t>
  </si>
  <si>
    <t>204:978</t>
  </si>
  <si>
    <t>300:58995</t>
  </si>
  <si>
    <t>300:58677</t>
  </si>
  <si>
    <t>300:59001</t>
  </si>
  <si>
    <t>204:233089</t>
  </si>
  <si>
    <t>204:176</t>
  </si>
  <si>
    <t>204:233084</t>
  </si>
  <si>
    <t>204:233093</t>
  </si>
  <si>
    <t>300:30157</t>
  </si>
  <si>
    <t>300:58679</t>
  </si>
  <si>
    <t>300:21490</t>
  </si>
  <si>
    <t>300:21810</t>
  </si>
  <si>
    <t>300:21803</t>
  </si>
  <si>
    <t>204:233433</t>
  </si>
  <si>
    <t>204:233057</t>
  </si>
  <si>
    <t>204:233407</t>
  </si>
  <si>
    <t>204:233059</t>
  </si>
  <si>
    <t>204:233404</t>
  </si>
  <si>
    <t>204:233091</t>
  </si>
  <si>
    <t>204:429</t>
  </si>
  <si>
    <t>204:233470</t>
  </si>
  <si>
    <t>204:233094</t>
  </si>
  <si>
    <t>204:19145</t>
  </si>
  <si>
    <t>204:233403</t>
  </si>
  <si>
    <t>204:1216</t>
  </si>
  <si>
    <t>204:233117</t>
  </si>
  <si>
    <t>204:233272</t>
  </si>
  <si>
    <t>204:232972</t>
  </si>
  <si>
    <t>217-30</t>
  </si>
  <si>
    <t>204:233420</t>
  </si>
  <si>
    <t>204:1154</t>
  </si>
  <si>
    <t>204:233424</t>
  </si>
  <si>
    <t>204:424</t>
  </si>
  <si>
    <t>204:233224</t>
  </si>
  <si>
    <t>204:232900</t>
  </si>
  <si>
    <t>204:362</t>
  </si>
  <si>
    <t>204:233109</t>
  </si>
  <si>
    <t>204:232953</t>
  </si>
  <si>
    <t>204:103780</t>
  </si>
  <si>
    <t>204:86352</t>
  </si>
  <si>
    <t>204:937</t>
  </si>
  <si>
    <t>300:23633</t>
  </si>
  <si>
    <t>300:22166</t>
  </si>
  <si>
    <t>300:23457</t>
  </si>
  <si>
    <t>204:431</t>
  </si>
  <si>
    <t>300:23665</t>
  </si>
  <si>
    <t>300:23442</t>
  </si>
  <si>
    <t>300:23517</t>
  </si>
  <si>
    <t>204:3171</t>
  </si>
  <si>
    <t>204:3471</t>
  </si>
  <si>
    <t>204:647</t>
  </si>
  <si>
    <t>300:24070</t>
  </si>
  <si>
    <t>204:3501</t>
  </si>
  <si>
    <t>204:3177</t>
  </si>
  <si>
    <t>300:22142</t>
  </si>
  <si>
    <t>300:30595</t>
  </si>
  <si>
    <t>204:939</t>
  </si>
  <si>
    <t>204:3275</t>
  </si>
  <si>
    <t>204:1473</t>
  </si>
  <si>
    <t>204:1847</t>
  </si>
  <si>
    <t>204:233126</t>
  </si>
  <si>
    <t>204:48395</t>
  </si>
  <si>
    <t>204:3406</t>
  </si>
  <si>
    <t>204:999</t>
  </si>
  <si>
    <t>204:3707</t>
  </si>
  <si>
    <t>start /low /b %USERPROFILE%\Documents\GitHub\eaglep3\Utilities\DownloadLogsFromS3.py --loco 4043 --day 2017-07-30</t>
  </si>
  <si>
    <t>start /low /b %USERPROFILE%\Documents\GitHub\eaglep3\Utilities\DownloadLogsFromS3.py --loco 4011 --day 2017-07-30</t>
  </si>
  <si>
    <t>start /low /b %USERPROFILE%\Documents\GitHub\eaglep3\Utilities\DownloadLogsFromS3.py --loco 4006 --day 2017-07-30</t>
  </si>
  <si>
    <t>start /low /b %USERPROFILE%\Documents\GitHub\eaglep3\Utilities\DownloadLogsFromS3.py --loco 4004 --day 2017-07-30</t>
  </si>
  <si>
    <t>start /low /b %USERPROFILE%\Documents\GitHub\eaglep3\Utilities\DownloadLogsFromS3.py --loco 4053 --day 2017-07-31</t>
  </si>
  <si>
    <t>start /low /b %USERPROFILE%\Documents\GitHub\eaglep3\Utilities\DownloadLogsFromS3.py --loco 4066 --day 2017-07-30</t>
  </si>
  <si>
    <t>start /low /b %USERPROFILE%\Documents\GitHub\eaglep3\Utilities\DownloadLogsFromS3.py --loco 4015 --day 2017-07-30</t>
  </si>
  <si>
    <t>start /low /b %USERPROFILE%\Documents\GitHub\eaglep3\Utilities\DownloadLogsFromS3.py --loco 4003 --day 2017-07-31</t>
  </si>
  <si>
    <t>start /low /b %USERPROFILE%\Documents\GitHub\eaglep3\Utilities\DownloadLogsFromS3.py --loco 4003 --day 2017-07-30</t>
  </si>
  <si>
    <t>start /low /b %USERPROFILE%\Documents\GitHub\eaglep3\Utilities\DownloadLogsFromS3.py --loco 4045 --day 2017-07-31</t>
  </si>
  <si>
    <t>start /low /b %USERPROFILE%\Documents\GitHub\eaglep3\Utilities\DownloadLogsFromS3.py --loco 4065 --day 2017-07-30</t>
  </si>
  <si>
    <t>start /low /b %USERPROFILE%\Documents\GitHub\eaglep3\Utilities\DownloadLogsFromS3.py --loco 4045 --day 2017-07-30</t>
  </si>
  <si>
    <t>start /low /b %USERPROFILE%\Documents\GitHub\eaglep3\Utilities\DownloadLogsFromS3.py --loco 4031 --day 2017-07-30</t>
  </si>
  <si>
    <t>start /low /b %USERPROFILE%\Documents\GitHub\eaglep3\Utilities\DownloadLogsFromS3.py --loco 4030 --day 2017-07-30</t>
  </si>
  <si>
    <t>start /low /b %USERPROFILE%\Documents\GitHub\eaglep3\Utilities\DownloadLogsFromS3.py --loco 4029 --day 2017-07-30</t>
  </si>
  <si>
    <t>start /low /b %USERPROFILE%\Documents\GitHub\eaglep3\Utilities\DownloadLogsFromS3.py --loco 4046 --day 2017-07-30</t>
  </si>
  <si>
    <t>start /low /b %USERPROFILE%\Documents\GitHub\eaglep3\Utilities\DownloadLogsFromS3.py --loco 4044 --day 2017-07-30</t>
  </si>
  <si>
    <t>start /low /b %USERPROFILE%\Documents\GitHub\eaglep3\Utilities\DownloadLogsFromS3.py --loco 4044 --day 2017-07-31</t>
  </si>
  <si>
    <t>start /low /b %USERPROFILE%\Documents\GitHub\eaglep3\Utilities\DownloadLogsFromS3.py --loco 4004 --day 2017-07-31</t>
  </si>
  <si>
    <t>start /low /b %USERPROFILE%\Documents\GitHub\eaglep3\Utilities\DownloadLogsFromS3.py --loco 4032 --day 2017-07-31</t>
  </si>
  <si>
    <t>start /low /b %USERPROFILE%\Documents\GitHub\eaglep3\Utilities\DownloadLogsFromS3.py --loco 4022 --day 2017-07-31</t>
  </si>
  <si>
    <t>start /low /b %USERPROFILE%\Documents\GitHub\eaglep3\Utilities\DownloadLogsFromS3.py --loco 4021 --day 2017-07-30</t>
  </si>
  <si>
    <t>Cancelled due to incident with 143-30</t>
  </si>
  <si>
    <t>Minor onboard in-route failure caused signal status unknown banners</t>
  </si>
  <si>
    <t>PERKINS DARREN</t>
  </si>
  <si>
    <t>BOS restarted at 01:41</t>
  </si>
  <si>
    <t>CCROC/crew/equipment mismatch</t>
  </si>
  <si>
    <t>Form C was not electronically issued to this pair</t>
  </si>
  <si>
    <t>Followed proper procedure for Form C's @ Dahlia, Holly. Did not follow proper procedure @ Monaco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</si>
</sst>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4"/>
  <sheetViews>
    <sheetView tabSelected="1" workbookViewId="0">
      <selection activeCell="R13" sqref="R13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42946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42946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143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34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COUNTIFS($N$13:$N$9308,"&gt;0",$AG$13:$AG$9308,I1)</f>
        <v>139</v>
      </c>
      <c r="K5" s="39"/>
      <c r="L5" s="39"/>
      <c r="M5" s="40">
        <f>AVERAGEIFS($N$13:$N$9308,$AG$13:$AG$9308,I1)</f>
        <v>38.403836930356583</v>
      </c>
      <c r="N5" s="38">
        <f t="array" ref="N5">MIN(IF($AG$13:$AG$9308=I1,IF(ISNUMBER($N$13:$N$9308),IF($N$13:$N$9308&gt;0,$N$13:$N$9308))))</f>
        <v>34.416666665347293</v>
      </c>
      <c r="O5" s="3">
        <f t="array" ref="O5">MAX(IF($AG$13:$AG$9308=I1,IF(ISNUMBER($N$13:$N$9308),IF($N$13:$N$9308&gt;0,$N$13:$N$9308))))</f>
        <v>51.716666665161029</v>
      </c>
      <c r="P5" s="2"/>
      <c r="R5" s="166" t="s">
        <v>17</v>
      </c>
      <c r="S5" s="186">
        <f>COUNTIFS($N$13:$N$9308,"&gt;0",$AG$13:$AG$9308,R1)</f>
        <v>34</v>
      </c>
      <c r="T5" s="187"/>
      <c r="U5" s="187"/>
      <c r="V5" s="183">
        <f>AVERAGEIFS($N$13:$N$9308,$AG$13:$AG$9308,R1)</f>
        <v>15.267156863461851</v>
      </c>
      <c r="W5" s="184">
        <f t="array" ref="W5">MIN(IF($AG$13:$AG$9308=R1,IF(ISNUMBER($N$13:$N$9308),IF($N$13:$N$9308&gt;0,$N$13:$N$9308))))</f>
        <v>12.916666668606922</v>
      </c>
      <c r="X5" s="185">
        <f t="array" ref="X5">MAX(IF($AG$13:$AG$9308=R1,IF(ISNUMBER($N$13:$N$9308),IF($N$13:$N$9308&gt;0,$N$13:$N$9308))))</f>
        <v>21.266666661249474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COUNT($O$13:$O$121)</f>
        <v>0</v>
      </c>
      <c r="K6" s="39"/>
      <c r="L6" s="39"/>
      <c r="M6" s="40">
        <f>IFERROR(AVERAGE($O$13:$O$121),0)</f>
        <v>0</v>
      </c>
      <c r="N6" s="38">
        <f>MIN($O$13:$O$121)</f>
        <v>0</v>
      </c>
      <c r="O6" s="3">
        <f>MAX($O$13:$O$121)</f>
        <v>0</v>
      </c>
      <c r="P6" s="2"/>
      <c r="R6" s="167" t="s">
        <v>43</v>
      </c>
      <c r="S6" s="186">
        <f>COUNT($O$13:$O$121)</f>
        <v>0</v>
      </c>
      <c r="T6" s="187"/>
      <c r="U6" s="187"/>
      <c r="V6" s="183">
        <f>IFERROR(AVERAGE($O$13:$O$121),0)</f>
        <v>0</v>
      </c>
      <c r="W6" s="184">
        <f>MIN($O$13:$O$121)</f>
        <v>0</v>
      </c>
      <c r="X6" s="185">
        <f>MAX($O$13:$O$121)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COUNTIFS($P$13:$P$9308,"&gt;0",$AG$13:$AG$9308,I1)</f>
        <v>4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COUNTIFS($P$13:$P$9308,"&gt;0",$AG$13:$AG$9308,R1)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139</v>
      </c>
      <c r="K8" s="39"/>
      <c r="L8" s="39"/>
      <c r="M8" s="40">
        <f>M5</f>
        <v>38.403836930356583</v>
      </c>
      <c r="N8" s="38">
        <f>N5</f>
        <v>34.416666665347293</v>
      </c>
      <c r="O8" s="3">
        <f>O5</f>
        <v>51.716666665161029</v>
      </c>
      <c r="P8" s="2"/>
      <c r="R8" s="166" t="s">
        <v>16</v>
      </c>
      <c r="S8" s="186">
        <f>S5</f>
        <v>34</v>
      </c>
      <c r="T8" s="187"/>
      <c r="U8" s="187"/>
      <c r="V8" s="183">
        <f>V5</f>
        <v>15.267156863461851</v>
      </c>
      <c r="W8" s="184">
        <f>W5</f>
        <v>12.916666668606922</v>
      </c>
      <c r="X8" s="185">
        <f>X5</f>
        <v>21.266666661249474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0.97202797202797198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- 2017-07-30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AVERAGE(S13:S97)</f>
        <v>0.99411764705882355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676</v>
      </c>
      <c r="B13" s="7">
        <v>4044</v>
      </c>
      <c r="C13" s="21" t="s">
        <v>198</v>
      </c>
      <c r="D13" s="21" t="s">
        <v>864</v>
      </c>
      <c r="E13" s="13">
        <v>42946.137488425928</v>
      </c>
      <c r="F13" s="13">
        <v>42946.138865740744</v>
      </c>
      <c r="G13" s="7">
        <v>1</v>
      </c>
      <c r="H13" s="21" t="s">
        <v>865</v>
      </c>
      <c r="I13" s="13">
        <v>42946.163298611114</v>
      </c>
      <c r="J13" s="7">
        <v>0</v>
      </c>
      <c r="K13" s="89" t="str">
        <f t="shared" ref="K13:K76" si="0">IF(ISEVEN(B13),(B13-1)&amp;"/"&amp;B13,B13&amp;"/"&amp;(B13+1))</f>
        <v>4043/4044</v>
      </c>
      <c r="L13" s="21" t="str">
        <f>VLOOKUP(A13,'Trips&amp;Operators'!$C$1:$G$99999,5,FALSE)</f>
        <v>MAELZER KURT</v>
      </c>
      <c r="M13" s="6">
        <f t="shared" ref="M13:M76" si="1">I13-F13</f>
        <v>2.4432870370219462E-2</v>
      </c>
      <c r="N13" s="7">
        <f t="shared" ref="N13:N53" si="2">24*60*SUM($M13:$M13)</f>
        <v>35.183333333116025</v>
      </c>
      <c r="O13" s="7"/>
      <c r="P13" s="7"/>
      <c r="Q13" s="22"/>
      <c r="R13" s="170"/>
      <c r="S13" s="213">
        <f t="shared" ref="S13:S76" si="3">1/IF(AG13="EC",12,1)*SUM(U13:U13)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-30T02:17:59-0600',mode:absolute,to:'2017-07-30T04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" s="197" t="str">
        <f>IF(AA13&lt;VLOOKUP(AG13,Variables!$AC$3:$AD$8,2,FALSE),"Y","N")</f>
        <v>N</v>
      </c>
      <c r="X13" s="197" t="e">
        <f t="shared" ref="X13:X51" si="6">VALUE(LEFT(AD13,4))-VALUE(LEFT(AD12,4))</f>
        <v>#VALUE!</v>
      </c>
      <c r="Y13" s="197">
        <f t="shared" ref="Y13:Y76" si="7">RIGHT(D13,LEN(D13)-4)/10000</f>
        <v>7.5200000000000003E-2</v>
      </c>
      <c r="Z13" s="197">
        <f t="shared" ref="Z13:Z76" si="8">RIGHT(H13,LEN(H13)-4)/10000</f>
        <v>23.333600000000001</v>
      </c>
      <c r="AA13" s="197">
        <f t="shared" ref="AA13:AA76" si="9">ABS(Z13-Y13)</f>
        <v>23.258400000000002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"%USERPROFILE%\AppData\Local\Temp\OnboardLogs"\RTDC4044\2017-07-30 --exclude "*" --recursive --include "*20170730*" &amp; "%USERPROFILE%\Documents\GitHub\mrs-test-scripts\Headless Mode &amp; Sideloading\WalkAndUnGZ.bat" "%USERPROFILE%\AppData\Local\Temp\OnboardLogs"\RTDC4044\2017-07-30 &amp; aws s3 cp s3://rtdc.mdm.uploadarchive.raw/RTDC4044/ "%USERPROFILE%\AppData\Local\Temp\OnboardLogs"\RTDC4044\2017-07-31 --exclude "*" --recursive --include "*20170731*" &amp; "%USERPROFILE%\Documents\GitHub\mrs-test-scripts\Headless Mode &amp; Sideloading\WalkAndUnGZ.bat" "%USERPROFILE%\AppData\Local\Temp\OnboardLogs"\RTDC4044\2017-07-31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/stypes="app*4044*20170730*"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101-30 --locoid 4044 --swversion DE.1.0.9.0 --startMP 204:752 --initTime 2017-07-30T03:17:59 --startdatetime 2017-07-30T03:19:58 --delay 1 --endMP 204:233336 --enddatetime 2017-07-30T03:55:09 --enforcementcount 0 &gt;&gt;C:\Users\stu\Documents\GitHub\eaglep3-reporting\EC\2017-07-30-refined-times.txt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{"issue":{"subject":"","project_id":79,"tracker_id":40,"status_id":1,"priority_id":2,"assigned_to_id":23,"start_date":"2017-07-30","description":"","custom_fields":[{"id":1,"name":"Subdivision","value":"EC"},{"id":4,"name":"Milepost","value":"23.3336"},{"id":17,"name":"Train ID","value":"101-30"},{"id":16,"name":"Locomotive ID","value":"4044"},{"id":130,"name":"Impact","value":""},{"id":150,"name":"Time of Event (Mountain Time)","value":"03:55:09"},{"id":151,"name":"Denver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4044 --day 2017-07-30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09:55:09"},{"id":29,"name":"Sharepoint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621</v>
      </c>
      <c r="B14" s="7">
        <v>4043</v>
      </c>
      <c r="C14" s="21" t="s">
        <v>198</v>
      </c>
      <c r="D14" s="21" t="s">
        <v>866</v>
      </c>
      <c r="E14" s="13">
        <v>42946.16815972222</v>
      </c>
      <c r="F14" s="13">
        <v>42946.175266203703</v>
      </c>
      <c r="G14" s="7">
        <v>1</v>
      </c>
      <c r="H14" s="21" t="s">
        <v>342</v>
      </c>
      <c r="I14" s="13">
        <v>42946.201527777775</v>
      </c>
      <c r="J14" s="7">
        <v>0</v>
      </c>
      <c r="K14" s="89" t="str">
        <f t="shared" si="0"/>
        <v>4043/4044</v>
      </c>
      <c r="L14" s="21" t="str">
        <f>VLOOKUP(A14,'Trips&amp;Operators'!$C$1:$G$99999,5,FALSE)</f>
        <v>MAELZER KURT</v>
      </c>
      <c r="M14" s="6">
        <f t="shared" si="1"/>
        <v>2.626157407212304E-2</v>
      </c>
      <c r="N14" s="7">
        <f t="shared" si="2"/>
        <v>37.816666663857177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-07-30T03:02:09-0600',mode:absolute,to:'2017-07-30T05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23.3019</v>
      </c>
      <c r="Z14" s="197">
        <f t="shared" si="8"/>
        <v>1.49E-2</v>
      </c>
      <c r="AA14" s="197">
        <f t="shared" si="9"/>
        <v>23.286999999999999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s3://rtdc.mdm.uploadarchive.raw/RTDC4043/ "%USERPROFILE%\AppData\Local\Temp\OnboardLogs"\RTDC4043\2017-07-30 --exclude "*" --recursive --include "*20170730*" &amp; "%USERPROFILE%\Documents\GitHub\mrs-test-scripts\Headless Mode &amp; Sideloading\WalkAndUnGZ.bat" "%USERPROFILE%\AppData\Local\Temp\OnboardLogs"\RTDC4043\2017-07-30 &amp; aws s3 cp s3://rtdc.mdm.uploadarchive.raw/RTDC4043/ "%USERPROFILE%\AppData\Local\Temp\OnboardLogs"\RTDC4043\2017-07-31 --exclude "*" --recursive --include "*20170731*" &amp; "%USERPROFILE%\Documents\GitHub\mrs-test-scripts\Headless Mode &amp; Sideloading\WalkAndUnGZ.bat" "%USERPROFILE%\AppData\Local\Temp\OnboardLogs"\RTDC4043\2017-07-31</v>
      </c>
      <c r="AF14" s="74" t="str">
        <f t="shared" si="12"/>
        <v>"C:\Program Files (x86)\AstroGrep\AstroGrep.exe" /e /r /s /spath="%USERPROFILE%\AppData\Local\Temp\OnboardLogs" /stypes="app*4043*20170730*"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6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102-30 --locoid 4043 --swversion DE.1.0.9.0 --startMP 204:233019 --initTime 2017-07-30T04:02:09 --startdatetime 2017-07-30T04:12:23 --delay 1 --endMP 204:149 --enddatetime 2017-07-30T04:50:12 --enforcementcount 0 &gt;&gt;C:\Users\stu\Documents\GitHub\eaglep3-reporting\EC\2017-07-30-refined-times.txt</v>
      </c>
      <c r="AI14" s="96" t="str">
        <f t="shared" ref="AI14:AI76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{"issue":{"subject":"","project_id":79,"tracker_id":40,"status_id":1,"priority_id":2,"assigned_to_id":23,"start_date":"2017-07-30","description":"","custom_fields":[{"id":1,"name":"Subdivision","value":"EC"},{"id":4,"name":"Milepost","value":"0.0149"},{"id":17,"name":"Train ID","value":"102-30"},{"id":16,"name":"Locomotive ID","value":"4043"},{"id":130,"name":"Impact","value":""},{"id":150,"name":"Time of Event (Mountain Time)","value":"04:50:12"},{"id":151,"name":"Denver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6" si="20">"start /low /b "&amp;dls3logs&amp;" --loco "&amp;B14&amp;" --day "&amp;TEXT(F14,"YYYY-MM-DD")</f>
        <v>start /low /b %USERPROFILE%\Documents\GitHub\eaglep3\Utilities\DownloadLogsFromS3.py --loco 4043 --day 2017-07-30</v>
      </c>
      <c r="AN14" s="151" t="str">
        <f t="shared" ref="AN14:AN76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10:50:12"},{"id":29,"name":"Sharepoint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683</v>
      </c>
      <c r="B15" s="7">
        <v>4006</v>
      </c>
      <c r="C15" s="21" t="s">
        <v>198</v>
      </c>
      <c r="D15" s="21" t="s">
        <v>347</v>
      </c>
      <c r="E15" s="13">
        <v>42946.15115740741</v>
      </c>
      <c r="F15" s="13">
        <v>42946.156759259262</v>
      </c>
      <c r="G15" s="7">
        <v>2</v>
      </c>
      <c r="H15" s="21" t="s">
        <v>450</v>
      </c>
      <c r="I15" s="13">
        <v>42946.182581018518</v>
      </c>
      <c r="J15" s="7">
        <v>0</v>
      </c>
      <c r="K15" s="89" t="str">
        <f t="shared" si="0"/>
        <v>4005/4006</v>
      </c>
      <c r="L15" s="21" t="str">
        <f>VLOOKUP(A15,'Trips&amp;Operators'!$C$1:$G$99999,5,FALSE)</f>
        <v>WILLIAMS DONTE</v>
      </c>
      <c r="M15" s="6">
        <f t="shared" si="1"/>
        <v>2.5821759256359655E-2</v>
      </c>
      <c r="N15" s="7">
        <f t="shared" si="2"/>
        <v>37.183333329157904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-07-30T02:37:40-0600',mode:absolute,to:'2017-07-30T05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4.53E-2</v>
      </c>
      <c r="Z15" s="197">
        <f t="shared" si="8"/>
        <v>23.3291</v>
      </c>
      <c r="AA15" s="197">
        <f t="shared" si="9"/>
        <v>23.283799999999999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s3://rtdc.mdm.uploadarchive.raw/RTDC4006/ "%USERPROFILE%\AppData\Local\Temp\OnboardLogs"\RTDC4006\2017-07-30 --exclude "*" --recursive --include "*20170730*" &amp; "%USERPROFILE%\Documents\GitHub\mrs-test-scripts\Headless Mode &amp; Sideloading\WalkAndUnGZ.bat" "%USERPROFILE%\AppData\Local\Temp\OnboardLogs"\RTDC4006\2017-07-30 &amp; aws s3 cp s3://rtdc.mdm.uploadarchive.raw/RTDC4006/ "%USERPROFILE%\AppData\Local\Temp\OnboardLogs"\RTDC4006\2017-07-31 --exclude "*" --recursive --include "*20170731*" &amp; "%USERPROFILE%\Documents\GitHub\mrs-test-scripts\Headless Mode &amp; Sideloading\WalkAndUnGZ.bat" "%USERPROFILE%\AppData\Local\Temp\OnboardLogs"\RTDC4006\2017-07-31</v>
      </c>
      <c r="AF15" s="74" t="str">
        <f t="shared" si="12"/>
        <v>"C:\Program Files (x86)\AstroGrep\AstroGrep.exe" /e /r /s /spath="%USERPROFILE%\AppData\Local\Temp\OnboardLogs" /stypes="app*4006*20170730*"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103-30 --locoid 4006 --swversion DE.1.0.9.0 --startMP 204:453 --initTime 2017-07-30T03:37:40 --startdatetime 2017-07-30T03:45:44 --delay 2 --endMP 204:233291 --enddatetime 2017-07-30T04:22:55 --enforcementcount 0 &gt;&gt;C:\Users\stu\Documents\GitHub\eaglep3-reporting\EC\2017-07-30-refined-times.txt</v>
      </c>
      <c r="AI15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{"issue":{"subject":"","project_id":79,"tracker_id":40,"status_id":1,"priority_id":2,"assigned_to_id":23,"start_date":"2017-07-30","description":"","custom_fields":[{"id":1,"name":"Subdivision","value":"EC"},{"id":4,"name":"Milepost","value":"23.3291"},{"id":17,"name":"Train ID","value":"103-30"},{"id":16,"name":"Locomotive ID","value":"4006"},{"id":130,"name":"Impact","value":""},{"id":150,"name":"Time of Event (Mountain Time)","value":"04:22:55"},{"id":151,"name":"Denver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4006 --day 2017-07-30</v>
      </c>
      <c r="AN15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10:22:55"},{"id":29,"name":"Sharepoint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693</v>
      </c>
      <c r="B16" s="7">
        <v>4005</v>
      </c>
      <c r="C16" s="21" t="s">
        <v>198</v>
      </c>
      <c r="D16" s="21" t="s">
        <v>468</v>
      </c>
      <c r="E16" s="13">
        <v>42946.185173611113</v>
      </c>
      <c r="F16" s="13">
        <v>42946.196006944447</v>
      </c>
      <c r="G16" s="7">
        <v>1</v>
      </c>
      <c r="H16" s="21" t="s">
        <v>449</v>
      </c>
      <c r="I16" s="13">
        <v>42946.223749999997</v>
      </c>
      <c r="J16" s="7">
        <v>0</v>
      </c>
      <c r="K16" s="89" t="str">
        <f t="shared" si="0"/>
        <v>4005/4006</v>
      </c>
      <c r="L16" s="21" t="str">
        <f>VLOOKUP(A16,'Trips&amp;Operators'!$C$1:$G$99999,5,FALSE)</f>
        <v>WILLIAMS DONTE</v>
      </c>
      <c r="M16" s="6">
        <f t="shared" si="1"/>
        <v>2.774305555067258E-2</v>
      </c>
      <c r="N16" s="7">
        <f t="shared" si="2"/>
        <v>39.949999992968515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-07-30T03:26:39-0600',mode:absolute,to:'2017-07-30T06:22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23.297799999999999</v>
      </c>
      <c r="Z16" s="197">
        <f t="shared" si="8"/>
        <v>1.52E-2</v>
      </c>
      <c r="AA16" s="197">
        <f t="shared" si="9"/>
        <v>23.282599999999999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s3://rtdc.mdm.uploadarchive.raw/RTDC4005/ "%USERPROFILE%\AppData\Local\Temp\OnboardLogs"\RTDC4005\2017-07-30 --exclude "*" --recursive --include "*20170730*" &amp; "%USERPROFILE%\Documents\GitHub\mrs-test-scripts\Headless Mode &amp; Sideloading\WalkAndUnGZ.bat" "%USERPROFILE%\AppData\Local\Temp\OnboardLogs"\RTDC4005\2017-07-30 &amp; aws s3 cp s3://rtdc.mdm.uploadarchive.raw/RTDC4005/ "%USERPROFILE%\AppData\Local\Temp\OnboardLogs"\RTDC4005\2017-07-31 --exclude "*" --recursive --include "*20170731*" &amp; "%USERPROFILE%\Documents\GitHub\mrs-test-scripts\Headless Mode &amp; Sideloading\WalkAndUnGZ.bat" "%USERPROFILE%\AppData\Local\Temp\OnboardLogs"\RTDC4005\2017-07-31</v>
      </c>
      <c r="AF16" s="74" t="str">
        <f t="shared" si="12"/>
        <v>"C:\Program Files (x86)\AstroGrep\AstroGrep.exe" /e /r /s /spath="%USERPROFILE%\AppData\Local\Temp\OnboardLogs" /stypes="app*4005*20170730*"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104-30 --locoid 4005 --swversion DE.1.0.9.0 --startMP 204:232978 --initTime 2017-07-30T04:26:39 --startdatetime 2017-07-30T04:42:15 --delay 1 --endMP 204:152 --enddatetime 2017-07-30T05:22:12 --enforcementcount 0 &gt;&gt;C:\Users\stu\Documents\GitHub\eaglep3-reporting\EC\2017-07-30-refined-times.txt</v>
      </c>
      <c r="AI16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{"issue":{"subject":"","project_id":79,"tracker_id":40,"status_id":1,"priority_id":2,"assigned_to_id":23,"start_date":"2017-07-30","description":"","custom_fields":[{"id":1,"name":"Subdivision","value":"EC"},{"id":4,"name":"Milepost","value":"0.0152"},{"id":17,"name":"Train ID","value":"104-30"},{"id":16,"name":"Locomotive ID","value":"4005"},{"id":130,"name":"Impact","value":""},{"id":150,"name":"Time of Event (Mountain Time)","value":"05:22:12"},{"id":151,"name":"Denver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4005 --day 2017-07-30</v>
      </c>
      <c r="AN16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11:22:12"},{"id":29,"name":"Sharepoint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685</v>
      </c>
      <c r="B17" s="7">
        <v>4066</v>
      </c>
      <c r="C17" s="21" t="s">
        <v>198</v>
      </c>
      <c r="D17" s="21" t="s">
        <v>513</v>
      </c>
      <c r="E17" s="13">
        <v>42946.166238425925</v>
      </c>
      <c r="F17" s="13">
        <v>42946.17765046296</v>
      </c>
      <c r="G17" s="7">
        <v>1</v>
      </c>
      <c r="H17" s="21" t="s">
        <v>867</v>
      </c>
      <c r="I17" s="13">
        <v>42946.203449074077</v>
      </c>
      <c r="J17" s="7">
        <v>0</v>
      </c>
      <c r="K17" s="89" t="str">
        <f t="shared" si="0"/>
        <v>4065/4066</v>
      </c>
      <c r="L17" s="21" t="str">
        <f>VLOOKUP(A17,'Trips&amp;Operators'!$C$1:$G$99999,5,FALSE)</f>
        <v>DAVIS WENDY</v>
      </c>
      <c r="M17" s="6">
        <f t="shared" si="1"/>
        <v>2.5798611117352266E-2</v>
      </c>
      <c r="N17" s="7">
        <f t="shared" si="2"/>
        <v>37.150000008987263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-07-30T02:59:23-0600',mode:absolute,to:'2017-07-30T05:52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4.6699999999999998E-2</v>
      </c>
      <c r="Z17" s="197">
        <f t="shared" si="8"/>
        <v>23.328900000000001</v>
      </c>
      <c r="AA17" s="197">
        <f t="shared" si="9"/>
        <v>23.2822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s3://rtdc.mdm.uploadarchive.raw/RTDC4066/ "%USERPROFILE%\AppData\Local\Temp\OnboardLogs"\RTDC4066\2017-07-30 --exclude "*" --recursive --include "*20170730*" &amp; "%USERPROFILE%\Documents\GitHub\mrs-test-scripts\Headless Mode &amp; Sideloading\WalkAndUnGZ.bat" "%USERPROFILE%\AppData\Local\Temp\OnboardLogs"\RTDC4066\2017-07-30 &amp; aws s3 cp s3://rtdc.mdm.uploadarchive.raw/RTDC4066/ "%USERPROFILE%\AppData\Local\Temp\OnboardLogs"\RTDC4066\2017-07-31 --exclude "*" --recursive --include "*20170731*" &amp; "%USERPROFILE%\Documents\GitHub\mrs-test-scripts\Headless Mode &amp; Sideloading\WalkAndUnGZ.bat" "%USERPROFILE%\AppData\Local\Temp\OnboardLogs"\RTDC4066\2017-07-31</v>
      </c>
      <c r="AF17" s="74" t="str">
        <f t="shared" si="12"/>
        <v>"C:\Program Files (x86)\AstroGrep\AstroGrep.exe" /e /r /s /spath="%USERPROFILE%\AppData\Local\Temp\OnboardLogs" /stypes="app*4066*20170730*"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105-30 --locoid 4066 --swversion DE.1.0.9.0 --startMP 204:467 --initTime 2017-07-30T03:59:23 --startdatetime 2017-07-30T04:15:49 --delay 1 --endMP 204:233289 --enddatetime 2017-07-30T04:52:58 --enforcementcount 0 &gt;&gt;C:\Users\stu\Documents\GitHub\eaglep3-reporting\EC\2017-07-30-refined-times.txt</v>
      </c>
      <c r="AI17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{"issue":{"subject":"","project_id":79,"tracker_id":40,"status_id":1,"priority_id":2,"assigned_to_id":23,"start_date":"2017-07-30","description":"","custom_fields":[{"id":1,"name":"Subdivision","value":"EC"},{"id":4,"name":"Milepost","value":"23.3289"},{"id":17,"name":"Train ID","value":"105-30"},{"id":16,"name":"Locomotive ID","value":"4066"},{"id":130,"name":"Impact","value":""},{"id":150,"name":"Time of Event (Mountain Time)","value":"04:52:58"},{"id":151,"name":"Denver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4066 --day 2017-07-30</v>
      </c>
      <c r="AN17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10:52:58"},{"id":29,"name":"Sharepoint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699</v>
      </c>
      <c r="B18" s="7">
        <v>4065</v>
      </c>
      <c r="C18" s="21" t="s">
        <v>198</v>
      </c>
      <c r="D18" s="21" t="s">
        <v>868</v>
      </c>
      <c r="E18" s="13">
        <v>42946.214768518519</v>
      </c>
      <c r="F18" s="13">
        <v>42946.216840277775</v>
      </c>
      <c r="G18" s="7">
        <v>1</v>
      </c>
      <c r="H18" s="21" t="s">
        <v>449</v>
      </c>
      <c r="I18" s="13">
        <v>42946.244351851848</v>
      </c>
      <c r="J18" s="7">
        <v>0</v>
      </c>
      <c r="K18" s="89" t="str">
        <f t="shared" si="0"/>
        <v>4065/4066</v>
      </c>
      <c r="L18" s="21" t="str">
        <f>VLOOKUP(A18,'Trips&amp;Operators'!$C$1:$G$99999,5,FALSE)</f>
        <v>DAVIS WENDY</v>
      </c>
      <c r="M18" s="6">
        <f t="shared" si="1"/>
        <v>2.7511574073287193E-2</v>
      </c>
      <c r="N18" s="7">
        <f t="shared" si="2"/>
        <v>39.616666665533558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-07-30T04:09:16-0600',mode:absolute,to:'2017-07-30T06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23.297899999999998</v>
      </c>
      <c r="Z18" s="197">
        <f t="shared" si="8"/>
        <v>1.52E-2</v>
      </c>
      <c r="AA18" s="197">
        <f t="shared" si="9"/>
        <v>23.282699999999998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s3://rtdc.mdm.uploadarchive.raw/RTDC4065/ "%USERPROFILE%\AppData\Local\Temp\OnboardLogs"\RTDC4065\2017-07-30 --exclude "*" --recursive --include "*20170730*" &amp; "%USERPROFILE%\Documents\GitHub\mrs-test-scripts\Headless Mode &amp; Sideloading\WalkAndUnGZ.bat" "%USERPROFILE%\AppData\Local\Temp\OnboardLogs"\RTDC4065\2017-07-30 &amp; aws s3 cp s3://rtdc.mdm.uploadarchive.raw/RTDC4065/ "%USERPROFILE%\AppData\Local\Temp\OnboardLogs"\RTDC4065\2017-07-31 --exclude "*" --recursive --include "*20170731*" &amp; "%USERPROFILE%\Documents\GitHub\mrs-test-scripts\Headless Mode &amp; Sideloading\WalkAndUnGZ.bat" "%USERPROFILE%\AppData\Local\Temp\OnboardLogs"\RTDC4065\2017-07-31</v>
      </c>
      <c r="AF18" s="74" t="str">
        <f t="shared" si="12"/>
        <v>"C:\Program Files (x86)\AstroGrep\AstroGrep.exe" /e /r /s /spath="%USERPROFILE%\AppData\Local\Temp\OnboardLogs" /stypes="app*4065*20170730*"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106-30 --locoid 4065 --swversion DE.1.0.9.0 --startMP 204:232979 --initTime 2017-07-30T05:09:16 --startdatetime 2017-07-30T05:12:15 --delay 1 --endMP 204:152 --enddatetime 2017-07-30T05:51:52 --enforcementcount 0 &gt;&gt;C:\Users\stu\Documents\GitHub\eaglep3-reporting\EC\2017-07-30-refined-times.txt</v>
      </c>
      <c r="AI18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{"issue":{"subject":"","project_id":79,"tracker_id":40,"status_id":1,"priority_id":2,"assigned_to_id":23,"start_date":"2017-07-30","description":"","custom_fields":[{"id":1,"name":"Subdivision","value":"EC"},{"id":4,"name":"Milepost","value":"0.0152"},{"id":17,"name":"Train ID","value":"106-30"},{"id":16,"name":"Locomotive ID","value":"4065"},{"id":130,"name":"Impact","value":""},{"id":150,"name":"Time of Event (Mountain Time)","value":"05:51:52"},{"id":151,"name":"Denver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4065 --day 2017-07-30</v>
      </c>
      <c r="AN18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11:51:52"},{"id":29,"name":"Sharepoint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692</v>
      </c>
      <c r="B19" s="7">
        <v>4030</v>
      </c>
      <c r="C19" s="21" t="s">
        <v>198</v>
      </c>
      <c r="D19" s="21" t="s">
        <v>869</v>
      </c>
      <c r="E19" s="13">
        <v>42946.183900462966</v>
      </c>
      <c r="F19" s="13">
        <v>42946.188032407408</v>
      </c>
      <c r="G19" s="7">
        <v>2</v>
      </c>
      <c r="H19" s="21" t="s">
        <v>870</v>
      </c>
      <c r="I19" s="13">
        <v>42946.212129629632</v>
      </c>
      <c r="J19" s="7">
        <v>0</v>
      </c>
      <c r="K19" s="89" t="str">
        <f t="shared" si="0"/>
        <v>4029/4030</v>
      </c>
      <c r="L19" s="21" t="str">
        <f>VLOOKUP(A19,'Trips&amp;Operators'!$C$1:$G$99999,5,FALSE)</f>
        <v>LALONDE GREGORY</v>
      </c>
      <c r="M19" s="6">
        <f t="shared" si="1"/>
        <v>2.4097222223645076E-2</v>
      </c>
      <c r="N19" s="7">
        <f t="shared" si="2"/>
        <v>34.70000000204891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-07-30T03:24:49-0600',mode:absolute,to:'2017-07-30T06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4.7500000000000001E-2</v>
      </c>
      <c r="Z19" s="197">
        <f t="shared" si="8"/>
        <v>23.334499999999998</v>
      </c>
      <c r="AA19" s="197">
        <f t="shared" si="9"/>
        <v>23.286999999999999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s3://rtdc.mdm.uploadarchive.raw/RTDC4030/ "%USERPROFILE%\AppData\Local\Temp\OnboardLogs"\RTDC4030\2017-07-30 --exclude "*" --recursive --include "*20170730*" &amp; "%USERPROFILE%\Documents\GitHub\mrs-test-scripts\Headless Mode &amp; Sideloading\WalkAndUnGZ.bat" "%USERPROFILE%\AppData\Local\Temp\OnboardLogs"\RTDC4030\2017-07-30 &amp; aws s3 cp s3://rtdc.mdm.uploadarchive.raw/RTDC4030/ "%USERPROFILE%\AppData\Local\Temp\OnboardLogs"\RTDC4030\2017-07-31 --exclude "*" --recursive --include "*20170731*" &amp; "%USERPROFILE%\Documents\GitHub\mrs-test-scripts\Headless Mode &amp; Sideloading\WalkAndUnGZ.bat" "%USERPROFILE%\AppData\Local\Temp\OnboardLogs"\RTDC4030\2017-07-31</v>
      </c>
      <c r="AF19" s="74" t="str">
        <f t="shared" si="12"/>
        <v>"C:\Program Files (x86)\AstroGrep\AstroGrep.exe" /e /r /s /spath="%USERPROFILE%\AppData\Local\Temp\OnboardLogs" /stypes="app*4030*20170730*"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107-30 --locoid 4030 --swversion DE.1.0.9.0 --startMP 204:475 --initTime 2017-07-30T04:24:49 --startdatetime 2017-07-30T04:30:46 --delay 2 --endMP 204:233345 --enddatetime 2017-07-30T05:05:28 --enforcementcount 0 &gt;&gt;C:\Users\stu\Documents\GitHub\eaglep3-reporting\EC\2017-07-30-refined-times.txt</v>
      </c>
      <c r="AI19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{"issue":{"subject":"","project_id":79,"tracker_id":40,"status_id":1,"priority_id":2,"assigned_to_id":23,"start_date":"2017-07-30","description":"","custom_fields":[{"id":1,"name":"Subdivision","value":"EC"},{"id":4,"name":"Milepost","value":"23.3345"},{"id":17,"name":"Train ID","value":"107-30"},{"id":16,"name":"Locomotive ID","value":"4030"},{"id":130,"name":"Impact","value":""},{"id":150,"name":"Time of Event (Mountain Time)","value":"05:05:28"},{"id":151,"name":"Denver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4030 --day 2017-07-30</v>
      </c>
      <c r="AN19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11:05:28"},{"id":29,"name":"Sharepoint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698</v>
      </c>
      <c r="B20" s="7">
        <v>4029</v>
      </c>
      <c r="C20" s="21" t="s">
        <v>198</v>
      </c>
      <c r="D20" s="21" t="s">
        <v>871</v>
      </c>
      <c r="E20" s="13">
        <v>42946.213900462964</v>
      </c>
      <c r="F20" s="13">
        <v>42946.227222222224</v>
      </c>
      <c r="G20" s="7">
        <v>1</v>
      </c>
      <c r="H20" s="21" t="s">
        <v>342</v>
      </c>
      <c r="I20" s="13">
        <v>42946.253055555557</v>
      </c>
      <c r="J20" s="7">
        <v>0</v>
      </c>
      <c r="K20" s="89" t="str">
        <f t="shared" si="0"/>
        <v>4029/4030</v>
      </c>
      <c r="L20" s="21" t="str">
        <f>VLOOKUP(A20,'Trips&amp;Operators'!$C$1:$G$99999,5,FALSE)</f>
        <v>LALONDE GREGORY</v>
      </c>
      <c r="M20" s="6">
        <f t="shared" si="1"/>
        <v>2.5833333333139308E-2</v>
      </c>
      <c r="N20" s="7">
        <f t="shared" si="2"/>
        <v>37.199999999720603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-07-30T04:08:01-0600',mode:absolute,to:'2017-07-30T07:04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23.300899999999999</v>
      </c>
      <c r="Z20" s="197">
        <f t="shared" si="8"/>
        <v>1.49E-2</v>
      </c>
      <c r="AA20" s="197">
        <f t="shared" si="9"/>
        <v>23.285999999999998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s3://rtdc.mdm.uploadarchive.raw/RTDC4029/ "%USERPROFILE%\AppData\Local\Temp\OnboardLogs"\RTDC4029\2017-07-30 --exclude "*" --recursive --include "*20170730*" &amp; "%USERPROFILE%\Documents\GitHub\mrs-test-scripts\Headless Mode &amp; Sideloading\WalkAndUnGZ.bat" "%USERPROFILE%\AppData\Local\Temp\OnboardLogs"\RTDC4029\2017-07-30 &amp; aws s3 cp s3://rtdc.mdm.uploadarchive.raw/RTDC4029/ "%USERPROFILE%\AppData\Local\Temp\OnboardLogs"\RTDC4029\2017-07-31 --exclude "*" --recursive --include "*20170731*" &amp; "%USERPROFILE%\Documents\GitHub\mrs-test-scripts\Headless Mode &amp; Sideloading\WalkAndUnGZ.bat" "%USERPROFILE%\AppData\Local\Temp\OnboardLogs"\RTDC4029\2017-07-31</v>
      </c>
      <c r="AF20" s="74" t="str">
        <f t="shared" si="12"/>
        <v>"C:\Program Files (x86)\AstroGrep\AstroGrep.exe" /e /r /s /spath="%USERPROFILE%\AppData\Local\Temp\OnboardLogs" /stypes="app*4029*20170730*"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108-30 --locoid 4029 --swversion DE.1.0.9.0 --startMP 204:233009 --initTime 2017-07-30T05:08:01 --startdatetime 2017-07-30T05:27:12 --delay 1 --endMP 204:149 --enddatetime 2017-07-30T06:04:24 --enforcementcount 0 &gt;&gt;C:\Users\stu\Documents\GitHub\eaglep3-reporting\EC\2017-07-30-refined-times.txt</v>
      </c>
      <c r="AI20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{"issue":{"subject":"","project_id":79,"tracker_id":40,"status_id":1,"priority_id":2,"assigned_to_id":23,"start_date":"2017-07-30","description":"","custom_fields":[{"id":1,"name":"Subdivision","value":"EC"},{"id":4,"name":"Milepost","value":"0.0149"},{"id":17,"name":"Train ID","value":"108-30"},{"id":16,"name":"Locomotive ID","value":"4029"},{"id":130,"name":"Impact","value":""},{"id":150,"name":"Time of Event (Mountain Time)","value":"06:04:24"},{"id":151,"name":"Denver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4029 --day 2017-07-30</v>
      </c>
      <c r="AN20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12:04:24"},{"id":29,"name":"Sharepoint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694</v>
      </c>
      <c r="B21" s="7">
        <v>4004</v>
      </c>
      <c r="C21" s="21" t="s">
        <v>198</v>
      </c>
      <c r="D21" s="21" t="s">
        <v>516</v>
      </c>
      <c r="E21" s="13">
        <v>42946.194525462961</v>
      </c>
      <c r="F21" s="13">
        <v>42946.198530092595</v>
      </c>
      <c r="G21" s="7">
        <v>2</v>
      </c>
      <c r="H21" s="21" t="s">
        <v>509</v>
      </c>
      <c r="I21" s="13">
        <v>42946.222997685189</v>
      </c>
      <c r="J21" s="7">
        <v>0</v>
      </c>
      <c r="K21" s="89" t="str">
        <f t="shared" si="0"/>
        <v>4003/4004</v>
      </c>
      <c r="L21" s="21" t="str">
        <f>VLOOKUP(A21,'Trips&amp;Operators'!$C$1:$G$99999,5,FALSE)</f>
        <v>GEBRETEKLE DAGNEW</v>
      </c>
      <c r="M21" s="6">
        <f t="shared" si="1"/>
        <v>2.4467592593282461E-2</v>
      </c>
      <c r="N21" s="7">
        <f t="shared" si="2"/>
        <v>35.233333334326744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-07-30T03:40:07-0600',mode:absolute,to:'2017-07-30T06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4.7300000000000002E-2</v>
      </c>
      <c r="Z21" s="197">
        <f t="shared" si="8"/>
        <v>23.327999999999999</v>
      </c>
      <c r="AA21" s="197">
        <f t="shared" si="9"/>
        <v>23.2807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s3://rtdc.mdm.uploadarchive.raw/RTDC4004/ "%USERPROFILE%\AppData\Local\Temp\OnboardLogs"\RTDC4004\2017-07-30 --exclude "*" --recursive --include "*20170730*" &amp; "%USERPROFILE%\Documents\GitHub\mrs-test-scripts\Headless Mode &amp; Sideloading\WalkAndUnGZ.bat" "%USERPROFILE%\AppData\Local\Temp\OnboardLogs"\RTDC4004\2017-07-30 &amp; aws s3 cp s3://rtdc.mdm.uploadarchive.raw/RTDC4004/ "%USERPROFILE%\AppData\Local\Temp\OnboardLogs"\RTDC4004\2017-07-31 --exclude "*" --recursive --include "*20170731*" &amp; "%USERPROFILE%\Documents\GitHub\mrs-test-scripts\Headless Mode &amp; Sideloading\WalkAndUnGZ.bat" "%USERPROFILE%\AppData\Local\Temp\OnboardLogs"\RTDC4004\2017-07-31</v>
      </c>
      <c r="AF21" s="74" t="str">
        <f t="shared" si="12"/>
        <v>"C:\Program Files (x86)\AstroGrep\AstroGrep.exe" /e /r /s /spath="%USERPROFILE%\AppData\Local\Temp\OnboardLogs" /stypes="app*4004*20170730*"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109-30 --locoid 4004 --swversion DE.1.0.9.0 --startMP 204:473 --initTime 2017-07-30T04:40:07 --startdatetime 2017-07-30T04:45:53 --delay 2 --endMP 204:233280 --enddatetime 2017-07-30T05:21:07 --enforcementcount 0 &gt;&gt;C:\Users\stu\Documents\GitHub\eaglep3-reporting\EC\2017-07-30-refined-times.txt</v>
      </c>
      <c r="AI21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{"issue":{"subject":"","project_id":79,"tracker_id":40,"status_id":1,"priority_id":2,"assigned_to_id":23,"start_date":"2017-07-30","description":"","custom_fields":[{"id":1,"name":"Subdivision","value":"EC"},{"id":4,"name":"Milepost","value":"23.328"},{"id":17,"name":"Train ID","value":"109-30"},{"id":16,"name":"Locomotive ID","value":"4004"},{"id":130,"name":"Impact","value":""},{"id":150,"name":"Time of Event (Mountain Time)","value":"05:21:07"},{"id":151,"name":"Denver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4004 --day 2017-07-30</v>
      </c>
      <c r="AN21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11:21:07"},{"id":29,"name":"Sharepoint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703</v>
      </c>
      <c r="B22" s="7">
        <v>4003</v>
      </c>
      <c r="C22" s="21" t="s">
        <v>198</v>
      </c>
      <c r="D22" s="21" t="s">
        <v>872</v>
      </c>
      <c r="E22" s="13">
        <v>42946.224479166667</v>
      </c>
      <c r="F22" s="13">
        <v>42946.237696759257</v>
      </c>
      <c r="G22" s="7">
        <v>0</v>
      </c>
      <c r="H22" s="21" t="s">
        <v>873</v>
      </c>
      <c r="I22" s="13">
        <v>42946.264444444445</v>
      </c>
      <c r="J22" s="7">
        <v>0</v>
      </c>
      <c r="K22" s="89" t="str">
        <f t="shared" si="0"/>
        <v>4003/4004</v>
      </c>
      <c r="L22" s="21" t="str">
        <f>VLOOKUP(A22,'Trips&amp;Operators'!$C$1:$G$99999,5,FALSE)</f>
        <v>GEBRETEKLE DAGNEW</v>
      </c>
      <c r="M22" s="6">
        <f t="shared" si="1"/>
        <v>2.6747685187729076E-2</v>
      </c>
      <c r="N22" s="7">
        <f t="shared" si="2"/>
        <v>38.516666670329869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-07-30T04:23:15-0600',mode:absolute,to:'2017-07-30T07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23.296800000000001</v>
      </c>
      <c r="Z22" s="197">
        <f t="shared" si="8"/>
        <v>1.38E-2</v>
      </c>
      <c r="AA22" s="197">
        <f t="shared" si="9"/>
        <v>23.283000000000001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s3://rtdc.mdm.uploadarchive.raw/RTDC4003/ "%USERPROFILE%\AppData\Local\Temp\OnboardLogs"\RTDC4003\2017-07-30 --exclude "*" --recursive --include "*20170730*" &amp; "%USERPROFILE%\Documents\GitHub\mrs-test-scripts\Headless Mode &amp; Sideloading\WalkAndUnGZ.bat" "%USERPROFILE%\AppData\Local\Temp\OnboardLogs"\RTDC4003\2017-07-30 &amp; aws s3 cp s3://rtdc.mdm.uploadarchive.raw/RTDC4003/ "%USERPROFILE%\AppData\Local\Temp\OnboardLogs"\RTDC4003\2017-07-31 --exclude "*" --recursive --include "*20170731*" &amp; "%USERPROFILE%\Documents\GitHub\mrs-test-scripts\Headless Mode &amp; Sideloading\WalkAndUnGZ.bat" "%USERPROFILE%\AppData\Local\Temp\OnboardLogs"\RTDC4003\2017-07-31</v>
      </c>
      <c r="AF22" s="74" t="str">
        <f t="shared" si="12"/>
        <v>"C:\Program Files (x86)\AstroGrep\AstroGrep.exe" /e /r /s /spath="%USERPROFILE%\AppData\Local\Temp\OnboardLogs" /stypes="app*4003*20170730*"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110-30 --locoid 4003 --swversion DE.1.0.9.0 --startMP 204:232968 --initTime 2017-07-30T05:23:15 --startdatetime 2017-07-30T05:42:17 --delay 0 --endMP 204:138 --enddatetime 2017-07-30T06:20:48 --enforcementcount 0 &gt;&gt;C:\Users\stu\Documents\GitHub\eaglep3-reporting\EC\2017-07-30-refined-times.txt</v>
      </c>
      <c r="AI22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{"issue":{"subject":"","project_id":79,"tracker_id":40,"status_id":1,"priority_id":2,"assigned_to_id":23,"start_date":"2017-07-30","description":"","custom_fields":[{"id":1,"name":"Subdivision","value":"EC"},{"id":4,"name":"Milepost","value":"0.0138"},{"id":17,"name":"Train ID","value":"110-30"},{"id":16,"name":"Locomotive ID","value":"4003"},{"id":130,"name":"Impact","value":""},{"id":150,"name":"Time of Event (Mountain Time)","value":"06:20:48"},{"id":151,"name":"Denver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4003 --day 2017-07-30</v>
      </c>
      <c r="AN22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12:20:48"},{"id":29,"name":"Sharepoint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695</v>
      </c>
      <c r="B23" s="7">
        <v>4044</v>
      </c>
      <c r="C23" s="21" t="s">
        <v>198</v>
      </c>
      <c r="D23" s="21" t="s">
        <v>452</v>
      </c>
      <c r="E23" s="13">
        <v>42946.205057870371</v>
      </c>
      <c r="F23" s="13">
        <v>42946.208923611113</v>
      </c>
      <c r="G23" s="7">
        <v>1</v>
      </c>
      <c r="H23" s="21" t="s">
        <v>874</v>
      </c>
      <c r="I23" s="13">
        <v>42946.233090277776</v>
      </c>
      <c r="J23" s="7">
        <v>0</v>
      </c>
      <c r="K23" s="89" t="str">
        <f t="shared" si="0"/>
        <v>4043/4044</v>
      </c>
      <c r="L23" s="21" t="str">
        <f>VLOOKUP(A23,'Trips&amp;Operators'!$C$1:$G$99999,5,FALSE)</f>
        <v>MAELZER KURT</v>
      </c>
      <c r="M23" s="6">
        <f t="shared" si="1"/>
        <v>2.4166666662495118E-2</v>
      </c>
      <c r="N23" s="7">
        <f t="shared" si="2"/>
        <v>34.799999993992969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-07-30T03:55:17-0600',mode:absolute,to:'2017-07-30T06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4.4900000000000002E-2</v>
      </c>
      <c r="Z23" s="197">
        <f t="shared" si="8"/>
        <v>23.3293</v>
      </c>
      <c r="AA23" s="197">
        <f t="shared" si="9"/>
        <v>23.284400000000002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s3://rtdc.mdm.uploadarchive.raw/RTDC4044/ "%USERPROFILE%\AppData\Local\Temp\OnboardLogs"\RTDC4044\2017-07-30 --exclude "*" --recursive --include "*20170730*" &amp; "%USERPROFILE%\Documents\GitHub\mrs-test-scripts\Headless Mode &amp; Sideloading\WalkAndUnGZ.bat" "%USERPROFILE%\AppData\Local\Temp\OnboardLogs"\RTDC4044\2017-07-30 &amp; aws s3 cp s3://rtdc.mdm.uploadarchive.raw/RTDC4044/ "%USERPROFILE%\AppData\Local\Temp\OnboardLogs"\RTDC4044\2017-07-31 --exclude "*" --recursive --include "*20170731*" &amp; "%USERPROFILE%\Documents\GitHub\mrs-test-scripts\Headless Mode &amp; Sideloading\WalkAndUnGZ.bat" "%USERPROFILE%\AppData\Local\Temp\OnboardLogs"\RTDC4044\2017-07-31</v>
      </c>
      <c r="AF23" s="74" t="str">
        <f t="shared" si="12"/>
        <v>"C:\Program Files (x86)\AstroGrep\AstroGrep.exe" /e /r /s /spath="%USERPROFILE%\AppData\Local\Temp\OnboardLogs" /stypes="app*4044*20170730*"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111-30 --locoid 4044 --swversion DE.1.0.9.0 --startMP 204:449 --initTime 2017-07-30T04:55:17 --startdatetime 2017-07-30T05:00:51 --delay 1 --endMP 204:233293 --enddatetime 2017-07-30T05:35:39 --enforcementcount 0 &gt;&gt;C:\Users\stu\Documents\GitHub\eaglep3-reporting\EC\2017-07-30-refined-times.txt</v>
      </c>
      <c r="AI23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{"issue":{"subject":"","project_id":79,"tracker_id":40,"status_id":1,"priority_id":2,"assigned_to_id":23,"start_date":"2017-07-30","description":"","custom_fields":[{"id":1,"name":"Subdivision","value":"EC"},{"id":4,"name":"Milepost","value":"23.3293"},{"id":17,"name":"Train ID","value":"111-30"},{"id":16,"name":"Locomotive ID","value":"4044"},{"id":130,"name":"Impact","value":""},{"id":150,"name":"Time of Event (Mountain Time)","value":"05:35:39"},{"id":151,"name":"Denver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4044 --day 2017-07-30</v>
      </c>
      <c r="AN23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11:35:39"},{"id":29,"name":"Sharepoint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707</v>
      </c>
      <c r="B24" s="7">
        <v>4043</v>
      </c>
      <c r="C24" s="21" t="s">
        <v>198</v>
      </c>
      <c r="D24" s="21" t="s">
        <v>584</v>
      </c>
      <c r="E24" s="13">
        <v>42946.241655092592</v>
      </c>
      <c r="F24" s="13">
        <v>42946.248136574075</v>
      </c>
      <c r="G24" s="7">
        <v>0</v>
      </c>
      <c r="H24" s="21" t="s">
        <v>343</v>
      </c>
      <c r="I24" s="13">
        <v>42946.275625000002</v>
      </c>
      <c r="J24" s="7">
        <v>0</v>
      </c>
      <c r="K24" s="89" t="str">
        <f t="shared" si="0"/>
        <v>4043/4044</v>
      </c>
      <c r="L24" s="21" t="str">
        <f>VLOOKUP(A24,'Trips&amp;Operators'!$C$1:$G$99999,5,FALSE)</f>
        <v>MAELZER KURT</v>
      </c>
      <c r="M24" s="6">
        <f t="shared" si="1"/>
        <v>2.7488425927003846E-2</v>
      </c>
      <c r="N24" s="7">
        <f t="shared" si="2"/>
        <v>39.583333334885538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-07-30T04:47:59-0600',mode:absolute,to:'2017-07-30T07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23.2988</v>
      </c>
      <c r="Z24" s="197">
        <f t="shared" si="8"/>
        <v>1.43E-2</v>
      </c>
      <c r="AA24" s="197">
        <f t="shared" si="9"/>
        <v>23.284500000000001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112</v>
      </c>
      <c r="AE24" s="77" t="str">
        <f t="shared" si="11"/>
        <v>aws s3 cp s3://rtdc.mdm.uploadarchive.raw/RTDC4043/ "%USERPROFILE%\AppData\Local\Temp\OnboardLogs"\RTDC4043\2017-07-30 --exclude "*" --recursive --include "*20170730*" &amp; "%USERPROFILE%\Documents\GitHub\mrs-test-scripts\Headless Mode &amp; Sideloading\WalkAndUnGZ.bat" "%USERPROFILE%\AppData\Local\Temp\OnboardLogs"\RTDC4043\2017-07-30 &amp; aws s3 cp s3://rtdc.mdm.uploadarchive.raw/RTDC4043/ "%USERPROFILE%\AppData\Local\Temp\OnboardLogs"\RTDC4043\2017-07-31 --exclude "*" --recursive --include "*20170731*" &amp; "%USERPROFILE%\Documents\GitHub\mrs-test-scripts\Headless Mode &amp; Sideloading\WalkAndUnGZ.bat" "%USERPROFILE%\AppData\Local\Temp\OnboardLogs"\RTDC4043\2017-07-31</v>
      </c>
      <c r="AF24" s="74" t="str">
        <f t="shared" si="12"/>
        <v>"C:\Program Files (x86)\AstroGrep\AstroGrep.exe" /e /r /s /spath="%USERPROFILE%\AppData\Local\Temp\OnboardLogs" /stypes="app*4043*20170730*"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112-30 --locoid 4043 --swversion DE.1.0.9.0 --startMP 204:232988 --initTime 2017-07-30T05:47:59 --startdatetime 2017-07-30T05:57:19 --delay 0 --endMP 204:143 --enddatetime 2017-07-30T06:36:54 --enforcementcount 0 &gt;&gt;C:\Users\stu\Documents\GitHub\eaglep3-reporting\EC\2017-07-30-refined-times.txt</v>
      </c>
      <c r="AI24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{"issue":{"subject":"","project_id":79,"tracker_id":40,"status_id":1,"priority_id":2,"assigned_to_id":23,"start_date":"2017-07-30","description":"","custom_fields":[{"id":1,"name":"Subdivision","value":"EC"},{"id":4,"name":"Milepost","value":"0.0143"},{"id":17,"name":"Train ID","value":"112-30"},{"id":16,"name":"Locomotive ID","value":"4043"},{"id":130,"name":"Impact","value":""},{"id":150,"name":"Time of Event (Mountain Time)","value":"06:36:54"},{"id":151,"name":"Denver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4043 --day 2017-07-30</v>
      </c>
      <c r="AN24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12:36:54"},{"id":29,"name":"Sharepoint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697</v>
      </c>
      <c r="B25" s="7">
        <v>4012</v>
      </c>
      <c r="C25" s="21" t="s">
        <v>198</v>
      </c>
      <c r="D25" s="21" t="s">
        <v>583</v>
      </c>
      <c r="E25" s="13">
        <v>42946.209849537037</v>
      </c>
      <c r="F25" s="13">
        <v>42946.219282407408</v>
      </c>
      <c r="G25" s="7">
        <v>1</v>
      </c>
      <c r="H25" s="21" t="s">
        <v>599</v>
      </c>
      <c r="I25" s="13">
        <v>42946.244351851848</v>
      </c>
      <c r="J25" s="7">
        <v>0</v>
      </c>
      <c r="K25" s="89" t="str">
        <f t="shared" si="0"/>
        <v>4011/4012</v>
      </c>
      <c r="L25" s="21" t="str">
        <f>VLOOKUP(A25,'Trips&amp;Operators'!$C$1:$G$99999,5,FALSE)</f>
        <v>GUZMAN DANNY</v>
      </c>
      <c r="M25" s="6">
        <f t="shared" si="1"/>
        <v>2.5069444440305233E-2</v>
      </c>
      <c r="N25" s="7">
        <f t="shared" si="2"/>
        <v>36.099999994039536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-07-30T04:02:11-0600',mode:absolute,to:'2017-07-30T06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4.7800000000000002E-2</v>
      </c>
      <c r="Z25" s="197">
        <f t="shared" si="8"/>
        <v>23.334599999999998</v>
      </c>
      <c r="AA25" s="197">
        <f t="shared" si="9"/>
        <v>23.286799999999999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113</v>
      </c>
      <c r="AE25" s="77" t="str">
        <f t="shared" si="11"/>
        <v>aws s3 cp s3://rtdc.mdm.uploadarchive.raw/RTDC4012/ "%USERPROFILE%\AppData\Local\Temp\OnboardLogs"\RTDC4012\2017-07-30 --exclude "*" --recursive --include "*20170730*" &amp; "%USERPROFILE%\Documents\GitHub\mrs-test-scripts\Headless Mode &amp; Sideloading\WalkAndUnGZ.bat" "%USERPROFILE%\AppData\Local\Temp\OnboardLogs"\RTDC4012\2017-07-30 &amp; aws s3 cp s3://rtdc.mdm.uploadarchive.raw/RTDC4012/ "%USERPROFILE%\AppData\Local\Temp\OnboardLogs"\RTDC4012\2017-07-31 --exclude "*" --recursive --include "*20170731*" &amp; "%USERPROFILE%\Documents\GitHub\mrs-test-scripts\Headless Mode &amp; Sideloading\WalkAndUnGZ.bat" "%USERPROFILE%\AppData\Local\Temp\OnboardLogs"\RTDC4012\2017-07-31</v>
      </c>
      <c r="AF25" s="74" t="str">
        <f t="shared" si="12"/>
        <v>"C:\Program Files (x86)\AstroGrep\AstroGrep.exe" /e /r /s /spath="%USERPROFILE%\AppData\Local\Temp\OnboardLogs" /stypes="app*4012*20170730*"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113-30 --locoid 4012 --swversion DE.1.0.9.0 --startMP 204:478 --initTime 2017-07-30T05:02:11 --startdatetime 2017-07-30T05:15:46 --delay 1 --endMP 204:233346 --enddatetime 2017-07-30T05:51:52 --enforcementcount 0 &gt;&gt;C:\Users\stu\Documents\GitHub\eaglep3-reporting\EC\2017-07-30-refined-times.txt</v>
      </c>
      <c r="AI25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{"issue":{"subject":"","project_id":79,"tracker_id":40,"status_id":1,"priority_id":2,"assigned_to_id":23,"start_date":"2017-07-30","description":"","custom_fields":[{"id":1,"name":"Subdivision","value":"EC"},{"id":4,"name":"Milepost","value":"23.3346"},{"id":17,"name":"Train ID","value":"113-30"},{"id":16,"name":"Locomotive ID","value":"4012"},{"id":130,"name":"Impact","value":""},{"id":150,"name":"Time of Event (Mountain Time)","value":"05:51:52"},{"id":151,"name":"Denver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4012 --day 2017-07-30</v>
      </c>
      <c r="AN25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11:51:52"},{"id":29,"name":"Sharepoint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708</v>
      </c>
      <c r="B26" s="7">
        <v>4011</v>
      </c>
      <c r="C26" s="21" t="s">
        <v>198</v>
      </c>
      <c r="D26" s="21" t="s">
        <v>875</v>
      </c>
      <c r="E26" s="13">
        <v>42946.246018518519</v>
      </c>
      <c r="F26" s="13">
        <v>42946.258518518516</v>
      </c>
      <c r="G26" s="7">
        <v>0</v>
      </c>
      <c r="H26" s="21" t="s">
        <v>351</v>
      </c>
      <c r="I26" s="13">
        <v>42946.284988425927</v>
      </c>
      <c r="J26" s="7">
        <v>0</v>
      </c>
      <c r="K26" s="89" t="str">
        <f t="shared" si="0"/>
        <v>4011/4012</v>
      </c>
      <c r="L26" s="21" t="str">
        <f>VLOOKUP(A26,'Trips&amp;Operators'!$C$1:$G$99999,5,FALSE)</f>
        <v>GUZMAN DANNY</v>
      </c>
      <c r="M26" s="6">
        <f t="shared" si="1"/>
        <v>2.6469907410501037E-2</v>
      </c>
      <c r="N26" s="7">
        <f t="shared" si="2"/>
        <v>38.116666671121493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-07-30T04:54:16-0600',mode:absolute,to:'2017-07-30T07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23.302499999999998</v>
      </c>
      <c r="Z26" s="197">
        <f t="shared" si="8"/>
        <v>1.41E-2</v>
      </c>
      <c r="AA26" s="197">
        <f t="shared" si="9"/>
        <v>23.288399999999999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114</v>
      </c>
      <c r="AE26" s="77" t="str">
        <f t="shared" si="11"/>
        <v>aws s3 cp s3://rtdc.mdm.uploadarchive.raw/RTDC4011/ "%USERPROFILE%\AppData\Local\Temp\OnboardLogs"\RTDC4011\2017-07-30 --exclude "*" --recursive --include "*20170730*" &amp; "%USERPROFILE%\Documents\GitHub\mrs-test-scripts\Headless Mode &amp; Sideloading\WalkAndUnGZ.bat" "%USERPROFILE%\AppData\Local\Temp\OnboardLogs"\RTDC4011\2017-07-30 &amp; aws s3 cp s3://rtdc.mdm.uploadarchive.raw/RTDC4011/ "%USERPROFILE%\AppData\Local\Temp\OnboardLogs"\RTDC4011\2017-07-31 --exclude "*" --recursive --include "*20170731*" &amp; "%USERPROFILE%\Documents\GitHub\mrs-test-scripts\Headless Mode &amp; Sideloading\WalkAndUnGZ.bat" "%USERPROFILE%\AppData\Local\Temp\OnboardLogs"\RTDC4011\2017-07-31</v>
      </c>
      <c r="AF26" s="74" t="str">
        <f t="shared" si="12"/>
        <v>"C:\Program Files (x86)\AstroGrep\AstroGrep.exe" /e /r /s /spath="%USERPROFILE%\AppData\Local\Temp\OnboardLogs" /stypes="app*4011*20170730*"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114-30 --locoid 4011 --swversion DE.1.0.9.0 --startMP 204:233025 --initTime 2017-07-30T05:54:16 --startdatetime 2017-07-30T06:12:16 --delay 0 --endMP 204:141 --enddatetime 2017-07-30T06:50:23 --enforcementcount 0 &gt;&gt;C:\Users\stu\Documents\GitHub\eaglep3-reporting\EC\2017-07-30-refined-times.txt</v>
      </c>
      <c r="AI26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{"issue":{"subject":"","project_id":79,"tracker_id":40,"status_id":1,"priority_id":2,"assigned_to_id":23,"start_date":"2017-07-30","description":"","custom_fields":[{"id":1,"name":"Subdivision","value":"EC"},{"id":4,"name":"Milepost","value":"0.0141"},{"id":17,"name":"Train ID","value":"114-30"},{"id":16,"name":"Locomotive ID","value":"4011"},{"id":130,"name":"Impact","value":""},{"id":150,"name":"Time of Event (Mountain Time)","value":"06:50:23"},{"id":151,"name":"Denver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4011 --day 2017-07-30</v>
      </c>
      <c r="AN26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12:50:23"},{"id":29,"name":"Sharepoint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705</v>
      </c>
      <c r="B27" s="7">
        <v>4006</v>
      </c>
      <c r="C27" s="21" t="s">
        <v>198</v>
      </c>
      <c r="D27" s="21" t="s">
        <v>340</v>
      </c>
      <c r="E27" s="13">
        <v>42946.226122685184</v>
      </c>
      <c r="F27" s="13">
        <v>42946.229733796295</v>
      </c>
      <c r="G27" s="7">
        <v>1</v>
      </c>
      <c r="H27" s="21" t="s">
        <v>876</v>
      </c>
      <c r="I27" s="13">
        <v>42946.257280092592</v>
      </c>
      <c r="J27" s="7">
        <v>0</v>
      </c>
      <c r="K27" s="89" t="str">
        <f t="shared" si="0"/>
        <v>4005/4006</v>
      </c>
      <c r="L27" s="21" t="str">
        <f>VLOOKUP(A27,'Trips&amp;Operators'!$C$1:$G$99999,5,FALSE)</f>
        <v>WILLIAMS DONTE</v>
      </c>
      <c r="M27" s="6">
        <f t="shared" si="1"/>
        <v>2.7546296296350192E-2</v>
      </c>
      <c r="N27" s="7">
        <f t="shared" si="2"/>
        <v>39.666666666744277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-07-30T04:25:37-0600',mode:absolute,to:'2017-07-30T07:10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4.4600000000000001E-2</v>
      </c>
      <c r="Z27" s="197">
        <f t="shared" si="8"/>
        <v>23.3276</v>
      </c>
      <c r="AA27" s="197">
        <f t="shared" si="9"/>
        <v>23.283000000000001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115</v>
      </c>
      <c r="AE27" s="77" t="str">
        <f t="shared" si="11"/>
        <v>aws s3 cp s3://rtdc.mdm.uploadarchive.raw/RTDC4006/ "%USERPROFILE%\AppData\Local\Temp\OnboardLogs"\RTDC4006\2017-07-30 --exclude "*" --recursive --include "*20170730*" &amp; "%USERPROFILE%\Documents\GitHub\mrs-test-scripts\Headless Mode &amp; Sideloading\WalkAndUnGZ.bat" "%USERPROFILE%\AppData\Local\Temp\OnboardLogs"\RTDC4006\2017-07-30 &amp; aws s3 cp s3://rtdc.mdm.uploadarchive.raw/RTDC4006/ "%USERPROFILE%\AppData\Local\Temp\OnboardLogs"\RTDC4006\2017-07-31 --exclude "*" --recursive --include "*20170731*" &amp; "%USERPROFILE%\Documents\GitHub\mrs-test-scripts\Headless Mode &amp; Sideloading\WalkAndUnGZ.bat" "%USERPROFILE%\AppData\Local\Temp\OnboardLogs"\RTDC4006\2017-07-31</v>
      </c>
      <c r="AF27" s="74" t="str">
        <f t="shared" si="12"/>
        <v>"C:\Program Files (x86)\AstroGrep\AstroGrep.exe" /e /r /s /spath="%USERPROFILE%\AppData\Local\Temp\OnboardLogs" /stypes="app*4006*20170730*"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115-30 --locoid 4006 --swversion DE.1.0.9.0 --startMP 204:446 --initTime 2017-07-30T05:25:37 --startdatetime 2017-07-30T05:30:49 --delay 1 --endMP 204:233276 --enddatetime 2017-07-30T06:10:29 --enforcementcount 0 &gt;&gt;C:\Users\stu\Documents\GitHub\eaglep3-reporting\EC\2017-07-30-refined-times.txt</v>
      </c>
      <c r="AI27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{"issue":{"subject":"","project_id":79,"tracker_id":40,"status_id":1,"priority_id":2,"assigned_to_id":23,"start_date":"2017-07-30","description":"","custom_fields":[{"id":1,"name":"Subdivision","value":"EC"},{"id":4,"name":"Milepost","value":"23.3276"},{"id":17,"name":"Train ID","value":"115-30"},{"id":16,"name":"Locomotive ID","value":"4006"},{"id":130,"name":"Impact","value":""},{"id":150,"name":"Time of Event (Mountain Time)","value":"06:10:29"},{"id":151,"name":"Denver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4006 --day 2017-07-30</v>
      </c>
      <c r="AN27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12:10:29"},{"id":29,"name":"Sharepoint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712</v>
      </c>
      <c r="B28" s="7">
        <v>4005</v>
      </c>
      <c r="C28" s="21" t="s">
        <v>198</v>
      </c>
      <c r="D28" s="21" t="s">
        <v>877</v>
      </c>
      <c r="E28" s="13">
        <v>42946.259548611109</v>
      </c>
      <c r="F28" s="13">
        <v>42946.268923611111</v>
      </c>
      <c r="G28" s="7">
        <v>1</v>
      </c>
      <c r="H28" s="21" t="s">
        <v>377</v>
      </c>
      <c r="I28" s="13">
        <v>42946.296296296299</v>
      </c>
      <c r="J28" s="7">
        <v>0</v>
      </c>
      <c r="K28" s="89" t="str">
        <f t="shared" si="0"/>
        <v>4005/4006</v>
      </c>
      <c r="L28" s="21" t="str">
        <f>VLOOKUP(A28,'Trips&amp;Operators'!$C$1:$G$99999,5,FALSE)</f>
        <v>WILLIAMS DONTE</v>
      </c>
      <c r="M28" s="6">
        <f t="shared" si="1"/>
        <v>2.7372685188311152E-2</v>
      </c>
      <c r="N28" s="7">
        <f t="shared" si="2"/>
        <v>39.416666671168059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-07-30T05:13:45-0600',mode:absolute,to:'2017-07-30T08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23.296500000000002</v>
      </c>
      <c r="Z28" s="197">
        <f t="shared" si="8"/>
        <v>1.54E-2</v>
      </c>
      <c r="AA28" s="197">
        <f t="shared" si="9"/>
        <v>23.281100000000002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116</v>
      </c>
      <c r="AE28" s="77" t="str">
        <f t="shared" si="11"/>
        <v>aws s3 cp s3://rtdc.mdm.uploadarchive.raw/RTDC4005/ "%USERPROFILE%\AppData\Local\Temp\OnboardLogs"\RTDC4005\2017-07-30 --exclude "*" --recursive --include "*20170730*" &amp; "%USERPROFILE%\Documents\GitHub\mrs-test-scripts\Headless Mode &amp; Sideloading\WalkAndUnGZ.bat" "%USERPROFILE%\AppData\Local\Temp\OnboardLogs"\RTDC4005\2017-07-30 &amp; aws s3 cp s3://rtdc.mdm.uploadarchive.raw/RTDC4005/ "%USERPROFILE%\AppData\Local\Temp\OnboardLogs"\RTDC4005\2017-07-31 --exclude "*" --recursive --include "*20170731*" &amp; "%USERPROFILE%\Documents\GitHub\mrs-test-scripts\Headless Mode &amp; Sideloading\WalkAndUnGZ.bat" "%USERPROFILE%\AppData\Local\Temp\OnboardLogs"\RTDC4005\2017-07-31</v>
      </c>
      <c r="AF28" s="74" t="str">
        <f t="shared" si="12"/>
        <v>"C:\Program Files (x86)\AstroGrep\AstroGrep.exe" /e /r /s /spath="%USERPROFILE%\AppData\Local\Temp\OnboardLogs" /stypes="app*4005*20170730*"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116-30 --locoid 4005 --swversion DE.1.0.9.0 --startMP 204:232965 --initTime 2017-07-30T06:13:45 --startdatetime 2017-07-30T06:27:15 --delay 1 --endMP 204:154 --enddatetime 2017-07-30T07:06:40 --enforcementcount 0 &gt;&gt;C:\Users\stu\Documents\GitHub\eaglep3-reporting\EC\2017-07-30-refined-times.txt</v>
      </c>
      <c r="AI28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{"issue":{"subject":"","project_id":79,"tracker_id":40,"status_id":1,"priority_id":2,"assigned_to_id":23,"start_date":"2017-07-30","description":"","custom_fields":[{"id":1,"name":"Subdivision","value":"EC"},{"id":4,"name":"Milepost","value":"0.0154"},{"id":17,"name":"Train ID","value":"116-30"},{"id":16,"name":"Locomotive ID","value":"4005"},{"id":130,"name":"Impact","value":""},{"id":150,"name":"Time of Event (Mountain Time)","value":"07:06:40"},{"id":151,"name":"Denver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4005 --day 2017-07-30</v>
      </c>
      <c r="AN28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13:06:40"},{"id":29,"name":"Sharepoint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706</v>
      </c>
      <c r="B29" s="7">
        <v>4032</v>
      </c>
      <c r="C29" s="21" t="s">
        <v>198</v>
      </c>
      <c r="D29" s="21" t="s">
        <v>376</v>
      </c>
      <c r="E29" s="13">
        <v>42946.237835648149</v>
      </c>
      <c r="F29" s="13">
        <v>42946.240416666667</v>
      </c>
      <c r="G29" s="7">
        <v>1</v>
      </c>
      <c r="H29" s="21" t="s">
        <v>586</v>
      </c>
      <c r="I29" s="13">
        <v>42946.264872685184</v>
      </c>
      <c r="J29" s="7">
        <v>0</v>
      </c>
      <c r="K29" s="89" t="str">
        <f t="shared" si="0"/>
        <v>4031/4032</v>
      </c>
      <c r="L29" s="21" t="str">
        <f>VLOOKUP(A29,'Trips&amp;Operators'!$C$1:$G$99999,5,FALSE)</f>
        <v>MACDONALD THOMAS</v>
      </c>
      <c r="M29" s="6">
        <f t="shared" si="1"/>
        <v>2.4456018516502809E-2</v>
      </c>
      <c r="N29" s="7">
        <f t="shared" si="2"/>
        <v>35.216666663764045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-07-30T04:42:29-0600',mode:absolute,to:'2017-07-30T07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4.6199999999999998E-2</v>
      </c>
      <c r="Z29" s="197">
        <f t="shared" si="8"/>
        <v>23.329799999999999</v>
      </c>
      <c r="AA29" s="197">
        <f t="shared" si="9"/>
        <v>23.2836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117</v>
      </c>
      <c r="AE29" s="77" t="str">
        <f t="shared" si="11"/>
        <v>aws s3 cp s3://rtdc.mdm.uploadarchive.raw/RTDC4032/ "%USERPROFILE%\AppData\Local\Temp\OnboardLogs"\RTDC4032\2017-07-30 --exclude "*" --recursive --include "*20170730*" &amp; "%USERPROFILE%\Documents\GitHub\mrs-test-scripts\Headless Mode &amp; Sideloading\WalkAndUnGZ.bat" "%USERPROFILE%\AppData\Local\Temp\OnboardLogs"\RTDC4032\2017-07-30 &amp; aws s3 cp s3://rtdc.mdm.uploadarchive.raw/RTDC4032/ "%USERPROFILE%\AppData\Local\Temp\OnboardLogs"\RTDC4032\2017-07-31 --exclude "*" --recursive --include "*20170731*" &amp; "%USERPROFILE%\Documents\GitHub\mrs-test-scripts\Headless Mode &amp; Sideloading\WalkAndUnGZ.bat" "%USERPROFILE%\AppData\Local\Temp\OnboardLogs"\RTDC4032\2017-07-31</v>
      </c>
      <c r="AF29" s="74" t="str">
        <f t="shared" si="12"/>
        <v>"C:\Program Files (x86)\AstroGrep\AstroGrep.exe" /e /r /s /spath="%USERPROFILE%\AppData\Local\Temp\OnboardLogs" /stypes="app*4032*20170730*"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117-30 --locoid 4032 --swversion DE.1.0.9.0 --startMP 204:462 --initTime 2017-07-30T05:42:29 --startdatetime 2017-07-30T05:46:12 --delay 1 --endMP 204:233298 --enddatetime 2017-07-30T06:21:25 --enforcementcount 0 &gt;&gt;C:\Users\stu\Documents\GitHub\eaglep3-reporting\EC\2017-07-30-refined-times.txt</v>
      </c>
      <c r="AI29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{"issue":{"subject":"","project_id":79,"tracker_id":40,"status_id":1,"priority_id":2,"assigned_to_id":23,"start_date":"2017-07-30","description":"","custom_fields":[{"id":1,"name":"Subdivision","value":"EC"},{"id":4,"name":"Milepost","value":"23.3298"},{"id":17,"name":"Train ID","value":"117-30"},{"id":16,"name":"Locomotive ID","value":"4032"},{"id":130,"name":"Impact","value":""},{"id":150,"name":"Time of Event (Mountain Time)","value":"06:21:25"},{"id":151,"name":"Denver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4032 --day 2017-07-30</v>
      </c>
      <c r="AN29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12:21:25"},{"id":29,"name":"Sharepoint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624</v>
      </c>
      <c r="B30" s="7">
        <v>4031</v>
      </c>
      <c r="C30" s="21" t="s">
        <v>198</v>
      </c>
      <c r="D30" s="21" t="s">
        <v>506</v>
      </c>
      <c r="E30" s="13">
        <v>42946.266064814816</v>
      </c>
      <c r="F30" s="13">
        <v>42946.279560185183</v>
      </c>
      <c r="G30" s="7">
        <v>1</v>
      </c>
      <c r="H30" s="21" t="s">
        <v>878</v>
      </c>
      <c r="I30" s="13">
        <v>42946.304826388892</v>
      </c>
      <c r="J30" s="7">
        <v>0</v>
      </c>
      <c r="K30" s="89" t="str">
        <f t="shared" si="0"/>
        <v>4031/4032</v>
      </c>
      <c r="L30" s="21" t="str">
        <f>VLOOKUP(A30,'Trips&amp;Operators'!$C$1:$G$99999,5,FALSE)</f>
        <v>MACDONALD THOMAS</v>
      </c>
      <c r="M30" s="6">
        <f t="shared" si="1"/>
        <v>2.5266203709179536E-2</v>
      </c>
      <c r="N30" s="7">
        <f t="shared" si="2"/>
        <v>36.383333341218531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-07-30T05:23:08-0600',mode:absolute,to:'2017-07-30T08:18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23.297699999999999</v>
      </c>
      <c r="Z30" s="197">
        <f t="shared" si="8"/>
        <v>1.9400000000000001E-2</v>
      </c>
      <c r="AA30" s="197">
        <f t="shared" si="9"/>
        <v>23.278299999999998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118</v>
      </c>
      <c r="AE30" s="77" t="str">
        <f t="shared" si="11"/>
        <v>aws s3 cp s3://rtdc.mdm.uploadarchive.raw/RTDC4031/ "%USERPROFILE%\AppData\Local\Temp\OnboardLogs"\RTDC4031\2017-07-30 --exclude "*" --recursive --include "*20170730*" &amp; "%USERPROFILE%\Documents\GitHub\mrs-test-scripts\Headless Mode &amp; Sideloading\WalkAndUnGZ.bat" "%USERPROFILE%\AppData\Local\Temp\OnboardLogs"\RTDC4031\2017-07-30 &amp; aws s3 cp s3://rtdc.mdm.uploadarchive.raw/RTDC4031/ "%USERPROFILE%\AppData\Local\Temp\OnboardLogs"\RTDC4031\2017-07-31 --exclude "*" --recursive --include "*20170731*" &amp; "%USERPROFILE%\Documents\GitHub\mrs-test-scripts\Headless Mode &amp; Sideloading\WalkAndUnGZ.bat" "%USERPROFILE%\AppData\Local\Temp\OnboardLogs"\RTDC4031\2017-07-31</v>
      </c>
      <c r="AF30" s="74" t="str">
        <f t="shared" si="12"/>
        <v>"C:\Program Files (x86)\AstroGrep\AstroGrep.exe" /e /r /s /spath="%USERPROFILE%\AppData\Local\Temp\OnboardLogs" /stypes="app*4031*20170730*"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118-30 --locoid 4031 --swversion DE.1.0.9.0 --startMP 204:232977 --initTime 2017-07-30T06:23:08 --startdatetime 2017-07-30T06:42:34 --delay 1 --endMP 204:194 --enddatetime 2017-07-30T07:18:57 --enforcementcount 0 &gt;&gt;C:\Users\stu\Documents\GitHub\eaglep3-reporting\EC\2017-07-30-refined-times.txt</v>
      </c>
      <c r="AI30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{"issue":{"subject":"","project_id":79,"tracker_id":40,"status_id":1,"priority_id":2,"assigned_to_id":23,"start_date":"2017-07-30","description":"","custom_fields":[{"id":1,"name":"Subdivision","value":"EC"},{"id":4,"name":"Milepost","value":"0.0194"},{"id":17,"name":"Train ID","value":"118-30"},{"id":16,"name":"Locomotive ID","value":"4031"},{"id":130,"name":"Impact","value":""},{"id":150,"name":"Time of Event (Mountain Time)","value":"07:18:57"},{"id":151,"name":"Denver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4031 --day 2017-07-30</v>
      </c>
      <c r="AN30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13:18:57"},{"id":29,"name":"Sharepoint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709</v>
      </c>
      <c r="B31" s="7">
        <v>4066</v>
      </c>
      <c r="C31" s="21" t="s">
        <v>198</v>
      </c>
      <c r="D31" s="21" t="s">
        <v>348</v>
      </c>
      <c r="E31" s="13">
        <v>42946.246053240742</v>
      </c>
      <c r="F31" s="13">
        <v>42946.250532407408</v>
      </c>
      <c r="G31" s="7">
        <v>1</v>
      </c>
      <c r="H31" s="21" t="s">
        <v>484</v>
      </c>
      <c r="I31" s="13">
        <v>42946.276099537034</v>
      </c>
      <c r="J31" s="7">
        <v>0</v>
      </c>
      <c r="K31" s="89" t="str">
        <f t="shared" si="0"/>
        <v>4065/4066</v>
      </c>
      <c r="L31" s="21" t="str">
        <f>VLOOKUP(A31,'Trips&amp;Operators'!$C$1:$G$99999,5,FALSE)</f>
        <v>DAVIS WENDY</v>
      </c>
      <c r="M31" s="6">
        <f t="shared" si="1"/>
        <v>2.5567129625414964E-2</v>
      </c>
      <c r="N31" s="7">
        <f t="shared" si="2"/>
        <v>36.816666660597548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-07-30T04:54:19-0600',mode:absolute,to:'2017-07-30T07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4.4699999999999997E-2</v>
      </c>
      <c r="Z31" s="197">
        <f t="shared" si="8"/>
        <v>23.3307</v>
      </c>
      <c r="AA31" s="197">
        <f t="shared" si="9"/>
        <v>23.286000000000001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119</v>
      </c>
      <c r="AE31" s="77" t="str">
        <f t="shared" si="11"/>
        <v>aws s3 cp s3://rtdc.mdm.uploadarchive.raw/RTDC4066/ "%USERPROFILE%\AppData\Local\Temp\OnboardLogs"\RTDC4066\2017-07-30 --exclude "*" --recursive --include "*20170730*" &amp; "%USERPROFILE%\Documents\GitHub\mrs-test-scripts\Headless Mode &amp; Sideloading\WalkAndUnGZ.bat" "%USERPROFILE%\AppData\Local\Temp\OnboardLogs"\RTDC4066\2017-07-30 &amp; aws s3 cp s3://rtdc.mdm.uploadarchive.raw/RTDC4066/ "%USERPROFILE%\AppData\Local\Temp\OnboardLogs"\RTDC4066\2017-07-31 --exclude "*" --recursive --include "*20170731*" &amp; "%USERPROFILE%\Documents\GitHub\mrs-test-scripts\Headless Mode &amp; Sideloading\WalkAndUnGZ.bat" "%USERPROFILE%\AppData\Local\Temp\OnboardLogs"\RTDC4066\2017-07-31</v>
      </c>
      <c r="AF31" s="74" t="str">
        <f t="shared" si="12"/>
        <v>"C:\Program Files (x86)\AstroGrep\AstroGrep.exe" /e /r /s /spath="%USERPROFILE%\AppData\Local\Temp\OnboardLogs" /stypes="app*4066*20170730*"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119-30 --locoid 4066 --swversion DE.1.0.9.0 --startMP 204:447 --initTime 2017-07-30T05:54:19 --startdatetime 2017-07-30T06:00:46 --delay 1 --endMP 204:233307 --enddatetime 2017-07-30T06:37:35 --enforcementcount 0 &gt;&gt;C:\Users\stu\Documents\GitHub\eaglep3-reporting\EC\2017-07-30-refined-times.txt</v>
      </c>
      <c r="AI31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{"issue":{"subject":"","project_id":79,"tracker_id":40,"status_id":1,"priority_id":2,"assigned_to_id":23,"start_date":"2017-07-30","description":"","custom_fields":[{"id":1,"name":"Subdivision","value":"EC"},{"id":4,"name":"Milepost","value":"23.3307"},{"id":17,"name":"Train ID","value":"119-30"},{"id":16,"name":"Locomotive ID","value":"4066"},{"id":130,"name":"Impact","value":""},{"id":150,"name":"Time of Event (Mountain Time)","value":"06:37:35"},{"id":151,"name":"Denver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4066 --day 2017-07-30</v>
      </c>
      <c r="AN31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12:37:35"},{"id":29,"name":"Sharepoint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717</v>
      </c>
      <c r="B32" s="7">
        <v>4065</v>
      </c>
      <c r="C32" s="21" t="s">
        <v>198</v>
      </c>
      <c r="D32" s="21" t="s">
        <v>448</v>
      </c>
      <c r="E32" s="13">
        <v>42946.287164351852</v>
      </c>
      <c r="F32" s="13">
        <v>42946.28974537037</v>
      </c>
      <c r="G32" s="7">
        <v>1</v>
      </c>
      <c r="H32" s="21" t="s">
        <v>519</v>
      </c>
      <c r="I32" s="13">
        <v>42946.317187499997</v>
      </c>
      <c r="J32" s="7">
        <v>0</v>
      </c>
      <c r="K32" s="89" t="str">
        <f t="shared" si="0"/>
        <v>4065/4066</v>
      </c>
      <c r="L32" s="21" t="str">
        <f>VLOOKUP(A32,'Trips&amp;Operators'!$C$1:$G$99999,5,FALSE)</f>
        <v>DAVIS WENDY</v>
      </c>
      <c r="M32" s="6">
        <f t="shared" si="1"/>
        <v>2.7442129627161194E-2</v>
      </c>
      <c r="N32" s="7">
        <f t="shared" si="2"/>
        <v>39.516666663112119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-07-30T05:53:31-0600',mode:absolute,to:'2017-07-30T08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23.299399999999999</v>
      </c>
      <c r="Z32" s="197">
        <f t="shared" si="8"/>
        <v>1.67E-2</v>
      </c>
      <c r="AA32" s="197">
        <f t="shared" si="9"/>
        <v>23.282699999999998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120</v>
      </c>
      <c r="AE32" s="77" t="str">
        <f t="shared" si="11"/>
        <v>aws s3 cp s3://rtdc.mdm.uploadarchive.raw/RTDC4065/ "%USERPROFILE%\AppData\Local\Temp\OnboardLogs"\RTDC4065\2017-07-30 --exclude "*" --recursive --include "*20170730*" &amp; "%USERPROFILE%\Documents\GitHub\mrs-test-scripts\Headless Mode &amp; Sideloading\WalkAndUnGZ.bat" "%USERPROFILE%\AppData\Local\Temp\OnboardLogs"\RTDC4065\2017-07-30 &amp; aws s3 cp s3://rtdc.mdm.uploadarchive.raw/RTDC4065/ "%USERPROFILE%\AppData\Local\Temp\OnboardLogs"\RTDC4065\2017-07-31 --exclude "*" --recursive --include "*20170731*" &amp; "%USERPROFILE%\Documents\GitHub\mrs-test-scripts\Headless Mode &amp; Sideloading\WalkAndUnGZ.bat" "%USERPROFILE%\AppData\Local\Temp\OnboardLogs"\RTDC4065\2017-07-31</v>
      </c>
      <c r="AF32" s="74" t="str">
        <f t="shared" si="12"/>
        <v>"C:\Program Files (x86)\AstroGrep\AstroGrep.exe" /e /r /s /spath="%USERPROFILE%\AppData\Local\Temp\OnboardLogs" /stypes="app*4065*20170730*"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120-30 --locoid 4065 --swversion DE.1.0.9.0 --startMP 204:232994 --initTime 2017-07-30T06:53:31 --startdatetime 2017-07-30T06:57:14 --delay 1 --endMP 204:167 --enddatetime 2017-07-30T07:36:45 --enforcementcount 0 &gt;&gt;C:\Users\stu\Documents\GitHub\eaglep3-reporting\EC\2017-07-30-refined-times.txt</v>
      </c>
      <c r="AI32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{"issue":{"subject":"","project_id":79,"tracker_id":40,"status_id":1,"priority_id":2,"assigned_to_id":23,"start_date":"2017-07-30","description":"","custom_fields":[{"id":1,"name":"Subdivision","value":"EC"},{"id":4,"name":"Milepost","value":"0.0167"},{"id":17,"name":"Train ID","value":"120-30"},{"id":16,"name":"Locomotive ID","value":"4065"},{"id":130,"name":"Impact","value":""},{"id":150,"name":"Time of Event (Mountain Time)","value":"07:36:45"},{"id":151,"name":"Denver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4065 --day 2017-07-30</v>
      </c>
      <c r="AN32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13:36:45"},{"id":29,"name":"Sharepoint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711</v>
      </c>
      <c r="B33" s="7">
        <v>4030</v>
      </c>
      <c r="C33" s="21" t="s">
        <v>198</v>
      </c>
      <c r="D33" s="21" t="s">
        <v>475</v>
      </c>
      <c r="E33" s="13">
        <v>42946.255185185182</v>
      </c>
      <c r="F33" s="13">
        <v>42946.260949074072</v>
      </c>
      <c r="G33" s="7">
        <v>1</v>
      </c>
      <c r="H33" s="21" t="s">
        <v>879</v>
      </c>
      <c r="I33" s="13">
        <v>42946.285578703704</v>
      </c>
      <c r="J33" s="7">
        <v>0</v>
      </c>
      <c r="K33" s="89" t="str">
        <f t="shared" si="0"/>
        <v>4029/4030</v>
      </c>
      <c r="L33" s="21" t="str">
        <f>VLOOKUP(A33,'Trips&amp;Operators'!$C$1:$G$99999,5,FALSE)</f>
        <v>LALONDE GREGORY</v>
      </c>
      <c r="M33" s="6">
        <f t="shared" si="1"/>
        <v>2.4629629631817807E-2</v>
      </c>
      <c r="N33" s="7">
        <f t="shared" si="2"/>
        <v>35.466666669817641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-07-30T05:07:28-0600',mode:absolute,to:'2017-07-30T07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4.5699999999999998E-2</v>
      </c>
      <c r="Z33" s="197">
        <f t="shared" si="8"/>
        <v>23.335100000000001</v>
      </c>
      <c r="AA33" s="197">
        <f t="shared" si="9"/>
        <v>23.289400000000001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121</v>
      </c>
      <c r="AE33" s="77" t="str">
        <f t="shared" si="11"/>
        <v>aws s3 cp s3://rtdc.mdm.uploadarchive.raw/RTDC4030/ "%USERPROFILE%\AppData\Local\Temp\OnboardLogs"\RTDC4030\2017-07-30 --exclude "*" --recursive --include "*20170730*" &amp; "%USERPROFILE%\Documents\GitHub\mrs-test-scripts\Headless Mode &amp; Sideloading\WalkAndUnGZ.bat" "%USERPROFILE%\AppData\Local\Temp\OnboardLogs"\RTDC4030\2017-07-30 &amp; aws s3 cp s3://rtdc.mdm.uploadarchive.raw/RTDC4030/ "%USERPROFILE%\AppData\Local\Temp\OnboardLogs"\RTDC4030\2017-07-31 --exclude "*" --recursive --include "*20170731*" &amp; "%USERPROFILE%\Documents\GitHub\mrs-test-scripts\Headless Mode &amp; Sideloading\WalkAndUnGZ.bat" "%USERPROFILE%\AppData\Local\Temp\OnboardLogs"\RTDC4030\2017-07-31</v>
      </c>
      <c r="AF33" s="74" t="str">
        <f t="shared" si="12"/>
        <v>"C:\Program Files (x86)\AstroGrep\AstroGrep.exe" /e /r /s /spath="%USERPROFILE%\AppData\Local\Temp\OnboardLogs" /stypes="app*4030*20170730*"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121-30 --locoid 4030 --swversion DE.1.0.9.0 --startMP 204:457 --initTime 2017-07-30T06:07:28 --startdatetime 2017-07-30T06:15:46 --delay 1 --endMP 204:233351 --enddatetime 2017-07-30T06:51:14 --enforcementcount 0 &gt;&gt;C:\Users\stu\Documents\GitHub\eaglep3-reporting\EC\2017-07-30-refined-times.txt</v>
      </c>
      <c r="AI33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{"issue":{"subject":"","project_id":79,"tracker_id":40,"status_id":1,"priority_id":2,"assigned_to_id":23,"start_date":"2017-07-30","description":"","custom_fields":[{"id":1,"name":"Subdivision","value":"EC"},{"id":4,"name":"Milepost","value":"23.3351"},{"id":17,"name":"Train ID","value":"121-30"},{"id":16,"name":"Locomotive ID","value":"4030"},{"id":130,"name":"Impact","value":""},{"id":150,"name":"Time of Event (Mountain Time)","value":"06:51:14"},{"id":151,"name":"Denver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4030 --day 2017-07-30</v>
      </c>
      <c r="AN33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12:51:14"},{"id":29,"name":"Sharepoint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718</v>
      </c>
      <c r="B34" s="7">
        <v>4029</v>
      </c>
      <c r="C34" s="21" t="s">
        <v>198</v>
      </c>
      <c r="D34" s="21" t="s">
        <v>880</v>
      </c>
      <c r="E34" s="13">
        <v>42946.287557870368</v>
      </c>
      <c r="F34" s="13">
        <v>42946.30027777778</v>
      </c>
      <c r="G34" s="7">
        <v>0</v>
      </c>
      <c r="H34" s="21" t="s">
        <v>466</v>
      </c>
      <c r="I34" s="13">
        <v>42946.325995370367</v>
      </c>
      <c r="J34" s="7">
        <v>0</v>
      </c>
      <c r="K34" s="89" t="str">
        <f t="shared" si="0"/>
        <v>4029/4030</v>
      </c>
      <c r="L34" s="21" t="str">
        <f>VLOOKUP(A34,'Trips&amp;Operators'!$C$1:$G$99999,5,FALSE)</f>
        <v>LALONDE GREGORY</v>
      </c>
      <c r="M34" s="6">
        <f t="shared" si="1"/>
        <v>2.5717592587170657E-2</v>
      </c>
      <c r="N34" s="7">
        <f t="shared" si="2"/>
        <v>37.033333325525746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-07-30T05:54:05-0600',mode:absolute,to:'2017-07-30T08:49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23.303000000000001</v>
      </c>
      <c r="Z34" s="197">
        <f t="shared" si="8"/>
        <v>1.6E-2</v>
      </c>
      <c r="AA34" s="197">
        <f t="shared" si="9"/>
        <v>23.287000000000003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122</v>
      </c>
      <c r="AE34" s="77" t="str">
        <f t="shared" si="11"/>
        <v>aws s3 cp s3://rtdc.mdm.uploadarchive.raw/RTDC4029/ "%USERPROFILE%\AppData\Local\Temp\OnboardLogs"\RTDC4029\2017-07-30 --exclude "*" --recursive --include "*20170730*" &amp; "%USERPROFILE%\Documents\GitHub\mrs-test-scripts\Headless Mode &amp; Sideloading\WalkAndUnGZ.bat" "%USERPROFILE%\AppData\Local\Temp\OnboardLogs"\RTDC4029\2017-07-30 &amp; aws s3 cp s3://rtdc.mdm.uploadarchive.raw/RTDC4029/ "%USERPROFILE%\AppData\Local\Temp\OnboardLogs"\RTDC4029\2017-07-31 --exclude "*" --recursive --include "*20170731*" &amp; "%USERPROFILE%\Documents\GitHub\mrs-test-scripts\Headless Mode &amp; Sideloading\WalkAndUnGZ.bat" "%USERPROFILE%\AppData\Local\Temp\OnboardLogs"\RTDC4029\2017-07-31</v>
      </c>
      <c r="AF34" s="74" t="str">
        <f t="shared" si="12"/>
        <v>"C:\Program Files (x86)\AstroGrep\AstroGrep.exe" /e /r /s /spath="%USERPROFILE%\AppData\Local\Temp\OnboardLogs" /stypes="app*4029*20170730*"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122-30 --locoid 4029 --swversion DE.1.0.9.0 --startMP 204:233030 --initTime 2017-07-30T06:54:05 --startdatetime 2017-07-30T07:12:24 --delay 0 --endMP 204:160 --enddatetime 2017-07-30T07:49:26 --enforcementcount 0 &gt;&gt;C:\Users\stu\Documents\GitHub\eaglep3-reporting\EC\2017-07-30-refined-times.txt</v>
      </c>
      <c r="AI34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{"issue":{"subject":"","project_id":79,"tracker_id":40,"status_id":1,"priority_id":2,"assigned_to_id":23,"start_date":"2017-07-30","description":"","custom_fields":[{"id":1,"name":"Subdivision","value":"EC"},{"id":4,"name":"Milepost","value":"0.016"},{"id":17,"name":"Train ID","value":"122-30"},{"id":16,"name":"Locomotive ID","value":"4029"},{"id":130,"name":"Impact","value":""},{"id":150,"name":"Time of Event (Mountain Time)","value":"07:49:26"},{"id":151,"name":"Denver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4029 --day 2017-07-30</v>
      </c>
      <c r="AN34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13:49:26"},{"id":29,"name":"Sharepoint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713</v>
      </c>
      <c r="B35" s="7">
        <v>4004</v>
      </c>
      <c r="C35" s="21" t="s">
        <v>198</v>
      </c>
      <c r="D35" s="21" t="s">
        <v>881</v>
      </c>
      <c r="E35" s="13">
        <v>42946.266967592594</v>
      </c>
      <c r="F35" s="13">
        <v>42946.27138888889</v>
      </c>
      <c r="G35" s="7">
        <v>1</v>
      </c>
      <c r="H35" s="21" t="s">
        <v>882</v>
      </c>
      <c r="I35" s="13">
        <v>42946.296516203707</v>
      </c>
      <c r="J35" s="7">
        <v>0</v>
      </c>
      <c r="K35" s="89" t="str">
        <f t="shared" si="0"/>
        <v>4003/4004</v>
      </c>
      <c r="L35" s="21" t="str">
        <f>VLOOKUP(A35,'Trips&amp;Operators'!$C$1:$G$99999,5,FALSE)</f>
        <v>MOSES BRADLEY</v>
      </c>
      <c r="M35" s="6">
        <f t="shared" si="1"/>
        <v>2.5127314816927537E-2</v>
      </c>
      <c r="N35" s="7">
        <f t="shared" si="2"/>
        <v>36.183333336375654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-07-30T05:24:26-0600',mode:absolute,to:'2017-07-30T08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4.2700000000000002E-2</v>
      </c>
      <c r="Z35" s="197">
        <f t="shared" si="8"/>
        <v>23.3309</v>
      </c>
      <c r="AA35" s="197">
        <f t="shared" si="9"/>
        <v>23.2882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123</v>
      </c>
      <c r="AE35" s="77" t="str">
        <f t="shared" si="11"/>
        <v>aws s3 cp s3://rtdc.mdm.uploadarchive.raw/RTDC4004/ "%USERPROFILE%\AppData\Local\Temp\OnboardLogs"\RTDC4004\2017-07-30 --exclude "*" --recursive --include "*20170730*" &amp; "%USERPROFILE%\Documents\GitHub\mrs-test-scripts\Headless Mode &amp; Sideloading\WalkAndUnGZ.bat" "%USERPROFILE%\AppData\Local\Temp\OnboardLogs"\RTDC4004\2017-07-30 &amp; aws s3 cp s3://rtdc.mdm.uploadarchive.raw/RTDC4004/ "%USERPROFILE%\AppData\Local\Temp\OnboardLogs"\RTDC4004\2017-07-31 --exclude "*" --recursive --include "*20170731*" &amp; "%USERPROFILE%\Documents\GitHub\mrs-test-scripts\Headless Mode &amp; Sideloading\WalkAndUnGZ.bat" "%USERPROFILE%\AppData\Local\Temp\OnboardLogs"\RTDC4004\2017-07-31</v>
      </c>
      <c r="AF35" s="74" t="str">
        <f t="shared" si="12"/>
        <v>"C:\Program Files (x86)\AstroGrep\AstroGrep.exe" /e /r /s /spath="%USERPROFILE%\AppData\Local\Temp\OnboardLogs" /stypes="app*4004*20170730*"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123-30 --locoid 4004 --swversion DE.1.0.9.0 --startMP 204:427 --initTime 2017-07-30T06:24:26 --startdatetime 2017-07-30T06:30:48 --delay 1 --endMP 204:233309 --enddatetime 2017-07-30T07:06:59 --enforcementcount 0 &gt;&gt;C:\Users\stu\Documents\GitHub\eaglep3-reporting\EC\2017-07-30-refined-times.txt</v>
      </c>
      <c r="AI35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{"issue":{"subject":"","project_id":79,"tracker_id":40,"status_id":1,"priority_id":2,"assigned_to_id":23,"start_date":"2017-07-30","description":"","custom_fields":[{"id":1,"name":"Subdivision","value":"EC"},{"id":4,"name":"Milepost","value":"23.3309"},{"id":17,"name":"Train ID","value":"123-30"},{"id":16,"name":"Locomotive ID","value":"4004"},{"id":130,"name":"Impact","value":""},{"id":150,"name":"Time of Event (Mountain Time)","value":"07:06:59"},{"id":151,"name":"Denver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4004 --day 2017-07-30</v>
      </c>
      <c r="AN35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13:06:59"},{"id":29,"name":"Sharepoint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721</v>
      </c>
      <c r="B36" s="7">
        <v>4003</v>
      </c>
      <c r="C36" s="21" t="s">
        <v>198</v>
      </c>
      <c r="D36" s="21" t="s">
        <v>587</v>
      </c>
      <c r="E36" s="13">
        <v>42946.307511574072</v>
      </c>
      <c r="F36" s="13">
        <v>42946.310671296298</v>
      </c>
      <c r="G36" s="7">
        <v>1</v>
      </c>
      <c r="H36" s="21" t="s">
        <v>883</v>
      </c>
      <c r="I36" s="13">
        <v>42946.337094907409</v>
      </c>
      <c r="J36" s="7">
        <v>0</v>
      </c>
      <c r="K36" s="89" t="str">
        <f t="shared" si="0"/>
        <v>4003/4004</v>
      </c>
      <c r="L36" s="21" t="str">
        <f>VLOOKUP(A36,'Trips&amp;Operators'!$C$1:$G$99999,5,FALSE)</f>
        <v>MOSES BRADLEY</v>
      </c>
      <c r="M36" s="6">
        <f t="shared" si="1"/>
        <v>2.6423611110658385E-2</v>
      </c>
      <c r="N36" s="7">
        <f t="shared" si="2"/>
        <v>38.049999999348074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-07-30T06:22:49-0600',mode:absolute,to:'2017-07-30T09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23.2986</v>
      </c>
      <c r="Z36" s="197">
        <f t="shared" si="8"/>
        <v>1.5599999999999999E-2</v>
      </c>
      <c r="AA36" s="197">
        <f t="shared" si="9"/>
        <v>23.283000000000001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124</v>
      </c>
      <c r="AE36" s="77" t="str">
        <f t="shared" si="11"/>
        <v>aws s3 cp s3://rtdc.mdm.uploadarchive.raw/RTDC4003/ "%USERPROFILE%\AppData\Local\Temp\OnboardLogs"\RTDC4003\2017-07-30 --exclude "*" --recursive --include "*20170730*" &amp; "%USERPROFILE%\Documents\GitHub\mrs-test-scripts\Headless Mode &amp; Sideloading\WalkAndUnGZ.bat" "%USERPROFILE%\AppData\Local\Temp\OnboardLogs"\RTDC4003\2017-07-30 &amp; aws s3 cp s3://rtdc.mdm.uploadarchive.raw/RTDC4003/ "%USERPROFILE%\AppData\Local\Temp\OnboardLogs"\RTDC4003\2017-07-31 --exclude "*" --recursive --include "*20170731*" &amp; "%USERPROFILE%\Documents\GitHub\mrs-test-scripts\Headless Mode &amp; Sideloading\WalkAndUnGZ.bat" "%USERPROFILE%\AppData\Local\Temp\OnboardLogs"\RTDC4003\2017-07-31</v>
      </c>
      <c r="AF36" s="74" t="str">
        <f t="shared" si="12"/>
        <v>"C:\Program Files (x86)\AstroGrep\AstroGrep.exe" /e /r /s /spath="%USERPROFILE%\AppData\Local\Temp\OnboardLogs" /stypes="app*4003*20170730*"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124-30 --locoid 4003 --swversion DE.1.0.9.0 --startMP 204:232986 --initTime 2017-07-30T07:22:49 --startdatetime 2017-07-30T07:27:22 --delay 1 --endMP 204:156 --enddatetime 2017-07-30T08:05:25 --enforcementcount 0 &gt;&gt;C:\Users\stu\Documents\GitHub\eaglep3-reporting\EC\2017-07-30-refined-times.txt</v>
      </c>
      <c r="AI36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{"issue":{"subject":"","project_id":79,"tracker_id":40,"status_id":1,"priority_id":2,"assigned_to_id":23,"start_date":"2017-07-30","description":"","custom_fields":[{"id":1,"name":"Subdivision","value":"EC"},{"id":4,"name":"Milepost","value":"0.0156"},{"id":17,"name":"Train ID","value":"124-30"},{"id":16,"name":"Locomotive ID","value":"4003"},{"id":130,"name":"Impact","value":""},{"id":150,"name":"Time of Event (Mountain Time)","value":"08:05:25"},{"id":151,"name":"Denver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4003 --day 2017-07-30</v>
      </c>
      <c r="AN36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14:05:25"},{"id":29,"name":"Sharepoint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715</v>
      </c>
      <c r="B37" s="7">
        <v>4044</v>
      </c>
      <c r="C37" s="21" t="s">
        <v>198</v>
      </c>
      <c r="D37" s="21" t="s">
        <v>376</v>
      </c>
      <c r="E37" s="13">
        <v>42946.277499999997</v>
      </c>
      <c r="F37" s="13">
        <v>42946.282002314816</v>
      </c>
      <c r="G37" s="7">
        <v>1</v>
      </c>
      <c r="H37" s="21" t="s">
        <v>884</v>
      </c>
      <c r="I37" s="13">
        <v>42946.306805555556</v>
      </c>
      <c r="J37" s="7">
        <v>0</v>
      </c>
      <c r="K37" s="89" t="str">
        <f t="shared" si="0"/>
        <v>4043/4044</v>
      </c>
      <c r="L37" s="21" t="str">
        <f>VLOOKUP(A37,'Trips&amp;Operators'!$C$1:$G$99999,5,FALSE)</f>
        <v>MAELZER KURT</v>
      </c>
      <c r="M37" s="6">
        <f t="shared" si="1"/>
        <v>2.4803240739856847E-2</v>
      </c>
      <c r="N37" s="7">
        <f t="shared" si="2"/>
        <v>35.716666665393859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-07-30T05:39:36-0600',mode:absolute,to:'2017-07-30T08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4.6199999999999998E-2</v>
      </c>
      <c r="Z37" s="197">
        <f t="shared" si="8"/>
        <v>23.3323</v>
      </c>
      <c r="AA37" s="197">
        <f t="shared" si="9"/>
        <v>23.286100000000001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125</v>
      </c>
      <c r="AE37" s="77" t="str">
        <f t="shared" si="11"/>
        <v>aws s3 cp s3://rtdc.mdm.uploadarchive.raw/RTDC4044/ "%USERPROFILE%\AppData\Local\Temp\OnboardLogs"\RTDC4044\2017-07-30 --exclude "*" --recursive --include "*20170730*" &amp; "%USERPROFILE%\Documents\GitHub\mrs-test-scripts\Headless Mode &amp; Sideloading\WalkAndUnGZ.bat" "%USERPROFILE%\AppData\Local\Temp\OnboardLogs"\RTDC4044\2017-07-30 &amp; aws s3 cp s3://rtdc.mdm.uploadarchive.raw/RTDC4044/ "%USERPROFILE%\AppData\Local\Temp\OnboardLogs"\RTDC4044\2017-07-31 --exclude "*" --recursive --include "*20170731*" &amp; "%USERPROFILE%\Documents\GitHub\mrs-test-scripts\Headless Mode &amp; Sideloading\WalkAndUnGZ.bat" "%USERPROFILE%\AppData\Local\Temp\OnboardLogs"\RTDC4044\2017-07-31</v>
      </c>
      <c r="AF37" s="74" t="str">
        <f t="shared" si="12"/>
        <v>"C:\Program Files (x86)\AstroGrep\AstroGrep.exe" /e /r /s /spath="%USERPROFILE%\AppData\Local\Temp\OnboardLogs" /stypes="app*4044*20170730*"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125-30 --locoid 4044 --swversion DE.1.0.9.0 --startMP 204:462 --initTime 2017-07-30T06:39:36 --startdatetime 2017-07-30T06:46:05 --delay 1 --endMP 204:233323 --enddatetime 2017-07-30T07:21:48 --enforcementcount 0 &gt;&gt;C:\Users\stu\Documents\GitHub\eaglep3-reporting\EC\2017-07-30-refined-times.txt</v>
      </c>
      <c r="AI37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{"issue":{"subject":"","project_id":79,"tracker_id":40,"status_id":1,"priority_id":2,"assigned_to_id":23,"start_date":"2017-07-30","description":"","custom_fields":[{"id":1,"name":"Subdivision","value":"EC"},{"id":4,"name":"Milepost","value":"23.3323"},{"id":17,"name":"Train ID","value":"125-30"},{"id":16,"name":"Locomotive ID","value":"4044"},{"id":130,"name":"Impact","value":""},{"id":150,"name":"Time of Event (Mountain Time)","value":"07:21:48"},{"id":151,"name":"Denver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4044 --day 2017-07-30</v>
      </c>
      <c r="AN37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13:21:48"},{"id":29,"name":"Sharepoint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723</v>
      </c>
      <c r="B38" s="7">
        <v>4043</v>
      </c>
      <c r="C38" s="21" t="s">
        <v>198</v>
      </c>
      <c r="D38" s="21" t="s">
        <v>581</v>
      </c>
      <c r="E38" s="13">
        <v>42946.312256944446</v>
      </c>
      <c r="F38" s="13">
        <v>42946.321087962962</v>
      </c>
      <c r="G38" s="7">
        <v>1</v>
      </c>
      <c r="H38" s="21" t="s">
        <v>352</v>
      </c>
      <c r="I38" s="13">
        <v>42946.347256944442</v>
      </c>
      <c r="J38" s="7">
        <v>0</v>
      </c>
      <c r="K38" s="89" t="str">
        <f t="shared" si="0"/>
        <v>4043/4044</v>
      </c>
      <c r="L38" s="21" t="str">
        <f>VLOOKUP(A38,'Trips&amp;Operators'!$C$1:$G$99999,5,FALSE)</f>
        <v>MAELZER KURT</v>
      </c>
      <c r="M38" s="6">
        <f t="shared" si="1"/>
        <v>2.6168981479713693E-2</v>
      </c>
      <c r="N38" s="7">
        <f t="shared" si="2"/>
        <v>37.683333330787718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-07-30T06:29:39-0600',mode:absolute,to:'2017-07-30T09:20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23.3004</v>
      </c>
      <c r="Z38" s="197">
        <f t="shared" si="8"/>
        <v>1.47E-2</v>
      </c>
      <c r="AA38" s="197">
        <f t="shared" si="9"/>
        <v>23.285699999999999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126</v>
      </c>
      <c r="AE38" s="77" t="str">
        <f t="shared" si="11"/>
        <v>aws s3 cp s3://rtdc.mdm.uploadarchive.raw/RTDC4043/ "%USERPROFILE%\AppData\Local\Temp\OnboardLogs"\RTDC4043\2017-07-30 --exclude "*" --recursive --include "*20170730*" &amp; "%USERPROFILE%\Documents\GitHub\mrs-test-scripts\Headless Mode &amp; Sideloading\WalkAndUnGZ.bat" "%USERPROFILE%\AppData\Local\Temp\OnboardLogs"\RTDC4043\2017-07-30 &amp; aws s3 cp s3://rtdc.mdm.uploadarchive.raw/RTDC4043/ "%USERPROFILE%\AppData\Local\Temp\OnboardLogs"\RTDC4043\2017-07-31 --exclude "*" --recursive --include "*20170731*" &amp; "%USERPROFILE%\Documents\GitHub\mrs-test-scripts\Headless Mode &amp; Sideloading\WalkAndUnGZ.bat" "%USERPROFILE%\AppData\Local\Temp\OnboardLogs"\RTDC4043\2017-07-31</v>
      </c>
      <c r="AF38" s="74" t="str">
        <f t="shared" si="12"/>
        <v>"C:\Program Files (x86)\AstroGrep\AstroGrep.exe" /e /r /s /spath="%USERPROFILE%\AppData\Local\Temp\OnboardLogs" /stypes="app*4043*20170730*"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126-30 --locoid 4043 --swversion DE.1.0.9.0 --startMP 204:233004 --initTime 2017-07-30T07:29:39 --startdatetime 2017-07-30T07:42:22 --delay 1 --endMP 204:147 --enddatetime 2017-07-30T08:20:03 --enforcementcount 0 &gt;&gt;C:\Users\stu\Documents\GitHub\eaglep3-reporting\EC\2017-07-30-refined-times.txt</v>
      </c>
      <c r="AI38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{"issue":{"subject":"","project_id":79,"tracker_id":40,"status_id":1,"priority_id":2,"assigned_to_id":23,"start_date":"2017-07-30","description":"","custom_fields":[{"id":1,"name":"Subdivision","value":"EC"},{"id":4,"name":"Milepost","value":"0.0147"},{"id":17,"name":"Train ID","value":"126-30"},{"id":16,"name":"Locomotive ID","value":"4043"},{"id":130,"name":"Impact","value":""},{"id":150,"name":"Time of Event (Mountain Time)","value":"08:20:03"},{"id":151,"name":"Denver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4043 --day 2017-07-30</v>
      </c>
      <c r="AN38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14:20:03"},{"id":29,"name":"Sharepoint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716</v>
      </c>
      <c r="B39" s="7">
        <v>4012</v>
      </c>
      <c r="C39" s="21" t="s">
        <v>198</v>
      </c>
      <c r="D39" s="21" t="s">
        <v>340</v>
      </c>
      <c r="E39" s="13">
        <v>42946.286134259259</v>
      </c>
      <c r="F39" s="13">
        <v>42946.292326388888</v>
      </c>
      <c r="G39" s="7">
        <v>1</v>
      </c>
      <c r="H39" s="21" t="s">
        <v>885</v>
      </c>
      <c r="I39" s="13">
        <v>42946.316759259258</v>
      </c>
      <c r="J39" s="7">
        <v>0</v>
      </c>
      <c r="K39" s="89" t="str">
        <f t="shared" si="0"/>
        <v>4011/4012</v>
      </c>
      <c r="L39" s="21" t="str">
        <f>VLOOKUP(A39,'Trips&amp;Operators'!$C$1:$G$99999,5,FALSE)</f>
        <v>GUZMAN DANNY</v>
      </c>
      <c r="M39" s="6">
        <f t="shared" si="1"/>
        <v>2.4432870370219462E-2</v>
      </c>
      <c r="N39" s="7">
        <f t="shared" si="2"/>
        <v>35.183333333116025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-07-30T05:52:02-0600',mode:absolute,to:'2017-07-30T08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4.4600000000000001E-2</v>
      </c>
      <c r="Z39" s="197">
        <f t="shared" si="8"/>
        <v>23.332999999999998</v>
      </c>
      <c r="AA39" s="197">
        <f t="shared" si="9"/>
        <v>23.288399999999999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127</v>
      </c>
      <c r="AE39" s="77" t="str">
        <f t="shared" si="11"/>
        <v>aws s3 cp s3://rtdc.mdm.uploadarchive.raw/RTDC4012/ "%USERPROFILE%\AppData\Local\Temp\OnboardLogs"\RTDC4012\2017-07-30 --exclude "*" --recursive --include "*20170730*" &amp; "%USERPROFILE%\Documents\GitHub\mrs-test-scripts\Headless Mode &amp; Sideloading\WalkAndUnGZ.bat" "%USERPROFILE%\AppData\Local\Temp\OnboardLogs"\RTDC4012\2017-07-30 &amp; aws s3 cp s3://rtdc.mdm.uploadarchive.raw/RTDC4012/ "%USERPROFILE%\AppData\Local\Temp\OnboardLogs"\RTDC4012\2017-07-31 --exclude "*" --recursive --include "*20170731*" &amp; "%USERPROFILE%\Documents\GitHub\mrs-test-scripts\Headless Mode &amp; Sideloading\WalkAndUnGZ.bat" "%USERPROFILE%\AppData\Local\Temp\OnboardLogs"\RTDC4012\2017-07-31</v>
      </c>
      <c r="AF39" s="74" t="str">
        <f t="shared" si="12"/>
        <v>"C:\Program Files (x86)\AstroGrep\AstroGrep.exe" /e /r /s /spath="%USERPROFILE%\AppData\Local\Temp\OnboardLogs" /stypes="app*4012*20170730*"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127-30 --locoid 4012 --swversion DE.1.0.9.0 --startMP 204:446 --initTime 2017-07-30T06:52:02 --startdatetime 2017-07-30T07:00:57 --delay 1 --endMP 204:233330 --enddatetime 2017-07-30T07:36:08 --enforcementcount 0 &gt;&gt;C:\Users\stu\Documents\GitHub\eaglep3-reporting\EC\2017-07-30-refined-times.txt</v>
      </c>
      <c r="AI39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{"issue":{"subject":"","project_id":79,"tracker_id":40,"status_id":1,"priority_id":2,"assigned_to_id":23,"start_date":"2017-07-30","description":"","custom_fields":[{"id":1,"name":"Subdivision","value":"EC"},{"id":4,"name":"Milepost","value":"23.333"},{"id":17,"name":"Train ID","value":"127-30"},{"id":16,"name":"Locomotive ID","value":"4012"},{"id":130,"name":"Impact","value":""},{"id":150,"name":"Time of Event (Mountain Time)","value":"07:36:08"},{"id":151,"name":"Denver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4012 --day 2017-07-30</v>
      </c>
      <c r="AN39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13:36:08"},{"id":29,"name":"Sharepoint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725</v>
      </c>
      <c r="B40" s="7">
        <v>4011</v>
      </c>
      <c r="C40" s="21" t="s">
        <v>198</v>
      </c>
      <c r="D40" s="21" t="s">
        <v>871</v>
      </c>
      <c r="E40" s="13">
        <v>42946.318749999999</v>
      </c>
      <c r="F40" s="13">
        <v>42946.331412037034</v>
      </c>
      <c r="G40" s="7">
        <v>1</v>
      </c>
      <c r="H40" s="21" t="s">
        <v>596</v>
      </c>
      <c r="I40" s="13">
        <v>42946.357974537037</v>
      </c>
      <c r="J40" s="7">
        <v>0</v>
      </c>
      <c r="K40" s="89" t="str">
        <f t="shared" si="0"/>
        <v>4011/4012</v>
      </c>
      <c r="L40" s="21" t="str">
        <f>VLOOKUP(A40,'Trips&amp;Operators'!$C$1:$G$99999,5,FALSE)</f>
        <v>GUZMAN DANNY</v>
      </c>
      <c r="M40" s="6">
        <f t="shared" si="1"/>
        <v>2.6562500002910383E-2</v>
      </c>
      <c r="N40" s="7">
        <f t="shared" si="2"/>
        <v>38.250000004190952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-07-30T06:39:00-0600',mode:absolute,to:'2017-07-30T09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23.300899999999999</v>
      </c>
      <c r="Z40" s="197">
        <f t="shared" si="8"/>
        <v>1.3599999999999999E-2</v>
      </c>
      <c r="AA40" s="197">
        <f t="shared" si="9"/>
        <v>23.287299999999998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128</v>
      </c>
      <c r="AE40" s="77" t="str">
        <f t="shared" si="11"/>
        <v>aws s3 cp s3://rtdc.mdm.uploadarchive.raw/RTDC4011/ "%USERPROFILE%\AppData\Local\Temp\OnboardLogs"\RTDC4011\2017-07-30 --exclude "*" --recursive --include "*20170730*" &amp; "%USERPROFILE%\Documents\GitHub\mrs-test-scripts\Headless Mode &amp; Sideloading\WalkAndUnGZ.bat" "%USERPROFILE%\AppData\Local\Temp\OnboardLogs"\RTDC4011\2017-07-30 &amp; aws s3 cp s3://rtdc.mdm.uploadarchive.raw/RTDC4011/ "%USERPROFILE%\AppData\Local\Temp\OnboardLogs"\RTDC4011\2017-07-31 --exclude "*" --recursive --include "*20170731*" &amp; "%USERPROFILE%\Documents\GitHub\mrs-test-scripts\Headless Mode &amp; Sideloading\WalkAndUnGZ.bat" "%USERPROFILE%\AppData\Local\Temp\OnboardLogs"\RTDC4011\2017-07-31</v>
      </c>
      <c r="AF40" s="74" t="str">
        <f t="shared" si="12"/>
        <v>"C:\Program Files (x86)\AstroGrep\AstroGrep.exe" /e /r /s /spath="%USERPROFILE%\AppData\Local\Temp\OnboardLogs" /stypes="app*4011*20170730*"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128-30 --locoid 4011 --swversion DE.1.0.9.0 --startMP 204:233009 --initTime 2017-07-30T07:39:00 --startdatetime 2017-07-30T07:57:14 --delay 1 --endMP 204:136 --enddatetime 2017-07-30T08:35:29 --enforcementcount 0 &gt;&gt;C:\Users\stu\Documents\GitHub\eaglep3-reporting\EC\2017-07-30-refined-times.txt</v>
      </c>
      <c r="AI40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{"issue":{"subject":"","project_id":79,"tracker_id":40,"status_id":1,"priority_id":2,"assigned_to_id":23,"start_date":"2017-07-30","description":"","custom_fields":[{"id":1,"name":"Subdivision","value":"EC"},{"id":4,"name":"Milepost","value":"0.0136"},{"id":17,"name":"Train ID","value":"128-30"},{"id":16,"name":"Locomotive ID","value":"4011"},{"id":130,"name":"Impact","value":""},{"id":150,"name":"Time of Event (Mountain Time)","value":"08:35:29"},{"id":151,"name":"Denver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4011 --day 2017-07-30</v>
      </c>
      <c r="AN40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14:35:29"},{"id":29,"name":"Sharepoint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720</v>
      </c>
      <c r="B41" s="7">
        <v>4006</v>
      </c>
      <c r="C41" s="21" t="s">
        <v>198</v>
      </c>
      <c r="D41" s="21" t="s">
        <v>515</v>
      </c>
      <c r="E41" s="13">
        <v>42946.298634259256</v>
      </c>
      <c r="F41" s="13">
        <v>42946.302615740744</v>
      </c>
      <c r="G41" s="7">
        <v>1</v>
      </c>
      <c r="H41" s="21" t="s">
        <v>450</v>
      </c>
      <c r="I41" s="13">
        <v>42946.328472222223</v>
      </c>
      <c r="J41" s="7">
        <v>0</v>
      </c>
      <c r="K41" s="89" t="str">
        <f t="shared" si="0"/>
        <v>4005/4006</v>
      </c>
      <c r="L41" s="21" t="str">
        <f>VLOOKUP(A41,'Trips&amp;Operators'!$C$1:$G$99999,5,FALSE)</f>
        <v>WILLIAMS DONTE</v>
      </c>
      <c r="M41" s="6">
        <f t="shared" si="1"/>
        <v>2.5856481479422655E-2</v>
      </c>
      <c r="N41" s="7">
        <f t="shared" si="2"/>
        <v>37.233333330368623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-07-30T06:10:02-0600',mode:absolute,to:'2017-07-30T08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4.6899999999999997E-2</v>
      </c>
      <c r="Z41" s="197">
        <f t="shared" si="8"/>
        <v>23.3291</v>
      </c>
      <c r="AA41" s="197">
        <f t="shared" si="9"/>
        <v>23.2822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129</v>
      </c>
      <c r="AE41" s="77" t="str">
        <f t="shared" si="11"/>
        <v>aws s3 cp s3://rtdc.mdm.uploadarchive.raw/RTDC4006/ "%USERPROFILE%\AppData\Local\Temp\OnboardLogs"\RTDC4006\2017-07-30 --exclude "*" --recursive --include "*20170730*" &amp; "%USERPROFILE%\Documents\GitHub\mrs-test-scripts\Headless Mode &amp; Sideloading\WalkAndUnGZ.bat" "%USERPROFILE%\AppData\Local\Temp\OnboardLogs"\RTDC4006\2017-07-30 &amp; aws s3 cp s3://rtdc.mdm.uploadarchive.raw/RTDC4006/ "%USERPROFILE%\AppData\Local\Temp\OnboardLogs"\RTDC4006\2017-07-31 --exclude "*" --recursive --include "*20170731*" &amp; "%USERPROFILE%\Documents\GitHub\mrs-test-scripts\Headless Mode &amp; Sideloading\WalkAndUnGZ.bat" "%USERPROFILE%\AppData\Local\Temp\OnboardLogs"\RTDC4006\2017-07-31</v>
      </c>
      <c r="AF41" s="74" t="str">
        <f t="shared" si="12"/>
        <v>"C:\Program Files (x86)\AstroGrep\AstroGrep.exe" /e /r /s /spath="%USERPROFILE%\AppData\Local\Temp\OnboardLogs" /stypes="app*4006*20170730*"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129-30 --locoid 4006 --swversion DE.1.0.9.0 --startMP 204:469 --initTime 2017-07-30T07:10:02 --startdatetime 2017-07-30T07:15:46 --delay 1 --endMP 204:233291 --enddatetime 2017-07-30T07:53:00 --enforcementcount 0 &gt;&gt;C:\Users\stu\Documents\GitHub\eaglep3-reporting\EC\2017-07-30-refined-times.txt</v>
      </c>
      <c r="AI41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{"issue":{"subject":"","project_id":79,"tracker_id":40,"status_id":1,"priority_id":2,"assigned_to_id":23,"start_date":"2017-07-30","description":"","custom_fields":[{"id":1,"name":"Subdivision","value":"EC"},{"id":4,"name":"Milepost","value":"23.3291"},{"id":17,"name":"Train ID","value":"129-30"},{"id":16,"name":"Locomotive ID","value":"4006"},{"id":130,"name":"Impact","value":""},{"id":150,"name":"Time of Event (Mountain Time)","value":"07:53:00"},{"id":151,"name":"Denver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4006 --day 2017-07-30</v>
      </c>
      <c r="AN41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13:53:00"},{"id":29,"name":"Sharepoint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727</v>
      </c>
      <c r="B42" s="7">
        <v>4005</v>
      </c>
      <c r="C42" s="21" t="s">
        <v>198</v>
      </c>
      <c r="D42" s="21" t="s">
        <v>488</v>
      </c>
      <c r="E42" s="13">
        <v>42946.330601851849</v>
      </c>
      <c r="F42" s="13">
        <v>42946.341979166667</v>
      </c>
      <c r="G42" s="7">
        <v>1</v>
      </c>
      <c r="H42" s="21" t="s">
        <v>465</v>
      </c>
      <c r="I42" s="13">
        <v>42946.368564814817</v>
      </c>
      <c r="J42" s="7">
        <v>0</v>
      </c>
      <c r="K42" s="89" t="str">
        <f t="shared" si="0"/>
        <v>4005/4006</v>
      </c>
      <c r="L42" s="21" t="str">
        <f>VLOOKUP(A42,'Trips&amp;Operators'!$C$1:$G$99999,5,FALSE)</f>
        <v>WILLIAMS DONTE</v>
      </c>
      <c r="M42" s="6">
        <f t="shared" si="1"/>
        <v>2.658564814919373E-2</v>
      </c>
      <c r="N42" s="7">
        <f t="shared" si="2"/>
        <v>38.283333334838971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-07-30T06:56:04-0600',mode:absolute,to:'2017-07-30T09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23.2989</v>
      </c>
      <c r="Z42" s="197">
        <f t="shared" si="8"/>
        <v>1.6299999999999999E-2</v>
      </c>
      <c r="AA42" s="197">
        <f t="shared" si="9"/>
        <v>23.282599999999999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130</v>
      </c>
      <c r="AE42" s="77" t="str">
        <f t="shared" si="11"/>
        <v>aws s3 cp s3://rtdc.mdm.uploadarchive.raw/RTDC4005/ "%USERPROFILE%\AppData\Local\Temp\OnboardLogs"\RTDC4005\2017-07-30 --exclude "*" --recursive --include "*20170730*" &amp; "%USERPROFILE%\Documents\GitHub\mrs-test-scripts\Headless Mode &amp; Sideloading\WalkAndUnGZ.bat" "%USERPROFILE%\AppData\Local\Temp\OnboardLogs"\RTDC4005\2017-07-30 &amp; aws s3 cp s3://rtdc.mdm.uploadarchive.raw/RTDC4005/ "%USERPROFILE%\AppData\Local\Temp\OnboardLogs"\RTDC4005\2017-07-31 --exclude "*" --recursive --include "*20170731*" &amp; "%USERPROFILE%\Documents\GitHub\mrs-test-scripts\Headless Mode &amp; Sideloading\WalkAndUnGZ.bat" "%USERPROFILE%\AppData\Local\Temp\OnboardLogs"\RTDC4005\2017-07-31</v>
      </c>
      <c r="AF42" s="74" t="str">
        <f t="shared" si="12"/>
        <v>"C:\Program Files (x86)\AstroGrep\AstroGrep.exe" /e /r /s /spath="%USERPROFILE%\AppData\Local\Temp\OnboardLogs" /stypes="app*4005*20170730*"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130-30 --locoid 4005 --swversion DE.1.0.9.0 --startMP 204:232989 --initTime 2017-07-30T07:56:04 --startdatetime 2017-07-30T08:12:27 --delay 1 --endMP 204:163 --enddatetime 2017-07-30T08:50:44 --enforcementcount 0 &gt;&gt;C:\Users\stu\Documents\GitHub\eaglep3-reporting\EC\2017-07-30-refined-times.txt</v>
      </c>
      <c r="AI42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{"issue":{"subject":"","project_id":79,"tracker_id":40,"status_id":1,"priority_id":2,"assigned_to_id":23,"start_date":"2017-07-30","description":"","custom_fields":[{"id":1,"name":"Subdivision","value":"EC"},{"id":4,"name":"Milepost","value":"0.0163"},{"id":17,"name":"Train ID","value":"130-30"},{"id":16,"name":"Locomotive ID","value":"4005"},{"id":130,"name":"Impact","value":""},{"id":150,"name":"Time of Event (Mountain Time)","value":"08:50:44"},{"id":151,"name":"Denver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4005 --day 2017-07-30</v>
      </c>
      <c r="AN42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14:50:44"},{"id":29,"name":"Sharepoint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722</v>
      </c>
      <c r="B43" s="7">
        <v>4032</v>
      </c>
      <c r="C43" s="21" t="s">
        <v>198</v>
      </c>
      <c r="D43" s="21" t="s">
        <v>517</v>
      </c>
      <c r="E43" s="13">
        <v>42946.310173611113</v>
      </c>
      <c r="F43" s="13">
        <v>42946.31318287037</v>
      </c>
      <c r="G43" s="7">
        <v>1</v>
      </c>
      <c r="H43" s="21" t="s">
        <v>576</v>
      </c>
      <c r="I43" s="13">
        <v>42946.337141203701</v>
      </c>
      <c r="J43" s="7">
        <v>0</v>
      </c>
      <c r="K43" s="89" t="str">
        <f t="shared" si="0"/>
        <v>4031/4032</v>
      </c>
      <c r="L43" s="21" t="str">
        <f>VLOOKUP(A43,'Trips&amp;Operators'!$C$1:$G$99999,5,FALSE)</f>
        <v>MACDONALD THOMAS</v>
      </c>
      <c r="M43" s="6">
        <f t="shared" si="1"/>
        <v>2.3958333331393078E-2</v>
      </c>
      <c r="N43" s="7">
        <f t="shared" si="2"/>
        <v>34.499999997206032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-07-30T06:26:39-0600',mode:absolute,to:'2017-07-30T09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4.8399999999999999E-2</v>
      </c>
      <c r="Z43" s="197">
        <f t="shared" si="8"/>
        <v>23.329899999999999</v>
      </c>
      <c r="AA43" s="197">
        <f t="shared" si="9"/>
        <v>23.281499999999998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131</v>
      </c>
      <c r="AE43" s="77" t="str">
        <f t="shared" si="11"/>
        <v>aws s3 cp s3://rtdc.mdm.uploadarchive.raw/RTDC4032/ "%USERPROFILE%\AppData\Local\Temp\OnboardLogs"\RTDC4032\2017-07-30 --exclude "*" --recursive --include "*20170730*" &amp; "%USERPROFILE%\Documents\GitHub\mrs-test-scripts\Headless Mode &amp; Sideloading\WalkAndUnGZ.bat" "%USERPROFILE%\AppData\Local\Temp\OnboardLogs"\RTDC4032\2017-07-30 &amp; aws s3 cp s3://rtdc.mdm.uploadarchive.raw/RTDC4032/ "%USERPROFILE%\AppData\Local\Temp\OnboardLogs"\RTDC4032\2017-07-31 --exclude "*" --recursive --include "*20170731*" &amp; "%USERPROFILE%\Documents\GitHub\mrs-test-scripts\Headless Mode &amp; Sideloading\WalkAndUnGZ.bat" "%USERPROFILE%\AppData\Local\Temp\OnboardLogs"\RTDC4032\2017-07-31</v>
      </c>
      <c r="AF43" s="74" t="str">
        <f t="shared" si="12"/>
        <v>"C:\Program Files (x86)\AstroGrep\AstroGrep.exe" /e /r /s /spath="%USERPROFILE%\AppData\Local\Temp\OnboardLogs" /stypes="app*4032*20170730*"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131-30 --locoid 4032 --swversion DE.1.0.9.0 --startMP 204:484 --initTime 2017-07-30T07:26:39 --startdatetime 2017-07-30T07:30:59 --delay 1 --endMP 204:233299 --enddatetime 2017-07-30T08:05:29 --enforcementcount 0 &gt;&gt;C:\Users\stu\Documents\GitHub\eaglep3-reporting\EC\2017-07-30-refined-times.txt</v>
      </c>
      <c r="AI43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{"issue":{"subject":"","project_id":79,"tracker_id":40,"status_id":1,"priority_id":2,"assigned_to_id":23,"start_date":"2017-07-30","description":"","custom_fields":[{"id":1,"name":"Subdivision","value":"EC"},{"id":4,"name":"Milepost","value":"23.3299"},{"id":17,"name":"Train ID","value":"131-30"},{"id":16,"name":"Locomotive ID","value":"4032"},{"id":130,"name":"Impact","value":""},{"id":150,"name":"Time of Event (Mountain Time)","value":"08:05:29"},{"id":151,"name":"Denver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4032 --day 2017-07-30</v>
      </c>
      <c r="AN43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14:05:29"},{"id":29,"name":"Sharepoint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625</v>
      </c>
      <c r="B44" s="7">
        <v>4031</v>
      </c>
      <c r="C44" s="21" t="s">
        <v>198</v>
      </c>
      <c r="D44" s="21" t="s">
        <v>579</v>
      </c>
      <c r="E44" s="13">
        <v>42946.350254629629</v>
      </c>
      <c r="F44" s="13">
        <v>42946.352430555555</v>
      </c>
      <c r="G44" s="7">
        <v>1</v>
      </c>
      <c r="H44" s="21" t="s">
        <v>878</v>
      </c>
      <c r="I44" s="13">
        <v>42946.379537037035</v>
      </c>
      <c r="J44" s="7">
        <v>0</v>
      </c>
      <c r="K44" s="89" t="str">
        <f t="shared" si="0"/>
        <v>4031/4032</v>
      </c>
      <c r="L44" s="21" t="str">
        <f>VLOOKUP(A44,'Trips&amp;Operators'!$C$1:$G$99999,5,FALSE)</f>
        <v>MACDONALD THOMAS</v>
      </c>
      <c r="M44" s="6">
        <f t="shared" si="1"/>
        <v>2.7106481480586808E-2</v>
      </c>
      <c r="N44" s="7">
        <f t="shared" si="2"/>
        <v>39.033333332045004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-07-30T07:24:22-0600',mode:absolute,to:'2017-07-30T10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23.2971</v>
      </c>
      <c r="Z44" s="197">
        <f t="shared" si="8"/>
        <v>1.9400000000000001E-2</v>
      </c>
      <c r="AA44" s="197">
        <f t="shared" si="9"/>
        <v>23.277699999999999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132</v>
      </c>
      <c r="AE44" s="77" t="str">
        <f t="shared" si="11"/>
        <v>aws s3 cp s3://rtdc.mdm.uploadarchive.raw/RTDC4031/ "%USERPROFILE%\AppData\Local\Temp\OnboardLogs"\RTDC4031\2017-07-30 --exclude "*" --recursive --include "*20170730*" &amp; "%USERPROFILE%\Documents\GitHub\mrs-test-scripts\Headless Mode &amp; Sideloading\WalkAndUnGZ.bat" "%USERPROFILE%\AppData\Local\Temp\OnboardLogs"\RTDC4031\2017-07-30 &amp; aws s3 cp s3://rtdc.mdm.uploadarchive.raw/RTDC4031/ "%USERPROFILE%\AppData\Local\Temp\OnboardLogs"\RTDC4031\2017-07-31 --exclude "*" --recursive --include "*20170731*" &amp; "%USERPROFILE%\Documents\GitHub\mrs-test-scripts\Headless Mode &amp; Sideloading\WalkAndUnGZ.bat" "%USERPROFILE%\AppData\Local\Temp\OnboardLogs"\RTDC4031\2017-07-31</v>
      </c>
      <c r="AF44" s="74" t="str">
        <f t="shared" si="12"/>
        <v>"C:\Program Files (x86)\AstroGrep\AstroGrep.exe" /e /r /s /spath="%USERPROFILE%\AppData\Local\Temp\OnboardLogs" /stypes="app*4031*20170730*"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132-30 --locoid 4031 --swversion DE.1.0.9.0 --startMP 204:232971 --initTime 2017-07-30T08:24:22 --startdatetime 2017-07-30T08:27:30 --delay 1 --endMP 204:194 --enddatetime 2017-07-30T09:06:32 --enforcementcount 0 &gt;&gt;C:\Users\stu\Documents\GitHub\eaglep3-reporting\EC\2017-07-30-refined-times.txt</v>
      </c>
      <c r="AI44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{"issue":{"subject":"","project_id":79,"tracker_id":40,"status_id":1,"priority_id":2,"assigned_to_id":23,"start_date":"2017-07-30","description":"","custom_fields":[{"id":1,"name":"Subdivision","value":"EC"},{"id":4,"name":"Milepost","value":"0.0194"},{"id":17,"name":"Train ID","value":"132-30"},{"id":16,"name":"Locomotive ID","value":"4031"},{"id":130,"name":"Impact","value":""},{"id":150,"name":"Time of Event (Mountain Time)","value":"09:06:32"},{"id":151,"name":"Denver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4031 --day 2017-07-30</v>
      </c>
      <c r="AN44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15:06:32"},{"id":29,"name":"Sharepoint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726</v>
      </c>
      <c r="B45" s="7">
        <v>4066</v>
      </c>
      <c r="C45" s="21" t="s">
        <v>198</v>
      </c>
      <c r="D45" s="21" t="s">
        <v>405</v>
      </c>
      <c r="E45" s="13">
        <v>42946.319745370369</v>
      </c>
      <c r="F45" s="13">
        <v>42946.323541666665</v>
      </c>
      <c r="G45" s="7">
        <v>1</v>
      </c>
      <c r="H45" s="21" t="s">
        <v>490</v>
      </c>
      <c r="I45" s="13">
        <v>42946.349236111113</v>
      </c>
      <c r="J45" s="7">
        <v>0</v>
      </c>
      <c r="K45" s="89" t="str">
        <f t="shared" si="0"/>
        <v>4065/4066</v>
      </c>
      <c r="L45" s="21" t="str">
        <f>VLOOKUP(A45,'Trips&amp;Operators'!$C$1:$G$99999,5,FALSE)</f>
        <v>DAVIS WENDY</v>
      </c>
      <c r="M45" s="6">
        <f t="shared" si="1"/>
        <v>2.5694444448163267E-2</v>
      </c>
      <c r="N45" s="7">
        <f t="shared" si="2"/>
        <v>37.000000005355105</v>
      </c>
      <c r="O45" s="7"/>
      <c r="P45" s="7"/>
      <c r="Q45" s="22"/>
      <c r="R45" s="170"/>
      <c r="S45" s="213">
        <f t="shared" si="3"/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-07-30T06:40:26-0600',mode:absolute,to:'2017-07-30T09:22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45" s="197" t="str">
        <f>IF(AA45&lt;VLOOKUP(AG45,Variables!$AC$3:$AD$8,2,FALSE),"Y","N")</f>
        <v>N</v>
      </c>
      <c r="X45" s="197">
        <f t="shared" si="6"/>
        <v>1</v>
      </c>
      <c r="Y45" s="197">
        <f t="shared" si="7"/>
        <v>4.58E-2</v>
      </c>
      <c r="Z45" s="197">
        <f t="shared" si="8"/>
        <v>23.331399999999999</v>
      </c>
      <c r="AA45" s="197">
        <f t="shared" si="9"/>
        <v>23.285599999999999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133</v>
      </c>
      <c r="AE45" s="77" t="str">
        <f t="shared" si="11"/>
        <v>aws s3 cp s3://rtdc.mdm.uploadarchive.raw/RTDC4066/ "%USERPROFILE%\AppData\Local\Temp\OnboardLogs"\RTDC4066\2017-07-30 --exclude "*" --recursive --include "*20170730*" &amp; "%USERPROFILE%\Documents\GitHub\mrs-test-scripts\Headless Mode &amp; Sideloading\WalkAndUnGZ.bat" "%USERPROFILE%\AppData\Local\Temp\OnboardLogs"\RTDC4066\2017-07-30 &amp; aws s3 cp s3://rtdc.mdm.uploadarchive.raw/RTDC4066/ "%USERPROFILE%\AppData\Local\Temp\OnboardLogs"\RTDC4066\2017-07-31 --exclude "*" --recursive --include "*20170731*" &amp; "%USERPROFILE%\Documents\GitHub\mrs-test-scripts\Headless Mode &amp; Sideloading\WalkAndUnGZ.bat" "%USERPROFILE%\AppData\Local\Temp\OnboardLogs"\RTDC4066\2017-07-31</v>
      </c>
      <c r="AF45" s="74" t="str">
        <f t="shared" si="12"/>
        <v>"C:\Program Files (x86)\AstroGrep\AstroGrep.exe" /e /r /s /spath="%USERPROFILE%\AppData\Local\Temp\OnboardLogs" /stypes="app*4066*20170730*"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133-30 --locoid 4066 --swversion DE.1.0.9.0 --startMP 204:458 --initTime 2017-07-30T07:40:26 --startdatetime 2017-07-30T07:45:54 --delay 1 --endMP 204:233314 --enddatetime 2017-07-30T08:22:54 --enforcementcount 0 &gt;&gt;C:\Users\stu\Documents\GitHub\eaglep3-reporting\EC\2017-07-30-refined-times.txt</v>
      </c>
      <c r="AI45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{"issue":{"subject":"","project_id":79,"tracker_id":40,"status_id":1,"priority_id":2,"assigned_to_id":23,"start_date":"2017-07-30","description":"","custom_fields":[{"id":1,"name":"Subdivision","value":"EC"},{"id":4,"name":"Milepost","value":"23.3314"},{"id":17,"name":"Train ID","value":"133-30"},{"id":16,"name":"Locomotive ID","value":"4066"},{"id":130,"name":"Impact","value":""},{"id":150,"name":"Time of Event (Mountain Time)","value":"08:22:54"},{"id":151,"name":"Denver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4066 --day 2017-07-30</v>
      </c>
      <c r="AN45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14:22:54"},{"id":29,"name":"Sharepoint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735</v>
      </c>
      <c r="B46" s="7">
        <v>4065</v>
      </c>
      <c r="C46" s="21" t="s">
        <v>198</v>
      </c>
      <c r="D46" s="21" t="s">
        <v>886</v>
      </c>
      <c r="E46" s="13">
        <v>42946.36042824074</v>
      </c>
      <c r="F46" s="13">
        <v>42946.362685185188</v>
      </c>
      <c r="G46" s="7">
        <v>1</v>
      </c>
      <c r="H46" s="21" t="s">
        <v>352</v>
      </c>
      <c r="I46" s="13">
        <v>42946.397743055553</v>
      </c>
      <c r="J46" s="7">
        <v>0</v>
      </c>
      <c r="K46" s="89" t="str">
        <f t="shared" si="0"/>
        <v>4065/4066</v>
      </c>
      <c r="L46" s="21" t="str">
        <f>VLOOKUP(A46,'Trips&amp;Operators'!$C$1:$G$99999,5,FALSE)</f>
        <v>DAVIS WENDY</v>
      </c>
      <c r="M46" s="6">
        <f t="shared" si="1"/>
        <v>3.5057870365562849E-2</v>
      </c>
      <c r="N46" s="7">
        <f t="shared" si="2"/>
        <v>50.483333326410502</v>
      </c>
      <c r="O46" s="7"/>
      <c r="P46" s="7"/>
      <c r="Q46" s="22"/>
      <c r="R46" s="170"/>
      <c r="S46" s="213">
        <f t="shared" si="3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-07-30T07:39:01-0600',mode:absolute,to:'2017-07-30T10:32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6" s="197" t="str">
        <f>IF(AA46&lt;VLOOKUP(AG46,Variables!$AC$3:$AD$8,2,FALSE),"Y","N")</f>
        <v>N</v>
      </c>
      <c r="X46" s="197">
        <f t="shared" si="6"/>
        <v>1</v>
      </c>
      <c r="Y46" s="197">
        <f t="shared" si="7"/>
        <v>23.301500000000001</v>
      </c>
      <c r="Z46" s="197">
        <f t="shared" si="8"/>
        <v>1.47E-2</v>
      </c>
      <c r="AA46" s="197">
        <f t="shared" si="9"/>
        <v>23.286799999999999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134</v>
      </c>
      <c r="AE46" s="77" t="str">
        <f t="shared" si="11"/>
        <v>aws s3 cp s3://rtdc.mdm.uploadarchive.raw/RTDC4065/ "%USERPROFILE%\AppData\Local\Temp\OnboardLogs"\RTDC4065\2017-07-30 --exclude "*" --recursive --include "*20170730*" &amp; "%USERPROFILE%\Documents\GitHub\mrs-test-scripts\Headless Mode &amp; Sideloading\WalkAndUnGZ.bat" "%USERPROFILE%\AppData\Local\Temp\OnboardLogs"\RTDC4065\2017-07-30 &amp; aws s3 cp s3://rtdc.mdm.uploadarchive.raw/RTDC4065/ "%USERPROFILE%\AppData\Local\Temp\OnboardLogs"\RTDC4065\2017-07-31 --exclude "*" --recursive --include "*20170731*" &amp; "%USERPROFILE%\Documents\GitHub\mrs-test-scripts\Headless Mode &amp; Sideloading\WalkAndUnGZ.bat" "%USERPROFILE%\AppData\Local\Temp\OnboardLogs"\RTDC4065\2017-07-31</v>
      </c>
      <c r="AF46" s="74" t="str">
        <f t="shared" si="12"/>
        <v>"C:\Program Files (x86)\AstroGrep\AstroGrep.exe" /e /r /s /spath="%USERPROFILE%\AppData\Local\Temp\OnboardLogs" /stypes="app*4065*20170730*"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134-30 --locoid 4065 --swversion DE.1.0.9.0 --startMP 204:233015 --initTime 2017-07-30T08:39:01 --startdatetime 2017-07-30T08:42:16 --delay 1 --endMP 204:147 --enddatetime 2017-07-30T09:32:45 --enforcementcount 0 &gt;&gt;C:\Users\stu\Documents\GitHub\eaglep3-reporting\EC\2017-07-30-refined-times.txt</v>
      </c>
      <c r="AI46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{"issue":{"subject":"","project_id":79,"tracker_id":40,"status_id":1,"priority_id":2,"assigned_to_id":23,"start_date":"2017-07-30","description":"","custom_fields":[{"id":1,"name":"Subdivision","value":"EC"},{"id":4,"name":"Milepost","value":"0.0147"},{"id":17,"name":"Train ID","value":"134-30"},{"id":16,"name":"Locomotive ID","value":"4065"},{"id":130,"name":"Impact","value":""},{"id":150,"name":"Time of Event (Mountain Time)","value":"09:32:45"},{"id":151,"name":"Denver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4065 --day 2017-07-30</v>
      </c>
      <c r="AN46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15:32:45"},{"id":29,"name":"Sharepoint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728</v>
      </c>
      <c r="B47" s="7">
        <v>4030</v>
      </c>
      <c r="C47" s="21" t="s">
        <v>198</v>
      </c>
      <c r="D47" s="21" t="s">
        <v>887</v>
      </c>
      <c r="E47" s="13">
        <v>42946.331134259257</v>
      </c>
      <c r="F47" s="13">
        <v>42946.333831018521</v>
      </c>
      <c r="G47" s="7">
        <v>1</v>
      </c>
      <c r="H47" s="21" t="s">
        <v>888</v>
      </c>
      <c r="I47" s="13">
        <v>42946.357731481483</v>
      </c>
      <c r="J47" s="7">
        <v>0</v>
      </c>
      <c r="K47" s="89" t="str">
        <f t="shared" si="0"/>
        <v>4029/4030</v>
      </c>
      <c r="L47" s="21" t="str">
        <f>VLOOKUP(A47,'Trips&amp;Operators'!$C$1:$G$99999,5,FALSE)</f>
        <v>LALONDE GREGORY</v>
      </c>
      <c r="M47" s="6">
        <f t="shared" si="1"/>
        <v>2.3900462962046731E-2</v>
      </c>
      <c r="N47" s="7">
        <f t="shared" si="2"/>
        <v>34.416666665347293</v>
      </c>
      <c r="O47" s="7"/>
      <c r="P47" s="7"/>
      <c r="Q47" s="22"/>
      <c r="R47" s="170"/>
      <c r="S47" s="213">
        <f t="shared" si="3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-07-30T06:56:50-0600',mode:absolute,to:'2017-07-30T09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7" s="197" t="str">
        <f>IF(AA47&lt;VLOOKUP(AG47,Variables!$AC$3:$AD$8,2,FALSE),"Y","N")</f>
        <v>N</v>
      </c>
      <c r="X47" s="197">
        <f t="shared" si="6"/>
        <v>1</v>
      </c>
      <c r="Y47" s="197">
        <f t="shared" si="7"/>
        <v>4.7699999999999999E-2</v>
      </c>
      <c r="Z47" s="197">
        <f t="shared" si="8"/>
        <v>23.334299999999999</v>
      </c>
      <c r="AA47" s="197">
        <f t="shared" si="9"/>
        <v>23.2866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135</v>
      </c>
      <c r="AE47" s="77" t="str">
        <f t="shared" si="11"/>
        <v>aws s3 cp s3://rtdc.mdm.uploadarchive.raw/RTDC4030/ "%USERPROFILE%\AppData\Local\Temp\OnboardLogs"\RTDC4030\2017-07-30 --exclude "*" --recursive --include "*20170730*" &amp; "%USERPROFILE%\Documents\GitHub\mrs-test-scripts\Headless Mode &amp; Sideloading\WalkAndUnGZ.bat" "%USERPROFILE%\AppData\Local\Temp\OnboardLogs"\RTDC4030\2017-07-30 &amp; aws s3 cp s3://rtdc.mdm.uploadarchive.raw/RTDC4030/ "%USERPROFILE%\AppData\Local\Temp\OnboardLogs"\RTDC4030\2017-07-31 --exclude "*" --recursive --include "*20170731*" &amp; "%USERPROFILE%\Documents\GitHub\mrs-test-scripts\Headless Mode &amp; Sideloading\WalkAndUnGZ.bat" "%USERPROFILE%\AppData\Local\Temp\OnboardLogs"\RTDC4030\2017-07-31</v>
      </c>
      <c r="AF47" s="74" t="str">
        <f t="shared" si="12"/>
        <v>"C:\Program Files (x86)\AstroGrep\AstroGrep.exe" /e /r /s /spath="%USERPROFILE%\AppData\Local\Temp\OnboardLogs" /stypes="app*4030*20170730*"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135-30 --locoid 4030 --swversion DE.1.0.9.0 --startMP 204:477 --initTime 2017-07-30T07:56:50 --startdatetime 2017-07-30T08:00:43 --delay 1 --endMP 204:233343 --enddatetime 2017-07-30T08:35:08 --enforcementcount 0 &gt;&gt;C:\Users\stu\Documents\GitHub\eaglep3-reporting\EC\2017-07-30-refined-times.txt</v>
      </c>
      <c r="AI47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{"issue":{"subject":"","project_id":79,"tracker_id":40,"status_id":1,"priority_id":2,"assigned_to_id":23,"start_date":"2017-07-30","description":"","custom_fields":[{"id":1,"name":"Subdivision","value":"EC"},{"id":4,"name":"Milepost","value":"23.3343"},{"id":17,"name":"Train ID","value":"135-30"},{"id":16,"name":"Locomotive ID","value":"4030"},{"id":130,"name":"Impact","value":""},{"id":150,"name":"Time of Event (Mountain Time)","value":"08:35:08"},{"id":151,"name":"Denver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4030 --day 2017-07-30</v>
      </c>
      <c r="AN47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14:35:08"},{"id":29,"name":"Sharepoint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733</v>
      </c>
      <c r="B48" s="7">
        <v>4029</v>
      </c>
      <c r="C48" s="21" t="s">
        <v>198</v>
      </c>
      <c r="D48" s="21" t="s">
        <v>889</v>
      </c>
      <c r="E48" s="13">
        <v>42946.359675925924</v>
      </c>
      <c r="F48" s="13">
        <v>42946.373067129629</v>
      </c>
      <c r="G48" s="7">
        <v>0</v>
      </c>
      <c r="H48" s="21" t="s">
        <v>873</v>
      </c>
      <c r="I48" s="13">
        <v>42946.404537037037</v>
      </c>
      <c r="J48" s="7">
        <v>0</v>
      </c>
      <c r="K48" s="89" t="str">
        <f t="shared" si="0"/>
        <v>4029/4030</v>
      </c>
      <c r="L48" s="21" t="str">
        <f>VLOOKUP(A48,'Trips&amp;Operators'!$C$1:$G$99999,5,FALSE)</f>
        <v>LALONDE GREGORY</v>
      </c>
      <c r="M48" s="6">
        <f t="shared" si="1"/>
        <v>3.1469907407881692E-2</v>
      </c>
      <c r="N48" s="7">
        <f t="shared" si="2"/>
        <v>45.316666667349637</v>
      </c>
      <c r="O48" s="7"/>
      <c r="P48" s="7"/>
      <c r="Q48" s="22"/>
      <c r="R48" s="170"/>
      <c r="S48" s="213">
        <f t="shared" si="3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-07-30T07:37:56-0600',mode:absolute,to:'2017-07-30T10:42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8" s="197" t="str">
        <f>IF(AA48&lt;VLOOKUP(AG48,Variables!$AC$3:$AD$8,2,FALSE),"Y","N")</f>
        <v>N</v>
      </c>
      <c r="X48" s="197">
        <f t="shared" si="6"/>
        <v>1</v>
      </c>
      <c r="Y48" s="197">
        <f t="shared" si="7"/>
        <v>23.3001</v>
      </c>
      <c r="Z48" s="197">
        <f t="shared" si="8"/>
        <v>1.38E-2</v>
      </c>
      <c r="AA48" s="197">
        <f t="shared" si="9"/>
        <v>23.286300000000001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136</v>
      </c>
      <c r="AE48" s="77" t="str">
        <f t="shared" si="11"/>
        <v>aws s3 cp s3://rtdc.mdm.uploadarchive.raw/RTDC4029/ "%USERPROFILE%\AppData\Local\Temp\OnboardLogs"\RTDC4029\2017-07-30 --exclude "*" --recursive --include "*20170730*" &amp; "%USERPROFILE%\Documents\GitHub\mrs-test-scripts\Headless Mode &amp; Sideloading\WalkAndUnGZ.bat" "%USERPROFILE%\AppData\Local\Temp\OnboardLogs"\RTDC4029\2017-07-30 &amp; aws s3 cp s3://rtdc.mdm.uploadarchive.raw/RTDC4029/ "%USERPROFILE%\AppData\Local\Temp\OnboardLogs"\RTDC4029\2017-07-31 --exclude "*" --recursive --include "*20170731*" &amp; "%USERPROFILE%\Documents\GitHub\mrs-test-scripts\Headless Mode &amp; Sideloading\WalkAndUnGZ.bat" "%USERPROFILE%\AppData\Local\Temp\OnboardLogs"\RTDC4029\2017-07-31</v>
      </c>
      <c r="AF48" s="74" t="str">
        <f t="shared" si="12"/>
        <v>"C:\Program Files (x86)\AstroGrep\AstroGrep.exe" /e /r /s /spath="%USERPROFILE%\AppData\Local\Temp\OnboardLogs" /stypes="app*4029*20170730*"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136-30 --locoid 4029 --swversion DE.1.0.9.0 --startMP 204:233001 --initTime 2017-07-30T08:37:56 --startdatetime 2017-07-30T08:57:13 --delay 0 --endMP 204:138 --enddatetime 2017-07-30T09:42:32 --enforcementcount 0 &gt;&gt;C:\Users\stu\Documents\GitHub\eaglep3-reporting\EC\2017-07-30-refined-times.txt</v>
      </c>
      <c r="AI48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{"issue":{"subject":"","project_id":79,"tracker_id":40,"status_id":1,"priority_id":2,"assigned_to_id":23,"start_date":"2017-07-30","description":"","custom_fields":[{"id":1,"name":"Subdivision","value":"EC"},{"id":4,"name":"Milepost","value":"0.0138"},{"id":17,"name":"Train ID","value":"136-30"},{"id":16,"name":"Locomotive ID","value":"4029"},{"id":130,"name":"Impact","value":""},{"id":150,"name":"Time of Event (Mountain Time)","value":"09:42:32"},{"id":151,"name":"Denver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4029 --day 2017-07-30</v>
      </c>
      <c r="AN48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15:42:32"},{"id":29,"name":"Sharepoint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730</v>
      </c>
      <c r="B49" s="7">
        <v>4004</v>
      </c>
      <c r="C49" s="21" t="s">
        <v>198</v>
      </c>
      <c r="D49" s="21" t="s">
        <v>513</v>
      </c>
      <c r="E49" s="13">
        <v>42946.339571759258</v>
      </c>
      <c r="F49" s="13">
        <v>42946.344270833331</v>
      </c>
      <c r="G49" s="7">
        <v>1</v>
      </c>
      <c r="H49" s="21" t="s">
        <v>865</v>
      </c>
      <c r="I49" s="13">
        <v>42946.369386574072</v>
      </c>
      <c r="J49" s="7">
        <v>0</v>
      </c>
      <c r="K49" s="89" t="str">
        <f t="shared" si="0"/>
        <v>4003/4004</v>
      </c>
      <c r="L49" s="21" t="str">
        <f>VLOOKUP(A49,'Trips&amp;Operators'!$C$1:$G$99999,5,FALSE)</f>
        <v>GEBRETEKLE DAGNEW</v>
      </c>
      <c r="M49" s="6">
        <f t="shared" si="1"/>
        <v>2.5115740740147885E-2</v>
      </c>
      <c r="N49" s="7">
        <f t="shared" si="2"/>
        <v>36.166666665812954</v>
      </c>
      <c r="O49" s="7"/>
      <c r="P49" s="7"/>
      <c r="Q49" s="22"/>
      <c r="R49" s="170"/>
      <c r="S49" s="213">
        <f t="shared" si="3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-07-30T07:08:59-0600',mode:absolute,to:'2017-07-30T09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9" s="197" t="str">
        <f>IF(AA49&lt;VLOOKUP(AG49,Variables!$AC$3:$AD$8,2,FALSE),"Y","N")</f>
        <v>N</v>
      </c>
      <c r="X49" s="197">
        <f t="shared" si="6"/>
        <v>1</v>
      </c>
      <c r="Y49" s="197">
        <f t="shared" si="7"/>
        <v>4.6699999999999998E-2</v>
      </c>
      <c r="Z49" s="197">
        <f t="shared" si="8"/>
        <v>23.333600000000001</v>
      </c>
      <c r="AA49" s="197">
        <f t="shared" si="9"/>
        <v>23.286899999999999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10"/>
        <v>137</v>
      </c>
      <c r="AE49" s="77" t="str">
        <f t="shared" si="11"/>
        <v>aws s3 cp s3://rtdc.mdm.uploadarchive.raw/RTDC4004/ "%USERPROFILE%\AppData\Local\Temp\OnboardLogs"\RTDC4004\2017-07-30 --exclude "*" --recursive --include "*20170730*" &amp; "%USERPROFILE%\Documents\GitHub\mrs-test-scripts\Headless Mode &amp; Sideloading\WalkAndUnGZ.bat" "%USERPROFILE%\AppData\Local\Temp\OnboardLogs"\RTDC4004\2017-07-30 &amp; aws s3 cp s3://rtdc.mdm.uploadarchive.raw/RTDC4004/ "%USERPROFILE%\AppData\Local\Temp\OnboardLogs"\RTDC4004\2017-07-31 --exclude "*" --recursive --include "*20170731*" &amp; "%USERPROFILE%\Documents\GitHub\mrs-test-scripts\Headless Mode &amp; Sideloading\WalkAndUnGZ.bat" "%USERPROFILE%\AppData\Local\Temp\OnboardLogs"\RTDC4004\2017-07-31</v>
      </c>
      <c r="AF49" s="74" t="str">
        <f t="shared" si="12"/>
        <v>"C:\Program Files (x86)\AstroGrep\AstroGrep.exe" /e /r /s /spath="%USERPROFILE%\AppData\Local\Temp\OnboardLogs" /stypes="app*4004*20170730*"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137-30 --locoid 4004 --swversion DE.1.0.9.0 --startMP 204:467 --initTime 2017-07-30T08:08:59 --startdatetime 2017-07-30T08:15:45 --delay 1 --endMP 204:233336 --enddatetime 2017-07-30T08:51:55 --enforcementcount 0 &gt;&gt;C:\Users\stu\Documents\GitHub\eaglep3-reporting\EC\2017-07-30-refined-times.txt</v>
      </c>
      <c r="AI49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{"issue":{"subject":"","project_id":79,"tracker_id":40,"status_id":1,"priority_id":2,"assigned_to_id":23,"start_date":"2017-07-30","description":"","custom_fields":[{"id":1,"name":"Subdivision","value":"EC"},{"id":4,"name":"Milepost","value":"23.3336"},{"id":17,"name":"Train ID","value":"137-30"},{"id":16,"name":"Locomotive ID","value":"4004"},{"id":130,"name":"Impact","value":""},{"id":150,"name":"Time of Event (Mountain Time)","value":"08:51:55"},{"id":151,"name":"Denver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4004 --day 2017-07-30</v>
      </c>
      <c r="AN49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14:51:55"},{"id":29,"name":"Sharepoint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736</v>
      </c>
      <c r="B50" s="7">
        <v>4003</v>
      </c>
      <c r="C50" s="21" t="s">
        <v>198</v>
      </c>
      <c r="D50" s="21" t="s">
        <v>886</v>
      </c>
      <c r="E50" s="13">
        <v>42946.370821759258</v>
      </c>
      <c r="F50" s="13">
        <v>42946.383553240739</v>
      </c>
      <c r="G50" s="7">
        <v>1</v>
      </c>
      <c r="H50" s="21" t="s">
        <v>588</v>
      </c>
      <c r="I50" s="13">
        <v>42946.413981481484</v>
      </c>
      <c r="J50" s="7">
        <v>0</v>
      </c>
      <c r="K50" s="89" t="str">
        <f t="shared" si="0"/>
        <v>4003/4004</v>
      </c>
      <c r="L50" s="21" t="str">
        <f>VLOOKUP(A50,'Trips&amp;Operators'!$C$1:$G$99999,5,FALSE)</f>
        <v>GEBRETEKLE DAGNEW</v>
      </c>
      <c r="M50" s="6">
        <f t="shared" si="1"/>
        <v>3.0428240745095536E-2</v>
      </c>
      <c r="N50" s="7">
        <f t="shared" si="2"/>
        <v>43.816666672937572</v>
      </c>
      <c r="O50" s="7"/>
      <c r="P50" s="7"/>
      <c r="Q50" s="22"/>
      <c r="R50" s="170"/>
      <c r="S50" s="213">
        <f t="shared" si="3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-07-30T07:53:59-0600',mode:absolute,to:'2017-07-30T10:56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0" s="197" t="str">
        <f>IF(AA50&lt;VLOOKUP(AG50,Variables!$AC$3:$AD$8,2,FALSE),"Y","N")</f>
        <v>N</v>
      </c>
      <c r="X50" s="197">
        <f t="shared" si="6"/>
        <v>1</v>
      </c>
      <c r="Y50" s="197">
        <f t="shared" si="7"/>
        <v>23.301500000000001</v>
      </c>
      <c r="Z50" s="197">
        <f t="shared" si="8"/>
        <v>1.29E-2</v>
      </c>
      <c r="AA50" s="197">
        <f t="shared" si="9"/>
        <v>23.288600000000002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138</v>
      </c>
      <c r="AE50" s="77" t="str">
        <f t="shared" si="11"/>
        <v>aws s3 cp s3://rtdc.mdm.uploadarchive.raw/RTDC4003/ "%USERPROFILE%\AppData\Local\Temp\OnboardLogs"\RTDC4003\2017-07-30 --exclude "*" --recursive --include "*20170730*" &amp; "%USERPROFILE%\Documents\GitHub\mrs-test-scripts\Headless Mode &amp; Sideloading\WalkAndUnGZ.bat" "%USERPROFILE%\AppData\Local\Temp\OnboardLogs"\RTDC4003\2017-07-30 &amp; aws s3 cp s3://rtdc.mdm.uploadarchive.raw/RTDC4003/ "%USERPROFILE%\AppData\Local\Temp\OnboardLogs"\RTDC4003\2017-07-31 --exclude "*" --recursive --include "*20170731*" &amp; "%USERPROFILE%\Documents\GitHub\mrs-test-scripts\Headless Mode &amp; Sideloading\WalkAndUnGZ.bat" "%USERPROFILE%\AppData\Local\Temp\OnboardLogs"\RTDC4003\2017-07-31</v>
      </c>
      <c r="AF50" s="74" t="str">
        <f t="shared" si="12"/>
        <v>"C:\Program Files (x86)\AstroGrep\AstroGrep.exe" /e /r /s /spath="%USERPROFILE%\AppData\Local\Temp\OnboardLogs" /stypes="app*4003*20170730*"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138-30 --locoid 4003 --swversion DE.1.0.9.0 --startMP 204:233015 --initTime 2017-07-30T08:53:59 --startdatetime 2017-07-30T09:12:19 --delay 1 --endMP 204:129 --enddatetime 2017-07-30T09:56:08 --enforcementcount 0 &gt;&gt;C:\Users\stu\Documents\GitHub\eaglep3-reporting\EC\2017-07-30-refined-times.txt</v>
      </c>
      <c r="AI50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{"issue":{"subject":"","project_id":79,"tracker_id":40,"status_id":1,"priority_id":2,"assigned_to_id":23,"start_date":"2017-07-30","description":"","custom_fields":[{"id":1,"name":"Subdivision","value":"EC"},{"id":4,"name":"Milepost","value":"0.0129"},{"id":17,"name":"Train ID","value":"138-30"},{"id":16,"name":"Locomotive ID","value":"4003"},{"id":130,"name":"Impact","value":""},{"id":150,"name":"Time of Event (Mountain Time)","value":"09:56:08"},{"id":151,"name":"Denver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4003 --day 2017-07-30</v>
      </c>
      <c r="AN50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15:56:08"},{"id":29,"name":"Sharepoint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731</v>
      </c>
      <c r="B51" s="7">
        <v>4044</v>
      </c>
      <c r="C51" s="21" t="s">
        <v>198</v>
      </c>
      <c r="D51" s="21" t="s">
        <v>475</v>
      </c>
      <c r="E51" s="13">
        <v>42946.348993055559</v>
      </c>
      <c r="F51" s="13">
        <v>42946.354988425926</v>
      </c>
      <c r="G51" s="7">
        <v>2</v>
      </c>
      <c r="H51" s="21" t="s">
        <v>890</v>
      </c>
      <c r="I51" s="13">
        <v>42946.379189814812</v>
      </c>
      <c r="J51" s="7">
        <v>0</v>
      </c>
      <c r="K51" s="89" t="str">
        <f t="shared" si="0"/>
        <v>4043/4044</v>
      </c>
      <c r="L51" s="21" t="str">
        <f>VLOOKUP(A51,'Trips&amp;Operators'!$C$1:$G$99999,5,FALSE)</f>
        <v>MAELZER KURT</v>
      </c>
      <c r="M51" s="6">
        <f t="shared" si="1"/>
        <v>2.4201388885558117E-2</v>
      </c>
      <c r="N51" s="7">
        <f t="shared" si="2"/>
        <v>34.849999995203689</v>
      </c>
      <c r="O51" s="7"/>
      <c r="P51" s="7"/>
      <c r="Q51" s="22"/>
      <c r="R51" s="170"/>
      <c r="S51" s="213">
        <f t="shared" si="3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-07-30T07:22:33-0600',mode:absolute,to:'2017-07-30T10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1" s="197" t="str">
        <f>IF(AA51&lt;VLOOKUP(AG51,Variables!$AC$3:$AD$8,2,FALSE),"Y","N")</f>
        <v>N</v>
      </c>
      <c r="X51" s="197">
        <f t="shared" si="6"/>
        <v>1</v>
      </c>
      <c r="Y51" s="197">
        <f t="shared" si="7"/>
        <v>4.5699999999999998E-2</v>
      </c>
      <c r="Z51" s="197">
        <f t="shared" si="8"/>
        <v>23.334700000000002</v>
      </c>
      <c r="AA51" s="197">
        <f t="shared" si="9"/>
        <v>23.289000000000001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139</v>
      </c>
      <c r="AE51" s="77" t="str">
        <f t="shared" si="11"/>
        <v>aws s3 cp s3://rtdc.mdm.uploadarchive.raw/RTDC4044/ "%USERPROFILE%\AppData\Local\Temp\OnboardLogs"\RTDC4044\2017-07-30 --exclude "*" --recursive --include "*20170730*" &amp; "%USERPROFILE%\Documents\GitHub\mrs-test-scripts\Headless Mode &amp; Sideloading\WalkAndUnGZ.bat" "%USERPROFILE%\AppData\Local\Temp\OnboardLogs"\RTDC4044\2017-07-30 &amp; aws s3 cp s3://rtdc.mdm.uploadarchive.raw/RTDC4044/ "%USERPROFILE%\AppData\Local\Temp\OnboardLogs"\RTDC4044\2017-07-31 --exclude "*" --recursive --include "*20170731*" &amp; "%USERPROFILE%\Documents\GitHub\mrs-test-scripts\Headless Mode &amp; Sideloading\WalkAndUnGZ.bat" "%USERPROFILE%\AppData\Local\Temp\OnboardLogs"\RTDC4044\2017-07-31</v>
      </c>
      <c r="AF51" s="74" t="str">
        <f t="shared" si="12"/>
        <v>"C:\Program Files (x86)\AstroGrep\AstroGrep.exe" /e /r /s /spath="%USERPROFILE%\AppData\Local\Temp\OnboardLogs" /stypes="app*4044*20170730*"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139-30 --locoid 4044 --swversion DE.1.0.9.0 --startMP 204:457 --initTime 2017-07-30T08:22:33 --startdatetime 2017-07-30T08:31:11 --delay 2 --endMP 204:233347 --enddatetime 2017-07-30T09:06:02 --enforcementcount 0 &gt;&gt;C:\Users\stu\Documents\GitHub\eaglep3-reporting\EC\2017-07-30-refined-times.txt</v>
      </c>
      <c r="AI51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{"issue":{"subject":"","project_id":79,"tracker_id":40,"status_id":1,"priority_id":2,"assigned_to_id":23,"start_date":"2017-07-30","description":"","custom_fields":[{"id":1,"name":"Subdivision","value":"EC"},{"id":4,"name":"Milepost","value":"23.3347"},{"id":17,"name":"Train ID","value":"139-30"},{"id":16,"name":"Locomotive ID","value":"4044"},{"id":130,"name":"Impact","value":""},{"id":150,"name":"Time of Event (Mountain Time)","value":"09:06:02"},{"id":151,"name":"Denver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4044 --day 2017-07-30</v>
      </c>
      <c r="AN51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15:06:02"},{"id":29,"name":"Sharepoint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739</v>
      </c>
      <c r="B52" s="7">
        <v>4043</v>
      </c>
      <c r="C52" s="21" t="s">
        <v>198</v>
      </c>
      <c r="D52" s="21" t="s">
        <v>886</v>
      </c>
      <c r="E52" s="13">
        <v>42946.39402777778</v>
      </c>
      <c r="F52" s="13">
        <v>42946.395671296297</v>
      </c>
      <c r="G52" s="7">
        <v>1</v>
      </c>
      <c r="H52" s="21" t="s">
        <v>352</v>
      </c>
      <c r="I52" s="13">
        <v>42946.424108796295</v>
      </c>
      <c r="J52" s="7">
        <v>0</v>
      </c>
      <c r="K52" s="89" t="str">
        <f t="shared" si="0"/>
        <v>4043/4044</v>
      </c>
      <c r="L52" s="21" t="str">
        <f>VLOOKUP(A52,'Trips&amp;Operators'!$C$1:$G$99999,5,FALSE)</f>
        <v>MAELZER KURT</v>
      </c>
      <c r="M52" s="6">
        <f t="shared" si="1"/>
        <v>2.8437499997380655E-2</v>
      </c>
      <c r="N52" s="7">
        <f t="shared" si="2"/>
        <v>40.949999996228144</v>
      </c>
      <c r="O52" s="7"/>
      <c r="P52" s="7"/>
      <c r="Q52" s="22"/>
      <c r="R52" s="170"/>
      <c r="S52" s="213">
        <f t="shared" si="3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-07-30T08:27:24-0600',mode:absolute,to:'2017-07-30T11:10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2" s="197" t="str">
        <f>IF(AA52&lt;VLOOKUP(AG52,Variables!$AC$3:$AD$8,2,FALSE),"Y","N")</f>
        <v>N</v>
      </c>
      <c r="X52" s="197">
        <f t="shared" ref="X52:X56" si="22">VALUE(LEFT(AD52,4))-VALUE(LEFT(AD51,4))</f>
        <v>1</v>
      </c>
      <c r="Y52" s="197">
        <f t="shared" si="7"/>
        <v>23.301500000000001</v>
      </c>
      <c r="Z52" s="197">
        <f t="shared" si="8"/>
        <v>1.47E-2</v>
      </c>
      <c r="AA52" s="197">
        <f t="shared" si="9"/>
        <v>23.286799999999999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140</v>
      </c>
      <c r="AE52" s="77" t="str">
        <f t="shared" si="11"/>
        <v>aws s3 cp s3://rtdc.mdm.uploadarchive.raw/RTDC4043/ "%USERPROFILE%\AppData\Local\Temp\OnboardLogs"\RTDC4043\2017-07-30 --exclude "*" --recursive --include "*20170730*" &amp; "%USERPROFILE%\Documents\GitHub\mrs-test-scripts\Headless Mode &amp; Sideloading\WalkAndUnGZ.bat" "%USERPROFILE%\AppData\Local\Temp\OnboardLogs"\RTDC4043\2017-07-30 &amp; aws s3 cp s3://rtdc.mdm.uploadarchive.raw/RTDC4043/ "%USERPROFILE%\AppData\Local\Temp\OnboardLogs"\RTDC4043\2017-07-31 --exclude "*" --recursive --include "*20170731*" &amp; "%USERPROFILE%\Documents\GitHub\mrs-test-scripts\Headless Mode &amp; Sideloading\WalkAndUnGZ.bat" "%USERPROFILE%\AppData\Local\Temp\OnboardLogs"\RTDC4043\2017-07-31</v>
      </c>
      <c r="AF52" s="74" t="str">
        <f t="shared" si="12"/>
        <v>"C:\Program Files (x86)\AstroGrep\AstroGrep.exe" /e /r /s /spath="%USERPROFILE%\AppData\Local\Temp\OnboardLogs" /stypes="app*4043*20170730*"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140-30 --locoid 4043 --swversion DE.1.0.9.0 --startMP 204:233015 --initTime 2017-07-30T09:27:24 --startdatetime 2017-07-30T09:29:46 --delay 1 --endMP 204:147 --enddatetime 2017-07-30T10:10:43 --enforcementcount 0 &gt;&gt;C:\Users\stu\Documents\GitHub\eaglep3-reporting\EC\2017-07-30-refined-times.txt</v>
      </c>
      <c r="AI52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{"issue":{"subject":"","project_id":79,"tracker_id":40,"status_id":1,"priority_id":2,"assigned_to_id":23,"start_date":"2017-07-30","description":"","custom_fields":[{"id":1,"name":"Subdivision","value":"EC"},{"id":4,"name":"Milepost","value":"0.0147"},{"id":17,"name":"Train ID","value":"140-30"},{"id":16,"name":"Locomotive ID","value":"4043"},{"id":130,"name":"Impact","value":""},{"id":150,"name":"Time of Event (Mountain Time)","value":"10:10:43"},{"id":151,"name":"Denver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4043 --day 2017-07-30</v>
      </c>
      <c r="AN52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16:10:43"},{"id":29,"name":"Sharepoint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734</v>
      </c>
      <c r="B53" s="7">
        <v>4012</v>
      </c>
      <c r="C53" s="21" t="s">
        <v>198</v>
      </c>
      <c r="D53" s="21" t="s">
        <v>881</v>
      </c>
      <c r="E53" s="13">
        <v>42946.359780092593</v>
      </c>
      <c r="F53" s="13">
        <v>42946.365127314813</v>
      </c>
      <c r="G53" s="7">
        <v>2</v>
      </c>
      <c r="H53" s="21" t="s">
        <v>879</v>
      </c>
      <c r="I53" s="13">
        <v>42946.389965277776</v>
      </c>
      <c r="J53" s="7">
        <v>0</v>
      </c>
      <c r="K53" s="89" t="str">
        <f t="shared" si="0"/>
        <v>4011/4012</v>
      </c>
      <c r="L53" s="21" t="str">
        <f>VLOOKUP(A53,'Trips&amp;Operators'!$C$1:$G$99999,5,FALSE)</f>
        <v>GUZMAN DANNY</v>
      </c>
      <c r="M53" s="6">
        <f t="shared" si="1"/>
        <v>2.4837962962919846E-2</v>
      </c>
      <c r="N53" s="7">
        <f t="shared" si="2"/>
        <v>35.766666666604578</v>
      </c>
      <c r="O53" s="7"/>
      <c r="P53" s="7"/>
      <c r="Q53" s="22"/>
      <c r="R53" s="170"/>
      <c r="S53" s="213">
        <f t="shared" si="3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-07-30T07:38:05-0600',mode:absolute,to:'2017-07-30T10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3" s="197" t="str">
        <f>IF(AA53&lt;VLOOKUP(AG53,Variables!$AC$3:$AD$8,2,FALSE),"Y","N")</f>
        <v>N</v>
      </c>
      <c r="X53" s="197">
        <f t="shared" si="22"/>
        <v>1</v>
      </c>
      <c r="Y53" s="197">
        <f t="shared" si="7"/>
        <v>4.2700000000000002E-2</v>
      </c>
      <c r="Z53" s="197">
        <f t="shared" si="8"/>
        <v>23.335100000000001</v>
      </c>
      <c r="AA53" s="197">
        <f t="shared" si="9"/>
        <v>23.292400000000001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141</v>
      </c>
      <c r="AE53" s="77" t="str">
        <f t="shared" si="11"/>
        <v>aws s3 cp s3://rtdc.mdm.uploadarchive.raw/RTDC4012/ "%USERPROFILE%\AppData\Local\Temp\OnboardLogs"\RTDC4012\2017-07-30 --exclude "*" --recursive --include "*20170730*" &amp; "%USERPROFILE%\Documents\GitHub\mrs-test-scripts\Headless Mode &amp; Sideloading\WalkAndUnGZ.bat" "%USERPROFILE%\AppData\Local\Temp\OnboardLogs"\RTDC4012\2017-07-30 &amp; aws s3 cp s3://rtdc.mdm.uploadarchive.raw/RTDC4012/ "%USERPROFILE%\AppData\Local\Temp\OnboardLogs"\RTDC4012\2017-07-31 --exclude "*" --recursive --include "*20170731*" &amp; "%USERPROFILE%\Documents\GitHub\mrs-test-scripts\Headless Mode &amp; Sideloading\WalkAndUnGZ.bat" "%USERPROFILE%\AppData\Local\Temp\OnboardLogs"\RTDC4012\2017-07-31</v>
      </c>
      <c r="AF53" s="74" t="str">
        <f t="shared" si="12"/>
        <v>"C:\Program Files (x86)\AstroGrep\AstroGrep.exe" /e /r /s /spath="%USERPROFILE%\AppData\Local\Temp\OnboardLogs" /stypes="app*4012*20170730*"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141-30 --locoid 4012 --swversion DE.1.0.9.0 --startMP 204:427 --initTime 2017-07-30T08:38:05 --startdatetime 2017-07-30T08:45:47 --delay 2 --endMP 204:233351 --enddatetime 2017-07-30T09:21:33 --enforcementcount 0 &gt;&gt;C:\Users\stu\Documents\GitHub\eaglep3-reporting\EC\2017-07-30-refined-times.txt</v>
      </c>
      <c r="AI53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{"issue":{"subject":"","project_id":79,"tracker_id":40,"status_id":1,"priority_id":2,"assigned_to_id":23,"start_date":"2017-07-30","description":"","custom_fields":[{"id":1,"name":"Subdivision","value":"EC"},{"id":4,"name":"Milepost","value":"23.3351"},{"id":17,"name":"Train ID","value":"141-30"},{"id":16,"name":"Locomotive ID","value":"4012"},{"id":130,"name":"Impact","value":""},{"id":150,"name":"Time of Event (Mountain Time)","value":"09:21:33"},{"id":151,"name":"Denver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4012 --day 2017-07-30</v>
      </c>
      <c r="AN53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15:21:33"},{"id":29,"name":"Sharepoint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741</v>
      </c>
      <c r="B54" s="7">
        <v>4011</v>
      </c>
      <c r="C54" s="21" t="s">
        <v>198</v>
      </c>
      <c r="D54" s="21" t="s">
        <v>880</v>
      </c>
      <c r="E54" s="13">
        <v>42946.391851851855</v>
      </c>
      <c r="F54" s="13">
        <v>42946.404340277775</v>
      </c>
      <c r="G54" s="7">
        <v>1</v>
      </c>
      <c r="H54" s="21" t="s">
        <v>891</v>
      </c>
      <c r="I54" s="13">
        <v>42946.422962962963</v>
      </c>
      <c r="J54" s="7">
        <v>0</v>
      </c>
      <c r="K54" s="89" t="str">
        <f t="shared" si="0"/>
        <v>4011/4012</v>
      </c>
      <c r="L54" s="21" t="str">
        <f>VLOOKUP(A54,'Trips&amp;Operators'!$C$1:$G$99999,5,FALSE)</f>
        <v>GUZMAN DANNY</v>
      </c>
      <c r="M54" s="6">
        <f t="shared" si="1"/>
        <v>1.8622685187438037E-2</v>
      </c>
      <c r="N54" s="7"/>
      <c r="O54" s="7"/>
      <c r="P54" s="7">
        <f>24*60*SUM($M54:$M54)</f>
        <v>26.816666669910774</v>
      </c>
      <c r="Q54" s="22"/>
      <c r="R54" s="170" t="s">
        <v>1049</v>
      </c>
      <c r="S54" s="213">
        <f t="shared" si="3"/>
        <v>0.5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6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-07-30T08:24:16-0600',mode:absolute,to:'2017-07-30T11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4" s="197" t="str">
        <f>IF(AA54&lt;VLOOKUP(AG54,Variables!$AC$3:$AD$8,2,FALSE),"Y","N")</f>
        <v>Y</v>
      </c>
      <c r="X54" s="197">
        <f t="shared" si="22"/>
        <v>1</v>
      </c>
      <c r="Y54" s="197">
        <f t="shared" si="7"/>
        <v>23.303000000000001</v>
      </c>
      <c r="Z54" s="197">
        <f t="shared" si="8"/>
        <v>5.3784000000000001</v>
      </c>
      <c r="AA54" s="197">
        <f t="shared" si="9"/>
        <v>17.924600000000002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142</v>
      </c>
      <c r="AE54" s="77" t="str">
        <f t="shared" si="11"/>
        <v>aws s3 cp s3://rtdc.mdm.uploadarchive.raw/RTDC4011/ "%USERPROFILE%\AppData\Local\Temp\OnboardLogs"\RTDC4011\2017-07-30 --exclude "*" --recursive --include "*20170730*" &amp; "%USERPROFILE%\Documents\GitHub\mrs-test-scripts\Headless Mode &amp; Sideloading\WalkAndUnGZ.bat" "%USERPROFILE%\AppData\Local\Temp\OnboardLogs"\RTDC4011\2017-07-30 &amp; aws s3 cp s3://rtdc.mdm.uploadarchive.raw/RTDC4011/ "%USERPROFILE%\AppData\Local\Temp\OnboardLogs"\RTDC4011\2017-07-31 --exclude "*" --recursive --include "*20170731*" &amp; "%USERPROFILE%\Documents\GitHub\mrs-test-scripts\Headless Mode &amp; Sideloading\WalkAndUnGZ.bat" "%USERPROFILE%\AppData\Local\Temp\OnboardLogs"\RTDC4011\2017-07-31</v>
      </c>
      <c r="AF54" s="74" t="str">
        <f t="shared" si="12"/>
        <v>"C:\Program Files (x86)\AstroGrep\AstroGrep.exe" /e /r /s /spath="%USERPROFILE%\AppData\Local\Temp\OnboardLogs" /stypes="app*4011*20170730*"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142-30 --locoid 4011 --swversion DE.1.0.9.0 --startMP 204:233030 --initTime 2017-07-30T09:24:16 --startdatetime 2017-07-30T09:42:15 --delay 1 --endMP 204:53784 --enddatetime 2017-07-30T10:09:04 --enforcementcount 0 &gt;&gt;C:\Users\stu\Documents\GitHub\eaglep3-reporting\EC\2017-07-30-refined-times.txt</v>
      </c>
      <c r="AI54" s="96" t="str">
        <f t="shared" si="19"/>
        <v>echo {"issue":{"subject":"Form C was not electronically issued to this pair","project_id":79,"tracker_id":40,"status_id":1,"priority_id":2,"assigned_to_id":23,"start_date":"2017-07-30","description":"","custom_fields":[{"id":1,"name":"Subdivision","value":"EC"},{"id":4,"name":"Milepost","value":"5.3784"},{"id":17,"name":"Train ID","value":"142-30"},{"id":16,"name":"Locomotive ID","value":"4011"},{"id":130,"name":"Impact","value":""},{"id":150,"name":"Time of Event (Mountain Time)","value":"10:09:04"},{"id":151,"name":"Denver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4011 --day 2017-07-30</v>
      </c>
      <c r="AN54" s="151" t="str">
        <f t="shared" si="21"/>
        <v>echo {"issue":{"subject":"Form C was not electronically issued to this pair","project_id":30,"tracker_id":4,"status_id":1,"priority_id":1,"assigned_to_id":10,"start_date":"2017-07-30","description":"","custom_fields":[{"id":30,"name":"Category","value":"Issue"},{"id":3,"name":"Functional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16:09:04"},{"id":29,"name":"Sharepoint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626</v>
      </c>
      <c r="B55" s="7">
        <v>4006</v>
      </c>
      <c r="C55" s="21" t="s">
        <v>198</v>
      </c>
      <c r="D55" s="21" t="s">
        <v>516</v>
      </c>
      <c r="E55" s="13">
        <v>42946.370578703703</v>
      </c>
      <c r="F55" s="13">
        <v>42946.375532407408</v>
      </c>
      <c r="G55" s="7">
        <v>1</v>
      </c>
      <c r="H55" s="21" t="s">
        <v>892</v>
      </c>
      <c r="I55" s="13">
        <v>42946.410162037035</v>
      </c>
      <c r="J55" s="7">
        <v>0</v>
      </c>
      <c r="K55" s="89" t="str">
        <f t="shared" si="0"/>
        <v>4005/4006</v>
      </c>
      <c r="L55" s="21" t="str">
        <f>VLOOKUP(A55,'Trips&amp;Operators'!$C$1:$G$99999,5,FALSE)</f>
        <v>WILLIAMS DONTE</v>
      </c>
      <c r="M55" s="6">
        <f t="shared" si="1"/>
        <v>3.4629629626579117E-2</v>
      </c>
      <c r="N55" s="7"/>
      <c r="O55" s="7"/>
      <c r="P55" s="7">
        <f>24*60*SUM($M55:$M55)</f>
        <v>49.866666662273929</v>
      </c>
      <c r="Q55" s="22"/>
      <c r="R55" s="170" t="s">
        <v>1050</v>
      </c>
      <c r="S55" s="213">
        <f t="shared" si="3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-07-30T07:53:38-0600',mode:absolute,to:'2017-07-30T10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5" s="197" t="str">
        <f>IF(AA55&lt;VLOOKUP(AG55,Variables!$AC$3:$AD$8,2,FALSE),"Y","N")</f>
        <v>Y</v>
      </c>
      <c r="X55" s="197">
        <f t="shared" si="22"/>
        <v>1</v>
      </c>
      <c r="Y55" s="197">
        <f t="shared" si="7"/>
        <v>4.7300000000000002E-2</v>
      </c>
      <c r="Z55" s="197">
        <f t="shared" si="8"/>
        <v>12.827500000000001</v>
      </c>
      <c r="AA55" s="197">
        <f t="shared" si="9"/>
        <v>12.780200000000001</v>
      </c>
      <c r="AB55" s="54" t="str">
        <f>VLOOKUP(A55,Enforcements!$C$7:$K$13,8,0)</f>
        <v>Bulletin (2)</v>
      </c>
      <c r="AC55" s="51" t="str">
        <f>VLOOKUP(A55,Enforcements!$C$7:$E$13,3,0)</f>
        <v>GRADE CROSSING</v>
      </c>
      <c r="AD55" s="206">
        <f t="shared" si="10"/>
        <v>143</v>
      </c>
      <c r="AE55" s="77" t="str">
        <f t="shared" si="11"/>
        <v>aws s3 cp s3://rtdc.mdm.uploadarchive.raw/RTDC4006/ "%USERPROFILE%\AppData\Local\Temp\OnboardLogs"\RTDC4006\2017-07-30 --exclude "*" --recursive --include "*20170730*" &amp; "%USERPROFILE%\Documents\GitHub\mrs-test-scripts\Headless Mode &amp; Sideloading\WalkAndUnGZ.bat" "%USERPROFILE%\AppData\Local\Temp\OnboardLogs"\RTDC4006\2017-07-30 &amp; aws s3 cp s3://rtdc.mdm.uploadarchive.raw/RTDC4006/ "%USERPROFILE%\AppData\Local\Temp\OnboardLogs"\RTDC4006\2017-07-31 --exclude "*" --recursive --include "*20170731*" &amp; "%USERPROFILE%\Documents\GitHub\mrs-test-scripts\Headless Mode &amp; Sideloading\WalkAndUnGZ.bat" "%USERPROFILE%\AppData\Local\Temp\OnboardLogs"\RTDC4006\2017-07-31</v>
      </c>
      <c r="AF55" s="74" t="str">
        <f t="shared" si="12"/>
        <v>"C:\Program Files (x86)\AstroGrep\AstroGrep.exe" /e /r /s /spath="%USERPROFILE%\AppData\Local\Temp\OnboardLogs" /stypes="app*4006*20170730*"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143-30 --locoid 4006 --swversion DE.1.0.9.0 --startMP 204:473 --initTime 2017-07-30T08:53:38 --startdatetime 2017-07-30T09:00:46 --delay 1 --endMP 204:128275 --enddatetime 2017-07-30T09:50:38 --enforcementcount 0 &gt;&gt;C:\Users\stu\Documents\GitHub\eaglep3-reporting\EC\2017-07-30-refined-times.txt</v>
      </c>
      <c r="AI55" s="96" t="str">
        <f t="shared" si="19"/>
        <v>echo {"issue":{"subject":"Followed proper procedure for Form C's @ Dahlia, Holly. Did not follow proper procedure @ Monaco","project_id":79,"tracker_id":40,"status_id":1,"priority_id":2,"assigned_to_id":23,"start_date":"2017-07-30","description":"","custom_fields":[{"id":1,"name":"Subdivision","value":"EC"},{"id":4,"name":"Milepost","value":"12.8275"},{"id":17,"name":"Train ID","value":"143-30"},{"id":16,"name":"Locomotive ID","value":"4006"},{"id":130,"name":"Impact","value":""},{"id":150,"name":"Time of Event (Mountain Time)","value":"09:50:38"},{"id":151,"name":"Denver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4006 --day 2017-07-30</v>
      </c>
      <c r="AN55" s="151" t="str">
        <f t="shared" si="21"/>
        <v>echo {"issue":{"subject":"Followed proper procedure for Form C's @ Dahlia, Holly. Did not follow proper procedure @ Monaco","project_id":30,"tracker_id":4,"status_id":1,"priority_id":1,"assigned_to_id":10,"start_date":"2017-07-30","description":"","custom_fields":[{"id":30,"name":"Category","value":"Issue"},{"id":3,"name":"Functional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15:50:38"},{"id":29,"name":"Sharepoint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738</v>
      </c>
      <c r="B56" s="7">
        <v>4032</v>
      </c>
      <c r="C56" s="21" t="s">
        <v>198</v>
      </c>
      <c r="D56" s="21" t="s">
        <v>486</v>
      </c>
      <c r="E56" s="13">
        <v>42946.382928240739</v>
      </c>
      <c r="F56" s="13">
        <v>42946.387708333335</v>
      </c>
      <c r="G56" s="7">
        <v>2</v>
      </c>
      <c r="H56" s="21" t="s">
        <v>591</v>
      </c>
      <c r="I56" s="13">
        <v>42946.423622685186</v>
      </c>
      <c r="J56" s="7">
        <v>0</v>
      </c>
      <c r="K56" s="89" t="str">
        <f t="shared" si="0"/>
        <v>4031/4032</v>
      </c>
      <c r="L56" s="21" t="str">
        <f>VLOOKUP(A56,'Trips&amp;Operators'!$C$1:$G$99999,5,FALSE)</f>
        <v>MACDONALD THOMAS</v>
      </c>
      <c r="M56" s="6">
        <f t="shared" si="1"/>
        <v>3.591435185080627E-2</v>
      </c>
      <c r="N56" s="7">
        <f t="shared" ref="N56:N87" si="23">24*60*SUM($M56:$M56)</f>
        <v>51.716666665161029</v>
      </c>
      <c r="O56" s="7"/>
      <c r="P56" s="7"/>
      <c r="Q56" s="22"/>
      <c r="R56" s="170"/>
      <c r="S56" s="213">
        <f t="shared" si="3"/>
        <v>1</v>
      </c>
      <c r="T56" s="195" t="str">
        <f t="shared" si="4"/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-07-30T08:11:25-0600',mode:absolute,to:'2017-07-30T11:10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6" s="197" t="str">
        <f>IF(AA56&lt;VLOOKUP(AG56,Variables!$AC$3:$AD$8,2,FALSE),"Y","N")</f>
        <v>N</v>
      </c>
      <c r="X56" s="197">
        <f t="shared" si="22"/>
        <v>2</v>
      </c>
      <c r="Y56" s="197">
        <f t="shared" si="7"/>
        <v>4.82E-2</v>
      </c>
      <c r="Z56" s="197">
        <f t="shared" si="8"/>
        <v>23.312799999999999</v>
      </c>
      <c r="AA56" s="197">
        <f t="shared" si="9"/>
        <v>23.264599999999998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145</v>
      </c>
      <c r="AE56" s="77" t="str">
        <f t="shared" si="11"/>
        <v>aws s3 cp s3://rtdc.mdm.uploadarchive.raw/RTDC4032/ "%USERPROFILE%\AppData\Local\Temp\OnboardLogs"\RTDC4032\2017-07-30 --exclude "*" --recursive --include "*20170730*" &amp; "%USERPROFILE%\Documents\GitHub\mrs-test-scripts\Headless Mode &amp; Sideloading\WalkAndUnGZ.bat" "%USERPROFILE%\AppData\Local\Temp\OnboardLogs"\RTDC4032\2017-07-30 &amp; aws s3 cp s3://rtdc.mdm.uploadarchive.raw/RTDC4032/ "%USERPROFILE%\AppData\Local\Temp\OnboardLogs"\RTDC4032\2017-07-31 --exclude "*" --recursive --include "*20170731*" &amp; "%USERPROFILE%\Documents\GitHub\mrs-test-scripts\Headless Mode &amp; Sideloading\WalkAndUnGZ.bat" "%USERPROFILE%\AppData\Local\Temp\OnboardLogs"\RTDC4032\2017-07-31</v>
      </c>
      <c r="AF56" s="74" t="str">
        <f t="shared" si="12"/>
        <v>"C:\Program Files (x86)\AstroGrep\AstroGrep.exe" /e /r /s /spath="%USERPROFILE%\AppData\Local\Temp\OnboardLogs" /stypes="app*4032*20170730*"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145-30 --locoid 4032 --swversion DE.1.0.9.0 --startMP 204:482 --initTime 2017-07-30T09:11:25 --startdatetime 2017-07-30T09:18:18 --delay 2 --endMP 204:233128 --enddatetime 2017-07-30T10:10:01 --enforcementcount 0 &gt;&gt;C:\Users\stu\Documents\GitHub\eaglep3-reporting\EC\2017-07-30-refined-times.txt</v>
      </c>
      <c r="AI56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{"issue":{"subject":"","project_id":79,"tracker_id":40,"status_id":1,"priority_id":2,"assigned_to_id":23,"start_date":"2017-07-30","description":"","custom_fields":[{"id":1,"name":"Subdivision","value":"EC"},{"id":4,"name":"Milepost","value":"23.3128"},{"id":17,"name":"Train ID","value":"145-30"},{"id":16,"name":"Locomotive ID","value":"4032"},{"id":130,"name":"Impact","value":""},{"id":150,"name":"Time of Event (Mountain Time)","value":"10:10:01"},{"id":151,"name":"Denver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4032 --day 2017-07-30</v>
      </c>
      <c r="AN56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16:10:01"},{"id":29,"name":"Sharepoint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627</v>
      </c>
      <c r="B57" s="7">
        <v>4031</v>
      </c>
      <c r="C57" s="21" t="s">
        <v>198</v>
      </c>
      <c r="D57" s="21" t="s">
        <v>893</v>
      </c>
      <c r="E57" s="13">
        <v>42946.42895833333</v>
      </c>
      <c r="F57" s="13">
        <v>42946.430011574077</v>
      </c>
      <c r="G57" s="7">
        <v>1</v>
      </c>
      <c r="H57" s="21" t="s">
        <v>446</v>
      </c>
      <c r="I57" s="13">
        <v>42946.459432870368</v>
      </c>
      <c r="J57" s="7">
        <v>0</v>
      </c>
      <c r="K57" s="89" t="str">
        <f t="shared" si="0"/>
        <v>4031/4032</v>
      </c>
      <c r="L57" s="21" t="str">
        <f>VLOOKUP(A57,'Trips&amp;Operators'!$C$1:$G$99999,5,FALSE)</f>
        <v>MACDONALD THOMAS</v>
      </c>
      <c r="M57" s="6">
        <f t="shared" si="1"/>
        <v>2.9421296290820464E-2</v>
      </c>
      <c r="N57" s="7">
        <f t="shared" si="23"/>
        <v>42.366666658781469</v>
      </c>
      <c r="O57" s="7"/>
      <c r="P57" s="7"/>
      <c r="Q57" s="22"/>
      <c r="R57" s="170"/>
      <c r="S57" s="213">
        <f t="shared" si="3"/>
        <v>1</v>
      </c>
      <c r="T57" s="195" t="str">
        <f t="shared" si="4"/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-07-30T09:17:42-0600',mode:absolute,to:'2017-07-30T12:01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7" s="197" t="str">
        <f>IF(AA57&lt;VLOOKUP(AG57,Variables!$AC$3:$AD$8,2,FALSE),"Y","N")</f>
        <v>N</v>
      </c>
      <c r="X57" s="197">
        <f t="shared" ref="X57:X88" si="24">VALUE(LEFT(AD57,4))-VALUE(LEFT(AD56,4))</f>
        <v>1</v>
      </c>
      <c r="Y57" s="197">
        <f t="shared" si="7"/>
        <v>23.280899999999999</v>
      </c>
      <c r="Z57" s="197">
        <f t="shared" si="8"/>
        <v>1.5800000000000002E-2</v>
      </c>
      <c r="AA57" s="197">
        <f t="shared" si="9"/>
        <v>23.2651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146</v>
      </c>
      <c r="AE57" s="77" t="str">
        <f t="shared" si="11"/>
        <v>aws s3 cp s3://rtdc.mdm.uploadarchive.raw/RTDC4031/ "%USERPROFILE%\AppData\Local\Temp\OnboardLogs"\RTDC4031\2017-07-30 --exclude "*" --recursive --include "*20170730*" &amp; "%USERPROFILE%\Documents\GitHub\mrs-test-scripts\Headless Mode &amp; Sideloading\WalkAndUnGZ.bat" "%USERPROFILE%\AppData\Local\Temp\OnboardLogs"\RTDC4031\2017-07-30 &amp; aws s3 cp s3://rtdc.mdm.uploadarchive.raw/RTDC4031/ "%USERPROFILE%\AppData\Local\Temp\OnboardLogs"\RTDC4031\2017-07-31 --exclude "*" --recursive --include "*20170731*" &amp; "%USERPROFILE%\Documents\GitHub\mrs-test-scripts\Headless Mode &amp; Sideloading\WalkAndUnGZ.bat" "%USERPROFILE%\AppData\Local\Temp\OnboardLogs"\RTDC4031\2017-07-31</v>
      </c>
      <c r="AF57" s="74" t="str">
        <f t="shared" si="12"/>
        <v>"C:\Program Files (x86)\AstroGrep\AstroGrep.exe" /e /r /s /spath="%USERPROFILE%\AppData\Local\Temp\OnboardLogs" /stypes="app*4031*20170730*" /stext=" 17:.+((SYSTEM_STATE.+slice.+state.+changed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146-30 --locoid 4031 --swversion DE.1.0.9.0 --startMP 204:232809 --initTime 2017-07-30T10:17:42 --startdatetime 2017-07-30T10:19:13 --delay 1 --endMP 204:158 --enddatetime 2017-07-30T11:01:35 --enforcementcount 0 &gt;&gt;C:\Users\stu\Documents\GitHub\eaglep3-reporting\EC\2017-07-30-refined-times.txt</v>
      </c>
      <c r="AI57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{"issue":{"subject":"","project_id":79,"tracker_id":40,"status_id":1,"priority_id":2,"assigned_to_id":23,"start_date":"2017-07-30","description":"","custom_fields":[{"id":1,"name":"Subdivision","value":"EC"},{"id":4,"name":"Milepost","value":"0.0158"},{"id":17,"name":"Train ID","value":"146-30"},{"id":16,"name":"Locomotive ID","value":"4031"},{"id":130,"name":"Impact","value":""},{"id":150,"name":"Time of Event (Mountain Time)","value":"11:01:35"},{"id":151,"name":"Denver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4031 --day 2017-07-30</v>
      </c>
      <c r="AN57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17:01:35"},{"id":29,"name":"Sharepoint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740</v>
      </c>
      <c r="B58" s="7">
        <v>4058</v>
      </c>
      <c r="C58" s="21" t="s">
        <v>198</v>
      </c>
      <c r="D58" s="21" t="s">
        <v>894</v>
      </c>
      <c r="E58" s="13">
        <v>42946.390613425923</v>
      </c>
      <c r="F58" s="13">
        <v>42946.396990740737</v>
      </c>
      <c r="G58" s="7">
        <v>1</v>
      </c>
      <c r="H58" s="21" t="s">
        <v>895</v>
      </c>
      <c r="I58" s="13">
        <v>42946.429884259262</v>
      </c>
      <c r="J58" s="7">
        <v>0</v>
      </c>
      <c r="K58" s="89" t="str">
        <f t="shared" si="0"/>
        <v>4057/4058</v>
      </c>
      <c r="L58" s="21" t="str">
        <f>VLOOKUP(A58,'Trips&amp;Operators'!$C$1:$G$99999,5,FALSE)</f>
        <v>CHANDLER KELVIN</v>
      </c>
      <c r="M58" s="6">
        <f t="shared" si="1"/>
        <v>3.2893518524360843E-2</v>
      </c>
      <c r="N58" s="7">
        <f t="shared" si="23"/>
        <v>47.366666675079614</v>
      </c>
      <c r="O58" s="7"/>
      <c r="P58" s="7"/>
      <c r="Q58" s="22"/>
      <c r="R58" s="170"/>
      <c r="S58" s="213">
        <f t="shared" si="3"/>
        <v>1</v>
      </c>
      <c r="T58" s="195" t="str">
        <f t="shared" si="4"/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-07-30T08:22:29-0600',mode:absolute,to:'2017-07-30T11:19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8" s="197" t="str">
        <f>IF(AA58&lt;VLOOKUP(AG58,Variables!$AC$3:$AD$8,2,FALSE),"Y","N")</f>
        <v>N</v>
      </c>
      <c r="X58" s="197">
        <f t="shared" si="24"/>
        <v>1</v>
      </c>
      <c r="Y58" s="197">
        <f t="shared" si="7"/>
        <v>0.14749999999999999</v>
      </c>
      <c r="Z58" s="197">
        <f t="shared" si="8"/>
        <v>23.327000000000002</v>
      </c>
      <c r="AA58" s="197">
        <f t="shared" si="9"/>
        <v>23.179500000000001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147</v>
      </c>
      <c r="AE58" s="77" t="str">
        <f t="shared" si="11"/>
        <v>aws s3 cp s3://rtdc.mdm.uploadarchive.raw/RTDC4058/ "%USERPROFILE%\AppData\Local\Temp\OnboardLogs"\RTDC4058\2017-07-30 --exclude "*" --recursive --include "*20170730*" &amp; "%USERPROFILE%\Documents\GitHub\mrs-test-scripts\Headless Mode &amp; Sideloading\WalkAndUnGZ.bat" "%USERPROFILE%\AppData\Local\Temp\OnboardLogs"\RTDC4058\2017-07-30 &amp; aws s3 cp s3://rtdc.mdm.uploadarchive.raw/RTDC4058/ "%USERPROFILE%\AppData\Local\Temp\OnboardLogs"\RTDC4058\2017-07-31 --exclude "*" --recursive --include "*20170731*" &amp; "%USERPROFILE%\Documents\GitHub\mrs-test-scripts\Headless Mode &amp; Sideloading\WalkAndUnGZ.bat" "%USERPROFILE%\AppData\Local\Temp\OnboardLogs"\RTDC4058\2017-07-31</v>
      </c>
      <c r="AF58" s="74" t="str">
        <f t="shared" si="12"/>
        <v>"C:\Program Files (x86)\AstroGrep\AstroGrep.exe" /e /r /s /spath="%USERPROFILE%\AppData\Local\Temp\OnboardLogs" /stypes="app*4058*20170730*"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147-30 --locoid 4058 --swversion DE.1.0.9.0 --startMP 204:1475 --initTime 2017-07-30T09:22:29 --startdatetime 2017-07-30T09:31:40 --delay 1 --endMP 204:233270 --enddatetime 2017-07-30T10:19:02 --enforcementcount 0 &gt;&gt;C:\Users\stu\Documents\GitHub\eaglep3-reporting\EC\2017-07-30-refined-times.txt</v>
      </c>
      <c r="AI58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{"issue":{"subject":"","project_id":79,"tracker_id":40,"status_id":1,"priority_id":2,"assigned_to_id":23,"start_date":"2017-07-30","description":"","custom_fields":[{"id":1,"name":"Subdivision","value":"EC"},{"id":4,"name":"Milepost","value":"23.327"},{"id":17,"name":"Train ID","value":"147-30"},{"id":16,"name":"Locomotive ID","value":"4058"},{"id":130,"name":"Impact","value":""},{"id":150,"name":"Time of Event (Mountain Time)","value":"10:19:02"},{"id":151,"name":"Denver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4058 --day 2017-07-30</v>
      </c>
      <c r="AN58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16:19:02"},{"id":29,"name":"Sharepoint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752</v>
      </c>
      <c r="B59" s="7">
        <v>4057</v>
      </c>
      <c r="C59" s="21" t="s">
        <v>198</v>
      </c>
      <c r="D59" s="21" t="s">
        <v>514</v>
      </c>
      <c r="E59" s="13">
        <v>42946.43550925926</v>
      </c>
      <c r="F59" s="13">
        <v>42946.438101851854</v>
      </c>
      <c r="G59" s="7">
        <v>1</v>
      </c>
      <c r="H59" s="21" t="s">
        <v>342</v>
      </c>
      <c r="I59" s="13">
        <v>42946.472534722219</v>
      </c>
      <c r="J59" s="7">
        <v>0</v>
      </c>
      <c r="K59" s="89" t="str">
        <f t="shared" si="0"/>
        <v>4057/4058</v>
      </c>
      <c r="L59" s="21" t="str">
        <f>VLOOKUP(A59,'Trips&amp;Operators'!$C$1:$G$99999,5,FALSE)</f>
        <v>CHANDLER KELVIN</v>
      </c>
      <c r="M59" s="6">
        <f t="shared" si="1"/>
        <v>3.4432870364980772E-2</v>
      </c>
      <c r="N59" s="7">
        <f t="shared" si="23"/>
        <v>49.583333325572312</v>
      </c>
      <c r="O59" s="7"/>
      <c r="P59" s="7"/>
      <c r="Q59" s="22"/>
      <c r="R59" s="170"/>
      <c r="S59" s="213">
        <f t="shared" si="3"/>
        <v>1</v>
      </c>
      <c r="T59" s="195" t="str">
        <f t="shared" si="4"/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-07-30T09:27:08-0600',mode:absolute,to:'2017-07-30T12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9" s="197" t="str">
        <f>IF(AA59&lt;VLOOKUP(AG59,Variables!$AC$3:$AD$8,2,FALSE),"Y","N")</f>
        <v>N</v>
      </c>
      <c r="X59" s="197">
        <f t="shared" si="24"/>
        <v>1</v>
      </c>
      <c r="Y59" s="197">
        <f t="shared" si="7"/>
        <v>23.298100000000002</v>
      </c>
      <c r="Z59" s="197">
        <f t="shared" si="8"/>
        <v>1.49E-2</v>
      </c>
      <c r="AA59" s="197">
        <f t="shared" si="9"/>
        <v>23.283200000000001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148</v>
      </c>
      <c r="AE59" s="77" t="str">
        <f t="shared" si="11"/>
        <v>aws s3 cp s3://rtdc.mdm.uploadarchive.raw/RTDC4057/ "%USERPROFILE%\AppData\Local\Temp\OnboardLogs"\RTDC4057\2017-07-30 --exclude "*" --recursive --include "*20170730*" &amp; "%USERPROFILE%\Documents\GitHub\mrs-test-scripts\Headless Mode &amp; Sideloading\WalkAndUnGZ.bat" "%USERPROFILE%\AppData\Local\Temp\OnboardLogs"\RTDC4057\2017-07-30 &amp; aws s3 cp s3://rtdc.mdm.uploadarchive.raw/RTDC4057/ "%USERPROFILE%\AppData\Local\Temp\OnboardLogs"\RTDC4057\2017-07-31 --exclude "*" --recursive --include "*20170731*" &amp; "%USERPROFILE%\Documents\GitHub\mrs-test-scripts\Headless Mode &amp; Sideloading\WalkAndUnGZ.bat" "%USERPROFILE%\AppData\Local\Temp\OnboardLogs"\RTDC4057\2017-07-31</v>
      </c>
      <c r="AF59" s="74" t="str">
        <f t="shared" si="12"/>
        <v>"C:\Program Files (x86)\AstroGrep\AstroGrep.exe" /e /r /s /spath="%USERPROFILE%\AppData\Local\Temp\OnboardLogs" /stypes="app*4057*20170730*" /stext=" 17:.+((SYSTEM_STATE.+slice.+state.+changed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148-30 --locoid 4057 --swversion DE.1.0.9.0 --startMP 204:232981 --initTime 2017-07-30T10:27:08 --startdatetime 2017-07-30T10:30:52 --delay 1 --endMP 204:149 --enddatetime 2017-07-30T11:20:27 --enforcementcount 0 &gt;&gt;C:\Users\stu\Documents\GitHub\eaglep3-reporting\EC\2017-07-30-refined-times.txt</v>
      </c>
      <c r="AI59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{"issue":{"subject":"","project_id":79,"tracker_id":40,"status_id":1,"priority_id":2,"assigned_to_id":23,"start_date":"2017-07-30","description":"","custom_fields":[{"id":1,"name":"Subdivision","value":"EC"},{"id":4,"name":"Milepost","value":"0.0149"},{"id":17,"name":"Train ID","value":"148-30"},{"id":16,"name":"Locomotive ID","value":"4057"},{"id":130,"name":"Impact","value":""},{"id":150,"name":"Time of Event (Mountain Time)","value":"11:20:27"},{"id":151,"name":"Denver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4057 --day 2017-07-30</v>
      </c>
      <c r="AN59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17:20:27"},{"id":29,"name":"Sharepoint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742</v>
      </c>
      <c r="B60" s="7">
        <v>4066</v>
      </c>
      <c r="C60" s="21" t="s">
        <v>198</v>
      </c>
      <c r="D60" s="21" t="s">
        <v>515</v>
      </c>
      <c r="E60" s="13">
        <v>42946.401898148149</v>
      </c>
      <c r="F60" s="13">
        <v>42946.406828703701</v>
      </c>
      <c r="G60" s="7">
        <v>1</v>
      </c>
      <c r="H60" s="21" t="s">
        <v>896</v>
      </c>
      <c r="I60" s="13">
        <v>42946.438194444447</v>
      </c>
      <c r="J60" s="7">
        <v>0</v>
      </c>
      <c r="K60" s="89" t="str">
        <f t="shared" si="0"/>
        <v>4065/4066</v>
      </c>
      <c r="L60" s="21" t="str">
        <f>VLOOKUP(A60,'Trips&amp;Operators'!$C$1:$G$99999,5,FALSE)</f>
        <v>DAVIS WENDY</v>
      </c>
      <c r="M60" s="6">
        <f t="shared" si="1"/>
        <v>3.1365740745968651E-2</v>
      </c>
      <c r="N60" s="7">
        <f t="shared" si="23"/>
        <v>45.166666674194857</v>
      </c>
      <c r="O60" s="7"/>
      <c r="P60" s="7"/>
      <c r="Q60" s="22"/>
      <c r="R60" s="170"/>
      <c r="S60" s="213">
        <f t="shared" si="3"/>
        <v>1</v>
      </c>
      <c r="T60" s="195" t="str">
        <f t="shared" si="4"/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-07-30T08:38:44-0600',mode:absolute,to:'2017-07-30T11:31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0" s="197" t="str">
        <f>IF(AA60&lt;VLOOKUP(AG60,Variables!$AC$3:$AD$8,2,FALSE),"Y","N")</f>
        <v>N</v>
      </c>
      <c r="X60" s="197">
        <f t="shared" si="24"/>
        <v>1</v>
      </c>
      <c r="Y60" s="197">
        <f t="shared" si="7"/>
        <v>4.6899999999999997E-2</v>
      </c>
      <c r="Z60" s="197">
        <f t="shared" si="8"/>
        <v>23.331800000000001</v>
      </c>
      <c r="AA60" s="197">
        <f t="shared" si="9"/>
        <v>23.2849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149</v>
      </c>
      <c r="AE60" s="77" t="str">
        <f t="shared" si="11"/>
        <v>aws s3 cp s3://rtdc.mdm.uploadarchive.raw/RTDC4066/ "%USERPROFILE%\AppData\Local\Temp\OnboardLogs"\RTDC4066\2017-07-30 --exclude "*" --recursive --include "*20170730*" &amp; "%USERPROFILE%\Documents\GitHub\mrs-test-scripts\Headless Mode &amp; Sideloading\WalkAndUnGZ.bat" "%USERPROFILE%\AppData\Local\Temp\OnboardLogs"\RTDC4066\2017-07-30 &amp; aws s3 cp s3://rtdc.mdm.uploadarchive.raw/RTDC4066/ "%USERPROFILE%\AppData\Local\Temp\OnboardLogs"\RTDC4066\2017-07-31 --exclude "*" --recursive --include "*20170731*" &amp; "%USERPROFILE%\Documents\GitHub\mrs-test-scripts\Headless Mode &amp; Sideloading\WalkAndUnGZ.bat" "%USERPROFILE%\AppData\Local\Temp\OnboardLogs"\RTDC4066\2017-07-31</v>
      </c>
      <c r="AF60" s="74" t="str">
        <f t="shared" si="12"/>
        <v>"C:\Program Files (x86)\AstroGrep\AstroGrep.exe" /e /r /s /spath="%USERPROFILE%\AppData\Local\Temp\OnboardLogs" /stypes="app*4066*20170730*" /stext=" 16:.+((SYSTEM_STATE.+slice.+state.+changed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149-30 --locoid 4066 --swversion DE.1.0.9.0 --startMP 204:469 --initTime 2017-07-30T09:38:44 --startdatetime 2017-07-30T09:45:50 --delay 1 --endMP 204:233318 --enddatetime 2017-07-30T10:31:00 --enforcementcount 0 &gt;&gt;C:\Users\stu\Documents\GitHub\eaglep3-reporting\EC\2017-07-30-refined-times.txt</v>
      </c>
      <c r="AI60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{"issue":{"subject":"","project_id":79,"tracker_id":40,"status_id":1,"priority_id":2,"assigned_to_id":23,"start_date":"2017-07-30","description":"","custom_fields":[{"id":1,"name":"Subdivision","value":"EC"},{"id":4,"name":"Milepost","value":"23.3318"},{"id":17,"name":"Train ID","value":"149-30"},{"id":16,"name":"Locomotive ID","value":"4066"},{"id":130,"name":"Impact","value":""},{"id":150,"name":"Time of Event (Mountain Time)","value":"10:31:00"},{"id":151,"name":"Denver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4066 --day 2017-07-30</v>
      </c>
      <c r="AN60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16:31:00"},{"id":29,"name":"Sharepoint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755</v>
      </c>
      <c r="B61" s="7">
        <v>4065</v>
      </c>
      <c r="C61" s="21" t="s">
        <v>198</v>
      </c>
      <c r="D61" s="21" t="s">
        <v>897</v>
      </c>
      <c r="E61" s="13">
        <v>42946.44394675926</v>
      </c>
      <c r="F61" s="13">
        <v>42946.445983796293</v>
      </c>
      <c r="G61" s="7">
        <v>1</v>
      </c>
      <c r="H61" s="21" t="s">
        <v>522</v>
      </c>
      <c r="I61" s="13">
        <v>42946.479513888888</v>
      </c>
      <c r="J61" s="7">
        <v>0</v>
      </c>
      <c r="K61" s="89" t="str">
        <f t="shared" si="0"/>
        <v>4065/4066</v>
      </c>
      <c r="L61" s="21" t="str">
        <f>VLOOKUP(A61,'Trips&amp;Operators'!$C$1:$G$99999,5,FALSE)</f>
        <v>DAVIS WENDY</v>
      </c>
      <c r="M61" s="6">
        <f t="shared" si="1"/>
        <v>3.3530092594446614E-2</v>
      </c>
      <c r="N61" s="7">
        <f t="shared" si="23"/>
        <v>48.283333336003125</v>
      </c>
      <c r="O61" s="7"/>
      <c r="P61" s="7"/>
      <c r="Q61" s="22"/>
      <c r="R61" s="170"/>
      <c r="S61" s="213">
        <f t="shared" si="3"/>
        <v>1</v>
      </c>
      <c r="T61" s="195" t="str">
        <f t="shared" si="4"/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-07-30T09:39:17-0600',mode:absolute,to:'2017-07-30T12:30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1" s="197" t="str">
        <f>IF(AA61&lt;VLOOKUP(AG61,Variables!$AC$3:$AD$8,2,FALSE),"Y","N")</f>
        <v>N</v>
      </c>
      <c r="X61" s="197">
        <f t="shared" si="24"/>
        <v>1</v>
      </c>
      <c r="Y61" s="197">
        <f t="shared" si="7"/>
        <v>23.298400000000001</v>
      </c>
      <c r="Z61" s="197">
        <f t="shared" si="8"/>
        <v>0.1164</v>
      </c>
      <c r="AA61" s="197">
        <f t="shared" si="9"/>
        <v>23.182000000000002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150</v>
      </c>
      <c r="AE61" s="77" t="str">
        <f t="shared" si="11"/>
        <v>aws s3 cp s3://rtdc.mdm.uploadarchive.raw/RTDC4065/ "%USERPROFILE%\AppData\Local\Temp\OnboardLogs"\RTDC4065\2017-07-30 --exclude "*" --recursive --include "*20170730*" &amp; "%USERPROFILE%\Documents\GitHub\mrs-test-scripts\Headless Mode &amp; Sideloading\WalkAndUnGZ.bat" "%USERPROFILE%\AppData\Local\Temp\OnboardLogs"\RTDC4065\2017-07-30 &amp; aws s3 cp s3://rtdc.mdm.uploadarchive.raw/RTDC4065/ "%USERPROFILE%\AppData\Local\Temp\OnboardLogs"\RTDC4065\2017-07-31 --exclude "*" --recursive --include "*20170731*" &amp; "%USERPROFILE%\Documents\GitHub\mrs-test-scripts\Headless Mode &amp; Sideloading\WalkAndUnGZ.bat" "%USERPROFILE%\AppData\Local\Temp\OnboardLogs"\RTDC4065\2017-07-31</v>
      </c>
      <c r="AF61" s="74" t="str">
        <f t="shared" si="12"/>
        <v>"C:\Program Files (x86)\AstroGrep\AstroGrep.exe" /e /r /s /spath="%USERPROFILE%\AppData\Local\Temp\OnboardLogs" /stypes="app*4065*20170730*" /stext=" 17:.+((SYSTEM_STATE.+slice.+state.+changed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150-30 --locoid 4065 --swversion DE.1.0.9.0 --startMP 204:232984 --initTime 2017-07-30T10:39:17 --startdatetime 2017-07-30T10:42:13 --delay 1 --endMP 204:1164 --enddatetime 2017-07-30T11:30:30 --enforcementcount 0 &gt;&gt;C:\Users\stu\Documents\GitHub\eaglep3-reporting\EC\2017-07-30-refined-times.txt</v>
      </c>
      <c r="AI61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{"issue":{"subject":"","project_id":79,"tracker_id":40,"status_id":1,"priority_id":2,"assigned_to_id":23,"start_date":"2017-07-30","description":"","custom_fields":[{"id":1,"name":"Subdivision","value":"EC"},{"id":4,"name":"Milepost","value":"0.1164"},{"id":17,"name":"Train ID","value":"150-30"},{"id":16,"name":"Locomotive ID","value":"4065"},{"id":130,"name":"Impact","value":""},{"id":150,"name":"Time of Event (Mountain Time)","value":"11:30:30"},{"id":151,"name":"Denver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4065 --day 2017-07-30</v>
      </c>
      <c r="AN61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17:30:30"},{"id":29,"name":"Sharepoint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744</v>
      </c>
      <c r="B62" s="7">
        <v>4030</v>
      </c>
      <c r="C62" s="21" t="s">
        <v>198</v>
      </c>
      <c r="D62" s="21" t="s">
        <v>515</v>
      </c>
      <c r="E62" s="13">
        <v>42946.411979166667</v>
      </c>
      <c r="F62" s="13">
        <v>42946.417175925926</v>
      </c>
      <c r="G62" s="7">
        <v>1</v>
      </c>
      <c r="H62" s="21" t="s">
        <v>898</v>
      </c>
      <c r="I62" s="13">
        <v>42946.445706018516</v>
      </c>
      <c r="J62" s="7">
        <v>0</v>
      </c>
      <c r="K62" s="89" t="str">
        <f t="shared" si="0"/>
        <v>4029/4030</v>
      </c>
      <c r="L62" s="21" t="str">
        <f>VLOOKUP(A62,'Trips&amp;Operators'!$C$1:$G$99999,5,FALSE)</f>
        <v>LALONDE GREGORY</v>
      </c>
      <c r="M62" s="6">
        <f t="shared" si="1"/>
        <v>2.8530092589790002E-2</v>
      </c>
      <c r="N62" s="7">
        <f t="shared" si="23"/>
        <v>41.083333329297602</v>
      </c>
      <c r="O62" s="7"/>
      <c r="P62" s="7"/>
      <c r="Q62" s="22"/>
      <c r="R62" s="170"/>
      <c r="S62" s="213">
        <f t="shared" si="3"/>
        <v>1</v>
      </c>
      <c r="T62" s="195" t="str">
        <f t="shared" si="4"/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-07-30T08:53:15-0600',mode:absolute,to:'2017-07-30T11:41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2" s="197" t="str">
        <f>IF(AA62&lt;VLOOKUP(AG62,Variables!$AC$3:$AD$8,2,FALSE),"Y","N")</f>
        <v>N</v>
      </c>
      <c r="X62" s="197">
        <f t="shared" si="24"/>
        <v>1</v>
      </c>
      <c r="Y62" s="197">
        <f t="shared" si="7"/>
        <v>4.6899999999999997E-2</v>
      </c>
      <c r="Z62" s="197">
        <f t="shared" si="8"/>
        <v>23.333100000000002</v>
      </c>
      <c r="AA62" s="197">
        <f t="shared" si="9"/>
        <v>23.286200000000001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151</v>
      </c>
      <c r="AE62" s="77" t="str">
        <f t="shared" si="11"/>
        <v>aws s3 cp s3://rtdc.mdm.uploadarchive.raw/RTDC4030/ "%USERPROFILE%\AppData\Local\Temp\OnboardLogs"\RTDC4030\2017-07-30 --exclude "*" --recursive --include "*20170730*" &amp; "%USERPROFILE%\Documents\GitHub\mrs-test-scripts\Headless Mode &amp; Sideloading\WalkAndUnGZ.bat" "%USERPROFILE%\AppData\Local\Temp\OnboardLogs"\RTDC4030\2017-07-30 &amp; aws s3 cp s3://rtdc.mdm.uploadarchive.raw/RTDC4030/ "%USERPROFILE%\AppData\Local\Temp\OnboardLogs"\RTDC4030\2017-07-31 --exclude "*" --recursive --include "*20170731*" &amp; "%USERPROFILE%\Documents\GitHub\mrs-test-scripts\Headless Mode &amp; Sideloading\WalkAndUnGZ.bat" "%USERPROFILE%\AppData\Local\Temp\OnboardLogs"\RTDC4030\2017-07-31</v>
      </c>
      <c r="AF62" s="74" t="str">
        <f t="shared" si="12"/>
        <v>"C:\Program Files (x86)\AstroGrep\AstroGrep.exe" /e /r /s /spath="%USERPROFILE%\AppData\Local\Temp\OnboardLogs" /stypes="app*4030*20170730*" /stext=" 16:.+((SYSTEM_STATE.+slice.+state.+changed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151-30 --locoid 4030 --swversion DE.1.0.9.0 --startMP 204:469 --initTime 2017-07-30T09:53:15 --startdatetime 2017-07-30T10:00:44 --delay 1 --endMP 204:233331 --enddatetime 2017-07-30T10:41:49 --enforcementcount 0 &gt;&gt;C:\Users\stu\Documents\GitHub\eaglep3-reporting\EC\2017-07-30-refined-times.txt</v>
      </c>
      <c r="AI62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{"issue":{"subject":"","project_id":79,"tracker_id":40,"status_id":1,"priority_id":2,"assigned_to_id":23,"start_date":"2017-07-30","description":"","custom_fields":[{"id":1,"name":"Subdivision","value":"EC"},{"id":4,"name":"Milepost","value":"23.3331"},{"id":17,"name":"Train ID","value":"151-30"},{"id":16,"name":"Locomotive ID","value":"4030"},{"id":130,"name":"Impact","value":""},{"id":150,"name":"Time of Event (Mountain Time)","value":"10:41:49"},{"id":151,"name":"Denver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4030 --day 2017-07-30</v>
      </c>
      <c r="AN62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16:41:49"},{"id":29,"name":"Sharepoint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758</v>
      </c>
      <c r="B63" s="7">
        <v>4029</v>
      </c>
      <c r="C63" s="21" t="s">
        <v>198</v>
      </c>
      <c r="D63" s="21" t="s">
        <v>899</v>
      </c>
      <c r="E63" s="13">
        <v>42946.448611111111</v>
      </c>
      <c r="F63" s="13">
        <v>42946.456550925926</v>
      </c>
      <c r="G63" s="7">
        <v>1</v>
      </c>
      <c r="H63" s="21" t="s">
        <v>519</v>
      </c>
      <c r="I63" s="13">
        <v>42946.48609953704</v>
      </c>
      <c r="J63" s="7">
        <v>0</v>
      </c>
      <c r="K63" s="89" t="str">
        <f t="shared" si="0"/>
        <v>4029/4030</v>
      </c>
      <c r="L63" s="21" t="str">
        <f>VLOOKUP(A63,'Trips&amp;Operators'!$C$1:$G$99999,5,FALSE)</f>
        <v>LALONDE GREGORY</v>
      </c>
      <c r="M63" s="6">
        <f t="shared" si="1"/>
        <v>2.9548611113568768E-2</v>
      </c>
      <c r="N63" s="7">
        <f t="shared" si="23"/>
        <v>42.550000003539026</v>
      </c>
      <c r="O63" s="7"/>
      <c r="P63" s="7"/>
      <c r="Q63" s="22"/>
      <c r="R63" s="170"/>
      <c r="S63" s="213">
        <f t="shared" si="3"/>
        <v>1</v>
      </c>
      <c r="T63" s="195" t="str">
        <f t="shared" si="4"/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-07-30T09:46:00-0600',mode:absolute,to:'2017-07-30T12:39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3" s="197" t="str">
        <f>IF(AA63&lt;VLOOKUP(AG63,Variables!$AC$3:$AD$8,2,FALSE),"Y","N")</f>
        <v>N</v>
      </c>
      <c r="X63" s="197">
        <f t="shared" si="24"/>
        <v>1</v>
      </c>
      <c r="Y63" s="197">
        <f t="shared" si="7"/>
        <v>23.302299999999999</v>
      </c>
      <c r="Z63" s="197">
        <f t="shared" si="8"/>
        <v>1.67E-2</v>
      </c>
      <c r="AA63" s="197">
        <f t="shared" si="9"/>
        <v>23.285599999999999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152</v>
      </c>
      <c r="AE63" s="77" t="str">
        <f t="shared" si="11"/>
        <v>aws s3 cp s3://rtdc.mdm.uploadarchive.raw/RTDC4029/ "%USERPROFILE%\AppData\Local\Temp\OnboardLogs"\RTDC4029\2017-07-30 --exclude "*" --recursive --include "*20170730*" &amp; "%USERPROFILE%\Documents\GitHub\mrs-test-scripts\Headless Mode &amp; Sideloading\WalkAndUnGZ.bat" "%USERPROFILE%\AppData\Local\Temp\OnboardLogs"\RTDC4029\2017-07-30 &amp; aws s3 cp s3://rtdc.mdm.uploadarchive.raw/RTDC4029/ "%USERPROFILE%\AppData\Local\Temp\OnboardLogs"\RTDC4029\2017-07-31 --exclude "*" --recursive --include "*20170731*" &amp; "%USERPROFILE%\Documents\GitHub\mrs-test-scripts\Headless Mode &amp; Sideloading\WalkAndUnGZ.bat" "%USERPROFILE%\AppData\Local\Temp\OnboardLogs"\RTDC4029\2017-07-31</v>
      </c>
      <c r="AF63" s="74" t="str">
        <f t="shared" si="12"/>
        <v>"C:\Program Files (x86)\AstroGrep\AstroGrep.exe" /e /r /s /spath="%USERPROFILE%\AppData\Local\Temp\OnboardLogs" /stypes="app*4029*20170730*" /stext=" 17:.+((SYSTEM_STATE.+slice.+state.+changed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152-30 --locoid 4029 --swversion DE.1.0.9.0 --startMP 204:233023 --initTime 2017-07-30T10:46:00 --startdatetime 2017-07-30T10:57:26 --delay 1 --endMP 204:167 --enddatetime 2017-07-30T11:39:59 --enforcementcount 0 &gt;&gt;C:\Users\stu\Documents\GitHub\eaglep3-reporting\EC\2017-07-30-refined-times.txt</v>
      </c>
      <c r="AI63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{"issue":{"subject":"","project_id":79,"tracker_id":40,"status_id":1,"priority_id":2,"assigned_to_id":23,"start_date":"2017-07-30","description":"","custom_fields":[{"id":1,"name":"Subdivision","value":"EC"},{"id":4,"name":"Milepost","value":"0.0167"},{"id":17,"name":"Train ID","value":"152-30"},{"id":16,"name":"Locomotive ID","value":"4029"},{"id":130,"name":"Impact","value":""},{"id":150,"name":"Time of Event (Mountain Time)","value":"11:39:59"},{"id":151,"name":"Denver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4029 --day 2017-07-30</v>
      </c>
      <c r="AN63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17:39:59"},{"id":29,"name":"Sharepoint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746</v>
      </c>
      <c r="B64" s="7">
        <v>4004</v>
      </c>
      <c r="C64" s="21" t="s">
        <v>198</v>
      </c>
      <c r="D64" s="21" t="s">
        <v>467</v>
      </c>
      <c r="E64" s="13">
        <v>42946.417500000003</v>
      </c>
      <c r="F64" s="13">
        <v>42946.427627314813</v>
      </c>
      <c r="G64" s="7">
        <v>1</v>
      </c>
      <c r="H64" s="21" t="s">
        <v>900</v>
      </c>
      <c r="I64" s="13">
        <v>42946.455821759257</v>
      </c>
      <c r="J64" s="7">
        <v>0</v>
      </c>
      <c r="K64" s="89" t="str">
        <f t="shared" si="0"/>
        <v>4003/4004</v>
      </c>
      <c r="L64" s="21" t="str">
        <f>VLOOKUP(A64,'Trips&amp;Operators'!$C$1:$G$99999,5,FALSE)</f>
        <v>SULLIVAN BRANDON</v>
      </c>
      <c r="M64" s="6">
        <f t="shared" si="1"/>
        <v>2.8194444443215616E-2</v>
      </c>
      <c r="N64" s="7">
        <f t="shared" si="23"/>
        <v>40.599999998230487</v>
      </c>
      <c r="O64" s="7"/>
      <c r="P64" s="7"/>
      <c r="Q64" s="22"/>
      <c r="R64" s="170"/>
      <c r="S64" s="213">
        <f t="shared" si="3"/>
        <v>1</v>
      </c>
      <c r="T64" s="195" t="str">
        <f t="shared" si="4"/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-07-30T09:01:12-0600',mode:absolute,to:'2017-07-30T11:56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4" s="197" t="str">
        <f>IF(AA64&lt;VLOOKUP(AG64,Variables!$AC$3:$AD$8,2,FALSE),"Y","N")</f>
        <v>N</v>
      </c>
      <c r="X64" s="197">
        <f t="shared" si="24"/>
        <v>1</v>
      </c>
      <c r="Y64" s="197">
        <f t="shared" si="7"/>
        <v>4.3799999999999999E-2</v>
      </c>
      <c r="Z64" s="197">
        <f t="shared" si="8"/>
        <v>23.3353</v>
      </c>
      <c r="AA64" s="197">
        <f t="shared" si="9"/>
        <v>23.291499999999999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153</v>
      </c>
      <c r="AE64" s="77" t="str">
        <f t="shared" si="11"/>
        <v>aws s3 cp s3://rtdc.mdm.uploadarchive.raw/RTDC4004/ "%USERPROFILE%\AppData\Local\Temp\OnboardLogs"\RTDC4004\2017-07-30 --exclude "*" --recursive --include "*20170730*" &amp; "%USERPROFILE%\Documents\GitHub\mrs-test-scripts\Headless Mode &amp; Sideloading\WalkAndUnGZ.bat" "%USERPROFILE%\AppData\Local\Temp\OnboardLogs"\RTDC4004\2017-07-30 &amp; aws s3 cp s3://rtdc.mdm.uploadarchive.raw/RTDC4004/ "%USERPROFILE%\AppData\Local\Temp\OnboardLogs"\RTDC4004\2017-07-31 --exclude "*" --recursive --include "*20170731*" &amp; "%USERPROFILE%\Documents\GitHub\mrs-test-scripts\Headless Mode &amp; Sideloading\WalkAndUnGZ.bat" "%USERPROFILE%\AppData\Local\Temp\OnboardLogs"\RTDC4004\2017-07-31</v>
      </c>
      <c r="AF64" s="74" t="str">
        <f t="shared" si="12"/>
        <v>"C:\Program Files (x86)\AstroGrep\AstroGrep.exe" /e /r /s /spath="%USERPROFILE%\AppData\Local\Temp\OnboardLogs" /stypes="app*4004*20170730*" /stext=" 16:.+((SYSTEM_STATE.+slice.+state.+changed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153-30 --locoid 4004 --swversion DE.1.0.9.0 --startMP 204:438 --initTime 2017-07-30T10:01:12 --startdatetime 2017-07-30T10:15:47 --delay 1 --endMP 204:233353 --enddatetime 2017-07-30T10:56:23 --enforcementcount 0 &gt;&gt;C:\Users\stu\Documents\GitHub\eaglep3-reporting\EC\2017-07-30-refined-times.txt</v>
      </c>
      <c r="AI64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{"issue":{"subject":"","project_id":79,"tracker_id":40,"status_id":1,"priority_id":2,"assigned_to_id":23,"start_date":"2017-07-30","description":"","custom_fields":[{"id":1,"name":"Subdivision","value":"EC"},{"id":4,"name":"Milepost","value":"23.3353"},{"id":17,"name":"Train ID","value":"153-30"},{"id":16,"name":"Locomotive ID","value":"4004"},{"id":130,"name":"Impact","value":""},{"id":150,"name":"Time of Event (Mountain Time)","value":"10:56:23"},{"id":151,"name":"Denver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4004 --day 2017-07-30</v>
      </c>
      <c r="AN64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16:56:23"},{"id":29,"name":"Sharepoint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629</v>
      </c>
      <c r="B65" s="7">
        <v>4003</v>
      </c>
      <c r="C65" s="21" t="s">
        <v>198</v>
      </c>
      <c r="D65" s="21" t="s">
        <v>901</v>
      </c>
      <c r="E65" s="13">
        <v>42946.463356481479</v>
      </c>
      <c r="F65" s="13">
        <v>42946.466828703706</v>
      </c>
      <c r="G65" s="7">
        <v>2</v>
      </c>
      <c r="H65" s="21" t="s">
        <v>342</v>
      </c>
      <c r="I65" s="13">
        <v>42946.498043981483</v>
      </c>
      <c r="J65" s="7">
        <v>0</v>
      </c>
      <c r="K65" s="89" t="str">
        <f t="shared" si="0"/>
        <v>4003/4004</v>
      </c>
      <c r="L65" s="21" t="str">
        <f>VLOOKUP(A65,'Trips&amp;Operators'!$C$1:$G$99999,5,FALSE)</f>
        <v>SULLIVAN BRANDON</v>
      </c>
      <c r="M65" s="6">
        <f t="shared" si="1"/>
        <v>3.1215277776937E-2</v>
      </c>
      <c r="N65" s="7">
        <f t="shared" si="23"/>
        <v>44.949999998789281</v>
      </c>
      <c r="O65" s="7"/>
      <c r="P65" s="7"/>
      <c r="Q65" s="22"/>
      <c r="R65" s="170"/>
      <c r="S65" s="213">
        <f t="shared" si="3"/>
        <v>1</v>
      </c>
      <c r="T65" s="195" t="str">
        <f t="shared" si="4"/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-07-30T10:07:14-0600',mode:absolute,to:'2017-07-30T12:57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5" s="197" t="str">
        <f>IF(AA65&lt;VLOOKUP(AG65,Variables!$AC$3:$AD$8,2,FALSE),"Y","N")</f>
        <v>N</v>
      </c>
      <c r="X65" s="197">
        <f t="shared" si="24"/>
        <v>1</v>
      </c>
      <c r="Y65" s="197">
        <f t="shared" si="7"/>
        <v>23.303599999999999</v>
      </c>
      <c r="Z65" s="197">
        <f t="shared" si="8"/>
        <v>1.49E-2</v>
      </c>
      <c r="AA65" s="197">
        <f t="shared" si="9"/>
        <v>23.288699999999999</v>
      </c>
      <c r="AB65" s="54" t="str">
        <f>VLOOKUP(A65,Enforcements!$C$7:$K$13,8,0)</f>
        <v>Bulletin (2)</v>
      </c>
      <c r="AC65" s="51" t="str">
        <f>VLOOKUP(A65,Enforcements!$C$7:$E$13,3,0)</f>
        <v>GRADE CROSSING</v>
      </c>
      <c r="AD65" s="206">
        <f t="shared" si="10"/>
        <v>154</v>
      </c>
      <c r="AE65" s="77" t="str">
        <f t="shared" si="11"/>
        <v>aws s3 cp s3://rtdc.mdm.uploadarchive.raw/RTDC4003/ "%USERPROFILE%\AppData\Local\Temp\OnboardLogs"\RTDC4003\2017-07-30 --exclude "*" --recursive --include "*20170730*" &amp; "%USERPROFILE%\Documents\GitHub\mrs-test-scripts\Headless Mode &amp; Sideloading\WalkAndUnGZ.bat" "%USERPROFILE%\AppData\Local\Temp\OnboardLogs"\RTDC4003\2017-07-30 &amp; aws s3 cp s3://rtdc.mdm.uploadarchive.raw/RTDC4003/ "%USERPROFILE%\AppData\Local\Temp\OnboardLogs"\RTDC4003\2017-07-31 --exclude "*" --recursive --include "*20170731*" &amp; "%USERPROFILE%\Documents\GitHub\mrs-test-scripts\Headless Mode &amp; Sideloading\WalkAndUnGZ.bat" "%USERPROFILE%\AppData\Local\Temp\OnboardLogs"\RTDC4003\2017-07-31</v>
      </c>
      <c r="AF65" s="74" t="str">
        <f t="shared" si="12"/>
        <v>"C:\Program Files (x86)\AstroGrep\AstroGrep.exe" /e /r /s /spath="%USERPROFILE%\AppData\Local\Temp\OnboardLogs" /stypes="app*4003*20170730*" /stext=" 17:.+((SYSTEM_STATE.+slice.+state.+changed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154-30 --locoid 4003 --swversion DE.1.0.9.0 --startMP 204:233036 --initTime 2017-07-30T11:07:14 --startdatetime 2017-07-30T11:12:14 --delay 2 --endMP 204:149 --enddatetime 2017-07-30T11:57:11 --enforcementcount 0 &gt;&gt;C:\Users\stu\Documents\GitHub\eaglep3-reporting\EC\2017-07-30-refined-times.txt</v>
      </c>
      <c r="AI65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{"issue":{"subject":"","project_id":79,"tracker_id":40,"status_id":1,"priority_id":2,"assigned_to_id":23,"start_date":"2017-07-30","description":"","custom_fields":[{"id":1,"name":"Subdivision","value":"EC"},{"id":4,"name":"Milepost","value":"0.0149"},{"id":17,"name":"Train ID","value":"154-30"},{"id":16,"name":"Locomotive ID","value":"4003"},{"id":130,"name":"Impact","value":""},{"id":150,"name":"Time of Event (Mountain Time)","value":"11:57:11"},{"id":151,"name":"Denver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4003 --day 2017-07-30</v>
      </c>
      <c r="AN65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17:57:11"},{"id":29,"name":"Sharepoint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751</v>
      </c>
      <c r="B66" s="7">
        <v>4044</v>
      </c>
      <c r="C66" s="21" t="s">
        <v>198</v>
      </c>
      <c r="D66" s="21" t="s">
        <v>460</v>
      </c>
      <c r="E66" s="13">
        <v>42946.429907407408</v>
      </c>
      <c r="F66" s="13">
        <v>42946.438009259262</v>
      </c>
      <c r="G66" s="7">
        <v>1</v>
      </c>
      <c r="H66" s="21" t="s">
        <v>902</v>
      </c>
      <c r="I66" s="13">
        <v>42946.465960648151</v>
      </c>
      <c r="J66" s="7">
        <v>0</v>
      </c>
      <c r="K66" s="89" t="str">
        <f t="shared" si="0"/>
        <v>4043/4044</v>
      </c>
      <c r="L66" s="21" t="str">
        <f>VLOOKUP(A66,'Trips&amp;Operators'!$C$1:$G$99999,5,FALSE)</f>
        <v>LOPES KIMBERLY</v>
      </c>
      <c r="M66" s="6">
        <f t="shared" si="1"/>
        <v>2.7951388889050577E-2</v>
      </c>
      <c r="N66" s="7">
        <f t="shared" si="23"/>
        <v>40.250000000232831</v>
      </c>
      <c r="O66" s="7"/>
      <c r="P66" s="7"/>
      <c r="Q66" s="22"/>
      <c r="R66" s="170"/>
      <c r="S66" s="213">
        <f t="shared" si="3"/>
        <v>1</v>
      </c>
      <c r="T66" s="195" t="str">
        <f t="shared" si="4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-07-30T09:19:04-0600',mode:absolute,to:'2017-07-30T12:10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6" s="197" t="str">
        <f>IF(AA66&lt;VLOOKUP(AG66,Variables!$AC$3:$AD$8,2,FALSE),"Y","N")</f>
        <v>N</v>
      </c>
      <c r="X66" s="197">
        <f t="shared" si="24"/>
        <v>1</v>
      </c>
      <c r="Y66" s="197">
        <f t="shared" si="7"/>
        <v>4.3999999999999997E-2</v>
      </c>
      <c r="Z66" s="197">
        <f t="shared" si="8"/>
        <v>23.337800000000001</v>
      </c>
      <c r="AA66" s="197">
        <f t="shared" si="9"/>
        <v>23.293800000000001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155</v>
      </c>
      <c r="AE66" s="77" t="str">
        <f t="shared" si="11"/>
        <v>aws s3 cp s3://rtdc.mdm.uploadarchive.raw/RTDC4044/ "%USERPROFILE%\AppData\Local\Temp\OnboardLogs"\RTDC4044\2017-07-30 --exclude "*" --recursive --include "*20170730*" &amp; "%USERPROFILE%\Documents\GitHub\mrs-test-scripts\Headless Mode &amp; Sideloading\WalkAndUnGZ.bat" "%USERPROFILE%\AppData\Local\Temp\OnboardLogs"\RTDC4044\2017-07-30 &amp; aws s3 cp s3://rtdc.mdm.uploadarchive.raw/RTDC4044/ "%USERPROFILE%\AppData\Local\Temp\OnboardLogs"\RTDC4044\2017-07-31 --exclude "*" --recursive --include "*20170731*" &amp; "%USERPROFILE%\Documents\GitHub\mrs-test-scripts\Headless Mode &amp; Sideloading\WalkAndUnGZ.bat" "%USERPROFILE%\AppData\Local\Temp\OnboardLogs"\RTDC4044\2017-07-31</v>
      </c>
      <c r="AF66" s="74" t="str">
        <f t="shared" si="12"/>
        <v>"C:\Program Files (x86)\AstroGrep\AstroGrep.exe" /e /r /s /spath="%USERPROFILE%\AppData\Local\Temp\OnboardLogs" /stypes="app*4044*20170730*"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155-30 --locoid 4044 --swversion DE.1.0.9.0 --startMP 204:440 --initTime 2017-07-30T10:19:04 --startdatetime 2017-07-30T10:30:44 --delay 1 --endMP 204:233378 --enddatetime 2017-07-30T11:10:59 --enforcementcount 0 &gt;&gt;C:\Users\stu\Documents\GitHub\eaglep3-reporting\EC\2017-07-30-refined-times.txt</v>
      </c>
      <c r="AI66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{"issue":{"subject":"","project_id":79,"tracker_id":40,"status_id":1,"priority_id":2,"assigned_to_id":23,"start_date":"2017-07-30","description":"","custom_fields":[{"id":1,"name":"Subdivision","value":"EC"},{"id":4,"name":"Milepost","value":"23.3378"},{"id":17,"name":"Train ID","value":"155-30"},{"id":16,"name":"Locomotive ID","value":"4044"},{"id":130,"name":"Impact","value":""},{"id":150,"name":"Time of Event (Mountain Time)","value":"11:10:59"},{"id":151,"name":"Denver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4044 --day 2017-07-30</v>
      </c>
      <c r="AN66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17:10:59"},{"id":29,"name":"Sharepoint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630</v>
      </c>
      <c r="B67" s="7">
        <v>4043</v>
      </c>
      <c r="C67" s="21" t="s">
        <v>198</v>
      </c>
      <c r="D67" s="21" t="s">
        <v>903</v>
      </c>
      <c r="E67" s="13">
        <v>42946.474849537037</v>
      </c>
      <c r="F67" s="13">
        <v>42946.477280092593</v>
      </c>
      <c r="G67" s="7">
        <v>1</v>
      </c>
      <c r="H67" s="21" t="s">
        <v>904</v>
      </c>
      <c r="I67" s="13">
        <v>42946.507337962961</v>
      </c>
      <c r="J67" s="7">
        <v>0</v>
      </c>
      <c r="K67" s="89" t="str">
        <f t="shared" si="0"/>
        <v>4043/4044</v>
      </c>
      <c r="L67" s="21" t="str">
        <f>VLOOKUP(A67,'Trips&amp;Operators'!$C$1:$G$99999,5,FALSE)</f>
        <v>LOPES KIMBERLY</v>
      </c>
      <c r="M67" s="6">
        <f t="shared" si="1"/>
        <v>3.0057870368182193E-2</v>
      </c>
      <c r="N67" s="7">
        <f t="shared" si="23"/>
        <v>43.283333330182359</v>
      </c>
      <c r="O67" s="7"/>
      <c r="P67" s="7"/>
      <c r="Q67" s="22"/>
      <c r="R67" s="170"/>
      <c r="S67" s="213">
        <f t="shared" si="3"/>
        <v>1</v>
      </c>
      <c r="T67" s="195" t="str">
        <f t="shared" si="4"/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-07-30T10:23:47-0600',mode:absolute,to:'2017-07-30T13:10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7" s="197" t="str">
        <f>IF(AA67&lt;VLOOKUP(AG67,Variables!$AC$3:$AD$8,2,FALSE),"Y","N")</f>
        <v>N</v>
      </c>
      <c r="X67" s="197">
        <f t="shared" si="24"/>
        <v>1</v>
      </c>
      <c r="Y67" s="197">
        <f t="shared" si="7"/>
        <v>23.3066</v>
      </c>
      <c r="Z67" s="197">
        <f t="shared" si="8"/>
        <v>2.1600000000000001E-2</v>
      </c>
      <c r="AA67" s="197">
        <f t="shared" si="9"/>
        <v>23.285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156</v>
      </c>
      <c r="AE67" s="77" t="str">
        <f t="shared" si="11"/>
        <v>aws s3 cp s3://rtdc.mdm.uploadarchive.raw/RTDC4043/ "%USERPROFILE%\AppData\Local\Temp\OnboardLogs"\RTDC4043\2017-07-30 --exclude "*" --recursive --include "*20170730*" &amp; "%USERPROFILE%\Documents\GitHub\mrs-test-scripts\Headless Mode &amp; Sideloading\WalkAndUnGZ.bat" "%USERPROFILE%\AppData\Local\Temp\OnboardLogs"\RTDC4043\2017-07-30 &amp; aws s3 cp s3://rtdc.mdm.uploadarchive.raw/RTDC4043/ "%USERPROFILE%\AppData\Local\Temp\OnboardLogs"\RTDC4043\2017-07-31 --exclude "*" --recursive --include "*20170731*" &amp; "%USERPROFILE%\Documents\GitHub\mrs-test-scripts\Headless Mode &amp; Sideloading\WalkAndUnGZ.bat" "%USERPROFILE%\AppData\Local\Temp\OnboardLogs"\RTDC4043\2017-07-31</v>
      </c>
      <c r="AF67" s="74" t="str">
        <f t="shared" si="12"/>
        <v>"C:\Program Files (x86)\AstroGrep\AstroGrep.exe" /e /r /s /spath="%USERPROFILE%\AppData\Local\Temp\OnboardLogs" /stypes="app*4043*20170730*" /stext=" 18:.+((SYSTEM_STATE.+slice.+state.+changed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156-30 --locoid 4043 --swversion DE.1.0.9.0 --startMP 204:233066 --initTime 2017-07-30T11:23:47 --startdatetime 2017-07-30T11:27:17 --delay 1 --endMP 204:216 --enddatetime 2017-07-30T12:10:34 --enforcementcount 0 &gt;&gt;C:\Users\stu\Documents\GitHub\eaglep3-reporting\EC\2017-07-30-refined-times.txt</v>
      </c>
      <c r="AI67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{"issue":{"subject":"","project_id":79,"tracker_id":40,"status_id":1,"priority_id":2,"assigned_to_id":23,"start_date":"2017-07-30","description":"","custom_fields":[{"id":1,"name":"Subdivision","value":"EC"},{"id":4,"name":"Milepost","value":"0.0216"},{"id":17,"name":"Train ID","value":"156-30"},{"id":16,"name":"Locomotive ID","value":"4043"},{"id":130,"name":"Impact","value":""},{"id":150,"name":"Time of Event (Mountain Time)","value":"12:10:34"},{"id":151,"name":"Denver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4043 --day 2017-07-30</v>
      </c>
      <c r="AN67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18:10:34"},{"id":29,"name":"Sharepoint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753</v>
      </c>
      <c r="B68" s="7">
        <v>4046</v>
      </c>
      <c r="C68" s="21" t="s">
        <v>198</v>
      </c>
      <c r="D68" s="21" t="s">
        <v>452</v>
      </c>
      <c r="E68" s="13">
        <v>42946.439363425925</v>
      </c>
      <c r="F68" s="13">
        <v>42946.44840277778</v>
      </c>
      <c r="G68" s="7">
        <v>1</v>
      </c>
      <c r="H68" s="21" t="s">
        <v>484</v>
      </c>
      <c r="I68" s="13">
        <v>42946.473738425928</v>
      </c>
      <c r="J68" s="7">
        <v>0</v>
      </c>
      <c r="K68" s="89" t="str">
        <f t="shared" si="0"/>
        <v>4045/4046</v>
      </c>
      <c r="L68" s="21" t="str">
        <f>VLOOKUP(A68,'Trips&amp;Operators'!$C$1:$G$99999,5,FALSE)</f>
        <v>ROMERO CHAD</v>
      </c>
      <c r="M68" s="6">
        <f t="shared" si="1"/>
        <v>2.5335648148029577E-2</v>
      </c>
      <c r="N68" s="7">
        <f t="shared" si="23"/>
        <v>36.483333333162591</v>
      </c>
      <c r="O68" s="7"/>
      <c r="P68" s="7"/>
      <c r="Q68" s="22"/>
      <c r="R68" s="170"/>
      <c r="S68" s="213">
        <f t="shared" si="3"/>
        <v>1</v>
      </c>
      <c r="T68" s="195" t="str">
        <f t="shared" si="4"/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-07-30T09:32:41-0600',mode:absolute,to:'2017-07-30T12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8" s="197" t="str">
        <f>IF(AA68&lt;VLOOKUP(AG68,Variables!$AC$3:$AD$8,2,FALSE),"Y","N")</f>
        <v>N</v>
      </c>
      <c r="X68" s="197">
        <f t="shared" si="24"/>
        <v>1</v>
      </c>
      <c r="Y68" s="197">
        <f t="shared" si="7"/>
        <v>4.4900000000000002E-2</v>
      </c>
      <c r="Z68" s="197">
        <f t="shared" si="8"/>
        <v>23.3307</v>
      </c>
      <c r="AA68" s="197">
        <f t="shared" si="9"/>
        <v>23.285800000000002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157</v>
      </c>
      <c r="AE68" s="77" t="str">
        <f t="shared" si="11"/>
        <v>aws s3 cp s3://rtdc.mdm.uploadarchive.raw/RTDC4046/ "%USERPROFILE%\AppData\Local\Temp\OnboardLogs"\RTDC4046\2017-07-30 --exclude "*" --recursive --include "*20170730*" &amp; "%USERPROFILE%\Documents\GitHub\mrs-test-scripts\Headless Mode &amp; Sideloading\WalkAndUnGZ.bat" "%USERPROFILE%\AppData\Local\Temp\OnboardLogs"\RTDC4046\2017-07-30 &amp; aws s3 cp s3://rtdc.mdm.uploadarchive.raw/RTDC4046/ "%USERPROFILE%\AppData\Local\Temp\OnboardLogs"\RTDC4046\2017-07-31 --exclude "*" --recursive --include "*20170731*" &amp; "%USERPROFILE%\Documents\GitHub\mrs-test-scripts\Headless Mode &amp; Sideloading\WalkAndUnGZ.bat" "%USERPROFILE%\AppData\Local\Temp\OnboardLogs"\RTDC4046\2017-07-31</v>
      </c>
      <c r="AF68" s="74" t="str">
        <f t="shared" si="12"/>
        <v>"C:\Program Files (x86)\AstroGrep\AstroGrep.exe" /e /r /s /spath="%USERPROFILE%\AppData\Local\Temp\OnboardLogs" /stypes="app*4046*20170730*" /stext=" 17:.+((SYSTEM_STATE.+slice.+state.+changed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157-30 --locoid 4046 --swversion DE.1.0.9.0 --startMP 204:449 --initTime 2017-07-30T10:32:41 --startdatetime 2017-07-30T10:45:42 --delay 1 --endMP 204:233307 --enddatetime 2017-07-30T11:22:11 --enforcementcount 0 &gt;&gt;C:\Users\stu\Documents\GitHub\eaglep3-reporting\EC\2017-07-30-refined-times.txt</v>
      </c>
      <c r="AI68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{"issue":{"subject":"","project_id":79,"tracker_id":40,"status_id":1,"priority_id":2,"assigned_to_id":23,"start_date":"2017-07-30","description":"","custom_fields":[{"id":1,"name":"Subdivision","value":"EC"},{"id":4,"name":"Milepost","value":"23.3307"},{"id":17,"name":"Train ID","value":"157-30"},{"id":16,"name":"Locomotive ID","value":"4046"},{"id":130,"name":"Impact","value":""},{"id":150,"name":"Time of Event (Mountain Time)","value":"11:22:11"},{"id":151,"name":"Denver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4046 --day 2017-07-30</v>
      </c>
      <c r="AN68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17:22:11"},{"id":29,"name":"Sharepoint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762</v>
      </c>
      <c r="B69" s="7">
        <v>4045</v>
      </c>
      <c r="C69" s="21" t="s">
        <v>198</v>
      </c>
      <c r="D69" s="21" t="s">
        <v>476</v>
      </c>
      <c r="E69" s="13">
        <v>42946.475416666668</v>
      </c>
      <c r="F69" s="13">
        <v>42946.48773148148</v>
      </c>
      <c r="G69" s="7">
        <v>1</v>
      </c>
      <c r="H69" s="21" t="s">
        <v>588</v>
      </c>
      <c r="I69" s="13">
        <v>42946.514085648145</v>
      </c>
      <c r="J69" s="7">
        <v>0</v>
      </c>
      <c r="K69" s="89" t="str">
        <f t="shared" si="0"/>
        <v>4045/4046</v>
      </c>
      <c r="L69" s="21" t="str">
        <f>VLOOKUP(A69,'Trips&amp;Operators'!$C$1:$G$99999,5,FALSE)</f>
        <v>ROMERO CHAD</v>
      </c>
      <c r="M69" s="6">
        <f t="shared" si="1"/>
        <v>2.6354166664532386E-2</v>
      </c>
      <c r="N69" s="7">
        <f t="shared" si="23"/>
        <v>37.949999996926636</v>
      </c>
      <c r="O69" s="7"/>
      <c r="P69" s="7"/>
      <c r="Q69" s="22"/>
      <c r="R69" s="170"/>
      <c r="S69" s="213">
        <f t="shared" si="3"/>
        <v>1</v>
      </c>
      <c r="T69" s="195" t="str">
        <f t="shared" si="4"/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-07-30T10:24:36-0600',mode:absolute,to:'2017-07-30T13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9" s="197" t="str">
        <f>IF(AA69&lt;VLOOKUP(AG69,Variables!$AC$3:$AD$8,2,FALSE),"Y","N")</f>
        <v>N</v>
      </c>
      <c r="X69" s="197">
        <f t="shared" si="24"/>
        <v>1</v>
      </c>
      <c r="Y69" s="197">
        <f t="shared" si="7"/>
        <v>23.297999999999998</v>
      </c>
      <c r="Z69" s="197">
        <f t="shared" si="8"/>
        <v>1.29E-2</v>
      </c>
      <c r="AA69" s="197">
        <f t="shared" si="9"/>
        <v>23.2851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158</v>
      </c>
      <c r="AE69" s="77" t="str">
        <f t="shared" si="11"/>
        <v>aws s3 cp s3://rtdc.mdm.uploadarchive.raw/RTDC4045/ "%USERPROFILE%\AppData\Local\Temp\OnboardLogs"\RTDC4045\2017-07-30 --exclude "*" --recursive --include "*20170730*" &amp; "%USERPROFILE%\Documents\GitHub\mrs-test-scripts\Headless Mode &amp; Sideloading\WalkAndUnGZ.bat" "%USERPROFILE%\AppData\Local\Temp\OnboardLogs"\RTDC4045\2017-07-30 &amp; aws s3 cp s3://rtdc.mdm.uploadarchive.raw/RTDC4045/ "%USERPROFILE%\AppData\Local\Temp\OnboardLogs"\RTDC4045\2017-07-31 --exclude "*" --recursive --include "*20170731*" &amp; "%USERPROFILE%\Documents\GitHub\mrs-test-scripts\Headless Mode &amp; Sideloading\WalkAndUnGZ.bat" "%USERPROFILE%\AppData\Local\Temp\OnboardLogs"\RTDC4045\2017-07-31</v>
      </c>
      <c r="AF69" s="74" t="str">
        <f t="shared" si="12"/>
        <v>"C:\Program Files (x86)\AstroGrep\AstroGrep.exe" /e /r /s /spath="%USERPROFILE%\AppData\Local\Temp\OnboardLogs" /stypes="app*4045*20170730*" /stext=" 18:.+((SYSTEM_STATE.+slice.+state.+changed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158-30 --locoid 4045 --swversion DE.1.0.9.0 --startMP 204:232980 --initTime 2017-07-30T11:24:36 --startdatetime 2017-07-30T11:42:20 --delay 1 --endMP 204:129 --enddatetime 2017-07-30T12:20:17 --enforcementcount 0 &gt;&gt;C:\Users\stu\Documents\GitHub\eaglep3-reporting\EC\2017-07-30-refined-times.txt</v>
      </c>
      <c r="AI69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{"issue":{"subject":"","project_id":79,"tracker_id":40,"status_id":1,"priority_id":2,"assigned_to_id":23,"start_date":"2017-07-30","description":"","custom_fields":[{"id":1,"name":"Subdivision","value":"EC"},{"id":4,"name":"Milepost","value":"0.0129"},{"id":17,"name":"Train ID","value":"158-30"},{"id":16,"name":"Locomotive ID","value":"4045"},{"id":130,"name":"Impact","value":""},{"id":150,"name":"Time of Event (Mountain Time)","value":"12:20:17"},{"id":151,"name":"Denver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4045 --day 2017-07-30</v>
      </c>
      <c r="AN69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18:20:17"},{"id":29,"name":"Sharepoint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759</v>
      </c>
      <c r="B70" s="7">
        <v>4016</v>
      </c>
      <c r="C70" s="21" t="s">
        <v>198</v>
      </c>
      <c r="D70" s="21" t="s">
        <v>521</v>
      </c>
      <c r="E70" s="13">
        <v>42946.454953703702</v>
      </c>
      <c r="F70" s="13">
        <v>42946.459050925929</v>
      </c>
      <c r="G70" s="7">
        <v>2</v>
      </c>
      <c r="H70" s="21" t="s">
        <v>905</v>
      </c>
      <c r="I70" s="13">
        <v>42946.487013888887</v>
      </c>
      <c r="J70" s="7">
        <v>0</v>
      </c>
      <c r="K70" s="89" t="str">
        <f t="shared" si="0"/>
        <v>4015/4016</v>
      </c>
      <c r="L70" s="21" t="str">
        <f>VLOOKUP(A70,'Trips&amp;Operators'!$C$1:$G$99999,5,FALSE)</f>
        <v>NELSON ARIANE</v>
      </c>
      <c r="M70" s="6">
        <f t="shared" si="1"/>
        <v>2.7962962958554272E-2</v>
      </c>
      <c r="N70" s="7">
        <f t="shared" si="23"/>
        <v>40.266666660318151</v>
      </c>
      <c r="O70" s="7"/>
      <c r="P70" s="7"/>
      <c r="Q70" s="22"/>
      <c r="R70" s="170"/>
      <c r="S70" s="213">
        <f t="shared" si="3"/>
        <v>1</v>
      </c>
      <c r="T70" s="195" t="str">
        <f t="shared" si="4"/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-07-30T09:55:08-0600',mode:absolute,to:'2017-07-30T12:41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0" s="197" t="str">
        <f>IF(AA70&lt;VLOOKUP(AG70,Variables!$AC$3:$AD$8,2,FALSE),"Y","N")</f>
        <v>N</v>
      </c>
      <c r="X70" s="197">
        <f t="shared" si="24"/>
        <v>1</v>
      </c>
      <c r="Y70" s="197">
        <f t="shared" si="7"/>
        <v>0.1152</v>
      </c>
      <c r="Z70" s="197">
        <f t="shared" si="8"/>
        <v>23.332100000000001</v>
      </c>
      <c r="AA70" s="197">
        <f t="shared" si="9"/>
        <v>23.216899999999999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159</v>
      </c>
      <c r="AE70" s="77" t="str">
        <f t="shared" si="11"/>
        <v>aws s3 cp s3://rtdc.mdm.uploadarchive.raw/RTDC4016/ "%USERPROFILE%\AppData\Local\Temp\OnboardLogs"\RTDC4016\2017-07-30 --exclude "*" --recursive --include "*20170730*" &amp; "%USERPROFILE%\Documents\GitHub\mrs-test-scripts\Headless Mode &amp; Sideloading\WalkAndUnGZ.bat" "%USERPROFILE%\AppData\Local\Temp\OnboardLogs"\RTDC4016\2017-07-30 &amp; aws s3 cp s3://rtdc.mdm.uploadarchive.raw/RTDC4016/ "%USERPROFILE%\AppData\Local\Temp\OnboardLogs"\RTDC4016\2017-07-31 --exclude "*" --recursive --include "*20170731*" &amp; "%USERPROFILE%\Documents\GitHub\mrs-test-scripts\Headless Mode &amp; Sideloading\WalkAndUnGZ.bat" "%USERPROFILE%\AppData\Local\Temp\OnboardLogs"\RTDC4016\2017-07-31</v>
      </c>
      <c r="AF70" s="74" t="str">
        <f t="shared" si="12"/>
        <v>"C:\Program Files (x86)\AstroGrep\AstroGrep.exe" /e /r /s /spath="%USERPROFILE%\AppData\Local\Temp\OnboardLogs" /stypes="app*4016*20170730*" /stext=" 17:.+((SYSTEM_STATE.+slice.+state.+changed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159-30 --locoid 4016 --swversion DE.1.0.9.0 --startMP 204:1152 --initTime 2017-07-30T10:55:08 --startdatetime 2017-07-30T11:01:02 --delay 2 --endMP 204:233321 --enddatetime 2017-07-30T11:41:18 --enforcementcount 0 &gt;&gt;C:\Users\stu\Documents\GitHub\eaglep3-reporting\EC\2017-07-30-refined-times.txt</v>
      </c>
      <c r="AI70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{"issue":{"subject":"","project_id":79,"tracker_id":40,"status_id":1,"priority_id":2,"assigned_to_id":23,"start_date":"2017-07-30","description":"","custom_fields":[{"id":1,"name":"Subdivision","value":"EC"},{"id":4,"name":"Milepost","value":"23.3321"},{"id":17,"name":"Train ID","value":"159-30"},{"id":16,"name":"Locomotive ID","value":"4016"},{"id":130,"name":"Impact","value":""},{"id":150,"name":"Time of Event (Mountain Time)","value":"11:41:18"},{"id":151,"name":"Denver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4016 --day 2017-07-30</v>
      </c>
      <c r="AN70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17:41:18"},{"id":29,"name":"Sharepoint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631</v>
      </c>
      <c r="B71" s="7">
        <v>4015</v>
      </c>
      <c r="C71" s="21" t="s">
        <v>198</v>
      </c>
      <c r="D71" s="21" t="s">
        <v>485</v>
      </c>
      <c r="E71" s="13">
        <v>42946.495428240742</v>
      </c>
      <c r="F71" s="13">
        <v>42946.498402777775</v>
      </c>
      <c r="G71" s="7">
        <v>2</v>
      </c>
      <c r="H71" s="21" t="s">
        <v>465</v>
      </c>
      <c r="I71" s="13">
        <v>42946.53</v>
      </c>
      <c r="J71" s="7">
        <v>0</v>
      </c>
      <c r="K71" s="89" t="str">
        <f t="shared" si="0"/>
        <v>4015/4016</v>
      </c>
      <c r="L71" s="21" t="str">
        <f>VLOOKUP(A71,'Trips&amp;Operators'!$C$1:$G$99999,5,FALSE)</f>
        <v>NELSON ARIANE</v>
      </c>
      <c r="M71" s="6">
        <f t="shared" si="1"/>
        <v>3.1597222223354038E-2</v>
      </c>
      <c r="N71" s="7">
        <f t="shared" si="23"/>
        <v>45.500000001629815</v>
      </c>
      <c r="O71" s="7"/>
      <c r="P71" s="7"/>
      <c r="Q71" s="22"/>
      <c r="R71" s="170"/>
      <c r="S71" s="213">
        <f t="shared" si="3"/>
        <v>1</v>
      </c>
      <c r="T71" s="195" t="str">
        <f t="shared" si="4"/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-07-30T10:53:25-0600',mode:absolute,to:'2017-07-30T13:43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1" s="197" t="str">
        <f>IF(AA71&lt;VLOOKUP(AG71,Variables!$AC$3:$AD$8,2,FALSE),"Y","N")</f>
        <v>N</v>
      </c>
      <c r="X71" s="197">
        <f t="shared" si="24"/>
        <v>1</v>
      </c>
      <c r="Y71" s="197">
        <f t="shared" si="7"/>
        <v>23.298500000000001</v>
      </c>
      <c r="Z71" s="197">
        <f t="shared" si="8"/>
        <v>1.6299999999999999E-2</v>
      </c>
      <c r="AA71" s="197">
        <f t="shared" si="9"/>
        <v>23.2822</v>
      </c>
      <c r="AB71" s="54" t="str">
        <f>VLOOKUP(A71,Enforcements!$C$7:$K$13,8,0)</f>
        <v>Bulletin (2)</v>
      </c>
      <c r="AC71" s="51" t="str">
        <f>VLOOKUP(A71,Enforcements!$C$7:$E$13,3,0)</f>
        <v>GRADE CROSSING</v>
      </c>
      <c r="AD71" s="206">
        <f t="shared" si="10"/>
        <v>160</v>
      </c>
      <c r="AE71" s="77" t="str">
        <f t="shared" si="11"/>
        <v>aws s3 cp s3://rtdc.mdm.uploadarchive.raw/RTDC4015/ "%USERPROFILE%\AppData\Local\Temp\OnboardLogs"\RTDC4015\2017-07-30 --exclude "*" --recursive --include "*20170730*" &amp; "%USERPROFILE%\Documents\GitHub\mrs-test-scripts\Headless Mode &amp; Sideloading\WalkAndUnGZ.bat" "%USERPROFILE%\AppData\Local\Temp\OnboardLogs"\RTDC4015\2017-07-30 &amp; aws s3 cp s3://rtdc.mdm.uploadarchive.raw/RTDC4015/ "%USERPROFILE%\AppData\Local\Temp\OnboardLogs"\RTDC4015\2017-07-31 --exclude "*" --recursive --include "*20170731*" &amp; "%USERPROFILE%\Documents\GitHub\mrs-test-scripts\Headless Mode &amp; Sideloading\WalkAndUnGZ.bat" "%USERPROFILE%\AppData\Local\Temp\OnboardLogs"\RTDC4015\2017-07-31</v>
      </c>
      <c r="AF71" s="74" t="str">
        <f t="shared" si="12"/>
        <v>"C:\Program Files (x86)\AstroGrep\AstroGrep.exe" /e /r /s /spath="%USERPROFILE%\AppData\Local\Temp\OnboardLogs" /stypes="app*4015*20170730*" /stext=" 18:.+((SYSTEM_STATE.+slice.+state.+changed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160-30 --locoid 4015 --swversion DE.1.0.9.0 --startMP 204:232985 --initTime 2017-07-30T11:53:25 --startdatetime 2017-07-30T11:57:42 --delay 2 --endMP 204:163 --enddatetime 2017-07-30T12:43:12 --enforcementcount 0 &gt;&gt;C:\Users\stu\Documents\GitHub\eaglep3-reporting\EC\2017-07-30-refined-times.txt</v>
      </c>
      <c r="AI71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{"issue":{"subject":"","project_id":79,"tracker_id":40,"status_id":1,"priority_id":2,"assigned_to_id":23,"start_date":"2017-07-30","description":"","custom_fields":[{"id":1,"name":"Subdivision","value":"EC"},{"id":4,"name":"Milepost","value":"0.0163"},{"id":17,"name":"Train ID","value":"160-30"},{"id":16,"name":"Locomotive ID","value":"4015"},{"id":130,"name":"Impact","value":""},{"id":150,"name":"Time of Event (Mountain Time)","value":"12:43:12"},{"id":151,"name":"Denver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4015 --day 2017-07-30</v>
      </c>
      <c r="AN71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18:43:12"},{"id":29,"name":"Sharepoint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761</v>
      </c>
      <c r="B72" s="7">
        <v>4032</v>
      </c>
      <c r="C72" s="21" t="s">
        <v>198</v>
      </c>
      <c r="D72" s="21" t="s">
        <v>517</v>
      </c>
      <c r="E72" s="13">
        <v>42946.465254629627</v>
      </c>
      <c r="F72" s="13">
        <v>42946.469224537039</v>
      </c>
      <c r="G72" s="7">
        <v>2</v>
      </c>
      <c r="H72" s="21" t="s">
        <v>906</v>
      </c>
      <c r="I72" s="13">
        <v>42946.502002314817</v>
      </c>
      <c r="J72" s="7">
        <v>0</v>
      </c>
      <c r="K72" s="89" t="str">
        <f t="shared" si="0"/>
        <v>4031/4032</v>
      </c>
      <c r="L72" s="21" t="str">
        <f>VLOOKUP(A72,'Trips&amp;Operators'!$C$1:$G$99999,5,FALSE)</f>
        <v>DAVIS MICHAEL</v>
      </c>
      <c r="M72" s="6">
        <f t="shared" si="1"/>
        <v>3.2777777778392192E-2</v>
      </c>
      <c r="N72" s="7">
        <f t="shared" si="23"/>
        <v>47.200000000884756</v>
      </c>
      <c r="O72" s="7"/>
      <c r="P72" s="7"/>
      <c r="Q72" s="22"/>
      <c r="R72" s="170"/>
      <c r="S72" s="213">
        <f t="shared" si="3"/>
        <v>1</v>
      </c>
      <c r="T72" s="195" t="str">
        <f t="shared" si="4"/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-07-30T10:09:58-0600',mode:absolute,to:'2017-07-30T13:02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2" s="197" t="str">
        <f>IF(AA72&lt;VLOOKUP(AG72,Variables!$AC$3:$AD$8,2,FALSE),"Y","N")</f>
        <v>N</v>
      </c>
      <c r="X72" s="197">
        <f t="shared" si="24"/>
        <v>1</v>
      </c>
      <c r="Y72" s="197">
        <f t="shared" si="7"/>
        <v>4.8399999999999999E-2</v>
      </c>
      <c r="Z72" s="197">
        <f t="shared" si="8"/>
        <v>23.328600000000002</v>
      </c>
      <c r="AA72" s="197">
        <f t="shared" si="9"/>
        <v>23.280200000000001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161</v>
      </c>
      <c r="AE72" s="77" t="str">
        <f t="shared" si="11"/>
        <v>aws s3 cp s3://rtdc.mdm.uploadarchive.raw/RTDC4032/ "%USERPROFILE%\AppData\Local\Temp\OnboardLogs"\RTDC4032\2017-07-30 --exclude "*" --recursive --include "*20170730*" &amp; "%USERPROFILE%\Documents\GitHub\mrs-test-scripts\Headless Mode &amp; Sideloading\WalkAndUnGZ.bat" "%USERPROFILE%\AppData\Local\Temp\OnboardLogs"\RTDC4032\2017-07-30 &amp; aws s3 cp s3://rtdc.mdm.uploadarchive.raw/RTDC4032/ "%USERPROFILE%\AppData\Local\Temp\OnboardLogs"\RTDC4032\2017-07-31 --exclude "*" --recursive --include "*20170731*" &amp; "%USERPROFILE%\Documents\GitHub\mrs-test-scripts\Headless Mode &amp; Sideloading\WalkAndUnGZ.bat" "%USERPROFILE%\AppData\Local\Temp\OnboardLogs"\RTDC4032\2017-07-31</v>
      </c>
      <c r="AF72" s="74" t="str">
        <f t="shared" si="12"/>
        <v>"C:\Program Files (x86)\AstroGrep\AstroGrep.exe" /e /r /s /spath="%USERPROFILE%\AppData\Local\Temp\OnboardLogs" /stypes="app*4032*20170730*" /stext=" 18:.+((SYSTEM_STATE.+slice.+state.+changed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161-30 --locoid 4032 --swversion DE.1.0.9.0 --startMP 204:484 --initTime 2017-07-30T11:09:58 --startdatetime 2017-07-30T11:15:41 --delay 2 --endMP 204:233286 --enddatetime 2017-07-30T12:02:53 --enforcementcount 0 &gt;&gt;C:\Users\stu\Documents\GitHub\eaglep3-reporting\EC\2017-07-30-refined-times.txt</v>
      </c>
      <c r="AI72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{"issue":{"subject":"","project_id":79,"tracker_id":40,"status_id":1,"priority_id":2,"assigned_to_id":23,"start_date":"2017-07-30","description":"","custom_fields":[{"id":1,"name":"Subdivision","value":"EC"},{"id":4,"name":"Milepost","value":"23.3286"},{"id":17,"name":"Train ID","value":"161-30"},{"id":16,"name":"Locomotive ID","value":"4032"},{"id":130,"name":"Impact","value":""},{"id":150,"name":"Time of Event (Mountain Time)","value":"12:02:53"},{"id":151,"name":"Denver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4032 --day 2017-07-30</v>
      </c>
      <c r="AN72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18:02:53"},{"id":29,"name":"Sharepoint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632</v>
      </c>
      <c r="B73" s="7">
        <v>4031</v>
      </c>
      <c r="C73" s="21" t="s">
        <v>198</v>
      </c>
      <c r="D73" s="21" t="s">
        <v>907</v>
      </c>
      <c r="E73" s="13">
        <v>42946.506342592591</v>
      </c>
      <c r="F73" s="13">
        <v>42946.509687500002</v>
      </c>
      <c r="G73" s="7">
        <v>1</v>
      </c>
      <c r="H73" s="21" t="s">
        <v>908</v>
      </c>
      <c r="I73" s="13">
        <v>42946.538784722223</v>
      </c>
      <c r="J73" s="7">
        <v>0</v>
      </c>
      <c r="K73" s="89" t="str">
        <f t="shared" si="0"/>
        <v>4031/4032</v>
      </c>
      <c r="L73" s="21" t="str">
        <f>VLOOKUP(A73,'Trips&amp;Operators'!$C$1:$G$99999,5,FALSE)</f>
        <v>DAVIS MICHAEL</v>
      </c>
      <c r="M73" s="6">
        <f t="shared" si="1"/>
        <v>2.9097222221025731E-2</v>
      </c>
      <c r="N73" s="7">
        <f t="shared" si="23"/>
        <v>41.899999998277053</v>
      </c>
      <c r="O73" s="7"/>
      <c r="P73" s="7"/>
      <c r="Q73" s="22"/>
      <c r="R73" s="170"/>
      <c r="S73" s="213">
        <f t="shared" si="3"/>
        <v>1</v>
      </c>
      <c r="T73" s="195" t="str">
        <f t="shared" si="4"/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-07-30T11:09:08-0600',mode:absolute,to:'2017-07-30T13:55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3" s="197" t="str">
        <f>IF(AA73&lt;VLOOKUP(AG73,Variables!$AC$3:$AD$8,2,FALSE),"Y","N")</f>
        <v>N</v>
      </c>
      <c r="X73" s="197">
        <f t="shared" si="24"/>
        <v>1</v>
      </c>
      <c r="Y73" s="197">
        <f t="shared" si="7"/>
        <v>23.299199999999999</v>
      </c>
      <c r="Z73" s="197">
        <f t="shared" si="8"/>
        <v>2.0500000000000001E-2</v>
      </c>
      <c r="AA73" s="197">
        <f t="shared" si="9"/>
        <v>23.278700000000001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162</v>
      </c>
      <c r="AE73" s="77" t="str">
        <f t="shared" si="11"/>
        <v>aws s3 cp s3://rtdc.mdm.uploadarchive.raw/RTDC4031/ "%USERPROFILE%\AppData\Local\Temp\OnboardLogs"\RTDC4031\2017-07-30 --exclude "*" --recursive --include "*20170730*" &amp; "%USERPROFILE%\Documents\GitHub\mrs-test-scripts\Headless Mode &amp; Sideloading\WalkAndUnGZ.bat" "%USERPROFILE%\AppData\Local\Temp\OnboardLogs"\RTDC4031\2017-07-30 &amp; aws s3 cp s3://rtdc.mdm.uploadarchive.raw/RTDC4031/ "%USERPROFILE%\AppData\Local\Temp\OnboardLogs"\RTDC4031\2017-07-31 --exclude "*" --recursive --include "*20170731*" &amp; "%USERPROFILE%\Documents\GitHub\mrs-test-scripts\Headless Mode &amp; Sideloading\WalkAndUnGZ.bat" "%USERPROFILE%\AppData\Local\Temp\OnboardLogs"\RTDC4031\2017-07-31</v>
      </c>
      <c r="AF73" s="74" t="str">
        <f t="shared" si="12"/>
        <v>"C:\Program Files (x86)\AstroGrep\AstroGrep.exe" /e /r /s /spath="%USERPROFILE%\AppData\Local\Temp\OnboardLogs" /stypes="app*4031*20170730*" /stext=" 18:.+((SYSTEM_STATE.+slice.+state.+changed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162-30 --locoid 4031 --swversion DE.1.0.9.0 --startMP 204:232992 --initTime 2017-07-30T12:09:08 --startdatetime 2017-07-30T12:13:57 --delay 1 --endMP 204:205 --enddatetime 2017-07-30T12:55:51 --enforcementcount 0 &gt;&gt;C:\Users\stu\Documents\GitHub\eaglep3-reporting\EC\2017-07-30-refined-times.txt</v>
      </c>
      <c r="AI73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{"issue":{"subject":"","project_id":79,"tracker_id":40,"status_id":1,"priority_id":2,"assigned_to_id":23,"start_date":"2017-07-30","description":"","custom_fields":[{"id":1,"name":"Subdivision","value":"EC"},{"id":4,"name":"Milepost","value":"0.0205"},{"id":17,"name":"Train ID","value":"162-30"},{"id":16,"name":"Locomotive ID","value":"4031"},{"id":130,"name":"Impact","value":""},{"id":150,"name":"Time of Event (Mountain Time)","value":"12:55:51"},{"id":151,"name":"Denver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4031 --day 2017-07-30</v>
      </c>
      <c r="AN73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18:55:51"},{"id":29,"name":"Sharepoint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763</v>
      </c>
      <c r="B74" s="7">
        <v>4058</v>
      </c>
      <c r="C74" s="21" t="s">
        <v>198</v>
      </c>
      <c r="D74" s="21" t="s">
        <v>376</v>
      </c>
      <c r="E74" s="13">
        <v>42946.475439814814</v>
      </c>
      <c r="F74" s="13">
        <v>42946.480509259258</v>
      </c>
      <c r="G74" s="7">
        <v>2</v>
      </c>
      <c r="H74" s="21" t="s">
        <v>489</v>
      </c>
      <c r="I74" s="13">
        <v>42946.513495370367</v>
      </c>
      <c r="J74" s="7">
        <v>0</v>
      </c>
      <c r="K74" s="89" t="str">
        <f t="shared" si="0"/>
        <v>4057/4058</v>
      </c>
      <c r="L74" s="21" t="str">
        <f>VLOOKUP(A74,'Trips&amp;Operators'!$C$1:$G$99999,5,FALSE)</f>
        <v>THOMPSON LESTER</v>
      </c>
      <c r="M74" s="6">
        <f t="shared" si="1"/>
        <v>3.2986111109494232E-2</v>
      </c>
      <c r="N74" s="7">
        <f t="shared" si="23"/>
        <v>47.499999997671694</v>
      </c>
      <c r="O74" s="7"/>
      <c r="P74" s="7"/>
      <c r="Q74" s="22"/>
      <c r="R74" s="170"/>
      <c r="S74" s="213">
        <f t="shared" si="3"/>
        <v>1</v>
      </c>
      <c r="T74" s="195" t="str">
        <f t="shared" si="4"/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-07-30T10:24:38-0600',mode:absolute,to:'2017-07-30T13:19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4" s="197" t="str">
        <f>IF(AA74&lt;VLOOKUP(AG74,Variables!$AC$3:$AD$8,2,FALSE),"Y","N")</f>
        <v>N</v>
      </c>
      <c r="X74" s="197">
        <f t="shared" si="24"/>
        <v>1</v>
      </c>
      <c r="Y74" s="197">
        <f t="shared" si="7"/>
        <v>4.6199999999999998E-2</v>
      </c>
      <c r="Z74" s="197">
        <f t="shared" si="8"/>
        <v>23.3278</v>
      </c>
      <c r="AA74" s="197">
        <f t="shared" si="9"/>
        <v>23.281600000000001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163</v>
      </c>
      <c r="AE74" s="77" t="str">
        <f t="shared" si="11"/>
        <v>aws s3 cp s3://rtdc.mdm.uploadarchive.raw/RTDC4058/ "%USERPROFILE%\AppData\Local\Temp\OnboardLogs"\RTDC4058\2017-07-30 --exclude "*" --recursive --include "*20170730*" &amp; "%USERPROFILE%\Documents\GitHub\mrs-test-scripts\Headless Mode &amp; Sideloading\WalkAndUnGZ.bat" "%USERPROFILE%\AppData\Local\Temp\OnboardLogs"\RTDC4058\2017-07-30 &amp; aws s3 cp s3://rtdc.mdm.uploadarchive.raw/RTDC4058/ "%USERPROFILE%\AppData\Local\Temp\OnboardLogs"\RTDC4058\2017-07-31 --exclude "*" --recursive --include "*20170731*" &amp; "%USERPROFILE%\Documents\GitHub\mrs-test-scripts\Headless Mode &amp; Sideloading\WalkAndUnGZ.bat" "%USERPROFILE%\AppData\Local\Temp\OnboardLogs"\RTDC4058\2017-07-31</v>
      </c>
      <c r="AF74" s="74" t="str">
        <f t="shared" si="12"/>
        <v>"C:\Program Files (x86)\AstroGrep\AstroGrep.exe" /e /r /s /spath="%USERPROFILE%\AppData\Local\Temp\OnboardLogs" /stypes="app*4058*20170730*" /stext=" 18:.+((SYSTEM_STATE.+slice.+state.+changed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163-30 --locoid 4058 --swversion DE.1.0.9.0 --startMP 204:462 --initTime 2017-07-30T11:24:38 --startdatetime 2017-07-30T11:31:56 --delay 2 --endMP 204:233278 --enddatetime 2017-07-30T12:19:26 --enforcementcount 0 &gt;&gt;C:\Users\stu\Documents\GitHub\eaglep3-reporting\EC\2017-07-30-refined-times.txt</v>
      </c>
      <c r="AI74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{"issue":{"subject":"","project_id":79,"tracker_id":40,"status_id":1,"priority_id":2,"assigned_to_id":23,"start_date":"2017-07-30","description":"","custom_fields":[{"id":1,"name":"Subdivision","value":"EC"},{"id":4,"name":"Milepost","value":"23.3278"},{"id":17,"name":"Train ID","value":"163-30"},{"id":16,"name":"Locomotive ID","value":"4058"},{"id":130,"name":"Impact","value":""},{"id":150,"name":"Time of Event (Mountain Time)","value":"12:19:26"},{"id":151,"name":"Denver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4058 --day 2017-07-30</v>
      </c>
      <c r="AN74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18:19:26"},{"id":29,"name":"Sharepoint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773</v>
      </c>
      <c r="B75" s="7">
        <v>4057</v>
      </c>
      <c r="C75" s="21" t="s">
        <v>198</v>
      </c>
      <c r="D75" s="21" t="s">
        <v>461</v>
      </c>
      <c r="E75" s="13">
        <v>42946.517280092594</v>
      </c>
      <c r="F75" s="13">
        <v>42946.52039351852</v>
      </c>
      <c r="G75" s="7">
        <v>1</v>
      </c>
      <c r="H75" s="21" t="s">
        <v>873</v>
      </c>
      <c r="I75" s="13">
        <v>42946.547627314816</v>
      </c>
      <c r="J75" s="7">
        <v>0</v>
      </c>
      <c r="K75" s="89" t="str">
        <f t="shared" si="0"/>
        <v>4057/4058</v>
      </c>
      <c r="L75" s="21" t="str">
        <f>VLOOKUP(A75,'Trips&amp;Operators'!$C$1:$G$99999,5,FALSE)</f>
        <v>THOMPSON LESTER</v>
      </c>
      <c r="M75" s="6">
        <f t="shared" si="1"/>
        <v>2.7233796296059154E-2</v>
      </c>
      <c r="N75" s="7">
        <f t="shared" si="23"/>
        <v>39.216666666325182</v>
      </c>
      <c r="O75" s="7"/>
      <c r="P75" s="7"/>
      <c r="Q75" s="22"/>
      <c r="R75" s="170"/>
      <c r="S75" s="213">
        <f t="shared" si="3"/>
        <v>1</v>
      </c>
      <c r="T75" s="195" t="str">
        <f t="shared" si="4"/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-07-30T11:24:53-0600',mode:absolute,to:'2017-07-30T14:08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5" s="197" t="str">
        <f>IF(AA75&lt;VLOOKUP(AG75,Variables!$AC$3:$AD$8,2,FALSE),"Y","N")</f>
        <v>N</v>
      </c>
      <c r="X75" s="197">
        <f t="shared" si="24"/>
        <v>1</v>
      </c>
      <c r="Y75" s="197">
        <f t="shared" si="7"/>
        <v>23.299800000000001</v>
      </c>
      <c r="Z75" s="197">
        <f t="shared" si="8"/>
        <v>1.38E-2</v>
      </c>
      <c r="AA75" s="197">
        <f t="shared" si="9"/>
        <v>23.286000000000001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164</v>
      </c>
      <c r="AE75" s="77" t="str">
        <f t="shared" si="11"/>
        <v>aws s3 cp s3://rtdc.mdm.uploadarchive.raw/RTDC4057/ "%USERPROFILE%\AppData\Local\Temp\OnboardLogs"\RTDC4057\2017-07-30 --exclude "*" --recursive --include "*20170730*" &amp; "%USERPROFILE%\Documents\GitHub\mrs-test-scripts\Headless Mode &amp; Sideloading\WalkAndUnGZ.bat" "%USERPROFILE%\AppData\Local\Temp\OnboardLogs"\RTDC4057\2017-07-30 &amp; aws s3 cp s3://rtdc.mdm.uploadarchive.raw/RTDC4057/ "%USERPROFILE%\AppData\Local\Temp\OnboardLogs"\RTDC4057\2017-07-31 --exclude "*" --recursive --include "*20170731*" &amp; "%USERPROFILE%\Documents\GitHub\mrs-test-scripts\Headless Mode &amp; Sideloading\WalkAndUnGZ.bat" "%USERPROFILE%\AppData\Local\Temp\OnboardLogs"\RTDC4057\2017-07-31</v>
      </c>
      <c r="AF75" s="74" t="str">
        <f t="shared" si="12"/>
        <v>"C:\Program Files (x86)\AstroGrep\AstroGrep.exe" /e /r /s /spath="%USERPROFILE%\AppData\Local\Temp\OnboardLogs" /stypes="app*4057*20170730*" /stext=" 19:.+((SYSTEM_STATE.+slice.+state.+changed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164-30 --locoid 4057 --swversion DE.1.0.9.0 --startMP 204:232998 --initTime 2017-07-30T12:24:53 --startdatetime 2017-07-30T12:29:22 --delay 1 --endMP 204:138 --enddatetime 2017-07-30T13:08:35 --enforcementcount 0 &gt;&gt;C:\Users\stu\Documents\GitHub\eaglep3-reporting\EC\2017-07-30-refined-times.txt</v>
      </c>
      <c r="AI75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{"issue":{"subject":"","project_id":79,"tracker_id":40,"status_id":1,"priority_id":2,"assigned_to_id":23,"start_date":"2017-07-30","description":"","custom_fields":[{"id":1,"name":"Subdivision","value":"EC"},{"id":4,"name":"Milepost","value":"0.0138"},{"id":17,"name":"Train ID","value":"164-30"},{"id":16,"name":"Locomotive ID","value":"4057"},{"id":130,"name":"Impact","value":""},{"id":150,"name":"Time of Event (Mountain Time)","value":"13:08:35"},{"id":151,"name":"Denver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4057 --day 2017-07-30</v>
      </c>
      <c r="AN75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19:08:35"},{"id":29,"name":"Sharepoint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767</v>
      </c>
      <c r="B76" s="7">
        <v>4030</v>
      </c>
      <c r="C76" s="21" t="s">
        <v>198</v>
      </c>
      <c r="D76" s="21" t="s">
        <v>507</v>
      </c>
      <c r="E76" s="13">
        <v>42946.487650462965</v>
      </c>
      <c r="F76" s="13">
        <v>42946.489872685182</v>
      </c>
      <c r="G76" s="7">
        <v>1</v>
      </c>
      <c r="H76" s="21" t="s">
        <v>575</v>
      </c>
      <c r="I76" s="13">
        <v>42946.517916666664</v>
      </c>
      <c r="J76" s="7">
        <v>0</v>
      </c>
      <c r="K76" s="89" t="str">
        <f t="shared" si="0"/>
        <v>4029/4030</v>
      </c>
      <c r="L76" s="21" t="str">
        <f>VLOOKUP(A76,'Trips&amp;Operators'!$C$1:$G$99999,5,FALSE)</f>
        <v>MAGEE KENYA</v>
      </c>
      <c r="M76" s="6">
        <f t="shared" si="1"/>
        <v>2.8043981481459923E-2</v>
      </c>
      <c r="N76" s="7">
        <f t="shared" si="23"/>
        <v>40.383333333302289</v>
      </c>
      <c r="O76" s="7"/>
      <c r="P76" s="7"/>
      <c r="Q76" s="22"/>
      <c r="R76" s="170"/>
      <c r="S76" s="213">
        <f t="shared" si="3"/>
        <v>1</v>
      </c>
      <c r="T76" s="195" t="str">
        <f t="shared" si="4"/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-07-30T10:42:13-0600',mode:absolute,to:'2017-07-30T13:25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6" s="197" t="str">
        <f>IF(AA76&lt;VLOOKUP(AG76,Variables!$AC$3:$AD$8,2,FALSE),"Y","N")</f>
        <v>N</v>
      </c>
      <c r="X76" s="197">
        <f t="shared" si="24"/>
        <v>1</v>
      </c>
      <c r="Y76" s="197">
        <f t="shared" si="7"/>
        <v>4.4400000000000002E-2</v>
      </c>
      <c r="Z76" s="197">
        <f t="shared" si="8"/>
        <v>23.337</v>
      </c>
      <c r="AA76" s="197">
        <f t="shared" si="9"/>
        <v>23.2926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165</v>
      </c>
      <c r="AE76" s="77" t="str">
        <f t="shared" si="11"/>
        <v>aws s3 cp s3://rtdc.mdm.uploadarchive.raw/RTDC4030/ "%USERPROFILE%\AppData\Local\Temp\OnboardLogs"\RTDC4030\2017-07-30 --exclude "*" --recursive --include "*20170730*" &amp; "%USERPROFILE%\Documents\GitHub\mrs-test-scripts\Headless Mode &amp; Sideloading\WalkAndUnGZ.bat" "%USERPROFILE%\AppData\Local\Temp\OnboardLogs"\RTDC4030\2017-07-30 &amp; aws s3 cp s3://rtdc.mdm.uploadarchive.raw/RTDC4030/ "%USERPROFILE%\AppData\Local\Temp\OnboardLogs"\RTDC4030\2017-07-31 --exclude "*" --recursive --include "*20170731*" &amp; "%USERPROFILE%\Documents\GitHub\mrs-test-scripts\Headless Mode &amp; Sideloading\WalkAndUnGZ.bat" "%USERPROFILE%\AppData\Local\Temp\OnboardLogs"\RTDC4030\2017-07-31</v>
      </c>
      <c r="AF76" s="74" t="str">
        <f t="shared" si="12"/>
        <v>"C:\Program Files (x86)\AstroGrep\AstroGrep.exe" /e /r /s /spath="%USERPROFILE%\AppData\Local\Temp\OnboardLogs" /stypes="app*4030*20170730*" /stext=" 18:.+((SYSTEM_STATE.+slice.+state.+changed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165-30 --locoid 4030 --swversion DE.1.0.9.0 --startMP 204:444 --initTime 2017-07-30T11:42:13 --startdatetime 2017-07-30T11:45:25 --delay 1 --endMP 204:233370 --enddatetime 2017-07-30T12:25:48 --enforcementcount 0 &gt;&gt;C:\Users\stu\Documents\GitHub\eaglep3-reporting\EC\2017-07-30-refined-times.txt</v>
      </c>
      <c r="AI76" s="96" t="str">
        <f t="shared" si="19"/>
        <v>echo {"issue":{"subject":"","project_id":79,"tracker_id":40,"status_id":1,"priority_id":2,"assigned_to_id":23,"start_date":"2017-07-30","description":"","custom_fields":[{"id":1,"name":"Subdivision","value":"EC"},{"id":4,"name":"Milepost","value":"23.337"},{"id":17,"name":"Train ID","value":"165-30"},{"id":16,"name":"Locomotive ID","value":"4030"},{"id":130,"name":"Impact","value":""},{"id":150,"name":"Time of Event (Mountain Time)","value":"12:25:48"},{"id":151,"name":"Denver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4030 --day 2017-07-30</v>
      </c>
      <c r="AN76" s="151" t="str">
        <f t="shared" si="21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18:25:48"},{"id":29,"name":"Sharepoint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636</v>
      </c>
      <c r="B77" s="7">
        <v>4029</v>
      </c>
      <c r="C77" s="21" t="s">
        <v>198</v>
      </c>
      <c r="D77" s="21" t="s">
        <v>909</v>
      </c>
      <c r="E77" s="13">
        <v>42946.526886574073</v>
      </c>
      <c r="F77" s="13">
        <v>42946.529652777775</v>
      </c>
      <c r="G77" s="7">
        <v>1</v>
      </c>
      <c r="H77" s="21" t="s">
        <v>910</v>
      </c>
      <c r="I77" s="13">
        <v>42946.555914351855</v>
      </c>
      <c r="J77" s="7">
        <v>0</v>
      </c>
      <c r="K77" s="89" t="str">
        <f t="shared" ref="K77:K140" si="25">IF(ISEVEN(B77),(B77-1)&amp;"/"&amp;B77,B77&amp;"/"&amp;(B77+1))</f>
        <v>4029/4030</v>
      </c>
      <c r="L77" s="21" t="str">
        <f>VLOOKUP(A77,'Trips&amp;Operators'!$C$1:$G$99999,5,FALSE)</f>
        <v>MAGEE KENYA</v>
      </c>
      <c r="M77" s="6">
        <f t="shared" ref="M77:M140" si="26">I77-F77</f>
        <v>2.6261574079398997E-2</v>
      </c>
      <c r="N77" s="7">
        <f t="shared" si="23"/>
        <v>37.816666674334556</v>
      </c>
      <c r="O77" s="7"/>
      <c r="P77" s="7"/>
      <c r="Q77" s="22"/>
      <c r="R77" s="170"/>
      <c r="S77" s="213">
        <f t="shared" ref="S77:S140" si="27">1/IF(AG77="EC",12,1)*SUM(U77:U77)</f>
        <v>1</v>
      </c>
      <c r="T77" s="195" t="str">
        <f t="shared" ref="T77:T140" si="28"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29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-07-30T11:38:43-0600',mode:absolute,to:'2017-07-30T14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7" s="197" t="str">
        <f>IF(AA77&lt;VLOOKUP(AG77,Variables!$AC$3:$AD$8,2,FALSE),"Y","N")</f>
        <v>N</v>
      </c>
      <c r="X77" s="197">
        <f t="shared" si="24"/>
        <v>1</v>
      </c>
      <c r="Y77" s="197">
        <f t="shared" ref="Y77:Y140" si="30">RIGHT(D77,LEN(D77)-4)/10000</f>
        <v>23.307200000000002</v>
      </c>
      <c r="Z77" s="197">
        <f t="shared" ref="Z77:Z140" si="31">RIGHT(H77,LEN(H77)-4)/10000</f>
        <v>1.6500000000000001E-2</v>
      </c>
      <c r="AA77" s="197">
        <f t="shared" ref="AA77:AA140" si="32">ABS(Z77-Y77)</f>
        <v>23.290700000000001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3">VALUE(LEFT(A77,LEN(A77)-3))</f>
        <v>166</v>
      </c>
      <c r="AE77" s="77" t="str">
        <f t="shared" ref="AE77:AE140" si="3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s3://rtdc.mdm.uploadarchive.raw/RTDC4029/ "%USERPROFILE%\AppData\Local\Temp\OnboardLogs"\RTDC4029\2017-07-30 --exclude "*" --recursive --include "*20170730*" &amp; "%USERPROFILE%\Documents\GitHub\mrs-test-scripts\Headless Mode &amp; Sideloading\WalkAndUnGZ.bat" "%USERPROFILE%\AppData\Local\Temp\OnboardLogs"\RTDC4029\2017-07-30 &amp; aws s3 cp s3://rtdc.mdm.uploadarchive.raw/RTDC4029/ "%USERPROFILE%\AppData\Local\Temp\OnboardLogs"\RTDC4029\2017-07-31 --exclude "*" --recursive --include "*20170731*" &amp; "%USERPROFILE%\Documents\GitHub\mrs-test-scripts\Headless Mode &amp; Sideloading\WalkAndUnGZ.bat" "%USERPROFILE%\AppData\Local\Temp\OnboardLogs"\RTDC4029\2017-07-31</v>
      </c>
      <c r="AF77" s="74" t="str">
        <f t="shared" ref="AF77:AF140" si="35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/stypes="app*4029*20170730*" /stext=" 19:.+((SYSTEM_STATE.+slice.+state.+changed )|(ment ac)|(multiple cpu faults)|(system.+state.+changed )|(\[timeout)|(PRM\|1\|D)|(kpr)|(kdp)|(train st.+moving)|(\|lc)|(penalty))"</v>
      </c>
      <c r="AG77" s="209" t="str">
        <f t="shared" ref="AG77:AG140" si="36">DetSubdiv(A77)</f>
        <v>EC</v>
      </c>
      <c r="AH77" s="78" t="str">
        <f t="shared" ref="AH77:AH140" si="37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166-30 --locoid 4029 --swversion DE.1.0.9.0 --startMP 204:233072 --initTime 2017-07-30T12:38:43 --startdatetime 2017-07-30T12:42:42 --delay 1 --endMP 204:165 --enddatetime 2017-07-30T13:20:31 --enforcementcount 0 &gt;&gt;C:\Users\stu\Documents\GitHub\eaglep3-reporting\EC\2017-07-30-refined-times.txt</v>
      </c>
      <c r="AI77" s="96" t="str">
        <f t="shared" ref="AI77:AI140" si="38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{"issue":{"subject":"","project_id":79,"tracker_id":40,"status_id":1,"priority_id":2,"assigned_to_id":23,"start_date":"2017-07-30","description":"","custom_fields":[{"id":1,"name":"Subdivision","value":"EC"},{"id":4,"name":"Milepost","value":"0.0165"},{"id":17,"name":"Train ID","value":"166-30"},{"id":16,"name":"Locomotive ID","value":"4029"},{"id":130,"name":"Impact","value":""},{"id":150,"name":"Time of Event (Mountain Time)","value":"13:20:31"},{"id":151,"name":"Denver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ref="AM77:AM140" si="39">"start /low /b "&amp;dls3logs&amp;" --loco "&amp;B77&amp;" --day "&amp;TEXT(F77,"YYYY-MM-DD")</f>
        <v>start /low /b %USERPROFILE%\Documents\GitHub\eaglep3\Utilities\DownloadLogsFromS3.py --loco 4029 --day 2017-07-30</v>
      </c>
      <c r="AN77" s="151" t="str">
        <f t="shared" ref="AN77:AN140" si="40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19:20:31"},{"id":29,"name":"Sharepoint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768</v>
      </c>
      <c r="B78" s="7">
        <v>4004</v>
      </c>
      <c r="C78" s="21" t="s">
        <v>198</v>
      </c>
      <c r="D78" s="21" t="s">
        <v>475</v>
      </c>
      <c r="E78" s="13">
        <v>42946.498900462961</v>
      </c>
      <c r="F78" s="13">
        <v>42946.500601851854</v>
      </c>
      <c r="G78" s="7">
        <v>1</v>
      </c>
      <c r="H78" s="21" t="s">
        <v>575</v>
      </c>
      <c r="I78" s="13">
        <v>42946.526817129627</v>
      </c>
      <c r="J78" s="7">
        <v>0</v>
      </c>
      <c r="K78" s="89" t="str">
        <f t="shared" si="25"/>
        <v>4003/4004</v>
      </c>
      <c r="L78" s="21" t="str">
        <f>VLOOKUP(A78,'Trips&amp;Operators'!$C$1:$G$99999,5,FALSE)</f>
        <v>SULLIVAN BRANDON</v>
      </c>
      <c r="M78" s="6">
        <f t="shared" si="26"/>
        <v>2.6215277772280388E-2</v>
      </c>
      <c r="N78" s="7">
        <f t="shared" si="23"/>
        <v>37.749999992083758</v>
      </c>
      <c r="O78" s="7"/>
      <c r="P78" s="7"/>
      <c r="Q78" s="22"/>
      <c r="R78" s="170"/>
      <c r="S78" s="213">
        <f t="shared" si="27"/>
        <v>1</v>
      </c>
      <c r="T78" s="195" t="str">
        <f t="shared" si="28"/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29"/>
        <v>https://d0f6bd738d7f1b3e5a7ca70fe4ff75f0.us-east-1.aws.found.io/app/kibana#/discover/Steve-Slow-Train-Analysis-(2080s-and-2083s)?_g=(refreshInterval:(display:Off,pause:!f,section:0,value:0),time:(from:'2017-07-30T10:58:25-0600',mode:absolute,to:'2017-07-30T13:38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8" s="197" t="str">
        <f>IF(AA78&lt;VLOOKUP(AG78,Variables!$AC$3:$AD$8,2,FALSE),"Y","N")</f>
        <v>N</v>
      </c>
      <c r="X78" s="197">
        <f t="shared" si="24"/>
        <v>1</v>
      </c>
      <c r="Y78" s="197">
        <f t="shared" si="30"/>
        <v>4.5699999999999998E-2</v>
      </c>
      <c r="Z78" s="197">
        <f t="shared" si="31"/>
        <v>23.337</v>
      </c>
      <c r="AA78" s="197">
        <f t="shared" si="32"/>
        <v>23.2913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3"/>
        <v>167</v>
      </c>
      <c r="AE78" s="77" t="str">
        <f t="shared" si="34"/>
        <v>aws s3 cp s3://rtdc.mdm.uploadarchive.raw/RTDC4004/ "%USERPROFILE%\AppData\Local\Temp\OnboardLogs"\RTDC4004\2017-07-30 --exclude "*" --recursive --include "*20170730*" &amp; "%USERPROFILE%\Documents\GitHub\mrs-test-scripts\Headless Mode &amp; Sideloading\WalkAndUnGZ.bat" "%USERPROFILE%\AppData\Local\Temp\OnboardLogs"\RTDC4004\2017-07-30 &amp; aws s3 cp s3://rtdc.mdm.uploadarchive.raw/RTDC4004/ "%USERPROFILE%\AppData\Local\Temp\OnboardLogs"\RTDC4004\2017-07-31 --exclude "*" --recursive --include "*20170731*" &amp; "%USERPROFILE%\Documents\GitHub\mrs-test-scripts\Headless Mode &amp; Sideloading\WalkAndUnGZ.bat" "%USERPROFILE%\AppData\Local\Temp\OnboardLogs"\RTDC4004\2017-07-31</v>
      </c>
      <c r="AF78" s="74" t="str">
        <f t="shared" si="35"/>
        <v>"C:\Program Files (x86)\AstroGrep\AstroGrep.exe" /e /r /s /spath="%USERPROFILE%\AppData\Local\Temp\OnboardLogs" /stypes="app*4004*20170730*" /stext=" 18:.+((SYSTEM_STATE.+slice.+state.+changed )|(ment ac)|(multiple cpu faults)|(system.+state.+changed )|(\[timeout)|(PRM\|1\|D)|(kpr)|(kdp)|(train st.+moving)|(\|lc)|(penalty))"</v>
      </c>
      <c r="AG78" s="209" t="str">
        <f t="shared" si="36"/>
        <v>EC</v>
      </c>
      <c r="AH78" s="78" t="str">
        <f t="shared" si="37"/>
        <v>"%USERPROFILE%\Documents\GitHub\eaglep3\Utilities\RefineRTDCRunTimes.py" --tripid 167-30 --locoid 4004 --swversion DE.1.0.9.0 --startMP 204:457 --initTime 2017-07-30T11:58:25 --startdatetime 2017-07-30T12:00:52 --delay 1 --endMP 204:233370 --enddatetime 2017-07-30T12:38:37 --enforcementcount 0 &gt;&gt;C:\Users\stu\Documents\GitHub\eaglep3-reporting\EC\2017-07-30-refined-times.txt</v>
      </c>
      <c r="AI78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{"issue":{"subject":"","project_id":79,"tracker_id":40,"status_id":1,"priority_id":2,"assigned_to_id":23,"start_date":"2017-07-30","description":"","custom_fields":[{"id":1,"name":"Subdivision","value":"EC"},{"id":4,"name":"Milepost","value":"23.337"},{"id":17,"name":"Train ID","value":"167-30"},{"id":16,"name":"Locomotive ID","value":"4004"},{"id":130,"name":"Impact","value":""},{"id":150,"name":"Time of Event (Mountain Time)","value":"12:38:37"},{"id":151,"name":"Denver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39"/>
        <v>start /low /b %USERPROFILE%\Documents\GitHub\eaglep3\Utilities\DownloadLogsFromS3.py --loco 4004 --day 2017-07-30</v>
      </c>
      <c r="AN78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18:38:37"},{"id":29,"name":"Sharepoint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779</v>
      </c>
      <c r="B79" s="7">
        <v>4003</v>
      </c>
      <c r="C79" s="21" t="s">
        <v>198</v>
      </c>
      <c r="D79" s="21" t="s">
        <v>911</v>
      </c>
      <c r="E79" s="13">
        <v>42946.532835648148</v>
      </c>
      <c r="F79" s="13">
        <v>42946.539756944447</v>
      </c>
      <c r="G79" s="7">
        <v>1</v>
      </c>
      <c r="H79" s="21" t="s">
        <v>596</v>
      </c>
      <c r="I79" s="13">
        <v>42946.567465277774</v>
      </c>
      <c r="J79" s="7">
        <v>0</v>
      </c>
      <c r="K79" s="89" t="str">
        <f t="shared" si="25"/>
        <v>4003/4004</v>
      </c>
      <c r="L79" s="21" t="str">
        <f>VLOOKUP(A79,'Trips&amp;Operators'!$C$1:$G$99999,5,FALSE)</f>
        <v>SULLIVAN BRANDON</v>
      </c>
      <c r="M79" s="6">
        <f t="shared" si="26"/>
        <v>2.770833332760958E-2</v>
      </c>
      <c r="N79" s="7">
        <f t="shared" si="23"/>
        <v>39.899999991757795</v>
      </c>
      <c r="O79" s="7"/>
      <c r="P79" s="7"/>
      <c r="Q79" s="22"/>
      <c r="R79" s="170"/>
      <c r="S79" s="213">
        <f t="shared" si="27"/>
        <v>1</v>
      </c>
      <c r="T79" s="195" t="str">
        <f t="shared" si="28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29"/>
        <v>https://d0f6bd738d7f1b3e5a7ca70fe4ff75f0.us-east-1.aws.found.io/app/kibana#/discover/Steve-Slow-Train-Analysis-(2080s-and-2083s)?_g=(refreshInterval:(display:Off,pause:!f,section:0,value:0),time:(from:'2017-07-30T11:47:17-0600',mode:absolute,to:'2017-07-30T14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9" s="197" t="str">
        <f>IF(AA79&lt;VLOOKUP(AG79,Variables!$AC$3:$AD$8,2,FALSE),"Y","N")</f>
        <v>N</v>
      </c>
      <c r="X79" s="197">
        <f t="shared" si="24"/>
        <v>1</v>
      </c>
      <c r="Y79" s="197">
        <f t="shared" si="30"/>
        <v>23.308499999999999</v>
      </c>
      <c r="Z79" s="197">
        <f t="shared" si="31"/>
        <v>1.3599999999999999E-2</v>
      </c>
      <c r="AA79" s="197">
        <f t="shared" si="32"/>
        <v>23.294899999999998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3"/>
        <v>168</v>
      </c>
      <c r="AE79" s="77" t="str">
        <f t="shared" si="34"/>
        <v>aws s3 cp s3://rtdc.mdm.uploadarchive.raw/RTDC4003/ "%USERPROFILE%\AppData\Local\Temp\OnboardLogs"\RTDC4003\2017-07-30 --exclude "*" --recursive --include "*20170730*" &amp; "%USERPROFILE%\Documents\GitHub\mrs-test-scripts\Headless Mode &amp; Sideloading\WalkAndUnGZ.bat" "%USERPROFILE%\AppData\Local\Temp\OnboardLogs"\RTDC4003\2017-07-30 &amp; aws s3 cp s3://rtdc.mdm.uploadarchive.raw/RTDC4003/ "%USERPROFILE%\AppData\Local\Temp\OnboardLogs"\RTDC4003\2017-07-31 --exclude "*" --recursive --include "*20170731*" &amp; "%USERPROFILE%\Documents\GitHub\mrs-test-scripts\Headless Mode &amp; Sideloading\WalkAndUnGZ.bat" "%USERPROFILE%\AppData\Local\Temp\OnboardLogs"\RTDC4003\2017-07-31</v>
      </c>
      <c r="AF79" s="74" t="str">
        <f t="shared" si="35"/>
        <v>"C:\Program Files (x86)\AstroGrep\AstroGrep.exe" /e /r /s /spath="%USERPROFILE%\AppData\Local\Temp\OnboardLogs" /stypes="app*4003*20170730*" /stext=" 19:.+((SYSTEM_STATE.+slice.+state.+changed )|(ment ac)|(multiple cpu faults)|(system.+state.+changed )|(\[timeout)|(PRM\|1\|D)|(kpr)|(kdp)|(train st.+moving)|(\|lc)|(penalty))"</v>
      </c>
      <c r="AG79" s="209" t="str">
        <f t="shared" si="36"/>
        <v>EC</v>
      </c>
      <c r="AH79" s="78" t="str">
        <f t="shared" si="37"/>
        <v>"%USERPROFILE%\Documents\GitHub\eaglep3\Utilities\RefineRTDCRunTimes.py" --tripid 168-30 --locoid 4003 --swversion DE.1.0.9.0 --startMP 204:233085 --initTime 2017-07-30T12:47:17 --startdatetime 2017-07-30T12:57:15 --delay 1 --endMP 204:136 --enddatetime 2017-07-30T13:37:09 --enforcementcount 0 &gt;&gt;C:\Users\stu\Documents\GitHub\eaglep3-reporting\EC\2017-07-30-refined-times.txt</v>
      </c>
      <c r="AI79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{"issue":{"subject":"","project_id":79,"tracker_id":40,"status_id":1,"priority_id":2,"assigned_to_id":23,"start_date":"2017-07-30","description":"","custom_fields":[{"id":1,"name":"Subdivision","value":"EC"},{"id":4,"name":"Milepost","value":"0.0136"},{"id":17,"name":"Train ID","value":"168-30"},{"id":16,"name":"Locomotive ID","value":"4003"},{"id":130,"name":"Impact","value":""},{"id":150,"name":"Time of Event (Mountain Time)","value":"13:37:09"},{"id":151,"name":"Denver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39"/>
        <v>start /low /b %USERPROFILE%\Documents\GitHub\eaglep3\Utilities\DownloadLogsFromS3.py --loco 4003 --day 2017-07-30</v>
      </c>
      <c r="AN79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19:37:09"},{"id":29,"name":"Sharepoint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770</v>
      </c>
      <c r="B80" s="7">
        <v>4044</v>
      </c>
      <c r="C80" s="21" t="s">
        <v>198</v>
      </c>
      <c r="D80" s="21" t="s">
        <v>912</v>
      </c>
      <c r="E80" s="13">
        <v>42946.508657407408</v>
      </c>
      <c r="F80" s="13">
        <v>42946.510937500003</v>
      </c>
      <c r="G80" s="7">
        <v>1</v>
      </c>
      <c r="H80" s="21" t="s">
        <v>913</v>
      </c>
      <c r="I80" s="13">
        <v>42946.535034722219</v>
      </c>
      <c r="J80" s="7">
        <v>0</v>
      </c>
      <c r="K80" s="89" t="str">
        <f t="shared" si="25"/>
        <v>4043/4044</v>
      </c>
      <c r="L80" s="21" t="str">
        <f>VLOOKUP(A80,'Trips&amp;Operators'!$C$1:$G$99999,5,FALSE)</f>
        <v>DELGADO DIANAH</v>
      </c>
      <c r="M80" s="6">
        <f t="shared" si="26"/>
        <v>2.4097222216369119E-2</v>
      </c>
      <c r="N80" s="7">
        <f t="shared" si="23"/>
        <v>34.699999991571531</v>
      </c>
      <c r="O80" s="7"/>
      <c r="P80" s="7"/>
      <c r="Q80" s="22"/>
      <c r="R80" s="170"/>
      <c r="S80" s="213">
        <f t="shared" si="27"/>
        <v>1</v>
      </c>
      <c r="T80" s="195" t="str">
        <f t="shared" si="28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29"/>
        <v>https://d0f6bd738d7f1b3e5a7ca70fe4ff75f0.us-east-1.aws.found.io/app/kibana#/discover/Steve-Slow-Train-Analysis-(2080s-and-2083s)?_g=(refreshInterval:(display:Off,pause:!f,section:0,value:0),time:(from:'2017-07-30T11:12:28-0600',mode:absolute,to:'2017-07-30T13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0" s="197" t="str">
        <f>IF(AA80&lt;VLOOKUP(AG80,Variables!$AC$3:$AD$8,2,FALSE),"Y","N")</f>
        <v>N</v>
      </c>
      <c r="X80" s="197">
        <f t="shared" si="24"/>
        <v>1</v>
      </c>
      <c r="Y80" s="197">
        <f t="shared" si="30"/>
        <v>5.3100000000000001E-2</v>
      </c>
      <c r="Z80" s="197">
        <f t="shared" si="31"/>
        <v>23.3401</v>
      </c>
      <c r="AA80" s="197">
        <f t="shared" si="32"/>
        <v>23.286999999999999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3"/>
        <v>169</v>
      </c>
      <c r="AE80" s="77" t="str">
        <f t="shared" si="34"/>
        <v>aws s3 cp s3://rtdc.mdm.uploadarchive.raw/RTDC4044/ "%USERPROFILE%\AppData\Local\Temp\OnboardLogs"\RTDC4044\2017-07-30 --exclude "*" --recursive --include "*20170730*" &amp; "%USERPROFILE%\Documents\GitHub\mrs-test-scripts\Headless Mode &amp; Sideloading\WalkAndUnGZ.bat" "%USERPROFILE%\AppData\Local\Temp\OnboardLogs"\RTDC4044\2017-07-30 &amp; aws s3 cp s3://rtdc.mdm.uploadarchive.raw/RTDC4044/ "%USERPROFILE%\AppData\Local\Temp\OnboardLogs"\RTDC4044\2017-07-31 --exclude "*" --recursive --include "*20170731*" &amp; "%USERPROFILE%\Documents\GitHub\mrs-test-scripts\Headless Mode &amp; Sideloading\WalkAndUnGZ.bat" "%USERPROFILE%\AppData\Local\Temp\OnboardLogs"\RTDC4044\2017-07-31</v>
      </c>
      <c r="AF80" s="74" t="str">
        <f t="shared" si="35"/>
        <v>"C:\Program Files (x86)\AstroGrep\AstroGrep.exe" /e /r /s /spath="%USERPROFILE%\AppData\Local\Temp\OnboardLogs" /stypes="app*4044*20170730*" /stext=" 18:.+((SYSTEM_STATE.+slice.+state.+changed )|(ment ac)|(multiple cpu faults)|(system.+state.+changed )|(\[timeout)|(PRM\|1\|D)|(kpr)|(kdp)|(train st.+moving)|(\|lc)|(penalty))"</v>
      </c>
      <c r="AG80" s="209" t="str">
        <f t="shared" si="36"/>
        <v>EC</v>
      </c>
      <c r="AH80" s="78" t="str">
        <f t="shared" si="37"/>
        <v>"%USERPROFILE%\Documents\GitHub\eaglep3\Utilities\RefineRTDCRunTimes.py" --tripid 169-30 --locoid 4044 --swversion DE.1.0.9.0 --startMP 204:531 --initTime 2017-07-30T12:12:28 --startdatetime 2017-07-30T12:15:45 --delay 1 --endMP 204:233401 --enddatetime 2017-07-30T12:50:27 --enforcementcount 0 &gt;&gt;C:\Users\stu\Documents\GitHub\eaglep3-reporting\EC\2017-07-30-refined-times.txt</v>
      </c>
      <c r="AI80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{"issue":{"subject":"","project_id":79,"tracker_id":40,"status_id":1,"priority_id":2,"assigned_to_id":23,"start_date":"2017-07-30","description":"","custom_fields":[{"id":1,"name":"Subdivision","value":"EC"},{"id":4,"name":"Milepost","value":"23.3401"},{"id":17,"name":"Train ID","value":"169-30"},{"id":16,"name":"Locomotive ID","value":"4044"},{"id":130,"name":"Impact","value":""},{"id":150,"name":"Time of Event (Mountain Time)","value":"12:50:27"},{"id":151,"name":"Denver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39"/>
        <v>start /low /b %USERPROFILE%\Documents\GitHub\eaglep3\Utilities\DownloadLogsFromS3.py --loco 4044 --day 2017-07-30</v>
      </c>
      <c r="AN80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18:50:27"},{"id":29,"name":"Sharepoint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634</v>
      </c>
      <c r="B81" s="7">
        <v>4043</v>
      </c>
      <c r="C81" s="21" t="s">
        <v>198</v>
      </c>
      <c r="D81" s="21" t="s">
        <v>914</v>
      </c>
      <c r="E81" s="13">
        <v>42946.543287037035</v>
      </c>
      <c r="F81" s="13">
        <v>42946.550462962965</v>
      </c>
      <c r="G81" s="7">
        <v>2</v>
      </c>
      <c r="H81" s="21" t="s">
        <v>466</v>
      </c>
      <c r="I81" s="13">
        <v>42946.576504629629</v>
      </c>
      <c r="J81" s="7">
        <v>0</v>
      </c>
      <c r="K81" s="89" t="str">
        <f t="shared" si="25"/>
        <v>4043/4044</v>
      </c>
      <c r="L81" s="21" t="str">
        <f>VLOOKUP(A81,'Trips&amp;Operators'!$C$1:$G$99999,5,FALSE)</f>
        <v>DELGADO DIANAH</v>
      </c>
      <c r="M81" s="6">
        <f t="shared" si="26"/>
        <v>2.6041666664241347E-2</v>
      </c>
      <c r="N81" s="7">
        <f t="shared" si="23"/>
        <v>37.49999999650754</v>
      </c>
      <c r="O81" s="7"/>
      <c r="P81" s="7"/>
      <c r="Q81" s="22"/>
      <c r="R81" s="170"/>
      <c r="S81" s="213">
        <f t="shared" si="27"/>
        <v>1</v>
      </c>
      <c r="T81" s="195" t="str">
        <f t="shared" si="28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29"/>
        <v>https://d0f6bd738d7f1b3e5a7ca70fe4ff75f0.us-east-1.aws.found.io/app/kibana#/discover/Steve-Slow-Train-Analysis-(2080s-and-2083s)?_g=(refreshInterval:(display:Off,pause:!f,section:0,value:0),time:(from:'2017-07-30T12:02:20-0600',mode:absolute,to:'2017-07-30T14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1" s="197" t="str">
        <f>IF(AA81&lt;VLOOKUP(AG81,Variables!$AC$3:$AD$8,2,FALSE),"Y","N")</f>
        <v>N</v>
      </c>
      <c r="X81" s="197">
        <f t="shared" si="24"/>
        <v>1</v>
      </c>
      <c r="Y81" s="197">
        <f t="shared" si="30"/>
        <v>23.309000000000001</v>
      </c>
      <c r="Z81" s="197">
        <f t="shared" si="31"/>
        <v>1.6E-2</v>
      </c>
      <c r="AA81" s="197">
        <f t="shared" si="32"/>
        <v>23.293000000000003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3"/>
        <v>170</v>
      </c>
      <c r="AE81" s="77" t="str">
        <f t="shared" si="34"/>
        <v>aws s3 cp s3://rtdc.mdm.uploadarchive.raw/RTDC4043/ "%USERPROFILE%\AppData\Local\Temp\OnboardLogs"\RTDC4043\2017-07-30 --exclude "*" --recursive --include "*20170730*" &amp; "%USERPROFILE%\Documents\GitHub\mrs-test-scripts\Headless Mode &amp; Sideloading\WalkAndUnGZ.bat" "%USERPROFILE%\AppData\Local\Temp\OnboardLogs"\RTDC4043\2017-07-30 &amp; aws s3 cp s3://rtdc.mdm.uploadarchive.raw/RTDC4043/ "%USERPROFILE%\AppData\Local\Temp\OnboardLogs"\RTDC4043\2017-07-31 --exclude "*" --recursive --include "*20170731*" &amp; "%USERPROFILE%\Documents\GitHub\mrs-test-scripts\Headless Mode &amp; Sideloading\WalkAndUnGZ.bat" "%USERPROFILE%\AppData\Local\Temp\OnboardLogs"\RTDC4043\2017-07-31</v>
      </c>
      <c r="AF81" s="74" t="str">
        <f t="shared" si="35"/>
        <v>"C:\Program Files (x86)\AstroGrep\AstroGrep.exe" /e /r /s /spath="%USERPROFILE%\AppData\Local\Temp\OnboardLogs" /stypes="app*4043*20170730*" /stext=" 19:.+((SYSTEM_STATE.+slice.+state.+changed )|(ment ac)|(multiple cpu faults)|(system.+state.+changed )|(\[timeout)|(PRM\|1\|D)|(kpr)|(kdp)|(train st.+moving)|(\|lc)|(penalty))"</v>
      </c>
      <c r="AG81" s="209" t="str">
        <f t="shared" si="36"/>
        <v>EC</v>
      </c>
      <c r="AH81" s="78" t="str">
        <f t="shared" si="37"/>
        <v>"%USERPROFILE%\Documents\GitHub\eaglep3\Utilities\RefineRTDCRunTimes.py" --tripid 170-30 --locoid 4043 --swversion DE.1.0.9.0 --startMP 204:233090 --initTime 2017-07-30T13:02:20 --startdatetime 2017-07-30T13:12:40 --delay 2 --endMP 204:160 --enddatetime 2017-07-30T13:50:10 --enforcementcount 0 &gt;&gt;C:\Users\stu\Documents\GitHub\eaglep3-reporting\EC\2017-07-30-refined-times.txt</v>
      </c>
      <c r="AI81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{"issue":{"subject":"","project_id":79,"tracker_id":40,"status_id":1,"priority_id":2,"assigned_to_id":23,"start_date":"2017-07-30","description":"","custom_fields":[{"id":1,"name":"Subdivision","value":"EC"},{"id":4,"name":"Milepost","value":"0.016"},{"id":17,"name":"Train ID","value":"170-30"},{"id":16,"name":"Locomotive ID","value":"4043"},{"id":130,"name":"Impact","value":""},{"id":150,"name":"Time of Event (Mountain Time)","value":"13:50:10"},{"id":151,"name":"Denver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39"/>
        <v>start /low /b %USERPROFILE%\Documents\GitHub\eaglep3\Utilities\DownloadLogsFromS3.py --loco 4043 --day 2017-07-30</v>
      </c>
      <c r="AN81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19:50:10"},{"id":29,"name":"Sharepoint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633</v>
      </c>
      <c r="B82" s="7">
        <v>4066</v>
      </c>
      <c r="C82" s="21" t="s">
        <v>198</v>
      </c>
      <c r="D82" s="21" t="s">
        <v>915</v>
      </c>
      <c r="E82" s="13">
        <v>42946.519895833335</v>
      </c>
      <c r="F82" s="13">
        <v>42946.521562499998</v>
      </c>
      <c r="G82" s="7">
        <v>1</v>
      </c>
      <c r="H82" s="21" t="s">
        <v>916</v>
      </c>
      <c r="I82" s="13">
        <v>42946.545682870368</v>
      </c>
      <c r="J82" s="7">
        <v>0</v>
      </c>
      <c r="K82" s="89" t="str">
        <f t="shared" si="25"/>
        <v>4065/4066</v>
      </c>
      <c r="L82" s="21" t="str">
        <f>VLOOKUP(A82,'Trips&amp;Operators'!$C$1:$G$99999,5,FALSE)</f>
        <v>ROMERO CHAD</v>
      </c>
      <c r="M82" s="6">
        <f t="shared" si="26"/>
        <v>2.4120370369928423E-2</v>
      </c>
      <c r="N82" s="7">
        <f t="shared" si="23"/>
        <v>34.73333333269693</v>
      </c>
      <c r="O82" s="7"/>
      <c r="P82" s="7"/>
      <c r="Q82" s="22"/>
      <c r="R82" s="170"/>
      <c r="S82" s="213">
        <f t="shared" si="27"/>
        <v>1</v>
      </c>
      <c r="T82" s="195" t="str">
        <f t="shared" si="28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29"/>
        <v>https://d0f6bd738d7f1b3e5a7ca70fe4ff75f0.us-east-1.aws.found.io/app/kibana#/discover/Steve-Slow-Train-Analysis-(2080s-and-2083s)?_g=(refreshInterval:(display:Off,pause:!f,section:0,value:0),time:(from:'2017-07-30T11:28:39-0600',mode:absolute,to:'2017-07-30T14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2" s="197" t="str">
        <f>IF(AA82&lt;VLOOKUP(AG82,Variables!$AC$3:$AD$8,2,FALSE),"Y","N")</f>
        <v>N</v>
      </c>
      <c r="X82" s="197">
        <f t="shared" si="24"/>
        <v>1</v>
      </c>
      <c r="Y82" s="197">
        <f t="shared" si="30"/>
        <v>0.14829999999999999</v>
      </c>
      <c r="Z82" s="197">
        <f t="shared" si="31"/>
        <v>23.3383</v>
      </c>
      <c r="AA82" s="197">
        <f t="shared" si="32"/>
        <v>23.19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3"/>
        <v>171</v>
      </c>
      <c r="AE82" s="77" t="str">
        <f t="shared" si="34"/>
        <v>aws s3 cp s3://rtdc.mdm.uploadarchive.raw/RTDC4066/ "%USERPROFILE%\AppData\Local\Temp\OnboardLogs"\RTDC4066\2017-07-30 --exclude "*" --recursive --include "*20170730*" &amp; "%USERPROFILE%\Documents\GitHub\mrs-test-scripts\Headless Mode &amp; Sideloading\WalkAndUnGZ.bat" "%USERPROFILE%\AppData\Local\Temp\OnboardLogs"\RTDC4066\2017-07-30 &amp; aws s3 cp s3://rtdc.mdm.uploadarchive.raw/RTDC4066/ "%USERPROFILE%\AppData\Local\Temp\OnboardLogs"\RTDC4066\2017-07-31 --exclude "*" --recursive --include "*20170731*" &amp; "%USERPROFILE%\Documents\GitHub\mrs-test-scripts\Headless Mode &amp; Sideloading\WalkAndUnGZ.bat" "%USERPROFILE%\AppData\Local\Temp\OnboardLogs"\RTDC4066\2017-07-31</v>
      </c>
      <c r="AF82" s="74" t="str">
        <f t="shared" si="35"/>
        <v>"C:\Program Files (x86)\AstroGrep\AstroGrep.exe" /e /r /s /spath="%USERPROFILE%\AppData\Local\Temp\OnboardLogs" /stypes="app*4066*20170730*" /stext=" 19:.+((SYSTEM_STATE.+slice.+state.+changed )|(ment ac)|(multiple cpu faults)|(system.+state.+changed )|(\[timeout)|(PRM\|1\|D)|(kpr)|(kdp)|(train st.+moving)|(\|lc)|(penalty))"</v>
      </c>
      <c r="AG82" s="209" t="str">
        <f t="shared" si="36"/>
        <v>EC</v>
      </c>
      <c r="AH82" s="78" t="str">
        <f t="shared" si="37"/>
        <v>"%USERPROFILE%\Documents\GitHub\eaglep3\Utilities\RefineRTDCRunTimes.py" --tripid 171-30 --locoid 4066 --swversion DE.1.0.9.0 --startMP 204:1483 --initTime 2017-07-30T12:28:39 --startdatetime 2017-07-30T12:31:03 --delay 1 --endMP 204:233383 --enddatetime 2017-07-30T13:05:47 --enforcementcount 0 &gt;&gt;C:\Users\stu\Documents\GitHub\eaglep3-reporting\EC\2017-07-30-refined-times.txt</v>
      </c>
      <c r="AI82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{"issue":{"subject":"","project_id":79,"tracker_id":40,"status_id":1,"priority_id":2,"assigned_to_id":23,"start_date":"2017-07-30","description":"","custom_fields":[{"id":1,"name":"Subdivision","value":"EC"},{"id":4,"name":"Milepost","value":"23.3383"},{"id":17,"name":"Train ID","value":"171-30"},{"id":16,"name":"Locomotive ID","value":"4066"},{"id":130,"name":"Impact","value":""},{"id":150,"name":"Time of Event (Mountain Time)","value":"13:05:47"},{"id":151,"name":"Denver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39"/>
        <v>start /low /b %USERPROFILE%\Documents\GitHub\eaglep3\Utilities\DownloadLogsFromS3.py --loco 4066 --day 2017-07-30</v>
      </c>
      <c r="AN82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19:05:47"},{"id":29,"name":"Sharepoint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783</v>
      </c>
      <c r="B83" s="7">
        <v>4065</v>
      </c>
      <c r="C83" s="21" t="s">
        <v>198</v>
      </c>
      <c r="D83" s="21" t="s">
        <v>917</v>
      </c>
      <c r="E83" s="13">
        <v>42946.551527777781</v>
      </c>
      <c r="F83" s="13">
        <v>42946.560590277775</v>
      </c>
      <c r="G83" s="7">
        <v>1</v>
      </c>
      <c r="H83" s="21" t="s">
        <v>918</v>
      </c>
      <c r="I83" s="13">
        <v>42946.58630787037</v>
      </c>
      <c r="J83" s="7">
        <v>0</v>
      </c>
      <c r="K83" s="89" t="str">
        <f t="shared" si="25"/>
        <v>4065/4066</v>
      </c>
      <c r="L83" s="21" t="str">
        <f>VLOOKUP(A83,'Trips&amp;Operators'!$C$1:$G$99999,5,FALSE)</f>
        <v>ROMERO CHAD</v>
      </c>
      <c r="M83" s="6">
        <f t="shared" si="26"/>
        <v>2.5717592594446614E-2</v>
      </c>
      <c r="N83" s="7">
        <f t="shared" si="23"/>
        <v>37.033333336003125</v>
      </c>
      <c r="O83" s="7"/>
      <c r="P83" s="7"/>
      <c r="Q83" s="22"/>
      <c r="R83" s="170"/>
      <c r="S83" s="213">
        <f t="shared" si="27"/>
        <v>1</v>
      </c>
      <c r="T83" s="195" t="str">
        <f t="shared" si="28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29"/>
        <v>https://d0f6bd738d7f1b3e5a7ca70fe4ff75f0.us-east-1.aws.found.io/app/kibana#/discover/Steve-Slow-Train-Analysis-(2080s-and-2083s)?_g=(refreshInterval:(display:Off,pause:!f,section:0,value:0),time:(from:'2017-07-30T12:14:12-0600',mode:absolute,to:'2017-07-30T15:04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3" s="197" t="str">
        <f>IF(AA83&lt;VLOOKUP(AG83,Variables!$AC$3:$AD$8,2,FALSE),"Y","N")</f>
        <v>N</v>
      </c>
      <c r="X83" s="197">
        <f t="shared" si="24"/>
        <v>1</v>
      </c>
      <c r="Y83" s="197">
        <f t="shared" si="30"/>
        <v>23.3079</v>
      </c>
      <c r="Z83" s="197">
        <f t="shared" si="31"/>
        <v>1.23E-2</v>
      </c>
      <c r="AA83" s="197">
        <f t="shared" si="32"/>
        <v>23.2956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3"/>
        <v>172</v>
      </c>
      <c r="AE83" s="77" t="str">
        <f t="shared" si="34"/>
        <v>aws s3 cp s3://rtdc.mdm.uploadarchive.raw/RTDC4065/ "%USERPROFILE%\AppData\Local\Temp\OnboardLogs"\RTDC4065\2017-07-30 --exclude "*" --recursive --include "*20170730*" &amp; "%USERPROFILE%\Documents\GitHub\mrs-test-scripts\Headless Mode &amp; Sideloading\WalkAndUnGZ.bat" "%USERPROFILE%\AppData\Local\Temp\OnboardLogs"\RTDC4065\2017-07-30 &amp; aws s3 cp s3://rtdc.mdm.uploadarchive.raw/RTDC4065/ "%USERPROFILE%\AppData\Local\Temp\OnboardLogs"\RTDC4065\2017-07-31 --exclude "*" --recursive --include "*20170731*" &amp; "%USERPROFILE%\Documents\GitHub\mrs-test-scripts\Headless Mode &amp; Sideloading\WalkAndUnGZ.bat" "%USERPROFILE%\AppData\Local\Temp\OnboardLogs"\RTDC4065\2017-07-31</v>
      </c>
      <c r="AF83" s="74" t="str">
        <f t="shared" si="35"/>
        <v>"C:\Program Files (x86)\AstroGrep\AstroGrep.exe" /e /r /s /spath="%USERPROFILE%\AppData\Local\Temp\OnboardLogs" /stypes="app*4065*20170730*" /stext=" 20:.+((SYSTEM_STATE.+slice.+state.+changed )|(ment ac)|(multiple cpu faults)|(system.+state.+changed )|(\[timeout)|(PRM\|1\|D)|(kpr)|(kdp)|(train st.+moving)|(\|lc)|(penalty))"</v>
      </c>
      <c r="AG83" s="209" t="str">
        <f t="shared" si="36"/>
        <v>EC</v>
      </c>
      <c r="AH83" s="78" t="str">
        <f t="shared" si="37"/>
        <v>"%USERPROFILE%\Documents\GitHub\eaglep3\Utilities\RefineRTDCRunTimes.py" --tripid 172-30 --locoid 4065 --swversion DE.1.0.9.0 --startMP 204:233079 --initTime 2017-07-30T13:14:12 --startdatetime 2017-07-30T13:27:15 --delay 1 --endMP 204:123 --enddatetime 2017-07-30T14:04:17 --enforcementcount 0 &gt;&gt;C:\Users\stu\Documents\GitHub\eaglep3-reporting\EC\2017-07-30-refined-times.txt</v>
      </c>
      <c r="AI83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{"issue":{"subject":"","project_id":79,"tracker_id":40,"status_id":1,"priority_id":2,"assigned_to_id":23,"start_date":"2017-07-30","description":"","custom_fields":[{"id":1,"name":"Subdivision","value":"EC"},{"id":4,"name":"Milepost","value":"0.0123"},{"id":17,"name":"Train ID","value":"172-30"},{"id":16,"name":"Locomotive ID","value":"4065"},{"id":130,"name":"Impact","value":""},{"id":150,"name":"Time of Event (Mountain Time)","value":"14:04:17"},{"id":151,"name":"Denver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39"/>
        <v>start /low /b %USERPROFILE%\Documents\GitHub\eaglep3\Utilities\DownloadLogsFromS3.py --loco 4065 --day 2017-07-30</v>
      </c>
      <c r="AN83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20:04:17"},{"id":29,"name":"Sharepoint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776</v>
      </c>
      <c r="B84" s="7">
        <v>4016</v>
      </c>
      <c r="C84" s="21" t="s">
        <v>198</v>
      </c>
      <c r="D84" s="21" t="s">
        <v>451</v>
      </c>
      <c r="E84" s="13">
        <v>42946.531180555554</v>
      </c>
      <c r="F84" s="13">
        <v>42946.533831018518</v>
      </c>
      <c r="G84" s="7">
        <v>1</v>
      </c>
      <c r="H84" s="21" t="s">
        <v>919</v>
      </c>
      <c r="I84" s="13">
        <v>42946.558020833334</v>
      </c>
      <c r="J84" s="7">
        <v>0</v>
      </c>
      <c r="K84" s="89" t="str">
        <f t="shared" si="25"/>
        <v>4015/4016</v>
      </c>
      <c r="L84" s="21" t="str">
        <f>VLOOKUP(A84,'Trips&amp;Operators'!$C$1:$G$99999,5,FALSE)</f>
        <v>MCREYNOLDS KYLE</v>
      </c>
      <c r="M84" s="6">
        <f t="shared" si="26"/>
        <v>2.4189814816054422E-2</v>
      </c>
      <c r="N84" s="7">
        <f t="shared" si="23"/>
        <v>34.833333335118368</v>
      </c>
      <c r="O84" s="7"/>
      <c r="P84" s="7"/>
      <c r="Q84" s="22"/>
      <c r="R84" s="170"/>
      <c r="S84" s="213">
        <f t="shared" si="27"/>
        <v>1</v>
      </c>
      <c r="T84" s="195" t="str">
        <f t="shared" si="28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29"/>
        <v>https://d0f6bd738d7f1b3e5a7ca70fe4ff75f0.us-east-1.aws.found.io/app/kibana#/discover/Steve-Slow-Train-Analysis-(2080s-and-2083s)?_g=(refreshInterval:(display:Off,pause:!f,section:0,value:0),time:(from:'2017-07-30T11:44:54-0600',mode:absolute,to:'2017-07-30T14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4" s="197" t="str">
        <f>IF(AA84&lt;VLOOKUP(AG84,Variables!$AC$3:$AD$8,2,FALSE),"Y","N")</f>
        <v>N</v>
      </c>
      <c r="X84" s="197">
        <f t="shared" si="24"/>
        <v>1</v>
      </c>
      <c r="Y84" s="197">
        <f t="shared" si="30"/>
        <v>4.5999999999999999E-2</v>
      </c>
      <c r="Z84" s="197">
        <f t="shared" si="31"/>
        <v>23.335999999999999</v>
      </c>
      <c r="AA84" s="197">
        <f t="shared" si="32"/>
        <v>23.29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3"/>
        <v>173</v>
      </c>
      <c r="AE84" s="77" t="str">
        <f t="shared" si="34"/>
        <v>aws s3 cp s3://rtdc.mdm.uploadarchive.raw/RTDC4016/ "%USERPROFILE%\AppData\Local\Temp\OnboardLogs"\RTDC4016\2017-07-30 --exclude "*" --recursive --include "*20170730*" &amp; "%USERPROFILE%\Documents\GitHub\mrs-test-scripts\Headless Mode &amp; Sideloading\WalkAndUnGZ.bat" "%USERPROFILE%\AppData\Local\Temp\OnboardLogs"\RTDC4016\2017-07-30 &amp; aws s3 cp s3://rtdc.mdm.uploadarchive.raw/RTDC4016/ "%USERPROFILE%\AppData\Local\Temp\OnboardLogs"\RTDC4016\2017-07-31 --exclude "*" --recursive --include "*20170731*" &amp; "%USERPROFILE%\Documents\GitHub\mrs-test-scripts\Headless Mode &amp; Sideloading\WalkAndUnGZ.bat" "%USERPROFILE%\AppData\Local\Temp\OnboardLogs"\RTDC4016\2017-07-31</v>
      </c>
      <c r="AF84" s="74" t="str">
        <f t="shared" si="35"/>
        <v>"C:\Program Files (x86)\AstroGrep\AstroGrep.exe" /e /r /s /spath="%USERPROFILE%\AppData\Local\Temp\OnboardLogs" /stypes="app*4016*20170730*" /stext=" 19:.+((SYSTEM_STATE.+slice.+state.+changed )|(ment ac)|(multiple cpu faults)|(system.+state.+changed )|(\[timeout)|(PRM\|1\|D)|(kpr)|(kdp)|(train st.+moving)|(\|lc)|(penalty))"</v>
      </c>
      <c r="AG84" s="209" t="str">
        <f t="shared" si="36"/>
        <v>EC</v>
      </c>
      <c r="AH84" s="78" t="str">
        <f t="shared" si="37"/>
        <v>"%USERPROFILE%\Documents\GitHub\eaglep3\Utilities\RefineRTDCRunTimes.py" --tripid 173-30 --locoid 4016 --swversion DE.1.0.9.0 --startMP 204:460 --initTime 2017-07-30T12:44:54 --startdatetime 2017-07-30T12:48:43 --delay 1 --endMP 204:233360 --enddatetime 2017-07-30T13:23:33 --enforcementcount 0 &gt;&gt;C:\Users\stu\Documents\GitHub\eaglep3-reporting\EC\2017-07-30-refined-times.txt</v>
      </c>
      <c r="AI84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{"issue":{"subject":"","project_id":79,"tracker_id":40,"status_id":1,"priority_id":2,"assigned_to_id":23,"start_date":"2017-07-30","description":"","custom_fields":[{"id":1,"name":"Subdivision","value":"EC"},{"id":4,"name":"Milepost","value":"23.336"},{"id":17,"name":"Train ID","value":"173-30"},{"id":16,"name":"Locomotive ID","value":"4016"},{"id":130,"name":"Impact","value":""},{"id":150,"name":"Time of Event (Mountain Time)","value":"13:23:33"},{"id":151,"name":"Denver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39"/>
        <v>start /low /b %USERPROFILE%\Documents\GitHub\eaglep3\Utilities\DownloadLogsFromS3.py --loco 4016 --day 2017-07-30</v>
      </c>
      <c r="AN84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19:23:33"},{"id":29,"name":"Sharepoint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784</v>
      </c>
      <c r="B85" s="7">
        <v>4015</v>
      </c>
      <c r="C85" s="21" t="s">
        <v>198</v>
      </c>
      <c r="D85" s="21" t="s">
        <v>594</v>
      </c>
      <c r="E85" s="13">
        <v>42946.560763888891</v>
      </c>
      <c r="F85" s="13">
        <v>42946.570983796293</v>
      </c>
      <c r="G85" s="7">
        <v>1</v>
      </c>
      <c r="H85" s="21" t="s">
        <v>377</v>
      </c>
      <c r="I85" s="13">
        <v>42946.597326388888</v>
      </c>
      <c r="J85" s="7">
        <v>0</v>
      </c>
      <c r="K85" s="89" t="str">
        <f t="shared" si="25"/>
        <v>4015/4016</v>
      </c>
      <c r="L85" s="21" t="str">
        <f>VLOOKUP(A85,'Trips&amp;Operators'!$C$1:$G$99999,5,FALSE)</f>
        <v>MCREYNOLDS KYLE</v>
      </c>
      <c r="M85" s="6">
        <f t="shared" si="26"/>
        <v>2.6342592595028691E-2</v>
      </c>
      <c r="N85" s="7">
        <f t="shared" si="23"/>
        <v>37.933333336841315</v>
      </c>
      <c r="O85" s="7"/>
      <c r="P85" s="7"/>
      <c r="Q85" s="22"/>
      <c r="R85" s="170"/>
      <c r="S85" s="213">
        <f t="shared" si="27"/>
        <v>1</v>
      </c>
      <c r="T85" s="195" t="str">
        <f t="shared" si="28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29"/>
        <v>https://d0f6bd738d7f1b3e5a7ca70fe4ff75f0.us-east-1.aws.found.io/app/kibana#/discover/Steve-Slow-Train-Analysis-(2080s-and-2083s)?_g=(refreshInterval:(display:Off,pause:!f,section:0,value:0),time:(from:'2017-07-30T12:27:30-0600',mode:absolute,to:'2017-07-30T15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5" s="197" t="str">
        <f>IF(AA85&lt;VLOOKUP(AG85,Variables!$AC$3:$AD$8,2,FALSE),"Y","N")</f>
        <v>N</v>
      </c>
      <c r="X85" s="197">
        <f t="shared" si="24"/>
        <v>1</v>
      </c>
      <c r="Y85" s="197">
        <f t="shared" si="30"/>
        <v>23.305299999999999</v>
      </c>
      <c r="Z85" s="197">
        <f t="shared" si="31"/>
        <v>1.54E-2</v>
      </c>
      <c r="AA85" s="197">
        <f t="shared" si="32"/>
        <v>23.289899999999999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3"/>
        <v>174</v>
      </c>
      <c r="AE85" s="77" t="str">
        <f t="shared" si="34"/>
        <v>aws s3 cp s3://rtdc.mdm.uploadarchive.raw/RTDC4015/ "%USERPROFILE%\AppData\Local\Temp\OnboardLogs"\RTDC4015\2017-07-30 --exclude "*" --recursive --include "*20170730*" &amp; "%USERPROFILE%\Documents\GitHub\mrs-test-scripts\Headless Mode &amp; Sideloading\WalkAndUnGZ.bat" "%USERPROFILE%\AppData\Local\Temp\OnboardLogs"\RTDC4015\2017-07-30 &amp; aws s3 cp s3://rtdc.mdm.uploadarchive.raw/RTDC4015/ "%USERPROFILE%\AppData\Local\Temp\OnboardLogs"\RTDC4015\2017-07-31 --exclude "*" --recursive --include "*20170731*" &amp; "%USERPROFILE%\Documents\GitHub\mrs-test-scripts\Headless Mode &amp; Sideloading\WalkAndUnGZ.bat" "%USERPROFILE%\AppData\Local\Temp\OnboardLogs"\RTDC4015\2017-07-31</v>
      </c>
      <c r="AF85" s="74" t="str">
        <f t="shared" si="35"/>
        <v>"C:\Program Files (x86)\AstroGrep\AstroGrep.exe" /e /r /s /spath="%USERPROFILE%\AppData\Local\Temp\OnboardLogs" /stypes="app*4015*20170730*" /stext=" 20:.+((SYSTEM_STATE.+slice.+state.+changed )|(ment ac)|(multiple cpu faults)|(system.+state.+changed )|(\[timeout)|(PRM\|1\|D)|(kpr)|(kdp)|(train st.+moving)|(\|lc)|(penalty))"</v>
      </c>
      <c r="AG85" s="209" t="str">
        <f t="shared" si="36"/>
        <v>EC</v>
      </c>
      <c r="AH85" s="78" t="str">
        <f t="shared" si="37"/>
        <v>"%USERPROFILE%\Documents\GitHub\eaglep3\Utilities\RefineRTDCRunTimes.py" --tripid 174-30 --locoid 4015 --swversion DE.1.0.9.0 --startMP 204:233053 --initTime 2017-07-30T13:27:30 --startdatetime 2017-07-30T13:42:13 --delay 1 --endMP 204:154 --enddatetime 2017-07-30T14:20:09 --enforcementcount 0 &gt;&gt;C:\Users\stu\Documents\GitHub\eaglep3-reporting\EC\2017-07-30-refined-times.txt</v>
      </c>
      <c r="AI85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{"issue":{"subject":"","project_id":79,"tracker_id":40,"status_id":1,"priority_id":2,"assigned_to_id":23,"start_date":"2017-07-30","description":"","custom_fields":[{"id":1,"name":"Subdivision","value":"EC"},{"id":4,"name":"Milepost","value":"0.0154"},{"id":17,"name":"Train ID","value":"174-30"},{"id":16,"name":"Locomotive ID","value":"4015"},{"id":130,"name":"Impact","value":""},{"id":150,"name":"Time of Event (Mountain Time)","value":"14:20:09"},{"id":151,"name":"Denver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39"/>
        <v>start /low /b %USERPROFILE%\Documents\GitHub\eaglep3\Utilities\DownloadLogsFromS3.py --loco 4015 --day 2017-07-30</v>
      </c>
      <c r="AN85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20:20:09"},{"id":29,"name":"Sharepoint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781</v>
      </c>
      <c r="B86" s="7">
        <v>4032</v>
      </c>
      <c r="C86" s="21" t="s">
        <v>198</v>
      </c>
      <c r="D86" s="21" t="s">
        <v>920</v>
      </c>
      <c r="E86" s="13">
        <v>42946.540543981479</v>
      </c>
      <c r="F86" s="13">
        <v>42946.542349537034</v>
      </c>
      <c r="G86" s="7">
        <v>1</v>
      </c>
      <c r="H86" s="21" t="s">
        <v>921</v>
      </c>
      <c r="I86" s="13">
        <v>42946.568831018521</v>
      </c>
      <c r="J86" s="7">
        <v>0</v>
      </c>
      <c r="K86" s="89" t="str">
        <f t="shared" si="25"/>
        <v>4031/4032</v>
      </c>
      <c r="L86" s="21" t="str">
        <f>VLOOKUP(A86,'Trips&amp;Operators'!$C$1:$G$99999,5,FALSE)</f>
        <v>DAVIS MICHAEL</v>
      </c>
      <c r="M86" s="6">
        <f t="shared" si="26"/>
        <v>2.6481481487280689E-2</v>
      </c>
      <c r="N86" s="7">
        <f t="shared" si="23"/>
        <v>38.133333341684192</v>
      </c>
      <c r="O86" s="7"/>
      <c r="P86" s="7"/>
      <c r="Q86" s="22"/>
      <c r="R86" s="170"/>
      <c r="S86" s="213">
        <f t="shared" si="27"/>
        <v>1</v>
      </c>
      <c r="T86" s="195" t="str">
        <f t="shared" si="28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29"/>
        <v>https://d0f6bd738d7f1b3e5a7ca70fe4ff75f0.us-east-1.aws.found.io/app/kibana#/discover/Steve-Slow-Train-Analysis-(2080s-and-2083s)?_g=(refreshInterval:(display:Off,pause:!f,section:0,value:0),time:(from:'2017-07-30T11:58:23-0600',mode:absolute,to:'2017-07-30T14:39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6" s="197" t="str">
        <f>IF(AA86&lt;VLOOKUP(AG86,Variables!$AC$3:$AD$8,2,FALSE),"Y","N")</f>
        <v>N</v>
      </c>
      <c r="X86" s="197">
        <f t="shared" si="24"/>
        <v>1</v>
      </c>
      <c r="Y86" s="197">
        <f t="shared" si="30"/>
        <v>4.8899999999999999E-2</v>
      </c>
      <c r="Z86" s="197">
        <f t="shared" si="31"/>
        <v>23.328099999999999</v>
      </c>
      <c r="AA86" s="197">
        <f t="shared" si="32"/>
        <v>23.279199999999999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3"/>
        <v>175</v>
      </c>
      <c r="AE86" s="77" t="str">
        <f t="shared" si="34"/>
        <v>aws s3 cp s3://rtdc.mdm.uploadarchive.raw/RTDC4032/ "%USERPROFILE%\AppData\Local\Temp\OnboardLogs"\RTDC4032\2017-07-30 --exclude "*" --recursive --include "*20170730*" &amp; "%USERPROFILE%\Documents\GitHub\mrs-test-scripts\Headless Mode &amp; Sideloading\WalkAndUnGZ.bat" "%USERPROFILE%\AppData\Local\Temp\OnboardLogs"\RTDC4032\2017-07-30 &amp; aws s3 cp s3://rtdc.mdm.uploadarchive.raw/RTDC4032/ "%USERPROFILE%\AppData\Local\Temp\OnboardLogs"\RTDC4032\2017-07-31 --exclude "*" --recursive --include "*20170731*" &amp; "%USERPROFILE%\Documents\GitHub\mrs-test-scripts\Headless Mode &amp; Sideloading\WalkAndUnGZ.bat" "%USERPROFILE%\AppData\Local\Temp\OnboardLogs"\RTDC4032\2017-07-31</v>
      </c>
      <c r="AF86" s="74" t="str">
        <f t="shared" si="35"/>
        <v>"C:\Program Files (x86)\AstroGrep\AstroGrep.exe" /e /r /s /spath="%USERPROFILE%\AppData\Local\Temp\OnboardLogs" /stypes="app*4032*20170730*" /stext=" 19:.+((SYSTEM_STATE.+slice.+state.+changed )|(ment ac)|(multiple cpu faults)|(system.+state.+changed )|(\[timeout)|(PRM\|1\|D)|(kpr)|(kdp)|(train st.+moving)|(\|lc)|(penalty))"</v>
      </c>
      <c r="AG86" s="209" t="str">
        <f t="shared" si="36"/>
        <v>EC</v>
      </c>
      <c r="AH86" s="78" t="str">
        <f t="shared" si="37"/>
        <v>"%USERPROFILE%\Documents\GitHub\eaglep3\Utilities\RefineRTDCRunTimes.py" --tripid 175-30 --locoid 4032 --swversion DE.1.0.9.0 --startMP 204:489 --initTime 2017-07-30T12:58:23 --startdatetime 2017-07-30T13:00:59 --delay 1 --endMP 204:233281 --enddatetime 2017-07-30T13:39:07 --enforcementcount 0 &gt;&gt;C:\Users\stu\Documents\GitHub\eaglep3-reporting\EC\2017-07-30-refined-times.txt</v>
      </c>
      <c r="AI86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{"issue":{"subject":"","project_id":79,"tracker_id":40,"status_id":1,"priority_id":2,"assigned_to_id":23,"start_date":"2017-07-30","description":"","custom_fields":[{"id":1,"name":"Subdivision","value":"EC"},{"id":4,"name":"Milepost","value":"23.3281"},{"id":17,"name":"Train ID","value":"175-30"},{"id":16,"name":"Locomotive ID","value":"4032"},{"id":130,"name":"Impact","value":""},{"id":150,"name":"Time of Event (Mountain Time)","value":"13:39:07"},{"id":151,"name":"Denver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39"/>
        <v>start /low /b %USERPROFILE%\Documents\GitHub\eaglep3\Utilities\DownloadLogsFromS3.py --loco 4032 --day 2017-07-30</v>
      </c>
      <c r="AN86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19:39:07"},{"id":29,"name":"Sharepoint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788</v>
      </c>
      <c r="B87" s="7">
        <v>4031</v>
      </c>
      <c r="C87" s="21" t="s">
        <v>198</v>
      </c>
      <c r="D87" s="21" t="s">
        <v>578</v>
      </c>
      <c r="E87" s="13">
        <v>42946.579664351855</v>
      </c>
      <c r="F87" s="13">
        <v>42946.581666666665</v>
      </c>
      <c r="G87" s="7">
        <v>1</v>
      </c>
      <c r="H87" s="21" t="s">
        <v>873</v>
      </c>
      <c r="I87" s="13">
        <v>42946.609456018516</v>
      </c>
      <c r="J87" s="7">
        <v>0</v>
      </c>
      <c r="K87" s="89" t="str">
        <f t="shared" si="25"/>
        <v>4031/4032</v>
      </c>
      <c r="L87" s="21" t="str">
        <f>VLOOKUP(A87,'Trips&amp;Operators'!$C$1:$G$99999,5,FALSE)</f>
        <v>DAVIS MICHAEL</v>
      </c>
      <c r="M87" s="6">
        <f t="shared" si="26"/>
        <v>2.7789351850515231E-2</v>
      </c>
      <c r="N87" s="7">
        <f t="shared" si="23"/>
        <v>40.016666664741933</v>
      </c>
      <c r="O87" s="7"/>
      <c r="P87" s="7"/>
      <c r="Q87" s="22"/>
      <c r="R87" s="170"/>
      <c r="S87" s="213">
        <f t="shared" si="27"/>
        <v>1</v>
      </c>
      <c r="T87" s="195" t="str">
        <f t="shared" si="28"/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29"/>
        <v>https://d0f6bd738d7f1b3e5a7ca70fe4ff75f0.us-east-1.aws.found.io/app/kibana#/discover/Steve-Slow-Train-Analysis-(2080s-and-2083s)?_g=(refreshInterval:(display:Off,pause:!f,section:0,value:0),time:(from:'2017-07-30T12:54:43-0600',mode:absolute,to:'2017-07-30T15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7" s="197" t="str">
        <f>IF(AA87&lt;VLOOKUP(AG87,Variables!$AC$3:$AD$8,2,FALSE),"Y","N")</f>
        <v>N</v>
      </c>
      <c r="X87" s="197">
        <f t="shared" si="24"/>
        <v>1</v>
      </c>
      <c r="Y87" s="197">
        <f t="shared" si="30"/>
        <v>23.300599999999999</v>
      </c>
      <c r="Z87" s="197">
        <f t="shared" si="31"/>
        <v>1.38E-2</v>
      </c>
      <c r="AA87" s="197">
        <f t="shared" si="32"/>
        <v>23.286799999999999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3"/>
        <v>176</v>
      </c>
      <c r="AE87" s="77" t="str">
        <f t="shared" si="34"/>
        <v>aws s3 cp s3://rtdc.mdm.uploadarchive.raw/RTDC4031/ "%USERPROFILE%\AppData\Local\Temp\OnboardLogs"\RTDC4031\2017-07-30 --exclude "*" --recursive --include "*20170730*" &amp; "%USERPROFILE%\Documents\GitHub\mrs-test-scripts\Headless Mode &amp; Sideloading\WalkAndUnGZ.bat" "%USERPROFILE%\AppData\Local\Temp\OnboardLogs"\RTDC4031\2017-07-30 &amp; aws s3 cp s3://rtdc.mdm.uploadarchive.raw/RTDC4031/ "%USERPROFILE%\AppData\Local\Temp\OnboardLogs"\RTDC4031\2017-07-31 --exclude "*" --recursive --include "*20170731*" &amp; "%USERPROFILE%\Documents\GitHub\mrs-test-scripts\Headless Mode &amp; Sideloading\WalkAndUnGZ.bat" "%USERPROFILE%\AppData\Local\Temp\OnboardLogs"\RTDC4031\2017-07-31</v>
      </c>
      <c r="AF87" s="74" t="str">
        <f t="shared" si="35"/>
        <v>"C:\Program Files (x86)\AstroGrep\AstroGrep.exe" /e /r /s /spath="%USERPROFILE%\AppData\Local\Temp\OnboardLogs" /stypes="app*4031*20170730*" /stext=" 20:.+((SYSTEM_STATE.+slice.+state.+changed )|(ment ac)|(multiple cpu faults)|(system.+state.+changed )|(\[timeout)|(PRM\|1\|D)|(kpr)|(kdp)|(train st.+moving)|(\|lc)|(penalty))"</v>
      </c>
      <c r="AG87" s="209" t="str">
        <f t="shared" si="36"/>
        <v>EC</v>
      </c>
      <c r="AH87" s="78" t="str">
        <f t="shared" si="37"/>
        <v>"%USERPROFILE%\Documents\GitHub\eaglep3\Utilities\RefineRTDCRunTimes.py" --tripid 176-30 --locoid 4031 --swversion DE.1.0.9.0 --startMP 204:233006 --initTime 2017-07-30T13:54:43 --startdatetime 2017-07-30T13:57:36 --delay 1 --endMP 204:138 --enddatetime 2017-07-30T14:37:37 --enforcementcount 0 &gt;&gt;C:\Users\stu\Documents\GitHub\eaglep3-reporting\EC\2017-07-30-refined-times.txt</v>
      </c>
      <c r="AI87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{"issue":{"subject":"","project_id":79,"tracker_id":40,"status_id":1,"priority_id":2,"assigned_to_id":23,"start_date":"2017-07-30","description":"","custom_fields":[{"id":1,"name":"Subdivision","value":"EC"},{"id":4,"name":"Milepost","value":"0.0138"},{"id":17,"name":"Train ID","value":"176-30"},{"id":16,"name":"Locomotive ID","value":"4031"},{"id":130,"name":"Impact","value":""},{"id":150,"name":"Time of Event (Mountain Time)","value":"14:37:37"},{"id":151,"name":"Denver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39"/>
        <v>start /low /b %USERPROFILE%\Documents\GitHub\eaglep3\Utilities\DownloadLogsFromS3.py --loco 4031 --day 2017-07-30</v>
      </c>
      <c r="AN87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20:37:37"},{"id":29,"name":"Sharepoint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782</v>
      </c>
      <c r="B88" s="7">
        <v>4058</v>
      </c>
      <c r="C88" s="21" t="s">
        <v>198</v>
      </c>
      <c r="D88" s="21" t="s">
        <v>410</v>
      </c>
      <c r="E88" s="13">
        <v>42946.550555555557</v>
      </c>
      <c r="F88" s="13">
        <v>42946.552905092591</v>
      </c>
      <c r="G88" s="7">
        <v>1</v>
      </c>
      <c r="H88" s="21" t="s">
        <v>922</v>
      </c>
      <c r="I88" s="13">
        <v>42946.578009259261</v>
      </c>
      <c r="J88" s="7">
        <v>0</v>
      </c>
      <c r="K88" s="89" t="str">
        <f t="shared" si="25"/>
        <v>4057/4058</v>
      </c>
      <c r="L88" s="21" t="str">
        <f>VLOOKUP(A88,'Trips&amp;Operators'!$C$1:$G$99999,5,FALSE)</f>
        <v>THOMPSON LESTER</v>
      </c>
      <c r="M88" s="6">
        <f t="shared" si="26"/>
        <v>2.510416667064419E-2</v>
      </c>
      <c r="N88" s="7">
        <f t="shared" ref="N88:N119" si="41">24*60*SUM($M88:$M88)</f>
        <v>36.150000005727634</v>
      </c>
      <c r="O88" s="7"/>
      <c r="P88" s="7"/>
      <c r="Q88" s="22"/>
      <c r="R88" s="170"/>
      <c r="S88" s="213">
        <f t="shared" si="27"/>
        <v>1</v>
      </c>
      <c r="T88" s="195" t="str">
        <f t="shared" si="28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29"/>
        <v>https://d0f6bd738d7f1b3e5a7ca70fe4ff75f0.us-east-1.aws.found.io/app/kibana#/discover/Steve-Slow-Train-Analysis-(2080s-and-2083s)?_g=(refreshInterval:(display:Off,pause:!f,section:0,value:0),time:(from:'2017-07-30T12:12:48-0600',mode:absolute,to:'2017-07-30T14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8" s="197" t="str">
        <f>IF(AA88&lt;VLOOKUP(AG88,Variables!$AC$3:$AD$8,2,FALSE),"Y","N")</f>
        <v>N</v>
      </c>
      <c r="X88" s="197">
        <f t="shared" si="24"/>
        <v>1</v>
      </c>
      <c r="Y88" s="197">
        <f t="shared" si="30"/>
        <v>4.7100000000000003E-2</v>
      </c>
      <c r="Z88" s="197">
        <f t="shared" si="31"/>
        <v>23.3322</v>
      </c>
      <c r="AA88" s="197">
        <f t="shared" si="32"/>
        <v>23.2851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3"/>
        <v>177</v>
      </c>
      <c r="AE88" s="77" t="str">
        <f t="shared" si="34"/>
        <v>aws s3 cp s3://rtdc.mdm.uploadarchive.raw/RTDC4058/ "%USERPROFILE%\AppData\Local\Temp\OnboardLogs"\RTDC4058\2017-07-30 --exclude "*" --recursive --include "*20170730*" &amp; "%USERPROFILE%\Documents\GitHub\mrs-test-scripts\Headless Mode &amp; Sideloading\WalkAndUnGZ.bat" "%USERPROFILE%\AppData\Local\Temp\OnboardLogs"\RTDC4058\2017-07-30 &amp; aws s3 cp s3://rtdc.mdm.uploadarchive.raw/RTDC4058/ "%USERPROFILE%\AppData\Local\Temp\OnboardLogs"\RTDC4058\2017-07-31 --exclude "*" --recursive --include "*20170731*" &amp; "%USERPROFILE%\Documents\GitHub\mrs-test-scripts\Headless Mode &amp; Sideloading\WalkAndUnGZ.bat" "%USERPROFILE%\AppData\Local\Temp\OnboardLogs"\RTDC4058\2017-07-31</v>
      </c>
      <c r="AF88" s="74" t="str">
        <f t="shared" si="35"/>
        <v>"C:\Program Files (x86)\AstroGrep\AstroGrep.exe" /e /r /s /spath="%USERPROFILE%\AppData\Local\Temp\OnboardLogs" /stypes="app*4058*20170730*" /stext=" 19:.+((SYSTEM_STATE.+slice.+state.+changed )|(ment ac)|(multiple cpu faults)|(system.+state.+changed )|(\[timeout)|(PRM\|1\|D)|(kpr)|(kdp)|(train st.+moving)|(\|lc)|(penalty))"</v>
      </c>
      <c r="AG88" s="209" t="str">
        <f t="shared" si="36"/>
        <v>EC</v>
      </c>
      <c r="AH88" s="78" t="str">
        <f t="shared" si="37"/>
        <v>"%USERPROFILE%\Documents\GitHub\eaglep3\Utilities\RefineRTDCRunTimes.py" --tripid 177-30 --locoid 4058 --swversion DE.1.0.9.0 --startMP 204:471 --initTime 2017-07-30T13:12:48 --startdatetime 2017-07-30T13:16:11 --delay 1 --endMP 204:233322 --enddatetime 2017-07-30T13:52:20 --enforcementcount 0 &gt;&gt;C:\Users\stu\Documents\GitHub\eaglep3-reporting\EC\2017-07-30-refined-times.txt</v>
      </c>
      <c r="AI88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{"issue":{"subject":"","project_id":79,"tracker_id":40,"status_id":1,"priority_id":2,"assigned_to_id":23,"start_date":"2017-07-30","description":"","custom_fields":[{"id":1,"name":"Subdivision","value":"EC"},{"id":4,"name":"Milepost","value":"23.3322"},{"id":17,"name":"Train ID","value":"177-30"},{"id":16,"name":"Locomotive ID","value":"4058"},{"id":130,"name":"Impact","value":""},{"id":150,"name":"Time of Event (Mountain Time)","value":"13:52:20"},{"id":151,"name":"Denver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39"/>
        <v>start /low /b %USERPROFILE%\Documents\GitHub\eaglep3\Utilities\DownloadLogsFromS3.py --loco 4058 --day 2017-07-30</v>
      </c>
      <c r="AN88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19:52:20"},{"id":29,"name":"Sharepoint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790</v>
      </c>
      <c r="B89" s="7">
        <v>4057</v>
      </c>
      <c r="C89" s="21" t="s">
        <v>198</v>
      </c>
      <c r="D89" s="21" t="s">
        <v>390</v>
      </c>
      <c r="E89" s="13">
        <v>42946.589768518519</v>
      </c>
      <c r="F89" s="13">
        <v>42946.591898148145</v>
      </c>
      <c r="G89" s="7">
        <v>1</v>
      </c>
      <c r="H89" s="21" t="s">
        <v>612</v>
      </c>
      <c r="I89" s="13">
        <v>42946.62290509259</v>
      </c>
      <c r="J89" s="7">
        <v>0</v>
      </c>
      <c r="K89" s="89" t="str">
        <f t="shared" si="25"/>
        <v>4057/4058</v>
      </c>
      <c r="L89" s="21" t="str">
        <f>VLOOKUP(A89,'Trips&amp;Operators'!$C$1:$G$99999,5,FALSE)</f>
        <v>THOMPSON LESTER</v>
      </c>
      <c r="M89" s="6">
        <f t="shared" si="26"/>
        <v>3.1006944445834961E-2</v>
      </c>
      <c r="N89" s="7">
        <f t="shared" si="41"/>
        <v>44.650000002002344</v>
      </c>
      <c r="O89" s="7"/>
      <c r="P89" s="7"/>
      <c r="Q89" s="22"/>
      <c r="R89" s="170"/>
      <c r="S89" s="213">
        <f t="shared" si="27"/>
        <v>1</v>
      </c>
      <c r="T89" s="195" t="str">
        <f t="shared" si="28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29"/>
        <v>https://d0f6bd738d7f1b3e5a7ca70fe4ff75f0.us-east-1.aws.found.io/app/kibana#/discover/Steve-Slow-Train-Analysis-(2080s-and-2083s)?_g=(refreshInterval:(display:Off,pause:!f,section:0,value:0),time:(from:'2017-07-30T13:09:16-0600',mode:absolute,to:'2017-07-30T15:56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9" s="197" t="str">
        <f>IF(AA89&lt;VLOOKUP(AG89,Variables!$AC$3:$AD$8,2,FALSE),"Y","N")</f>
        <v>N</v>
      </c>
      <c r="X89" s="197">
        <f t="shared" ref="X89:X120" si="42">VALUE(LEFT(AD89,4))-VALUE(LEFT(AD88,4))</f>
        <v>1</v>
      </c>
      <c r="Y89" s="197">
        <f t="shared" si="30"/>
        <v>23.299600000000002</v>
      </c>
      <c r="Z89" s="197">
        <f t="shared" si="31"/>
        <v>0.115</v>
      </c>
      <c r="AA89" s="197">
        <f t="shared" si="32"/>
        <v>23.184600000000003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3"/>
        <v>178</v>
      </c>
      <c r="AE89" s="77" t="str">
        <f t="shared" si="34"/>
        <v>aws s3 cp s3://rtdc.mdm.uploadarchive.raw/RTDC4057/ "%USERPROFILE%\AppData\Local\Temp\OnboardLogs"\RTDC4057\2017-07-30 --exclude "*" --recursive --include "*20170730*" &amp; "%USERPROFILE%\Documents\GitHub\mrs-test-scripts\Headless Mode &amp; Sideloading\WalkAndUnGZ.bat" "%USERPROFILE%\AppData\Local\Temp\OnboardLogs"\RTDC4057\2017-07-30 &amp; aws s3 cp s3://rtdc.mdm.uploadarchive.raw/RTDC4057/ "%USERPROFILE%\AppData\Local\Temp\OnboardLogs"\RTDC4057\2017-07-31 --exclude "*" --recursive --include "*20170731*" &amp; "%USERPROFILE%\Documents\GitHub\mrs-test-scripts\Headless Mode &amp; Sideloading\WalkAndUnGZ.bat" "%USERPROFILE%\AppData\Local\Temp\OnboardLogs"\RTDC4057\2017-07-31</v>
      </c>
      <c r="AF89" s="74" t="str">
        <f t="shared" si="35"/>
        <v>"C:\Program Files (x86)\AstroGrep\AstroGrep.exe" /e /r /s /spath="%USERPROFILE%\AppData\Local\Temp\OnboardLogs" /stypes="app*4057*20170730*" /stext=" 20:.+((SYSTEM_STATE.+slice.+state.+changed )|(ment ac)|(multiple cpu faults)|(system.+state.+changed )|(\[timeout)|(PRM\|1\|D)|(kpr)|(kdp)|(train st.+moving)|(\|lc)|(penalty))"</v>
      </c>
      <c r="AG89" s="209" t="str">
        <f t="shared" si="36"/>
        <v>EC</v>
      </c>
      <c r="AH89" s="78" t="str">
        <f t="shared" si="37"/>
        <v>"%USERPROFILE%\Documents\GitHub\eaglep3\Utilities\RefineRTDCRunTimes.py" --tripid 178-30 --locoid 4057 --swversion DE.1.0.9.0 --startMP 204:232996 --initTime 2017-07-30T14:09:16 --startdatetime 2017-07-30T14:12:20 --delay 1 --endMP 204:1150 --enddatetime 2017-07-30T14:56:59 --enforcementcount 0 &gt;&gt;C:\Users\stu\Documents\GitHub\eaglep3-reporting\EC\2017-07-30-refined-times.txt</v>
      </c>
      <c r="AI89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{"issue":{"subject":"","project_id":79,"tracker_id":40,"status_id":1,"priority_id":2,"assigned_to_id":23,"start_date":"2017-07-30","description":"","custom_fields":[{"id":1,"name":"Subdivision","value":"EC"},{"id":4,"name":"Milepost","value":"0.115"},{"id":17,"name":"Train ID","value":"178-30"},{"id":16,"name":"Locomotive ID","value":"4057"},{"id":130,"name":"Impact","value":""},{"id":150,"name":"Time of Event (Mountain Time)","value":"14:56:59"},{"id":151,"name":"Denver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39"/>
        <v>start /low /b %USERPROFILE%\Documents\GitHub\eaglep3\Utilities\DownloadLogsFromS3.py --loco 4057 --day 2017-07-30</v>
      </c>
      <c r="AN89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20:56:59"},{"id":29,"name":"Sharepoint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638</v>
      </c>
      <c r="B90" s="7">
        <v>4030</v>
      </c>
      <c r="C90" s="21" t="s">
        <v>198</v>
      </c>
      <c r="D90" s="21" t="s">
        <v>410</v>
      </c>
      <c r="E90" s="13">
        <v>42946.557280092595</v>
      </c>
      <c r="F90" s="13">
        <v>42946.602627314816</v>
      </c>
      <c r="G90" s="7">
        <v>1</v>
      </c>
      <c r="H90" s="21" t="s">
        <v>923</v>
      </c>
      <c r="I90" s="13">
        <v>42946.629479166666</v>
      </c>
      <c r="J90" s="7">
        <v>0</v>
      </c>
      <c r="K90" s="89" t="str">
        <f t="shared" si="25"/>
        <v>4029/4030</v>
      </c>
      <c r="L90" s="21" t="str">
        <f>VLOOKUP(A90,'Trips&amp;Operators'!$C$1:$G$99999,5,FALSE)</f>
        <v>MAGEE KENYA</v>
      </c>
      <c r="M90" s="6">
        <f t="shared" si="26"/>
        <v>2.6851851849642117E-2</v>
      </c>
      <c r="N90" s="7">
        <f t="shared" si="41"/>
        <v>38.666666663484648</v>
      </c>
      <c r="O90" s="7"/>
      <c r="P90" s="7"/>
      <c r="Q90" s="22"/>
      <c r="R90" s="170"/>
      <c r="S90" s="213">
        <f t="shared" si="27"/>
        <v>1</v>
      </c>
      <c r="T90" s="195" t="str">
        <f t="shared" si="28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29"/>
        <v>https://d0f6bd738d7f1b3e5a7ca70fe4ff75f0.us-east-1.aws.found.io/app/kibana#/discover/Steve-Slow-Train-Analysis-(2080s-and-2083s)?_g=(refreshInterval:(display:Off,pause:!f,section:0,value:0),time:(from:'2017-07-30T12:22:29-0600',mode:absolute,to:'2017-07-30T16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0" s="197" t="str">
        <f>IF(AA90&lt;VLOOKUP(AG90,Variables!$AC$3:$AD$8,2,FALSE),"Y","N")</f>
        <v>N</v>
      </c>
      <c r="X90" s="197">
        <f t="shared" si="42"/>
        <v>1</v>
      </c>
      <c r="Y90" s="197">
        <f t="shared" si="30"/>
        <v>4.7100000000000003E-2</v>
      </c>
      <c r="Z90" s="197">
        <f t="shared" si="31"/>
        <v>23.342300000000002</v>
      </c>
      <c r="AA90" s="197">
        <f t="shared" si="32"/>
        <v>23.295200000000001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3"/>
        <v>179</v>
      </c>
      <c r="AE90" s="77" t="str">
        <f t="shared" si="34"/>
        <v>aws s3 cp s3://rtdc.mdm.uploadarchive.raw/RTDC4030/ "%USERPROFILE%\AppData\Local\Temp\OnboardLogs"\RTDC4030\2017-07-30 --exclude "*" --recursive --include "*20170730*" &amp; "%USERPROFILE%\Documents\GitHub\mrs-test-scripts\Headless Mode &amp; Sideloading\WalkAndUnGZ.bat" "%USERPROFILE%\AppData\Local\Temp\OnboardLogs"\RTDC4030\2017-07-30 &amp; aws s3 cp s3://rtdc.mdm.uploadarchive.raw/RTDC4030/ "%USERPROFILE%\AppData\Local\Temp\OnboardLogs"\RTDC4030\2017-07-31 --exclude "*" --recursive --include "*20170731*" &amp; "%USERPROFILE%\Documents\GitHub\mrs-test-scripts\Headless Mode &amp; Sideloading\WalkAndUnGZ.bat" "%USERPROFILE%\AppData\Local\Temp\OnboardLogs"\RTDC4030\2017-07-31</v>
      </c>
      <c r="AF90" s="74" t="str">
        <f t="shared" si="35"/>
        <v>"C:\Program Files (x86)\AstroGrep\AstroGrep.exe" /e /r /s /spath="%USERPROFILE%\AppData\Local\Temp\OnboardLogs" /stypes="app*4030*20170730*" /stext=" 21:.+((SYSTEM_STATE.+slice.+state.+changed )|(ment ac)|(multiple cpu faults)|(system.+state.+changed )|(\[timeout)|(PRM\|1\|D)|(kpr)|(kdp)|(train st.+moving)|(\|lc)|(penalty))"</v>
      </c>
      <c r="AG90" s="209" t="str">
        <f t="shared" si="36"/>
        <v>EC</v>
      </c>
      <c r="AH90" s="78" t="str">
        <f t="shared" si="37"/>
        <v>"%USERPROFILE%\Documents\GitHub\eaglep3\Utilities\RefineRTDCRunTimes.py" --tripid 179-30 --locoid 4030 --swversion DE.1.0.9.0 --startMP 204:471 --initTime 2017-07-30T13:22:29 --startdatetime 2017-07-30T14:27:47 --delay 1 --endMP 204:233423 --enddatetime 2017-07-30T15:06:27 --enforcementcount 0 &gt;&gt;C:\Users\stu\Documents\GitHub\eaglep3-reporting\EC\2017-07-30-refined-times.txt</v>
      </c>
      <c r="AI90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{"issue":{"subject":"","project_id":79,"tracker_id":40,"status_id":1,"priority_id":2,"assigned_to_id":23,"start_date":"2017-07-30","description":"","custom_fields":[{"id":1,"name":"Subdivision","value":"EC"},{"id":4,"name":"Milepost","value":"23.3423"},{"id":17,"name":"Train ID","value":"179-30"},{"id":16,"name":"Locomotive ID","value":"4030"},{"id":130,"name":"Impact","value":""},{"id":150,"name":"Time of Event (Mountain Time)","value":"15:06:27"},{"id":151,"name":"Denver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39"/>
        <v>start /low /b %USERPROFILE%\Documents\GitHub\eaglep3\Utilities\DownloadLogsFromS3.py --loco 4030 --day 2017-07-30</v>
      </c>
      <c r="AN90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21:06:27"},{"id":29,"name":"Sharepoint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792</v>
      </c>
      <c r="B91" s="7">
        <v>4029</v>
      </c>
      <c r="C91" s="21" t="s">
        <v>198</v>
      </c>
      <c r="D91" s="21" t="s">
        <v>917</v>
      </c>
      <c r="E91" s="13">
        <v>42946.601215277777</v>
      </c>
      <c r="F91" s="13">
        <v>42946.602627314816</v>
      </c>
      <c r="G91" s="7">
        <v>1</v>
      </c>
      <c r="H91" s="21" t="s">
        <v>924</v>
      </c>
      <c r="I91" s="13">
        <v>42946.629479166666</v>
      </c>
      <c r="J91" s="7">
        <v>0</v>
      </c>
      <c r="K91" s="89" t="str">
        <f t="shared" si="25"/>
        <v>4029/4030</v>
      </c>
      <c r="L91" s="21" t="str">
        <f>VLOOKUP(A91,'Trips&amp;Operators'!$C$1:$G$99999,5,FALSE)</f>
        <v>MAGEE KENYA</v>
      </c>
      <c r="M91" s="6">
        <f t="shared" si="26"/>
        <v>2.6851851849642117E-2</v>
      </c>
      <c r="N91" s="7">
        <f t="shared" si="41"/>
        <v>38.666666663484648</v>
      </c>
      <c r="O91" s="7"/>
      <c r="P91" s="7"/>
      <c r="Q91" s="22"/>
      <c r="R91" s="170"/>
      <c r="S91" s="213">
        <f t="shared" si="27"/>
        <v>1</v>
      </c>
      <c r="T91" s="195" t="str">
        <f t="shared" si="28"/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29"/>
        <v>https://d0f6bd738d7f1b3e5a7ca70fe4ff75f0.us-east-1.aws.found.io/app/kibana#/discover/Steve-Slow-Train-Analysis-(2080s-and-2083s)?_g=(refreshInterval:(display:Off,pause:!f,section:0,value:0),time:(from:'2017-07-30T13:25:45-0600',mode:absolute,to:'2017-07-30T16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1" s="197" t="str">
        <f>IF(AA91&lt;VLOOKUP(AG91,Variables!$AC$3:$AD$8,2,FALSE),"Y","N")</f>
        <v>N</v>
      </c>
      <c r="X91" s="197">
        <f t="shared" si="42"/>
        <v>1</v>
      </c>
      <c r="Y91" s="197">
        <f t="shared" si="30"/>
        <v>23.3079</v>
      </c>
      <c r="Z91" s="197">
        <f t="shared" si="31"/>
        <v>1.21E-2</v>
      </c>
      <c r="AA91" s="197">
        <f t="shared" si="32"/>
        <v>23.2958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3"/>
        <v>180</v>
      </c>
      <c r="AE91" s="77" t="str">
        <f t="shared" si="34"/>
        <v>aws s3 cp s3://rtdc.mdm.uploadarchive.raw/RTDC4029/ "%USERPROFILE%\AppData\Local\Temp\OnboardLogs"\RTDC4029\2017-07-30 --exclude "*" --recursive --include "*20170730*" &amp; "%USERPROFILE%\Documents\GitHub\mrs-test-scripts\Headless Mode &amp; Sideloading\WalkAndUnGZ.bat" "%USERPROFILE%\AppData\Local\Temp\OnboardLogs"\RTDC4029\2017-07-30 &amp; aws s3 cp s3://rtdc.mdm.uploadarchive.raw/RTDC4029/ "%USERPROFILE%\AppData\Local\Temp\OnboardLogs"\RTDC4029\2017-07-31 --exclude "*" --recursive --include "*20170731*" &amp; "%USERPROFILE%\Documents\GitHub\mrs-test-scripts\Headless Mode &amp; Sideloading\WalkAndUnGZ.bat" "%USERPROFILE%\AppData\Local\Temp\OnboardLogs"\RTDC4029\2017-07-31</v>
      </c>
      <c r="AF91" s="74" t="str">
        <f t="shared" si="35"/>
        <v>"C:\Program Files (x86)\AstroGrep\AstroGrep.exe" /e /r /s /spath="%USERPROFILE%\AppData\Local\Temp\OnboardLogs" /stypes="app*4029*20170730*" /stext=" 21:.+((SYSTEM_STATE.+slice.+state.+changed )|(ment ac)|(multiple cpu faults)|(system.+state.+changed )|(\[timeout)|(PRM\|1\|D)|(kpr)|(kdp)|(train st.+moving)|(\|lc)|(penalty))"</v>
      </c>
      <c r="AG91" s="209" t="str">
        <f t="shared" si="36"/>
        <v>EC</v>
      </c>
      <c r="AH91" s="78" t="str">
        <f t="shared" si="37"/>
        <v>"%USERPROFILE%\Documents\GitHub\eaglep3\Utilities\RefineRTDCRunTimes.py" --tripid 180-30 --locoid 4029 --swversion DE.1.0.9.0 --startMP 204:233079 --initTime 2017-07-30T14:25:45 --startdatetime 2017-07-30T14:27:47 --delay 1 --endMP 204:121 --enddatetime 2017-07-30T15:06:27 --enforcementcount 0 &gt;&gt;C:\Users\stu\Documents\GitHub\eaglep3-reporting\EC\2017-07-30-refined-times.txt</v>
      </c>
      <c r="AI91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{"issue":{"subject":"","project_id":79,"tracker_id":40,"status_id":1,"priority_id":2,"assigned_to_id":23,"start_date":"2017-07-30","description":"","custom_fields":[{"id":1,"name":"Subdivision","value":"EC"},{"id":4,"name":"Milepost","value":"0.0121"},{"id":17,"name":"Train ID","value":"180-30"},{"id":16,"name":"Locomotive ID","value":"4029"},{"id":130,"name":"Impact","value":""},{"id":150,"name":"Time of Event (Mountain Time)","value":"15:06:27"},{"id":151,"name":"Denver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39"/>
        <v>start /low /b %USERPROFILE%\Documents\GitHub\eaglep3\Utilities\DownloadLogsFromS3.py --loco 4029 --day 2017-07-30</v>
      </c>
      <c r="AN91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21:06:27"},{"id":29,"name":"Sharepoint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786</v>
      </c>
      <c r="B92" s="7">
        <v>4004</v>
      </c>
      <c r="C92" s="21" t="s">
        <v>198</v>
      </c>
      <c r="D92" s="21" t="s">
        <v>348</v>
      </c>
      <c r="E92" s="13">
        <v>42946.568703703706</v>
      </c>
      <c r="F92" s="13">
        <v>42946.573425925926</v>
      </c>
      <c r="G92" s="7">
        <v>1</v>
      </c>
      <c r="H92" s="21" t="s">
        <v>933</v>
      </c>
      <c r="I92" s="13">
        <v>42946.598368055558</v>
      </c>
      <c r="J92" s="7">
        <v>0</v>
      </c>
      <c r="K92" s="89" t="str">
        <f t="shared" si="25"/>
        <v>4003/4004</v>
      </c>
      <c r="L92" s="21" t="str">
        <f>VLOOKUP(A92,'Trips&amp;Operators'!$C$1:$G$99999,5,FALSE)</f>
        <v>SULLIVAN BRANDON</v>
      </c>
      <c r="M92" s="6">
        <f t="shared" si="26"/>
        <v>2.4942129632108845E-2</v>
      </c>
      <c r="N92" s="7">
        <f t="shared" si="41"/>
        <v>35.916666670236737</v>
      </c>
      <c r="O92" s="7"/>
      <c r="P92" s="7"/>
      <c r="Q92" s="22"/>
      <c r="R92" s="170"/>
      <c r="S92" s="213">
        <f t="shared" si="27"/>
        <v>1</v>
      </c>
      <c r="T92" s="195" t="str">
        <f t="shared" si="28"/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29"/>
        <v>https://d0f6bd738d7f1b3e5a7ca70fe4ff75f0.us-east-1.aws.found.io/app/kibana#/discover/Steve-Slow-Train-Analysis-(2080s-and-2083s)?_g=(refreshInterval:(display:Off,pause:!f,section:0,value:0),time:(from:'2017-07-30T12:38:56-0600',mode:absolute,to:'2017-07-30T15:21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2" s="197" t="str">
        <f>IF(AA92&lt;VLOOKUP(AG92,Variables!$AC$3:$AD$8,2,FALSE),"Y","N")</f>
        <v>N</v>
      </c>
      <c r="X92" s="197">
        <f t="shared" si="42"/>
        <v>1</v>
      </c>
      <c r="Y92" s="197">
        <f t="shared" si="30"/>
        <v>4.4699999999999997E-2</v>
      </c>
      <c r="Z92" s="197">
        <f t="shared" si="31"/>
        <v>23.340800000000002</v>
      </c>
      <c r="AA92" s="197">
        <f t="shared" si="32"/>
        <v>23.296100000000003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3"/>
        <v>181</v>
      </c>
      <c r="AE92" s="77" t="str">
        <f t="shared" si="34"/>
        <v>aws s3 cp s3://rtdc.mdm.uploadarchive.raw/RTDC4004/ "%USERPROFILE%\AppData\Local\Temp\OnboardLogs"\RTDC4004\2017-07-30 --exclude "*" --recursive --include "*20170730*" &amp; "%USERPROFILE%\Documents\GitHub\mrs-test-scripts\Headless Mode &amp; Sideloading\WalkAndUnGZ.bat" "%USERPROFILE%\AppData\Local\Temp\OnboardLogs"\RTDC4004\2017-07-30 &amp; aws s3 cp s3://rtdc.mdm.uploadarchive.raw/RTDC4004/ "%USERPROFILE%\AppData\Local\Temp\OnboardLogs"\RTDC4004\2017-07-31 --exclude "*" --recursive --include "*20170731*" &amp; "%USERPROFILE%\Documents\GitHub\mrs-test-scripts\Headless Mode &amp; Sideloading\WalkAndUnGZ.bat" "%USERPROFILE%\AppData\Local\Temp\OnboardLogs"\RTDC4004\2017-07-31</v>
      </c>
      <c r="AF92" s="74" t="str">
        <f t="shared" si="35"/>
        <v>"C:\Program Files (x86)\AstroGrep\AstroGrep.exe" /e /r /s /spath="%USERPROFILE%\AppData\Local\Temp\OnboardLogs" /stypes="app*4004*20170730*" /stext=" 20:.+((SYSTEM_STATE.+slice.+state.+changed )|(ment ac)|(multiple cpu faults)|(system.+state.+changed )|(\[timeout)|(PRM\|1\|D)|(kpr)|(kdp)|(train st.+moving)|(\|lc)|(penalty))"</v>
      </c>
      <c r="AG92" s="209" t="str">
        <f t="shared" si="36"/>
        <v>EC</v>
      </c>
      <c r="AH92" s="78" t="str">
        <f t="shared" si="37"/>
        <v>"%USERPROFILE%\Documents\GitHub\eaglep3\Utilities\RefineRTDCRunTimes.py" --tripid 181-30 --locoid 4004 --swversion DE.1.0.9.0 --startMP 204:447 --initTime 2017-07-30T13:38:56 --startdatetime 2017-07-30T13:45:44 --delay 1 --endMP 204:233408 --enddatetime 2017-07-30T14:21:39 --enforcementcount 0 &gt;&gt;C:\Users\stu\Documents\GitHub\eaglep3-reporting\EC\2017-07-30-refined-times.txt</v>
      </c>
      <c r="AI92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{"issue":{"subject":"","project_id":79,"tracker_id":40,"status_id":1,"priority_id":2,"assigned_to_id":23,"start_date":"2017-07-30","description":"","custom_fields":[{"id":1,"name":"Subdivision","value":"EC"},{"id":4,"name":"Milepost","value":"23.3408"},{"id":17,"name":"Train ID","value":"181-30"},{"id":16,"name":"Locomotive ID","value":"4004"},{"id":130,"name":"Impact","value":""},{"id":150,"name":"Time of Event (Mountain Time)","value":"14:21:39"},{"id":151,"name":"Denver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39"/>
        <v>start /low /b %USERPROFILE%\Documents\GitHub\eaglep3\Utilities\DownloadLogsFromS3.py --loco 4004 --day 2017-07-30</v>
      </c>
      <c r="AN92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20:21:39"},{"id":29,"name":"Sharepoint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2" t="s">
        <v>793</v>
      </c>
      <c r="B93" s="7">
        <v>4003</v>
      </c>
      <c r="C93" s="21" t="s">
        <v>198</v>
      </c>
      <c r="D93" s="21" t="s">
        <v>941</v>
      </c>
      <c r="E93" s="13">
        <v>42946.606319444443</v>
      </c>
      <c r="F93" s="13">
        <v>42946.612673611111</v>
      </c>
      <c r="G93" s="7">
        <v>1</v>
      </c>
      <c r="H93" s="21" t="s">
        <v>352</v>
      </c>
      <c r="I93" s="13">
        <v>42946.639386574076</v>
      </c>
      <c r="J93" s="7">
        <v>0</v>
      </c>
      <c r="K93" s="89" t="str">
        <f t="shared" si="25"/>
        <v>4003/4004</v>
      </c>
      <c r="L93" s="21" t="str">
        <f>VLOOKUP(A93,'Trips&amp;Operators'!$C$1:$G$99999,5,FALSE)</f>
        <v>SULLIVAN BRANDON</v>
      </c>
      <c r="M93" s="6">
        <f t="shared" si="26"/>
        <v>2.6712962964666076E-2</v>
      </c>
      <c r="N93" s="7">
        <f t="shared" si="41"/>
        <v>38.466666669119149</v>
      </c>
      <c r="O93" s="7"/>
      <c r="P93" s="7"/>
      <c r="Q93" s="22"/>
      <c r="R93" s="170"/>
      <c r="S93" s="213">
        <f t="shared" si="27"/>
        <v>1</v>
      </c>
      <c r="T93" s="195" t="str">
        <f t="shared" si="28"/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29"/>
        <v>https://d0f6bd738d7f1b3e5a7ca70fe4ff75f0.us-east-1.aws.found.io/app/kibana#/discover/Steve-Slow-Train-Analysis-(2080s-and-2083s)?_g=(refreshInterval:(display:Off,pause:!f,section:0,value:0),time:(from:'2017-07-30T13:33:06-0600',mode:absolute,to:'2017-07-30T16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3" s="197" t="str">
        <f>IF(AA93&lt;VLOOKUP(AG93,Variables!$AC$3:$AD$8,2,FALSE),"Y","N")</f>
        <v>N</v>
      </c>
      <c r="X93" s="197">
        <f t="shared" si="42"/>
        <v>1</v>
      </c>
      <c r="Y93" s="197">
        <f t="shared" si="30"/>
        <v>23.308599999999998</v>
      </c>
      <c r="Z93" s="197">
        <f t="shared" si="31"/>
        <v>1.47E-2</v>
      </c>
      <c r="AA93" s="197">
        <f t="shared" si="32"/>
        <v>23.293899999999997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3"/>
        <v>182</v>
      </c>
      <c r="AE93" s="77" t="str">
        <f t="shared" si="34"/>
        <v>aws s3 cp s3://rtdc.mdm.uploadarchive.raw/RTDC4003/ "%USERPROFILE%\AppData\Local\Temp\OnboardLogs"\RTDC4003\2017-07-30 --exclude "*" --recursive --include "*20170730*" &amp; "%USERPROFILE%\Documents\GitHub\mrs-test-scripts\Headless Mode &amp; Sideloading\WalkAndUnGZ.bat" "%USERPROFILE%\AppData\Local\Temp\OnboardLogs"\RTDC4003\2017-07-30 &amp; aws s3 cp s3://rtdc.mdm.uploadarchive.raw/RTDC4003/ "%USERPROFILE%\AppData\Local\Temp\OnboardLogs"\RTDC4003\2017-07-31 --exclude "*" --recursive --include "*20170731*" &amp; "%USERPROFILE%\Documents\GitHub\mrs-test-scripts\Headless Mode &amp; Sideloading\WalkAndUnGZ.bat" "%USERPROFILE%\AppData\Local\Temp\OnboardLogs"\RTDC4003\2017-07-31</v>
      </c>
      <c r="AF93" s="74" t="str">
        <f t="shared" si="35"/>
        <v>"C:\Program Files (x86)\AstroGrep\AstroGrep.exe" /e /r /s /spath="%USERPROFILE%\AppData\Local\Temp\OnboardLogs" /stypes="app*4003*20170730*" /stext=" 21:.+((SYSTEM_STATE.+slice.+state.+changed )|(ment ac)|(multiple cpu faults)|(system.+state.+changed )|(\[timeout)|(PRM\|1\|D)|(kpr)|(kdp)|(train st.+moving)|(\|lc)|(penalty))"</v>
      </c>
      <c r="AG93" s="209" t="str">
        <f t="shared" si="36"/>
        <v>EC</v>
      </c>
      <c r="AH93" s="78" t="str">
        <f t="shared" si="37"/>
        <v>"%USERPROFILE%\Documents\GitHub\eaglep3\Utilities\RefineRTDCRunTimes.py" --tripid 182-30 --locoid 4003 --swversion DE.1.0.9.0 --startMP 204:233086 --initTime 2017-07-30T14:33:06 --startdatetime 2017-07-30T14:42:15 --delay 1 --endMP 204:147 --enddatetime 2017-07-30T15:20:43 --enforcementcount 0 &gt;&gt;C:\Users\stu\Documents\GitHub\eaglep3-reporting\EC\2017-07-30-refined-times.txt</v>
      </c>
      <c r="AI93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{"issue":{"subject":"","project_id":79,"tracker_id":40,"status_id":1,"priority_id":2,"assigned_to_id":23,"start_date":"2017-07-30","description":"","custom_fields":[{"id":1,"name":"Subdivision","value":"EC"},{"id":4,"name":"Milepost","value":"0.0147"},{"id":17,"name":"Train ID","value":"182-30"},{"id":16,"name":"Locomotive ID","value":"4003"},{"id":130,"name":"Impact","value":""},{"id":150,"name":"Time of Event (Mountain Time)","value":"15:20:43"},{"id":151,"name":"Denver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39"/>
        <v>start /low /b %USERPROFILE%\Documents\GitHub\eaglep3\Utilities\DownloadLogsFromS3.py --loco 4003 --day 2017-07-30</v>
      </c>
      <c r="AN93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21:20:43"},{"id":29,"name":"Sharepoint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</row>
    <row r="94" spans="1:91" s="20" customFormat="1" x14ac:dyDescent="0.25">
      <c r="A94" s="32" t="s">
        <v>787</v>
      </c>
      <c r="B94" s="7">
        <v>4044</v>
      </c>
      <c r="C94" s="21" t="s">
        <v>198</v>
      </c>
      <c r="D94" s="21" t="s">
        <v>376</v>
      </c>
      <c r="E94" s="13">
        <v>42946.578518518516</v>
      </c>
      <c r="F94" s="13">
        <v>42946.583726851852</v>
      </c>
      <c r="G94" s="7">
        <v>1</v>
      </c>
      <c r="H94" s="21" t="s">
        <v>593</v>
      </c>
      <c r="I94" s="13">
        <v>42946.608136574076</v>
      </c>
      <c r="J94" s="7">
        <v>0</v>
      </c>
      <c r="K94" s="89" t="str">
        <f t="shared" si="25"/>
        <v>4043/4044</v>
      </c>
      <c r="L94" s="21" t="str">
        <f>VLOOKUP(A94,'Trips&amp;Operators'!$C$1:$G$99999,5,FALSE)</f>
        <v>DELGADO DIANAH</v>
      </c>
      <c r="M94" s="6">
        <f t="shared" si="26"/>
        <v>2.4409722223936114E-2</v>
      </c>
      <c r="N94" s="7">
        <f t="shared" si="41"/>
        <v>35.150000002468005</v>
      </c>
      <c r="O94" s="7"/>
      <c r="P94" s="7"/>
      <c r="Q94" s="22"/>
      <c r="R94" s="170"/>
      <c r="S94" s="213">
        <f t="shared" si="27"/>
        <v>1</v>
      </c>
      <c r="T94" s="195" t="str">
        <f t="shared" si="28"/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29"/>
        <v>https://d0f6bd738d7f1b3e5a7ca70fe4ff75f0.us-east-1.aws.found.io/app/kibana#/discover/Steve-Slow-Train-Analysis-(2080s-and-2083s)?_g=(refreshInterval:(display:Off,pause:!f,section:0,value:0),time:(from:'2017-07-30T12:53:04-0600',mode:absolute,to:'2017-07-30T15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4" s="197" t="str">
        <f>IF(AA94&lt;VLOOKUP(AG94,Variables!$AC$3:$AD$8,2,FALSE),"Y","N")</f>
        <v>N</v>
      </c>
      <c r="X94" s="197">
        <f t="shared" si="42"/>
        <v>1</v>
      </c>
      <c r="Y94" s="197">
        <f t="shared" si="30"/>
        <v>4.6199999999999998E-2</v>
      </c>
      <c r="Z94" s="197">
        <f t="shared" si="31"/>
        <v>23.3385</v>
      </c>
      <c r="AA94" s="197">
        <f t="shared" si="32"/>
        <v>23.292300000000001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3"/>
        <v>183</v>
      </c>
      <c r="AE94" s="77" t="str">
        <f t="shared" si="34"/>
        <v>aws s3 cp s3://rtdc.mdm.uploadarchive.raw/RTDC4044/ "%USERPROFILE%\AppData\Local\Temp\OnboardLogs"\RTDC4044\2017-07-30 --exclude "*" --recursive --include "*20170730*" &amp; "%USERPROFILE%\Documents\GitHub\mrs-test-scripts\Headless Mode &amp; Sideloading\WalkAndUnGZ.bat" "%USERPROFILE%\AppData\Local\Temp\OnboardLogs"\RTDC4044\2017-07-30 &amp; aws s3 cp s3://rtdc.mdm.uploadarchive.raw/RTDC4044/ "%USERPROFILE%\AppData\Local\Temp\OnboardLogs"\RTDC4044\2017-07-31 --exclude "*" --recursive --include "*20170731*" &amp; "%USERPROFILE%\Documents\GitHub\mrs-test-scripts\Headless Mode &amp; Sideloading\WalkAndUnGZ.bat" "%USERPROFILE%\AppData\Local\Temp\OnboardLogs"\RTDC4044\2017-07-31</v>
      </c>
      <c r="AF94" s="74" t="str">
        <f t="shared" si="35"/>
        <v>"C:\Program Files (x86)\AstroGrep\AstroGrep.exe" /e /r /s /spath="%USERPROFILE%\AppData\Local\Temp\OnboardLogs" /stypes="app*4044*20170730*" /stext=" 20:.+((SYSTEM_STATE.+slice.+state.+changed )|(ment ac)|(multiple cpu faults)|(system.+state.+changed )|(\[timeout)|(PRM\|1\|D)|(kpr)|(kdp)|(train st.+moving)|(\|lc)|(penalty))"</v>
      </c>
      <c r="AG94" s="209" t="str">
        <f t="shared" si="36"/>
        <v>EC</v>
      </c>
      <c r="AH94" s="78" t="str">
        <f t="shared" si="37"/>
        <v>"%USERPROFILE%\Documents\GitHub\eaglep3\Utilities\RefineRTDCRunTimes.py" --tripid 183-30 --locoid 4044 --swversion DE.1.0.9.0 --startMP 204:462 --initTime 2017-07-30T13:53:04 --startdatetime 2017-07-30T14:00:34 --delay 1 --endMP 204:233385 --enddatetime 2017-07-30T14:35:43 --enforcementcount 0 &gt;&gt;C:\Users\stu\Documents\GitHub\eaglep3-reporting\EC\2017-07-30-refined-times.txt</v>
      </c>
      <c r="AI94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{"issue":{"subject":"","project_id":79,"tracker_id":40,"status_id":1,"priority_id":2,"assigned_to_id":23,"start_date":"2017-07-30","description":"","custom_fields":[{"id":1,"name":"Subdivision","value":"EC"},{"id":4,"name":"Milepost","value":"23.3385"},{"id":17,"name":"Train ID","value":"183-30"},{"id":16,"name":"Locomotive ID","value":"4044"},{"id":130,"name":"Impact","value":""},{"id":150,"name":"Time of Event (Mountain Time)","value":"14:35:43"},{"id":151,"name":"Denver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39"/>
        <v>start /low /b %USERPROFILE%\Documents\GitHub\eaglep3\Utilities\DownloadLogsFromS3.py --loco 4044 --day 2017-07-30</v>
      </c>
      <c r="AN94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20:35:43"},{"id":29,"name":"Sharepoint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795</v>
      </c>
      <c r="B95" s="7">
        <v>4043</v>
      </c>
      <c r="C95" s="21" t="s">
        <v>198</v>
      </c>
      <c r="D95" s="21" t="s">
        <v>961</v>
      </c>
      <c r="E95" s="13">
        <v>42946.610717592594</v>
      </c>
      <c r="F95" s="13">
        <v>42946.623078703706</v>
      </c>
      <c r="G95" s="7">
        <v>10</v>
      </c>
      <c r="H95" s="21" t="s">
        <v>962</v>
      </c>
      <c r="I95" s="13">
        <v>42946.6484375</v>
      </c>
      <c r="J95" s="7">
        <v>0</v>
      </c>
      <c r="K95" s="89" t="str">
        <f t="shared" si="25"/>
        <v>4043/4044</v>
      </c>
      <c r="L95" s="21" t="str">
        <f>VLOOKUP(A95,'Trips&amp;Operators'!$C$1:$G$99999,5,FALSE)</f>
        <v>DELGADO DIANAH</v>
      </c>
      <c r="M95" s="6">
        <f t="shared" si="26"/>
        <v>2.5358796294312924E-2</v>
      </c>
      <c r="N95" s="7">
        <f t="shared" si="41"/>
        <v>36.516666663810611</v>
      </c>
      <c r="O95" s="7"/>
      <c r="P95" s="7"/>
      <c r="Q95" s="22"/>
      <c r="R95" s="170"/>
      <c r="S95" s="213">
        <f t="shared" si="27"/>
        <v>1</v>
      </c>
      <c r="T95" s="195" t="str">
        <f t="shared" si="28"/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29"/>
        <v>https://d0f6bd738d7f1b3e5a7ca70fe4ff75f0.us-east-1.aws.found.io/app/kibana#/discover/Steve-Slow-Train-Analysis-(2080s-and-2083s)?_g=(refreshInterval:(display:Off,pause:!f,section:0,value:0),time:(from:'2017-07-30T13:39:26-0600',mode:absolute,to:'2017-07-30T16:33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5" s="197" t="str">
        <f>IF(AA95&lt;VLOOKUP(AG95,Variables!$AC$3:$AD$8,2,FALSE),"Y","N")</f>
        <v>N</v>
      </c>
      <c r="X95" s="197">
        <f t="shared" si="42"/>
        <v>1</v>
      </c>
      <c r="Y95" s="197">
        <f t="shared" si="30"/>
        <v>23.308900000000001</v>
      </c>
      <c r="Z95" s="197">
        <f t="shared" si="31"/>
        <v>1.7600000000000001E-2</v>
      </c>
      <c r="AA95" s="197">
        <f t="shared" si="32"/>
        <v>23.2913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33"/>
        <v>184</v>
      </c>
      <c r="AE95" s="77" t="str">
        <f t="shared" si="34"/>
        <v>aws s3 cp s3://rtdc.mdm.uploadarchive.raw/RTDC4043/ "%USERPROFILE%\AppData\Local\Temp\OnboardLogs"\RTDC4043\2017-07-30 --exclude "*" --recursive --include "*20170730*" &amp; "%USERPROFILE%\Documents\GitHub\mrs-test-scripts\Headless Mode &amp; Sideloading\WalkAndUnGZ.bat" "%USERPROFILE%\AppData\Local\Temp\OnboardLogs"\RTDC4043\2017-07-30 &amp; aws s3 cp s3://rtdc.mdm.uploadarchive.raw/RTDC4043/ "%USERPROFILE%\AppData\Local\Temp\OnboardLogs"\RTDC4043\2017-07-31 --exclude "*" --recursive --include "*20170731*" &amp; "%USERPROFILE%\Documents\GitHub\mrs-test-scripts\Headless Mode &amp; Sideloading\WalkAndUnGZ.bat" "%USERPROFILE%\AppData\Local\Temp\OnboardLogs"\RTDC4043\2017-07-31</v>
      </c>
      <c r="AF95" s="74" t="str">
        <f t="shared" si="35"/>
        <v>"C:\Program Files (x86)\AstroGrep\AstroGrep.exe" /e /r /s /spath="%USERPROFILE%\AppData\Local\Temp\OnboardLogs" /stypes="app*4043*20170730*" /stext=" 21:.+((SYSTEM_STATE.+slice.+state.+changed )|(ment ac)|(multiple cpu faults)|(system.+state.+changed )|(\[timeout)|(PRM\|1\|D)|(kpr)|(kdp)|(train st.+moving)|(\|lc)|(penalty))"</v>
      </c>
      <c r="AG95" s="209" t="str">
        <f t="shared" si="36"/>
        <v>EC</v>
      </c>
      <c r="AH95" s="78" t="str">
        <f t="shared" si="37"/>
        <v>"%USERPROFILE%\Documents\GitHub\eaglep3\Utilities\RefineRTDCRunTimes.py" --tripid 184-30 --locoid 4043 --swversion DE.1.0.9.0 --startMP 204:233089 --initTime 2017-07-30T14:39:26 --startdatetime 2017-07-30T14:57:14 --delay 10 --endMP 204:176 --enddatetime 2017-07-30T15:33:45 --enforcementcount 0 &gt;&gt;C:\Users\stu\Documents\GitHub\eaglep3-reporting\EC\2017-07-30-refined-times.txt</v>
      </c>
      <c r="AI95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{"issue":{"subject":"","project_id":79,"tracker_id":40,"status_id":1,"priority_id":2,"assigned_to_id":23,"start_date":"2017-07-30","description":"","custom_fields":[{"id":1,"name":"Subdivision","value":"EC"},{"id":4,"name":"Milepost","value":"0.0176"},{"id":17,"name":"Train ID","value":"184-30"},{"id":16,"name":"Locomotive ID","value":"4043"},{"id":130,"name":"Impact","value":""},{"id":150,"name":"Time of Event (Mountain Time)","value":"15:33:45"},{"id":151,"name":"Denver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39"/>
        <v>start /low /b %USERPROFILE%\Documents\GitHub\eaglep3\Utilities\DownloadLogsFromS3.py --loco 4043 --day 2017-07-30</v>
      </c>
      <c r="AN95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21:33:45"},{"id":29,"name":"Sharepoint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639</v>
      </c>
      <c r="B96" s="7">
        <v>4066</v>
      </c>
      <c r="C96" s="21" t="s">
        <v>198</v>
      </c>
      <c r="D96" s="21" t="s">
        <v>452</v>
      </c>
      <c r="E96" s="13">
        <v>42946.589085648149</v>
      </c>
      <c r="F96" s="13">
        <v>42946.594444444447</v>
      </c>
      <c r="G96" s="7">
        <v>2</v>
      </c>
      <c r="H96" s="21" t="s">
        <v>902</v>
      </c>
      <c r="I96" s="13">
        <v>42946.619571759256</v>
      </c>
      <c r="J96" s="7">
        <v>0</v>
      </c>
      <c r="K96" s="89" t="str">
        <f t="shared" si="25"/>
        <v>4065/4066</v>
      </c>
      <c r="L96" s="21" t="str">
        <f>VLOOKUP(A96,'Trips&amp;Operators'!$C$1:$G$99999,5,FALSE)</f>
        <v>ROMERO CHAD</v>
      </c>
      <c r="M96" s="6">
        <f t="shared" si="26"/>
        <v>2.512731480965158E-2</v>
      </c>
      <c r="N96" s="7">
        <f t="shared" si="41"/>
        <v>36.183333325898275</v>
      </c>
      <c r="O96" s="7"/>
      <c r="P96" s="7"/>
      <c r="Q96" s="22"/>
      <c r="R96" s="170"/>
      <c r="S96" s="213">
        <f t="shared" si="27"/>
        <v>1</v>
      </c>
      <c r="T96" s="195" t="str">
        <f t="shared" si="28"/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29"/>
        <v>https://d0f6bd738d7f1b3e5a7ca70fe4ff75f0.us-east-1.aws.found.io/app/kibana#/discover/Steve-Slow-Train-Analysis-(2080s-and-2083s)?_g=(refreshInterval:(display:Off,pause:!f,section:0,value:0),time:(from:'2017-07-30T13:08:17-0600',mode:absolute,to:'2017-07-30T15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6" s="197" t="str">
        <f>IF(AA96&lt;VLOOKUP(AG96,Variables!$AC$3:$AD$8,2,FALSE),"Y","N")</f>
        <v>N</v>
      </c>
      <c r="X96" s="197">
        <f t="shared" si="42"/>
        <v>1</v>
      </c>
      <c r="Y96" s="197">
        <f t="shared" si="30"/>
        <v>4.4900000000000002E-2</v>
      </c>
      <c r="Z96" s="197">
        <f t="shared" si="31"/>
        <v>23.337800000000001</v>
      </c>
      <c r="AA96" s="197">
        <f t="shared" si="32"/>
        <v>23.292900000000003</v>
      </c>
      <c r="AB96" s="54" t="str">
        <f>VLOOKUP(A96,Enforcements!$C$7:$K$13,8,0)</f>
        <v>Bulletin (2)</v>
      </c>
      <c r="AC96" s="51" t="str">
        <f>VLOOKUP(A96,Enforcements!$C$7:$E$13,3,0)</f>
        <v>GRADE CROSSING</v>
      </c>
      <c r="AD96" s="206">
        <f t="shared" si="33"/>
        <v>185</v>
      </c>
      <c r="AE96" s="77" t="str">
        <f t="shared" si="34"/>
        <v>aws s3 cp s3://rtdc.mdm.uploadarchive.raw/RTDC4066/ "%USERPROFILE%\AppData\Local\Temp\OnboardLogs"\RTDC4066\2017-07-30 --exclude "*" --recursive --include "*20170730*" &amp; "%USERPROFILE%\Documents\GitHub\mrs-test-scripts\Headless Mode &amp; Sideloading\WalkAndUnGZ.bat" "%USERPROFILE%\AppData\Local\Temp\OnboardLogs"\RTDC4066\2017-07-30 &amp; aws s3 cp s3://rtdc.mdm.uploadarchive.raw/RTDC4066/ "%USERPROFILE%\AppData\Local\Temp\OnboardLogs"\RTDC4066\2017-07-31 --exclude "*" --recursive --include "*20170731*" &amp; "%USERPROFILE%\Documents\GitHub\mrs-test-scripts\Headless Mode &amp; Sideloading\WalkAndUnGZ.bat" "%USERPROFILE%\AppData\Local\Temp\OnboardLogs"\RTDC4066\2017-07-31</v>
      </c>
      <c r="AF96" s="74" t="str">
        <f t="shared" si="35"/>
        <v>"C:\Program Files (x86)\AstroGrep\AstroGrep.exe" /e /r /s /spath="%USERPROFILE%\AppData\Local\Temp\OnboardLogs" /stypes="app*4066*20170730*" /stext=" 20:.+((SYSTEM_STATE.+slice.+state.+changed )|(ment ac)|(multiple cpu faults)|(system.+state.+changed )|(\[timeout)|(PRM\|1\|D)|(kpr)|(kdp)|(train st.+moving)|(\|lc)|(penalty))"</v>
      </c>
      <c r="AG96" s="209" t="str">
        <f t="shared" si="36"/>
        <v>EC</v>
      </c>
      <c r="AH96" s="78" t="str">
        <f t="shared" si="37"/>
        <v>"%USERPROFILE%\Documents\GitHub\eaglep3\Utilities\RefineRTDCRunTimes.py" --tripid 185-30 --locoid 4066 --swversion DE.1.0.9.0 --startMP 204:449 --initTime 2017-07-30T14:08:17 --startdatetime 2017-07-30T14:16:00 --delay 2 --endMP 204:233378 --enddatetime 2017-07-30T14:52:11 --enforcementcount 0 &gt;&gt;C:\Users\stu\Documents\GitHub\eaglep3-reporting\EC\2017-07-30-refined-times.txt</v>
      </c>
      <c r="AI96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{"issue":{"subject":"","project_id":79,"tracker_id":40,"status_id":1,"priority_id":2,"assigned_to_id":23,"start_date":"2017-07-30","description":"","custom_fields":[{"id":1,"name":"Subdivision","value":"EC"},{"id":4,"name":"Milepost","value":"23.3378"},{"id":17,"name":"Train ID","value":"185-30"},{"id":16,"name":"Locomotive ID","value":"4066"},{"id":130,"name":"Impact","value":""},{"id":150,"name":"Time of Event (Mountain Time)","value":"14:52:11"},{"id":151,"name":"Denver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39"/>
        <v>start /low /b %USERPROFILE%\Documents\GitHub\eaglep3\Utilities\DownloadLogsFromS3.py --loco 4066 --day 2017-07-30</v>
      </c>
      <c r="AN96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20:52:11"},{"id":29,"name":"Sharepoint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642</v>
      </c>
      <c r="B97" s="7">
        <v>4065</v>
      </c>
      <c r="C97" s="21" t="s">
        <v>198</v>
      </c>
      <c r="D97" s="21" t="s">
        <v>963</v>
      </c>
      <c r="E97" s="13">
        <v>42946.623425925929</v>
      </c>
      <c r="F97" s="13">
        <v>42946.633773148147</v>
      </c>
      <c r="G97" s="7">
        <v>0</v>
      </c>
      <c r="H97" s="21" t="s">
        <v>351</v>
      </c>
      <c r="I97" s="13">
        <v>42946.659930555557</v>
      </c>
      <c r="J97" s="7">
        <v>0</v>
      </c>
      <c r="K97" s="89" t="str">
        <f t="shared" si="25"/>
        <v>4065/4066</v>
      </c>
      <c r="L97" s="21" t="str">
        <f>VLOOKUP(A97,'Trips&amp;Operators'!$C$1:$G$99999,5,FALSE)</f>
        <v>ROMERO CHAD</v>
      </c>
      <c r="M97" s="6">
        <f t="shared" si="26"/>
        <v>2.6157407410209998E-2</v>
      </c>
      <c r="N97" s="7">
        <f t="shared" si="41"/>
        <v>37.666666670702398</v>
      </c>
      <c r="O97" s="7"/>
      <c r="P97" s="7"/>
      <c r="Q97" s="22"/>
      <c r="R97" s="170"/>
      <c r="S97" s="213">
        <f t="shared" si="27"/>
        <v>1</v>
      </c>
      <c r="T97" s="195" t="str">
        <f t="shared" si="28"/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29"/>
        <v>https://d0f6bd738d7f1b3e5a7ca70fe4ff75f0.us-east-1.aws.found.io/app/kibana#/discover/Steve-Slow-Train-Analysis-(2080s-and-2083s)?_g=(refreshInterval:(display:Off,pause:!f,section:0,value:0),time:(from:'2017-07-30T13:57:44-0600',mode:absolute,to:'2017-07-30T16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7" s="197" t="str">
        <f>IF(AA97&lt;VLOOKUP(AG97,Variables!$AC$3:$AD$8,2,FALSE),"Y","N")</f>
        <v>N</v>
      </c>
      <c r="X97" s="197">
        <f t="shared" si="42"/>
        <v>1</v>
      </c>
      <c r="Y97" s="197">
        <f t="shared" si="30"/>
        <v>23.308399999999999</v>
      </c>
      <c r="Z97" s="197">
        <f t="shared" si="31"/>
        <v>1.41E-2</v>
      </c>
      <c r="AA97" s="197">
        <f t="shared" si="32"/>
        <v>23.2943</v>
      </c>
      <c r="AB97" s="54" t="str">
        <f>VLOOKUP(A97,Enforcements!$C$7:$K$13,8,0)</f>
        <v>Speed (6)</v>
      </c>
      <c r="AC97" s="51" t="str">
        <f>VLOOKUP(A97,Enforcements!$C$7:$E$13,3,0)</f>
        <v>PERMANENT SPEED RESTRICTION</v>
      </c>
      <c r="AD97" s="206">
        <f t="shared" si="33"/>
        <v>186</v>
      </c>
      <c r="AE97" s="77" t="str">
        <f t="shared" si="34"/>
        <v>aws s3 cp s3://rtdc.mdm.uploadarchive.raw/RTDC4065/ "%USERPROFILE%\AppData\Local\Temp\OnboardLogs"\RTDC4065\2017-07-30 --exclude "*" --recursive --include "*20170730*" &amp; "%USERPROFILE%\Documents\GitHub\mrs-test-scripts\Headless Mode &amp; Sideloading\WalkAndUnGZ.bat" "%USERPROFILE%\AppData\Local\Temp\OnboardLogs"\RTDC4065\2017-07-30 &amp; aws s3 cp s3://rtdc.mdm.uploadarchive.raw/RTDC4065/ "%USERPROFILE%\AppData\Local\Temp\OnboardLogs"\RTDC4065\2017-07-31 --exclude "*" --recursive --include "*20170731*" &amp; "%USERPROFILE%\Documents\GitHub\mrs-test-scripts\Headless Mode &amp; Sideloading\WalkAndUnGZ.bat" "%USERPROFILE%\AppData\Local\Temp\OnboardLogs"\RTDC4065\2017-07-31</v>
      </c>
      <c r="AF97" s="74" t="str">
        <f t="shared" si="35"/>
        <v>"C:\Program Files (x86)\AstroGrep\AstroGrep.exe" /e /r /s /spath="%USERPROFILE%\AppData\Local\Temp\OnboardLogs" /stypes="app*4065*20170730*" /stext=" 21:.+((SYSTEM_STATE.+slice.+state.+changed )|(ment ac)|(multiple cpu faults)|(system.+state.+changed )|(\[timeout)|(PRM\|1\|D)|(kpr)|(kdp)|(train st.+moving)|(\|lc)|(penalty))"</v>
      </c>
      <c r="AG97" s="209" t="str">
        <f t="shared" si="36"/>
        <v>EC</v>
      </c>
      <c r="AH97" s="78" t="str">
        <f t="shared" si="37"/>
        <v>"%USERPROFILE%\Documents\GitHub\eaglep3\Utilities\RefineRTDCRunTimes.py" --tripid 186-30 --locoid 4065 --swversion DE.1.0.9.0 --startMP 204:233084 --initTime 2017-07-30T14:57:44 --startdatetime 2017-07-30T15:12:38 --delay 0 --endMP 204:141 --enddatetime 2017-07-30T15:50:18 --enforcementcount 0 &gt;&gt;C:\Users\stu\Documents\GitHub\eaglep3-reporting\EC\2017-07-30-refined-times.txt</v>
      </c>
      <c r="AI97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{"issue":{"subject":"","project_id":79,"tracker_id":40,"status_id":1,"priority_id":2,"assigned_to_id":23,"start_date":"2017-07-30","description":"","custom_fields":[{"id":1,"name":"Subdivision","value":"EC"},{"id":4,"name":"Milepost","value":"0.0141"},{"id":17,"name":"Train ID","value":"186-30"},{"id":16,"name":"Locomotive ID","value":"4065"},{"id":130,"name":"Impact","value":""},{"id":150,"name":"Time of Event (Mountain Time)","value":"15:50:18"},{"id":151,"name":"Denver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39"/>
        <v>start /low /b %USERPROFILE%\Documents\GitHub\eaglep3\Utilities\DownloadLogsFromS3.py --loco 4065 --day 2017-07-30</v>
      </c>
      <c r="AN97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21:50:18"},{"id":29,"name":"Sharepoint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791</v>
      </c>
      <c r="B98" s="7">
        <v>4016</v>
      </c>
      <c r="C98" s="21" t="s">
        <v>198</v>
      </c>
      <c r="D98" s="21" t="s">
        <v>451</v>
      </c>
      <c r="E98" s="13">
        <v>42946.599328703705</v>
      </c>
      <c r="F98" s="13">
        <v>42946.604675925926</v>
      </c>
      <c r="G98" s="7">
        <v>1</v>
      </c>
      <c r="H98" s="21" t="s">
        <v>590</v>
      </c>
      <c r="I98" s="13">
        <v>42946.629201388889</v>
      </c>
      <c r="J98" s="7">
        <v>0</v>
      </c>
      <c r="K98" s="89" t="str">
        <f t="shared" si="25"/>
        <v>4015/4016</v>
      </c>
      <c r="L98" s="21" t="str">
        <f>VLOOKUP(A98,'Trips&amp;Operators'!$C$1:$G$99999,5,FALSE)</f>
        <v>MCREYNOLDS KYLE</v>
      </c>
      <c r="M98" s="6">
        <f t="shared" si="26"/>
        <v>2.4525462962628808E-2</v>
      </c>
      <c r="N98" s="7">
        <f t="shared" si="41"/>
        <v>35.316666666185483</v>
      </c>
      <c r="O98" s="7"/>
      <c r="P98" s="7"/>
      <c r="Q98" s="22"/>
      <c r="R98" s="170"/>
      <c r="S98" s="213">
        <f t="shared" si="27"/>
        <v>1</v>
      </c>
      <c r="T98" s="195" t="str">
        <f t="shared" si="28"/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29"/>
        <v>https://d0f6bd738d7f1b3e5a7ca70fe4ff75f0.us-east-1.aws.found.io/app/kibana#/discover/Steve-Slow-Train-Analysis-(2080s-and-2083s)?_g=(refreshInterval:(display:Off,pause:!f,section:0,value:0),time:(from:'2017-07-30T13:23:02-0600',mode:absolute,to:'2017-07-30T16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8" s="197" t="str">
        <f>IF(AA98&lt;VLOOKUP(AG98,Variables!$AC$3:$AD$8,2,FALSE),"Y","N")</f>
        <v>N</v>
      </c>
      <c r="X98" s="197">
        <f t="shared" si="42"/>
        <v>1</v>
      </c>
      <c r="Y98" s="197">
        <f t="shared" si="30"/>
        <v>4.5999999999999999E-2</v>
      </c>
      <c r="Z98" s="197">
        <f t="shared" si="31"/>
        <v>23.341000000000001</v>
      </c>
      <c r="AA98" s="197">
        <f t="shared" si="32"/>
        <v>23.295000000000002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3"/>
        <v>187</v>
      </c>
      <c r="AE98" s="77" t="str">
        <f t="shared" si="34"/>
        <v>aws s3 cp s3://rtdc.mdm.uploadarchive.raw/RTDC4016/ "%USERPROFILE%\AppData\Local\Temp\OnboardLogs"\RTDC4016\2017-07-30 --exclude "*" --recursive --include "*20170730*" &amp; "%USERPROFILE%\Documents\GitHub\mrs-test-scripts\Headless Mode &amp; Sideloading\WalkAndUnGZ.bat" "%USERPROFILE%\AppData\Local\Temp\OnboardLogs"\RTDC4016\2017-07-30 &amp; aws s3 cp s3://rtdc.mdm.uploadarchive.raw/RTDC4016/ "%USERPROFILE%\AppData\Local\Temp\OnboardLogs"\RTDC4016\2017-07-31 --exclude "*" --recursive --include "*20170731*" &amp; "%USERPROFILE%\Documents\GitHub\mrs-test-scripts\Headless Mode &amp; Sideloading\WalkAndUnGZ.bat" "%USERPROFILE%\AppData\Local\Temp\OnboardLogs"\RTDC4016\2017-07-31</v>
      </c>
      <c r="AF98" s="74" t="str">
        <f t="shared" si="35"/>
        <v>"C:\Program Files (x86)\AstroGrep\AstroGrep.exe" /e /r /s /spath="%USERPROFILE%\AppData\Local\Temp\OnboardLogs" /stypes="app*4016*20170730*" /stext=" 21:.+((SYSTEM_STATE.+slice.+state.+changed )|(ment ac)|(multiple cpu faults)|(system.+state.+changed )|(\[timeout)|(PRM\|1\|D)|(kpr)|(kdp)|(train st.+moving)|(\|lc)|(penalty))"</v>
      </c>
      <c r="AG98" s="209" t="str">
        <f t="shared" si="36"/>
        <v>EC</v>
      </c>
      <c r="AH98" s="78" t="str">
        <f t="shared" si="37"/>
        <v>"%USERPROFILE%\Documents\GitHub\eaglep3\Utilities\RefineRTDCRunTimes.py" --tripid 187-30 --locoid 4016 --swversion DE.1.0.9.0 --startMP 204:460 --initTime 2017-07-30T14:23:02 --startdatetime 2017-07-30T14:30:44 --delay 1 --endMP 204:233410 --enddatetime 2017-07-30T15:06:03 --enforcementcount 0 &gt;&gt;C:\Users\stu\Documents\GitHub\eaglep3-reporting\EC\2017-07-30-refined-times.txt</v>
      </c>
      <c r="AI98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{"issue":{"subject":"","project_id":79,"tracker_id":40,"status_id":1,"priority_id":2,"assigned_to_id":23,"start_date":"2017-07-30","description":"","custom_fields":[{"id":1,"name":"Subdivision","value":"EC"},{"id":4,"name":"Milepost","value":"23.341"},{"id":17,"name":"Train ID","value":"187-30"},{"id":16,"name":"Locomotive ID","value":"4016"},{"id":130,"name":"Impact","value":""},{"id":150,"name":"Time of Event (Mountain Time)","value":"15:06:03"},{"id":151,"name":"Denver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39"/>
        <v>start /low /b %USERPROFILE%\Documents\GitHub\eaglep3\Utilities\DownloadLogsFromS3.py --loco 4016 --day 2017-07-30</v>
      </c>
      <c r="AN98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21:06:03"},{"id":29,"name":"Sharepoint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797</v>
      </c>
      <c r="B99" s="7">
        <v>4015</v>
      </c>
      <c r="C99" s="21" t="s">
        <v>198</v>
      </c>
      <c r="D99" s="21" t="s">
        <v>964</v>
      </c>
      <c r="E99" s="13">
        <v>42946.63144675926</v>
      </c>
      <c r="F99" s="13">
        <v>42946.643912037034</v>
      </c>
      <c r="G99" s="7">
        <v>0</v>
      </c>
      <c r="H99" s="21" t="s">
        <v>577</v>
      </c>
      <c r="I99" s="13">
        <v>42946.671400462961</v>
      </c>
      <c r="J99" s="7">
        <v>0</v>
      </c>
      <c r="K99" s="89" t="str">
        <f t="shared" si="25"/>
        <v>4015/4016</v>
      </c>
      <c r="L99" s="21" t="str">
        <f>VLOOKUP(A99,'Trips&amp;Operators'!$C$1:$G$99999,5,FALSE)</f>
        <v>MCREYNOLDS KYLE</v>
      </c>
      <c r="M99" s="6">
        <f t="shared" si="26"/>
        <v>2.7488425927003846E-2</v>
      </c>
      <c r="N99" s="7">
        <f t="shared" si="41"/>
        <v>39.583333334885538</v>
      </c>
      <c r="O99" s="7"/>
      <c r="P99" s="7"/>
      <c r="Q99" s="22"/>
      <c r="R99" s="170"/>
      <c r="S99" s="213">
        <f t="shared" si="27"/>
        <v>1</v>
      </c>
      <c r="T99" s="195" t="str">
        <f t="shared" si="28"/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29"/>
        <v>https://d0f6bd738d7f1b3e5a7ca70fe4ff75f0.us-east-1.aws.found.io/app/kibana#/discover/Steve-Slow-Train-Analysis-(2080s-and-2083s)?_g=(refreshInterval:(display:Off,pause:!f,section:0,value:0),time:(from:'2017-07-30T14:09:17-0600',mode:absolute,to:'2017-07-30T17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9" s="197" t="str">
        <f>IF(AA99&lt;VLOOKUP(AG99,Variables!$AC$3:$AD$8,2,FALSE),"Y","N")</f>
        <v>N</v>
      </c>
      <c r="X99" s="197">
        <f t="shared" si="42"/>
        <v>1</v>
      </c>
      <c r="Y99" s="197">
        <f t="shared" si="30"/>
        <v>23.3093</v>
      </c>
      <c r="Z99" s="197">
        <f t="shared" si="31"/>
        <v>1.2500000000000001E-2</v>
      </c>
      <c r="AA99" s="197">
        <f t="shared" si="32"/>
        <v>23.296800000000001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3"/>
        <v>188</v>
      </c>
      <c r="AE99" s="77" t="str">
        <f t="shared" si="34"/>
        <v>aws s3 cp s3://rtdc.mdm.uploadarchive.raw/RTDC4015/ "%USERPROFILE%\AppData\Local\Temp\OnboardLogs"\RTDC4015\2017-07-30 --exclude "*" --recursive --include "*20170730*" &amp; "%USERPROFILE%\Documents\GitHub\mrs-test-scripts\Headless Mode &amp; Sideloading\WalkAndUnGZ.bat" "%USERPROFILE%\AppData\Local\Temp\OnboardLogs"\RTDC4015\2017-07-30 &amp; aws s3 cp s3://rtdc.mdm.uploadarchive.raw/RTDC4015/ "%USERPROFILE%\AppData\Local\Temp\OnboardLogs"\RTDC4015\2017-07-31 --exclude "*" --recursive --include "*20170731*" &amp; "%USERPROFILE%\Documents\GitHub\mrs-test-scripts\Headless Mode &amp; Sideloading\WalkAndUnGZ.bat" "%USERPROFILE%\AppData\Local\Temp\OnboardLogs"\RTDC4015\2017-07-31</v>
      </c>
      <c r="AF99" s="74" t="str">
        <f t="shared" si="35"/>
        <v>"C:\Program Files (x86)\AstroGrep\AstroGrep.exe" /e /r /s /spath="%USERPROFILE%\AppData\Local\Temp\OnboardLogs" /stypes="app*4015*20170730*" /stext=" 22:.+((SYSTEM_STATE.+slice.+state.+changed )|(ment ac)|(multiple cpu faults)|(system.+state.+changed )|(\[timeout)|(PRM\|1\|D)|(kpr)|(kdp)|(train st.+moving)|(\|lc)|(penalty))"</v>
      </c>
      <c r="AG99" s="209" t="str">
        <f t="shared" si="36"/>
        <v>EC</v>
      </c>
      <c r="AH99" s="78" t="str">
        <f t="shared" si="37"/>
        <v>"%USERPROFILE%\Documents\GitHub\eaglep3\Utilities\RefineRTDCRunTimes.py" --tripid 188-30 --locoid 4015 --swversion DE.1.0.9.0 --startMP 204:233093 --initTime 2017-07-30T15:09:17 --startdatetime 2017-07-30T15:27:14 --delay 0 --endMP 204:125 --enddatetime 2017-07-30T16:06:49 --enforcementcount 0 &gt;&gt;C:\Users\stu\Documents\GitHub\eaglep3-reporting\EC\2017-07-30-refined-times.txt</v>
      </c>
      <c r="AI99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{"issue":{"subject":"","project_id":79,"tracker_id":40,"status_id":1,"priority_id":2,"assigned_to_id":23,"start_date":"2017-07-30","description":"","custom_fields":[{"id":1,"name":"Subdivision","value":"EC"},{"id":4,"name":"Milepost","value":"0.0125"},{"id":17,"name":"Train ID","value":"188-30"},{"id":16,"name":"Locomotive ID","value":"4015"},{"id":130,"name":"Impact","value":""},{"id":150,"name":"Time of Event (Mountain Time)","value":"16:06:49"},{"id":151,"name":"Denver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39"/>
        <v>start /low /b %USERPROFILE%\Documents\GitHub\eaglep3\Utilities\DownloadLogsFromS3.py --loco 4015 --day 2017-07-30</v>
      </c>
      <c r="AN99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22:06:49"},{"id":29,"name":"Sharepoint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796</v>
      </c>
      <c r="B100" s="7">
        <v>4032</v>
      </c>
      <c r="C100" s="21" t="s">
        <v>198</v>
      </c>
      <c r="D100" s="21" t="s">
        <v>345</v>
      </c>
      <c r="E100" s="13">
        <v>42946.611215277779</v>
      </c>
      <c r="F100" s="13">
        <v>42946.615069444444</v>
      </c>
      <c r="G100" s="7">
        <v>1</v>
      </c>
      <c r="H100" s="21" t="s">
        <v>597</v>
      </c>
      <c r="I100" s="13">
        <v>42946.642245370371</v>
      </c>
      <c r="J100" s="7">
        <v>0</v>
      </c>
      <c r="K100" s="89" t="str">
        <f t="shared" si="25"/>
        <v>4031/4032</v>
      </c>
      <c r="L100" s="21" t="str">
        <f>VLOOKUP(A100,'Trips&amp;Operators'!$C$1:$G$99999,5,FALSE)</f>
        <v>DAVIS MICHAEL</v>
      </c>
      <c r="M100" s="6">
        <f t="shared" si="26"/>
        <v>2.7175925926712807E-2</v>
      </c>
      <c r="N100" s="7">
        <f t="shared" si="41"/>
        <v>39.133333334466442</v>
      </c>
      <c r="O100" s="7"/>
      <c r="P100" s="7"/>
      <c r="Q100" s="22"/>
      <c r="R100" s="170"/>
      <c r="S100" s="213">
        <f t="shared" si="27"/>
        <v>1</v>
      </c>
      <c r="T100" s="195" t="str">
        <f t="shared" si="28"/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29"/>
        <v>https://d0f6bd738d7f1b3e5a7ca70fe4ff75f0.us-east-1.aws.found.io/app/kibana#/discover/Steve-Slow-Train-Analysis-(2080s-and-2083s)?_g=(refreshInterval:(display:Off,pause:!f,section:0,value:0),time:(from:'2017-07-30T13:40:09-0600',mode:absolute,to:'2017-07-30T16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0" s="197" t="str">
        <f>IF(AA100&lt;VLOOKUP(AG100,Variables!$AC$3:$AD$8,2,FALSE),"Y","N")</f>
        <v>N</v>
      </c>
      <c r="X100" s="197">
        <f t="shared" si="42"/>
        <v>1</v>
      </c>
      <c r="Y100" s="197">
        <f t="shared" si="30"/>
        <v>4.5100000000000001E-2</v>
      </c>
      <c r="Z100" s="197">
        <f t="shared" si="31"/>
        <v>23.334900000000001</v>
      </c>
      <c r="AA100" s="197">
        <f t="shared" si="32"/>
        <v>23.2898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3"/>
        <v>189</v>
      </c>
      <c r="AE100" s="77" t="str">
        <f t="shared" si="34"/>
        <v>aws s3 cp s3://rtdc.mdm.uploadarchive.raw/RTDC4032/ "%USERPROFILE%\AppData\Local\Temp\OnboardLogs"\RTDC4032\2017-07-30 --exclude "*" --recursive --include "*20170730*" &amp; "%USERPROFILE%\Documents\GitHub\mrs-test-scripts\Headless Mode &amp; Sideloading\WalkAndUnGZ.bat" "%USERPROFILE%\AppData\Local\Temp\OnboardLogs"\RTDC4032\2017-07-30 &amp; aws s3 cp s3://rtdc.mdm.uploadarchive.raw/RTDC4032/ "%USERPROFILE%\AppData\Local\Temp\OnboardLogs"\RTDC4032\2017-07-31 --exclude "*" --recursive --include "*20170731*" &amp; "%USERPROFILE%\Documents\GitHub\mrs-test-scripts\Headless Mode &amp; Sideloading\WalkAndUnGZ.bat" "%USERPROFILE%\AppData\Local\Temp\OnboardLogs"\RTDC4032\2017-07-31</v>
      </c>
      <c r="AF100" s="74" t="str">
        <f t="shared" si="35"/>
        <v>"C:\Program Files (x86)\AstroGrep\AstroGrep.exe" /e /r /s /spath="%USERPROFILE%\AppData\Local\Temp\OnboardLogs" /stypes="app*4032*20170730*" /stext=" 21:.+((SYSTEM_STATE.+slice.+state.+changed )|(ment ac)|(multiple cpu faults)|(system.+state.+changed )|(\[timeout)|(PRM\|1\|D)|(kpr)|(kdp)|(train st.+moving)|(\|lc)|(penalty))"</v>
      </c>
      <c r="AG100" s="209" t="str">
        <f t="shared" si="36"/>
        <v>EC</v>
      </c>
      <c r="AH100" s="78" t="str">
        <f t="shared" si="37"/>
        <v>"%USERPROFILE%\Documents\GitHub\eaglep3\Utilities\RefineRTDCRunTimes.py" --tripid 189-30 --locoid 4032 --swversion DE.1.0.9.0 --startMP 204:451 --initTime 2017-07-30T14:40:09 --startdatetime 2017-07-30T14:45:42 --delay 1 --endMP 204:233349 --enddatetime 2017-07-30T15:24:50 --enforcementcount 0 &gt;&gt;C:\Users\stu\Documents\GitHub\eaglep3-reporting\EC\2017-07-30-refined-times.txt</v>
      </c>
      <c r="AI100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{"issue":{"subject":"","project_id":79,"tracker_id":40,"status_id":1,"priority_id":2,"assigned_to_id":23,"start_date":"2017-07-30","description":"","custom_fields":[{"id":1,"name":"Subdivision","value":"EC"},{"id":4,"name":"Milepost","value":"23.3349"},{"id":17,"name":"Train ID","value":"189-30"},{"id":16,"name":"Locomotive ID","value":"4032"},{"id":130,"name":"Impact","value":""},{"id":150,"name":"Time of Event (Mountain Time)","value":"15:24:50"},{"id":151,"name":"Denver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39"/>
        <v>start /low /b %USERPROFILE%\Documents\GitHub\eaglep3\Utilities\DownloadLogsFromS3.py --loco 4032 --day 2017-07-30</v>
      </c>
      <c r="AN100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21:24:50"},{"id":29,"name":"Sharepoint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803</v>
      </c>
      <c r="B101" s="7">
        <v>4031</v>
      </c>
      <c r="C101" s="21" t="s">
        <v>198</v>
      </c>
      <c r="D101" s="21" t="s">
        <v>886</v>
      </c>
      <c r="E101" s="13">
        <v>42946.65252314815</v>
      </c>
      <c r="F101" s="13">
        <v>42946.654618055552</v>
      </c>
      <c r="G101" s="7">
        <v>1</v>
      </c>
      <c r="H101" s="21" t="s">
        <v>377</v>
      </c>
      <c r="I101" s="13">
        <v>42946.681562500002</v>
      </c>
      <c r="J101" s="7">
        <v>0</v>
      </c>
      <c r="K101" s="89" t="str">
        <f t="shared" si="25"/>
        <v>4031/4032</v>
      </c>
      <c r="L101" s="21" t="str">
        <f>VLOOKUP(A101,'Trips&amp;Operators'!$C$1:$G$99999,5,FALSE)</f>
        <v>DAVIS MICHAEL</v>
      </c>
      <c r="M101" s="6">
        <f t="shared" si="26"/>
        <v>2.694444444932742E-2</v>
      </c>
      <c r="N101" s="7">
        <f t="shared" si="41"/>
        <v>38.800000007031485</v>
      </c>
      <c r="O101" s="7"/>
      <c r="P101" s="7"/>
      <c r="Q101" s="22"/>
      <c r="R101" s="170"/>
      <c r="S101" s="213">
        <f t="shared" si="27"/>
        <v>1</v>
      </c>
      <c r="T101" s="195" t="str">
        <f t="shared" si="28"/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29"/>
        <v>https://d0f6bd738d7f1b3e5a7ca70fe4ff75f0.us-east-1.aws.found.io/app/kibana#/discover/Steve-Slow-Train-Analysis-(2080s-and-2083s)?_g=(refreshInterval:(display:Off,pause:!f,section:0,value:0),time:(from:'2017-07-30T14:39:38-0600',mode:absolute,to:'2017-07-30T17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1" s="197" t="str">
        <f>IF(AA101&lt;VLOOKUP(AG101,Variables!$AC$3:$AD$8,2,FALSE),"Y","N")</f>
        <v>N</v>
      </c>
      <c r="X101" s="197">
        <f t="shared" si="42"/>
        <v>1</v>
      </c>
      <c r="Y101" s="197">
        <f t="shared" si="30"/>
        <v>23.301500000000001</v>
      </c>
      <c r="Z101" s="197">
        <f t="shared" si="31"/>
        <v>1.54E-2</v>
      </c>
      <c r="AA101" s="197">
        <f t="shared" si="32"/>
        <v>23.286100000000001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3"/>
        <v>190</v>
      </c>
      <c r="AE101" s="77" t="str">
        <f t="shared" si="34"/>
        <v>aws s3 cp s3://rtdc.mdm.uploadarchive.raw/RTDC4031/ "%USERPROFILE%\AppData\Local\Temp\OnboardLogs"\RTDC4031\2017-07-30 --exclude "*" --recursive --include "*20170730*" &amp; "%USERPROFILE%\Documents\GitHub\mrs-test-scripts\Headless Mode &amp; Sideloading\WalkAndUnGZ.bat" "%USERPROFILE%\AppData\Local\Temp\OnboardLogs"\RTDC4031\2017-07-30 &amp; aws s3 cp s3://rtdc.mdm.uploadarchive.raw/RTDC4031/ "%USERPROFILE%\AppData\Local\Temp\OnboardLogs"\RTDC4031\2017-07-31 --exclude "*" --recursive --include "*20170731*" &amp; "%USERPROFILE%\Documents\GitHub\mrs-test-scripts\Headless Mode &amp; Sideloading\WalkAndUnGZ.bat" "%USERPROFILE%\AppData\Local\Temp\OnboardLogs"\RTDC4031\2017-07-31</v>
      </c>
      <c r="AF101" s="74" t="str">
        <f t="shared" si="35"/>
        <v>"C:\Program Files (x86)\AstroGrep\AstroGrep.exe" /e /r /s /spath="%USERPROFILE%\AppData\Local\Temp\OnboardLogs" /stypes="app*4031*20170730*" /stext=" 22:.+((SYSTEM_STATE.+slice.+state.+changed )|(ment ac)|(multiple cpu faults)|(system.+state.+changed )|(\[timeout)|(PRM\|1\|D)|(kpr)|(kdp)|(train st.+moving)|(\|lc)|(penalty))"</v>
      </c>
      <c r="AG101" s="209" t="str">
        <f t="shared" si="36"/>
        <v>EC</v>
      </c>
      <c r="AH101" s="78" t="str">
        <f t="shared" si="37"/>
        <v>"%USERPROFILE%\Documents\GitHub\eaglep3\Utilities\RefineRTDCRunTimes.py" --tripid 190-30 --locoid 4031 --swversion DE.1.0.9.0 --startMP 204:233015 --initTime 2017-07-30T15:39:38 --startdatetime 2017-07-30T15:42:39 --delay 1 --endMP 204:154 --enddatetime 2017-07-30T16:21:27 --enforcementcount 0 &gt;&gt;C:\Users\stu\Documents\GitHub\eaglep3-reporting\EC\2017-07-30-refined-times.txt</v>
      </c>
      <c r="AI101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{"issue":{"subject":"","project_id":79,"tracker_id":40,"status_id":1,"priority_id":2,"assigned_to_id":23,"start_date":"2017-07-30","description":"","custom_fields":[{"id":1,"name":"Subdivision","value":"EC"},{"id":4,"name":"Milepost","value":"0.0154"},{"id":17,"name":"Train ID","value":"190-30"},{"id":16,"name":"Locomotive ID","value":"4031"},{"id":130,"name":"Impact","value":""},{"id":150,"name":"Time of Event (Mountain Time)","value":"16:21:27"},{"id":151,"name":"Denver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39"/>
        <v>start /low /b %USERPROFILE%\Documents\GitHub\eaglep3\Utilities\DownloadLogsFromS3.py --loco 4031 --day 2017-07-30</v>
      </c>
      <c r="AN101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22:21:27"},{"id":29,"name":"Sharepoint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641</v>
      </c>
      <c r="B102" s="7">
        <v>4046</v>
      </c>
      <c r="C102" s="21" t="s">
        <v>198</v>
      </c>
      <c r="D102" s="21" t="s">
        <v>347</v>
      </c>
      <c r="E102" s="13">
        <v>42946.61818287037</v>
      </c>
      <c r="F102" s="13">
        <v>42946.627060185187</v>
      </c>
      <c r="G102" s="7">
        <v>8</v>
      </c>
      <c r="H102" s="21" t="s">
        <v>595</v>
      </c>
      <c r="I102" s="13">
        <v>42946.652650462966</v>
      </c>
      <c r="J102" s="7">
        <v>0</v>
      </c>
      <c r="K102" s="89" t="str">
        <f t="shared" si="25"/>
        <v>4045/4046</v>
      </c>
      <c r="L102" s="21" t="str">
        <f>VLOOKUP(A102,'Trips&amp;Operators'!$C$1:$G$99999,5,FALSE)</f>
        <v>THOMPSON LESTER</v>
      </c>
      <c r="M102" s="6">
        <f t="shared" si="26"/>
        <v>2.5590277778974269E-2</v>
      </c>
      <c r="N102" s="7">
        <f t="shared" si="41"/>
        <v>36.850000001722947</v>
      </c>
      <c r="O102" s="7"/>
      <c r="P102" s="7"/>
      <c r="Q102" s="22"/>
      <c r="R102" s="170"/>
      <c r="S102" s="213">
        <f t="shared" si="27"/>
        <v>1</v>
      </c>
      <c r="T102" s="195" t="str">
        <f t="shared" si="28"/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29"/>
        <v>https://d0f6bd738d7f1b3e5a7ca70fe4ff75f0.us-east-1.aws.found.io/app/kibana#/discover/Steve-Slow-Train-Analysis-(2080s-and-2083s)?_g=(refreshInterval:(display:Off,pause:!f,section:0,value:0),time:(from:'2017-07-30T13:50:11-0600',mode:absolute,to:'2017-07-30T16:39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2" s="197" t="str">
        <f>IF(AA102&lt;VLOOKUP(AG102,Variables!$AC$3:$AD$8,2,FALSE),"Y","N")</f>
        <v>N</v>
      </c>
      <c r="X102" s="197">
        <f t="shared" si="42"/>
        <v>1</v>
      </c>
      <c r="Y102" s="197">
        <f t="shared" si="30"/>
        <v>4.53E-2</v>
      </c>
      <c r="Z102" s="197">
        <f t="shared" si="31"/>
        <v>23.33</v>
      </c>
      <c r="AA102" s="197">
        <f t="shared" si="32"/>
        <v>23.284699999999997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3"/>
        <v>191</v>
      </c>
      <c r="AE102" s="77" t="str">
        <f t="shared" si="34"/>
        <v>aws s3 cp s3://rtdc.mdm.uploadarchive.raw/RTDC4046/ "%USERPROFILE%\AppData\Local\Temp\OnboardLogs"\RTDC4046\2017-07-30 --exclude "*" --recursive --include "*20170730*" &amp; "%USERPROFILE%\Documents\GitHub\mrs-test-scripts\Headless Mode &amp; Sideloading\WalkAndUnGZ.bat" "%USERPROFILE%\AppData\Local\Temp\OnboardLogs"\RTDC4046\2017-07-30 &amp; aws s3 cp s3://rtdc.mdm.uploadarchive.raw/RTDC4046/ "%USERPROFILE%\AppData\Local\Temp\OnboardLogs"\RTDC4046\2017-07-31 --exclude "*" --recursive --include "*20170731*" &amp; "%USERPROFILE%\Documents\GitHub\mrs-test-scripts\Headless Mode &amp; Sideloading\WalkAndUnGZ.bat" "%USERPROFILE%\AppData\Local\Temp\OnboardLogs"\RTDC4046\2017-07-31</v>
      </c>
      <c r="AF102" s="74" t="str">
        <f t="shared" si="35"/>
        <v>"C:\Program Files (x86)\AstroGrep\AstroGrep.exe" /e /r /s /spath="%USERPROFILE%\AppData\Local\Temp\OnboardLogs" /stypes="app*4046*20170730*" /stext=" 21:.+((SYSTEM_STATE.+slice.+state.+changed )|(ment ac)|(multiple cpu faults)|(system.+state.+changed )|(\[timeout)|(PRM\|1\|D)|(kpr)|(kdp)|(train st.+moving)|(\|lc)|(penalty))"</v>
      </c>
      <c r="AG102" s="209" t="str">
        <f t="shared" si="36"/>
        <v>EC</v>
      </c>
      <c r="AH102" s="78" t="str">
        <f t="shared" si="37"/>
        <v>"%USERPROFILE%\Documents\GitHub\eaglep3\Utilities\RefineRTDCRunTimes.py" --tripid 191-30 --locoid 4046 --swversion DE.1.0.9.0 --startMP 204:453 --initTime 2017-07-30T14:50:11 --startdatetime 2017-07-30T15:02:58 --delay 8 --endMP 204:233300 --enddatetime 2017-07-30T15:39:49 --enforcementcount 0 &gt;&gt;C:\Users\stu\Documents\GitHub\eaglep3-reporting\EC\2017-07-30-refined-times.txt</v>
      </c>
      <c r="AI102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{"issue":{"subject":"","project_id":79,"tracker_id":40,"status_id":1,"priority_id":2,"assigned_to_id":23,"start_date":"2017-07-30","description":"","custom_fields":[{"id":1,"name":"Subdivision","value":"EC"},{"id":4,"name":"Milepost","value":"23.33"},{"id":17,"name":"Train ID","value":"191-30"},{"id":16,"name":"Locomotive ID","value":"4046"},{"id":130,"name":"Impact","value":""},{"id":150,"name":"Time of Event (Mountain Time)","value":"15:39:49"},{"id":151,"name":"Denver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39"/>
        <v>start /low /b %USERPROFILE%\Documents\GitHub\eaglep3\Utilities\DownloadLogsFromS3.py --loco 4046 --day 2017-07-30</v>
      </c>
      <c r="AN102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21:39:49"},{"id":29,"name":"Sharepoint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644</v>
      </c>
      <c r="B103" s="7">
        <v>4045</v>
      </c>
      <c r="C103" s="21" t="s">
        <v>198</v>
      </c>
      <c r="D103" s="21" t="s">
        <v>514</v>
      </c>
      <c r="E103" s="13">
        <v>42946.662719907406</v>
      </c>
      <c r="F103" s="13">
        <v>42946.664872685185</v>
      </c>
      <c r="G103" s="7">
        <v>1</v>
      </c>
      <c r="H103" s="21" t="s">
        <v>465</v>
      </c>
      <c r="I103" s="13">
        <v>42946.693749999999</v>
      </c>
      <c r="J103" s="7">
        <v>0</v>
      </c>
      <c r="K103" s="89" t="str">
        <f t="shared" si="25"/>
        <v>4045/4046</v>
      </c>
      <c r="L103" s="21" t="str">
        <f>VLOOKUP(A103,'Trips&amp;Operators'!$C$1:$G$99999,5,FALSE)</f>
        <v>THOMPSON LESTER</v>
      </c>
      <c r="M103" s="6">
        <f t="shared" si="26"/>
        <v>2.8877314813144039E-2</v>
      </c>
      <c r="N103" s="7">
        <f t="shared" si="41"/>
        <v>41.583333330927417</v>
      </c>
      <c r="O103" s="7"/>
      <c r="P103" s="7"/>
      <c r="Q103" s="22"/>
      <c r="R103" s="170"/>
      <c r="S103" s="213">
        <f t="shared" si="27"/>
        <v>1</v>
      </c>
      <c r="T103" s="195" t="str">
        <f t="shared" si="28"/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29"/>
        <v>https://d0f6bd738d7f1b3e5a7ca70fe4ff75f0.us-east-1.aws.found.io/app/kibana#/discover/Steve-Slow-Train-Analysis-(2080s-and-2083s)?_g=(refreshInterval:(display:Off,pause:!f,section:0,value:0),time:(from:'2017-07-30T14:54:19-0600',mode:absolute,to:'2017-07-30T17:39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3" s="197" t="str">
        <f>IF(AA103&lt;VLOOKUP(AG103,Variables!$AC$3:$AD$8,2,FALSE),"Y","N")</f>
        <v>N</v>
      </c>
      <c r="X103" s="197">
        <f t="shared" si="42"/>
        <v>1</v>
      </c>
      <c r="Y103" s="197">
        <f t="shared" si="30"/>
        <v>23.298100000000002</v>
      </c>
      <c r="Z103" s="197">
        <f t="shared" si="31"/>
        <v>1.6299999999999999E-2</v>
      </c>
      <c r="AA103" s="197">
        <f t="shared" si="32"/>
        <v>23.2818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3"/>
        <v>192</v>
      </c>
      <c r="AE103" s="77" t="str">
        <f t="shared" si="34"/>
        <v>aws s3 cp s3://rtdc.mdm.uploadarchive.raw/RTDC4045/ "%USERPROFILE%\AppData\Local\Temp\OnboardLogs"\RTDC4045\2017-07-30 --exclude "*" --recursive --include "*20170730*" &amp; "%USERPROFILE%\Documents\GitHub\mrs-test-scripts\Headless Mode &amp; Sideloading\WalkAndUnGZ.bat" "%USERPROFILE%\AppData\Local\Temp\OnboardLogs"\RTDC4045\2017-07-30 &amp; aws s3 cp s3://rtdc.mdm.uploadarchive.raw/RTDC4045/ "%USERPROFILE%\AppData\Local\Temp\OnboardLogs"\RTDC4045\2017-07-31 --exclude "*" --recursive --include "*20170731*" &amp; "%USERPROFILE%\Documents\GitHub\mrs-test-scripts\Headless Mode &amp; Sideloading\WalkAndUnGZ.bat" "%USERPROFILE%\AppData\Local\Temp\OnboardLogs"\RTDC4045\2017-07-31</v>
      </c>
      <c r="AF103" s="74" t="str">
        <f t="shared" si="35"/>
        <v>"C:\Program Files (x86)\AstroGrep\AstroGrep.exe" /e /r /s /spath="%USERPROFILE%\AppData\Local\Temp\OnboardLogs" /stypes="app*4045*20170730*" /stext=" 22:.+((SYSTEM_STATE.+slice.+state.+changed )|(ment ac)|(multiple cpu faults)|(system.+state.+changed )|(\[timeout)|(PRM\|1\|D)|(kpr)|(kdp)|(train st.+moving)|(\|lc)|(penalty))"</v>
      </c>
      <c r="AG103" s="209" t="str">
        <f t="shared" si="36"/>
        <v>EC</v>
      </c>
      <c r="AH103" s="78" t="str">
        <f t="shared" si="37"/>
        <v>"%USERPROFILE%\Documents\GitHub\eaglep3\Utilities\RefineRTDCRunTimes.py" --tripid 192-30 --locoid 4045 --swversion DE.1.0.9.0 --startMP 204:232981 --initTime 2017-07-30T15:54:19 --startdatetime 2017-07-30T15:57:25 --delay 1 --endMP 204:163 --enddatetime 2017-07-30T16:39:00 --enforcementcount 0 &gt;&gt;C:\Users\stu\Documents\GitHub\eaglep3-reporting\EC\2017-07-30-refined-times.txt</v>
      </c>
      <c r="AI103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{"issue":{"subject":"","project_id":79,"tracker_id":40,"status_id":1,"priority_id":2,"assigned_to_id":23,"start_date":"2017-07-30","description":"","custom_fields":[{"id":1,"name":"Subdivision","value":"EC"},{"id":4,"name":"Milepost","value":"0.0163"},{"id":17,"name":"Train ID","value":"192-30"},{"id":16,"name":"Locomotive ID","value":"4045"},{"id":130,"name":"Impact","value":""},{"id":150,"name":"Time of Event (Mountain Time)","value":"16:39:00"},{"id":151,"name":"Denver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39"/>
        <v>start /low /b %USERPROFILE%\Documents\GitHub\eaglep3\Utilities\DownloadLogsFromS3.py --loco 4045 --day 2017-07-30</v>
      </c>
      <c r="AN103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22:39:00"},{"id":29,"name":"Sharepoint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798</v>
      </c>
      <c r="B104" s="7">
        <v>4030</v>
      </c>
      <c r="C104" s="21" t="s">
        <v>198</v>
      </c>
      <c r="D104" s="21" t="s">
        <v>347</v>
      </c>
      <c r="E104" s="13">
        <v>42946.633217592593</v>
      </c>
      <c r="F104" s="13">
        <v>42946.636099537034</v>
      </c>
      <c r="G104" s="7">
        <v>1</v>
      </c>
      <c r="H104" s="21" t="s">
        <v>970</v>
      </c>
      <c r="I104" s="13">
        <v>42946.661226851851</v>
      </c>
      <c r="J104" s="7">
        <v>0</v>
      </c>
      <c r="K104" s="89" t="str">
        <f t="shared" si="25"/>
        <v>4029/4030</v>
      </c>
      <c r="L104" s="21" t="str">
        <f>VLOOKUP(A104,'Trips&amp;Operators'!$C$1:$G$99999,5,FALSE)</f>
        <v>MAGEE KENYA</v>
      </c>
      <c r="M104" s="6">
        <f t="shared" si="26"/>
        <v>2.5127314816927537E-2</v>
      </c>
      <c r="N104" s="7">
        <f t="shared" si="41"/>
        <v>36.183333336375654</v>
      </c>
      <c r="O104" s="7"/>
      <c r="P104" s="7"/>
      <c r="Q104" s="22"/>
      <c r="R104" s="170"/>
      <c r="S104" s="213">
        <f t="shared" si="27"/>
        <v>1</v>
      </c>
      <c r="T104" s="195" t="str">
        <f t="shared" si="28"/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29"/>
        <v>https://d0f6bd738d7f1b3e5a7ca70fe4ff75f0.us-east-1.aws.found.io/app/kibana#/discover/Steve-Slow-Train-Analysis-(2080s-and-2083s)?_g=(refreshInterval:(display:Off,pause:!f,section:0,value:0),time:(from:'2017-07-30T14:11:50-0600',mode:absolute,to:'2017-07-30T16:52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4" s="197" t="str">
        <f>IF(AA104&lt;VLOOKUP(AG104,Variables!$AC$3:$AD$8,2,FALSE),"Y","N")</f>
        <v>N</v>
      </c>
      <c r="X104" s="197">
        <f t="shared" si="42"/>
        <v>1</v>
      </c>
      <c r="Y104" s="197">
        <f t="shared" si="30"/>
        <v>4.53E-2</v>
      </c>
      <c r="Z104" s="197">
        <f t="shared" si="31"/>
        <v>23.343299999999999</v>
      </c>
      <c r="AA104" s="197">
        <f t="shared" si="32"/>
        <v>23.297999999999998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3"/>
        <v>193</v>
      </c>
      <c r="AE104" s="77" t="str">
        <f t="shared" si="34"/>
        <v>aws s3 cp s3://rtdc.mdm.uploadarchive.raw/RTDC4030/ "%USERPROFILE%\AppData\Local\Temp\OnboardLogs"\RTDC4030\2017-07-30 --exclude "*" --recursive --include "*20170730*" &amp; "%USERPROFILE%\Documents\GitHub\mrs-test-scripts\Headless Mode &amp; Sideloading\WalkAndUnGZ.bat" "%USERPROFILE%\AppData\Local\Temp\OnboardLogs"\RTDC4030\2017-07-30 &amp; aws s3 cp s3://rtdc.mdm.uploadarchive.raw/RTDC4030/ "%USERPROFILE%\AppData\Local\Temp\OnboardLogs"\RTDC4030\2017-07-31 --exclude "*" --recursive --include "*20170731*" &amp; "%USERPROFILE%\Documents\GitHub\mrs-test-scripts\Headless Mode &amp; Sideloading\WalkAndUnGZ.bat" "%USERPROFILE%\AppData\Local\Temp\OnboardLogs"\RTDC4030\2017-07-31</v>
      </c>
      <c r="AF104" s="74" t="str">
        <f t="shared" si="35"/>
        <v>"C:\Program Files (x86)\AstroGrep\AstroGrep.exe" /e /r /s /spath="%USERPROFILE%\AppData\Local\Temp\OnboardLogs" /stypes="app*4030*20170730*" /stext=" 21:.+((SYSTEM_STATE.+slice.+state.+changed )|(ment ac)|(multiple cpu faults)|(system.+state.+changed )|(\[timeout)|(PRM\|1\|D)|(kpr)|(kdp)|(train st.+moving)|(\|lc)|(penalty))"</v>
      </c>
      <c r="AG104" s="209" t="str">
        <f t="shared" si="36"/>
        <v>EC</v>
      </c>
      <c r="AH104" s="78" t="str">
        <f t="shared" si="37"/>
        <v>"%USERPROFILE%\Documents\GitHub\eaglep3\Utilities\RefineRTDCRunTimes.py" --tripid 193-30 --locoid 4030 --swversion DE.1.0.9.0 --startMP 204:453 --initTime 2017-07-30T15:11:50 --startdatetime 2017-07-30T15:15:59 --delay 1 --endMP 204:233433 --enddatetime 2017-07-30T15:52:10 --enforcementcount 0 &gt;&gt;C:\Users\stu\Documents\GitHub\eaglep3-reporting\EC\2017-07-30-refined-times.txt</v>
      </c>
      <c r="AI104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{"issue":{"subject":"","project_id":79,"tracker_id":40,"status_id":1,"priority_id":2,"assigned_to_id":23,"start_date":"2017-07-30","description":"","custom_fields":[{"id":1,"name":"Subdivision","value":"EC"},{"id":4,"name":"Milepost","value":"23.3433"},{"id":17,"name":"Train ID","value":"193-30"},{"id":16,"name":"Locomotive ID","value":"4030"},{"id":130,"name":"Impact","value":""},{"id":150,"name":"Time of Event (Mountain Time)","value":"15:52:10"},{"id":151,"name":"Denver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39"/>
        <v>start /low /b %USERPROFILE%\Documents\GitHub\eaglep3\Utilities\DownloadLogsFromS3.py --loco 4030 --day 2017-07-30</v>
      </c>
      <c r="AN104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21:52:10"},{"id":29,"name":"Sharepoint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805</v>
      </c>
      <c r="B105" s="7">
        <v>4029</v>
      </c>
      <c r="C105" s="21" t="s">
        <v>198</v>
      </c>
      <c r="D105" s="21" t="s">
        <v>971</v>
      </c>
      <c r="E105" s="13">
        <v>42946.672835648147</v>
      </c>
      <c r="F105" s="13">
        <v>42946.675196759257</v>
      </c>
      <c r="G105" s="7">
        <v>1</v>
      </c>
      <c r="H105" s="21" t="s">
        <v>349</v>
      </c>
      <c r="I105" s="13">
        <v>42946.701909722222</v>
      </c>
      <c r="J105" s="7">
        <v>0</v>
      </c>
      <c r="K105" s="89" t="str">
        <f t="shared" si="25"/>
        <v>4029/4030</v>
      </c>
      <c r="L105" s="21" t="str">
        <f>VLOOKUP(A105,'Trips&amp;Operators'!$C$1:$G$99999,5,FALSE)</f>
        <v>MAGEE KENYA</v>
      </c>
      <c r="M105" s="6">
        <f t="shared" si="26"/>
        <v>2.6712962964666076E-2</v>
      </c>
      <c r="N105" s="7">
        <f t="shared" si="41"/>
        <v>38.466666669119149</v>
      </c>
      <c r="O105" s="7"/>
      <c r="P105" s="7"/>
      <c r="Q105" s="22"/>
      <c r="R105" s="170"/>
      <c r="S105" s="213">
        <f t="shared" si="27"/>
        <v>1</v>
      </c>
      <c r="T105" s="195" t="str">
        <f t="shared" si="28"/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29"/>
        <v>https://d0f6bd738d7f1b3e5a7ca70fe4ff75f0.us-east-1.aws.found.io/app/kibana#/discover/Steve-Slow-Train-Analysis-(2080s-and-2083s)?_g=(refreshInterval:(display:Off,pause:!f,section:0,value:0),time:(from:'2017-07-30T15:08:53-0600',mode:absolute,to:'2017-07-30T17:50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5" s="197" t="str">
        <f>IF(AA105&lt;VLOOKUP(AG105,Variables!$AC$3:$AD$8,2,FALSE),"Y","N")</f>
        <v>N</v>
      </c>
      <c r="X105" s="197">
        <f t="shared" si="42"/>
        <v>1</v>
      </c>
      <c r="Y105" s="197">
        <f t="shared" si="30"/>
        <v>23.305700000000002</v>
      </c>
      <c r="Z105" s="197">
        <f t="shared" si="31"/>
        <v>1.3899999999999999E-2</v>
      </c>
      <c r="AA105" s="197">
        <f t="shared" si="32"/>
        <v>23.291800000000002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3"/>
        <v>194</v>
      </c>
      <c r="AE105" s="77" t="str">
        <f t="shared" si="34"/>
        <v>aws s3 cp s3://rtdc.mdm.uploadarchive.raw/RTDC4029/ "%USERPROFILE%\AppData\Local\Temp\OnboardLogs"\RTDC4029\2017-07-30 --exclude "*" --recursive --include "*20170730*" &amp; "%USERPROFILE%\Documents\GitHub\mrs-test-scripts\Headless Mode &amp; Sideloading\WalkAndUnGZ.bat" "%USERPROFILE%\AppData\Local\Temp\OnboardLogs"\RTDC4029\2017-07-30 &amp; aws s3 cp s3://rtdc.mdm.uploadarchive.raw/RTDC4029/ "%USERPROFILE%\AppData\Local\Temp\OnboardLogs"\RTDC4029\2017-07-31 --exclude "*" --recursive --include "*20170731*" &amp; "%USERPROFILE%\Documents\GitHub\mrs-test-scripts\Headless Mode &amp; Sideloading\WalkAndUnGZ.bat" "%USERPROFILE%\AppData\Local\Temp\OnboardLogs"\RTDC4029\2017-07-31</v>
      </c>
      <c r="AF105" s="74" t="str">
        <f t="shared" si="35"/>
        <v>"C:\Program Files (x86)\AstroGrep\AstroGrep.exe" /e /r /s /spath="%USERPROFILE%\AppData\Local\Temp\OnboardLogs" /stypes="app*4029*20170730*" /stext=" 22:.+((SYSTEM_STATE.+slice.+state.+changed )|(ment ac)|(multiple cpu faults)|(system.+state.+changed )|(\[timeout)|(PRM\|1\|D)|(kpr)|(kdp)|(train st.+moving)|(\|lc)|(penalty))"</v>
      </c>
      <c r="AG105" s="209" t="str">
        <f t="shared" si="36"/>
        <v>EC</v>
      </c>
      <c r="AH105" s="78" t="str">
        <f t="shared" si="37"/>
        <v>"%USERPROFILE%\Documents\GitHub\eaglep3\Utilities\RefineRTDCRunTimes.py" --tripid 194-30 --locoid 4029 --swversion DE.1.0.9.0 --startMP 204:233057 --initTime 2017-07-30T16:08:53 --startdatetime 2017-07-30T16:12:17 --delay 1 --endMP 204:139 --enddatetime 2017-07-30T16:50:45 --enforcementcount 0 &gt;&gt;C:\Users\stu\Documents\GitHub\eaglep3-reporting\EC\2017-07-30-refined-times.txt</v>
      </c>
      <c r="AI105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{"issue":{"subject":"","project_id":79,"tracker_id":40,"status_id":1,"priority_id":2,"assigned_to_id":23,"start_date":"2017-07-30","description":"","custom_fields":[{"id":1,"name":"Subdivision","value":"EC"},{"id":4,"name":"Milepost","value":"0.0139"},{"id":17,"name":"Train ID","value":"194-30"},{"id":16,"name":"Locomotive ID","value":"4029"},{"id":130,"name":"Impact","value":""},{"id":150,"name":"Time of Event (Mountain Time)","value":"16:50:45"},{"id":151,"name":"Denver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39"/>
        <v>start /low /b %USERPROFILE%\Documents\GitHub\eaglep3\Utilities\DownloadLogsFromS3.py --loco 4029 --day 2017-07-30</v>
      </c>
      <c r="AN105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22:50:45"},{"id":29,"name":"Sharepoint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802</v>
      </c>
      <c r="B106" s="7">
        <v>4004</v>
      </c>
      <c r="C106" s="21" t="s">
        <v>198</v>
      </c>
      <c r="D106" s="21" t="s">
        <v>447</v>
      </c>
      <c r="E106" s="13">
        <v>42946.6408912037</v>
      </c>
      <c r="F106" s="13">
        <v>42946.646354166667</v>
      </c>
      <c r="G106" s="7">
        <v>1</v>
      </c>
      <c r="H106" s="21" t="s">
        <v>593</v>
      </c>
      <c r="I106" s="13">
        <v>42946.671307870369</v>
      </c>
      <c r="J106" s="7">
        <v>0</v>
      </c>
      <c r="K106" s="89" t="str">
        <f t="shared" si="25"/>
        <v>4003/4004</v>
      </c>
      <c r="L106" s="21" t="str">
        <f>VLOOKUP(A106,'Trips&amp;Operators'!$C$1:$G$99999,5,FALSE)</f>
        <v>SULLIVAN BRANDON</v>
      </c>
      <c r="M106" s="6">
        <f t="shared" si="26"/>
        <v>2.495370370161254E-2</v>
      </c>
      <c r="N106" s="7">
        <f t="shared" si="41"/>
        <v>35.933333330322057</v>
      </c>
      <c r="O106" s="7"/>
      <c r="P106" s="7"/>
      <c r="Q106" s="22"/>
      <c r="R106" s="170"/>
      <c r="S106" s="213">
        <f t="shared" si="27"/>
        <v>1</v>
      </c>
      <c r="T106" s="195" t="str">
        <f t="shared" si="28"/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29"/>
        <v>https://d0f6bd738d7f1b3e5a7ca70fe4ff75f0.us-east-1.aws.found.io/app/kibana#/discover/Steve-Slow-Train-Analysis-(2080s-and-2083s)?_g=(refreshInterval:(display:Off,pause:!f,section:0,value:0),time:(from:'2017-07-30T14:22:53-0600',mode:absolute,to:'2017-07-30T17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6" s="197" t="str">
        <f>IF(AA106&lt;VLOOKUP(AG106,Variables!$AC$3:$AD$8,2,FALSE),"Y","N")</f>
        <v>N</v>
      </c>
      <c r="X106" s="197">
        <f t="shared" si="42"/>
        <v>1</v>
      </c>
      <c r="Y106" s="197">
        <f t="shared" si="30"/>
        <v>4.4200000000000003E-2</v>
      </c>
      <c r="Z106" s="197">
        <f t="shared" si="31"/>
        <v>23.3385</v>
      </c>
      <c r="AA106" s="197">
        <f t="shared" si="32"/>
        <v>23.2943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3"/>
        <v>195</v>
      </c>
      <c r="AE106" s="77" t="str">
        <f t="shared" si="34"/>
        <v>aws s3 cp s3://rtdc.mdm.uploadarchive.raw/RTDC4004/ "%USERPROFILE%\AppData\Local\Temp\OnboardLogs"\RTDC4004\2017-07-30 --exclude "*" --recursive --include "*20170730*" &amp; "%USERPROFILE%\Documents\GitHub\mrs-test-scripts\Headless Mode &amp; Sideloading\WalkAndUnGZ.bat" "%USERPROFILE%\AppData\Local\Temp\OnboardLogs"\RTDC4004\2017-07-30 &amp; aws s3 cp s3://rtdc.mdm.uploadarchive.raw/RTDC4004/ "%USERPROFILE%\AppData\Local\Temp\OnboardLogs"\RTDC4004\2017-07-31 --exclude "*" --recursive --include "*20170731*" &amp; "%USERPROFILE%\Documents\GitHub\mrs-test-scripts\Headless Mode &amp; Sideloading\WalkAndUnGZ.bat" "%USERPROFILE%\AppData\Local\Temp\OnboardLogs"\RTDC4004\2017-07-31</v>
      </c>
      <c r="AF106" s="74" t="str">
        <f t="shared" si="35"/>
        <v>"C:\Program Files (x86)\AstroGrep\AstroGrep.exe" /e /r /s /spath="%USERPROFILE%\AppData\Local\Temp\OnboardLogs" /stypes="app*4004*20170730*" /stext=" 22:.+((SYSTEM_STATE.+slice.+state.+changed )|(ment ac)|(multiple cpu faults)|(system.+state.+changed )|(\[timeout)|(PRM\|1\|D)|(kpr)|(kdp)|(train st.+moving)|(\|lc)|(penalty))"</v>
      </c>
      <c r="AG106" s="209" t="str">
        <f t="shared" si="36"/>
        <v>EC</v>
      </c>
      <c r="AH106" s="78" t="str">
        <f t="shared" si="37"/>
        <v>"%USERPROFILE%\Documents\GitHub\eaglep3\Utilities\RefineRTDCRunTimes.py" --tripid 195-30 --locoid 4004 --swversion DE.1.0.9.0 --startMP 204:442 --initTime 2017-07-30T15:22:53 --startdatetime 2017-07-30T15:30:45 --delay 1 --endMP 204:233385 --enddatetime 2017-07-30T16:06:41 --enforcementcount 0 &gt;&gt;C:\Users\stu\Documents\GitHub\eaglep3-reporting\EC\2017-07-30-refined-times.txt</v>
      </c>
      <c r="AI106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{"issue":{"subject":"","project_id":79,"tracker_id":40,"status_id":1,"priority_id":2,"assigned_to_id":23,"start_date":"2017-07-30","description":"","custom_fields":[{"id":1,"name":"Subdivision","value":"EC"},{"id":4,"name":"Milepost","value":"23.3385"},{"id":17,"name":"Train ID","value":"195-30"},{"id":16,"name":"Locomotive ID","value":"4004"},{"id":130,"name":"Impact","value":""},{"id":150,"name":"Time of Event (Mountain Time)","value":"16:06:41"},{"id":151,"name":"Denver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39"/>
        <v>start /low /b %USERPROFILE%\Documents\GitHub\eaglep3\Utilities\DownloadLogsFromS3.py --loco 4004 --day 2017-07-30</v>
      </c>
      <c r="AN106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22:06:41"},{"id":29,"name":"Sharepoint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808</v>
      </c>
      <c r="B107" s="7">
        <v>4003</v>
      </c>
      <c r="C107" s="21" t="s">
        <v>198</v>
      </c>
      <c r="D107" s="21" t="s">
        <v>917</v>
      </c>
      <c r="E107" s="13">
        <v>42946.679861111108</v>
      </c>
      <c r="F107" s="13">
        <v>42946.685601851852</v>
      </c>
      <c r="G107" s="7">
        <v>1</v>
      </c>
      <c r="H107" s="21" t="s">
        <v>519</v>
      </c>
      <c r="I107" s="13">
        <v>42946.712094907409</v>
      </c>
      <c r="J107" s="7">
        <v>0</v>
      </c>
      <c r="K107" s="89" t="str">
        <f t="shared" si="25"/>
        <v>4003/4004</v>
      </c>
      <c r="L107" s="21" t="str">
        <f>VLOOKUP(A107,'Trips&amp;Operators'!$C$1:$G$99999,5,FALSE)</f>
        <v>SULLIVAN BRANDON</v>
      </c>
      <c r="M107" s="6">
        <f t="shared" si="26"/>
        <v>2.6493055556784384E-2</v>
      </c>
      <c r="N107" s="7">
        <f t="shared" si="41"/>
        <v>38.150000001769513</v>
      </c>
      <c r="O107" s="7"/>
      <c r="P107" s="7"/>
      <c r="Q107" s="22"/>
      <c r="R107" s="170"/>
      <c r="S107" s="213">
        <f t="shared" si="27"/>
        <v>1</v>
      </c>
      <c r="T107" s="195" t="str">
        <f t="shared" si="28"/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29"/>
        <v>https://d0f6bd738d7f1b3e5a7ca70fe4ff75f0.us-east-1.aws.found.io/app/kibana#/discover/Steve-Slow-Train-Analysis-(2080s-and-2083s)?_g=(refreshInterval:(display:Off,pause:!f,section:0,value:0),time:(from:'2017-07-30T15:19:00-0600',mode:absolute,to:'2017-07-30T18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7" s="197" t="str">
        <f>IF(AA107&lt;VLOOKUP(AG107,Variables!$AC$3:$AD$8,2,FALSE),"Y","N")</f>
        <v>N</v>
      </c>
      <c r="X107" s="197">
        <f t="shared" si="42"/>
        <v>1</v>
      </c>
      <c r="Y107" s="197">
        <f t="shared" si="30"/>
        <v>23.3079</v>
      </c>
      <c r="Z107" s="197">
        <f t="shared" si="31"/>
        <v>1.67E-2</v>
      </c>
      <c r="AA107" s="197">
        <f t="shared" si="32"/>
        <v>23.2912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3"/>
        <v>196</v>
      </c>
      <c r="AE107" s="77" t="str">
        <f t="shared" si="34"/>
        <v>aws s3 cp s3://rtdc.mdm.uploadarchive.raw/RTDC4003/ "%USERPROFILE%\AppData\Local\Temp\OnboardLogs"\RTDC4003\2017-07-30 --exclude "*" --recursive --include "*20170730*" &amp; "%USERPROFILE%\Documents\GitHub\mrs-test-scripts\Headless Mode &amp; Sideloading\WalkAndUnGZ.bat" "%USERPROFILE%\AppData\Local\Temp\OnboardLogs"\RTDC4003\2017-07-30 &amp; aws s3 cp s3://rtdc.mdm.uploadarchive.raw/RTDC4003/ "%USERPROFILE%\AppData\Local\Temp\OnboardLogs"\RTDC4003\2017-07-31 --exclude "*" --recursive --include "*20170731*" &amp; "%USERPROFILE%\Documents\GitHub\mrs-test-scripts\Headless Mode &amp; Sideloading\WalkAndUnGZ.bat" "%USERPROFILE%\AppData\Local\Temp\OnboardLogs"\RTDC4003\2017-07-31</v>
      </c>
      <c r="AF107" s="74" t="str">
        <f t="shared" si="35"/>
        <v>"C:\Program Files (x86)\AstroGrep\AstroGrep.exe" /e /r /s /spath="%USERPROFILE%\AppData\Local\Temp\OnboardLogs" /stypes="app*4003*20170730*" /stext=" 23:.+((SYSTEM_STATE.+slice.+state.+changed )|(ment ac)|(multiple cpu faults)|(system.+state.+changed )|(\[timeout)|(PRM\|1\|D)|(kpr)|(kdp)|(train st.+moving)|(\|lc)|(penalty))"</v>
      </c>
      <c r="AG107" s="209" t="str">
        <f t="shared" si="36"/>
        <v>EC</v>
      </c>
      <c r="AH107" s="78" t="str">
        <f t="shared" si="37"/>
        <v>"%USERPROFILE%\Documents\GitHub\eaglep3\Utilities\RefineRTDCRunTimes.py" --tripid 196-30 --locoid 4003 --swversion DE.1.0.9.0 --startMP 204:233079 --initTime 2017-07-30T16:19:00 --startdatetime 2017-07-30T16:27:16 --delay 1 --endMP 204:167 --enddatetime 2017-07-30T17:05:25 --enforcementcount 0 &gt;&gt;C:\Users\stu\Documents\GitHub\eaglep3-reporting\EC\2017-07-30-refined-times.txt</v>
      </c>
      <c r="AI107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{"issue":{"subject":"","project_id":79,"tracker_id":40,"status_id":1,"priority_id":2,"assigned_to_id":23,"start_date":"2017-07-30","description":"","custom_fields":[{"id":1,"name":"Subdivision","value":"EC"},{"id":4,"name":"Milepost","value":"0.0167"},{"id":17,"name":"Train ID","value":"196-30"},{"id":16,"name":"Locomotive ID","value":"4003"},{"id":130,"name":"Impact","value":""},{"id":150,"name":"Time of Event (Mountain Time)","value":"17:05:25"},{"id":151,"name":"Denver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39"/>
        <v>start /low /b %USERPROFILE%\Documents\GitHub\eaglep3\Utilities\DownloadLogsFromS3.py --loco 4003 --day 2017-07-30</v>
      </c>
      <c r="AN107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23:05:25"},{"id":29,"name":"Sharepoint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646</v>
      </c>
      <c r="B108" s="7">
        <v>4044</v>
      </c>
      <c r="C108" s="21" t="s">
        <v>198</v>
      </c>
      <c r="D108" s="21" t="s">
        <v>345</v>
      </c>
      <c r="E108" s="13">
        <v>42946.650567129633</v>
      </c>
      <c r="F108" s="13">
        <v>42946.656736111108</v>
      </c>
      <c r="G108" s="7">
        <v>1</v>
      </c>
      <c r="H108" s="21" t="s">
        <v>972</v>
      </c>
      <c r="I108" s="13">
        <v>42946.681250000001</v>
      </c>
      <c r="J108" s="7">
        <v>0</v>
      </c>
      <c r="K108" s="89" t="str">
        <f t="shared" si="25"/>
        <v>4043/4044</v>
      </c>
      <c r="L108" s="21" t="str">
        <f>VLOOKUP(A108,'Trips&amp;Operators'!$C$1:$G$99999,5,FALSE)</f>
        <v>DELGADO DIANAH</v>
      </c>
      <c r="M108" s="6">
        <f t="shared" si="26"/>
        <v>2.4513888893125113E-2</v>
      </c>
      <c r="N108" s="7">
        <f t="shared" si="41"/>
        <v>35.300000006100163</v>
      </c>
      <c r="O108" s="7"/>
      <c r="P108" s="7"/>
      <c r="Q108" s="22"/>
      <c r="R108" s="170"/>
      <c r="S108" s="213">
        <f t="shared" si="27"/>
        <v>1</v>
      </c>
      <c r="T108" s="195" t="str">
        <f t="shared" si="28"/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29"/>
        <v>https://d0f6bd738d7f1b3e5a7ca70fe4ff75f0.us-east-1.aws.found.io/app/kibana#/discover/Steve-Slow-Train-Analysis-(2080s-and-2083s)?_g=(refreshInterval:(display:Off,pause:!f,section:0,value:0),time:(from:'2017-07-30T14:36:49-0600',mode:absolute,to:'2017-07-30T17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8" s="197" t="str">
        <f>IF(AA108&lt;VLOOKUP(AG108,Variables!$AC$3:$AD$8,2,FALSE),"Y","N")</f>
        <v>N</v>
      </c>
      <c r="X108" s="197">
        <f t="shared" si="42"/>
        <v>1</v>
      </c>
      <c r="Y108" s="197">
        <f t="shared" si="30"/>
        <v>4.5100000000000001E-2</v>
      </c>
      <c r="Z108" s="197">
        <f t="shared" si="31"/>
        <v>23.340699999999998</v>
      </c>
      <c r="AA108" s="197">
        <f t="shared" si="32"/>
        <v>23.295599999999997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3"/>
        <v>197</v>
      </c>
      <c r="AE108" s="77" t="str">
        <f t="shared" si="34"/>
        <v>aws s3 cp s3://rtdc.mdm.uploadarchive.raw/RTDC4044/ "%USERPROFILE%\AppData\Local\Temp\OnboardLogs"\RTDC4044\2017-07-30 --exclude "*" --recursive --include "*20170730*" &amp; "%USERPROFILE%\Documents\GitHub\mrs-test-scripts\Headless Mode &amp; Sideloading\WalkAndUnGZ.bat" "%USERPROFILE%\AppData\Local\Temp\OnboardLogs"\RTDC4044\2017-07-30 &amp; aws s3 cp s3://rtdc.mdm.uploadarchive.raw/RTDC4044/ "%USERPROFILE%\AppData\Local\Temp\OnboardLogs"\RTDC4044\2017-07-31 --exclude "*" --recursive --include "*20170731*" &amp; "%USERPROFILE%\Documents\GitHub\mrs-test-scripts\Headless Mode &amp; Sideloading\WalkAndUnGZ.bat" "%USERPROFILE%\AppData\Local\Temp\OnboardLogs"\RTDC4044\2017-07-31</v>
      </c>
      <c r="AF108" s="74" t="str">
        <f t="shared" si="35"/>
        <v>"C:\Program Files (x86)\AstroGrep\AstroGrep.exe" /e /r /s /spath="%USERPROFILE%\AppData\Local\Temp\OnboardLogs" /stypes="app*4044*20170730*" /stext=" 22:.+((SYSTEM_STATE.+slice.+state.+changed )|(ment ac)|(multiple cpu faults)|(system.+state.+changed )|(\[timeout)|(PRM\|1\|D)|(kpr)|(kdp)|(train st.+moving)|(\|lc)|(penalty))"</v>
      </c>
      <c r="AG108" s="209" t="str">
        <f t="shared" si="36"/>
        <v>EC</v>
      </c>
      <c r="AH108" s="78" t="str">
        <f t="shared" si="37"/>
        <v>"%USERPROFILE%\Documents\GitHub\eaglep3\Utilities\RefineRTDCRunTimes.py" --tripid 197-30 --locoid 4044 --swversion DE.1.0.9.0 --startMP 204:451 --initTime 2017-07-30T15:36:49 --startdatetime 2017-07-30T15:45:42 --delay 1 --endMP 204:233407 --enddatetime 2017-07-30T16:21:00 --enforcementcount 0 &gt;&gt;C:\Users\stu\Documents\GitHub\eaglep3-reporting\EC\2017-07-30-refined-times.txt</v>
      </c>
      <c r="AI108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{"issue":{"subject":"","project_id":79,"tracker_id":40,"status_id":1,"priority_id":2,"assigned_to_id":23,"start_date":"2017-07-30","description":"","custom_fields":[{"id":1,"name":"Subdivision","value":"EC"},{"id":4,"name":"Milepost","value":"23.3407"},{"id":17,"name":"Train ID","value":"197-30"},{"id":16,"name":"Locomotive ID","value":"4044"},{"id":130,"name":"Impact","value":""},{"id":150,"name":"Time of Event (Mountain Time)","value":"16:21:00"},{"id":151,"name":"Denver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39"/>
        <v>start /low /b %USERPROFILE%\Documents\GitHub\eaglep3\Utilities\DownloadLogsFromS3.py --loco 4044 --day 2017-07-30</v>
      </c>
      <c r="AN108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22:21:00"},{"id":29,"name":"Sharepoint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812</v>
      </c>
      <c r="B109" s="7">
        <v>4043</v>
      </c>
      <c r="C109" s="21" t="s">
        <v>198</v>
      </c>
      <c r="D109" s="21" t="s">
        <v>973</v>
      </c>
      <c r="E109" s="13">
        <v>42946.691701388889</v>
      </c>
      <c r="F109" s="13">
        <v>42946.696076388886</v>
      </c>
      <c r="G109" s="7">
        <v>1</v>
      </c>
      <c r="H109" s="21" t="s">
        <v>910</v>
      </c>
      <c r="I109" s="13">
        <v>42946.721597222226</v>
      </c>
      <c r="J109" s="7">
        <v>0</v>
      </c>
      <c r="K109" s="89" t="str">
        <f t="shared" si="25"/>
        <v>4043/4044</v>
      </c>
      <c r="L109" s="21" t="str">
        <f>VLOOKUP(A109,'Trips&amp;Operators'!$C$1:$G$99999,5,FALSE)</f>
        <v>DELGADO DIANAH</v>
      </c>
      <c r="M109" s="6">
        <f t="shared" si="26"/>
        <v>2.5520833340124227E-2</v>
      </c>
      <c r="N109" s="7">
        <f t="shared" si="41"/>
        <v>36.750000009778887</v>
      </c>
      <c r="O109" s="7"/>
      <c r="P109" s="7"/>
      <c r="Q109" s="22"/>
      <c r="R109" s="170"/>
      <c r="S109" s="213">
        <f t="shared" si="27"/>
        <v>1</v>
      </c>
      <c r="T109" s="195" t="str">
        <f t="shared" si="28"/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29"/>
        <v>https://d0f6bd738d7f1b3e5a7ca70fe4ff75f0.us-east-1.aws.found.io/app/kibana#/discover/Steve-Slow-Train-Analysis-(2080s-and-2083s)?_g=(refreshInterval:(display:Off,pause:!f,section:0,value:0),time:(from:'2017-07-30T15:36:03-0600',mode:absolute,to:'2017-07-30T18:19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9" s="197" t="str">
        <f>IF(AA109&lt;VLOOKUP(AG109,Variables!$AC$3:$AD$8,2,FALSE),"Y","N")</f>
        <v>N</v>
      </c>
      <c r="X109" s="197">
        <f t="shared" si="42"/>
        <v>1</v>
      </c>
      <c r="Y109" s="197">
        <f t="shared" si="30"/>
        <v>23.305900000000001</v>
      </c>
      <c r="Z109" s="197">
        <f t="shared" si="31"/>
        <v>1.6500000000000001E-2</v>
      </c>
      <c r="AA109" s="197">
        <f t="shared" si="32"/>
        <v>23.289400000000001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3"/>
        <v>198</v>
      </c>
      <c r="AE109" s="77" t="str">
        <f t="shared" si="34"/>
        <v>aws s3 cp s3://rtdc.mdm.uploadarchive.raw/RTDC4043/ "%USERPROFILE%\AppData\Local\Temp\OnboardLogs"\RTDC4043\2017-07-30 --exclude "*" --recursive --include "*20170730*" &amp; "%USERPROFILE%\Documents\GitHub\mrs-test-scripts\Headless Mode &amp; Sideloading\WalkAndUnGZ.bat" "%USERPROFILE%\AppData\Local\Temp\OnboardLogs"\RTDC4043\2017-07-30 &amp; aws s3 cp s3://rtdc.mdm.uploadarchive.raw/RTDC4043/ "%USERPROFILE%\AppData\Local\Temp\OnboardLogs"\RTDC4043\2017-07-31 --exclude "*" --recursive --include "*20170731*" &amp; "%USERPROFILE%\Documents\GitHub\mrs-test-scripts\Headless Mode &amp; Sideloading\WalkAndUnGZ.bat" "%USERPROFILE%\AppData\Local\Temp\OnboardLogs"\RTDC4043\2017-07-31</v>
      </c>
      <c r="AF109" s="74" t="str">
        <f t="shared" si="35"/>
        <v>"C:\Program Files (x86)\AstroGrep\AstroGrep.exe" /e /r /s /spath="%USERPROFILE%\AppData\Local\Temp\OnboardLogs" /stypes="app*4043*20170730*" /stext=" 23:.+((SYSTEM_STATE.+slice.+state.+changed )|(ment ac)|(multiple cpu faults)|(system.+state.+changed )|(\[timeout)|(PRM\|1\|D)|(kpr)|(kdp)|(train st.+moving)|(\|lc)|(penalty))"</v>
      </c>
      <c r="AG109" s="209" t="str">
        <f t="shared" si="36"/>
        <v>EC</v>
      </c>
      <c r="AH109" s="78" t="str">
        <f t="shared" si="37"/>
        <v>"%USERPROFILE%\Documents\GitHub\eaglep3\Utilities\RefineRTDCRunTimes.py" --tripid 198-30 --locoid 4043 --swversion DE.1.0.9.0 --startMP 204:233059 --initTime 2017-07-30T16:36:03 --startdatetime 2017-07-30T16:42:21 --delay 1 --endMP 204:165 --enddatetime 2017-07-30T17:19:06 --enforcementcount 0 &gt;&gt;C:\Users\stu\Documents\GitHub\eaglep3-reporting\EC\2017-07-30-refined-times.txt</v>
      </c>
      <c r="AI109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{"issue":{"subject":"","project_id":79,"tracker_id":40,"status_id":1,"priority_id":2,"assigned_to_id":23,"start_date":"2017-07-30","description":"","custom_fields":[{"id":1,"name":"Subdivision","value":"EC"},{"id":4,"name":"Milepost","value":"0.0165"},{"id":17,"name":"Train ID","value":"198-30"},{"id":16,"name":"Locomotive ID","value":"4043"},{"id":130,"name":"Impact","value":""},{"id":150,"name":"Time of Event (Mountain Time)","value":"17:19:06"},{"id":151,"name":"Denver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39"/>
        <v>start /low /b %USERPROFILE%\Documents\GitHub\eaglep3\Utilities\DownloadLogsFromS3.py --loco 4043 --day 2017-07-30</v>
      </c>
      <c r="AN109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23:19:06"},{"id":29,"name":"Sharepoint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804</v>
      </c>
      <c r="B110" s="7">
        <v>4066</v>
      </c>
      <c r="C110" s="21" t="s">
        <v>198</v>
      </c>
      <c r="D110" s="21" t="s">
        <v>405</v>
      </c>
      <c r="E110" s="13">
        <v>42946.662465277775</v>
      </c>
      <c r="F110" s="13">
        <v>42946.667199074072</v>
      </c>
      <c r="G110" s="7">
        <v>1</v>
      </c>
      <c r="H110" s="21" t="s">
        <v>974</v>
      </c>
      <c r="I110" s="13">
        <v>42946.691435185188</v>
      </c>
      <c r="J110" s="7">
        <v>0</v>
      </c>
      <c r="K110" s="89" t="str">
        <f t="shared" si="25"/>
        <v>4065/4066</v>
      </c>
      <c r="L110" s="21" t="str">
        <f>VLOOKUP(A110,'Trips&amp;Operators'!$C$1:$G$99999,5,FALSE)</f>
        <v>ROMERO CHAD</v>
      </c>
      <c r="M110" s="6">
        <f t="shared" si="26"/>
        <v>2.4236111115897074E-2</v>
      </c>
      <c r="N110" s="7">
        <f t="shared" si="41"/>
        <v>34.900000006891787</v>
      </c>
      <c r="O110" s="7"/>
      <c r="P110" s="7"/>
      <c r="Q110" s="22"/>
      <c r="R110" s="170"/>
      <c r="S110" s="213">
        <f t="shared" si="27"/>
        <v>1</v>
      </c>
      <c r="T110" s="195" t="str">
        <f t="shared" si="28"/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29"/>
        <v>https://d0f6bd738d7f1b3e5a7ca70fe4ff75f0.us-east-1.aws.found.io/app/kibana#/discover/Steve-Slow-Train-Analysis-(2080s-and-2083s)?_g=(refreshInterval:(display:Off,pause:!f,section:0,value:0),time:(from:'2017-07-30T14:53:57-0600',mode:absolute,to:'2017-07-30T17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10" s="197" t="str">
        <f>IF(AA110&lt;VLOOKUP(AG110,Variables!$AC$3:$AD$8,2,FALSE),"Y","N")</f>
        <v>N</v>
      </c>
      <c r="X110" s="197">
        <f t="shared" si="42"/>
        <v>1</v>
      </c>
      <c r="Y110" s="197">
        <f t="shared" si="30"/>
        <v>4.58E-2</v>
      </c>
      <c r="Z110" s="197">
        <f t="shared" si="31"/>
        <v>23.340399999999999</v>
      </c>
      <c r="AA110" s="197">
        <f t="shared" si="32"/>
        <v>23.294599999999999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3"/>
        <v>199</v>
      </c>
      <c r="AE110" s="77" t="str">
        <f t="shared" si="34"/>
        <v>aws s3 cp s3://rtdc.mdm.uploadarchive.raw/RTDC4066/ "%USERPROFILE%\AppData\Local\Temp\OnboardLogs"\RTDC4066\2017-07-30 --exclude "*" --recursive --include "*20170730*" &amp; "%USERPROFILE%\Documents\GitHub\mrs-test-scripts\Headless Mode &amp; Sideloading\WalkAndUnGZ.bat" "%USERPROFILE%\AppData\Local\Temp\OnboardLogs"\RTDC4066\2017-07-30 &amp; aws s3 cp s3://rtdc.mdm.uploadarchive.raw/RTDC4066/ "%USERPROFILE%\AppData\Local\Temp\OnboardLogs"\RTDC4066\2017-07-31 --exclude "*" --recursive --include "*20170731*" &amp; "%USERPROFILE%\Documents\GitHub\mrs-test-scripts\Headless Mode &amp; Sideloading\WalkAndUnGZ.bat" "%USERPROFILE%\AppData\Local\Temp\OnboardLogs"\RTDC4066\2017-07-31</v>
      </c>
      <c r="AF110" s="74" t="str">
        <f t="shared" si="35"/>
        <v>"C:\Program Files (x86)\AstroGrep\AstroGrep.exe" /e /r /s /spath="%USERPROFILE%\AppData\Local\Temp\OnboardLogs" /stypes="app*4066*20170730*" /stext=" 22:.+((SYSTEM_STATE.+slice.+state.+changed )|(ment ac)|(multiple cpu faults)|(system.+state.+changed )|(\[timeout)|(PRM\|1\|D)|(kpr)|(kdp)|(train st.+moving)|(\|lc)|(penalty))"</v>
      </c>
      <c r="AG110" s="209" t="str">
        <f t="shared" si="36"/>
        <v>EC</v>
      </c>
      <c r="AH110" s="78" t="str">
        <f t="shared" si="37"/>
        <v>"%USERPROFILE%\Documents\GitHub\eaglep3\Utilities\RefineRTDCRunTimes.py" --tripid 199-30 --locoid 4066 --swversion DE.1.0.9.0 --startMP 204:458 --initTime 2017-07-30T15:53:57 --startdatetime 2017-07-30T16:00:46 --delay 1 --endMP 204:233404 --enddatetime 2017-07-30T16:35:40 --enforcementcount 0 &gt;&gt;C:\Users\stu\Documents\GitHub\eaglep3-reporting\EC\2017-07-30-refined-times.txt</v>
      </c>
      <c r="AI110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{"issue":{"subject":"","project_id":79,"tracker_id":40,"status_id":1,"priority_id":2,"assigned_to_id":23,"start_date":"2017-07-30","description":"","custom_fields":[{"id":1,"name":"Subdivision","value":"EC"},{"id":4,"name":"Milepost","value":"23.3404"},{"id":17,"name":"Train ID","value":"199-30"},{"id":16,"name":"Locomotive ID","value":"4066"},{"id":130,"name":"Impact","value":""},{"id":150,"name":"Time of Event (Mountain Time)","value":"16:35:40"},{"id":151,"name":"Denver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39"/>
        <v>start /low /b %USERPROFILE%\Documents\GitHub\eaglep3\Utilities\DownloadLogsFromS3.py --loco 4066 --day 2017-07-30</v>
      </c>
      <c r="AN110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22:35:40"},{"id":29,"name":"Sharepoint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648</v>
      </c>
      <c r="B111" s="7">
        <v>4065</v>
      </c>
      <c r="C111" s="21" t="s">
        <v>198</v>
      </c>
      <c r="D111" s="21" t="s">
        <v>975</v>
      </c>
      <c r="E111" s="13">
        <v>42946.696458333332</v>
      </c>
      <c r="F111" s="13">
        <v>42946.70684027778</v>
      </c>
      <c r="G111" s="7">
        <v>1</v>
      </c>
      <c r="H111" s="21" t="s">
        <v>883</v>
      </c>
      <c r="I111" s="13">
        <v>42946.732291666667</v>
      </c>
      <c r="J111" s="7">
        <v>0</v>
      </c>
      <c r="K111" s="89" t="str">
        <f t="shared" si="25"/>
        <v>4065/4066</v>
      </c>
      <c r="L111" s="21" t="str">
        <f>VLOOKUP(A111,'Trips&amp;Operators'!$C$1:$G$99999,5,FALSE)</f>
        <v>ROMERO CHAD</v>
      </c>
      <c r="M111" s="6">
        <f t="shared" si="26"/>
        <v>2.545138888672227E-2</v>
      </c>
      <c r="N111" s="7">
        <f t="shared" si="41"/>
        <v>36.649999996880069</v>
      </c>
      <c r="O111" s="7"/>
      <c r="P111" s="7"/>
      <c r="Q111" s="22"/>
      <c r="R111" s="170"/>
      <c r="S111" s="213">
        <f t="shared" si="27"/>
        <v>1</v>
      </c>
      <c r="T111" s="195" t="str">
        <f t="shared" si="28"/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29"/>
        <v>https://d0f6bd738d7f1b3e5a7ca70fe4ff75f0.us-east-1.aws.found.io/app/kibana#/discover/Steve-Slow-Train-Analysis-(2080s-and-2083s)?_g=(refreshInterval:(display:Off,pause:!f,section:0,value:0),time:(from:'2017-07-30T15:42:54-0600',mode:absolute,to:'2017-07-30T18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11" s="197" t="str">
        <f>IF(AA111&lt;VLOOKUP(AG111,Variables!$AC$3:$AD$8,2,FALSE),"Y","N")</f>
        <v>N</v>
      </c>
      <c r="X111" s="197">
        <f t="shared" si="42"/>
        <v>1</v>
      </c>
      <c r="Y111" s="197">
        <f t="shared" si="30"/>
        <v>23.309100000000001</v>
      </c>
      <c r="Z111" s="197">
        <f t="shared" si="31"/>
        <v>1.5599999999999999E-2</v>
      </c>
      <c r="AA111" s="197">
        <f t="shared" si="32"/>
        <v>23.293500000000002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3"/>
        <v>200</v>
      </c>
      <c r="AE111" s="77" t="str">
        <f t="shared" si="34"/>
        <v>aws s3 cp s3://rtdc.mdm.uploadarchive.raw/RTDC4065/ "%USERPROFILE%\AppData\Local\Temp\OnboardLogs"\RTDC4065\2017-07-30 --exclude "*" --recursive --include "*20170730*" &amp; "%USERPROFILE%\Documents\GitHub\mrs-test-scripts\Headless Mode &amp; Sideloading\WalkAndUnGZ.bat" "%USERPROFILE%\AppData\Local\Temp\OnboardLogs"\RTDC4065\2017-07-30 &amp; aws s3 cp s3://rtdc.mdm.uploadarchive.raw/RTDC4065/ "%USERPROFILE%\AppData\Local\Temp\OnboardLogs"\RTDC4065\2017-07-31 --exclude "*" --recursive --include "*20170731*" &amp; "%USERPROFILE%\Documents\GitHub\mrs-test-scripts\Headless Mode &amp; Sideloading\WalkAndUnGZ.bat" "%USERPROFILE%\AppData\Local\Temp\OnboardLogs"\RTDC4065\2017-07-31</v>
      </c>
      <c r="AF111" s="74" t="str">
        <f t="shared" si="35"/>
        <v>"C:\Program Files (x86)\AstroGrep\AstroGrep.exe" /e /r /s /spath="%USERPROFILE%\AppData\Local\Temp\OnboardLogs" /stypes="app*4065*20170730*" /stext=" 23:.+((SYSTEM_STATE.+slice.+state.+changed )|(ment ac)|(multiple cpu faults)|(system.+state.+changed )|(\[timeout)|(PRM\|1\|D)|(kpr)|(kdp)|(train st.+moving)|(\|lc)|(penalty))"</v>
      </c>
      <c r="AG111" s="209" t="str">
        <f t="shared" si="36"/>
        <v>EC</v>
      </c>
      <c r="AH111" s="78" t="str">
        <f t="shared" si="37"/>
        <v>"%USERPROFILE%\Documents\GitHub\eaglep3\Utilities\RefineRTDCRunTimes.py" --tripid 200-30 --locoid 4065 --swversion DE.1.0.9.0 --startMP 204:233091 --initTime 2017-07-30T16:42:54 --startdatetime 2017-07-30T16:57:51 --delay 1 --endMP 204:156 --enddatetime 2017-07-30T17:34:30 --enforcementcount 0 &gt;&gt;C:\Users\stu\Documents\GitHub\eaglep3-reporting\EC\2017-07-30-refined-times.txt</v>
      </c>
      <c r="AI111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{"issue":{"subject":"","project_id":79,"tracker_id":40,"status_id":1,"priority_id":2,"assigned_to_id":23,"start_date":"2017-07-30","description":"","custom_fields":[{"id":1,"name":"Subdivision","value":"EC"},{"id":4,"name":"Milepost","value":"0.0156"},{"id":17,"name":"Train ID","value":"200-30"},{"id":16,"name":"Locomotive ID","value":"4065"},{"id":130,"name":"Impact","value":""},{"id":150,"name":"Time of Event (Mountain Time)","value":"17:34:30"},{"id":151,"name":"Denver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39"/>
        <v>start /low /b %USERPROFILE%\Documents\GitHub\eaglep3\Utilities\DownloadLogsFromS3.py --loco 4065 --day 2017-07-30</v>
      </c>
      <c r="AN111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23:34:30"},{"id":29,"name":"Sharepoint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806</v>
      </c>
      <c r="B112" s="7">
        <v>4016</v>
      </c>
      <c r="C112" s="21" t="s">
        <v>198</v>
      </c>
      <c r="D112" s="21" t="s">
        <v>976</v>
      </c>
      <c r="E112" s="13">
        <v>42946.673263888886</v>
      </c>
      <c r="F112" s="13">
        <v>42946.67769675926</v>
      </c>
      <c r="G112" s="7">
        <v>1</v>
      </c>
      <c r="H112" s="21" t="s">
        <v>575</v>
      </c>
      <c r="I112" s="13">
        <v>42946.702534722222</v>
      </c>
      <c r="J112" s="7">
        <v>0</v>
      </c>
      <c r="K112" s="89" t="str">
        <f t="shared" si="25"/>
        <v>4015/4016</v>
      </c>
      <c r="L112" s="21" t="str">
        <f>VLOOKUP(A112,'Trips&amp;Operators'!$C$1:$G$99999,5,FALSE)</f>
        <v>MCREYNOLDS KYLE</v>
      </c>
      <c r="M112" s="6">
        <f t="shared" si="26"/>
        <v>2.4837962962919846E-2</v>
      </c>
      <c r="N112" s="7">
        <f t="shared" si="41"/>
        <v>35.766666666604578</v>
      </c>
      <c r="O112" s="7"/>
      <c r="P112" s="7"/>
      <c r="Q112" s="22"/>
      <c r="R112" s="170"/>
      <c r="S112" s="213">
        <f t="shared" si="27"/>
        <v>1</v>
      </c>
      <c r="T112" s="195" t="str">
        <f t="shared" si="28"/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29"/>
        <v>https://d0f6bd738d7f1b3e5a7ca70fe4ff75f0.us-east-1.aws.found.io/app/kibana#/discover/Steve-Slow-Train-Analysis-(2080s-and-2083s)?_g=(refreshInterval:(display:Off,pause:!f,section:0,value:0),time:(from:'2017-07-30T15:09:30-0600',mode:absolute,to:'2017-07-30T17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2" s="197" t="str">
        <f>IF(AA112&lt;VLOOKUP(AG112,Variables!$AC$3:$AD$8,2,FALSE),"Y","N")</f>
        <v>N</v>
      </c>
      <c r="X112" s="197">
        <f t="shared" si="42"/>
        <v>1</v>
      </c>
      <c r="Y112" s="197">
        <f t="shared" si="30"/>
        <v>4.2900000000000001E-2</v>
      </c>
      <c r="Z112" s="197">
        <f t="shared" si="31"/>
        <v>23.337</v>
      </c>
      <c r="AA112" s="197">
        <f t="shared" si="32"/>
        <v>23.2941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3"/>
        <v>201</v>
      </c>
      <c r="AE112" s="77" t="str">
        <f t="shared" si="34"/>
        <v>aws s3 cp s3://rtdc.mdm.uploadarchive.raw/RTDC4016/ "%USERPROFILE%\AppData\Local\Temp\OnboardLogs"\RTDC4016\2017-07-30 --exclude "*" --recursive --include "*20170730*" &amp; "%USERPROFILE%\Documents\GitHub\mrs-test-scripts\Headless Mode &amp; Sideloading\WalkAndUnGZ.bat" "%USERPROFILE%\AppData\Local\Temp\OnboardLogs"\RTDC4016\2017-07-30 &amp; aws s3 cp s3://rtdc.mdm.uploadarchive.raw/RTDC4016/ "%USERPROFILE%\AppData\Local\Temp\OnboardLogs"\RTDC4016\2017-07-31 --exclude "*" --recursive --include "*20170731*" &amp; "%USERPROFILE%\Documents\GitHub\mrs-test-scripts\Headless Mode &amp; Sideloading\WalkAndUnGZ.bat" "%USERPROFILE%\AppData\Local\Temp\OnboardLogs"\RTDC4016\2017-07-31</v>
      </c>
      <c r="AF112" s="74" t="str">
        <f t="shared" si="35"/>
        <v>"C:\Program Files (x86)\AstroGrep\AstroGrep.exe" /e /r /s /spath="%USERPROFILE%\AppData\Local\Temp\OnboardLogs" /stypes="app*4016*20170730*" /stext=" 22:.+((SYSTEM_STATE.+slice.+state.+changed )|(ment ac)|(multiple cpu faults)|(system.+state.+changed )|(\[timeout)|(PRM\|1\|D)|(kpr)|(kdp)|(train st.+moving)|(\|lc)|(penalty))"</v>
      </c>
      <c r="AG112" s="209" t="str">
        <f t="shared" si="36"/>
        <v>EC</v>
      </c>
      <c r="AH112" s="78" t="str">
        <f t="shared" si="37"/>
        <v>"%USERPROFILE%\Documents\GitHub\eaglep3\Utilities\RefineRTDCRunTimes.py" --tripid 201-30 --locoid 4016 --swversion DE.1.0.9.0 --startMP 204:429 --initTime 2017-07-30T16:09:30 --startdatetime 2017-07-30T16:15:53 --delay 1 --endMP 204:233370 --enddatetime 2017-07-30T16:51:39 --enforcementcount 0 &gt;&gt;C:\Users\stu\Documents\GitHub\eaglep3-reporting\EC\2017-07-30-refined-times.txt</v>
      </c>
      <c r="AI112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{"issue":{"subject":"","project_id":79,"tracker_id":40,"status_id":1,"priority_id":2,"assigned_to_id":23,"start_date":"2017-07-30","description":"","custom_fields":[{"id":1,"name":"Subdivision","value":"EC"},{"id":4,"name":"Milepost","value":"23.337"},{"id":17,"name":"Train ID","value":"201-30"},{"id":16,"name":"Locomotive ID","value":"4016"},{"id":130,"name":"Impact","value":""},{"id":150,"name":"Time of Event (Mountain Time)","value":"16:51:39"},{"id":151,"name":"Denver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39"/>
        <v>start /low /b %USERPROFILE%\Documents\GitHub\eaglep3\Utilities\DownloadLogsFromS3.py --loco 4016 --day 2017-07-30</v>
      </c>
      <c r="AN112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22:51:39"},{"id":29,"name":"Sharepoint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813</v>
      </c>
      <c r="B113" s="7">
        <v>4015</v>
      </c>
      <c r="C113" s="21" t="s">
        <v>198</v>
      </c>
      <c r="D113" s="21" t="s">
        <v>512</v>
      </c>
      <c r="E113" s="13">
        <v>42946.704444444447</v>
      </c>
      <c r="F113" s="13">
        <v>42946.716851851852</v>
      </c>
      <c r="G113" s="7">
        <v>1</v>
      </c>
      <c r="H113" s="21" t="s">
        <v>341</v>
      </c>
      <c r="I113" s="13">
        <v>42946.743217592593</v>
      </c>
      <c r="J113" s="7">
        <v>0</v>
      </c>
      <c r="K113" s="89" t="str">
        <f t="shared" si="25"/>
        <v>4015/4016</v>
      </c>
      <c r="L113" s="21" t="str">
        <f>VLOOKUP(A113,'Trips&amp;Operators'!$C$1:$G$99999,5,FALSE)</f>
        <v>MCREYNOLDS KYLE</v>
      </c>
      <c r="M113" s="6">
        <f t="shared" si="26"/>
        <v>2.6365740741312038E-2</v>
      </c>
      <c r="N113" s="7">
        <f t="shared" si="41"/>
        <v>37.966666667489335</v>
      </c>
      <c r="O113" s="7"/>
      <c r="P113" s="7"/>
      <c r="Q113" s="22"/>
      <c r="R113" s="170"/>
      <c r="S113" s="213">
        <f t="shared" si="27"/>
        <v>1</v>
      </c>
      <c r="T113" s="195" t="str">
        <f t="shared" si="28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29"/>
        <v>https://d0f6bd738d7f1b3e5a7ca70fe4ff75f0.us-east-1.aws.found.io/app/kibana#/discover/Steve-Slow-Train-Analysis-(2080s-and-2083s)?_g=(refreshInterval:(display:Off,pause:!f,section:0,value:0),time:(from:'2017-07-30T15:54:24-0600',mode:absolute,to:'2017-07-30T18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3" s="197" t="str">
        <f>IF(AA113&lt;VLOOKUP(AG113,Variables!$AC$3:$AD$8,2,FALSE),"Y","N")</f>
        <v>N</v>
      </c>
      <c r="X113" s="197">
        <f t="shared" si="42"/>
        <v>1</v>
      </c>
      <c r="Y113" s="197">
        <f t="shared" si="30"/>
        <v>23.303799999999999</v>
      </c>
      <c r="Z113" s="197">
        <f t="shared" si="31"/>
        <v>1.4999999999999999E-2</v>
      </c>
      <c r="AA113" s="197">
        <f t="shared" si="32"/>
        <v>23.288799999999998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3"/>
        <v>202</v>
      </c>
      <c r="AE113" s="77" t="str">
        <f t="shared" si="34"/>
        <v>aws s3 cp s3://rtdc.mdm.uploadarchive.raw/RTDC4015/ "%USERPROFILE%\AppData\Local\Temp\OnboardLogs"\RTDC4015\2017-07-30 --exclude "*" --recursive --include "*20170730*" &amp; "%USERPROFILE%\Documents\GitHub\mrs-test-scripts\Headless Mode &amp; Sideloading\WalkAndUnGZ.bat" "%USERPROFILE%\AppData\Local\Temp\OnboardLogs"\RTDC4015\2017-07-30 &amp; aws s3 cp s3://rtdc.mdm.uploadarchive.raw/RTDC4015/ "%USERPROFILE%\AppData\Local\Temp\OnboardLogs"\RTDC4015\2017-07-31 --exclude "*" --recursive --include "*20170731*" &amp; "%USERPROFILE%\Documents\GitHub\mrs-test-scripts\Headless Mode &amp; Sideloading\WalkAndUnGZ.bat" "%USERPROFILE%\AppData\Local\Temp\OnboardLogs"\RTDC4015\2017-07-31</v>
      </c>
      <c r="AF113" s="74" t="str">
        <f t="shared" si="35"/>
        <v>"C:\Program Files (x86)\AstroGrep\AstroGrep.exe" /e /r /s /spath="%USERPROFILE%\AppData\Local\Temp\OnboardLogs" /stypes="app*4015*20170730*" /stext=" 23:.+((SYSTEM_STATE.+slice.+state.+changed )|(ment ac)|(multiple cpu faults)|(system.+state.+changed )|(\[timeout)|(PRM\|1\|D)|(kpr)|(kdp)|(train st.+moving)|(\|lc)|(penalty))"</v>
      </c>
      <c r="AG113" s="209" t="str">
        <f t="shared" si="36"/>
        <v>EC</v>
      </c>
      <c r="AH113" s="78" t="str">
        <f t="shared" si="37"/>
        <v>"%USERPROFILE%\Documents\GitHub\eaglep3\Utilities\RefineRTDCRunTimes.py" --tripid 202-30 --locoid 4015 --swversion DE.1.0.9.0 --startMP 204:233038 --initTime 2017-07-30T16:54:24 --startdatetime 2017-07-30T17:12:16 --delay 1 --endMP 204:150 --enddatetime 2017-07-30T17:50:14 --enforcementcount 0 &gt;&gt;C:\Users\stu\Documents\GitHub\eaglep3-reporting\EC\2017-07-30-refined-times.txt</v>
      </c>
      <c r="AI113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{"issue":{"subject":"","project_id":79,"tracker_id":40,"status_id":1,"priority_id":2,"assigned_to_id":23,"start_date":"2017-07-30","description":"","custom_fields":[{"id":1,"name":"Subdivision","value":"EC"},{"id":4,"name":"Milepost","value":"0.015"},{"id":17,"name":"Train ID","value":"202-30"},{"id":16,"name":"Locomotive ID","value":"4015"},{"id":130,"name":"Impact","value":""},{"id":150,"name":"Time of Event (Mountain Time)","value":"17:50:14"},{"id":151,"name":"Denver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39"/>
        <v>start /low /b %USERPROFILE%\Documents\GitHub\eaglep3\Utilities\DownloadLogsFromS3.py --loco 4015 --day 2017-07-30</v>
      </c>
      <c r="AN113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23:50:14"},{"id":29,"name":"Sharepoint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809</v>
      </c>
      <c r="B114" s="7">
        <v>4032</v>
      </c>
      <c r="C114" s="21" t="s">
        <v>198</v>
      </c>
      <c r="D114" s="21" t="s">
        <v>405</v>
      </c>
      <c r="E114" s="13">
        <v>42946.685173611113</v>
      </c>
      <c r="F114" s="13">
        <v>42946.687847222223</v>
      </c>
      <c r="G114" s="7">
        <v>1</v>
      </c>
      <c r="H114" s="21" t="s">
        <v>464</v>
      </c>
      <c r="I114" s="13">
        <v>42946.713900462964</v>
      </c>
      <c r="J114" s="7">
        <v>0</v>
      </c>
      <c r="K114" s="89" t="str">
        <f t="shared" si="25"/>
        <v>4031/4032</v>
      </c>
      <c r="L114" s="21" t="str">
        <f>VLOOKUP(A114,'Trips&amp;Operators'!$C$1:$G$99999,5,FALSE)</f>
        <v>DAVIS MICHAEL</v>
      </c>
      <c r="M114" s="6">
        <f t="shared" si="26"/>
        <v>2.6053240741021E-2</v>
      </c>
      <c r="N114" s="7">
        <f t="shared" si="41"/>
        <v>37.51666666707024</v>
      </c>
      <c r="O114" s="7"/>
      <c r="P114" s="7"/>
      <c r="Q114" s="22"/>
      <c r="R114" s="170"/>
      <c r="S114" s="213">
        <f t="shared" si="27"/>
        <v>1</v>
      </c>
      <c r="T114" s="195" t="str">
        <f t="shared" si="28"/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29"/>
        <v>https://d0f6bd738d7f1b3e5a7ca70fe4ff75f0.us-east-1.aws.found.io/app/kibana#/discover/Steve-Slow-Train-Analysis-(2080s-and-2083s)?_g=(refreshInterval:(display:Off,pause:!f,section:0,value:0),time:(from:'2017-07-30T15:26:39-0600',mode:absolute,to:'2017-07-30T18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4" s="197" t="str">
        <f>IF(AA114&lt;VLOOKUP(AG114,Variables!$AC$3:$AD$8,2,FALSE),"Y","N")</f>
        <v>N</v>
      </c>
      <c r="X114" s="197">
        <f t="shared" si="42"/>
        <v>1</v>
      </c>
      <c r="Y114" s="197">
        <f t="shared" si="30"/>
        <v>4.58E-2</v>
      </c>
      <c r="Z114" s="197">
        <f t="shared" si="31"/>
        <v>23.3306</v>
      </c>
      <c r="AA114" s="197">
        <f t="shared" si="32"/>
        <v>23.284800000000001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3"/>
        <v>203</v>
      </c>
      <c r="AE114" s="77" t="str">
        <f t="shared" si="34"/>
        <v>aws s3 cp s3://rtdc.mdm.uploadarchive.raw/RTDC4032/ "%USERPROFILE%\AppData\Local\Temp\OnboardLogs"\RTDC4032\2017-07-30 --exclude "*" --recursive --include "*20170730*" &amp; "%USERPROFILE%\Documents\GitHub\mrs-test-scripts\Headless Mode &amp; Sideloading\WalkAndUnGZ.bat" "%USERPROFILE%\AppData\Local\Temp\OnboardLogs"\RTDC4032\2017-07-30 &amp; aws s3 cp s3://rtdc.mdm.uploadarchive.raw/RTDC4032/ "%USERPROFILE%\AppData\Local\Temp\OnboardLogs"\RTDC4032\2017-07-31 --exclude "*" --recursive --include "*20170731*" &amp; "%USERPROFILE%\Documents\GitHub\mrs-test-scripts\Headless Mode &amp; Sideloading\WalkAndUnGZ.bat" "%USERPROFILE%\AppData\Local\Temp\OnboardLogs"\RTDC4032\2017-07-31</v>
      </c>
      <c r="AF114" s="74" t="str">
        <f t="shared" si="35"/>
        <v>"C:\Program Files (x86)\AstroGrep\AstroGrep.exe" /e /r /s /spath="%USERPROFILE%\AppData\Local\Temp\OnboardLogs" /stypes="app*4032*20170730*" /stext=" 23:.+((SYSTEM_STATE.+slice.+state.+changed )|(ment ac)|(multiple cpu faults)|(system.+state.+changed )|(\[timeout)|(PRM\|1\|D)|(kpr)|(kdp)|(train st.+moving)|(\|lc)|(penalty))"</v>
      </c>
      <c r="AG114" s="209" t="str">
        <f t="shared" si="36"/>
        <v>EC</v>
      </c>
      <c r="AH114" s="78" t="str">
        <f t="shared" si="37"/>
        <v>"%USERPROFILE%\Documents\GitHub\eaglep3\Utilities\RefineRTDCRunTimes.py" --tripid 203-30 --locoid 4032 --swversion DE.1.0.9.0 --startMP 204:458 --initTime 2017-07-30T16:26:39 --startdatetime 2017-07-30T16:30:30 --delay 1 --endMP 204:233306 --enddatetime 2017-07-30T17:08:01 --enforcementcount 0 &gt;&gt;C:\Users\stu\Documents\GitHub\eaglep3-reporting\EC\2017-07-30-refined-times.txt</v>
      </c>
      <c r="AI114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{"issue":{"subject":"","project_id":79,"tracker_id":40,"status_id":1,"priority_id":2,"assigned_to_id":23,"start_date":"2017-07-30","description":"","custom_fields":[{"id":1,"name":"Subdivision","value":"EC"},{"id":4,"name":"Milepost","value":"23.3306"},{"id":17,"name":"Train ID","value":"203-30"},{"id":16,"name":"Locomotive ID","value":"4032"},{"id":130,"name":"Impact","value":""},{"id":150,"name":"Time of Event (Mountain Time)","value":"17:08:01"},{"id":151,"name":"Denver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39"/>
        <v>start /low /b %USERPROFILE%\Documents\GitHub\eaglep3\Utilities\DownloadLogsFromS3.py --loco 4032 --day 2017-07-30</v>
      </c>
      <c r="AN114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23:08:01"},{"id":29,"name":"Sharepoint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816</v>
      </c>
      <c r="B115" s="7">
        <v>4031</v>
      </c>
      <c r="C115" s="21" t="s">
        <v>198</v>
      </c>
      <c r="D115" s="21" t="s">
        <v>504</v>
      </c>
      <c r="E115" s="13">
        <v>42946.725381944445</v>
      </c>
      <c r="F115" s="13">
        <v>42946.727476851855</v>
      </c>
      <c r="G115" s="7">
        <v>1</v>
      </c>
      <c r="H115" s="21" t="s">
        <v>449</v>
      </c>
      <c r="I115" s="13">
        <v>42946.755231481482</v>
      </c>
      <c r="J115" s="7">
        <v>0</v>
      </c>
      <c r="K115" s="89" t="str">
        <f t="shared" si="25"/>
        <v>4031/4032</v>
      </c>
      <c r="L115" s="21" t="str">
        <f>VLOOKUP(A115,'Trips&amp;Operators'!$C$1:$G$99999,5,FALSE)</f>
        <v>DAVIS MICHAEL</v>
      </c>
      <c r="M115" s="6">
        <f t="shared" si="26"/>
        <v>2.7754629627452232E-2</v>
      </c>
      <c r="N115" s="7">
        <f t="shared" si="41"/>
        <v>39.966666663531214</v>
      </c>
      <c r="O115" s="7"/>
      <c r="P115" s="7"/>
      <c r="Q115" s="22"/>
      <c r="R115" s="170"/>
      <c r="S115" s="213">
        <f t="shared" si="27"/>
        <v>1</v>
      </c>
      <c r="T115" s="195" t="str">
        <f t="shared" si="28"/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29"/>
        <v>https://d0f6bd738d7f1b3e5a7ca70fe4ff75f0.us-east-1.aws.found.io/app/kibana#/discover/Steve-Slow-Train-Analysis-(2080s-and-2083s)?_g=(refreshInterval:(display:Off,pause:!f,section:0,value:0),time:(from:'2017-07-30T16:24:33-0600',mode:absolute,to:'2017-07-30T19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5" s="197" t="str">
        <f>IF(AA115&lt;VLOOKUP(AG115,Variables!$AC$3:$AD$8,2,FALSE),"Y","N")</f>
        <v>N</v>
      </c>
      <c r="X115" s="197">
        <f t="shared" si="42"/>
        <v>1</v>
      </c>
      <c r="Y115" s="197">
        <f t="shared" si="30"/>
        <v>23.300999999999998</v>
      </c>
      <c r="Z115" s="197">
        <f t="shared" si="31"/>
        <v>1.52E-2</v>
      </c>
      <c r="AA115" s="197">
        <f t="shared" si="32"/>
        <v>23.285799999999998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3"/>
        <v>204</v>
      </c>
      <c r="AE115" s="77" t="str">
        <f t="shared" si="34"/>
        <v>aws s3 cp s3://rtdc.mdm.uploadarchive.raw/RTDC4031/ "%USERPROFILE%\AppData\Local\Temp\OnboardLogs"\RTDC4031\2017-07-30 --exclude "*" --recursive --include "*20170730*" &amp; "%USERPROFILE%\Documents\GitHub\mrs-test-scripts\Headless Mode &amp; Sideloading\WalkAndUnGZ.bat" "%USERPROFILE%\AppData\Local\Temp\OnboardLogs"\RTDC4031\2017-07-30 &amp; aws s3 cp s3://rtdc.mdm.uploadarchive.raw/RTDC4031/ "%USERPROFILE%\AppData\Local\Temp\OnboardLogs"\RTDC4031\2017-07-31 --exclude "*" --recursive --include "*20170731*" &amp; "%USERPROFILE%\Documents\GitHub\mrs-test-scripts\Headless Mode &amp; Sideloading\WalkAndUnGZ.bat" "%USERPROFILE%\AppData\Local\Temp\OnboardLogs"\RTDC4031\2017-07-31</v>
      </c>
      <c r="AF115" s="74" t="str">
        <f t="shared" si="35"/>
        <v>"C:\Program Files (x86)\AstroGrep\AstroGrep.exe" /e /r /s /spath="%USERPROFILE%\AppData\Local\Temp\OnboardLogs" /stypes="app*4031*20170731*" /stext=" 00:.+((SYSTEM_STATE.+slice.+state.+changed )|(ment ac)|(multiple cpu faults)|(system.+state.+changed )|(\[timeout)|(PRM\|1\|D)|(kpr)|(kdp)|(train st.+moving)|(\|lc)|(penalty))"</v>
      </c>
      <c r="AG115" s="209" t="str">
        <f t="shared" si="36"/>
        <v>EC</v>
      </c>
      <c r="AH115" s="78" t="str">
        <f t="shared" si="37"/>
        <v>"%USERPROFILE%\Documents\GitHub\eaglep3\Utilities\RefineRTDCRunTimes.py" --tripid 204-30 --locoid 4031 --swversion DE.1.0.9.0 --startMP 204:233010 --initTime 2017-07-30T17:24:33 --startdatetime 2017-07-30T17:27:34 --delay 1 --endMP 204:152 --enddatetime 2017-07-30T18:07:32 --enforcementcount 0 &gt;&gt;C:\Users\stu\Documents\GitHub\eaglep3-reporting\EC\2017-07-30-refined-times.txt</v>
      </c>
      <c r="AI115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{"issue":{"subject":"","project_id":79,"tracker_id":40,"status_id":1,"priority_id":2,"assigned_to_id":23,"start_date":"2017-07-30","description":"","custom_fields":[{"id":1,"name":"Subdivision","value":"EC"},{"id":4,"name":"Milepost","value":"0.0152"},{"id":17,"name":"Train ID","value":"204-30"},{"id":16,"name":"Locomotive ID","value":"4031"},{"id":130,"name":"Impact","value":""},{"id":150,"name":"Time of Event (Mountain Time)","value":"18:07:32"},{"id":151,"name":"Denver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39"/>
        <v>start /low /b %USERPROFILE%\Documents\GitHub\eaglep3\Utilities\DownloadLogsFromS3.py --loco 4031 --day 2017-07-30</v>
      </c>
      <c r="AN115" s="151" t="str">
        <f t="shared" si="4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00:07:32"},{"id":29,"name":"Sharepoint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647</v>
      </c>
      <c r="B116" s="7">
        <v>4046</v>
      </c>
      <c r="C116" s="21" t="s">
        <v>198</v>
      </c>
      <c r="D116" s="21" t="s">
        <v>475</v>
      </c>
      <c r="E116" s="13">
        <v>42946.696446759262</v>
      </c>
      <c r="F116" s="13">
        <v>42946.698564814818</v>
      </c>
      <c r="G116" s="7">
        <v>1</v>
      </c>
      <c r="H116" s="21" t="s">
        <v>922</v>
      </c>
      <c r="I116" s="13">
        <v>42946.724849537037</v>
      </c>
      <c r="J116" s="7">
        <v>0</v>
      </c>
      <c r="K116" s="89" t="str">
        <f t="shared" si="25"/>
        <v>4045/4046</v>
      </c>
      <c r="L116" s="21" t="str">
        <f>VLOOKUP(A116,'Trips&amp;Operators'!$C$1:$G$99999,5,FALSE)</f>
        <v>THOMPSON LESTER</v>
      </c>
      <c r="M116" s="6">
        <f t="shared" si="26"/>
        <v>2.6284722218406387E-2</v>
      </c>
      <c r="N116" s="7">
        <f t="shared" si="41"/>
        <v>37.849999994505197</v>
      </c>
      <c r="O116" s="7"/>
      <c r="P116" s="7"/>
      <c r="Q116" s="22"/>
      <c r="R116" s="170"/>
      <c r="S116" s="213">
        <f t="shared" si="27"/>
        <v>1</v>
      </c>
      <c r="T116" s="195" t="str">
        <f t="shared" si="28"/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29"/>
        <v>https://d0f6bd738d7f1b3e5a7ca70fe4ff75f0.us-east-1.aws.found.io/app/kibana#/discover/Steve-Slow-Train-Analysis-(2080s-and-2083s)?_g=(refreshInterval:(display:Off,pause:!f,section:0,value:0),time:(from:'2017-07-30T15:42:53-0600',mode:absolute,to:'2017-07-30T18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6" s="197" t="str">
        <f>IF(AA116&lt;VLOOKUP(AG116,Variables!$AC$3:$AD$8,2,FALSE),"Y","N")</f>
        <v>N</v>
      </c>
      <c r="X116" s="197">
        <f t="shared" si="42"/>
        <v>1</v>
      </c>
      <c r="Y116" s="197">
        <f t="shared" si="30"/>
        <v>4.5699999999999998E-2</v>
      </c>
      <c r="Z116" s="197">
        <f t="shared" si="31"/>
        <v>23.3322</v>
      </c>
      <c r="AA116" s="197">
        <f t="shared" si="32"/>
        <v>23.2865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3"/>
        <v>205</v>
      </c>
      <c r="AE116" s="77" t="str">
        <f t="shared" si="34"/>
        <v>aws s3 cp s3://rtdc.mdm.uploadarchive.raw/RTDC4046/ "%USERPROFILE%\AppData\Local\Temp\OnboardLogs"\RTDC4046\2017-07-30 --exclude "*" --recursive --include "*20170730*" &amp; "%USERPROFILE%\Documents\GitHub\mrs-test-scripts\Headless Mode &amp; Sideloading\WalkAndUnGZ.bat" "%USERPROFILE%\AppData\Local\Temp\OnboardLogs"\RTDC4046\2017-07-30 &amp; aws s3 cp s3://rtdc.mdm.uploadarchive.raw/RTDC4046/ "%USERPROFILE%\AppData\Local\Temp\OnboardLogs"\RTDC4046\2017-07-31 --exclude "*" --recursive --include "*20170731*" &amp; "%USERPROFILE%\Documents\GitHub\mrs-test-scripts\Headless Mode &amp; Sideloading\WalkAndUnGZ.bat" "%USERPROFILE%\AppData\Local\Temp\OnboardLogs"\RTDC4046\2017-07-31</v>
      </c>
      <c r="AF116" s="74" t="str">
        <f t="shared" si="35"/>
        <v>"C:\Program Files (x86)\AstroGrep\AstroGrep.exe" /e /r /s /spath="%USERPROFILE%\AppData\Local\Temp\OnboardLogs" /stypes="app*4046*20170730*" /stext=" 23:.+((SYSTEM_STATE.+slice.+state.+changed )|(ment ac)|(multiple cpu faults)|(system.+state.+changed )|(\[timeout)|(PRM\|1\|D)|(kpr)|(kdp)|(train st.+moving)|(\|lc)|(penalty))"</v>
      </c>
      <c r="AG116" s="209" t="str">
        <f t="shared" si="36"/>
        <v>EC</v>
      </c>
      <c r="AH116" s="78" t="str">
        <f t="shared" si="37"/>
        <v>"%USERPROFILE%\Documents\GitHub\eaglep3\Utilities\RefineRTDCRunTimes.py" --tripid 205-30 --locoid 4046 --swversion DE.1.0.9.0 --startMP 204:457 --initTime 2017-07-30T16:42:53 --startdatetime 2017-07-30T16:45:56 --delay 1 --endMP 204:233322 --enddatetime 2017-07-30T17:23:47 --enforcementcount 0 &gt;&gt;C:\Users\stu\Documents\GitHub\eaglep3-reporting\EC\2017-07-30-refined-times.txt</v>
      </c>
      <c r="AI116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{"issue":{"subject":"","project_id":79,"tracker_id":40,"status_id":1,"priority_id":2,"assigned_to_id":23,"start_date":"2017-07-30","description":"","custom_fields":[{"id":1,"name":"Subdivision","value":"EC"},{"id":4,"name":"Milepost","value":"23.3322"},{"id":17,"name":"Train ID","value":"205-30"},{"id":16,"name":"Locomotive ID","value":"4046"},{"id":130,"name":"Impact","value":""},{"id":150,"name":"Time of Event (Mountain Time)","value":"17:23:47"},{"id":151,"name":"Denver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39"/>
        <v>start /low /b %USERPROFILE%\Documents\GitHub\eaglep3\Utilities\DownloadLogsFromS3.py --loco 4046 --day 2017-07-30</v>
      </c>
      <c r="AN116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23:23:47"},{"id":29,"name":"Sharepoint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817</v>
      </c>
      <c r="B117" s="7">
        <v>4045</v>
      </c>
      <c r="C117" s="21" t="s">
        <v>198</v>
      </c>
      <c r="D117" s="21" t="s">
        <v>584</v>
      </c>
      <c r="E117" s="13">
        <v>42946.732499999998</v>
      </c>
      <c r="F117" s="13">
        <v>42946.737870370373</v>
      </c>
      <c r="G117" s="7">
        <v>2</v>
      </c>
      <c r="H117" s="21" t="s">
        <v>465</v>
      </c>
      <c r="I117" s="13">
        <v>42946.766053240739</v>
      </c>
      <c r="J117" s="7">
        <v>0</v>
      </c>
      <c r="K117" s="89" t="str">
        <f t="shared" si="25"/>
        <v>4045/4046</v>
      </c>
      <c r="L117" s="21" t="str">
        <f>VLOOKUP(A117,'Trips&amp;Operators'!$C$1:$G$99999,5,FALSE)</f>
        <v>THOMPSON LESTER</v>
      </c>
      <c r="M117" s="6">
        <f t="shared" si="26"/>
        <v>2.8182870366435964E-2</v>
      </c>
      <c r="N117" s="7">
        <f t="shared" si="41"/>
        <v>40.583333327667788</v>
      </c>
      <c r="O117" s="7"/>
      <c r="P117" s="7"/>
      <c r="Q117" s="22"/>
      <c r="R117" s="170"/>
      <c r="S117" s="213">
        <f t="shared" si="27"/>
        <v>1</v>
      </c>
      <c r="T117" s="195" t="str">
        <f t="shared" si="28"/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29"/>
        <v>https://d0f6bd738d7f1b3e5a7ca70fe4ff75f0.us-east-1.aws.found.io/app/kibana#/discover/Steve-Slow-Train-Analysis-(2080s-and-2083s)?_g=(refreshInterval:(display:Off,pause:!f,section:0,value:0),time:(from:'2017-07-30T16:34:48-0600',mode:absolute,to:'2017-07-30T19:23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7" s="197" t="str">
        <f>IF(AA117&lt;VLOOKUP(AG117,Variables!$AC$3:$AD$8,2,FALSE),"Y","N")</f>
        <v>N</v>
      </c>
      <c r="X117" s="197">
        <f t="shared" si="42"/>
        <v>1</v>
      </c>
      <c r="Y117" s="197">
        <f t="shared" si="30"/>
        <v>23.2988</v>
      </c>
      <c r="Z117" s="197">
        <f t="shared" si="31"/>
        <v>1.6299999999999999E-2</v>
      </c>
      <c r="AA117" s="197">
        <f t="shared" si="32"/>
        <v>23.282499999999999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3"/>
        <v>206</v>
      </c>
      <c r="AE117" s="77" t="str">
        <f t="shared" si="34"/>
        <v>aws s3 cp s3://rtdc.mdm.uploadarchive.raw/RTDC4045/ "%USERPROFILE%\AppData\Local\Temp\OnboardLogs"\RTDC4045\2017-07-30 --exclude "*" --recursive --include "*20170730*" &amp; "%USERPROFILE%\Documents\GitHub\mrs-test-scripts\Headless Mode &amp; Sideloading\WalkAndUnGZ.bat" "%USERPROFILE%\AppData\Local\Temp\OnboardLogs"\RTDC4045\2017-07-30 &amp; aws s3 cp s3://rtdc.mdm.uploadarchive.raw/RTDC4045/ "%USERPROFILE%\AppData\Local\Temp\OnboardLogs"\RTDC4045\2017-07-31 --exclude "*" --recursive --include "*20170731*" &amp; "%USERPROFILE%\Documents\GitHub\mrs-test-scripts\Headless Mode &amp; Sideloading\WalkAndUnGZ.bat" "%USERPROFILE%\AppData\Local\Temp\OnboardLogs"\RTDC4045\2017-07-31</v>
      </c>
      <c r="AF117" s="74" t="str">
        <f t="shared" si="35"/>
        <v>"C:\Program Files (x86)\AstroGrep\AstroGrep.exe" /e /r /s /spath="%USERPROFILE%\AppData\Local\Temp\OnboardLogs" /stypes="app*4045*20170731*" /stext=" 00:.+((SYSTEM_STATE.+slice.+state.+changed )|(ment ac)|(multiple cpu faults)|(system.+state.+changed )|(\[timeout)|(PRM\|1\|D)|(kpr)|(kdp)|(train st.+moving)|(\|lc)|(penalty))"</v>
      </c>
      <c r="AG117" s="209" t="str">
        <f t="shared" si="36"/>
        <v>EC</v>
      </c>
      <c r="AH117" s="78" t="str">
        <f t="shared" si="37"/>
        <v>"%USERPROFILE%\Documents\GitHub\eaglep3\Utilities\RefineRTDCRunTimes.py" --tripid 206-30 --locoid 4045 --swversion DE.1.0.9.0 --startMP 204:232988 --initTime 2017-07-30T17:34:48 --startdatetime 2017-07-30T17:42:32 --delay 2 --endMP 204:163 --enddatetime 2017-07-30T18:23:07 --enforcementcount 0 &gt;&gt;C:\Users\stu\Documents\GitHub\eaglep3-reporting\EC\2017-07-30-refined-times.txt</v>
      </c>
      <c r="AI117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{"issue":{"subject":"","project_id":79,"tracker_id":40,"status_id":1,"priority_id":2,"assigned_to_id":23,"start_date":"2017-07-30","description":"","custom_fields":[{"id":1,"name":"Subdivision","value":"EC"},{"id":4,"name":"Milepost","value":"0.0163"},{"id":17,"name":"Train ID","value":"206-30"},{"id":16,"name":"Locomotive ID","value":"4045"},{"id":130,"name":"Impact","value":""},{"id":150,"name":"Time of Event (Mountain Time)","value":"18:23:07"},{"id":151,"name":"Denver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39"/>
        <v>start /low /b %USERPROFILE%\Documents\GitHub\eaglep3\Utilities\DownloadLogsFromS3.py --loco 4045 --day 2017-07-30</v>
      </c>
      <c r="AN117" s="151" t="str">
        <f t="shared" si="4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00:23:07"},{"id":29,"name":"Sharepoint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814</v>
      </c>
      <c r="B118" s="7">
        <v>4030</v>
      </c>
      <c r="C118" s="21" t="s">
        <v>198</v>
      </c>
      <c r="D118" s="21" t="s">
        <v>452</v>
      </c>
      <c r="E118" s="13">
        <v>42946.704768518517</v>
      </c>
      <c r="F118" s="13">
        <v>42946.708668981482</v>
      </c>
      <c r="G118" s="7">
        <v>1</v>
      </c>
      <c r="H118" s="21" t="s">
        <v>977</v>
      </c>
      <c r="I118" s="13">
        <v>42946.733715277776</v>
      </c>
      <c r="J118" s="7">
        <v>0</v>
      </c>
      <c r="K118" s="89" t="str">
        <f t="shared" si="25"/>
        <v>4029/4030</v>
      </c>
      <c r="L118" s="21" t="str">
        <f>VLOOKUP(A118,'Trips&amp;Operators'!$C$1:$G$99999,5,FALSE)</f>
        <v>MAGEE KENYA</v>
      </c>
      <c r="M118" s="6">
        <f t="shared" si="26"/>
        <v>2.5046296294021886E-2</v>
      </c>
      <c r="N118" s="7">
        <f t="shared" si="41"/>
        <v>36.066666663391516</v>
      </c>
      <c r="O118" s="7"/>
      <c r="P118" s="7"/>
      <c r="Q118" s="22"/>
      <c r="R118" s="170"/>
      <c r="S118" s="213">
        <f t="shared" si="27"/>
        <v>1</v>
      </c>
      <c r="T118" s="195" t="str">
        <f t="shared" si="28"/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29"/>
        <v>https://d0f6bd738d7f1b3e5a7ca70fe4ff75f0.us-east-1.aws.found.io/app/kibana#/discover/Steve-Slow-Train-Analysis-(2080s-and-2083s)?_g=(refreshInterval:(display:Off,pause:!f,section:0,value:0),time:(from:'2017-07-30T15:54:52-0600',mode:absolute,to:'2017-07-30T18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8" s="197" t="str">
        <f>IF(AA118&lt;VLOOKUP(AG118,Variables!$AC$3:$AD$8,2,FALSE),"Y","N")</f>
        <v>N</v>
      </c>
      <c r="X118" s="197">
        <f t="shared" si="42"/>
        <v>1</v>
      </c>
      <c r="Y118" s="197">
        <f t="shared" si="30"/>
        <v>4.4900000000000002E-2</v>
      </c>
      <c r="Z118" s="197">
        <f t="shared" si="31"/>
        <v>23.347000000000001</v>
      </c>
      <c r="AA118" s="197">
        <f t="shared" si="32"/>
        <v>23.302100000000003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3"/>
        <v>207</v>
      </c>
      <c r="AE118" s="77" t="str">
        <f t="shared" si="34"/>
        <v>aws s3 cp s3://rtdc.mdm.uploadarchive.raw/RTDC4030/ "%USERPROFILE%\AppData\Local\Temp\OnboardLogs"\RTDC4030\2017-07-30 --exclude "*" --recursive --include "*20170730*" &amp; "%USERPROFILE%\Documents\GitHub\mrs-test-scripts\Headless Mode &amp; Sideloading\WalkAndUnGZ.bat" "%USERPROFILE%\AppData\Local\Temp\OnboardLogs"\RTDC4030\2017-07-30 &amp; aws s3 cp s3://rtdc.mdm.uploadarchive.raw/RTDC4030/ "%USERPROFILE%\AppData\Local\Temp\OnboardLogs"\RTDC4030\2017-07-31 --exclude "*" --recursive --include "*20170731*" &amp; "%USERPROFILE%\Documents\GitHub\mrs-test-scripts\Headless Mode &amp; Sideloading\WalkAndUnGZ.bat" "%USERPROFILE%\AppData\Local\Temp\OnboardLogs"\RTDC4030\2017-07-31</v>
      </c>
      <c r="AF118" s="74" t="str">
        <f t="shared" si="35"/>
        <v>"C:\Program Files (x86)\AstroGrep\AstroGrep.exe" /e /r /s /spath="%USERPROFILE%\AppData\Local\Temp\OnboardLogs" /stypes="app*4030*20170730*" /stext=" 23:.+((SYSTEM_STATE.+slice.+state.+changed )|(ment ac)|(multiple cpu faults)|(system.+state.+changed )|(\[timeout)|(PRM\|1\|D)|(kpr)|(kdp)|(train st.+moving)|(\|lc)|(penalty))"</v>
      </c>
      <c r="AG118" s="209" t="str">
        <f t="shared" si="36"/>
        <v>EC</v>
      </c>
      <c r="AH118" s="78" t="str">
        <f t="shared" si="37"/>
        <v>"%USERPROFILE%\Documents\GitHub\eaglep3\Utilities\RefineRTDCRunTimes.py" --tripid 207-30 --locoid 4030 --swversion DE.1.0.9.0 --startMP 204:449 --initTime 2017-07-30T16:54:52 --startdatetime 2017-07-30T17:00:29 --delay 1 --endMP 204:233470 --enddatetime 2017-07-30T17:36:33 --enforcementcount 0 &gt;&gt;C:\Users\stu\Documents\GitHub\eaglep3-reporting\EC\2017-07-30-refined-times.txt</v>
      </c>
      <c r="AI118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{"issue":{"subject":"","project_id":79,"tracker_id":40,"status_id":1,"priority_id":2,"assigned_to_id":23,"start_date":"2017-07-30","description":"","custom_fields":[{"id":1,"name":"Subdivision","value":"EC"},{"id":4,"name":"Milepost","value":"23.347"},{"id":17,"name":"Train ID","value":"207-30"},{"id":16,"name":"Locomotive ID","value":"4030"},{"id":130,"name":"Impact","value":""},{"id":150,"name":"Time of Event (Mountain Time)","value":"17:36:33"},{"id":151,"name":"Denver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39"/>
        <v>start /low /b %USERPROFILE%\Documents\GitHub\eaglep3\Utilities\DownloadLogsFromS3.py --loco 4030 --day 2017-07-30</v>
      </c>
      <c r="AN118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23:36:33"},{"id":29,"name":"Sharepoint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819</v>
      </c>
      <c r="B119" s="7">
        <v>4029</v>
      </c>
      <c r="C119" s="21" t="s">
        <v>198</v>
      </c>
      <c r="D119" s="21" t="s">
        <v>978</v>
      </c>
      <c r="E119" s="13">
        <v>42946.744652777779</v>
      </c>
      <c r="F119" s="13">
        <v>42946.748356481483</v>
      </c>
      <c r="G119" s="7">
        <v>1</v>
      </c>
      <c r="H119" s="21" t="s">
        <v>465</v>
      </c>
      <c r="I119" s="13">
        <v>42946.774780092594</v>
      </c>
      <c r="J119" s="7">
        <v>0</v>
      </c>
      <c r="K119" s="89" t="str">
        <f t="shared" si="25"/>
        <v>4029/4030</v>
      </c>
      <c r="L119" s="21" t="str">
        <f>VLOOKUP(A119,'Trips&amp;Operators'!$C$1:$G$99999,5,FALSE)</f>
        <v>MAGEE KENYA</v>
      </c>
      <c r="M119" s="6">
        <f t="shared" si="26"/>
        <v>2.6423611110658385E-2</v>
      </c>
      <c r="N119" s="7">
        <f t="shared" si="41"/>
        <v>38.049999999348074</v>
      </c>
      <c r="O119" s="7"/>
      <c r="P119" s="7"/>
      <c r="Q119" s="22"/>
      <c r="R119" s="170"/>
      <c r="S119" s="213">
        <f t="shared" si="27"/>
        <v>1</v>
      </c>
      <c r="T119" s="195" t="str">
        <f t="shared" si="28"/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29"/>
        <v>https://d0f6bd738d7f1b3e5a7ca70fe4ff75f0.us-east-1.aws.found.io/app/kibana#/discover/Steve-Slow-Train-Analysis-(2080s-and-2083s)?_g=(refreshInterval:(display:Off,pause:!f,section:0,value:0),time:(from:'2017-07-30T16:52:18-0600',mode:absolute,to:'2017-07-30T19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9" s="197" t="str">
        <f>IF(AA119&lt;VLOOKUP(AG119,Variables!$AC$3:$AD$8,2,FALSE),"Y","N")</f>
        <v>N</v>
      </c>
      <c r="X119" s="197">
        <f t="shared" si="42"/>
        <v>1</v>
      </c>
      <c r="Y119" s="197">
        <f t="shared" si="30"/>
        <v>23.3094</v>
      </c>
      <c r="Z119" s="197">
        <f t="shared" si="31"/>
        <v>1.6299999999999999E-2</v>
      </c>
      <c r="AA119" s="197">
        <f t="shared" si="32"/>
        <v>23.293099999999999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3"/>
        <v>208</v>
      </c>
      <c r="AE119" s="77" t="str">
        <f t="shared" si="34"/>
        <v>aws s3 cp s3://rtdc.mdm.uploadarchive.raw/RTDC4029/ "%USERPROFILE%\AppData\Local\Temp\OnboardLogs"\RTDC4029\2017-07-30 --exclude "*" --recursive --include "*20170730*" &amp; "%USERPROFILE%\Documents\GitHub\mrs-test-scripts\Headless Mode &amp; Sideloading\WalkAndUnGZ.bat" "%USERPROFILE%\AppData\Local\Temp\OnboardLogs"\RTDC4029\2017-07-30 &amp; aws s3 cp s3://rtdc.mdm.uploadarchive.raw/RTDC4029/ "%USERPROFILE%\AppData\Local\Temp\OnboardLogs"\RTDC4029\2017-07-31 --exclude "*" --recursive --include "*20170731*" &amp; "%USERPROFILE%\Documents\GitHub\mrs-test-scripts\Headless Mode &amp; Sideloading\WalkAndUnGZ.bat" "%USERPROFILE%\AppData\Local\Temp\OnboardLogs"\RTDC4029\2017-07-31</v>
      </c>
      <c r="AF119" s="74" t="str">
        <f t="shared" si="35"/>
        <v>"C:\Program Files (x86)\AstroGrep\AstroGrep.exe" /e /r /s /spath="%USERPROFILE%\AppData\Local\Temp\OnboardLogs" /stypes="app*4029*20170731*" /stext=" 00:.+((SYSTEM_STATE.+slice.+state.+changed )|(ment ac)|(multiple cpu faults)|(system.+state.+changed )|(\[timeout)|(PRM\|1\|D)|(kpr)|(kdp)|(train st.+moving)|(\|lc)|(penalty))"</v>
      </c>
      <c r="AG119" s="209" t="str">
        <f t="shared" si="36"/>
        <v>EC</v>
      </c>
      <c r="AH119" s="78" t="str">
        <f t="shared" si="37"/>
        <v>"%USERPROFILE%\Documents\GitHub\eaglep3\Utilities\RefineRTDCRunTimes.py" --tripid 208-30 --locoid 4029 --swversion DE.1.0.9.0 --startMP 204:233094 --initTime 2017-07-30T17:52:18 --startdatetime 2017-07-30T17:57:38 --delay 1 --endMP 204:163 --enddatetime 2017-07-30T18:35:41 --enforcementcount 0 &gt;&gt;C:\Users\stu\Documents\GitHub\eaglep3-reporting\EC\2017-07-30-refined-times.txt</v>
      </c>
      <c r="AI119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{"issue":{"subject":"","project_id":79,"tracker_id":40,"status_id":1,"priority_id":2,"assigned_to_id":23,"start_date":"2017-07-30","description":"","custom_fields":[{"id":1,"name":"Subdivision","value":"EC"},{"id":4,"name":"Milepost","value":"0.0163"},{"id":17,"name":"Train ID","value":"208-30"},{"id":16,"name":"Locomotive ID","value":"4029"},{"id":130,"name":"Impact","value":""},{"id":150,"name":"Time of Event (Mountain Time)","value":"18:35:41"},{"id":151,"name":"Denver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39"/>
        <v>start /low /b %USERPROFILE%\Documents\GitHub\eaglep3\Utilities\DownloadLogsFromS3.py --loco 4029 --day 2017-07-30</v>
      </c>
      <c r="AN119" s="151" t="str">
        <f t="shared" si="4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00:35:41"},{"id":29,"name":"Sharepoint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649</v>
      </c>
      <c r="B120" s="7">
        <v>4004</v>
      </c>
      <c r="C120" s="21" t="s">
        <v>198</v>
      </c>
      <c r="D120" s="21" t="s">
        <v>979</v>
      </c>
      <c r="E120" s="13">
        <v>42946.723229166666</v>
      </c>
      <c r="F120" s="13">
        <v>42946.724074074074</v>
      </c>
      <c r="G120" s="7">
        <v>1</v>
      </c>
      <c r="H120" s="21" t="s">
        <v>980</v>
      </c>
      <c r="I120" s="13">
        <v>42946.745370370372</v>
      </c>
      <c r="J120" s="7">
        <v>0</v>
      </c>
      <c r="K120" s="89" t="str">
        <f t="shared" si="25"/>
        <v>4003/4004</v>
      </c>
      <c r="L120" s="21" t="str">
        <f>VLOOKUP(A120,'Trips&amp;Operators'!$C$1:$G$99999,5,FALSE)</f>
        <v>STAMBAUGH JAMES</v>
      </c>
      <c r="M120" s="6">
        <f t="shared" si="26"/>
        <v>2.1296296297805384E-2</v>
      </c>
      <c r="N120" s="7"/>
      <c r="O120" s="7"/>
      <c r="P120" s="7">
        <f>24*60*SUM($M120:$M120)</f>
        <v>30.666666668839753</v>
      </c>
      <c r="Q120" s="22"/>
      <c r="R120" s="170" t="s">
        <v>1045</v>
      </c>
      <c r="S120" s="213">
        <f t="shared" si="27"/>
        <v>1</v>
      </c>
      <c r="T120" s="195" t="str">
        <f t="shared" si="28"/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29"/>
        <v>https://d0f6bd738d7f1b3e5a7ca70fe4ff75f0.us-east-1.aws.found.io/app/kibana#/discover/Steve-Slow-Train-Analysis-(2080s-and-2083s)?_g=(refreshInterval:(display:Off,pause:!f,section:0,value:0),time:(from:'2017-07-30T16:21:27-0600',mode:absolute,to:'2017-07-30T18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0" s="197" t="str">
        <f>IF(AA120&lt;VLOOKUP(AG120,Variables!$AC$3:$AD$8,2,FALSE),"Y","N")</f>
        <v>Y</v>
      </c>
      <c r="X120" s="197">
        <f t="shared" si="42"/>
        <v>1</v>
      </c>
      <c r="Y120" s="197">
        <f t="shared" si="30"/>
        <v>1.9145000000000001</v>
      </c>
      <c r="Z120" s="197">
        <f t="shared" si="31"/>
        <v>23.340299999999999</v>
      </c>
      <c r="AA120" s="197">
        <f t="shared" si="32"/>
        <v>21.425799999999999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3"/>
        <v>209</v>
      </c>
      <c r="AE120" s="77" t="str">
        <f t="shared" si="34"/>
        <v>aws s3 cp s3://rtdc.mdm.uploadarchive.raw/RTDC4004/ "%USERPROFILE%\AppData\Local\Temp\OnboardLogs"\RTDC4004\2017-07-30 --exclude "*" --recursive --include "*20170730*" &amp; "%USERPROFILE%\Documents\GitHub\mrs-test-scripts\Headless Mode &amp; Sideloading\WalkAndUnGZ.bat" "%USERPROFILE%\AppData\Local\Temp\OnboardLogs"\RTDC4004\2017-07-30 &amp; aws s3 cp s3://rtdc.mdm.uploadarchive.raw/RTDC4004/ "%USERPROFILE%\AppData\Local\Temp\OnboardLogs"\RTDC4004\2017-07-31 --exclude "*" --recursive --include "*20170731*" &amp; "%USERPROFILE%\Documents\GitHub\mrs-test-scripts\Headless Mode &amp; Sideloading\WalkAndUnGZ.bat" "%USERPROFILE%\AppData\Local\Temp\OnboardLogs"\RTDC4004\2017-07-31</v>
      </c>
      <c r="AF120" s="74" t="str">
        <f t="shared" si="35"/>
        <v>"C:\Program Files (x86)\AstroGrep\AstroGrep.exe" /e /r /s /spath="%USERPROFILE%\AppData\Local\Temp\OnboardLogs" /stypes="app*4004*20170730*" /stext=" 23:.+((SYSTEM_STATE.+slice.+state.+changed )|(ment ac)|(multiple cpu faults)|(system.+state.+changed )|(\[timeout)|(PRM\|1\|D)|(kpr)|(kdp)|(train st.+moving)|(\|lc)|(penalty))"</v>
      </c>
      <c r="AG120" s="209" t="str">
        <f t="shared" si="36"/>
        <v>EC</v>
      </c>
      <c r="AH120" s="78" t="str">
        <f t="shared" si="37"/>
        <v>"%USERPROFILE%\Documents\GitHub\eaglep3\Utilities\RefineRTDCRunTimes.py" --tripid 209-30 --locoid 4004 --swversion DE.1.0.9.0 --startMP 204:19145 --initTime 2017-07-30T17:21:27 --startdatetime 2017-07-30T17:22:40 --delay 1 --endMP 204:233403 --enddatetime 2017-07-30T17:53:20 --enforcementcount 0 &gt;&gt;C:\Users\stu\Documents\GitHub\eaglep3-reporting\EC\2017-07-30-refined-times.txt</v>
      </c>
      <c r="AI120" s="96" t="str">
        <f t="shared" si="38"/>
        <v>echo {"issue":{"subject":"Minor onboard in-route failure caused signal status unknown banners","project_id":79,"tracker_id":40,"status_id":1,"priority_id":2,"assigned_to_id":23,"start_date":"2017-07-30","description":"","custom_fields":[{"id":1,"name":"Subdivision","value":"EC"},{"id":4,"name":"Milepost","value":"23.3403"},{"id":17,"name":"Train ID","value":"209-30"},{"id":16,"name":"Locomotive ID","value":"4004"},{"id":130,"name":"Impact","value":""},{"id":150,"name":"Time of Event (Mountain Time)","value":"17:53:20"},{"id":151,"name":"Denver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39"/>
        <v>start /low /b %USERPROFILE%\Documents\GitHub\eaglep3\Utilities\DownloadLogsFromS3.py --loco 4004 --day 2017-07-30</v>
      </c>
      <c r="AN120" s="151" t="str">
        <f t="shared" si="40"/>
        <v>echo {"issue":{"subject":"Minor onboard in-route failure caused signal status unknown banners","project_id":30,"tracker_id":4,"status_id":1,"priority_id":1,"assigned_to_id":10,"start_date":"2017-07-30","description":"","custom_fields":[{"id":30,"name":"Category","value":"Issue"},{"id":3,"name":"Functional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23:53:20"},{"id":29,"name":"Sharepoint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649</v>
      </c>
      <c r="B121" s="7">
        <v>4004</v>
      </c>
      <c r="C121" s="21" t="s">
        <v>198</v>
      </c>
      <c r="D121" s="21" t="s">
        <v>376</v>
      </c>
      <c r="E121" s="13">
        <v>42946.714583333334</v>
      </c>
      <c r="F121" s="13">
        <v>42946.724074074074</v>
      </c>
      <c r="G121" s="7">
        <v>1</v>
      </c>
      <c r="H121" s="21" t="s">
        <v>981</v>
      </c>
      <c r="I121" s="13">
        <v>42946.745370370372</v>
      </c>
      <c r="J121" s="7">
        <v>0</v>
      </c>
      <c r="K121" s="89" t="str">
        <f t="shared" si="25"/>
        <v>4003/4004</v>
      </c>
      <c r="L121" s="21" t="str">
        <f>VLOOKUP(A121,'Trips&amp;Operators'!$C$1:$G$99999,5,FALSE)</f>
        <v>STAMBAUGH JAMES</v>
      </c>
      <c r="M121" s="6">
        <f t="shared" si="26"/>
        <v>2.1296296297805384E-2</v>
      </c>
      <c r="N121" s="7"/>
      <c r="O121" s="7"/>
      <c r="P121" s="7"/>
      <c r="Q121" s="22"/>
      <c r="R121" s="170"/>
      <c r="S121" s="213">
        <f t="shared" si="27"/>
        <v>0</v>
      </c>
      <c r="T121" s="195" t="str">
        <f t="shared" si="28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0</v>
      </c>
      <c r="V121" s="196" t="str">
        <f t="shared" si="29"/>
        <v>https://d0f6bd738d7f1b3e5a7ca70fe4ff75f0.us-east-1.aws.found.io/app/kibana#/discover/Steve-Slow-Train-Analysis-(2080s-and-2083s)?_g=(refreshInterval:(display:Off,pause:!f,section:0,value:0),time:(from:'2017-07-30T16:09:00-0600',mode:absolute,to:'2017-07-30T18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1" s="197" t="str">
        <f>IF(AA121&lt;VLOOKUP(AG121,Variables!$AC$3:$AD$8,2,FALSE),"Y","N")</f>
        <v>Y</v>
      </c>
      <c r="X121" s="197">
        <f t="shared" ref="X121:X155" si="43">VALUE(LEFT(AD121,4))-VALUE(LEFT(AD120,4))</f>
        <v>0</v>
      </c>
      <c r="Y121" s="197">
        <f t="shared" si="30"/>
        <v>4.6199999999999998E-2</v>
      </c>
      <c r="Z121" s="197">
        <f t="shared" si="31"/>
        <v>0.1216</v>
      </c>
      <c r="AA121" s="197">
        <f t="shared" si="32"/>
        <v>7.5399999999999995E-2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3"/>
        <v>209</v>
      </c>
      <c r="AE121" s="77" t="str">
        <f t="shared" si="34"/>
        <v>aws s3 cp s3://rtdc.mdm.uploadarchive.raw/RTDC4004/ "%USERPROFILE%\AppData\Local\Temp\OnboardLogs"\RTDC4004\2017-07-30 --exclude "*" --recursive --include "*20170730*" &amp; "%USERPROFILE%\Documents\GitHub\mrs-test-scripts\Headless Mode &amp; Sideloading\WalkAndUnGZ.bat" "%USERPROFILE%\AppData\Local\Temp\OnboardLogs"\RTDC4004\2017-07-30 &amp; aws s3 cp s3://rtdc.mdm.uploadarchive.raw/RTDC4004/ "%USERPROFILE%\AppData\Local\Temp\OnboardLogs"\RTDC4004\2017-07-31 --exclude "*" --recursive --include "*20170731*" &amp; "%USERPROFILE%\Documents\GitHub\mrs-test-scripts\Headless Mode &amp; Sideloading\WalkAndUnGZ.bat" "%USERPROFILE%\AppData\Local\Temp\OnboardLogs"\RTDC4004\2017-07-31</v>
      </c>
      <c r="AF121" s="74" t="str">
        <f t="shared" si="35"/>
        <v>"C:\Program Files (x86)\AstroGrep\AstroGrep.exe" /e /r /s /spath="%USERPROFILE%\AppData\Local\Temp\OnboardLogs" /stypes="app*4004*20170730*" /stext=" 23:.+((SYSTEM_STATE.+slice.+state.+changed )|(ment ac)|(multiple cpu faults)|(system.+state.+changed )|(\[timeout)|(PRM\|1\|D)|(kpr)|(kdp)|(train st.+moving)|(\|lc)|(penalty))"</v>
      </c>
      <c r="AG121" s="209" t="str">
        <f t="shared" si="36"/>
        <v>EC</v>
      </c>
      <c r="AH121" s="78" t="str">
        <f t="shared" si="37"/>
        <v>"%USERPROFILE%\Documents\GitHub\eaglep3\Utilities\RefineRTDCRunTimes.py" --tripid 209-30 --locoid 4004 --swversion DE.1.0.9.0 --startMP 204:462 --initTime 2017-07-30T17:09:00 --startdatetime 2017-07-30T17:22:40 --delay 1 --endMP 204:1216 --enddatetime 2017-07-30T17:53:20 --enforcementcount 0 &gt;&gt;C:\Users\stu\Documents\GitHub\eaglep3-reporting\EC\2017-07-30-refined-times.txt</v>
      </c>
      <c r="AI121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{"issue":{"subject":"","project_id":79,"tracker_id":40,"status_id":1,"priority_id":2,"assigned_to_id":23,"start_date":"2017-07-30","description":"","custom_fields":[{"id":1,"name":"Subdivision","value":"EC"},{"id":4,"name":"Milepost","value":"0.1216"},{"id":17,"name":"Train ID","value":"209-30"},{"id":16,"name":"Locomotive ID","value":"4004"},{"id":130,"name":"Impact","value":""},{"id":150,"name":"Time of Event (Mountain Time)","value":"17:53:20"},{"id":151,"name":"Denver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39"/>
        <v>start /low /b %USERPROFILE%\Documents\GitHub\eaglep3\Utilities\DownloadLogsFromS3.py --loco 4004 --day 2017-07-30</v>
      </c>
      <c r="AN121" s="151" t="str">
        <f t="shared" si="4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23:53:20"},{"id":29,"name":"Sharepoint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821</v>
      </c>
      <c r="B122" s="7">
        <v>4003</v>
      </c>
      <c r="C122" s="21" t="s">
        <v>198</v>
      </c>
      <c r="D122" s="21" t="s">
        <v>982</v>
      </c>
      <c r="E122" s="13">
        <v>42946.755624999998</v>
      </c>
      <c r="F122" s="13">
        <v>42946.758981481478</v>
      </c>
      <c r="G122" s="7">
        <v>2</v>
      </c>
      <c r="H122" s="21" t="s">
        <v>589</v>
      </c>
      <c r="I122" s="13">
        <v>42946.784560185188</v>
      </c>
      <c r="J122" s="7">
        <v>0</v>
      </c>
      <c r="K122" s="89" t="str">
        <f t="shared" si="25"/>
        <v>4003/4004</v>
      </c>
      <c r="L122" s="21" t="str">
        <f>VLOOKUP(A122,'Trips&amp;Operators'!$C$1:$G$99999,5,FALSE)</f>
        <v>STAMBAUGH JAMES</v>
      </c>
      <c r="M122" s="6">
        <f t="shared" si="26"/>
        <v>2.5578703709470574E-2</v>
      </c>
      <c r="N122" s="7">
        <f t="shared" ref="N122:N155" si="44">24*60*SUM($M122:$M122)</f>
        <v>36.833333341637626</v>
      </c>
      <c r="O122" s="7"/>
      <c r="P122" s="7"/>
      <c r="Q122" s="22"/>
      <c r="R122" s="170"/>
      <c r="S122" s="213">
        <f t="shared" si="27"/>
        <v>1</v>
      </c>
      <c r="T122" s="195" t="str">
        <f t="shared" si="28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29"/>
        <v>https://d0f6bd738d7f1b3e5a7ca70fe4ff75f0.us-east-1.aws.found.io/app/kibana#/discover/Steve-Slow-Train-Analysis-(2080s-and-2083s)?_g=(refreshInterval:(display:Off,pause:!f,section:0,value:0),time:(from:'2017-07-30T17:08:06-0600',mode:absolute,to:'2017-07-30T19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2" s="197" t="str">
        <f>IF(AA122&lt;VLOOKUP(AG122,Variables!$AC$3:$AD$8,2,FALSE),"Y","N")</f>
        <v>N</v>
      </c>
      <c r="X122" s="197">
        <f t="shared" si="43"/>
        <v>1</v>
      </c>
      <c r="Y122" s="197">
        <f t="shared" si="30"/>
        <v>23.311699999999998</v>
      </c>
      <c r="Z122" s="197">
        <f t="shared" si="31"/>
        <v>1.2699999999999999E-2</v>
      </c>
      <c r="AA122" s="197">
        <f t="shared" si="32"/>
        <v>23.298999999999999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3"/>
        <v>210</v>
      </c>
      <c r="AE122" s="77" t="str">
        <f t="shared" si="34"/>
        <v>aws s3 cp s3://rtdc.mdm.uploadarchive.raw/RTDC4003/ "%USERPROFILE%\AppData\Local\Temp\OnboardLogs"\RTDC4003\2017-07-30 --exclude "*" --recursive --include "*20170730*" &amp; "%USERPROFILE%\Documents\GitHub\mrs-test-scripts\Headless Mode &amp; Sideloading\WalkAndUnGZ.bat" "%USERPROFILE%\AppData\Local\Temp\OnboardLogs"\RTDC4003\2017-07-30 &amp; aws s3 cp s3://rtdc.mdm.uploadarchive.raw/RTDC4003/ "%USERPROFILE%\AppData\Local\Temp\OnboardLogs"\RTDC4003\2017-07-31 --exclude "*" --recursive --include "*20170731*" &amp; "%USERPROFILE%\Documents\GitHub\mrs-test-scripts\Headless Mode &amp; Sideloading\WalkAndUnGZ.bat" "%USERPROFILE%\AppData\Local\Temp\OnboardLogs"\RTDC4003\2017-07-31</v>
      </c>
      <c r="AF122" s="74" t="str">
        <f t="shared" si="35"/>
        <v>"C:\Program Files (x86)\AstroGrep\AstroGrep.exe" /e /r /s /spath="%USERPROFILE%\AppData\Local\Temp\OnboardLogs" /stypes="app*4003*20170731*" /stext=" 00:.+((SYSTEM_STATE.+slice.+state.+changed )|(ment ac)|(multiple cpu faults)|(system.+state.+changed )|(\[timeout)|(PRM\|1\|D)|(kpr)|(kdp)|(train st.+moving)|(\|lc)|(penalty))"</v>
      </c>
      <c r="AG122" s="209" t="str">
        <f t="shared" si="36"/>
        <v>EC</v>
      </c>
      <c r="AH122" s="78" t="str">
        <f t="shared" si="37"/>
        <v>"%USERPROFILE%\Documents\GitHub\eaglep3\Utilities\RefineRTDCRunTimes.py" --tripid 210-30 --locoid 4003 --swversion DE.1.0.9.0 --startMP 204:233117 --initTime 2017-07-30T18:08:06 --startdatetime 2017-07-30T18:12:56 --delay 2 --endMP 204:127 --enddatetime 2017-07-30T18:49:46 --enforcementcount 0 &gt;&gt;C:\Users\stu\Documents\GitHub\eaglep3-reporting\EC\2017-07-30-refined-times.txt</v>
      </c>
      <c r="AI122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{"issue":{"subject":"","project_id":79,"tracker_id":40,"status_id":1,"priority_id":2,"assigned_to_id":23,"start_date":"2017-07-30","description":"","custom_fields":[{"id":1,"name":"Subdivision","value":"EC"},{"id":4,"name":"Milepost","value":"0.0127"},{"id":17,"name":"Train ID","value":"210-30"},{"id":16,"name":"Locomotive ID","value":"4003"},{"id":130,"name":"Impact","value":""},{"id":150,"name":"Time of Event (Mountain Time)","value":"18:49:46"},{"id":151,"name":"Denver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39"/>
        <v>start /low /b %USERPROFILE%\Documents\GitHub\eaglep3\Utilities\DownloadLogsFromS3.py --loco 4003 --day 2017-07-30</v>
      </c>
      <c r="AN122" s="151" t="str">
        <f t="shared" si="4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00:49:46"},{"id":29,"name":"Sharepoint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651</v>
      </c>
      <c r="B123" s="7">
        <v>4044</v>
      </c>
      <c r="C123" s="21" t="s">
        <v>198</v>
      </c>
      <c r="D123" s="21" t="s">
        <v>580</v>
      </c>
      <c r="E123" s="13">
        <v>42946.724652777775</v>
      </c>
      <c r="F123" s="13">
        <v>42946.729664351849</v>
      </c>
      <c r="G123" s="7">
        <v>1</v>
      </c>
      <c r="H123" s="21" t="s">
        <v>983</v>
      </c>
      <c r="I123" s="13">
        <v>42946.75408564815</v>
      </c>
      <c r="J123" s="7">
        <v>0</v>
      </c>
      <c r="K123" s="89" t="str">
        <f t="shared" si="25"/>
        <v>4043/4044</v>
      </c>
      <c r="L123" s="21" t="str">
        <f>VLOOKUP(A123,'Trips&amp;Operators'!$C$1:$G$99999,5,FALSE)</f>
        <v>DELGADO DIANAH</v>
      </c>
      <c r="M123" s="6">
        <f t="shared" si="26"/>
        <v>2.4421296300715767E-2</v>
      </c>
      <c r="N123" s="7">
        <f t="shared" si="44"/>
        <v>35.166666673030704</v>
      </c>
      <c r="O123" s="7"/>
      <c r="P123" s="7"/>
      <c r="Q123" s="22"/>
      <c r="R123" s="170"/>
      <c r="S123" s="213">
        <f t="shared" si="27"/>
        <v>1</v>
      </c>
      <c r="T123" s="195" t="str">
        <f t="shared" si="28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29"/>
        <v>https://d0f6bd738d7f1b3e5a7ca70fe4ff75f0.us-east-1.aws.found.io/app/kibana#/discover/Steve-Slow-Train-Analysis-(2080s-and-2083s)?_g=(refreshInterval:(display:Off,pause:!f,section:0,value:0),time:(from:'2017-07-30T16:23:30-0600',mode:absolute,to:'2017-07-30T19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3" s="197" t="str">
        <f>IF(AA123&lt;VLOOKUP(AG123,Variables!$AC$3:$AD$8,2,FALSE),"Y","N")</f>
        <v>N</v>
      </c>
      <c r="X123" s="197">
        <f t="shared" si="43"/>
        <v>1</v>
      </c>
      <c r="Y123" s="197">
        <f t="shared" si="30"/>
        <v>4.6399999999999997E-2</v>
      </c>
      <c r="Z123" s="197">
        <f t="shared" si="31"/>
        <v>23.327200000000001</v>
      </c>
      <c r="AA123" s="197">
        <f t="shared" si="32"/>
        <v>23.280800000000003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3"/>
        <v>211</v>
      </c>
      <c r="AE123" s="77" t="str">
        <f t="shared" si="34"/>
        <v>aws s3 cp s3://rtdc.mdm.uploadarchive.raw/RTDC4044/ "%USERPROFILE%\AppData\Local\Temp\OnboardLogs"\RTDC4044\2017-07-30 --exclude "*" --recursive --include "*20170730*" &amp; "%USERPROFILE%\Documents\GitHub\mrs-test-scripts\Headless Mode &amp; Sideloading\WalkAndUnGZ.bat" "%USERPROFILE%\AppData\Local\Temp\OnboardLogs"\RTDC4044\2017-07-30 &amp; aws s3 cp s3://rtdc.mdm.uploadarchive.raw/RTDC4044/ "%USERPROFILE%\AppData\Local\Temp\OnboardLogs"\RTDC4044\2017-07-31 --exclude "*" --recursive --include "*20170731*" &amp; "%USERPROFILE%\Documents\GitHub\mrs-test-scripts\Headless Mode &amp; Sideloading\WalkAndUnGZ.bat" "%USERPROFILE%\AppData\Local\Temp\OnboardLogs"\RTDC4044\2017-07-31</v>
      </c>
      <c r="AF123" s="74" t="str">
        <f t="shared" si="35"/>
        <v>"C:\Program Files (x86)\AstroGrep\AstroGrep.exe" /e /r /s /spath="%USERPROFILE%\AppData\Local\Temp\OnboardLogs" /stypes="app*4044*20170731*" /stext=" 00:.+((SYSTEM_STATE.+slice.+state.+changed )|(ment ac)|(multiple cpu faults)|(system.+state.+changed )|(\[timeout)|(PRM\|1\|D)|(kpr)|(kdp)|(train st.+moving)|(\|lc)|(penalty))"</v>
      </c>
      <c r="AG123" s="209" t="str">
        <f t="shared" si="36"/>
        <v>EC</v>
      </c>
      <c r="AH123" s="78" t="str">
        <f t="shared" si="37"/>
        <v>"%USERPROFILE%\Documents\GitHub\eaglep3\Utilities\RefineRTDCRunTimes.py" --tripid 211-30 --locoid 4044 --swversion DE.1.0.9.0 --startMP 204:464 --initTime 2017-07-30T17:23:30 --startdatetime 2017-07-30T17:30:43 --delay 1 --endMP 204:233272 --enddatetime 2017-07-30T18:05:53 --enforcementcount 0 &gt;&gt;C:\Users\stu\Documents\GitHub\eaglep3-reporting\EC\2017-07-30-refined-times.txt</v>
      </c>
      <c r="AI123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{"issue":{"subject":"","project_id":79,"tracker_id":40,"status_id":1,"priority_id":2,"assigned_to_id":23,"start_date":"2017-07-30","description":"","custom_fields":[{"id":1,"name":"Subdivision","value":"EC"},{"id":4,"name":"Milepost","value":"23.3272"},{"id":17,"name":"Train ID","value":"211-30"},{"id":16,"name":"Locomotive ID","value":"4044"},{"id":130,"name":"Impact","value":""},{"id":150,"name":"Time of Event (Mountain Time)","value":"18:05:53"},{"id":151,"name":"Denver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39"/>
        <v>start /low /b %USERPROFILE%\Documents\GitHub\eaglep3\Utilities\DownloadLogsFromS3.py --loco 4044 --day 2017-07-30</v>
      </c>
      <c r="AN123" s="151" t="str">
        <f t="shared" si="4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00:05:53"},{"id":29,"name":"Sharepoint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822</v>
      </c>
      <c r="B124" s="7">
        <v>4043</v>
      </c>
      <c r="C124" s="21" t="s">
        <v>198</v>
      </c>
      <c r="D124" s="21" t="s">
        <v>984</v>
      </c>
      <c r="E124" s="13">
        <v>42946.756562499999</v>
      </c>
      <c r="F124" s="13">
        <v>42946.768900462965</v>
      </c>
      <c r="G124" s="7">
        <v>1</v>
      </c>
      <c r="H124" s="21" t="s">
        <v>449</v>
      </c>
      <c r="I124" s="13">
        <v>42946.794722222221</v>
      </c>
      <c r="J124" s="7">
        <v>0</v>
      </c>
      <c r="K124" s="89" t="str">
        <f t="shared" si="25"/>
        <v>4043/4044</v>
      </c>
      <c r="L124" s="21" t="str">
        <f>VLOOKUP(A124,'Trips&amp;Operators'!$C$1:$G$99999,5,FALSE)</f>
        <v>DELGADO DIANAH</v>
      </c>
      <c r="M124" s="6">
        <f t="shared" si="26"/>
        <v>2.5821759256359655E-2</v>
      </c>
      <c r="N124" s="7">
        <f t="shared" si="44"/>
        <v>37.183333329157904</v>
      </c>
      <c r="O124" s="7"/>
      <c r="P124" s="7"/>
      <c r="Q124" s="22"/>
      <c r="R124" s="170"/>
      <c r="S124" s="213">
        <f t="shared" si="27"/>
        <v>1</v>
      </c>
      <c r="T124" s="195" t="str">
        <f t="shared" si="28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29"/>
        <v>https://d0f6bd738d7f1b3e5a7ca70fe4ff75f0.us-east-1.aws.found.io/app/kibana#/discover/Steve-Slow-Train-Analysis-(2080s-and-2083s)?_g=(refreshInterval:(display:Off,pause:!f,section:0,value:0),time:(from:'2017-07-30T17:09:27-0600',mode:absolute,to:'2017-07-30T20:04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4" s="197" t="str">
        <f>IF(AA124&lt;VLOOKUP(AG124,Variables!$AC$3:$AD$8,2,FALSE),"Y","N")</f>
        <v>N</v>
      </c>
      <c r="X124" s="197">
        <f t="shared" si="43"/>
        <v>1</v>
      </c>
      <c r="Y124" s="197">
        <f t="shared" si="30"/>
        <v>23.2972</v>
      </c>
      <c r="Z124" s="197">
        <f t="shared" si="31"/>
        <v>1.52E-2</v>
      </c>
      <c r="AA124" s="197">
        <f t="shared" si="32"/>
        <v>23.282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3"/>
        <v>212</v>
      </c>
      <c r="AE124" s="77" t="str">
        <f t="shared" si="34"/>
        <v>aws s3 cp s3://rtdc.mdm.uploadarchive.raw/RTDC4043/ "%USERPROFILE%\AppData\Local\Temp\OnboardLogs"\RTDC4043\2017-07-30 --exclude "*" --recursive --include "*20170730*" &amp; "%USERPROFILE%\Documents\GitHub\mrs-test-scripts\Headless Mode &amp; Sideloading\WalkAndUnGZ.bat" "%USERPROFILE%\AppData\Local\Temp\OnboardLogs"\RTDC4043\2017-07-30 &amp; aws s3 cp s3://rtdc.mdm.uploadarchive.raw/RTDC4043/ "%USERPROFILE%\AppData\Local\Temp\OnboardLogs"\RTDC4043\2017-07-31 --exclude "*" --recursive --include "*20170731*" &amp; "%USERPROFILE%\Documents\GitHub\mrs-test-scripts\Headless Mode &amp; Sideloading\WalkAndUnGZ.bat" "%USERPROFILE%\AppData\Local\Temp\OnboardLogs"\RTDC4043\2017-07-31</v>
      </c>
      <c r="AF124" s="74" t="str">
        <f t="shared" si="35"/>
        <v>"C:\Program Files (x86)\AstroGrep\AstroGrep.exe" /e /r /s /spath="%USERPROFILE%\AppData\Local\Temp\OnboardLogs" /stypes="app*4043*20170731*" /stext=" 01:.+((SYSTEM_STATE.+slice.+state.+changed )|(ment ac)|(multiple cpu faults)|(system.+state.+changed )|(\[timeout)|(PRM\|1\|D)|(kpr)|(kdp)|(train st.+moving)|(\|lc)|(penalty))"</v>
      </c>
      <c r="AG124" s="209" t="str">
        <f t="shared" si="36"/>
        <v>EC</v>
      </c>
      <c r="AH124" s="78" t="str">
        <f t="shared" si="37"/>
        <v>"%USERPROFILE%\Documents\GitHub\eaglep3\Utilities\RefineRTDCRunTimes.py" --tripid 212-30 --locoid 4043 --swversion DE.1.0.9.0 --startMP 204:232972 --initTime 2017-07-30T18:09:27 --startdatetime 2017-07-30T18:27:13 --delay 1 --endMP 204:152 --enddatetime 2017-07-30T19:04:24 --enforcementcount 0 &gt;&gt;C:\Users\stu\Documents\GitHub\eaglep3-reporting\EC\2017-07-30-refined-times.txt</v>
      </c>
      <c r="AI124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{"issue":{"subject":"","project_id":79,"tracker_id":40,"status_id":1,"priority_id":2,"assigned_to_id":23,"start_date":"2017-07-30","description":"","custom_fields":[{"id":1,"name":"Subdivision","value":"EC"},{"id":4,"name":"Milepost","value":"0.0152"},{"id":17,"name":"Train ID","value":"212-30"},{"id":16,"name":"Locomotive ID","value":"4043"},{"id":130,"name":"Impact","value":""},{"id":150,"name":"Time of Event (Mountain Time)","value":"19:04:24"},{"id":151,"name":"Denver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39"/>
        <v>start /low /b %USERPROFILE%\Documents\GitHub\eaglep3\Utilities\DownloadLogsFromS3.py --loco 4043 --day 2017-07-30</v>
      </c>
      <c r="AN124" s="151" t="str">
        <f t="shared" si="4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01:04:24"},{"id":29,"name":"Sharepoint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818</v>
      </c>
      <c r="B125" s="7">
        <v>4066</v>
      </c>
      <c r="C125" s="21" t="s">
        <v>198</v>
      </c>
      <c r="D125" s="21" t="s">
        <v>516</v>
      </c>
      <c r="E125" s="13">
        <v>42946.735277777778</v>
      </c>
      <c r="F125" s="13">
        <v>42946.740127314813</v>
      </c>
      <c r="G125" s="7">
        <v>1</v>
      </c>
      <c r="H125" s="21" t="s">
        <v>518</v>
      </c>
      <c r="I125" s="13">
        <v>42946.765231481484</v>
      </c>
      <c r="J125" s="7">
        <v>0</v>
      </c>
      <c r="K125" s="89" t="str">
        <f t="shared" si="25"/>
        <v>4065/4066</v>
      </c>
      <c r="L125" s="21" t="str">
        <f>VLOOKUP(A125,'Trips&amp;Operators'!$C$1:$G$99999,5,FALSE)</f>
        <v>SMITH MICHAEL</v>
      </c>
      <c r="M125" s="6">
        <f t="shared" si="26"/>
        <v>2.510416667064419E-2</v>
      </c>
      <c r="N125" s="7">
        <f t="shared" si="44"/>
        <v>36.150000005727634</v>
      </c>
      <c r="O125" s="7"/>
      <c r="P125" s="7"/>
      <c r="Q125" s="22"/>
      <c r="R125" s="170"/>
      <c r="S125" s="213">
        <f t="shared" si="27"/>
        <v>1</v>
      </c>
      <c r="T125" s="195" t="str">
        <f t="shared" si="28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29"/>
        <v>https://d0f6bd738d7f1b3e5a7ca70fe4ff75f0.us-east-1.aws.found.io/app/kibana#/discover/Steve-Slow-Train-Analysis-(2080s-and-2083s)?_g=(refreshInterval:(display:Off,pause:!f,section:0,value:0),time:(from:'2017-07-30T16:38:48-0600',mode:absolute,to:'2017-07-30T19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5" s="197" t="str">
        <f>IF(AA125&lt;VLOOKUP(AG125,Variables!$AC$3:$AD$8,2,FALSE),"Y","N")</f>
        <v>N</v>
      </c>
      <c r="X125" s="197">
        <f t="shared" si="43"/>
        <v>1</v>
      </c>
      <c r="Y125" s="197">
        <f t="shared" si="30"/>
        <v>4.7300000000000002E-2</v>
      </c>
      <c r="Z125" s="197">
        <f t="shared" si="31"/>
        <v>23.331600000000002</v>
      </c>
      <c r="AA125" s="197">
        <f t="shared" si="32"/>
        <v>23.284300000000002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3"/>
        <v>213</v>
      </c>
      <c r="AE125" s="77" t="str">
        <f t="shared" si="34"/>
        <v>aws s3 cp s3://rtdc.mdm.uploadarchive.raw/RTDC4066/ "%USERPROFILE%\AppData\Local\Temp\OnboardLogs"\RTDC4066\2017-07-30 --exclude "*" --recursive --include "*20170730*" &amp; "%USERPROFILE%\Documents\GitHub\mrs-test-scripts\Headless Mode &amp; Sideloading\WalkAndUnGZ.bat" "%USERPROFILE%\AppData\Local\Temp\OnboardLogs"\RTDC4066\2017-07-30 &amp; aws s3 cp s3://rtdc.mdm.uploadarchive.raw/RTDC4066/ "%USERPROFILE%\AppData\Local\Temp\OnboardLogs"\RTDC4066\2017-07-31 --exclude "*" --recursive --include "*20170731*" &amp; "%USERPROFILE%\Documents\GitHub\mrs-test-scripts\Headless Mode &amp; Sideloading\WalkAndUnGZ.bat" "%USERPROFILE%\AppData\Local\Temp\OnboardLogs"\RTDC4066\2017-07-31</v>
      </c>
      <c r="AF125" s="74" t="str">
        <f t="shared" si="35"/>
        <v>"C:\Program Files (x86)\AstroGrep\AstroGrep.exe" /e /r /s /spath="%USERPROFILE%\AppData\Local\Temp\OnboardLogs" /stypes="app*4066*20170731*" /stext=" 00:.+((SYSTEM_STATE.+slice.+state.+changed )|(ment ac)|(multiple cpu faults)|(system.+state.+changed )|(\[timeout)|(PRM\|1\|D)|(kpr)|(kdp)|(train st.+moving)|(\|lc)|(penalty))"</v>
      </c>
      <c r="AG125" s="209" t="str">
        <f t="shared" si="36"/>
        <v>EC</v>
      </c>
      <c r="AH125" s="78" t="str">
        <f t="shared" si="37"/>
        <v>"%USERPROFILE%\Documents\GitHub\eaglep3\Utilities\RefineRTDCRunTimes.py" --tripid 213-30 --locoid 4066 --swversion DE.1.0.9.0 --startMP 204:473 --initTime 2017-07-30T17:38:48 --startdatetime 2017-07-30T17:45:47 --delay 1 --endMP 204:233316 --enddatetime 2017-07-30T18:21:56 --enforcementcount 0 &gt;&gt;C:\Users\stu\Documents\GitHub\eaglep3-reporting\EC\2017-07-30-refined-times.txt</v>
      </c>
      <c r="AI125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{"issue":{"subject":"","project_id":79,"tracker_id":40,"status_id":1,"priority_id":2,"assigned_to_id":23,"start_date":"2017-07-30","description":"","custom_fields":[{"id":1,"name":"Subdivision","value":"EC"},{"id":4,"name":"Milepost","value":"23.3316"},{"id":17,"name":"Train ID","value":"213-30"},{"id":16,"name":"Locomotive ID","value":"4066"},{"id":130,"name":"Impact","value":""},{"id":150,"name":"Time of Event (Mountain Time)","value":"18:21:56"},{"id":151,"name":"Denver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39"/>
        <v>start /low /b %USERPROFILE%\Documents\GitHub\eaglep3\Utilities\DownloadLogsFromS3.py --loco 4066 --day 2017-07-30</v>
      </c>
      <c r="AN125" s="151" t="str">
        <f t="shared" si="4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00:21:56"},{"id":29,"name":"Sharepoint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824</v>
      </c>
      <c r="B126" s="7">
        <v>4065</v>
      </c>
      <c r="C126" s="21" t="s">
        <v>198</v>
      </c>
      <c r="D126" s="21" t="s">
        <v>487</v>
      </c>
      <c r="E126" s="13">
        <v>42946.771967592591</v>
      </c>
      <c r="F126" s="13">
        <v>42946.779467592591</v>
      </c>
      <c r="G126" s="7">
        <v>1</v>
      </c>
      <c r="H126" s="21" t="s">
        <v>377</v>
      </c>
      <c r="I126" s="13">
        <v>42946.805543981478</v>
      </c>
      <c r="J126" s="7">
        <v>0</v>
      </c>
      <c r="K126" s="89" t="str">
        <f t="shared" si="25"/>
        <v>4065/4066</v>
      </c>
      <c r="L126" s="21" t="str">
        <f>VLOOKUP(A126,'Trips&amp;Operators'!$C$1:$G$99999,5,FALSE)</f>
        <v>SMITH MICHAEL</v>
      </c>
      <c r="M126" s="6">
        <f t="shared" si="26"/>
        <v>2.6076388887304347E-2</v>
      </c>
      <c r="N126" s="7">
        <f t="shared" si="44"/>
        <v>37.54999999771826</v>
      </c>
      <c r="O126" s="7"/>
      <c r="P126" s="7"/>
      <c r="Q126" s="22"/>
      <c r="R126" s="170"/>
      <c r="S126" s="213">
        <f t="shared" si="27"/>
        <v>1</v>
      </c>
      <c r="T126" s="195" t="str">
        <f t="shared" si="28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29"/>
        <v>https://d0f6bd738d7f1b3e5a7ca70fe4ff75f0.us-east-1.aws.found.io/app/kibana#/discover/Steve-Slow-Train-Analysis-(2080s-and-2083s)?_g=(refreshInterval:(display:Off,pause:!f,section:0,value:0),time:(from:'2017-07-30T17:31:38-0600',mode:absolute,to:'2017-07-30T20:19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6" s="197" t="str">
        <f>IF(AA126&lt;VLOOKUP(AG126,Variables!$AC$3:$AD$8,2,FALSE),"Y","N")</f>
        <v>N</v>
      </c>
      <c r="X126" s="197">
        <f t="shared" si="43"/>
        <v>1</v>
      </c>
      <c r="Y126" s="197">
        <f t="shared" si="30"/>
        <v>23.296099999999999</v>
      </c>
      <c r="Z126" s="197">
        <f t="shared" si="31"/>
        <v>1.54E-2</v>
      </c>
      <c r="AA126" s="197">
        <f t="shared" si="32"/>
        <v>23.2807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3"/>
        <v>214</v>
      </c>
      <c r="AE126" s="77" t="str">
        <f t="shared" si="34"/>
        <v>aws s3 cp s3://rtdc.mdm.uploadarchive.raw/RTDC4065/ "%USERPROFILE%\AppData\Local\Temp\OnboardLogs"\RTDC4065\2017-07-30 --exclude "*" --recursive --include "*20170730*" &amp; "%USERPROFILE%\Documents\GitHub\mrs-test-scripts\Headless Mode &amp; Sideloading\WalkAndUnGZ.bat" "%USERPROFILE%\AppData\Local\Temp\OnboardLogs"\RTDC4065\2017-07-30 &amp; aws s3 cp s3://rtdc.mdm.uploadarchive.raw/RTDC4065/ "%USERPROFILE%\AppData\Local\Temp\OnboardLogs"\RTDC4065\2017-07-31 --exclude "*" --recursive --include "*20170731*" &amp; "%USERPROFILE%\Documents\GitHub\mrs-test-scripts\Headless Mode &amp; Sideloading\WalkAndUnGZ.bat" "%USERPROFILE%\AppData\Local\Temp\OnboardLogs"\RTDC4065\2017-07-31</v>
      </c>
      <c r="AF126" s="74" t="str">
        <f t="shared" si="35"/>
        <v>"C:\Program Files (x86)\AstroGrep\AstroGrep.exe" /e /r /s /spath="%USERPROFILE%\AppData\Local\Temp\OnboardLogs" /stypes="app*4065*20170731*" /stext=" 01:.+((SYSTEM_STATE.+slice.+state.+changed )|(ment ac)|(multiple cpu faults)|(system.+state.+changed )|(\[timeout)|(PRM\|1\|D)|(kpr)|(kdp)|(train st.+moving)|(\|lc)|(penalty))"</v>
      </c>
      <c r="AG126" s="209" t="str">
        <f t="shared" si="36"/>
        <v>EC</v>
      </c>
      <c r="AH126" s="78" t="str">
        <f t="shared" si="37"/>
        <v>"%USERPROFILE%\Documents\GitHub\eaglep3\Utilities\RefineRTDCRunTimes.py" --tripid 214-30 --locoid 4065 --swversion DE.1.0.9.0 --startMP 204:232961 --initTime 2017-07-30T18:31:38 --startdatetime 2017-07-30T18:42:26 --delay 1 --endMP 204:154 --enddatetime 2017-07-30T19:19:59 --enforcementcount 0 &gt;&gt;C:\Users\stu\Documents\GitHub\eaglep3-reporting\EC\2017-07-30-refined-times.txt</v>
      </c>
      <c r="AI126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{"issue":{"subject":"","project_id":79,"tracker_id":40,"status_id":1,"priority_id":2,"assigned_to_id":23,"start_date":"2017-07-30","description":"","custom_fields":[{"id":1,"name":"Subdivision","value":"EC"},{"id":4,"name":"Milepost","value":"0.0154"},{"id":17,"name":"Train ID","value":"214-30"},{"id":16,"name":"Locomotive ID","value":"4065"},{"id":130,"name":"Impact","value":""},{"id":150,"name":"Time of Event (Mountain Time)","value":"19:19:59"},{"id":151,"name":"Denver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39"/>
        <v>start /low /b %USERPROFILE%\Documents\GitHub\eaglep3\Utilities\DownloadLogsFromS3.py --loco 4065 --day 2017-07-30</v>
      </c>
      <c r="AN126" s="151" t="str">
        <f t="shared" si="4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01:19:59"},{"id":29,"name":"Sharepoint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820</v>
      </c>
      <c r="B127" s="7">
        <v>4016</v>
      </c>
      <c r="C127" s="21" t="s">
        <v>198</v>
      </c>
      <c r="D127" s="21" t="s">
        <v>376</v>
      </c>
      <c r="E127" s="13">
        <v>42946.745219907411</v>
      </c>
      <c r="F127" s="13">
        <v>42946.750520833331</v>
      </c>
      <c r="G127" s="7">
        <v>1</v>
      </c>
      <c r="H127" s="21" t="s">
        <v>592</v>
      </c>
      <c r="I127" s="13">
        <v>42946.775069444448</v>
      </c>
      <c r="J127" s="7">
        <v>0</v>
      </c>
      <c r="K127" s="89" t="str">
        <f t="shared" si="25"/>
        <v>4015/4016</v>
      </c>
      <c r="L127" s="21" t="str">
        <f>VLOOKUP(A127,'Trips&amp;Operators'!$C$1:$G$99999,5,FALSE)</f>
        <v>MCREYNOLDS KYLE</v>
      </c>
      <c r="M127" s="6">
        <f t="shared" si="26"/>
        <v>2.4548611116188113E-2</v>
      </c>
      <c r="N127" s="7">
        <f t="shared" si="44"/>
        <v>35.350000007310882</v>
      </c>
      <c r="O127" s="7"/>
      <c r="P127" s="7"/>
      <c r="Q127" s="22"/>
      <c r="R127" s="170"/>
      <c r="S127" s="213">
        <f t="shared" si="27"/>
        <v>1</v>
      </c>
      <c r="T127" s="195" t="str">
        <f t="shared" si="28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29"/>
        <v>https://d0f6bd738d7f1b3e5a7ca70fe4ff75f0.us-east-1.aws.found.io/app/kibana#/discover/Steve-Slow-Train-Analysis-(2080s-and-2083s)?_g=(refreshInterval:(display:Off,pause:!f,section:0,value:0),time:(from:'2017-07-30T16:53:07-0600',mode:absolute,to:'2017-07-30T19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7" s="197" t="str">
        <f>IF(AA127&lt;VLOOKUP(AG127,Variables!$AC$3:$AD$8,2,FALSE),"Y","N")</f>
        <v>N</v>
      </c>
      <c r="X127" s="197">
        <f t="shared" si="43"/>
        <v>1</v>
      </c>
      <c r="Y127" s="197">
        <f t="shared" si="30"/>
        <v>4.6199999999999998E-2</v>
      </c>
      <c r="Z127" s="197">
        <f t="shared" si="31"/>
        <v>23.338899999999999</v>
      </c>
      <c r="AA127" s="197">
        <f t="shared" si="32"/>
        <v>23.2927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3"/>
        <v>215</v>
      </c>
      <c r="AE127" s="77" t="str">
        <f t="shared" si="34"/>
        <v>aws s3 cp s3://rtdc.mdm.uploadarchive.raw/RTDC4016/ "%USERPROFILE%\AppData\Local\Temp\OnboardLogs"\RTDC4016\2017-07-30 --exclude "*" --recursive --include "*20170730*" &amp; "%USERPROFILE%\Documents\GitHub\mrs-test-scripts\Headless Mode &amp; Sideloading\WalkAndUnGZ.bat" "%USERPROFILE%\AppData\Local\Temp\OnboardLogs"\RTDC4016\2017-07-30 &amp; aws s3 cp s3://rtdc.mdm.uploadarchive.raw/RTDC4016/ "%USERPROFILE%\AppData\Local\Temp\OnboardLogs"\RTDC4016\2017-07-31 --exclude "*" --recursive --include "*20170731*" &amp; "%USERPROFILE%\Documents\GitHub\mrs-test-scripts\Headless Mode &amp; Sideloading\WalkAndUnGZ.bat" "%USERPROFILE%\AppData\Local\Temp\OnboardLogs"\RTDC4016\2017-07-31</v>
      </c>
      <c r="AF127" s="74" t="str">
        <f t="shared" si="35"/>
        <v>"C:\Program Files (x86)\AstroGrep\AstroGrep.exe" /e /r /s /spath="%USERPROFILE%\AppData\Local\Temp\OnboardLogs" /stypes="app*4016*20170731*" /stext=" 00:.+((SYSTEM_STATE.+slice.+state.+changed )|(ment ac)|(multiple cpu faults)|(system.+state.+changed )|(\[timeout)|(PRM\|1\|D)|(kpr)|(kdp)|(train st.+moving)|(\|lc)|(penalty))"</v>
      </c>
      <c r="AG127" s="209" t="str">
        <f t="shared" si="36"/>
        <v>EC</v>
      </c>
      <c r="AH127" s="78" t="str">
        <f t="shared" si="37"/>
        <v>"%USERPROFILE%\Documents\GitHub\eaglep3\Utilities\RefineRTDCRunTimes.py" --tripid 215-30 --locoid 4016 --swversion DE.1.0.9.0 --startMP 204:462 --initTime 2017-07-30T17:53:07 --startdatetime 2017-07-30T18:00:45 --delay 1 --endMP 204:233389 --enddatetime 2017-07-30T18:36:06 --enforcementcount 0 &gt;&gt;C:\Users\stu\Documents\GitHub\eaglep3-reporting\EC\2017-07-30-refined-times.txt</v>
      </c>
      <c r="AI127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{"issue":{"subject":"","project_id":79,"tracker_id":40,"status_id":1,"priority_id":2,"assigned_to_id":23,"start_date":"2017-07-30","description":"","custom_fields":[{"id":1,"name":"Subdivision","value":"EC"},{"id":4,"name":"Milepost","value":"23.3389"},{"id":17,"name":"Train ID","value":"215-30"},{"id":16,"name":"Locomotive ID","value":"4016"},{"id":130,"name":"Impact","value":""},{"id":150,"name":"Time of Event (Mountain Time)","value":"18:36:06"},{"id":151,"name":"Denver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39"/>
        <v>start /low /b %USERPROFILE%\Documents\GitHub\eaglep3\Utilities\DownloadLogsFromS3.py --loco 4016 --day 2017-07-30</v>
      </c>
      <c r="AN127" s="151" t="str">
        <f t="shared" si="4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00:36:06"},{"id":29,"name":"Sharepoint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827</v>
      </c>
      <c r="B128" s="7">
        <v>4015</v>
      </c>
      <c r="C128" s="21" t="s">
        <v>198</v>
      </c>
      <c r="D128" s="21" t="s">
        <v>964</v>
      </c>
      <c r="E128" s="13">
        <v>42946.782835648148</v>
      </c>
      <c r="F128" s="13">
        <v>42946.789837962962</v>
      </c>
      <c r="G128" s="7">
        <v>0</v>
      </c>
      <c r="H128" s="21" t="s">
        <v>910</v>
      </c>
      <c r="I128" s="13">
        <v>42946.816053240742</v>
      </c>
      <c r="J128" s="7">
        <v>0</v>
      </c>
      <c r="K128" s="89" t="str">
        <f t="shared" si="25"/>
        <v>4015/4016</v>
      </c>
      <c r="L128" s="21" t="str">
        <f>VLOOKUP(A128,'Trips&amp;Operators'!$C$1:$G$99999,5,FALSE)</f>
        <v>MCREYNOLDS KYLE</v>
      </c>
      <c r="M128" s="6">
        <f t="shared" si="26"/>
        <v>2.6215277779556345E-2</v>
      </c>
      <c r="N128" s="7">
        <f t="shared" si="44"/>
        <v>37.750000002561137</v>
      </c>
      <c r="O128" s="7"/>
      <c r="P128" s="7"/>
      <c r="Q128" s="22"/>
      <c r="R128" s="170"/>
      <c r="S128" s="213">
        <f t="shared" si="27"/>
        <v>1</v>
      </c>
      <c r="T128" s="195" t="str">
        <f t="shared" si="28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29"/>
        <v>https://d0f6bd738d7f1b3e5a7ca70fe4ff75f0.us-east-1.aws.found.io/app/kibana#/discover/Steve-Slow-Train-Analysis-(2080s-and-2083s)?_g=(refreshInterval:(display:Off,pause:!f,section:0,value:0),time:(from:'2017-07-30T17:47:17-0600',mode:absolute,to:'2017-07-30T20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8" s="197" t="str">
        <f>IF(AA128&lt;VLOOKUP(AG128,Variables!$AC$3:$AD$8,2,FALSE),"Y","N")</f>
        <v>N</v>
      </c>
      <c r="X128" s="197">
        <f t="shared" si="43"/>
        <v>1</v>
      </c>
      <c r="Y128" s="197">
        <f t="shared" si="30"/>
        <v>23.3093</v>
      </c>
      <c r="Z128" s="197">
        <f t="shared" si="31"/>
        <v>1.6500000000000001E-2</v>
      </c>
      <c r="AA128" s="197">
        <f t="shared" si="32"/>
        <v>23.2928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3"/>
        <v>216</v>
      </c>
      <c r="AE128" s="77" t="str">
        <f t="shared" si="34"/>
        <v>aws s3 cp s3://rtdc.mdm.uploadarchive.raw/RTDC4015/ "%USERPROFILE%\AppData\Local\Temp\OnboardLogs"\RTDC4015\2017-07-30 --exclude "*" --recursive --include "*20170730*" &amp; "%USERPROFILE%\Documents\GitHub\mrs-test-scripts\Headless Mode &amp; Sideloading\WalkAndUnGZ.bat" "%USERPROFILE%\AppData\Local\Temp\OnboardLogs"\RTDC4015\2017-07-30 &amp; aws s3 cp s3://rtdc.mdm.uploadarchive.raw/RTDC4015/ "%USERPROFILE%\AppData\Local\Temp\OnboardLogs"\RTDC4015\2017-07-31 --exclude "*" --recursive --include "*20170731*" &amp; "%USERPROFILE%\Documents\GitHub\mrs-test-scripts\Headless Mode &amp; Sideloading\WalkAndUnGZ.bat" "%USERPROFILE%\AppData\Local\Temp\OnboardLogs"\RTDC4015\2017-07-31</v>
      </c>
      <c r="AF128" s="74" t="str">
        <f t="shared" si="35"/>
        <v>"C:\Program Files (x86)\AstroGrep\AstroGrep.exe" /e /r /s /spath="%USERPROFILE%\AppData\Local\Temp\OnboardLogs" /stypes="app*4015*20170731*" /stext=" 01:.+((SYSTEM_STATE.+slice.+state.+changed )|(ment ac)|(multiple cpu faults)|(system.+state.+changed )|(\[timeout)|(PRM\|1\|D)|(kpr)|(kdp)|(train st.+moving)|(\|lc)|(penalty))"</v>
      </c>
      <c r="AG128" s="209" t="str">
        <f t="shared" si="36"/>
        <v>EC</v>
      </c>
      <c r="AH128" s="78" t="str">
        <f t="shared" si="37"/>
        <v>"%USERPROFILE%\Documents\GitHub\eaglep3\Utilities\RefineRTDCRunTimes.py" --tripid 216-30 --locoid 4015 --swversion DE.1.0.9.0 --startMP 204:233093 --initTime 2017-07-30T18:47:17 --startdatetime 2017-07-30T18:57:22 --delay 0 --endMP 204:165 --enddatetime 2017-07-30T19:35:07 --enforcementcount 0 &gt;&gt;C:\Users\stu\Documents\GitHub\eaglep3-reporting\EC\2017-07-30-refined-times.txt</v>
      </c>
      <c r="AI128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{"issue":{"subject":"","project_id":79,"tracker_id":40,"status_id":1,"priority_id":2,"assigned_to_id":23,"start_date":"2017-07-30","description":"","custom_fields":[{"id":1,"name":"Subdivision","value":"EC"},{"id":4,"name":"Milepost","value":"0.0165"},{"id":17,"name":"Train ID","value":"216-30"},{"id":16,"name":"Locomotive ID","value":"4015"},{"id":130,"name":"Impact","value":""},{"id":150,"name":"Time of Event (Mountain Time)","value":"19:35:07"},{"id":151,"name":"Denver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39"/>
        <v>start /low /b %USERPROFILE%\Documents\GitHub\eaglep3\Utilities\DownloadLogsFromS3.py --loco 4015 --day 2017-07-30</v>
      </c>
      <c r="AN128" s="151" t="str">
        <f t="shared" si="4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01:35:07"},{"id":29,"name":"Sharepoint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985</v>
      </c>
      <c r="B129" s="7">
        <v>4032</v>
      </c>
      <c r="C129" s="21" t="s">
        <v>198</v>
      </c>
      <c r="D129" s="21" t="s">
        <v>409</v>
      </c>
      <c r="E129" s="13">
        <v>42946.757187499999</v>
      </c>
      <c r="F129" s="13">
        <v>42946.761053240742</v>
      </c>
      <c r="G129" s="7">
        <v>2</v>
      </c>
      <c r="H129" s="21" t="s">
        <v>888</v>
      </c>
      <c r="I129" s="13">
        <v>42946.786597222221</v>
      </c>
      <c r="J129" s="7">
        <v>0</v>
      </c>
      <c r="K129" s="89" t="str">
        <f t="shared" si="25"/>
        <v>4031/4032</v>
      </c>
      <c r="L129" s="21" t="s">
        <v>1046</v>
      </c>
      <c r="M129" s="6">
        <f t="shared" si="26"/>
        <v>2.5543981479131617E-2</v>
      </c>
      <c r="N129" s="7">
        <f t="shared" si="44"/>
        <v>36.783333329949528</v>
      </c>
      <c r="O129" s="7"/>
      <c r="P129" s="7"/>
      <c r="Q129" s="22"/>
      <c r="R129" s="170"/>
      <c r="S129" s="213">
        <f t="shared" si="27"/>
        <v>1</v>
      </c>
      <c r="T129" s="195" t="str">
        <f t="shared" si="28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29"/>
        <v>https://d0f6bd738d7f1b3e5a7ca70fe4ff75f0.us-east-1.aws.found.io/app/kibana#/discover/Steve-Slow-Train-Analysis-(2080s-and-2083s)?_g=(refreshInterval:(display:Off,pause:!f,section:0,value:0),time:(from:'2017-07-30T17:10:21-0600',mode:absolute,to:'2017-07-30T19:52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9" s="197" t="str">
        <f>IF(AA129&lt;VLOOKUP(AG129,Variables!$AC$3:$AD$8,2,FALSE),"Y","N")</f>
        <v>N</v>
      </c>
      <c r="X129" s="197">
        <f t="shared" si="43"/>
        <v>1</v>
      </c>
      <c r="Y129" s="197">
        <f t="shared" si="30"/>
        <v>4.3499999999999997E-2</v>
      </c>
      <c r="Z129" s="197">
        <f t="shared" si="31"/>
        <v>23.334299999999999</v>
      </c>
      <c r="AA129" s="197">
        <f t="shared" si="32"/>
        <v>23.290799999999997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3"/>
        <v>217</v>
      </c>
      <c r="AE129" s="77" t="str">
        <f t="shared" si="34"/>
        <v>aws s3 cp s3://rtdc.mdm.uploadarchive.raw/RTDC4032/ "%USERPROFILE%\AppData\Local\Temp\OnboardLogs"\RTDC4032\2017-07-30 --exclude "*" --recursive --include "*20170730*" &amp; "%USERPROFILE%\Documents\GitHub\mrs-test-scripts\Headless Mode &amp; Sideloading\WalkAndUnGZ.bat" "%USERPROFILE%\AppData\Local\Temp\OnboardLogs"\RTDC4032\2017-07-30 &amp; aws s3 cp s3://rtdc.mdm.uploadarchive.raw/RTDC4032/ "%USERPROFILE%\AppData\Local\Temp\OnboardLogs"\RTDC4032\2017-07-31 --exclude "*" --recursive --include "*20170731*" &amp; "%USERPROFILE%\Documents\GitHub\mrs-test-scripts\Headless Mode &amp; Sideloading\WalkAndUnGZ.bat" "%USERPROFILE%\AppData\Local\Temp\OnboardLogs"\RTDC4032\2017-07-31</v>
      </c>
      <c r="AF129" s="74" t="str">
        <f t="shared" si="35"/>
        <v>"C:\Program Files (x86)\AstroGrep\AstroGrep.exe" /e /r /s /spath="%USERPROFILE%\AppData\Local\Temp\OnboardLogs" /stypes="app*4032*20170731*" /stext=" 00:.+((SYSTEM_STATE.+slice.+state.+changed )|(ment ac)|(multiple cpu faults)|(system.+state.+changed )|(\[timeout)|(PRM\|1\|D)|(kpr)|(kdp)|(train st.+moving)|(\|lc)|(penalty))"</v>
      </c>
      <c r="AG129" s="209" t="str">
        <f t="shared" si="36"/>
        <v>EC</v>
      </c>
      <c r="AH129" s="78" t="str">
        <f t="shared" si="37"/>
        <v>"%USERPROFILE%\Documents\GitHub\eaglep3\Utilities\RefineRTDCRunTimes.py" --tripid 217-30 --locoid 4032 --swversion DE.1.0.9.0 --startMP 204:435 --initTime 2017-07-30T18:10:21 --startdatetime 2017-07-30T18:15:55 --delay 2 --endMP 204:233343 --enddatetime 2017-07-30T18:52:42 --enforcementcount 0 &gt;&gt;C:\Users\stu\Documents\GitHub\eaglep3-reporting\EC\2017-07-30-refined-times.txt</v>
      </c>
      <c r="AI129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{"issue":{"subject":"","project_id":79,"tracker_id":40,"status_id":1,"priority_id":2,"assigned_to_id":23,"start_date":"2017-07-30","description":"","custom_fields":[{"id":1,"name":"Subdivision","value":"EC"},{"id":4,"name":"Milepost","value":"23.3343"},{"id":17,"name":"Train ID","value":"217-30"},{"id":16,"name":"Locomotive ID","value":"4032"},{"id":130,"name":"Impact","value":""},{"id":150,"name":"Time of Event (Mountain Time)","value":"18:52:42"},{"id":151,"name":"Denver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39"/>
        <v>start /low /b %USERPROFILE%\Documents\GitHub\eaglep3\Utilities\DownloadLogsFromS3.py --loco 4032 --day 2017-07-30</v>
      </c>
      <c r="AN129" s="151" t="str">
        <f t="shared" si="4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00:52:42"},{"id":29,"name":"Sharepoint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828</v>
      </c>
      <c r="B130" s="7">
        <v>4031</v>
      </c>
      <c r="C130" s="21" t="s">
        <v>198</v>
      </c>
      <c r="D130" s="21" t="s">
        <v>587</v>
      </c>
      <c r="E130" s="13">
        <v>42946.794502314813</v>
      </c>
      <c r="F130" s="13">
        <v>42946.80027777778</v>
      </c>
      <c r="G130" s="7">
        <v>1</v>
      </c>
      <c r="H130" s="21" t="s">
        <v>446</v>
      </c>
      <c r="I130" s="13">
        <v>42946.826354166667</v>
      </c>
      <c r="J130" s="7">
        <v>0</v>
      </c>
      <c r="K130" s="89" t="str">
        <f t="shared" si="25"/>
        <v>4031/4032</v>
      </c>
      <c r="L130" s="21" t="str">
        <f>VLOOKUP(A130,'Trips&amp;Operators'!$C$1:$G$99999,5,FALSE)</f>
        <v>PERKINS DARREN</v>
      </c>
      <c r="M130" s="6">
        <f t="shared" si="26"/>
        <v>2.6076388887304347E-2</v>
      </c>
      <c r="N130" s="7">
        <f t="shared" si="44"/>
        <v>37.54999999771826</v>
      </c>
      <c r="O130" s="7"/>
      <c r="P130" s="7"/>
      <c r="Q130" s="22"/>
      <c r="R130" s="170"/>
      <c r="S130" s="213">
        <f t="shared" si="27"/>
        <v>1</v>
      </c>
      <c r="T130" s="195" t="str">
        <f t="shared" si="28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29"/>
        <v>https://d0f6bd738d7f1b3e5a7ca70fe4ff75f0.us-east-1.aws.found.io/app/kibana#/discover/Steve-Slow-Train-Analysis-(2080s-and-2083s)?_g=(refreshInterval:(display:Off,pause:!f,section:0,value:0),time:(from:'2017-07-30T18:04:05-0600',mode:absolute,to:'2017-07-30T20:49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0" s="197" t="str">
        <f>IF(AA130&lt;VLOOKUP(AG130,Variables!$AC$3:$AD$8,2,FALSE),"Y","N")</f>
        <v>N</v>
      </c>
      <c r="X130" s="197">
        <f t="shared" si="43"/>
        <v>1</v>
      </c>
      <c r="Y130" s="197">
        <f t="shared" si="30"/>
        <v>23.2986</v>
      </c>
      <c r="Z130" s="197">
        <f t="shared" si="31"/>
        <v>1.5800000000000002E-2</v>
      </c>
      <c r="AA130" s="197">
        <f t="shared" si="32"/>
        <v>23.282800000000002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3"/>
        <v>218</v>
      </c>
      <c r="AE130" s="77" t="str">
        <f t="shared" si="34"/>
        <v>aws s3 cp s3://rtdc.mdm.uploadarchive.raw/RTDC4031/ "%USERPROFILE%\AppData\Local\Temp\OnboardLogs"\RTDC4031\2017-07-30 --exclude "*" --recursive --include "*20170730*" &amp; "%USERPROFILE%\Documents\GitHub\mrs-test-scripts\Headless Mode &amp; Sideloading\WalkAndUnGZ.bat" "%USERPROFILE%\AppData\Local\Temp\OnboardLogs"\RTDC4031\2017-07-30 &amp; aws s3 cp s3://rtdc.mdm.uploadarchive.raw/RTDC4031/ "%USERPROFILE%\AppData\Local\Temp\OnboardLogs"\RTDC4031\2017-07-31 --exclude "*" --recursive --include "*20170731*" &amp; "%USERPROFILE%\Documents\GitHub\mrs-test-scripts\Headless Mode &amp; Sideloading\WalkAndUnGZ.bat" "%USERPROFILE%\AppData\Local\Temp\OnboardLogs"\RTDC4031\2017-07-31</v>
      </c>
      <c r="AF130" s="74" t="str">
        <f t="shared" si="35"/>
        <v>"C:\Program Files (x86)\AstroGrep\AstroGrep.exe" /e /r /s /spath="%USERPROFILE%\AppData\Local\Temp\OnboardLogs" /stypes="app*4031*20170731*" /stext=" 01:.+((SYSTEM_STATE.+slice.+state.+changed )|(ment ac)|(multiple cpu faults)|(system.+state.+changed )|(\[timeout)|(PRM\|1\|D)|(kpr)|(kdp)|(train st.+moving)|(\|lc)|(penalty))"</v>
      </c>
      <c r="AG130" s="209" t="str">
        <f t="shared" si="36"/>
        <v>EC</v>
      </c>
      <c r="AH130" s="78" t="str">
        <f t="shared" si="37"/>
        <v>"%USERPROFILE%\Documents\GitHub\eaglep3\Utilities\RefineRTDCRunTimes.py" --tripid 218-30 --locoid 4031 --swversion DE.1.0.9.0 --startMP 204:232986 --initTime 2017-07-30T19:04:05 --startdatetime 2017-07-30T19:12:24 --delay 1 --endMP 204:158 --enddatetime 2017-07-30T19:49:57 --enforcementcount 0 &gt;&gt;C:\Users\stu\Documents\GitHub\eaglep3-reporting\EC\2017-07-30-refined-times.txt</v>
      </c>
      <c r="AI130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{"issue":{"subject":"","project_id":79,"tracker_id":40,"status_id":1,"priority_id":2,"assigned_to_id":23,"start_date":"2017-07-30","description":"","custom_fields":[{"id":1,"name":"Subdivision","value":"EC"},{"id":4,"name":"Milepost","value":"0.0158"},{"id":17,"name":"Train ID","value":"218-30"},{"id":16,"name":"Locomotive ID","value":"4031"},{"id":130,"name":"Impact","value":""},{"id":150,"name":"Time of Event (Mountain Time)","value":"19:49:57"},{"id":151,"name":"Denver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39"/>
        <v>start /low /b %USERPROFILE%\Documents\GitHub\eaglep3\Utilities\DownloadLogsFromS3.py --loco 4031 --day 2017-07-30</v>
      </c>
      <c r="AN130" s="151" t="str">
        <f t="shared" si="4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01:49:57"},{"id":29,"name":"Sharepoint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823</v>
      </c>
      <c r="B131" s="7">
        <v>4046</v>
      </c>
      <c r="C131" s="21" t="s">
        <v>198</v>
      </c>
      <c r="D131" s="21" t="s">
        <v>405</v>
      </c>
      <c r="E131" s="13">
        <v>42946.76840277778</v>
      </c>
      <c r="F131" s="13">
        <v>42946.771423611113</v>
      </c>
      <c r="G131" s="7">
        <v>2</v>
      </c>
      <c r="H131" s="21" t="s">
        <v>508</v>
      </c>
      <c r="I131" s="13">
        <v>42946.797233796293</v>
      </c>
      <c r="J131" s="7">
        <v>0</v>
      </c>
      <c r="K131" s="89" t="str">
        <f t="shared" si="25"/>
        <v>4045/4046</v>
      </c>
      <c r="L131" s="21" t="str">
        <f>VLOOKUP(A131,'Trips&amp;Operators'!$C$1:$G$99999,5,FALSE)</f>
        <v>HAITHCOX MICHAEL</v>
      </c>
      <c r="M131" s="6">
        <f t="shared" si="26"/>
        <v>2.5810185179580003E-2</v>
      </c>
      <c r="N131" s="7">
        <f t="shared" si="44"/>
        <v>37.166666658595204</v>
      </c>
      <c r="O131" s="7"/>
      <c r="P131" s="7"/>
      <c r="Q131" s="22"/>
      <c r="R131" s="170"/>
      <c r="S131" s="213">
        <f t="shared" si="27"/>
        <v>1</v>
      </c>
      <c r="T131" s="195" t="str">
        <f t="shared" si="28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29"/>
        <v>https://d0f6bd738d7f1b3e5a7ca70fe4ff75f0.us-east-1.aws.found.io/app/kibana#/discover/Steve-Slow-Train-Analysis-(2080s-and-2083s)?_g=(refreshInterval:(display:Off,pause:!f,section:0,value:0),time:(from:'2017-07-30T17:26:30-0600',mode:absolute,to:'2017-07-30T20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1" s="197" t="str">
        <f>IF(AA131&lt;VLOOKUP(AG131,Variables!$AC$3:$AD$8,2,FALSE),"Y","N")</f>
        <v>N</v>
      </c>
      <c r="X131" s="197">
        <f t="shared" si="43"/>
        <v>1</v>
      </c>
      <c r="Y131" s="197">
        <f t="shared" si="30"/>
        <v>4.58E-2</v>
      </c>
      <c r="Z131" s="197">
        <f t="shared" si="31"/>
        <v>23.330400000000001</v>
      </c>
      <c r="AA131" s="197">
        <f t="shared" si="32"/>
        <v>23.284600000000001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3"/>
        <v>219</v>
      </c>
      <c r="AE131" s="77" t="str">
        <f t="shared" si="34"/>
        <v>aws s3 cp s3://rtdc.mdm.uploadarchive.raw/RTDC4046/ "%USERPROFILE%\AppData\Local\Temp\OnboardLogs"\RTDC4046\2017-07-30 --exclude "*" --recursive --include "*20170730*" &amp; "%USERPROFILE%\Documents\GitHub\mrs-test-scripts\Headless Mode &amp; Sideloading\WalkAndUnGZ.bat" "%USERPROFILE%\AppData\Local\Temp\OnboardLogs"\RTDC4046\2017-07-30 &amp; aws s3 cp s3://rtdc.mdm.uploadarchive.raw/RTDC4046/ "%USERPROFILE%\AppData\Local\Temp\OnboardLogs"\RTDC4046\2017-07-31 --exclude "*" --recursive --include "*20170731*" &amp; "%USERPROFILE%\Documents\GitHub\mrs-test-scripts\Headless Mode &amp; Sideloading\WalkAndUnGZ.bat" "%USERPROFILE%\AppData\Local\Temp\OnboardLogs"\RTDC4046\2017-07-31</v>
      </c>
      <c r="AF131" s="74" t="str">
        <f t="shared" si="35"/>
        <v>"C:\Program Files (x86)\AstroGrep\AstroGrep.exe" /e /r /s /spath="%USERPROFILE%\AppData\Local\Temp\OnboardLogs" /stypes="app*4046*20170731*" /stext=" 01:.+((SYSTEM_STATE.+slice.+state.+changed )|(ment ac)|(multiple cpu faults)|(system.+state.+changed )|(\[timeout)|(PRM\|1\|D)|(kpr)|(kdp)|(train st.+moving)|(\|lc)|(penalty))"</v>
      </c>
      <c r="AG131" s="209" t="str">
        <f t="shared" si="36"/>
        <v>EC</v>
      </c>
      <c r="AH131" s="78" t="str">
        <f t="shared" si="37"/>
        <v>"%USERPROFILE%\Documents\GitHub\eaglep3\Utilities\RefineRTDCRunTimes.py" --tripid 219-30 --locoid 4046 --swversion DE.1.0.9.0 --startMP 204:458 --initTime 2017-07-30T18:26:30 --startdatetime 2017-07-30T18:30:51 --delay 2 --endMP 204:233304 --enddatetime 2017-07-30T19:08:01 --enforcementcount 0 &gt;&gt;C:\Users\stu\Documents\GitHub\eaglep3-reporting\EC\2017-07-30-refined-times.txt</v>
      </c>
      <c r="AI131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{"issue":{"subject":"","project_id":79,"tracker_id":40,"status_id":1,"priority_id":2,"assigned_to_id":23,"start_date":"2017-07-30","description":"","custom_fields":[{"id":1,"name":"Subdivision","value":"EC"},{"id":4,"name":"Milepost","value":"23.3304"},{"id":17,"name":"Train ID","value":"219-30"},{"id":16,"name":"Locomotive ID","value":"4046"},{"id":130,"name":"Impact","value":""},{"id":150,"name":"Time of Event (Mountain Time)","value":"19:08:01"},{"id":151,"name":"Denver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39"/>
        <v>start /low /b %USERPROFILE%\Documents\GitHub\eaglep3\Utilities\DownloadLogsFromS3.py --loco 4046 --day 2017-07-30</v>
      </c>
      <c r="AN131" s="151" t="str">
        <f t="shared" si="4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01:08:01"},{"id":29,"name":"Sharepoint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655</v>
      </c>
      <c r="B132" s="7">
        <v>4045</v>
      </c>
      <c r="C132" s="21" t="s">
        <v>198</v>
      </c>
      <c r="D132" s="21" t="s">
        <v>488</v>
      </c>
      <c r="E132" s="13">
        <v>42946.798356481479</v>
      </c>
      <c r="F132" s="13">
        <v>42946.810856481483</v>
      </c>
      <c r="G132" s="7">
        <v>1</v>
      </c>
      <c r="H132" s="21" t="s">
        <v>465</v>
      </c>
      <c r="I132" s="13">
        <v>42946.838703703703</v>
      </c>
      <c r="J132" s="7">
        <v>0</v>
      </c>
      <c r="K132" s="89" t="str">
        <f t="shared" si="25"/>
        <v>4045/4046</v>
      </c>
      <c r="L132" s="21" t="str">
        <f>VLOOKUP(A132,'Trips&amp;Operators'!$C$1:$G$99999,5,FALSE)</f>
        <v>HAITHCOX MICHAEL</v>
      </c>
      <c r="M132" s="6">
        <f t="shared" si="26"/>
        <v>2.7847222219861578E-2</v>
      </c>
      <c r="N132" s="7">
        <f t="shared" si="44"/>
        <v>40.099999996600673</v>
      </c>
      <c r="O132" s="7"/>
      <c r="P132" s="7"/>
      <c r="Q132" s="22"/>
      <c r="R132" s="170"/>
      <c r="S132" s="213">
        <f t="shared" si="27"/>
        <v>1</v>
      </c>
      <c r="T132" s="195" t="str">
        <f t="shared" si="28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29"/>
        <v>https://d0f6bd738d7f1b3e5a7ca70fe4ff75f0.us-east-1.aws.found.io/app/kibana#/discover/Steve-Slow-Train-Analysis-(2080s-and-2083s)?_g=(refreshInterval:(display:Off,pause:!f,section:0,value:0),time:(from:'2017-07-30T18:09:38-0600',mode:absolute,to:'2017-07-30T21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2" s="197" t="str">
        <f>IF(AA132&lt;VLOOKUP(AG132,Variables!$AC$3:$AD$8,2,FALSE),"Y","N")</f>
        <v>N</v>
      </c>
      <c r="X132" s="197">
        <f t="shared" si="43"/>
        <v>1</v>
      </c>
      <c r="Y132" s="197">
        <f t="shared" si="30"/>
        <v>23.2989</v>
      </c>
      <c r="Z132" s="197">
        <f t="shared" si="31"/>
        <v>1.6299999999999999E-2</v>
      </c>
      <c r="AA132" s="197">
        <f t="shared" si="32"/>
        <v>23.282599999999999</v>
      </c>
      <c r="AB132" s="54" t="str">
        <f>VLOOKUP(A132,Enforcements!$C$7:$K$13,8,0)</f>
        <v>Bulletin (2)</v>
      </c>
      <c r="AC132" s="51" t="str">
        <f>VLOOKUP(A132,Enforcements!$C$7:$E$13,3,0)</f>
        <v>GRADE CROSSING</v>
      </c>
      <c r="AD132" s="206">
        <f t="shared" si="33"/>
        <v>220</v>
      </c>
      <c r="AE132" s="77" t="str">
        <f t="shared" si="34"/>
        <v>aws s3 cp s3://rtdc.mdm.uploadarchive.raw/RTDC4045/ "%USERPROFILE%\AppData\Local\Temp\OnboardLogs"\RTDC4045\2017-07-30 --exclude "*" --recursive --include "*20170730*" &amp; "%USERPROFILE%\Documents\GitHub\mrs-test-scripts\Headless Mode &amp; Sideloading\WalkAndUnGZ.bat" "%USERPROFILE%\AppData\Local\Temp\OnboardLogs"\RTDC4045\2017-07-30 &amp; aws s3 cp s3://rtdc.mdm.uploadarchive.raw/RTDC4045/ "%USERPROFILE%\AppData\Local\Temp\OnboardLogs"\RTDC4045\2017-07-31 --exclude "*" --recursive --include "*20170731*" &amp; "%USERPROFILE%\Documents\GitHub\mrs-test-scripts\Headless Mode &amp; Sideloading\WalkAndUnGZ.bat" "%USERPROFILE%\AppData\Local\Temp\OnboardLogs"\RTDC4045\2017-07-31</v>
      </c>
      <c r="AF132" s="74" t="str">
        <f t="shared" si="35"/>
        <v>"C:\Program Files (x86)\AstroGrep\AstroGrep.exe" /e /r /s /spath="%USERPROFILE%\AppData\Local\Temp\OnboardLogs" /stypes="app*4045*20170731*" /stext=" 02:.+((SYSTEM_STATE.+slice.+state.+changed )|(ment ac)|(multiple cpu faults)|(system.+state.+changed )|(\[timeout)|(PRM\|1\|D)|(kpr)|(kdp)|(train st.+moving)|(\|lc)|(penalty))"</v>
      </c>
      <c r="AG132" s="209" t="str">
        <f t="shared" si="36"/>
        <v>EC</v>
      </c>
      <c r="AH132" s="78" t="str">
        <f t="shared" si="37"/>
        <v>"%USERPROFILE%\Documents\GitHub\eaglep3\Utilities\RefineRTDCRunTimes.py" --tripid 220-30 --locoid 4045 --swversion DE.1.0.9.0 --startMP 204:232989 --initTime 2017-07-30T19:09:38 --startdatetime 2017-07-30T19:27:38 --delay 1 --endMP 204:163 --enddatetime 2017-07-30T20:07:44 --enforcementcount 0 &gt;&gt;C:\Users\stu\Documents\GitHub\eaglep3-reporting\EC\2017-07-30-refined-times.txt</v>
      </c>
      <c r="AI132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{"issue":{"subject":"","project_id":79,"tracker_id":40,"status_id":1,"priority_id":2,"assigned_to_id":23,"start_date":"2017-07-30","description":"","custom_fields":[{"id":1,"name":"Subdivision","value":"EC"},{"id":4,"name":"Milepost","value":"0.0163"},{"id":17,"name":"Train ID","value":"220-30"},{"id":16,"name":"Locomotive ID","value":"4045"},{"id":130,"name":"Impact","value":""},{"id":150,"name":"Time of Event (Mountain Time)","value":"20:07:44"},{"id":151,"name":"Denver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39"/>
        <v>start /low /b %USERPROFILE%\Documents\GitHub\eaglep3\Utilities\DownloadLogsFromS3.py --loco 4045 --day 2017-07-30</v>
      </c>
      <c r="AN132" s="151" t="str">
        <f t="shared" si="4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02:07:44"},{"id":29,"name":"Sharepoint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654</v>
      </c>
      <c r="B133" s="7">
        <v>4004</v>
      </c>
      <c r="C133" s="21" t="s">
        <v>198</v>
      </c>
      <c r="D133" s="21" t="s">
        <v>881</v>
      </c>
      <c r="E133" s="13">
        <v>42946.78570601852</v>
      </c>
      <c r="F133" s="13">
        <v>42946.792245370372</v>
      </c>
      <c r="G133" s="7">
        <v>1</v>
      </c>
      <c r="H133" s="21" t="s">
        <v>986</v>
      </c>
      <c r="I133" s="13">
        <v>42946.81689814815</v>
      </c>
      <c r="J133" s="7">
        <v>0</v>
      </c>
      <c r="K133" s="89" t="str">
        <f t="shared" si="25"/>
        <v>4003/4004</v>
      </c>
      <c r="L133" s="21" t="str">
        <f>VLOOKUP(A133,'Trips&amp;Operators'!$C$1:$G$99999,5,FALSE)</f>
        <v>STAMBAUGH JAMES</v>
      </c>
      <c r="M133" s="6">
        <f t="shared" si="26"/>
        <v>2.4652777778101154E-2</v>
      </c>
      <c r="N133" s="7">
        <f t="shared" si="44"/>
        <v>35.500000000465661</v>
      </c>
      <c r="O133" s="7"/>
      <c r="P133" s="7"/>
      <c r="Q133" s="22"/>
      <c r="R133" s="170"/>
      <c r="S133" s="213">
        <f t="shared" si="27"/>
        <v>1</v>
      </c>
      <c r="T133" s="195" t="str">
        <f t="shared" si="28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29"/>
        <v>https://d0f6bd738d7f1b3e5a7ca70fe4ff75f0.us-east-1.aws.found.io/app/kibana#/discover/Steve-Slow-Train-Analysis-(2080s-and-2083s)?_g=(refreshInterval:(display:Off,pause:!f,section:0,value:0),time:(from:'2017-07-30T17:51:25-0600',mode:absolute,to:'2017-07-30T20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3" s="197" t="str">
        <f>IF(AA133&lt;VLOOKUP(AG133,Variables!$AC$3:$AD$8,2,FALSE),"Y","N")</f>
        <v>N</v>
      </c>
      <c r="X133" s="197">
        <f t="shared" si="43"/>
        <v>1</v>
      </c>
      <c r="Y133" s="197">
        <f t="shared" si="30"/>
        <v>4.2700000000000002E-2</v>
      </c>
      <c r="Z133" s="197">
        <f t="shared" si="31"/>
        <v>23.341999999999999</v>
      </c>
      <c r="AA133" s="197">
        <f t="shared" si="32"/>
        <v>23.299299999999999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3"/>
        <v>221</v>
      </c>
      <c r="AE133" s="77" t="str">
        <f t="shared" si="34"/>
        <v>aws s3 cp s3://rtdc.mdm.uploadarchive.raw/RTDC4004/ "%USERPROFILE%\AppData\Local\Temp\OnboardLogs"\RTDC4004\2017-07-30 --exclude "*" --recursive --include "*20170730*" &amp; "%USERPROFILE%\Documents\GitHub\mrs-test-scripts\Headless Mode &amp; Sideloading\WalkAndUnGZ.bat" "%USERPROFILE%\AppData\Local\Temp\OnboardLogs"\RTDC4004\2017-07-30 &amp; aws s3 cp s3://rtdc.mdm.uploadarchive.raw/RTDC4004/ "%USERPROFILE%\AppData\Local\Temp\OnboardLogs"\RTDC4004\2017-07-31 --exclude "*" --recursive --include "*20170731*" &amp; "%USERPROFILE%\Documents\GitHub\mrs-test-scripts\Headless Mode &amp; Sideloading\WalkAndUnGZ.bat" "%USERPROFILE%\AppData\Local\Temp\OnboardLogs"\RTDC4004\2017-07-31</v>
      </c>
      <c r="AF133" s="74" t="str">
        <f t="shared" si="35"/>
        <v>"C:\Program Files (x86)\AstroGrep\AstroGrep.exe" /e /r /s /spath="%USERPROFILE%\AppData\Local\Temp\OnboardLogs" /stypes="app*4004*20170731*" /stext=" 01:.+((SYSTEM_STATE.+slice.+state.+changed )|(ment ac)|(multiple cpu faults)|(system.+state.+changed )|(\[timeout)|(PRM\|1\|D)|(kpr)|(kdp)|(train st.+moving)|(\|lc)|(penalty))"</v>
      </c>
      <c r="AG133" s="209" t="str">
        <f t="shared" si="36"/>
        <v>EC</v>
      </c>
      <c r="AH133" s="78" t="str">
        <f t="shared" si="37"/>
        <v>"%USERPROFILE%\Documents\GitHub\eaglep3\Utilities\RefineRTDCRunTimes.py" --tripid 221-30 --locoid 4004 --swversion DE.1.0.9.0 --startMP 204:427 --initTime 2017-07-30T18:51:25 --startdatetime 2017-07-30T19:00:50 --delay 1 --endMP 204:233420 --enddatetime 2017-07-30T19:36:20 --enforcementcount 0 &gt;&gt;C:\Users\stu\Documents\GitHub\eaglep3-reporting\EC\2017-07-30-refined-times.txt</v>
      </c>
      <c r="AI133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{"issue":{"subject":"","project_id":79,"tracker_id":40,"status_id":1,"priority_id":2,"assigned_to_id":23,"start_date":"2017-07-30","description":"","custom_fields":[{"id":1,"name":"Subdivision","value":"EC"},{"id":4,"name":"Milepost","value":"23.342"},{"id":17,"name":"Train ID","value":"221-30"},{"id":16,"name":"Locomotive ID","value":"4004"},{"id":130,"name":"Impact","value":""},{"id":150,"name":"Time of Event (Mountain Time)","value":"19:36:20"},{"id":151,"name":"Denver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39"/>
        <v>start /low /b %USERPROFILE%\Documents\GitHub\eaglep3\Utilities\DownloadLogsFromS3.py --loco 4004 --day 2017-07-30</v>
      </c>
      <c r="AN133" s="151" t="str">
        <f t="shared" si="4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01:36:20"},{"id":29,"name":"Sharepoint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833</v>
      </c>
      <c r="B134" s="7">
        <v>4003</v>
      </c>
      <c r="C134" s="21" t="s">
        <v>198</v>
      </c>
      <c r="D134" s="21" t="s">
        <v>963</v>
      </c>
      <c r="E134" s="13">
        <v>42946.829409722224</v>
      </c>
      <c r="F134" s="13">
        <v>42946.831585648149</v>
      </c>
      <c r="G134" s="7">
        <v>0</v>
      </c>
      <c r="H134" s="21" t="s">
        <v>924</v>
      </c>
      <c r="I134" s="13">
        <v>42946.857222222221</v>
      </c>
      <c r="J134" s="7">
        <v>0</v>
      </c>
      <c r="K134" s="89" t="str">
        <f t="shared" si="25"/>
        <v>4003/4004</v>
      </c>
      <c r="L134" s="21" t="str">
        <f>VLOOKUP(A134,'Trips&amp;Operators'!$C$1:$G$99999,5,FALSE)</f>
        <v>STAMBAUGH JAMES</v>
      </c>
      <c r="M134" s="6">
        <f t="shared" si="26"/>
        <v>2.5636574071540963E-2</v>
      </c>
      <c r="N134" s="7">
        <f t="shared" si="44"/>
        <v>36.916666663018987</v>
      </c>
      <c r="O134" s="7"/>
      <c r="P134" s="7"/>
      <c r="Q134" s="22"/>
      <c r="R134" s="170"/>
      <c r="S134" s="213">
        <f t="shared" si="27"/>
        <v>1</v>
      </c>
      <c r="T134" s="195" t="str">
        <f t="shared" si="28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29"/>
        <v>https://d0f6bd738d7f1b3e5a7ca70fe4ff75f0.us-east-1.aws.found.io/app/kibana#/discover/Steve-Slow-Train-Analysis-(2080s-and-2083s)?_g=(refreshInterval:(display:Off,pause:!f,section:0,value:0),time:(from:'2017-07-30T18:54:21-0600',mode:absolute,to:'2017-07-30T21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4" s="197" t="str">
        <f>IF(AA134&lt;VLOOKUP(AG134,Variables!$AC$3:$AD$8,2,FALSE),"Y","N")</f>
        <v>N</v>
      </c>
      <c r="X134" s="197">
        <f t="shared" si="43"/>
        <v>1</v>
      </c>
      <c r="Y134" s="197">
        <f t="shared" si="30"/>
        <v>23.308399999999999</v>
      </c>
      <c r="Z134" s="197">
        <f t="shared" si="31"/>
        <v>1.21E-2</v>
      </c>
      <c r="AA134" s="197">
        <f t="shared" si="32"/>
        <v>23.296299999999999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3"/>
        <v>222</v>
      </c>
      <c r="AE134" s="77" t="str">
        <f t="shared" si="34"/>
        <v>aws s3 cp s3://rtdc.mdm.uploadarchive.raw/RTDC4003/ "%USERPROFILE%\AppData\Local\Temp\OnboardLogs"\RTDC4003\2017-07-30 --exclude "*" --recursive --include "*20170730*" &amp; "%USERPROFILE%\Documents\GitHub\mrs-test-scripts\Headless Mode &amp; Sideloading\WalkAndUnGZ.bat" "%USERPROFILE%\AppData\Local\Temp\OnboardLogs"\RTDC4003\2017-07-30 &amp; aws s3 cp s3://rtdc.mdm.uploadarchive.raw/RTDC4003/ "%USERPROFILE%\AppData\Local\Temp\OnboardLogs"\RTDC4003\2017-07-31 --exclude "*" --recursive --include "*20170731*" &amp; "%USERPROFILE%\Documents\GitHub\mrs-test-scripts\Headless Mode &amp; Sideloading\WalkAndUnGZ.bat" "%USERPROFILE%\AppData\Local\Temp\OnboardLogs"\RTDC4003\2017-07-31</v>
      </c>
      <c r="AF134" s="74" t="str">
        <f t="shared" si="35"/>
        <v>"C:\Program Files (x86)\AstroGrep\AstroGrep.exe" /e /r /s /spath="%USERPROFILE%\AppData\Local\Temp\OnboardLogs" /stypes="app*4003*20170731*" /stext=" 02:.+((SYSTEM_STATE.+slice.+state.+changed )|(ment ac)|(multiple cpu faults)|(system.+state.+changed )|(\[timeout)|(PRM\|1\|D)|(kpr)|(kdp)|(train st.+moving)|(\|lc)|(penalty))"</v>
      </c>
      <c r="AG134" s="209" t="str">
        <f t="shared" si="36"/>
        <v>EC</v>
      </c>
      <c r="AH134" s="78" t="str">
        <f t="shared" si="37"/>
        <v>"%USERPROFILE%\Documents\GitHub\eaglep3\Utilities\RefineRTDCRunTimes.py" --tripid 222-30 --locoid 4003 --swversion DE.1.0.9.0 --startMP 204:233084 --initTime 2017-07-30T19:54:21 --startdatetime 2017-07-30T19:57:29 --delay 0 --endMP 204:121 --enddatetime 2017-07-30T20:34:24 --enforcementcount 0 &gt;&gt;C:\Users\stu\Documents\GitHub\eaglep3-reporting\EC\2017-07-30-refined-times.txt</v>
      </c>
      <c r="AI134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{"issue":{"subject":"","project_id":79,"tracker_id":40,"status_id":1,"priority_id":2,"assigned_to_id":23,"start_date":"2017-07-30","description":"","custom_fields":[{"id":1,"name":"Subdivision","value":"EC"},{"id":4,"name":"Milepost","value":"0.0121"},{"id":17,"name":"Train ID","value":"222-30"},{"id":16,"name":"Locomotive ID","value":"4003"},{"id":130,"name":"Impact","value":""},{"id":150,"name":"Time of Event (Mountain Time)","value":"20:34:24"},{"id":151,"name":"Denver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39"/>
        <v>start /low /b %USERPROFILE%\Documents\GitHub\eaglep3\Utilities\DownloadLogsFromS3.py --loco 4003 --day 2017-07-30</v>
      </c>
      <c r="AN134" s="151" t="str">
        <f t="shared" si="4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02:34:24"},{"id":29,"name":"Sharepoint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830</v>
      </c>
      <c r="B135" s="7">
        <v>4066</v>
      </c>
      <c r="C135" s="21" t="s">
        <v>198</v>
      </c>
      <c r="D135" s="21" t="s">
        <v>513</v>
      </c>
      <c r="E135" s="13">
        <v>42946.807627314818</v>
      </c>
      <c r="F135" s="13">
        <v>42946.813113425924</v>
      </c>
      <c r="G135" s="7">
        <v>1</v>
      </c>
      <c r="H135" s="21" t="s">
        <v>505</v>
      </c>
      <c r="I135" s="13">
        <v>42946.83803240741</v>
      </c>
      <c r="J135" s="7">
        <v>0</v>
      </c>
      <c r="K135" s="89" t="str">
        <f t="shared" si="25"/>
        <v>4065/4066</v>
      </c>
      <c r="L135" s="21" t="str">
        <f>VLOOKUP(A135,'Trips&amp;Operators'!$C$1:$G$99999,5,FALSE)</f>
        <v>SMITH MICHAEL</v>
      </c>
      <c r="M135" s="6">
        <f t="shared" si="26"/>
        <v>2.4918981485825498E-2</v>
      </c>
      <c r="N135" s="7">
        <f t="shared" si="44"/>
        <v>35.883333339588717</v>
      </c>
      <c r="O135" s="7"/>
      <c r="P135" s="7"/>
      <c r="Q135" s="22"/>
      <c r="R135" s="170"/>
      <c r="S135" s="213">
        <f t="shared" si="27"/>
        <v>1</v>
      </c>
      <c r="T135" s="195" t="str">
        <f t="shared" si="28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29"/>
        <v>https://d0f6bd738d7f1b3e5a7ca70fe4ff75f0.us-east-1.aws.found.io/app/kibana#/discover/Steve-Slow-Train-Analysis-(2080s-and-2083s)?_g=(refreshInterval:(display:Off,pause:!f,section:0,value:0),time:(from:'2017-07-30T18:22:59-0600',mode:absolute,to:'2017-07-30T21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35" s="197" t="str">
        <f>IF(AA135&lt;VLOOKUP(AG135,Variables!$AC$3:$AD$8,2,FALSE),"Y","N")</f>
        <v>N</v>
      </c>
      <c r="X135" s="197">
        <f t="shared" si="43"/>
        <v>1</v>
      </c>
      <c r="Y135" s="197">
        <f t="shared" si="30"/>
        <v>4.6699999999999998E-2</v>
      </c>
      <c r="Z135" s="197">
        <f t="shared" si="31"/>
        <v>23.333200000000001</v>
      </c>
      <c r="AA135" s="197">
        <f t="shared" si="32"/>
        <v>23.2865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3"/>
        <v>223</v>
      </c>
      <c r="AE135" s="77" t="str">
        <f t="shared" si="34"/>
        <v>aws s3 cp s3://rtdc.mdm.uploadarchive.raw/RTDC4066/ "%USERPROFILE%\AppData\Local\Temp\OnboardLogs"\RTDC4066\2017-07-30 --exclude "*" --recursive --include "*20170730*" &amp; "%USERPROFILE%\Documents\GitHub\mrs-test-scripts\Headless Mode &amp; Sideloading\WalkAndUnGZ.bat" "%USERPROFILE%\AppData\Local\Temp\OnboardLogs"\RTDC4066\2017-07-30 &amp; aws s3 cp s3://rtdc.mdm.uploadarchive.raw/RTDC4066/ "%USERPROFILE%\AppData\Local\Temp\OnboardLogs"\RTDC4066\2017-07-31 --exclude "*" --recursive --include "*20170731*" &amp; "%USERPROFILE%\Documents\GitHub\mrs-test-scripts\Headless Mode &amp; Sideloading\WalkAndUnGZ.bat" "%USERPROFILE%\AppData\Local\Temp\OnboardLogs"\RTDC4066\2017-07-31</v>
      </c>
      <c r="AF135" s="74" t="str">
        <f t="shared" si="35"/>
        <v>"C:\Program Files (x86)\AstroGrep\AstroGrep.exe" /e /r /s /spath="%USERPROFILE%\AppData\Local\Temp\OnboardLogs" /stypes="app*4066*20170731*" /stext=" 02:.+((SYSTEM_STATE.+slice.+state.+changed )|(ment ac)|(multiple cpu faults)|(system.+state.+changed )|(\[timeout)|(PRM\|1\|D)|(kpr)|(kdp)|(train st.+moving)|(\|lc)|(penalty))"</v>
      </c>
      <c r="AG135" s="209" t="str">
        <f t="shared" si="36"/>
        <v>EC</v>
      </c>
      <c r="AH135" s="78" t="str">
        <f t="shared" si="37"/>
        <v>"%USERPROFILE%\Documents\GitHub\eaglep3\Utilities\RefineRTDCRunTimes.py" --tripid 223-30 --locoid 4066 --swversion DE.1.0.9.0 --startMP 204:467 --initTime 2017-07-30T19:22:59 --startdatetime 2017-07-30T19:30:53 --delay 1 --endMP 204:233332 --enddatetime 2017-07-30T20:06:46 --enforcementcount 0 &gt;&gt;C:\Users\stu\Documents\GitHub\eaglep3-reporting\EC\2017-07-30-refined-times.txt</v>
      </c>
      <c r="AI135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{"issue":{"subject":"","project_id":79,"tracker_id":40,"status_id":1,"priority_id":2,"assigned_to_id":23,"start_date":"2017-07-30","description":"","custom_fields":[{"id":1,"name":"Subdivision","value":"EC"},{"id":4,"name":"Milepost","value":"23.3332"},{"id":17,"name":"Train ID","value":"223-30"},{"id":16,"name":"Locomotive ID","value":"4066"},{"id":130,"name":"Impact","value":""},{"id":150,"name":"Time of Event (Mountain Time)","value":"20:06:46"},{"id":151,"name":"Denver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39"/>
        <v>start /low /b %USERPROFILE%\Documents\GitHub\eaglep3\Utilities\DownloadLogsFromS3.py --loco 4066 --day 2017-07-30</v>
      </c>
      <c r="AN135" s="151" t="str">
        <f t="shared" si="4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02:06:46"},{"id":29,"name":"Sharepoint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835</v>
      </c>
      <c r="B136" s="7">
        <v>4065</v>
      </c>
      <c r="C136" s="21" t="s">
        <v>198</v>
      </c>
      <c r="D136" s="21" t="s">
        <v>897</v>
      </c>
      <c r="E136" s="13">
        <v>42946.843032407407</v>
      </c>
      <c r="F136" s="13">
        <v>42946.852453703701</v>
      </c>
      <c r="G136" s="7">
        <v>1</v>
      </c>
      <c r="H136" s="21" t="s">
        <v>352</v>
      </c>
      <c r="I136" s="13">
        <v>42946.878692129627</v>
      </c>
      <c r="J136" s="7">
        <v>0</v>
      </c>
      <c r="K136" s="89" t="str">
        <f t="shared" si="25"/>
        <v>4065/4066</v>
      </c>
      <c r="L136" s="21" t="str">
        <f>VLOOKUP(A136,'Trips&amp;Operators'!$C$1:$G$99999,5,FALSE)</f>
        <v>SMITH MICHAEL</v>
      </c>
      <c r="M136" s="6">
        <f t="shared" si="26"/>
        <v>2.6238425925839692E-2</v>
      </c>
      <c r="N136" s="7">
        <f t="shared" si="44"/>
        <v>37.783333333209157</v>
      </c>
      <c r="O136" s="7"/>
      <c r="P136" s="7"/>
      <c r="Q136" s="22"/>
      <c r="R136" s="170"/>
      <c r="S136" s="213">
        <f t="shared" si="27"/>
        <v>1</v>
      </c>
      <c r="T136" s="195" t="str">
        <f t="shared" si="28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29"/>
        <v>https://d0f6bd738d7f1b3e5a7ca70fe4ff75f0.us-east-1.aws.found.io/app/kibana#/discover/Steve-Slow-Train-Analysis-(2080s-and-2083s)?_g=(refreshInterval:(display:Off,pause:!f,section:0,value:0),time:(from:'2017-07-30T19:13:58-0600',mode:absolute,to:'2017-07-30T22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36" s="197" t="str">
        <f>IF(AA136&lt;VLOOKUP(AG136,Variables!$AC$3:$AD$8,2,FALSE),"Y","N")</f>
        <v>N</v>
      </c>
      <c r="X136" s="197">
        <f t="shared" si="43"/>
        <v>1</v>
      </c>
      <c r="Y136" s="197">
        <f t="shared" si="30"/>
        <v>23.298400000000001</v>
      </c>
      <c r="Z136" s="197">
        <f t="shared" si="31"/>
        <v>1.47E-2</v>
      </c>
      <c r="AA136" s="197">
        <f t="shared" si="32"/>
        <v>23.2837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3"/>
        <v>224</v>
      </c>
      <c r="AE136" s="77" t="str">
        <f t="shared" si="34"/>
        <v>aws s3 cp s3://rtdc.mdm.uploadarchive.raw/RTDC4065/ "%USERPROFILE%\AppData\Local\Temp\OnboardLogs"\RTDC4065\2017-07-30 --exclude "*" --recursive --include "*20170730*" &amp; "%USERPROFILE%\Documents\GitHub\mrs-test-scripts\Headless Mode &amp; Sideloading\WalkAndUnGZ.bat" "%USERPROFILE%\AppData\Local\Temp\OnboardLogs"\RTDC4065\2017-07-30 &amp; aws s3 cp s3://rtdc.mdm.uploadarchive.raw/RTDC4065/ "%USERPROFILE%\AppData\Local\Temp\OnboardLogs"\RTDC4065\2017-07-31 --exclude "*" --recursive --include "*20170731*" &amp; "%USERPROFILE%\Documents\GitHub\mrs-test-scripts\Headless Mode &amp; Sideloading\WalkAndUnGZ.bat" "%USERPROFILE%\AppData\Local\Temp\OnboardLogs"\RTDC4065\2017-07-31</v>
      </c>
      <c r="AF136" s="74" t="str">
        <f t="shared" si="35"/>
        <v>"C:\Program Files (x86)\AstroGrep\AstroGrep.exe" /e /r /s /spath="%USERPROFILE%\AppData\Local\Temp\OnboardLogs" /stypes="app*4065*20170731*" /stext=" 03:.+((SYSTEM_STATE.+slice.+state.+changed )|(ment ac)|(multiple cpu faults)|(system.+state.+changed )|(\[timeout)|(PRM\|1\|D)|(kpr)|(kdp)|(train st.+moving)|(\|lc)|(penalty))"</v>
      </c>
      <c r="AG136" s="209" t="str">
        <f t="shared" si="36"/>
        <v>EC</v>
      </c>
      <c r="AH136" s="78" t="str">
        <f t="shared" si="37"/>
        <v>"%USERPROFILE%\Documents\GitHub\eaglep3\Utilities\RefineRTDCRunTimes.py" --tripid 224-30 --locoid 4065 --swversion DE.1.0.9.0 --startMP 204:232984 --initTime 2017-07-30T20:13:58 --startdatetime 2017-07-30T20:27:32 --delay 1 --endMP 204:147 --enddatetime 2017-07-30T21:05:19 --enforcementcount 0 &gt;&gt;C:\Users\stu\Documents\GitHub\eaglep3-reporting\EC\2017-07-30-refined-times.txt</v>
      </c>
      <c r="AI136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{"issue":{"subject":"","project_id":79,"tracker_id":40,"status_id":1,"priority_id":2,"assigned_to_id":23,"start_date":"2017-07-30","description":"","custom_fields":[{"id":1,"name":"Subdivision","value":"EC"},{"id":4,"name":"Milepost","value":"0.0147"},{"id":17,"name":"Train ID","value":"224-30"},{"id":16,"name":"Locomotive ID","value":"4065"},{"id":130,"name":"Impact","value":""},{"id":150,"name":"Time of Event (Mountain Time)","value":"21:05:19"},{"id":151,"name":"Denver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39"/>
        <v>start /low /b %USERPROFILE%\Documents\GitHub\eaglep3\Utilities\DownloadLogsFromS3.py --loco 4065 --day 2017-07-30</v>
      </c>
      <c r="AN136" s="151" t="str">
        <f t="shared" si="4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03:05:19"},{"id":29,"name":"Sharepoint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834</v>
      </c>
      <c r="B137" s="7">
        <v>4032</v>
      </c>
      <c r="C137" s="21" t="s">
        <v>198</v>
      </c>
      <c r="D137" s="21" t="s">
        <v>598</v>
      </c>
      <c r="E137" s="13">
        <v>42946.830972222226</v>
      </c>
      <c r="F137" s="13">
        <v>42946.833877314813</v>
      </c>
      <c r="G137" s="7">
        <v>1</v>
      </c>
      <c r="H137" s="21" t="s">
        <v>597</v>
      </c>
      <c r="I137" s="13">
        <v>42946.859131944446</v>
      </c>
      <c r="J137" s="7">
        <v>0</v>
      </c>
      <c r="K137" s="89" t="str">
        <f t="shared" si="25"/>
        <v>4031/4032</v>
      </c>
      <c r="L137" s="21" t="str">
        <f>VLOOKUP(A137,'Trips&amp;Operators'!$C$1:$G$99999,5,FALSE)</f>
        <v>PERKINS DARREN</v>
      </c>
      <c r="M137" s="6">
        <f t="shared" si="26"/>
        <v>2.5254629632399883E-2</v>
      </c>
      <c r="N137" s="7">
        <f t="shared" si="44"/>
        <v>36.366666670655832</v>
      </c>
      <c r="O137" s="7"/>
      <c r="P137" s="7"/>
      <c r="Q137" s="22"/>
      <c r="R137" s="170"/>
      <c r="S137" s="213">
        <f t="shared" si="27"/>
        <v>1</v>
      </c>
      <c r="T137" s="195" t="str">
        <f t="shared" si="28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29"/>
        <v>https://d0f6bd738d7f1b3e5a7ca70fe4ff75f0.us-east-1.aws.found.io/app/kibana#/discover/Steve-Slow-Train-Analysis-(2080s-and-2083s)?_g=(refreshInterval:(display:Off,pause:!f,section:0,value:0),time:(from:'2017-07-30T18:56:36-0600',mode:absolute,to:'2017-07-30T21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7" s="197" t="str">
        <f>IF(AA137&lt;VLOOKUP(AG137,Variables!$AC$3:$AD$8,2,FALSE),"Y","N")</f>
        <v>N</v>
      </c>
      <c r="X137" s="197">
        <f t="shared" si="43"/>
        <v>1</v>
      </c>
      <c r="Y137" s="197">
        <f t="shared" si="30"/>
        <v>4.3299999999999998E-2</v>
      </c>
      <c r="Z137" s="197">
        <f t="shared" si="31"/>
        <v>23.334900000000001</v>
      </c>
      <c r="AA137" s="197">
        <f t="shared" si="32"/>
        <v>23.291600000000003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3"/>
        <v>225</v>
      </c>
      <c r="AE137" s="77" t="str">
        <f t="shared" si="34"/>
        <v>aws s3 cp s3://rtdc.mdm.uploadarchive.raw/RTDC4032/ "%USERPROFILE%\AppData\Local\Temp\OnboardLogs"\RTDC4032\2017-07-30 --exclude "*" --recursive --include "*20170730*" &amp; "%USERPROFILE%\Documents\GitHub\mrs-test-scripts\Headless Mode &amp; Sideloading\WalkAndUnGZ.bat" "%USERPROFILE%\AppData\Local\Temp\OnboardLogs"\RTDC4032\2017-07-30 &amp; aws s3 cp s3://rtdc.mdm.uploadarchive.raw/RTDC4032/ "%USERPROFILE%\AppData\Local\Temp\OnboardLogs"\RTDC4032\2017-07-31 --exclude "*" --recursive --include "*20170731*" &amp; "%USERPROFILE%\Documents\GitHub\mrs-test-scripts\Headless Mode &amp; Sideloading\WalkAndUnGZ.bat" "%USERPROFILE%\AppData\Local\Temp\OnboardLogs"\RTDC4032\2017-07-31</v>
      </c>
      <c r="AF137" s="74" t="str">
        <f t="shared" si="35"/>
        <v>"C:\Program Files (x86)\AstroGrep\AstroGrep.exe" /e /r /s /spath="%USERPROFILE%\AppData\Local\Temp\OnboardLogs" /stypes="app*4032*20170731*" /stext=" 02:.+((SYSTEM_STATE.+slice.+state.+changed )|(ment ac)|(multiple cpu faults)|(system.+state.+changed )|(\[timeout)|(PRM\|1\|D)|(kpr)|(kdp)|(train st.+moving)|(\|lc)|(penalty))"</v>
      </c>
      <c r="AG137" s="209" t="str">
        <f t="shared" si="36"/>
        <v>EC</v>
      </c>
      <c r="AH137" s="78" t="str">
        <f t="shared" si="37"/>
        <v>"%USERPROFILE%\Documents\GitHub\eaglep3\Utilities\RefineRTDCRunTimes.py" --tripid 225-30 --locoid 4032 --swversion DE.1.0.9.0 --startMP 204:433 --initTime 2017-07-30T19:56:36 --startdatetime 2017-07-30T20:00:47 --delay 1 --endMP 204:233349 --enddatetime 2017-07-30T20:37:09 --enforcementcount 0 &gt;&gt;C:\Users\stu\Documents\GitHub\eaglep3-reporting\EC\2017-07-30-refined-times.txt</v>
      </c>
      <c r="AI137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{"issue":{"subject":"","project_id":79,"tracker_id":40,"status_id":1,"priority_id":2,"assigned_to_id":23,"start_date":"2017-07-30","description":"","custom_fields":[{"id":1,"name":"Subdivision","value":"EC"},{"id":4,"name":"Milepost","value":"23.3349"},{"id":17,"name":"Train ID","value":"225-30"},{"id":16,"name":"Locomotive ID","value":"4032"},{"id":130,"name":"Impact","value":""},{"id":150,"name":"Time of Event (Mountain Time)","value":"20:37:09"},{"id":151,"name":"Denver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39"/>
        <v>start /low /b %USERPROFILE%\Documents\GitHub\eaglep3\Utilities\DownloadLogsFromS3.py --loco 4032 --day 2017-07-30</v>
      </c>
      <c r="AN137" s="151" t="str">
        <f t="shared" si="4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02:37:09"},{"id":29,"name":"Sharepoint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842</v>
      </c>
      <c r="B138" s="7">
        <v>4031</v>
      </c>
      <c r="C138" s="21" t="s">
        <v>198</v>
      </c>
      <c r="D138" s="21" t="s">
        <v>886</v>
      </c>
      <c r="E138" s="13">
        <v>42946.865104166667</v>
      </c>
      <c r="F138" s="13">
        <v>42946.873101851852</v>
      </c>
      <c r="G138" s="7">
        <v>1</v>
      </c>
      <c r="H138" s="21" t="s">
        <v>582</v>
      </c>
      <c r="I138" s="13">
        <v>42946.899710648147</v>
      </c>
      <c r="J138" s="7">
        <v>0</v>
      </c>
      <c r="K138" s="89" t="str">
        <f t="shared" si="25"/>
        <v>4031/4032</v>
      </c>
      <c r="L138" s="21" t="str">
        <f>VLOOKUP(A138,'Trips&amp;Operators'!$C$1:$G$99999,5,FALSE)</f>
        <v>PERKINS DARREN</v>
      </c>
      <c r="M138" s="6">
        <f t="shared" si="26"/>
        <v>2.6608796295477077E-2</v>
      </c>
      <c r="N138" s="7">
        <f t="shared" si="44"/>
        <v>38.316666665486991</v>
      </c>
      <c r="O138" s="7"/>
      <c r="P138" s="7"/>
      <c r="Q138" s="22"/>
      <c r="R138" s="170"/>
      <c r="S138" s="213">
        <f t="shared" si="27"/>
        <v>1</v>
      </c>
      <c r="T138" s="195" t="str">
        <f t="shared" si="28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29"/>
        <v>https://d0f6bd738d7f1b3e5a7ca70fe4ff75f0.us-east-1.aws.found.io/app/kibana#/discover/Steve-Slow-Train-Analysis-(2080s-and-2083s)?_g=(refreshInterval:(display:Off,pause:!f,section:0,value:0),time:(from:'2017-07-30T19:45:45-0600',mode:absolute,to:'2017-07-30T22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8" s="197" t="str">
        <f>IF(AA138&lt;VLOOKUP(AG138,Variables!$AC$3:$AD$8,2,FALSE),"Y","N")</f>
        <v>N</v>
      </c>
      <c r="X138" s="197">
        <f t="shared" si="43"/>
        <v>1</v>
      </c>
      <c r="Y138" s="197">
        <f t="shared" si="30"/>
        <v>23.301500000000001</v>
      </c>
      <c r="Z138" s="197">
        <f t="shared" si="31"/>
        <v>1.2999999999999999E-2</v>
      </c>
      <c r="AA138" s="197">
        <f t="shared" si="32"/>
        <v>23.288499999999999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3"/>
        <v>226</v>
      </c>
      <c r="AE138" s="77" t="str">
        <f t="shared" si="34"/>
        <v>aws s3 cp s3://rtdc.mdm.uploadarchive.raw/RTDC4031/ "%USERPROFILE%\AppData\Local\Temp\OnboardLogs"\RTDC4031\2017-07-30 --exclude "*" --recursive --include "*20170730*" &amp; "%USERPROFILE%\Documents\GitHub\mrs-test-scripts\Headless Mode &amp; Sideloading\WalkAndUnGZ.bat" "%USERPROFILE%\AppData\Local\Temp\OnboardLogs"\RTDC4031\2017-07-30 &amp; aws s3 cp s3://rtdc.mdm.uploadarchive.raw/RTDC4031/ "%USERPROFILE%\AppData\Local\Temp\OnboardLogs"\RTDC4031\2017-07-31 --exclude "*" --recursive --include "*20170731*" &amp; "%USERPROFILE%\Documents\GitHub\mrs-test-scripts\Headless Mode &amp; Sideloading\WalkAndUnGZ.bat" "%USERPROFILE%\AppData\Local\Temp\OnboardLogs"\RTDC4031\2017-07-31</v>
      </c>
      <c r="AF138" s="74" t="str">
        <f t="shared" si="35"/>
        <v>"C:\Program Files (x86)\AstroGrep\AstroGrep.exe" /e /r /s /spath="%USERPROFILE%\AppData\Local\Temp\OnboardLogs" /stypes="app*4031*20170731*" /stext=" 03:.+((SYSTEM_STATE.+slice.+state.+changed )|(ment ac)|(multiple cpu faults)|(system.+state.+changed )|(\[timeout)|(PRM\|1\|D)|(kpr)|(kdp)|(train st.+moving)|(\|lc)|(penalty))"</v>
      </c>
      <c r="AG138" s="209" t="str">
        <f t="shared" si="36"/>
        <v>EC</v>
      </c>
      <c r="AH138" s="78" t="str">
        <f t="shared" si="37"/>
        <v>"%USERPROFILE%\Documents\GitHub\eaglep3\Utilities\RefineRTDCRunTimes.py" --tripid 226-30 --locoid 4031 --swversion DE.1.0.9.0 --startMP 204:233015 --initTime 2017-07-30T20:45:45 --startdatetime 2017-07-30T20:57:16 --delay 1 --endMP 204:130 --enddatetime 2017-07-30T21:35:35 --enforcementcount 0 &gt;&gt;C:\Users\stu\Documents\GitHub\eaglep3-reporting\EC\2017-07-30-refined-times.txt</v>
      </c>
      <c r="AI138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{"issue":{"subject":"","project_id":79,"tracker_id":40,"status_id":1,"priority_id":2,"assigned_to_id":23,"start_date":"2017-07-30","description":"","custom_fields":[{"id":1,"name":"Subdivision","value":"EC"},{"id":4,"name":"Milepost","value":"0.013"},{"id":17,"name":"Train ID","value":"226-30"},{"id":16,"name":"Locomotive ID","value":"4031"},{"id":130,"name":"Impact","value":""},{"id":150,"name":"Time of Event (Mountain Time)","value":"21:35:35"},{"id":151,"name":"Denver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39"/>
        <v>start /low /b %USERPROFILE%\Documents\GitHub\eaglep3\Utilities\DownloadLogsFromS3.py --loco 4031 --day 2017-07-30</v>
      </c>
      <c r="AN138" s="151" t="str">
        <f t="shared" si="4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03:35:35"},{"id":29,"name":"Sharepoint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836</v>
      </c>
      <c r="B139" s="7">
        <v>4054</v>
      </c>
      <c r="C139" s="21" t="s">
        <v>198</v>
      </c>
      <c r="D139" s="21" t="s">
        <v>987</v>
      </c>
      <c r="E139" s="13">
        <v>42946.844872685186</v>
      </c>
      <c r="F139" s="13">
        <v>42946.854768518519</v>
      </c>
      <c r="G139" s="7">
        <v>2</v>
      </c>
      <c r="H139" s="21" t="s">
        <v>922</v>
      </c>
      <c r="I139" s="13">
        <v>42946.880648148152</v>
      </c>
      <c r="J139" s="7">
        <v>0</v>
      </c>
      <c r="K139" s="89" t="str">
        <f t="shared" si="25"/>
        <v>4053/4054</v>
      </c>
      <c r="L139" s="21" t="str">
        <f>VLOOKUP(A139,'Trips&amp;Operators'!$C$1:$G$99999,5,FALSE)</f>
        <v>MILLER KEVIN</v>
      </c>
      <c r="M139" s="6">
        <f t="shared" si="26"/>
        <v>2.587962963298196E-2</v>
      </c>
      <c r="N139" s="7">
        <f t="shared" si="44"/>
        <v>37.266666671494022</v>
      </c>
      <c r="O139" s="7"/>
      <c r="P139" s="7"/>
      <c r="Q139" s="22"/>
      <c r="R139" s="170"/>
      <c r="S139" s="213">
        <f t="shared" si="27"/>
        <v>1</v>
      </c>
      <c r="T139" s="195" t="str">
        <f t="shared" si="28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29"/>
        <v>https://d0f6bd738d7f1b3e5a7ca70fe4ff75f0.us-east-1.aws.found.io/app/kibana#/discover/Steve-Slow-Train-Analysis-(2080s-and-2083s)?_g=(refreshInterval:(display:Off,pause:!f,section:0,value:0),time:(from:'2017-07-30T19:16:37-0600',mode:absolute,to:'2017-07-30T22:08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9" s="197" t="str">
        <f>IF(AA139&lt;VLOOKUP(AG139,Variables!$AC$3:$AD$8,2,FALSE),"Y","N")</f>
        <v>N</v>
      </c>
      <c r="X139" s="197">
        <f t="shared" si="43"/>
        <v>1</v>
      </c>
      <c r="Y139" s="197">
        <f t="shared" si="30"/>
        <v>0.1154</v>
      </c>
      <c r="Z139" s="197">
        <f t="shared" si="31"/>
        <v>23.3322</v>
      </c>
      <c r="AA139" s="197">
        <f t="shared" si="32"/>
        <v>23.216799999999999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3"/>
        <v>227</v>
      </c>
      <c r="AE139" s="77" t="str">
        <f t="shared" si="34"/>
        <v>aws s3 cp s3://rtdc.mdm.uploadarchive.raw/RTDC4054/ "%USERPROFILE%\AppData\Local\Temp\OnboardLogs"\RTDC4054\2017-07-30 --exclude "*" --recursive --include "*20170730*" &amp; "%USERPROFILE%\Documents\GitHub\mrs-test-scripts\Headless Mode &amp; Sideloading\WalkAndUnGZ.bat" "%USERPROFILE%\AppData\Local\Temp\OnboardLogs"\RTDC4054\2017-07-30 &amp; aws s3 cp s3://rtdc.mdm.uploadarchive.raw/RTDC4054/ "%USERPROFILE%\AppData\Local\Temp\OnboardLogs"\RTDC4054\2017-07-31 --exclude "*" --recursive --include "*20170731*" &amp; "%USERPROFILE%\Documents\GitHub\mrs-test-scripts\Headless Mode &amp; Sideloading\WalkAndUnGZ.bat" "%USERPROFILE%\AppData\Local\Temp\OnboardLogs"\RTDC4054\2017-07-31</v>
      </c>
      <c r="AF139" s="74" t="str">
        <f t="shared" si="35"/>
        <v>"C:\Program Files (x86)\AstroGrep\AstroGrep.exe" /e /r /s /spath="%USERPROFILE%\AppData\Local\Temp\OnboardLogs" /stypes="app*4054*20170731*" /stext=" 03:.+((SYSTEM_STATE.+slice.+state.+changed )|(ment ac)|(multiple cpu faults)|(system.+state.+changed )|(\[timeout)|(PRM\|1\|D)|(kpr)|(kdp)|(train st.+moving)|(\|lc)|(penalty))"</v>
      </c>
      <c r="AG139" s="209" t="str">
        <f t="shared" si="36"/>
        <v>EC</v>
      </c>
      <c r="AH139" s="78" t="str">
        <f t="shared" si="37"/>
        <v>"%USERPROFILE%\Documents\GitHub\eaglep3\Utilities\RefineRTDCRunTimes.py" --tripid 227-30 --locoid 4054 --swversion DE.1.0.9.0 --startMP 204:1154 --initTime 2017-07-30T20:16:37 --startdatetime 2017-07-30T20:30:52 --delay 2 --endMP 204:233322 --enddatetime 2017-07-30T21:08:08 --enforcementcount 0 &gt;&gt;C:\Users\stu\Documents\GitHub\eaglep3-reporting\EC\2017-07-30-refined-times.txt</v>
      </c>
      <c r="AI139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{"issue":{"subject":"","project_id":79,"tracker_id":40,"status_id":1,"priority_id":2,"assigned_to_id":23,"start_date":"2017-07-30","description":"","custom_fields":[{"id":1,"name":"Subdivision","value":"EC"},{"id":4,"name":"Milepost","value":"23.3322"},{"id":17,"name":"Train ID","value":"227-30"},{"id":16,"name":"Locomotive ID","value":"4054"},{"id":130,"name":"Impact","value":""},{"id":150,"name":"Time of Event (Mountain Time)","value":"21:08:08"},{"id":151,"name":"Denver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39"/>
        <v>start /low /b %USERPROFILE%\Documents\GitHub\eaglep3\Utilities\DownloadLogsFromS3.py --loco 4054 --day 2017-07-30</v>
      </c>
      <c r="AN139" s="151" t="str">
        <f t="shared" si="4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03:08:08"},{"id":29,"name":"Sharepoint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844</v>
      </c>
      <c r="B140" s="7">
        <v>4053</v>
      </c>
      <c r="C140" s="21" t="s">
        <v>198</v>
      </c>
      <c r="D140" s="21" t="s">
        <v>448</v>
      </c>
      <c r="E140" s="13">
        <v>42946.892939814818</v>
      </c>
      <c r="F140" s="13">
        <v>42946.894618055558</v>
      </c>
      <c r="G140" s="7">
        <v>1</v>
      </c>
      <c r="H140" s="21" t="s">
        <v>449</v>
      </c>
      <c r="I140" s="13">
        <v>42946.921354166669</v>
      </c>
      <c r="J140" s="7">
        <v>0</v>
      </c>
      <c r="K140" s="89" t="str">
        <f t="shared" si="25"/>
        <v>4053/4054</v>
      </c>
      <c r="L140" s="21" t="str">
        <f>VLOOKUP(A140,'Trips&amp;Operators'!$C$1:$G$99999,5,FALSE)</f>
        <v>MILLER KEVIN</v>
      </c>
      <c r="M140" s="6">
        <f t="shared" si="26"/>
        <v>2.6736111110949423E-2</v>
      </c>
      <c r="N140" s="7">
        <f t="shared" si="44"/>
        <v>38.499999999767169</v>
      </c>
      <c r="O140" s="7"/>
      <c r="P140" s="7"/>
      <c r="Q140" s="22"/>
      <c r="R140" s="170"/>
      <c r="S140" s="213">
        <f t="shared" si="27"/>
        <v>1</v>
      </c>
      <c r="T140" s="195" t="str">
        <f t="shared" si="28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29"/>
        <v>https://d0f6bd738d7f1b3e5a7ca70fe4ff75f0.us-east-1.aws.found.io/app/kibana#/discover/Steve-Slow-Train-Analysis-(2080s-and-2083s)?_g=(refreshInterval:(display:Off,pause:!f,section:0,value:0),time:(from:'2017-07-30T20:25:50-0600',mode:absolute,to:'2017-07-30T23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0" s="197" t="str">
        <f>IF(AA140&lt;VLOOKUP(AG140,Variables!$AC$3:$AD$8,2,FALSE),"Y","N")</f>
        <v>N</v>
      </c>
      <c r="X140" s="197">
        <f t="shared" si="43"/>
        <v>1</v>
      </c>
      <c r="Y140" s="197">
        <f t="shared" si="30"/>
        <v>23.299399999999999</v>
      </c>
      <c r="Z140" s="197">
        <f t="shared" si="31"/>
        <v>1.52E-2</v>
      </c>
      <c r="AA140" s="197">
        <f t="shared" si="32"/>
        <v>23.284199999999998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3"/>
        <v>228</v>
      </c>
      <c r="AE140" s="77" t="str">
        <f t="shared" si="34"/>
        <v>aws s3 cp s3://rtdc.mdm.uploadarchive.raw/RTDC4053/ "%USERPROFILE%\AppData\Local\Temp\OnboardLogs"\RTDC4053\2017-07-30 --exclude "*" --recursive --include "*20170730*" &amp; "%USERPROFILE%\Documents\GitHub\mrs-test-scripts\Headless Mode &amp; Sideloading\WalkAndUnGZ.bat" "%USERPROFILE%\AppData\Local\Temp\OnboardLogs"\RTDC4053\2017-07-30 &amp; aws s3 cp s3://rtdc.mdm.uploadarchive.raw/RTDC4053/ "%USERPROFILE%\AppData\Local\Temp\OnboardLogs"\RTDC4053\2017-07-31 --exclude "*" --recursive --include "*20170731*" &amp; "%USERPROFILE%\Documents\GitHub\mrs-test-scripts\Headless Mode &amp; Sideloading\WalkAndUnGZ.bat" "%USERPROFILE%\AppData\Local\Temp\OnboardLogs"\RTDC4053\2017-07-31</v>
      </c>
      <c r="AF140" s="74" t="str">
        <f t="shared" si="35"/>
        <v>"C:\Program Files (x86)\AstroGrep\AstroGrep.exe" /e /r /s /spath="%USERPROFILE%\AppData\Local\Temp\OnboardLogs" /stypes="app*4053*20170731*" /stext=" 04:.+((SYSTEM_STATE.+slice.+state.+changed )|(ment ac)|(multiple cpu faults)|(system.+state.+changed )|(\[timeout)|(PRM\|1\|D)|(kpr)|(kdp)|(train st.+moving)|(\|lc)|(penalty))"</v>
      </c>
      <c r="AG140" s="209" t="str">
        <f t="shared" si="36"/>
        <v>EC</v>
      </c>
      <c r="AH140" s="78" t="str">
        <f t="shared" si="37"/>
        <v>"%USERPROFILE%\Documents\GitHub\eaglep3\Utilities\RefineRTDCRunTimes.py" --tripid 228-30 --locoid 4053 --swversion DE.1.0.9.0 --startMP 204:232994 --initTime 2017-07-30T21:25:50 --startdatetime 2017-07-30T21:28:15 --delay 1 --endMP 204:152 --enddatetime 2017-07-30T22:06:45 --enforcementcount 0 &gt;&gt;C:\Users\stu\Documents\GitHub\eaglep3-reporting\EC\2017-07-30-refined-times.txt</v>
      </c>
      <c r="AI140" s="96" t="str">
        <f t="shared" si="38"/>
        <v>echo {"issue":{"subject":"","project_id":79,"tracker_id":40,"status_id":1,"priority_id":2,"assigned_to_id":23,"start_date":"2017-07-30","description":"","custom_fields":[{"id":1,"name":"Subdivision","value":"EC"},{"id":4,"name":"Milepost","value":"0.0152"},{"id":17,"name":"Train ID","value":"228-30"},{"id":16,"name":"Locomotive ID","value":"4053"},{"id":130,"name":"Impact","value":""},{"id":150,"name":"Time of Event (Mountain Time)","value":"22:06:45"},{"id":151,"name":"Denver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39"/>
        <v>start /low /b %USERPROFILE%\Documents\GitHub\eaglep3\Utilities\DownloadLogsFromS3.py --loco 4053 --day 2017-07-30</v>
      </c>
      <c r="AN140" s="151" t="str">
        <f t="shared" si="4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04:06:45"},{"id":29,"name":"Sharepoint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841</v>
      </c>
      <c r="B141" s="7">
        <v>4004</v>
      </c>
      <c r="C141" s="21" t="s">
        <v>198</v>
      </c>
      <c r="D141" s="21" t="s">
        <v>409</v>
      </c>
      <c r="E141" s="13">
        <v>42946.860648148147</v>
      </c>
      <c r="F141" s="13">
        <v>42946.875775462962</v>
      </c>
      <c r="G141" s="7">
        <v>1</v>
      </c>
      <c r="H141" s="21" t="s">
        <v>988</v>
      </c>
      <c r="I141" s="13">
        <v>42946.900555555556</v>
      </c>
      <c r="J141" s="7">
        <v>0</v>
      </c>
      <c r="K141" s="89" t="str">
        <f t="shared" ref="K141:K204" si="45">IF(ISEVEN(B141),(B141-1)&amp;"/"&amp;B141,B141&amp;"/"&amp;(B141+1))</f>
        <v>4003/4004</v>
      </c>
      <c r="L141" s="21" t="str">
        <f>VLOOKUP(A141,'Trips&amp;Operators'!$C$1:$G$99999,5,FALSE)</f>
        <v>STAMBAUGH JAMES</v>
      </c>
      <c r="M141" s="6">
        <f t="shared" ref="M141:M204" si="46">I141-F141</f>
        <v>2.4780092593573499E-2</v>
      </c>
      <c r="N141" s="7">
        <f t="shared" si="44"/>
        <v>35.683333334745839</v>
      </c>
      <c r="O141" s="7"/>
      <c r="P141" s="7"/>
      <c r="Q141" s="22"/>
      <c r="R141" s="170"/>
      <c r="S141" s="213">
        <f t="shared" ref="S141:S204" si="47">1/IF(AG141="EC",12,1)*SUM(U141:U141)</f>
        <v>1</v>
      </c>
      <c r="T141" s="195" t="str">
        <f t="shared" ref="T141:T204" si="48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4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-07-30T19:39:20-0600',mode:absolute,to:'2017-07-30T22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1" s="197" t="str">
        <f>IF(AA141&lt;VLOOKUP(AG141,Variables!$AC$3:$AD$8,2,FALSE),"Y","N")</f>
        <v>N</v>
      </c>
      <c r="X141" s="197">
        <f t="shared" si="43"/>
        <v>1</v>
      </c>
      <c r="Y141" s="197">
        <f t="shared" ref="Y141:Y204" si="50">RIGHT(D141,LEN(D141)-4)/10000</f>
        <v>4.3499999999999997E-2</v>
      </c>
      <c r="Z141" s="197">
        <f t="shared" ref="Z141:Z204" si="51">RIGHT(H141,LEN(H141)-4)/10000</f>
        <v>23.342400000000001</v>
      </c>
      <c r="AA141" s="197">
        <f t="shared" ref="AA141:AA204" si="52">ABS(Z141-Y141)</f>
        <v>23.2989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53">VALUE(LEFT(A141,LEN(A141)-3))</f>
        <v>229</v>
      </c>
      <c r="AE141" s="77" t="str">
        <f t="shared" ref="AE141:AE204" si="54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s3://rtdc.mdm.uploadarchive.raw/RTDC4004/ "%USERPROFILE%\AppData\Local\Temp\OnboardLogs"\RTDC4004\2017-07-30 --exclude "*" --recursive --include "*20170730*" &amp; "%USERPROFILE%\Documents\GitHub\mrs-test-scripts\Headless Mode &amp; Sideloading\WalkAndUnGZ.bat" "%USERPROFILE%\AppData\Local\Temp\OnboardLogs"\RTDC4004\2017-07-30 &amp; aws s3 cp s3://rtdc.mdm.uploadarchive.raw/RTDC4004/ "%USERPROFILE%\AppData\Local\Temp\OnboardLogs"\RTDC4004\2017-07-31 --exclude "*" --recursive --include "*20170731*" &amp; "%USERPROFILE%\Documents\GitHub\mrs-test-scripts\Headless Mode &amp; Sideloading\WalkAndUnGZ.bat" "%USERPROFILE%\AppData\Local\Temp\OnboardLogs"\RTDC4004\2017-07-31</v>
      </c>
      <c r="AF141" s="74" t="str">
        <f t="shared" ref="AF141:AF204" si="55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/stypes="app*4004*20170731*" /stext=" 03:.+((SYSTEM_STATE.+slice.+state.+changed )|(ment ac)|(multiple cpu faults)|(system.+state.+changed )|(\[timeout)|(PRM\|1\|D)|(kpr)|(kdp)|(train st.+moving)|(\|lc)|(penalty))"</v>
      </c>
      <c r="AG141" s="209" t="str">
        <f t="shared" ref="AG141:AG204" si="56">DetSubdiv(A141)</f>
        <v>EC</v>
      </c>
      <c r="AH141" s="78" t="str">
        <f t="shared" ref="AH141:AH203" si="57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229-30 --locoid 4004 --swversion DE.1.0.9.0 --startMP 204:435 --initTime 2017-07-30T20:39:20 --startdatetime 2017-07-30T21:01:07 --delay 1 --endMP 204:233424 --enddatetime 2017-07-30T21:36:48 --enforcementcount 0 &gt;&gt;C:\Users\stu\Documents\GitHub\eaglep3-reporting\EC\2017-07-30-refined-times.txt</v>
      </c>
      <c r="AI141" s="96" t="str">
        <f t="shared" ref="AI141:AI203" si="58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{"issue":{"subject":"","project_id":79,"tracker_id":40,"status_id":1,"priority_id":2,"assigned_to_id":23,"start_date":"2017-07-30","description":"","custom_fields":[{"id":1,"name":"Subdivision","value":"EC"},{"id":4,"name":"Milepost","value":"23.3424"},{"id":17,"name":"Train ID","value":"229-30"},{"id":16,"name":"Locomotive ID","value":"4004"},{"id":130,"name":"Impact","value":""},{"id":150,"name":"Time of Event (Mountain Time)","value":"21:36:48"},{"id":151,"name":"Denver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ref="AM141:AM203" si="59">"start /low /b "&amp;dls3logs&amp;" --loco "&amp;B141&amp;" --day "&amp;TEXT(F141,"YYYY-MM-DD")</f>
        <v>start /low /b %USERPROFILE%\Documents\GitHub\eaglep3\Utilities\DownloadLogsFromS3.py --loco 4004 --day 2017-07-30</v>
      </c>
      <c r="AN141" s="151" t="str">
        <f t="shared" ref="AN141:AN203" si="60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03:36:48"},{"id":29,"name":"Sharepoint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846</v>
      </c>
      <c r="B142" s="7">
        <v>4003</v>
      </c>
      <c r="C142" s="21" t="s">
        <v>198</v>
      </c>
      <c r="D142" s="21" t="s">
        <v>591</v>
      </c>
      <c r="E142" s="13">
        <v>42946.911168981482</v>
      </c>
      <c r="F142" s="13">
        <v>42946.915011574078</v>
      </c>
      <c r="G142" s="7">
        <v>0</v>
      </c>
      <c r="H142" s="21">
        <v>8.5361111111111114</v>
      </c>
      <c r="I142" s="13">
        <v>42946.940775462965</v>
      </c>
      <c r="J142" s="7">
        <v>0</v>
      </c>
      <c r="K142" s="89" t="str">
        <f t="shared" si="45"/>
        <v>4003/4004</v>
      </c>
      <c r="L142" s="21" t="str">
        <f>VLOOKUP(A142,'Trips&amp;Operators'!$C$1:$G$99999,5,FALSE)</f>
        <v>STAMBAUGH JAMES</v>
      </c>
      <c r="M142" s="6">
        <f t="shared" si="46"/>
        <v>2.5763888887013309E-2</v>
      </c>
      <c r="N142" s="7">
        <f t="shared" si="44"/>
        <v>37.099999997299165</v>
      </c>
      <c r="O142" s="7"/>
      <c r="P142" s="7"/>
      <c r="Q142" s="22"/>
      <c r="R142" s="170"/>
      <c r="S142" s="213">
        <f t="shared" si="47"/>
        <v>0</v>
      </c>
      <c r="T142" s="195" t="str">
        <f t="shared" si="48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0</v>
      </c>
      <c r="V142" s="196" t="str">
        <f t="shared" si="49"/>
        <v>https://d0f6bd738d7f1b3e5a7ca70fe4ff75f0.us-east-1.aws.found.io/app/kibana#/discover/Steve-Slow-Train-Analysis-(2080s-and-2083s)?_g=(refreshInterval:(display:Off,pause:!f,section:0,value:0),time:(from:'2017-07-30T20:52:05-0600',mode:absolute,to:'2017-07-30T23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2" s="197" t="str">
        <f>IF(AA142&lt;VLOOKUP(AG142,Variables!$AC$3:$AD$8,2,FALSE),"Y","N")</f>
        <v>N</v>
      </c>
      <c r="X142" s="197">
        <f t="shared" si="43"/>
        <v>1</v>
      </c>
      <c r="Y142" s="197">
        <f t="shared" si="50"/>
        <v>23.312799999999999</v>
      </c>
      <c r="Z142" s="197">
        <f t="shared" si="51"/>
        <v>61111111.111100003</v>
      </c>
      <c r="AA142" s="197">
        <f t="shared" si="52"/>
        <v>61111087.798300005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53"/>
        <v>230</v>
      </c>
      <c r="AE142" s="77" t="str">
        <f t="shared" si="54"/>
        <v>aws s3 cp s3://rtdc.mdm.uploadarchive.raw/RTDC4003/ "%USERPROFILE%\AppData\Local\Temp\OnboardLogs"\RTDC4003\2017-07-30 --exclude "*" --recursive --include "*20170730*" &amp; "%USERPROFILE%\Documents\GitHub\mrs-test-scripts\Headless Mode &amp; Sideloading\WalkAndUnGZ.bat" "%USERPROFILE%\AppData\Local\Temp\OnboardLogs"\RTDC4003\2017-07-30 &amp; aws s3 cp s3://rtdc.mdm.uploadarchive.raw/RTDC4003/ "%USERPROFILE%\AppData\Local\Temp\OnboardLogs"\RTDC4003\2017-07-31 --exclude "*" --recursive --include "*20170731*" &amp; "%USERPROFILE%\Documents\GitHub\mrs-test-scripts\Headless Mode &amp; Sideloading\WalkAndUnGZ.bat" "%USERPROFILE%\AppData\Local\Temp\OnboardLogs"\RTDC4003\2017-07-31</v>
      </c>
      <c r="AF142" s="74" t="str">
        <f t="shared" si="55"/>
        <v>"C:\Program Files (x86)\AstroGrep\AstroGrep.exe" /e /r /s /spath="%USERPROFILE%\AppData\Local\Temp\OnboardLogs" /stypes="app*4003*20170731*" /stext=" 04:.+((SYSTEM_STATE.+slice.+state.+changed )|(ment ac)|(multiple cpu faults)|(system.+state.+changed )|(\[timeout)|(PRM\|1\|D)|(kpr)|(kdp)|(train st.+moving)|(\|lc)|(penalty))"</v>
      </c>
      <c r="AG142" s="209" t="str">
        <f t="shared" si="56"/>
        <v>EC</v>
      </c>
      <c r="AH142" s="78" t="str">
        <f t="shared" si="57"/>
        <v>"%USERPROFILE%\Documents\GitHub\eaglep3\Utilities\RefineRTDCRunTimes.py" --tripid 230-30 --locoid 4003 --swversion DE.1.0.9.0 --startMP 204:233128 --initTime 2017-07-30T21:52:05 --startdatetime 2017-07-30T21:57:37 --delay 0 --endMP 8.53611111111111 --enddatetime 2017-07-30T22:34:43 --enforcementcount 0 &gt;&gt;C:\Users\stu\Documents\GitHub\eaglep3-reporting\EC\2017-07-30-refined-times.txt</v>
      </c>
      <c r="AI142" s="96" t="str">
        <f t="shared" si="58"/>
        <v>echo {"issue":{"subject":"","project_id":79,"tracker_id":40,"status_id":1,"priority_id":2,"assigned_to_id":23,"start_date":"2017-07-30","description":"","custom_fields":[{"id":1,"name":"Subdivision","value":"EC"},{"id":4,"name":"Milepost","value":"61111111.1111"},{"id":17,"name":"Train ID","value":"230-30"},{"id":16,"name":"Locomotive ID","value":"4003"},{"id":130,"name":"Impact","value":""},{"id":150,"name":"Time of Event (Mountain Time)","value":"22:34:43"},{"id":151,"name":"Denver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59"/>
        <v>start /low /b %USERPROFILE%\Documents\GitHub\eaglep3\Utilities\DownloadLogsFromS3.py --loco 4003 --day 2017-07-30</v>
      </c>
      <c r="AN142" s="151" t="str">
        <f t="shared" si="6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04:34:43"},{"id":29,"name":"Sharepoint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843</v>
      </c>
      <c r="B143" s="7">
        <v>4066</v>
      </c>
      <c r="C143" s="21" t="s">
        <v>198</v>
      </c>
      <c r="D143" s="21" t="s">
        <v>395</v>
      </c>
      <c r="E143" s="13">
        <v>42946.882743055554</v>
      </c>
      <c r="F143" s="13">
        <v>42946.89640046296</v>
      </c>
      <c r="G143" s="7">
        <v>1</v>
      </c>
      <c r="H143" s="21" t="s">
        <v>508</v>
      </c>
      <c r="I143" s="13">
        <v>42946.920914351853</v>
      </c>
      <c r="J143" s="7">
        <v>0</v>
      </c>
      <c r="K143" s="89" t="str">
        <f t="shared" si="45"/>
        <v>4065/4066</v>
      </c>
      <c r="L143" s="21" t="str">
        <f>VLOOKUP(A143,'Trips&amp;Operators'!$C$1:$G$99999,5,FALSE)</f>
        <v>SMITH MICHAEL</v>
      </c>
      <c r="M143" s="6">
        <f t="shared" si="46"/>
        <v>2.4513888893125113E-2</v>
      </c>
      <c r="N143" s="7">
        <f t="shared" si="44"/>
        <v>35.300000006100163</v>
      </c>
      <c r="O143" s="7"/>
      <c r="P143" s="7"/>
      <c r="Q143" s="22"/>
      <c r="R143" s="170"/>
      <c r="S143" s="213">
        <f t="shared" si="47"/>
        <v>1</v>
      </c>
      <c r="T143" s="195" t="str">
        <f t="shared" si="48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49"/>
        <v>https://d0f6bd738d7f1b3e5a7ca70fe4ff75f0.us-east-1.aws.found.io/app/kibana#/discover/Steve-Slow-Train-Analysis-(2080s-and-2083s)?_g=(refreshInterval:(display:Off,pause:!f,section:0,value:0),time:(from:'2017-07-30T20:11:09-0600',mode:absolute,to:'2017-07-30T23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43" s="197" t="str">
        <f>IF(AA143&lt;VLOOKUP(AG143,Variables!$AC$3:$AD$8,2,FALSE),"Y","N")</f>
        <v>N</v>
      </c>
      <c r="X143" s="197">
        <f t="shared" si="43"/>
        <v>1</v>
      </c>
      <c r="Y143" s="197">
        <f t="shared" si="50"/>
        <v>4.5499999999999999E-2</v>
      </c>
      <c r="Z143" s="197">
        <f t="shared" si="51"/>
        <v>23.330400000000001</v>
      </c>
      <c r="AA143" s="197">
        <f t="shared" si="52"/>
        <v>23.2849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53"/>
        <v>231</v>
      </c>
      <c r="AE143" s="77" t="str">
        <f t="shared" si="54"/>
        <v>aws s3 cp s3://rtdc.mdm.uploadarchive.raw/RTDC4066/ "%USERPROFILE%\AppData\Local\Temp\OnboardLogs"\RTDC4066\2017-07-30 --exclude "*" --recursive --include "*20170730*" &amp; "%USERPROFILE%\Documents\GitHub\mrs-test-scripts\Headless Mode &amp; Sideloading\WalkAndUnGZ.bat" "%USERPROFILE%\AppData\Local\Temp\OnboardLogs"\RTDC4066\2017-07-30 &amp; aws s3 cp s3://rtdc.mdm.uploadarchive.raw/RTDC4066/ "%USERPROFILE%\AppData\Local\Temp\OnboardLogs"\RTDC4066\2017-07-31 --exclude "*" --recursive --include "*20170731*" &amp; "%USERPROFILE%\Documents\GitHub\mrs-test-scripts\Headless Mode &amp; Sideloading\WalkAndUnGZ.bat" "%USERPROFILE%\AppData\Local\Temp\OnboardLogs"\RTDC4066\2017-07-31</v>
      </c>
      <c r="AF143" s="74" t="str">
        <f t="shared" si="55"/>
        <v>"C:\Program Files (x86)\AstroGrep\AstroGrep.exe" /e /r /s /spath="%USERPROFILE%\AppData\Local\Temp\OnboardLogs" /stypes="app*4066*20170731*" /stext=" 04:.+((SYSTEM_STATE.+slice.+state.+changed )|(ment ac)|(multiple cpu faults)|(system.+state.+changed )|(\[timeout)|(PRM\|1\|D)|(kpr)|(kdp)|(train st.+moving)|(\|lc)|(penalty))"</v>
      </c>
      <c r="AG143" s="209" t="str">
        <f t="shared" si="56"/>
        <v>EC</v>
      </c>
      <c r="AH143" s="78" t="str">
        <f t="shared" si="57"/>
        <v>"%USERPROFILE%\Documents\GitHub\eaglep3\Utilities\RefineRTDCRunTimes.py" --tripid 231-30 --locoid 4066 --swversion DE.1.0.9.0 --startMP 204:455 --initTime 2017-07-30T21:11:09 --startdatetime 2017-07-30T21:30:49 --delay 1 --endMP 204:233304 --enddatetime 2017-07-30T22:06:07 --enforcementcount 0 &gt;&gt;C:\Users\stu\Documents\GitHub\eaglep3-reporting\EC\2017-07-30-refined-times.txt</v>
      </c>
      <c r="AI143" s="96" t="str">
        <f t="shared" si="58"/>
        <v>echo {"issue":{"subject":"","project_id":79,"tracker_id":40,"status_id":1,"priority_id":2,"assigned_to_id":23,"start_date":"2017-07-30","description":"","custom_fields":[{"id":1,"name":"Subdivision","value":"EC"},{"id":4,"name":"Milepost","value":"23.3304"},{"id":17,"name":"Train ID","value":"231-30"},{"id":16,"name":"Locomotive ID","value":"4066"},{"id":130,"name":"Impact","value":""},{"id":150,"name":"Time of Event (Mountain Time)","value":"22:06:07"},{"id":151,"name":"Denver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9"/>
        <v>start /low /b %USERPROFILE%\Documents\GitHub\eaglep3\Utilities\DownloadLogsFromS3.py --loco 4066 --day 2017-07-30</v>
      </c>
      <c r="AN143" s="151" t="str">
        <f t="shared" si="6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04:06:07"},{"id":29,"name":"Sharepoint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848</v>
      </c>
      <c r="B144" s="7">
        <v>4065</v>
      </c>
      <c r="C144" s="21" t="s">
        <v>198</v>
      </c>
      <c r="D144" s="21" t="s">
        <v>485</v>
      </c>
      <c r="E144" s="13">
        <v>42946.925451388888</v>
      </c>
      <c r="F144" s="13">
        <v>42946.935798611114</v>
      </c>
      <c r="G144" s="7">
        <v>0</v>
      </c>
      <c r="H144" s="21" t="s">
        <v>377</v>
      </c>
      <c r="I144" s="13">
        <v>42946.962164351855</v>
      </c>
      <c r="J144" s="7">
        <v>0</v>
      </c>
      <c r="K144" s="89" t="str">
        <f t="shared" si="45"/>
        <v>4065/4066</v>
      </c>
      <c r="L144" s="21" t="str">
        <f>VLOOKUP(A144,'Trips&amp;Operators'!$C$1:$G$99999,5,FALSE)</f>
        <v>SMITH MICHAEL</v>
      </c>
      <c r="M144" s="6">
        <f t="shared" si="46"/>
        <v>2.6365740741312038E-2</v>
      </c>
      <c r="N144" s="7">
        <f t="shared" si="44"/>
        <v>37.966666667489335</v>
      </c>
      <c r="O144" s="7"/>
      <c r="P144" s="7"/>
      <c r="Q144" s="22"/>
      <c r="R144" s="170"/>
      <c r="S144" s="213">
        <f t="shared" si="47"/>
        <v>1</v>
      </c>
      <c r="T144" s="195" t="str">
        <f t="shared" si="48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49"/>
        <v>https://d0f6bd738d7f1b3e5a7ca70fe4ff75f0.us-east-1.aws.found.io/app/kibana#/discover/Steve-Slow-Train-Analysis-(2080s-and-2083s)?_g=(refreshInterval:(display:Off,pause:!f,section:0,value:0),time:(from:'2017-07-30T21:12:39-0600',mode:absolute,to:'2017-07-31T00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44" s="197" t="str">
        <f>IF(AA144&lt;VLOOKUP(AG144,Variables!$AC$3:$AD$8,2,FALSE),"Y","N")</f>
        <v>N</v>
      </c>
      <c r="X144" s="197">
        <f t="shared" si="43"/>
        <v>1</v>
      </c>
      <c r="Y144" s="197">
        <f t="shared" si="50"/>
        <v>23.298500000000001</v>
      </c>
      <c r="Z144" s="197">
        <f t="shared" si="51"/>
        <v>1.54E-2</v>
      </c>
      <c r="AA144" s="197">
        <f t="shared" si="52"/>
        <v>23.283100000000001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53"/>
        <v>232</v>
      </c>
      <c r="AE144" s="77" t="str">
        <f t="shared" si="54"/>
        <v>aws s3 cp s3://rtdc.mdm.uploadarchive.raw/RTDC4065/ "%USERPROFILE%\AppData\Local\Temp\OnboardLogs"\RTDC4065\2017-07-30 --exclude "*" --recursive --include "*20170730*" &amp; "%USERPROFILE%\Documents\GitHub\mrs-test-scripts\Headless Mode &amp; Sideloading\WalkAndUnGZ.bat" "%USERPROFILE%\AppData\Local\Temp\OnboardLogs"\RTDC4065\2017-07-30 &amp; aws s3 cp s3://rtdc.mdm.uploadarchive.raw/RTDC4065/ "%USERPROFILE%\AppData\Local\Temp\OnboardLogs"\RTDC4065\2017-07-31 --exclude "*" --recursive --include "*20170731*" &amp; "%USERPROFILE%\Documents\GitHub\mrs-test-scripts\Headless Mode &amp; Sideloading\WalkAndUnGZ.bat" "%USERPROFILE%\AppData\Local\Temp\OnboardLogs"\RTDC4065\2017-07-31</v>
      </c>
      <c r="AF144" s="74" t="str">
        <f t="shared" si="55"/>
        <v>"C:\Program Files (x86)\AstroGrep\AstroGrep.exe" /e /r /s /spath="%USERPROFILE%\AppData\Local\Temp\OnboardLogs" /stypes="app*4065*20170731*" /stext=" 05:.+((SYSTEM_STATE.+slice.+state.+changed )|(ment ac)|(multiple cpu faults)|(system.+state.+changed )|(\[timeout)|(PRM\|1\|D)|(kpr)|(kdp)|(train st.+moving)|(\|lc)|(penalty))"</v>
      </c>
      <c r="AG144" s="209" t="str">
        <f t="shared" si="56"/>
        <v>EC</v>
      </c>
      <c r="AH144" s="78" t="str">
        <f t="shared" si="57"/>
        <v>"%USERPROFILE%\Documents\GitHub\eaglep3\Utilities\RefineRTDCRunTimes.py" --tripid 232-30 --locoid 4065 --swversion DE.1.0.9.0 --startMP 204:232985 --initTime 2017-07-30T22:12:39 --startdatetime 2017-07-30T22:27:33 --delay 0 --endMP 204:154 --enddatetime 2017-07-30T23:05:31 --enforcementcount 0 &gt;&gt;C:\Users\stu\Documents\GitHub\eaglep3-reporting\EC\2017-07-30-refined-times.txt</v>
      </c>
      <c r="AI144" s="96" t="str">
        <f t="shared" si="58"/>
        <v>echo {"issue":{"subject":"","project_id":79,"tracker_id":40,"status_id":1,"priority_id":2,"assigned_to_id":23,"start_date":"2017-07-30","description":"","custom_fields":[{"id":1,"name":"Subdivision","value":"EC"},{"id":4,"name":"Milepost","value":"0.0154"},{"id":17,"name":"Train ID","value":"232-30"},{"id":16,"name":"Locomotive ID","value":"4065"},{"id":130,"name":"Impact","value":""},{"id":150,"name":"Time of Event (Mountain Time)","value":"23:05:31"},{"id":151,"name":"Denver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59"/>
        <v>start /low /b %USERPROFILE%\Documents\GitHub\eaglep3\Utilities\DownloadLogsFromS3.py --loco 4065 --day 2017-07-30</v>
      </c>
      <c r="AN144" s="151" t="str">
        <f t="shared" si="6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05:05:31"},{"id":29,"name":"Sharepoint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659</v>
      </c>
      <c r="B145" s="7">
        <v>4032</v>
      </c>
      <c r="C145" s="21" t="s">
        <v>198</v>
      </c>
      <c r="D145" s="21" t="s">
        <v>989</v>
      </c>
      <c r="E145" s="13">
        <v>42946.901712962965</v>
      </c>
      <c r="F145" s="13">
        <v>42946.917187500003</v>
      </c>
      <c r="G145" s="7">
        <v>1</v>
      </c>
      <c r="H145" s="21" t="s">
        <v>990</v>
      </c>
      <c r="I145" s="13">
        <v>42946.941724537035</v>
      </c>
      <c r="J145" s="7">
        <v>0</v>
      </c>
      <c r="K145" s="89" t="str">
        <f t="shared" si="45"/>
        <v>4031/4032</v>
      </c>
      <c r="L145" s="21" t="str">
        <f>VLOOKUP(A145,'Trips&amp;Operators'!$C$1:$G$99999,5,FALSE)</f>
        <v>PERKINS DARREN</v>
      </c>
      <c r="M145" s="6">
        <f t="shared" si="46"/>
        <v>2.4537037032132503E-2</v>
      </c>
      <c r="N145" s="7">
        <f t="shared" si="44"/>
        <v>35.333333326270804</v>
      </c>
      <c r="O145" s="7"/>
      <c r="P145" s="7"/>
      <c r="Q145" s="22"/>
      <c r="R145" s="170"/>
      <c r="S145" s="213">
        <f t="shared" si="47"/>
        <v>1</v>
      </c>
      <c r="T145" s="195" t="str">
        <f t="shared" si="48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49"/>
        <v>https://d0f6bd738d7f1b3e5a7ca70fe4ff75f0.us-east-1.aws.found.io/app/kibana#/discover/Steve-Slow-Train-Analysis-(2080s-and-2083s)?_g=(refreshInterval:(display:Off,pause:!f,section:0,value:0),time:(from:'2017-07-30T20:38:28-0600',mode:absolute,to:'2017-07-30T23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5" s="197" t="str">
        <f>IF(AA145&lt;VLOOKUP(AG145,Variables!$AC$3:$AD$8,2,FALSE),"Y","N")</f>
        <v>N</v>
      </c>
      <c r="X145" s="197">
        <f t="shared" si="43"/>
        <v>1</v>
      </c>
      <c r="Y145" s="197">
        <f t="shared" si="50"/>
        <v>4.24E-2</v>
      </c>
      <c r="Z145" s="197">
        <f t="shared" si="51"/>
        <v>23.322399999999998</v>
      </c>
      <c r="AA145" s="197">
        <f t="shared" si="52"/>
        <v>23.279999999999998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53"/>
        <v>233</v>
      </c>
      <c r="AE145" s="77" t="str">
        <f t="shared" si="54"/>
        <v>aws s3 cp s3://rtdc.mdm.uploadarchive.raw/RTDC4032/ "%USERPROFILE%\AppData\Local\Temp\OnboardLogs"\RTDC4032\2017-07-30 --exclude "*" --recursive --include "*20170730*" &amp; "%USERPROFILE%\Documents\GitHub\mrs-test-scripts\Headless Mode &amp; Sideloading\WalkAndUnGZ.bat" "%USERPROFILE%\AppData\Local\Temp\OnboardLogs"\RTDC4032\2017-07-30 &amp; aws s3 cp s3://rtdc.mdm.uploadarchive.raw/RTDC4032/ "%USERPROFILE%\AppData\Local\Temp\OnboardLogs"\RTDC4032\2017-07-31 --exclude "*" --recursive --include "*20170731*" &amp; "%USERPROFILE%\Documents\GitHub\mrs-test-scripts\Headless Mode &amp; Sideloading\WalkAndUnGZ.bat" "%USERPROFILE%\AppData\Local\Temp\OnboardLogs"\RTDC4032\2017-07-31</v>
      </c>
      <c r="AF145" s="74" t="str">
        <f t="shared" si="55"/>
        <v>"C:\Program Files (x86)\AstroGrep\AstroGrep.exe" /e /r /s /spath="%USERPROFILE%\AppData\Local\Temp\OnboardLogs" /stypes="app*4032*20170731*" /stext=" 04:.+((SYSTEM_STATE.+slice.+state.+changed )|(ment ac)|(multiple cpu faults)|(system.+state.+changed )|(\[timeout)|(PRM\|1\|D)|(kpr)|(kdp)|(train st.+moving)|(\|lc)|(penalty))"</v>
      </c>
      <c r="AG145" s="209" t="str">
        <f t="shared" si="56"/>
        <v>EC</v>
      </c>
      <c r="AH145" s="78" t="str">
        <f t="shared" si="57"/>
        <v>"%USERPROFILE%\Documents\GitHub\eaglep3\Utilities\RefineRTDCRunTimes.py" --tripid 233-30 --locoid 4032 --swversion DE.1.0.9.0 --startMP 204:424 --initTime 2017-07-30T21:38:28 --startdatetime 2017-07-30T22:00:45 --delay 1 --endMP 204:233224 --enddatetime 2017-07-30T22:36:05 --enforcementcount 0 &gt;&gt;C:\Users\stu\Documents\GitHub\eaglep3-reporting\EC\2017-07-30-refined-times.txt</v>
      </c>
      <c r="AI145" s="96" t="str">
        <f t="shared" si="58"/>
        <v>echo {"issue":{"subject":"","project_id":79,"tracker_id":40,"status_id":1,"priority_id":2,"assigned_to_id":23,"start_date":"2017-07-30","description":"","custom_fields":[{"id":1,"name":"Subdivision","value":"EC"},{"id":4,"name":"Milepost","value":"23.3224"},{"id":17,"name":"Train ID","value":"233-30"},{"id":16,"name":"Locomotive ID","value":"4032"},{"id":130,"name":"Impact","value":""},{"id":150,"name":"Time of Event (Mountain Time)","value":"22:36:05"},{"id":151,"name":"Denver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59"/>
        <v>start /low /b %USERPROFILE%\Documents\GitHub\eaglep3\Utilities\DownloadLogsFromS3.py --loco 4032 --day 2017-07-30</v>
      </c>
      <c r="AN145" s="151" t="str">
        <f t="shared" si="6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04:36:05"},{"id":29,"name":"Sharepoint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851</v>
      </c>
      <c r="B146" s="7">
        <v>4031</v>
      </c>
      <c r="C146" s="21" t="s">
        <v>198</v>
      </c>
      <c r="D146" s="21" t="s">
        <v>991</v>
      </c>
      <c r="E146" s="13">
        <v>42946.951296296298</v>
      </c>
      <c r="F146" s="13">
        <v>42946.956493055557</v>
      </c>
      <c r="G146" s="7">
        <v>2</v>
      </c>
      <c r="H146" s="21" t="s">
        <v>873</v>
      </c>
      <c r="I146" s="13">
        <v>42946.983946759261</v>
      </c>
      <c r="J146" s="7">
        <v>0</v>
      </c>
      <c r="K146" s="89" t="str">
        <f t="shared" si="45"/>
        <v>4031/4032</v>
      </c>
      <c r="L146" s="21" t="str">
        <f>VLOOKUP(A146,'Trips&amp;Operators'!$C$1:$G$99999,5,FALSE)</f>
        <v>PERKINS DARREN</v>
      </c>
      <c r="M146" s="6">
        <f t="shared" si="46"/>
        <v>2.7453703703940846E-2</v>
      </c>
      <c r="N146" s="7">
        <f t="shared" si="44"/>
        <v>39.533333333674818</v>
      </c>
      <c r="O146" s="7"/>
      <c r="P146" s="7"/>
      <c r="Q146" s="22"/>
      <c r="R146" s="170"/>
      <c r="S146" s="213">
        <f t="shared" si="47"/>
        <v>1</v>
      </c>
      <c r="T146" s="195" t="str">
        <f t="shared" si="48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49"/>
        <v>https://d0f6bd738d7f1b3e5a7ca70fe4ff75f0.us-east-1.aws.found.io/app/kibana#/discover/Steve-Slow-Train-Analysis-(2080s-and-2083s)?_g=(refreshInterval:(display:Off,pause:!f,section:0,value:0),time:(from:'2017-07-30T21:49:52-0600',mode:absolute,to:'2017-07-31T00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6" s="197" t="str">
        <f>IF(AA146&lt;VLOOKUP(AG146,Variables!$AC$3:$AD$8,2,FALSE),"Y","N")</f>
        <v>N</v>
      </c>
      <c r="X146" s="197">
        <f t="shared" si="43"/>
        <v>1</v>
      </c>
      <c r="Y146" s="197">
        <f t="shared" si="50"/>
        <v>23.29</v>
      </c>
      <c r="Z146" s="197">
        <f t="shared" si="51"/>
        <v>1.38E-2</v>
      </c>
      <c r="AA146" s="197">
        <f t="shared" si="52"/>
        <v>23.276199999999999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53"/>
        <v>234</v>
      </c>
      <c r="AE146" s="77" t="str">
        <f t="shared" si="54"/>
        <v>aws s3 cp s3://rtdc.mdm.uploadarchive.raw/RTDC4031/ "%USERPROFILE%\AppData\Local\Temp\OnboardLogs"\RTDC4031\2017-07-30 --exclude "*" --recursive --include "*20170730*" &amp; "%USERPROFILE%\Documents\GitHub\mrs-test-scripts\Headless Mode &amp; Sideloading\WalkAndUnGZ.bat" "%USERPROFILE%\AppData\Local\Temp\OnboardLogs"\RTDC4031\2017-07-30 &amp; aws s3 cp s3://rtdc.mdm.uploadarchive.raw/RTDC4031/ "%USERPROFILE%\AppData\Local\Temp\OnboardLogs"\RTDC4031\2017-07-31 --exclude "*" --recursive --include "*20170731*" &amp; "%USERPROFILE%\Documents\GitHub\mrs-test-scripts\Headless Mode &amp; Sideloading\WalkAndUnGZ.bat" "%USERPROFILE%\AppData\Local\Temp\OnboardLogs"\RTDC4031\2017-07-31</v>
      </c>
      <c r="AF146" s="74" t="str">
        <f t="shared" si="55"/>
        <v>"C:\Program Files (x86)\AstroGrep\AstroGrep.exe" /e /r /s /spath="%USERPROFILE%\AppData\Local\Temp\OnboardLogs" /stypes="app*4031*20170731*" /stext=" 05:.+((SYSTEM_STATE.+slice.+state.+changed )|(ment ac)|(multiple cpu faults)|(system.+state.+changed )|(\[timeout)|(PRM\|1\|D)|(kpr)|(kdp)|(train st.+moving)|(\|lc)|(penalty))"</v>
      </c>
      <c r="AG146" s="209" t="str">
        <f t="shared" si="56"/>
        <v>EC</v>
      </c>
      <c r="AH146" s="78" t="str">
        <f t="shared" si="57"/>
        <v>"%USERPROFILE%\Documents\GitHub\eaglep3\Utilities\RefineRTDCRunTimes.py" --tripid 234-30 --locoid 4031 --swversion DE.1.0.9.0 --startMP 204:232900 --initTime 2017-07-30T22:49:52 --startdatetime 2017-07-30T22:57:21 --delay 2 --endMP 204:138 --enddatetime 2017-07-30T23:36:53 --enforcementcount 0 &gt;&gt;C:\Users\stu\Documents\GitHub\eaglep3-reporting\EC\2017-07-30-refined-times.txt</v>
      </c>
      <c r="AI146" s="96" t="str">
        <f t="shared" si="58"/>
        <v>echo {"issue":{"subject":"","project_id":79,"tracker_id":40,"status_id":1,"priority_id":2,"assigned_to_id":23,"start_date":"2017-07-30","description":"","custom_fields":[{"id":1,"name":"Subdivision","value":"EC"},{"id":4,"name":"Milepost","value":"0.0138"},{"id":17,"name":"Train ID","value":"234-30"},{"id":16,"name":"Locomotive ID","value":"4031"},{"id":130,"name":"Impact","value":""},{"id":150,"name":"Time of Event (Mountain Time)","value":"23:36:53"},{"id":151,"name":"Denver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59"/>
        <v>start /low /b %USERPROFILE%\Documents\GitHub\eaglep3\Utilities\DownloadLogsFromS3.py --loco 4031 --day 2017-07-30</v>
      </c>
      <c r="AN146" s="151" t="str">
        <f t="shared" si="6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05:36:53"},{"id":29,"name":"Sharepoint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847</v>
      </c>
      <c r="B147" s="7">
        <v>4054</v>
      </c>
      <c r="C147" s="21" t="s">
        <v>198</v>
      </c>
      <c r="D147" s="21" t="s">
        <v>344</v>
      </c>
      <c r="E147" s="13">
        <v>42946.922418981485</v>
      </c>
      <c r="F147" s="13">
        <v>42946.938055555554</v>
      </c>
      <c r="G147" s="7">
        <v>1</v>
      </c>
      <c r="H147" s="21" t="s">
        <v>585</v>
      </c>
      <c r="I147" s="13">
        <v>42946.963703703703</v>
      </c>
      <c r="J147" s="7">
        <v>0</v>
      </c>
      <c r="K147" s="89" t="str">
        <f t="shared" si="45"/>
        <v>4053/4054</v>
      </c>
      <c r="L147" s="21" t="str">
        <f>VLOOKUP(A147,'Trips&amp;Operators'!$C$1:$G$99999,5,FALSE)</f>
        <v>HAITHCOX MICHAEL</v>
      </c>
      <c r="M147" s="6">
        <f t="shared" si="46"/>
        <v>2.5648148148320615E-2</v>
      </c>
      <c r="N147" s="7">
        <f t="shared" si="44"/>
        <v>36.933333333581686</v>
      </c>
      <c r="O147" s="7"/>
      <c r="P147" s="7"/>
      <c r="Q147" s="22"/>
      <c r="R147" s="170"/>
      <c r="S147" s="213">
        <f t="shared" si="47"/>
        <v>1</v>
      </c>
      <c r="T147" s="195" t="str">
        <f t="shared" si="48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49"/>
        <v>https://d0f6bd738d7f1b3e5a7ca70fe4ff75f0.us-east-1.aws.found.io/app/kibana#/discover/Steve-Slow-Train-Analysis-(2080s-and-2083s)?_g=(refreshInterval:(display:Off,pause:!f,section:0,value:0),time:(from:'2017-07-30T21:08:17-0600',mode:absolute,to:'2017-07-31T00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7" s="197" t="str">
        <f>IF(AA147&lt;VLOOKUP(AG147,Variables!$AC$3:$AD$8,2,FALSE),"Y","N")</f>
        <v>N</v>
      </c>
      <c r="X147" s="197">
        <f t="shared" si="43"/>
        <v>1</v>
      </c>
      <c r="Y147" s="197">
        <f t="shared" si="50"/>
        <v>4.6600000000000003E-2</v>
      </c>
      <c r="Z147" s="197">
        <f t="shared" si="51"/>
        <v>23.328700000000001</v>
      </c>
      <c r="AA147" s="197">
        <f t="shared" si="52"/>
        <v>23.2821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53"/>
        <v>235</v>
      </c>
      <c r="AE147" s="77" t="str">
        <f t="shared" si="54"/>
        <v>aws s3 cp s3://rtdc.mdm.uploadarchive.raw/RTDC4054/ "%USERPROFILE%\AppData\Local\Temp\OnboardLogs"\RTDC4054\2017-07-30 --exclude "*" --recursive --include "*20170730*" &amp; "%USERPROFILE%\Documents\GitHub\mrs-test-scripts\Headless Mode &amp; Sideloading\WalkAndUnGZ.bat" "%USERPROFILE%\AppData\Local\Temp\OnboardLogs"\RTDC4054\2017-07-30 &amp; aws s3 cp s3://rtdc.mdm.uploadarchive.raw/RTDC4054/ "%USERPROFILE%\AppData\Local\Temp\OnboardLogs"\RTDC4054\2017-07-31 --exclude "*" --recursive --include "*20170731*" &amp; "%USERPROFILE%\Documents\GitHub\mrs-test-scripts\Headless Mode &amp; Sideloading\WalkAndUnGZ.bat" "%USERPROFILE%\AppData\Local\Temp\OnboardLogs"\RTDC4054\2017-07-31</v>
      </c>
      <c r="AF147" s="74" t="str">
        <f t="shared" si="55"/>
        <v>"C:\Program Files (x86)\AstroGrep\AstroGrep.exe" /e /r /s /spath="%USERPROFILE%\AppData\Local\Temp\OnboardLogs" /stypes="app*4054*20170731*" /stext=" 05:.+((SYSTEM_STATE.+slice.+state.+changed )|(ment ac)|(multiple cpu faults)|(system.+state.+changed )|(\[timeout)|(PRM\|1\|D)|(kpr)|(kdp)|(train st.+moving)|(\|lc)|(penalty))"</v>
      </c>
      <c r="AG147" s="209" t="str">
        <f t="shared" si="56"/>
        <v>EC</v>
      </c>
      <c r="AH147" s="78" t="str">
        <f t="shared" si="57"/>
        <v>"%USERPROFILE%\Documents\GitHub\eaglep3\Utilities\RefineRTDCRunTimes.py" --tripid 235-30 --locoid 4054 --swversion DE.1.0.9.0 --startMP 204:466 --initTime 2017-07-30T22:08:17 --startdatetime 2017-07-30T22:30:48 --delay 1 --endMP 204:233287 --enddatetime 2017-07-30T23:07:44 --enforcementcount 0 &gt;&gt;C:\Users\stu\Documents\GitHub\eaglep3-reporting\EC\2017-07-30-refined-times.txt</v>
      </c>
      <c r="AI147" s="96" t="str">
        <f t="shared" si="58"/>
        <v>echo {"issue":{"subject":"","project_id":79,"tracker_id":40,"status_id":1,"priority_id":2,"assigned_to_id":23,"start_date":"2017-07-30","description":"","custom_fields":[{"id":1,"name":"Subdivision","value":"EC"},{"id":4,"name":"Milepost","value":"23.3287"},{"id":17,"name":"Train ID","value":"235-30"},{"id":16,"name":"Locomotive ID","value":"4054"},{"id":130,"name":"Impact","value":""},{"id":150,"name":"Time of Event (Mountain Time)","value":"23:07:44"},{"id":151,"name":"Denver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59"/>
        <v>start /low /b %USERPROFILE%\Documents\GitHub\eaglep3\Utilities\DownloadLogsFromS3.py --loco 4054 --day 2017-07-30</v>
      </c>
      <c r="AN147" s="151" t="str">
        <f t="shared" si="6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05:07:44"},{"id":29,"name":"Sharepoint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853</v>
      </c>
      <c r="B148" s="7">
        <v>4053</v>
      </c>
      <c r="C148" s="21" t="s">
        <v>198</v>
      </c>
      <c r="D148" s="21" t="s">
        <v>510</v>
      </c>
      <c r="E148" s="13">
        <v>42946.96502314815</v>
      </c>
      <c r="F148" s="13">
        <v>42946.977280092593</v>
      </c>
      <c r="G148" s="7">
        <v>1</v>
      </c>
      <c r="H148" s="21" t="s">
        <v>377</v>
      </c>
      <c r="I148" s="13">
        <v>42947.005057870374</v>
      </c>
      <c r="J148" s="7">
        <v>0</v>
      </c>
      <c r="K148" s="89" t="str">
        <f t="shared" si="45"/>
        <v>4053/4054</v>
      </c>
      <c r="L148" s="21" t="str">
        <f>VLOOKUP(A148,'Trips&amp;Operators'!$C$1:$G$99999,5,FALSE)</f>
        <v>HAITHCOX MICHAEL</v>
      </c>
      <c r="M148" s="6">
        <f t="shared" si="46"/>
        <v>2.7777777781011537E-2</v>
      </c>
      <c r="N148" s="7">
        <f t="shared" si="44"/>
        <v>40.000000004656613</v>
      </c>
      <c r="O148" s="7"/>
      <c r="P148" s="7"/>
      <c r="Q148" s="22"/>
      <c r="R148" s="170"/>
      <c r="S148" s="213">
        <f t="shared" si="47"/>
        <v>1</v>
      </c>
      <c r="T148" s="195" t="str">
        <f t="shared" si="48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49"/>
        <v>https://d0f6bd738d7f1b3e5a7ca70fe4ff75f0.us-east-1.aws.found.io/app/kibana#/discover/Steve-Slow-Train-Analysis-(2080s-and-2083s)?_g=(refreshInterval:(display:Off,pause:!f,section:0,value:0),time:(from:'2017-07-30T22:09:38-0600',mode:absolute,to:'2017-07-31T01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8" s="197" t="str">
        <f>IF(AA148&lt;VLOOKUP(AG148,Variables!$AC$3:$AD$8,2,FALSE),"Y","N")</f>
        <v>N</v>
      </c>
      <c r="X148" s="197">
        <f t="shared" si="43"/>
        <v>1</v>
      </c>
      <c r="Y148" s="197">
        <f t="shared" si="50"/>
        <v>23.297599999999999</v>
      </c>
      <c r="Z148" s="197">
        <f t="shared" si="51"/>
        <v>1.54E-2</v>
      </c>
      <c r="AA148" s="197">
        <f t="shared" si="52"/>
        <v>23.2822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53"/>
        <v>236</v>
      </c>
      <c r="AE148" s="77" t="str">
        <f t="shared" si="54"/>
        <v>aws s3 cp s3://rtdc.mdm.uploadarchive.raw/RTDC4053/ "%USERPROFILE%\AppData\Local\Temp\OnboardLogs"\RTDC4053\2017-07-30 --exclude "*" --recursive --include "*20170730*" &amp; "%USERPROFILE%\Documents\GitHub\mrs-test-scripts\Headless Mode &amp; Sideloading\WalkAndUnGZ.bat" "%USERPROFILE%\AppData\Local\Temp\OnboardLogs"\RTDC4053\2017-07-30 &amp; aws s3 cp s3://rtdc.mdm.uploadarchive.raw/RTDC4053/ "%USERPROFILE%\AppData\Local\Temp\OnboardLogs"\RTDC4053\2017-07-31 --exclude "*" --recursive --include "*20170731*" &amp; "%USERPROFILE%\Documents\GitHub\mrs-test-scripts\Headless Mode &amp; Sideloading\WalkAndUnGZ.bat" "%USERPROFILE%\AppData\Local\Temp\OnboardLogs"\RTDC4053\2017-07-31</v>
      </c>
      <c r="AF148" s="74" t="str">
        <f t="shared" si="55"/>
        <v>"C:\Program Files (x86)\AstroGrep\AstroGrep.exe" /e /r /s /spath="%USERPROFILE%\AppData\Local\Temp\OnboardLogs" /stypes="app*4053*20170731*" /stext=" 06:.+((SYSTEM_STATE.+slice.+state.+changed )|(ment ac)|(multiple cpu faults)|(system.+state.+changed )|(\[timeout)|(PRM\|1\|D)|(kpr)|(kdp)|(train st.+moving)|(\|lc)|(penalty))"</v>
      </c>
      <c r="AG148" s="209" t="str">
        <f t="shared" si="56"/>
        <v>EC</v>
      </c>
      <c r="AH148" s="78" t="str">
        <f t="shared" si="57"/>
        <v>"%USERPROFILE%\Documents\GitHub\eaglep3\Utilities\RefineRTDCRunTimes.py" --tripid 236-30 --locoid 4053 --swversion DE.1.0.9.0 --startMP 204:232976 --initTime 2017-07-30T23:09:38 --startdatetime 2017-07-30T23:27:17 --delay 1 --endMP 204:154 --enddatetime 2017-07-31T00:07:17 --enforcementcount 0 &gt;&gt;C:\Users\stu\Documents\GitHub\eaglep3-reporting\EC\2017-07-30-refined-times.txt</v>
      </c>
      <c r="AI148" s="96" t="str">
        <f t="shared" si="58"/>
        <v>echo {"issue":{"subject":"","project_id":79,"tracker_id":40,"status_id":1,"priority_id":2,"assigned_to_id":23,"start_date":"2017-07-31","description":"","custom_fields":[{"id":1,"name":"Subdivision","value":"EC"},{"id":4,"name":"Milepost","value":"0.0154"},{"id":17,"name":"Train ID","value":"236-30"},{"id":16,"name":"Locomotive ID","value":"4053"},{"id":130,"name":"Impact","value":""},{"id":150,"name":"Time of Event (Mountain Time)","value":"00:07:17"},{"id":151,"name":"Denver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59"/>
        <v>start /low /b %USERPROFILE%\Documents\GitHub\eaglep3\Utilities\DownloadLogsFromS3.py --loco 4053 --day 2017-07-30</v>
      </c>
      <c r="AN148" s="151" t="str">
        <f t="shared" si="6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06:07:17"},{"id":29,"name":"Sharepoint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660</v>
      </c>
      <c r="B149" s="7">
        <v>4004</v>
      </c>
      <c r="C149" s="21" t="s">
        <v>198</v>
      </c>
      <c r="D149" s="21" t="s">
        <v>992</v>
      </c>
      <c r="E149" s="13">
        <v>42946.942280092589</v>
      </c>
      <c r="F149" s="13">
        <v>42946.958923611113</v>
      </c>
      <c r="G149" s="7">
        <v>1</v>
      </c>
      <c r="H149" s="21" t="s">
        <v>970</v>
      </c>
      <c r="I149" s="13">
        <v>42946.983067129629</v>
      </c>
      <c r="J149" s="7">
        <v>0</v>
      </c>
      <c r="K149" s="89" t="str">
        <f t="shared" si="45"/>
        <v>4003/4004</v>
      </c>
      <c r="L149" s="21" t="str">
        <f>VLOOKUP(A149,'Trips&amp;Operators'!$C$1:$G$99999,5,FALSE)</f>
        <v>STAMBAUGH JAMES</v>
      </c>
      <c r="M149" s="6">
        <f t="shared" si="46"/>
        <v>2.414351851621177E-2</v>
      </c>
      <c r="N149" s="7">
        <f t="shared" si="44"/>
        <v>34.766666663344949</v>
      </c>
      <c r="O149" s="7"/>
      <c r="P149" s="7"/>
      <c r="Q149" s="22"/>
      <c r="R149" s="170"/>
      <c r="S149" s="213">
        <f t="shared" si="47"/>
        <v>1</v>
      </c>
      <c r="T149" s="195" t="str">
        <f t="shared" si="48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49"/>
        <v>https://d0f6bd738d7f1b3e5a7ca70fe4ff75f0.us-east-1.aws.found.io/app/kibana#/discover/Steve-Slow-Train-Analysis-(2080s-and-2083s)?_g=(refreshInterval:(display:Off,pause:!f,section:0,value:0),time:(from:'2017-07-30T21:36:53-0600',mode:absolute,to:'2017-07-31T00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9" s="197" t="str">
        <f>IF(AA149&lt;VLOOKUP(AG149,Variables!$AC$3:$AD$8,2,FALSE),"Y","N")</f>
        <v>N</v>
      </c>
      <c r="X149" s="197">
        <f t="shared" si="43"/>
        <v>1</v>
      </c>
      <c r="Y149" s="197">
        <f t="shared" si="50"/>
        <v>3.6200000000000003E-2</v>
      </c>
      <c r="Z149" s="197">
        <f t="shared" si="51"/>
        <v>23.343299999999999</v>
      </c>
      <c r="AA149" s="197">
        <f t="shared" si="52"/>
        <v>23.307099999999998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53"/>
        <v>237</v>
      </c>
      <c r="AE149" s="77" t="str">
        <f t="shared" si="54"/>
        <v>aws s3 cp s3://rtdc.mdm.uploadarchive.raw/RTDC4004/ "%USERPROFILE%\AppData\Local\Temp\OnboardLogs"\RTDC4004\2017-07-30 --exclude "*" --recursive --include "*20170730*" &amp; "%USERPROFILE%\Documents\GitHub\mrs-test-scripts\Headless Mode &amp; Sideloading\WalkAndUnGZ.bat" "%USERPROFILE%\AppData\Local\Temp\OnboardLogs"\RTDC4004\2017-07-30 &amp; aws s3 cp s3://rtdc.mdm.uploadarchive.raw/RTDC4004/ "%USERPROFILE%\AppData\Local\Temp\OnboardLogs"\RTDC4004\2017-07-31 --exclude "*" --recursive --include "*20170731*" &amp; "%USERPROFILE%\Documents\GitHub\mrs-test-scripts\Headless Mode &amp; Sideloading\WalkAndUnGZ.bat" "%USERPROFILE%\AppData\Local\Temp\OnboardLogs"\RTDC4004\2017-07-31</v>
      </c>
      <c r="AF149" s="74" t="str">
        <f t="shared" si="55"/>
        <v>"C:\Program Files (x86)\AstroGrep\AstroGrep.exe" /e /r /s /spath="%USERPROFILE%\AppData\Local\Temp\OnboardLogs" /stypes="app*4004*20170731*" /stext=" 05:.+((SYSTEM_STATE.+slice.+state.+changed )|(ment ac)|(multiple cpu faults)|(system.+state.+changed )|(\[timeout)|(PRM\|1\|D)|(kpr)|(kdp)|(train st.+moving)|(\|lc)|(penalty))"</v>
      </c>
      <c r="AG149" s="209" t="str">
        <f t="shared" si="56"/>
        <v>EC</v>
      </c>
      <c r="AH149" s="78" t="str">
        <f t="shared" si="57"/>
        <v>"%USERPROFILE%\Documents\GitHub\eaglep3\Utilities\RefineRTDCRunTimes.py" --tripid 237-30 --locoid 4004 --swversion DE.1.0.9.0 --startMP 204:362 --initTime 2017-07-30T22:36:53 --startdatetime 2017-07-30T23:00:51 --delay 1 --endMP 204:233433 --enddatetime 2017-07-30T23:35:37 --enforcementcount 0 &gt;&gt;C:\Users\stu\Documents\GitHub\eaglep3-reporting\EC\2017-07-30-refined-times.txt</v>
      </c>
      <c r="AI149" s="96" t="str">
        <f t="shared" si="58"/>
        <v>echo {"issue":{"subject":"","project_id":79,"tracker_id":40,"status_id":1,"priority_id":2,"assigned_to_id":23,"start_date":"2017-07-30","description":"","custom_fields":[{"id":1,"name":"Subdivision","value":"EC"},{"id":4,"name":"Milepost","value":"23.3433"},{"id":17,"name":"Train ID","value":"237-30"},{"id":16,"name":"Locomotive ID","value":"4004"},{"id":130,"name":"Impact","value":""},{"id":150,"name":"Time of Event (Mountain Time)","value":"23:35:37"},{"id":151,"name":"Denver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59"/>
        <v>start /low /b %USERPROFILE%\Documents\GitHub\eaglep3\Utilities\DownloadLogsFromS3.py --loco 4004 --day 2017-07-30</v>
      </c>
      <c r="AN149" s="151" t="str">
        <f t="shared" si="6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05:35:37"},{"id":29,"name":"Sharepoint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2" t="s">
        <v>661</v>
      </c>
      <c r="B150" s="7">
        <v>4003</v>
      </c>
      <c r="C150" s="21" t="s">
        <v>198</v>
      </c>
      <c r="D150" s="21" t="s">
        <v>993</v>
      </c>
      <c r="E150" s="13">
        <v>42946.99559027778</v>
      </c>
      <c r="F150" s="13">
        <v>42946.998113425929</v>
      </c>
      <c r="G150" s="7">
        <v>1</v>
      </c>
      <c r="H150" s="21" t="s">
        <v>589</v>
      </c>
      <c r="I150" s="13">
        <v>42947.025127314817</v>
      </c>
      <c r="J150" s="7">
        <v>0</v>
      </c>
      <c r="K150" s="89" t="str">
        <f t="shared" si="45"/>
        <v>4003/4004</v>
      </c>
      <c r="L150" s="21" t="str">
        <f>VLOOKUP(A150,'Trips&amp;Operators'!$C$1:$G$99999,5,FALSE)</f>
        <v>STAMBAUGH JAMES</v>
      </c>
      <c r="M150" s="6">
        <f t="shared" si="46"/>
        <v>2.7013888888177462E-2</v>
      </c>
      <c r="N150" s="7">
        <f t="shared" si="44"/>
        <v>38.899999998975545</v>
      </c>
      <c r="O150" s="7"/>
      <c r="P150" s="7"/>
      <c r="Q150" s="22"/>
      <c r="R150" s="170"/>
      <c r="S150" s="213">
        <f t="shared" si="47"/>
        <v>1</v>
      </c>
      <c r="T150" s="195" t="str">
        <f t="shared" si="48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49"/>
        <v>https://d0f6bd738d7f1b3e5a7ca70fe4ff75f0.us-east-1.aws.found.io/app/kibana#/discover/Steve-Slow-Train-Analysis-(2080s-and-2083s)?_g=(refreshInterval:(display:Off,pause:!f,section:0,value:0),time:(from:'2017-07-30T22:53:39-0600',mode:absolute,to:'2017-07-31T01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0" s="197" t="str">
        <f>IF(AA150&lt;VLOOKUP(AG150,Variables!$AC$3:$AD$8,2,FALSE),"Y","N")</f>
        <v>N</v>
      </c>
      <c r="X150" s="197">
        <f t="shared" si="43"/>
        <v>1</v>
      </c>
      <c r="Y150" s="197">
        <f t="shared" si="50"/>
        <v>23.3109</v>
      </c>
      <c r="Z150" s="197">
        <f t="shared" si="51"/>
        <v>1.2699999999999999E-2</v>
      </c>
      <c r="AA150" s="197">
        <f t="shared" si="52"/>
        <v>23.298200000000001</v>
      </c>
      <c r="AB150" s="54" t="str">
        <f>VLOOKUP(A150,Enforcements!$C$7:$K$13,8,0)</f>
        <v>Bulletin (2)</v>
      </c>
      <c r="AC150" s="51" t="str">
        <f>VLOOKUP(A150,Enforcements!$C$7:$E$13,3,0)</f>
        <v>GRADE CROSSING</v>
      </c>
      <c r="AD150" s="206">
        <f t="shared" si="53"/>
        <v>238</v>
      </c>
      <c r="AE150" s="77" t="str">
        <f t="shared" si="54"/>
        <v>aws s3 cp s3://rtdc.mdm.uploadarchive.raw/RTDC4003/ "%USERPROFILE%\AppData\Local\Temp\OnboardLogs"\RTDC4003\2017-07-30 --exclude "*" --recursive --include "*20170730*" &amp; "%USERPROFILE%\Documents\GitHub\mrs-test-scripts\Headless Mode &amp; Sideloading\WalkAndUnGZ.bat" "%USERPROFILE%\AppData\Local\Temp\OnboardLogs"\RTDC4003\2017-07-30 &amp; aws s3 cp s3://rtdc.mdm.uploadarchive.raw/RTDC4003/ "%USERPROFILE%\AppData\Local\Temp\OnboardLogs"\RTDC4003\2017-07-31 --exclude "*" --recursive --include "*20170731*" &amp; "%USERPROFILE%\Documents\GitHub\mrs-test-scripts\Headless Mode &amp; Sideloading\WalkAndUnGZ.bat" "%USERPROFILE%\AppData\Local\Temp\OnboardLogs"\RTDC4003\2017-07-31</v>
      </c>
      <c r="AF150" s="74" t="str">
        <f t="shared" si="55"/>
        <v>"C:\Program Files (x86)\AstroGrep\AstroGrep.exe" /e /r /s /spath="%USERPROFILE%\AppData\Local\Temp\OnboardLogs" /stypes="app*4003*20170731*" /stext=" 06:.+((SYSTEM_STATE.+slice.+state.+changed )|(ment ac)|(multiple cpu faults)|(system.+state.+changed )|(\[timeout)|(PRM\|1\|D)|(kpr)|(kdp)|(train st.+moving)|(\|lc)|(penalty))"</v>
      </c>
      <c r="AG150" s="209" t="str">
        <f t="shared" si="56"/>
        <v>EC</v>
      </c>
      <c r="AH150" s="78" t="str">
        <f t="shared" si="57"/>
        <v>"%USERPROFILE%\Documents\GitHub\eaglep3\Utilities\RefineRTDCRunTimes.py" --tripid 238-30 --locoid 4003 --swversion DE.1.0.9.0 --startMP 204:233109 --initTime 2017-07-30T23:53:39 --startdatetime 2017-07-30T23:57:17 --delay 1 --endMP 204:127 --enddatetime 2017-07-31T00:36:11 --enforcementcount 0 &gt;&gt;C:\Users\stu\Documents\GitHub\eaglep3-reporting\EC\2017-07-30-refined-times.txt</v>
      </c>
      <c r="AI150" s="96" t="str">
        <f t="shared" si="58"/>
        <v>echo {"issue":{"subject":"","project_id":79,"tracker_id":40,"status_id":1,"priority_id":2,"assigned_to_id":23,"start_date":"2017-07-31","description":"","custom_fields":[{"id":1,"name":"Subdivision","value":"EC"},{"id":4,"name":"Milepost","value":"0.0127"},{"id":17,"name":"Train ID","value":"238-30"},{"id":16,"name":"Locomotive ID","value":"4003"},{"id":130,"name":"Impact","value":""},{"id":150,"name":"Time of Event (Mountain Time)","value":"00:36:11"},{"id":151,"name":"Denver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7"/>
      <c r="AL150" s="47"/>
      <c r="AM150" s="142" t="str">
        <f t="shared" si="59"/>
        <v>start /low /b %USERPROFILE%\Documents\GitHub\eaglep3\Utilities\DownloadLogsFromS3.py --loco 4003 --day 2017-07-30</v>
      </c>
      <c r="AN150" s="151" t="str">
        <f t="shared" si="6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06:36:11"},{"id":29,"name":"Sharepoint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</row>
    <row r="151" spans="1:91" x14ac:dyDescent="0.25">
      <c r="A151" s="32" t="s">
        <v>852</v>
      </c>
      <c r="B151" s="7">
        <v>4066</v>
      </c>
      <c r="C151" s="21" t="s">
        <v>198</v>
      </c>
      <c r="D151" s="21" t="s">
        <v>410</v>
      </c>
      <c r="E151" s="13">
        <v>42946.963692129626</v>
      </c>
      <c r="F151" s="13">
        <v>42946.979745370372</v>
      </c>
      <c r="G151" s="7">
        <v>1</v>
      </c>
      <c r="H151" s="21" t="s">
        <v>511</v>
      </c>
      <c r="I151" s="13">
        <v>42947.004340277781</v>
      </c>
      <c r="J151" s="7">
        <v>0</v>
      </c>
      <c r="K151" s="89" t="str">
        <f t="shared" si="45"/>
        <v>4065/4066</v>
      </c>
      <c r="L151" s="21" t="str">
        <f>VLOOKUP(A151,'Trips&amp;Operators'!$C$1:$G$99999,5,FALSE)</f>
        <v>SMITH MICHAEL</v>
      </c>
      <c r="M151" s="6">
        <f t="shared" si="46"/>
        <v>2.4594907408754807E-2</v>
      </c>
      <c r="N151" s="7">
        <f t="shared" si="44"/>
        <v>35.416666668606922</v>
      </c>
      <c r="O151" s="7"/>
      <c r="P151" s="7"/>
      <c r="Q151" s="22"/>
      <c r="R151" s="170"/>
      <c r="S151" s="213">
        <f t="shared" si="47"/>
        <v>1</v>
      </c>
      <c r="T151" s="195" t="str">
        <f t="shared" si="48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49"/>
        <v>https://d0f6bd738d7f1b3e5a7ca70fe4ff75f0.us-east-1.aws.found.io/app/kibana#/discover/Steve-Slow-Train-Analysis-(2080s-and-2083s)?_g=(refreshInterval:(display:Off,pause:!f,section:0,value:0),time:(from:'2017-07-30T22:07:43-0600',mode:absolute,to:'2017-07-31T01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51" s="197" t="str">
        <f>IF(AA151&lt;VLOOKUP(AG151,Variables!$AC$3:$AD$8,2,FALSE),"Y","N")</f>
        <v>N</v>
      </c>
      <c r="X151" s="197">
        <f t="shared" si="43"/>
        <v>1</v>
      </c>
      <c r="Y151" s="197">
        <f t="shared" si="50"/>
        <v>4.7100000000000003E-2</v>
      </c>
      <c r="Z151" s="197">
        <f t="shared" si="51"/>
        <v>23.3308</v>
      </c>
      <c r="AA151" s="197">
        <f t="shared" si="52"/>
        <v>23.2837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53"/>
        <v>239</v>
      </c>
      <c r="AE151" s="77" t="str">
        <f t="shared" si="54"/>
        <v>aws s3 cp s3://rtdc.mdm.uploadarchive.raw/RTDC4066/ "%USERPROFILE%\AppData\Local\Temp\OnboardLogs"\RTDC4066\2017-07-30 --exclude "*" --recursive --include "*20170730*" &amp; "%USERPROFILE%\Documents\GitHub\mrs-test-scripts\Headless Mode &amp; Sideloading\WalkAndUnGZ.bat" "%USERPROFILE%\AppData\Local\Temp\OnboardLogs"\RTDC4066\2017-07-30 &amp; aws s3 cp s3://rtdc.mdm.uploadarchive.raw/RTDC4066/ "%USERPROFILE%\AppData\Local\Temp\OnboardLogs"\RTDC4066\2017-07-31 --exclude "*" --recursive --include "*20170731*" &amp; "%USERPROFILE%\Documents\GitHub\mrs-test-scripts\Headless Mode &amp; Sideloading\WalkAndUnGZ.bat" "%USERPROFILE%\AppData\Local\Temp\OnboardLogs"\RTDC4066\2017-07-31</v>
      </c>
      <c r="AF151" s="74" t="str">
        <f t="shared" si="55"/>
        <v>"C:\Program Files (x86)\AstroGrep\AstroGrep.exe" /e /r /s /spath="%USERPROFILE%\AppData\Local\Temp\OnboardLogs" /stypes="app*4066*20170731*" /stext=" 06:.+((SYSTEM_STATE.+slice.+state.+changed )|(ment ac)|(multiple cpu faults)|(system.+state.+changed )|(\[timeout)|(PRM\|1\|D)|(kpr)|(kdp)|(train st.+moving)|(\|lc)|(penalty))"</v>
      </c>
      <c r="AG151" s="209" t="str">
        <f t="shared" si="56"/>
        <v>EC</v>
      </c>
      <c r="AH151" s="78" t="str">
        <f t="shared" si="57"/>
        <v>"%USERPROFILE%\Documents\GitHub\eaglep3\Utilities\RefineRTDCRunTimes.py" --tripid 239-30 --locoid 4066 --swversion DE.1.0.9.0 --startMP 204:471 --initTime 2017-07-30T23:07:43 --startdatetime 2017-07-30T23:30:50 --delay 1 --endMP 204:233308 --enddatetime 2017-07-31T00:06:15 --enforcementcount 0 &gt;&gt;C:\Users\stu\Documents\GitHub\eaglep3-reporting\EC\2017-07-30-refined-times.txt</v>
      </c>
      <c r="AI151" s="96" t="str">
        <f t="shared" si="58"/>
        <v>echo {"issue":{"subject":"","project_id":79,"tracker_id":40,"status_id":1,"priority_id":2,"assigned_to_id":23,"start_date":"2017-07-31","description":"","custom_fields":[{"id":1,"name":"Subdivision","value":"EC"},{"id":4,"name":"Milepost","value":"23.3308"},{"id":17,"name":"Train ID","value":"239-30"},{"id":16,"name":"Locomotive ID","value":"4066"},{"id":130,"name":"Impact","value":""},{"id":150,"name":"Time of Event (Mountain Time)","value":"00:06:15"},{"id":151,"name":"Denver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2" t="str">
        <f t="shared" si="59"/>
        <v>start /low /b %USERPROFILE%\Documents\GitHub\eaglep3\Utilities\DownloadLogsFromS3.py --loco 4066 --day 2017-07-30</v>
      </c>
      <c r="AN151" s="151" t="str">
        <f t="shared" si="6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06:06:15"},{"id":29,"name":"Sharepoint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</row>
    <row r="152" spans="1:91" s="20" customFormat="1" x14ac:dyDescent="0.25">
      <c r="A152" s="32" t="s">
        <v>856</v>
      </c>
      <c r="B152" s="7">
        <v>4065</v>
      </c>
      <c r="C152" s="21" t="s">
        <v>198</v>
      </c>
      <c r="D152" s="21" t="s">
        <v>485</v>
      </c>
      <c r="E152" s="13">
        <v>42947.00613425926</v>
      </c>
      <c r="F152" s="13">
        <v>42947.01902777778</v>
      </c>
      <c r="G152" s="7">
        <v>1</v>
      </c>
      <c r="H152" s="21" t="s">
        <v>341</v>
      </c>
      <c r="I152" s="13">
        <v>42947.045312499999</v>
      </c>
      <c r="J152" s="7">
        <v>0</v>
      </c>
      <c r="K152" s="89" t="str">
        <f t="shared" si="45"/>
        <v>4065/4066</v>
      </c>
      <c r="L152" s="21" t="str">
        <f>VLOOKUP(A152,'Trips&amp;Operators'!$C$1:$G$99999,5,FALSE)</f>
        <v>SMITH MICHAEL</v>
      </c>
      <c r="M152" s="6">
        <f t="shared" si="46"/>
        <v>2.6284722218406387E-2</v>
      </c>
      <c r="N152" s="7">
        <f t="shared" si="44"/>
        <v>37.849999994505197</v>
      </c>
      <c r="O152" s="7"/>
      <c r="P152" s="7"/>
      <c r="Q152" s="22"/>
      <c r="R152" s="170"/>
      <c r="S152" s="213">
        <f t="shared" si="47"/>
        <v>1</v>
      </c>
      <c r="T152" s="195" t="str">
        <f t="shared" si="48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49"/>
        <v>https://d0f6bd738d7f1b3e5a7ca70fe4ff75f0.us-east-1.aws.found.io/app/kibana#/discover/Steve-Slow-Train-Analysis-(2080s-and-2083s)?_g=(refreshInterval:(display:Off,pause:!f,section:0,value:0),time:(from:'2017-07-30T23:08:50-0600',mode:absolute,to:'2017-07-31T02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52" s="197" t="str">
        <f>IF(AA152&lt;VLOOKUP(AG152,Variables!$AC$3:$AD$8,2,FALSE),"Y","N")</f>
        <v>N</v>
      </c>
      <c r="X152" s="197">
        <f t="shared" si="43"/>
        <v>1</v>
      </c>
      <c r="Y152" s="197">
        <f t="shared" si="50"/>
        <v>23.298500000000001</v>
      </c>
      <c r="Z152" s="197">
        <f t="shared" si="51"/>
        <v>1.4999999999999999E-2</v>
      </c>
      <c r="AA152" s="197">
        <f t="shared" si="52"/>
        <v>23.2835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53"/>
        <v>240</v>
      </c>
      <c r="AE152" s="77" t="str">
        <f t="shared" si="54"/>
        <v>aws s3 cp s3://rtdc.mdm.uploadarchive.raw/RTDC4065/ "%USERPROFILE%\AppData\Local\Temp\OnboardLogs"\RTDC4065\2017-07-31 --exclude "*" --recursive --include "*20170731*" &amp; "%USERPROFILE%\Documents\GitHub\mrs-test-scripts\Headless Mode &amp; Sideloading\WalkAndUnGZ.bat" "%USERPROFILE%\AppData\Local\Temp\OnboardLogs"\RTDC4065\2017-07-31 &amp; aws s3 cp s3://rtdc.mdm.uploadarchive.raw/RTDC4065/ "%USERPROFILE%\AppData\Local\Temp\OnboardLogs"\RTDC4065\2017-08-01 --exclude "*" --recursive --include "*20170801*" &amp; "%USERPROFILE%\Documents\GitHub\mrs-test-scripts\Headless Mode &amp; Sideloading\WalkAndUnGZ.bat" "%USERPROFILE%\AppData\Local\Temp\OnboardLogs"\RTDC4065\2017-08-01</v>
      </c>
      <c r="AF152" s="74" t="str">
        <f t="shared" si="55"/>
        <v>"C:\Program Files (x86)\AstroGrep\AstroGrep.exe" /e /r /s /spath="%USERPROFILE%\AppData\Local\Temp\OnboardLogs" /stypes="app*4065*20170731*" /stext=" 07:.+((SYSTEM_STATE.+slice.+state.+changed )|(ment ac)|(multiple cpu faults)|(system.+state.+changed )|(\[timeout)|(PRM\|1\|D)|(kpr)|(kdp)|(train st.+moving)|(\|lc)|(penalty))"</v>
      </c>
      <c r="AG152" s="209" t="str">
        <f t="shared" si="56"/>
        <v>EC</v>
      </c>
      <c r="AH152" s="78" t="str">
        <f t="shared" si="57"/>
        <v>"%USERPROFILE%\Documents\GitHub\eaglep3\Utilities\RefineRTDCRunTimes.py" --tripid 240-30 --locoid 4065 --swversion DE.1.0.9.0 --startMP 204:232985 --initTime 2017-07-31T00:08:50 --startdatetime 2017-07-31T00:27:24 --delay 1 --endMP 204:150 --enddatetime 2017-07-31T01:05:15 --enforcementcount 0 &gt;&gt;C:\Users\stu\Documents\GitHub\eaglep3-reporting\EC\2017-07-30-refined-times.txt</v>
      </c>
      <c r="AI152" s="96" t="str">
        <f t="shared" si="58"/>
        <v>echo {"issue":{"subject":"","project_id":79,"tracker_id":40,"status_id":1,"priority_id":2,"assigned_to_id":23,"start_date":"2017-07-31","description":"","custom_fields":[{"id":1,"name":"Subdivision","value":"EC"},{"id":4,"name":"Milepost","value":"0.015"},{"id":17,"name":"Train ID","value":"240-30"},{"id":16,"name":"Locomotive ID","value":"4065"},{"id":130,"name":"Impact","value":""},{"id":150,"name":"Time of Event (Mountain Time)","value":"01:05:15"},{"id":151,"name":"Denver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59"/>
        <v>start /low /b %USERPROFILE%\Documents\GitHub\eaglep3\Utilities\DownloadLogsFromS3.py --loco 4065 --day 2017-07-31</v>
      </c>
      <c r="AN152" s="151" t="str">
        <f t="shared" si="6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07:05:15"},{"id":29,"name":"Sharepoint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2" t="s">
        <v>854</v>
      </c>
      <c r="B153" s="7">
        <v>4032</v>
      </c>
      <c r="C153" s="21" t="s">
        <v>198</v>
      </c>
      <c r="D153" s="21" t="s">
        <v>976</v>
      </c>
      <c r="E153" s="13">
        <v>42946.986006944448</v>
      </c>
      <c r="F153" s="13">
        <v>42947.000590277778</v>
      </c>
      <c r="G153" s="7">
        <v>1</v>
      </c>
      <c r="H153" s="21" t="s">
        <v>509</v>
      </c>
      <c r="I153" s="13">
        <v>42947.025023148148</v>
      </c>
      <c r="J153" s="7">
        <v>0</v>
      </c>
      <c r="K153" s="89" t="str">
        <f t="shared" si="45"/>
        <v>4031/4032</v>
      </c>
      <c r="L153" s="21" t="str">
        <f>VLOOKUP(A153,'Trips&amp;Operators'!$C$1:$G$99999,5,FALSE)</f>
        <v>PERKINS DARREN</v>
      </c>
      <c r="M153" s="6">
        <f t="shared" si="46"/>
        <v>2.4432870370219462E-2</v>
      </c>
      <c r="N153" s="7">
        <f t="shared" si="44"/>
        <v>35.183333333116025</v>
      </c>
      <c r="O153" s="7"/>
      <c r="P153" s="7"/>
      <c r="Q153" s="22"/>
      <c r="R153" s="170"/>
      <c r="S153" s="213">
        <f t="shared" si="47"/>
        <v>1</v>
      </c>
      <c r="T153" s="195" t="str">
        <f t="shared" si="48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49"/>
        <v>https://d0f6bd738d7f1b3e5a7ca70fe4ff75f0.us-east-1.aws.found.io/app/kibana#/discover/Steve-Slow-Train-Analysis-(2080s-and-2083s)?_g=(refreshInterval:(display:Off,pause:!f,section:0,value:0),time:(from:'2017-07-30T22:39:51-0600',mode:absolute,to:'2017-07-31T01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3" s="197" t="str">
        <f>IF(AA153&lt;VLOOKUP(AG153,Variables!$AC$3:$AD$8,2,FALSE),"Y","N")</f>
        <v>N</v>
      </c>
      <c r="X153" s="197">
        <f t="shared" si="43"/>
        <v>1</v>
      </c>
      <c r="Y153" s="197">
        <f t="shared" si="50"/>
        <v>4.2900000000000001E-2</v>
      </c>
      <c r="Z153" s="197">
        <f t="shared" si="51"/>
        <v>23.327999999999999</v>
      </c>
      <c r="AA153" s="197">
        <f t="shared" si="52"/>
        <v>23.2851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53"/>
        <v>241</v>
      </c>
      <c r="AE153" s="77" t="str">
        <f t="shared" si="54"/>
        <v>aws s3 cp s3://rtdc.mdm.uploadarchive.raw/RTDC4032/ "%USERPROFILE%\AppData\Local\Temp\OnboardLogs"\RTDC4032\2017-07-31 --exclude "*" --recursive --include "*20170731*" &amp; "%USERPROFILE%\Documents\GitHub\mrs-test-scripts\Headless Mode &amp; Sideloading\WalkAndUnGZ.bat" "%USERPROFILE%\AppData\Local\Temp\OnboardLogs"\RTDC4032\2017-07-31 &amp; aws s3 cp s3://rtdc.mdm.uploadarchive.raw/RTDC4032/ "%USERPROFILE%\AppData\Local\Temp\OnboardLogs"\RTDC4032\2017-08-01 --exclude "*" --recursive --include "*20170801*" &amp; "%USERPROFILE%\Documents\GitHub\mrs-test-scripts\Headless Mode &amp; Sideloading\WalkAndUnGZ.bat" "%USERPROFILE%\AppData\Local\Temp\OnboardLogs"\RTDC4032\2017-08-01</v>
      </c>
      <c r="AF153" s="74" t="str">
        <f t="shared" si="55"/>
        <v>"C:\Program Files (x86)\AstroGrep\AstroGrep.exe" /e /r /s /spath="%USERPROFILE%\AppData\Local\Temp\OnboardLogs" /stypes="app*4032*20170731*" /stext=" 06:.+((SYSTEM_STATE.+slice.+state.+changed )|(ment ac)|(multiple cpu faults)|(system.+state.+changed )|(\[timeout)|(PRM\|1\|D)|(kpr)|(kdp)|(train st.+moving)|(\|lc)|(penalty))"</v>
      </c>
      <c r="AG153" s="209" t="str">
        <f t="shared" si="56"/>
        <v>EC</v>
      </c>
      <c r="AH153" s="78" t="str">
        <f t="shared" si="57"/>
        <v>"%USERPROFILE%\Documents\GitHub\eaglep3\Utilities\RefineRTDCRunTimes.py" --tripid 241-30 --locoid 4032 --swversion DE.1.0.9.0 --startMP 204:429 --initTime 2017-07-30T23:39:51 --startdatetime 2017-07-31T00:00:51 --delay 1 --endMP 204:233280 --enddatetime 2017-07-31T00:36:02 --enforcementcount 0 &gt;&gt;C:\Users\stu\Documents\GitHub\eaglep3-reporting\EC\2017-07-30-refined-times.txt</v>
      </c>
      <c r="AI153" s="96" t="str">
        <f t="shared" si="58"/>
        <v>echo {"issue":{"subject":"","project_id":79,"tracker_id":40,"status_id":1,"priority_id":2,"assigned_to_id":23,"start_date":"2017-07-31","description":"","custom_fields":[{"id":1,"name":"Subdivision","value":"EC"},{"id":4,"name":"Milepost","value":"23.328"},{"id":17,"name":"Train ID","value":"241-30"},{"id":16,"name":"Locomotive ID","value":"4032"},{"id":130,"name":"Impact","value":""},{"id":150,"name":"Time of Event (Mountain Time)","value":"00:36:02"},{"id":151,"name":"Denver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2" t="str">
        <f t="shared" si="59"/>
        <v>start /low /b %USERPROFILE%\Documents\GitHub\eaglep3\Utilities\DownloadLogsFromS3.py --loco 4032 --day 2017-07-31</v>
      </c>
      <c r="AN153" s="151" t="str">
        <f t="shared" si="6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06:36:02"},{"id":29,"name":"Sharepoint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</row>
    <row r="154" spans="1:91" x14ac:dyDescent="0.25">
      <c r="A154" s="32" t="s">
        <v>858</v>
      </c>
      <c r="B154" s="7">
        <v>4031</v>
      </c>
      <c r="C154" s="21" t="s">
        <v>198</v>
      </c>
      <c r="D154" s="21" t="s">
        <v>506</v>
      </c>
      <c r="E154" s="13">
        <v>42947.036597222221</v>
      </c>
      <c r="F154" s="13">
        <v>42947.039768518516</v>
      </c>
      <c r="G154" s="7">
        <v>1</v>
      </c>
      <c r="H154" s="21" t="s">
        <v>596</v>
      </c>
      <c r="I154" s="13">
        <v>42947.066423611112</v>
      </c>
      <c r="J154" s="7">
        <v>0</v>
      </c>
      <c r="K154" s="89" t="str">
        <f t="shared" si="45"/>
        <v>4031/4032</v>
      </c>
      <c r="L154" s="21" t="str">
        <f>VLOOKUP(A154,'Trips&amp;Operators'!$C$1:$G$99999,5,FALSE)</f>
        <v>PERKINS DARREN</v>
      </c>
      <c r="M154" s="6">
        <f t="shared" si="46"/>
        <v>2.6655092595319729E-2</v>
      </c>
      <c r="N154" s="7">
        <f t="shared" si="44"/>
        <v>38.38333333726041</v>
      </c>
      <c r="O154" s="7"/>
      <c r="P154" s="7"/>
      <c r="Q154" s="22"/>
      <c r="R154" s="170"/>
      <c r="S154" s="213">
        <f t="shared" si="47"/>
        <v>1</v>
      </c>
      <c r="T154" s="195" t="str">
        <f t="shared" si="48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49"/>
        <v>https://d0f6bd738d7f1b3e5a7ca70fe4ff75f0.us-east-1.aws.found.io/app/kibana#/discover/Steve-Slow-Train-Analysis-(2080s-and-2083s)?_g=(refreshInterval:(display:Off,pause:!f,section:0,value:0),time:(from:'2017-07-30T23:52:42-0600',mode:absolute,to:'2017-07-31T02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4" s="197" t="str">
        <f>IF(AA154&lt;VLOOKUP(AG154,Variables!$AC$3:$AD$8,2,FALSE),"Y","N")</f>
        <v>N</v>
      </c>
      <c r="X154" s="197">
        <f t="shared" si="43"/>
        <v>1</v>
      </c>
      <c r="Y154" s="197">
        <f t="shared" si="50"/>
        <v>23.297699999999999</v>
      </c>
      <c r="Z154" s="197">
        <f t="shared" si="51"/>
        <v>1.3599999999999999E-2</v>
      </c>
      <c r="AA154" s="197">
        <f t="shared" si="52"/>
        <v>23.284099999999999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53"/>
        <v>242</v>
      </c>
      <c r="AE154" s="77" t="str">
        <f t="shared" si="54"/>
        <v>aws s3 cp s3://rtdc.mdm.uploadarchive.raw/RTDC4031/ "%USERPROFILE%\AppData\Local\Temp\OnboardLogs"\RTDC4031\2017-07-31 --exclude "*" --recursive --include "*20170731*" &amp; "%USERPROFILE%\Documents\GitHub\mrs-test-scripts\Headless Mode &amp; Sideloading\WalkAndUnGZ.bat" "%USERPROFILE%\AppData\Local\Temp\OnboardLogs"\RTDC4031\2017-07-31 &amp; aws s3 cp s3://rtdc.mdm.uploadarchive.raw/RTDC4031/ "%USERPROFILE%\AppData\Local\Temp\OnboardLogs"\RTDC4031\2017-08-01 --exclude "*" --recursive --include "*20170801*" &amp; "%USERPROFILE%\Documents\GitHub\mrs-test-scripts\Headless Mode &amp; Sideloading\WalkAndUnGZ.bat" "%USERPROFILE%\AppData\Local\Temp\OnboardLogs"\RTDC4031\2017-08-01</v>
      </c>
      <c r="AF154" s="74" t="str">
        <f t="shared" si="55"/>
        <v>"C:\Program Files (x86)\AstroGrep\AstroGrep.exe" /e /r /s /spath="%USERPROFILE%\AppData\Local\Temp\OnboardLogs" /stypes="app*4031*20170731*" /stext=" 07:.+((SYSTEM_STATE.+slice.+state.+changed )|(ment ac)|(multiple cpu faults)|(system.+state.+changed )|(\[timeout)|(PRM\|1\|D)|(kpr)|(kdp)|(train st.+moving)|(\|lc)|(penalty))"</v>
      </c>
      <c r="AG154" s="209" t="str">
        <f t="shared" si="56"/>
        <v>EC</v>
      </c>
      <c r="AH154" s="78" t="str">
        <f t="shared" si="57"/>
        <v>"%USERPROFILE%\Documents\GitHub\eaglep3\Utilities\RefineRTDCRunTimes.py" --tripid 242-30 --locoid 4031 --swversion DE.1.0.9.0 --startMP 204:232977 --initTime 2017-07-31T00:52:42 --startdatetime 2017-07-31T00:57:16 --delay 1 --endMP 204:136 --enddatetime 2017-07-31T01:35:39 --enforcementcount 0 &gt;&gt;C:\Users\stu\Documents\GitHub\eaglep3-reporting\EC\2017-07-30-refined-times.txt</v>
      </c>
      <c r="AI154" s="96" t="str">
        <f t="shared" si="58"/>
        <v>echo {"issue":{"subject":"","project_id":79,"tracker_id":40,"status_id":1,"priority_id":2,"assigned_to_id":23,"start_date":"2017-07-31","description":"","custom_fields":[{"id":1,"name":"Subdivision","value":"EC"},{"id":4,"name":"Milepost","value":"0.0136"},{"id":17,"name":"Train ID","value":"242-30"},{"id":16,"name":"Locomotive ID","value":"4031"},{"id":130,"name":"Impact","value":""},{"id":150,"name":"Time of Event (Mountain Time)","value":"01:35:39"},{"id":151,"name":"Denver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2" t="str">
        <f t="shared" si="59"/>
        <v>start /low /b %USERPROFILE%\Documents\GitHub\eaglep3\Utilities\DownloadLogsFromS3.py --loco 4031 --day 2017-07-31</v>
      </c>
      <c r="AN154" s="151" t="str">
        <f t="shared" si="6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07:35:39"},{"id":29,"name":"Sharepoint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</row>
    <row r="155" spans="1:91" s="20" customFormat="1" x14ac:dyDescent="0.25">
      <c r="A155" s="32" t="s">
        <v>855</v>
      </c>
      <c r="B155" s="7">
        <v>4054</v>
      </c>
      <c r="C155" s="21" t="s">
        <v>198</v>
      </c>
      <c r="D155" s="21" t="s">
        <v>507</v>
      </c>
      <c r="E155" s="13">
        <v>42947.005925925929</v>
      </c>
      <c r="F155" s="13">
        <v>42947.021365740744</v>
      </c>
      <c r="G155" s="7">
        <v>1</v>
      </c>
      <c r="H155" s="21" t="s">
        <v>509</v>
      </c>
      <c r="I155" s="13">
        <v>42947.046898148146</v>
      </c>
      <c r="J155" s="7">
        <v>0</v>
      </c>
      <c r="K155" s="89" t="str">
        <f t="shared" si="45"/>
        <v>4053/4054</v>
      </c>
      <c r="L155" s="21" t="str">
        <f>VLOOKUP(A155,'Trips&amp;Operators'!$C$1:$G$99999,5,FALSE)</f>
        <v>HAITHCOX MICHAEL</v>
      </c>
      <c r="M155" s="6">
        <f t="shared" si="46"/>
        <v>2.5532407402351964E-2</v>
      </c>
      <c r="N155" s="7">
        <f t="shared" si="44"/>
        <v>36.766666659386829</v>
      </c>
      <c r="O155" s="7"/>
      <c r="P155" s="7"/>
      <c r="Q155" s="22"/>
      <c r="R155" s="170"/>
      <c r="S155" s="213">
        <f t="shared" si="47"/>
        <v>1</v>
      </c>
      <c r="T155" s="195" t="str">
        <f t="shared" si="48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49"/>
        <v>https://d0f6bd738d7f1b3e5a7ca70fe4ff75f0.us-east-1.aws.found.io/app/kibana#/discover/Steve-Slow-Train-Analysis-(2080s-and-2083s)?_g=(refreshInterval:(display:Off,pause:!f,section:0,value:0),time:(from:'2017-07-30T23:08:32-0600',mode:absolute,to:'2017-07-31T02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5" s="197" t="str">
        <f>IF(AA155&lt;VLOOKUP(AG155,Variables!$AC$3:$AD$8,2,FALSE),"Y","N")</f>
        <v>N</v>
      </c>
      <c r="X155" s="197">
        <f t="shared" si="43"/>
        <v>1</v>
      </c>
      <c r="Y155" s="197">
        <f t="shared" si="50"/>
        <v>4.4400000000000002E-2</v>
      </c>
      <c r="Z155" s="197">
        <f t="shared" si="51"/>
        <v>23.327999999999999</v>
      </c>
      <c r="AA155" s="197">
        <f t="shared" si="52"/>
        <v>23.2836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53"/>
        <v>243</v>
      </c>
      <c r="AE155" s="77" t="str">
        <f t="shared" si="54"/>
        <v>aws s3 cp s3://rtdc.mdm.uploadarchive.raw/RTDC4054/ "%USERPROFILE%\AppData\Local\Temp\OnboardLogs"\RTDC4054\2017-07-31 --exclude "*" --recursive --include "*20170731*" &amp; "%USERPROFILE%\Documents\GitHub\mrs-test-scripts\Headless Mode &amp; Sideloading\WalkAndUnGZ.bat" "%USERPROFILE%\AppData\Local\Temp\OnboardLogs"\RTDC4054\2017-07-31 &amp; aws s3 cp s3://rtdc.mdm.uploadarchive.raw/RTDC4054/ "%USERPROFILE%\AppData\Local\Temp\OnboardLogs"\RTDC4054\2017-08-01 --exclude "*" --recursive --include "*20170801*" &amp; "%USERPROFILE%\Documents\GitHub\mrs-test-scripts\Headless Mode &amp; Sideloading\WalkAndUnGZ.bat" "%USERPROFILE%\AppData\Local\Temp\OnboardLogs"\RTDC4054\2017-08-01</v>
      </c>
      <c r="AF155" s="74" t="str">
        <f t="shared" si="55"/>
        <v>"C:\Program Files (x86)\AstroGrep\AstroGrep.exe" /e /r /s /spath="%USERPROFILE%\AppData\Local\Temp\OnboardLogs" /stypes="app*4054*20170731*" /stext=" 07:.+((SYSTEM_STATE.+slice.+state.+changed )|(ment ac)|(multiple cpu faults)|(system.+state.+changed )|(\[timeout)|(PRM\|1\|D)|(kpr)|(kdp)|(train st.+moving)|(\|lc)|(penalty))"</v>
      </c>
      <c r="AG155" s="209" t="str">
        <f t="shared" si="56"/>
        <v>EC</v>
      </c>
      <c r="AH155" s="78" t="str">
        <f t="shared" si="57"/>
        <v>"%USERPROFILE%\Documents\GitHub\eaglep3\Utilities\RefineRTDCRunTimes.py" --tripid 243-30 --locoid 4054 --swversion DE.1.0.9.0 --startMP 204:444 --initTime 2017-07-31T00:08:32 --startdatetime 2017-07-31T00:30:46 --delay 1 --endMP 204:233280 --enddatetime 2017-07-31T01:07:32 --enforcementcount 0 &gt;&gt;C:\Users\stu\Documents\GitHub\eaglep3-reporting\EC\2017-07-30-refined-times.txt</v>
      </c>
      <c r="AI155" s="96" t="str">
        <f t="shared" si="58"/>
        <v>echo {"issue":{"subject":"","project_id":79,"tracker_id":40,"status_id":1,"priority_id":2,"assigned_to_id":23,"start_date":"2017-07-31","description":"","custom_fields":[{"id":1,"name":"Subdivision","value":"EC"},{"id":4,"name":"Milepost","value":"23.328"},{"id":17,"name":"Train ID","value":"243-30"},{"id":16,"name":"Locomotive ID","value":"4054"},{"id":130,"name":"Impact","value":""},{"id":150,"name":"Time of Event (Mountain Time)","value":"01:07:32"},{"id":151,"name":"Denver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59"/>
        <v>start /low /b %USERPROFILE%\Documents\GitHub\eaglep3\Utilities\DownloadLogsFromS3.py --loco 4054 --day 2017-07-31</v>
      </c>
      <c r="AN155" s="151" t="str">
        <f t="shared" si="6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07:07:32"},{"id":29,"name":"Sharepoint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663</v>
      </c>
      <c r="B156" s="7">
        <v>4053</v>
      </c>
      <c r="C156" s="21" t="s">
        <v>198</v>
      </c>
      <c r="D156" s="21" t="s">
        <v>994</v>
      </c>
      <c r="E156" s="13">
        <v>42947.059016203704</v>
      </c>
      <c r="F156" s="13">
        <v>42947.07640046296</v>
      </c>
      <c r="G156" s="7">
        <v>1</v>
      </c>
      <c r="H156" s="21" t="s">
        <v>995</v>
      </c>
      <c r="I156" s="13">
        <v>42947.090833333335</v>
      </c>
      <c r="J156" s="7">
        <v>0</v>
      </c>
      <c r="K156" s="89" t="str">
        <f t="shared" si="45"/>
        <v>4053/4054</v>
      </c>
      <c r="L156" s="21" t="str">
        <f>VLOOKUP(A156,'Trips&amp;Operators'!$C$1:$G$99999,5,FALSE)</f>
        <v>HAITHCOX MICHAEL</v>
      </c>
      <c r="M156" s="6">
        <f t="shared" si="46"/>
        <v>1.4432870375458151E-2</v>
      </c>
      <c r="N156" s="7"/>
      <c r="O156" s="7"/>
      <c r="P156" s="7">
        <f>24*60*SUM($M156:$M156)</f>
        <v>20.783333340659738</v>
      </c>
      <c r="Q156" s="22"/>
      <c r="R156" s="170" t="s">
        <v>1047</v>
      </c>
      <c r="S156" s="213">
        <f t="shared" si="47"/>
        <v>8.3333333333333329E-2</v>
      </c>
      <c r="T156" s="195" t="str">
        <f t="shared" si="48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196" t="str">
        <f t="shared" si="49"/>
        <v>https://d0f6bd738d7f1b3e5a7ca70fe4ff75f0.us-east-1.aws.found.io/app/kibana#/discover/Steve-Slow-Train-Analysis-(2080s-and-2083s)?_g=(refreshInterval:(display:Off,pause:!f,section:0,value:0),time:(from:'2017-07-31T00:24:59-0600',mode:absolute,to:'2017-07-31T03:10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6" s="197" t="str">
        <f>IF(AA156&lt;VLOOKUP(AG156,Variables!$AC$3:$AD$8,2,FALSE),"Y","N")</f>
        <v>Y</v>
      </c>
      <c r="X156" s="197">
        <f t="shared" ref="X156:X162" si="61">VALUE(LEFT(AD156,4))-VALUE(LEFT(AD155,4))</f>
        <v>1</v>
      </c>
      <c r="Y156" s="197">
        <f t="shared" si="50"/>
        <v>23.295300000000001</v>
      </c>
      <c r="Z156" s="197">
        <f t="shared" si="51"/>
        <v>10.378</v>
      </c>
      <c r="AA156" s="197">
        <f t="shared" si="52"/>
        <v>12.917300000000001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53"/>
        <v>244</v>
      </c>
      <c r="AE156" s="77" t="str">
        <f t="shared" si="54"/>
        <v>aws s3 cp s3://rtdc.mdm.uploadarchive.raw/RTDC4053/ "%USERPROFILE%\AppData\Local\Temp\OnboardLogs"\RTDC4053\2017-07-31 --exclude "*" --recursive --include "*20170731*" &amp; "%USERPROFILE%\Documents\GitHub\mrs-test-scripts\Headless Mode &amp; Sideloading\WalkAndUnGZ.bat" "%USERPROFILE%\AppData\Local\Temp\OnboardLogs"\RTDC4053\2017-07-31 &amp; aws s3 cp s3://rtdc.mdm.uploadarchive.raw/RTDC4053/ "%USERPROFILE%\AppData\Local\Temp\OnboardLogs"\RTDC4053\2017-08-01 --exclude "*" --recursive --include "*20170801*" &amp; "%USERPROFILE%\Documents\GitHub\mrs-test-scripts\Headless Mode &amp; Sideloading\WalkAndUnGZ.bat" "%USERPROFILE%\AppData\Local\Temp\OnboardLogs"\RTDC4053\2017-08-01</v>
      </c>
      <c r="AF156" s="74" t="str">
        <f t="shared" si="55"/>
        <v>"C:\Program Files (x86)\AstroGrep\AstroGrep.exe" /e /r /s /spath="%USERPROFILE%\AppData\Local\Temp\OnboardLogs" /stypes="app*4053*20170731*" /stext=" 08:.+((SYSTEM_STATE.+slice.+state.+changed )|(ment ac)|(multiple cpu faults)|(system.+state.+changed )|(\[timeout)|(PRM\|1\|D)|(kpr)|(kdp)|(train st.+moving)|(\|lc)|(penalty))"</v>
      </c>
      <c r="AG156" s="209" t="str">
        <f t="shared" si="56"/>
        <v>EC</v>
      </c>
      <c r="AH156" s="78" t="str">
        <f t="shared" si="57"/>
        <v>"%USERPROFILE%\Documents\GitHub\eaglep3\Utilities\RefineRTDCRunTimes.py" --tripid 244-30 --locoid 4053 --swversion DE.1.0.9.0 --startMP 204:232953 --initTime 2017-07-31T01:24:59 --startdatetime 2017-07-31T01:50:01 --delay 1 --endMP 204:103780 --enddatetime 2017-07-31T02:10:48 --enforcementcount 0 &gt;&gt;C:\Users\stu\Documents\GitHub\eaglep3-reporting\EC\2017-07-30-refined-times.txt</v>
      </c>
      <c r="AI156" s="96" t="str">
        <f t="shared" si="58"/>
        <v>echo {"issue":{"subject":"BOS restarted at 01:41","project_id":79,"tracker_id":40,"status_id":1,"priority_id":2,"assigned_to_id":23,"start_date":"2017-07-31","description":"","custom_fields":[{"id":1,"name":"Subdivision","value":"EC"},{"id":4,"name":"Milepost","value":"10.378"},{"id":17,"name":"Train ID","value":"244-30"},{"id":16,"name":"Locomotive ID","value":"4053"},{"id":130,"name":"Impact","value":""},{"id":150,"name":"Time of Event (Mountain Time)","value":"02:10:48"},{"id":151,"name":"Denver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59"/>
        <v>start /low /b %USERPROFILE%\Documents\GitHub\eaglep3\Utilities\DownloadLogsFromS3.py --loco 4053 --day 2017-07-31</v>
      </c>
      <c r="AN156" s="151" t="str">
        <f t="shared" si="60"/>
        <v>echo {"issue":{"subject":"BOS restarted at 01:41","project_id":30,"tracker_id":4,"status_id":1,"priority_id":1,"assigned_to_id":10,"start_date":"2017-07-31","description":"","custom_fields":[{"id":30,"name":"Category","value":"Issue"},{"id":3,"name":"Functional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08:10:48"},{"id":29,"name":"Sharepoint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663</v>
      </c>
      <c r="B157" s="7">
        <v>4053</v>
      </c>
      <c r="C157" s="21" t="s">
        <v>198</v>
      </c>
      <c r="D157" s="21" t="s">
        <v>996</v>
      </c>
      <c r="E157" s="13">
        <v>42947.075289351851</v>
      </c>
      <c r="F157" s="13">
        <v>42947.07640046296</v>
      </c>
      <c r="G157" s="7">
        <v>1</v>
      </c>
      <c r="H157" s="21" t="s">
        <v>997</v>
      </c>
      <c r="I157" s="13">
        <v>42947.090833333335</v>
      </c>
      <c r="J157" s="7">
        <v>0</v>
      </c>
      <c r="K157" s="89" t="str">
        <f t="shared" si="45"/>
        <v>4053/4054</v>
      </c>
      <c r="L157" s="21" t="str">
        <f>VLOOKUP(A157,'Trips&amp;Operators'!$C$1:$G$99999,5,FALSE)</f>
        <v>HAITHCOX MICHAEL</v>
      </c>
      <c r="M157" s="6">
        <f t="shared" si="46"/>
        <v>1.4432870375458151E-2</v>
      </c>
      <c r="N157" s="7"/>
      <c r="O157" s="7"/>
      <c r="P157" s="7"/>
      <c r="Q157" s="22"/>
      <c r="R157" s="170"/>
      <c r="S157" s="213">
        <f t="shared" si="47"/>
        <v>0.83333333333333326</v>
      </c>
      <c r="T157" s="195" t="str">
        <f t="shared" si="48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10</v>
      </c>
      <c r="V157" s="196" t="str">
        <f t="shared" si="49"/>
        <v>https://d0f6bd738d7f1b3e5a7ca70fe4ff75f0.us-east-1.aws.found.io/app/kibana#/discover/Steve-Slow-Train-Analysis-(2080s-and-2083s)?_g=(refreshInterval:(display:Off,pause:!f,section:0,value:0),time:(from:'2017-07-31T00:48:25-0600',mode:absolute,to:'2017-07-31T03:10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7" s="197" t="str">
        <f>IF(AA157&lt;VLOOKUP(AG157,Variables!$AC$3:$AD$8,2,FALSE),"Y","N")</f>
        <v>Y</v>
      </c>
      <c r="X157" s="197">
        <f t="shared" si="61"/>
        <v>0</v>
      </c>
      <c r="Y157" s="197">
        <f t="shared" si="50"/>
        <v>8.6351999999999993</v>
      </c>
      <c r="Z157" s="197">
        <f t="shared" si="51"/>
        <v>9.3700000000000006E-2</v>
      </c>
      <c r="AA157" s="197">
        <f t="shared" si="52"/>
        <v>8.5414999999999992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53"/>
        <v>244</v>
      </c>
      <c r="AE157" s="77" t="str">
        <f t="shared" si="54"/>
        <v>aws s3 cp s3://rtdc.mdm.uploadarchive.raw/RTDC4053/ "%USERPROFILE%\AppData\Local\Temp\OnboardLogs"\RTDC4053\2017-07-31 --exclude "*" --recursive --include "*20170731*" &amp; "%USERPROFILE%\Documents\GitHub\mrs-test-scripts\Headless Mode &amp; Sideloading\WalkAndUnGZ.bat" "%USERPROFILE%\AppData\Local\Temp\OnboardLogs"\RTDC4053\2017-07-31 &amp; aws s3 cp s3://rtdc.mdm.uploadarchive.raw/RTDC4053/ "%USERPROFILE%\AppData\Local\Temp\OnboardLogs"\RTDC4053\2017-08-01 --exclude "*" --recursive --include "*20170801*" &amp; "%USERPROFILE%\Documents\GitHub\mrs-test-scripts\Headless Mode &amp; Sideloading\WalkAndUnGZ.bat" "%USERPROFILE%\AppData\Local\Temp\OnboardLogs"\RTDC4053\2017-08-01</v>
      </c>
      <c r="AF157" s="74" t="str">
        <f t="shared" si="55"/>
        <v>"C:\Program Files (x86)\AstroGrep\AstroGrep.exe" /e /r /s /spath="%USERPROFILE%\AppData\Local\Temp\OnboardLogs" /stypes="app*4053*20170731*" /stext=" 08:.+((SYSTEM_STATE.+slice.+state.+changed )|(ment ac)|(multiple cpu faults)|(system.+state.+changed )|(\[timeout)|(PRM\|1\|D)|(kpr)|(kdp)|(train st.+moving)|(\|lc)|(penalty))"</v>
      </c>
      <c r="AG157" s="209" t="str">
        <f t="shared" si="56"/>
        <v>EC</v>
      </c>
      <c r="AH157" s="78" t="str">
        <f t="shared" si="57"/>
        <v>"%USERPROFILE%\Documents\GitHub\eaglep3\Utilities\RefineRTDCRunTimes.py" --tripid 244-30 --locoid 4053 --swversion DE.1.0.9.0 --startMP 204:86352 --initTime 2017-07-31T01:48:25 --startdatetime 2017-07-31T01:50:01 --delay 1 --endMP 204:937 --enddatetime 2017-07-31T02:10:48 --enforcementcount 0 &gt;&gt;C:\Users\stu\Documents\GitHub\eaglep3-reporting\EC\2017-07-30-refined-times.txt</v>
      </c>
      <c r="AI157" s="96" t="str">
        <f t="shared" si="58"/>
        <v>echo {"issue":{"subject":"","project_id":79,"tracker_id":40,"status_id":1,"priority_id":2,"assigned_to_id":23,"start_date":"2017-07-31","description":"","custom_fields":[{"id":1,"name":"Subdivision","value":"EC"},{"id":4,"name":"Milepost","value":"0.0937"},{"id":17,"name":"Train ID","value":"244-30"},{"id":16,"name":"Locomotive ID","value":"4053"},{"id":130,"name":"Impact","value":""},{"id":150,"name":"Time of Event (Mountain Time)","value":"02:10:48"},{"id":151,"name":"Denver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59"/>
        <v>start /low /b %USERPROFILE%\Documents\GitHub\eaglep3\Utilities\DownloadLogsFromS3.py --loco 4053 --day 2017-07-31</v>
      </c>
      <c r="AN157" s="151" t="str">
        <f t="shared" si="6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08:10:48"},{"id":29,"name":"Sharepoint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623</v>
      </c>
      <c r="B158" s="7">
        <v>4021</v>
      </c>
      <c r="C158" s="21" t="s">
        <v>198</v>
      </c>
      <c r="D158" s="21" t="s">
        <v>925</v>
      </c>
      <c r="E158" s="13">
        <v>42946.229733796295</v>
      </c>
      <c r="F158" s="13">
        <v>42946.232210648152</v>
      </c>
      <c r="G158" s="7">
        <v>1</v>
      </c>
      <c r="H158" s="21" t="s">
        <v>926</v>
      </c>
      <c r="I158" s="13">
        <v>42946.246979166666</v>
      </c>
      <c r="J158" s="7">
        <v>0</v>
      </c>
      <c r="K158" s="89" t="str">
        <f t="shared" si="45"/>
        <v>4021/4022</v>
      </c>
      <c r="L158" s="21" t="str">
        <f>VLOOKUP(A158,'Trips&amp;Operators'!$C$1:$G$99999,5,FALSE)</f>
        <v>DAVIDSON DAVID</v>
      </c>
      <c r="M158" s="6">
        <f t="shared" si="46"/>
        <v>1.4768518514756579E-2</v>
      </c>
      <c r="N158" s="7">
        <f t="shared" ref="N158:N197" si="62">24*60*SUM($M158:$M158)</f>
        <v>21.266666661249474</v>
      </c>
      <c r="O158" s="7"/>
      <c r="P158" s="7"/>
      <c r="Q158" s="22"/>
      <c r="R158" s="170"/>
      <c r="S158" s="213">
        <f t="shared" si="47"/>
        <v>1</v>
      </c>
      <c r="T158" s="195" t="str">
        <f t="shared" si="48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6" t="str">
        <f t="shared" si="49"/>
        <v>https://d0f6bd738d7f1b3e5a7ca70fe4ff75f0.us-east-1.aws.found.io/app/kibana#/discover/Steve-Slow-Train-Analysis-(2080s-and-2083s)?_g=(refreshInterval:(display:Off,pause:!f,section:0,value:0),time:(from:'2017-07-30T04:30:49-0600',mode:absolute,to:'2017-07-30T06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8" s="197" t="str">
        <f>IF(AA158&lt;VLOOKUP(AG158,Variables!$AC$3:$AD$8,2,FALSE),"Y","N")</f>
        <v>N</v>
      </c>
      <c r="X158" s="197">
        <f t="shared" si="61"/>
        <v>1556</v>
      </c>
      <c r="Y158" s="197">
        <f t="shared" si="50"/>
        <v>5.8620999999999999</v>
      </c>
      <c r="Z158" s="197">
        <f t="shared" si="51"/>
        <v>7.1300000000000002E-2</v>
      </c>
      <c r="AA158" s="197">
        <f t="shared" si="52"/>
        <v>5.7907999999999999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53"/>
        <v>1800</v>
      </c>
      <c r="AE158" s="77" t="str">
        <f t="shared" si="54"/>
        <v>aws s3 cp s3://rtdc.mdm.uploadarchive.raw/RTDC4021/ "%USERPROFILE%\AppData\Local\Temp\OnboardLogs"\RTDC4021\2017-07-30 --exclude "*" --recursive --include "*20170730*" &amp; "%USERPROFILE%\Documents\GitHub\mrs-test-scripts\Headless Mode &amp; Sideloading\WalkAndUnGZ.bat" "%USERPROFILE%\AppData\Local\Temp\OnboardLogs"\RTDC4021\2017-07-30 &amp; aws s3 cp s3://rtdc.mdm.uploadarchive.raw/RTDC4021/ "%USERPROFILE%\AppData\Local\Temp\OnboardLogs"\RTDC4021\2017-07-31 --exclude "*" --recursive --include "*20170731*" &amp; "%USERPROFILE%\Documents\GitHub\mrs-test-scripts\Headless Mode &amp; Sideloading\WalkAndUnGZ.bat" "%USERPROFILE%\AppData\Local\Temp\OnboardLogs"\RTDC4021\2017-07-31</v>
      </c>
      <c r="AF158" s="74" t="str">
        <f t="shared" si="55"/>
        <v>"C:\Program Files (x86)\AstroGrep\AstroGrep.exe" /e /r /s /spath="%USERPROFILE%\AppData\Local\Temp\OnboardLogs" /stypes="app*4021*20170730*" /stext=" 11:.+((SYSTEM_STATE.+slice.+state.+changed )|(ment ac)|(multiple cpu faults)|(system.+state.+changed )|(\[timeout)|(PRM\|1\|D)|(kpr)|(kdp)|(train st.+moving)|(\|lc)|(penalty))"</v>
      </c>
      <c r="AG158" s="209" t="str">
        <f t="shared" si="56"/>
        <v>NW</v>
      </c>
      <c r="AH158" s="78" t="str">
        <f t="shared" si="57"/>
        <v>"%USERPROFILE%\Documents\GitHub\eaglep3\Utilities\RefineRTDCRunTimes.py" --tripid 1800-30 --locoid 4021 --swversion DE.1.0.9.0 --startMP 300:58621 --initTime 2017-07-30T05:30:49 --startdatetime 2017-07-30T05:34:23 --delay 1 --endMP 204:713 --enddatetime 2017-07-30T05:55:39 --enforcementcount 0 &gt;&gt;C:\Users\stu\Documents\GitHub\eaglep3-reporting\EC\2017-07-30-refined-times.txt</v>
      </c>
      <c r="AI158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{"issue":{"subject":"","project_id":79,"tracker_id":40,"status_id":1,"priority_id":2,"assigned_to_id":23,"start_date":"2017-07-30","description":"","custom_fields":[{"id":1,"name":"Subdivision","value":"NW"},{"id":4,"name":"Milepost","value":"0.0713"},{"id":17,"name":"Train ID","value":"1800-30"},{"id":16,"name":"Locomotive ID","value":"4021"},{"id":130,"name":"Impact","value":""},{"id":150,"name":"Time of Event (Mountain Time)","value":"05:55:39"},{"id":151,"name":"Denver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59"/>
        <v>start /low /b %USERPROFILE%\Documents\GitHub\eaglep3\Utilities\DownloadLogsFromS3.py --loco 4021 --day 2017-07-30</v>
      </c>
      <c r="AN158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11:55:39"},{"id":29,"name":"Sharepoint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710</v>
      </c>
      <c r="B159" s="7">
        <v>4022</v>
      </c>
      <c r="C159" s="21" t="s">
        <v>198</v>
      </c>
      <c r="D159" s="21" t="s">
        <v>493</v>
      </c>
      <c r="E159" s="13">
        <v>42946.248599537037</v>
      </c>
      <c r="F159" s="13">
        <v>42946.264791666668</v>
      </c>
      <c r="G159" s="7">
        <v>1</v>
      </c>
      <c r="H159" s="21" t="s">
        <v>608</v>
      </c>
      <c r="I159" s="13">
        <v>42946.274398148147</v>
      </c>
      <c r="J159" s="7">
        <v>0</v>
      </c>
      <c r="K159" s="89" t="str">
        <f t="shared" si="45"/>
        <v>4021/4022</v>
      </c>
      <c r="L159" s="21" t="str">
        <f>VLOOKUP(A159,'Trips&amp;Operators'!$C$1:$G$99999,5,FALSE)</f>
        <v>DAVIDSON DAVID</v>
      </c>
      <c r="M159" s="6">
        <f t="shared" si="46"/>
        <v>9.6064814788405783E-3</v>
      </c>
      <c r="N159" s="7">
        <f t="shared" si="62"/>
        <v>13.833333329530433</v>
      </c>
      <c r="O159" s="7"/>
      <c r="P159" s="7"/>
      <c r="Q159" s="22"/>
      <c r="R159" s="170"/>
      <c r="S159" s="213">
        <f t="shared" si="47"/>
        <v>1</v>
      </c>
      <c r="T159" s="195" t="str">
        <f t="shared" si="48"/>
        <v>NorthBound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49"/>
        <v>https://d0f6bd738d7f1b3e5a7ca70fe4ff75f0.us-east-1.aws.found.io/app/kibana#/discover/Steve-Slow-Train-Analysis-(2080s-and-2083s)?_g=(refreshInterval:(display:Off,pause:!f,section:0,value:0),time:(from:'2017-07-30T04:57:59-0600',mode:absolute,to:'2017-07-30T07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9" s="197" t="str">
        <f>IF(AA159&lt;VLOOKUP(AG159,Variables!$AC$3:$AD$8,2,FALSE),"Y","N")</f>
        <v>N</v>
      </c>
      <c r="X159" s="197">
        <f t="shared" si="61"/>
        <v>1</v>
      </c>
      <c r="Y159" s="197">
        <f t="shared" si="50"/>
        <v>9.7600000000000006E-2</v>
      </c>
      <c r="Z159" s="197">
        <f t="shared" si="51"/>
        <v>5.8952</v>
      </c>
      <c r="AA159" s="197">
        <f t="shared" si="52"/>
        <v>5.7976000000000001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53"/>
        <v>1801</v>
      </c>
      <c r="AE159" s="77" t="str">
        <f t="shared" si="54"/>
        <v>aws s3 cp s3://rtdc.mdm.uploadarchive.raw/RTDC4022/ "%USERPROFILE%\AppData\Local\Temp\OnboardLogs"\RTDC4022\2017-07-30 --exclude "*" --recursive --include "*20170730*" &amp; "%USERPROFILE%\Documents\GitHub\mrs-test-scripts\Headless Mode &amp; Sideloading\WalkAndUnGZ.bat" "%USERPROFILE%\AppData\Local\Temp\OnboardLogs"\RTDC4022\2017-07-30 &amp; aws s3 cp s3://rtdc.mdm.uploadarchive.raw/RTDC4022/ "%USERPROFILE%\AppData\Local\Temp\OnboardLogs"\RTDC4022\2017-07-31 --exclude "*" --recursive --include "*20170731*" &amp; "%USERPROFILE%\Documents\GitHub\mrs-test-scripts\Headless Mode &amp; Sideloading\WalkAndUnGZ.bat" "%USERPROFILE%\AppData\Local\Temp\OnboardLogs"\RTDC4022\2017-07-31</v>
      </c>
      <c r="AF159" s="74" t="str">
        <f t="shared" si="55"/>
        <v>"C:\Program Files (x86)\AstroGrep\AstroGrep.exe" /e /r /s /spath="%USERPROFILE%\AppData\Local\Temp\OnboardLogs" /stypes="app*4022*20170730*" /stext=" 12:.+((SYSTEM_STATE.+slice.+state.+changed )|(ment ac)|(multiple cpu faults)|(system.+state.+changed )|(\[timeout)|(PRM\|1\|D)|(kpr)|(kdp)|(train st.+moving)|(\|lc)|(penalty))"</v>
      </c>
      <c r="AG159" s="209" t="str">
        <f t="shared" si="56"/>
        <v>NW</v>
      </c>
      <c r="AH159" s="78" t="str">
        <f t="shared" si="57"/>
        <v>"%USERPROFILE%\Documents\GitHub\eaglep3\Utilities\RefineRTDCRunTimes.py" --tripid 1801-30 --locoid 4022 --swversion DE.1.0.9.0 --startMP 204:976 --initTime 2017-07-30T05:57:59 --startdatetime 2017-07-30T06:21:18 --delay 1 --endMP 300:58952 --enddatetime 2017-07-30T06:35:08 --enforcementcount 0 &gt;&gt;C:\Users\stu\Documents\GitHub\eaglep3-reporting\EC\2017-07-30-refined-times.txt</v>
      </c>
      <c r="AI159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{"issue":{"subject":"","project_id":79,"tracker_id":40,"status_id":1,"priority_id":2,"assigned_to_id":23,"start_date":"2017-07-30","description":"","custom_fields":[{"id":1,"name":"Subdivision","value":"NW"},{"id":4,"name":"Milepost","value":"5.8952"},{"id":17,"name":"Train ID","value":"1801-30"},{"id":16,"name":"Locomotive ID","value":"4022"},{"id":130,"name":"Impact","value":""},{"id":150,"name":"Time of Event (Mountain Time)","value":"06:35:08"},{"id":151,"name":"Denver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59"/>
        <v>start /low /b %USERPROFILE%\Documents\GitHub\eaglep3\Utilities\DownloadLogsFromS3.py --loco 4022 --day 2017-07-30</v>
      </c>
      <c r="AN159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12:35:08"},{"id":29,"name":"Sharepoint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x14ac:dyDescent="0.25">
      <c r="A160" s="32" t="s">
        <v>714</v>
      </c>
      <c r="B160" s="7">
        <v>4021</v>
      </c>
      <c r="C160" s="21" t="s">
        <v>198</v>
      </c>
      <c r="D160" s="21" t="s">
        <v>602</v>
      </c>
      <c r="E160" s="13">
        <v>42946.275613425925</v>
      </c>
      <c r="F160" s="13">
        <v>42946.277245370373</v>
      </c>
      <c r="G160" s="7">
        <v>1</v>
      </c>
      <c r="H160" s="21" t="s">
        <v>927</v>
      </c>
      <c r="I160" s="13">
        <v>42946.288425925923</v>
      </c>
      <c r="J160" s="7">
        <v>0</v>
      </c>
      <c r="K160" s="89" t="str">
        <f t="shared" si="45"/>
        <v>4021/4022</v>
      </c>
      <c r="L160" s="21" t="str">
        <f>VLOOKUP(A160,'Trips&amp;Operators'!$C$1:$G$99999,5,FALSE)</f>
        <v>DAVIDSON DAVID</v>
      </c>
      <c r="M160" s="6">
        <f t="shared" si="46"/>
        <v>1.1180555549799465E-2</v>
      </c>
      <c r="N160" s="7">
        <f t="shared" si="62"/>
        <v>16.099999991711229</v>
      </c>
      <c r="O160" s="7"/>
      <c r="P160" s="7"/>
      <c r="Q160" s="22"/>
      <c r="R160" s="170"/>
      <c r="S160" s="213">
        <f t="shared" si="47"/>
        <v>1</v>
      </c>
      <c r="T160" s="195" t="str">
        <f t="shared" si="48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49"/>
        <v>https://d0f6bd738d7f1b3e5a7ca70fe4ff75f0.us-east-1.aws.found.io/app/kibana#/discover/Steve-Slow-Train-Analysis-(2080s-and-2083s)?_g=(refreshInterval:(display:Off,pause:!f,section:0,value:0),time:(from:'2017-07-30T05:36:53-0600',mode:absolute,to:'2017-07-30T07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0" s="197" t="str">
        <f>IF(AA160&lt;VLOOKUP(AG160,Variables!$AC$3:$AD$8,2,FALSE),"Y","N")</f>
        <v>N</v>
      </c>
      <c r="X160" s="197">
        <f t="shared" si="61"/>
        <v>1</v>
      </c>
      <c r="Y160" s="197">
        <f t="shared" si="50"/>
        <v>5.8638000000000003</v>
      </c>
      <c r="Z160" s="197">
        <f t="shared" si="51"/>
        <v>6.8000000000000005E-2</v>
      </c>
      <c r="AA160" s="197">
        <f t="shared" si="52"/>
        <v>5.7958000000000007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53"/>
        <v>1802</v>
      </c>
      <c r="AE160" s="77" t="str">
        <f t="shared" si="54"/>
        <v>aws s3 cp s3://rtdc.mdm.uploadarchive.raw/RTDC4021/ "%USERPROFILE%\AppData\Local\Temp\OnboardLogs"\RTDC4021\2017-07-30 --exclude "*" --recursive --include "*20170730*" &amp; "%USERPROFILE%\Documents\GitHub\mrs-test-scripts\Headless Mode &amp; Sideloading\WalkAndUnGZ.bat" "%USERPROFILE%\AppData\Local\Temp\OnboardLogs"\RTDC4021\2017-07-30 &amp; aws s3 cp s3://rtdc.mdm.uploadarchive.raw/RTDC4021/ "%USERPROFILE%\AppData\Local\Temp\OnboardLogs"\RTDC4021\2017-07-31 --exclude "*" --recursive --include "*20170731*" &amp; "%USERPROFILE%\Documents\GitHub\mrs-test-scripts\Headless Mode &amp; Sideloading\WalkAndUnGZ.bat" "%USERPROFILE%\AppData\Local\Temp\OnboardLogs"\RTDC4021\2017-07-31</v>
      </c>
      <c r="AF160" s="74" t="str">
        <f t="shared" si="55"/>
        <v>"C:\Program Files (x86)\AstroGrep\AstroGrep.exe" /e /r /s /spath="%USERPROFILE%\AppData\Local\Temp\OnboardLogs" /stypes="app*4021*20170730*" /stext=" 12:.+((SYSTEM_STATE.+slice.+state.+changed )|(ment ac)|(multiple cpu faults)|(system.+state.+changed )|(\[timeout)|(PRM\|1\|D)|(kpr)|(kdp)|(train st.+moving)|(\|lc)|(penalty))"</v>
      </c>
      <c r="AG160" s="209" t="str">
        <f t="shared" si="56"/>
        <v>NW</v>
      </c>
      <c r="AH160" s="78" t="str">
        <f t="shared" si="57"/>
        <v>"%USERPROFILE%\Documents\GitHub\eaglep3\Utilities\RefineRTDCRunTimes.py" --tripid 1802-30 --locoid 4021 --swversion DE.1.0.9.0 --startMP 300:58638 --initTime 2017-07-30T06:36:53 --startdatetime 2017-07-30T06:39:14 --delay 1 --endMP 204:680 --enddatetime 2017-07-30T06:55:20 --enforcementcount 0 &gt;&gt;C:\Users\stu\Documents\GitHub\eaglep3-reporting\EC\2017-07-30-refined-times.txt</v>
      </c>
      <c r="AI160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{"issue":{"subject":"","project_id":79,"tracker_id":40,"status_id":1,"priority_id":2,"assigned_to_id":23,"start_date":"2017-07-30","description":"","custom_fields":[{"id":1,"name":"Subdivision","value":"NW"},{"id":4,"name":"Milepost","value":"0.068"},{"id":17,"name":"Train ID","value":"1802-30"},{"id":16,"name":"Locomotive ID","value":"4021"},{"id":130,"name":"Impact","value":""},{"id":150,"name":"Time of Event (Mountain Time)","value":"06:55:20"},{"id":151,"name":"Denver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59"/>
        <v>start /low /b %USERPROFILE%\Documents\GitHub\eaglep3\Utilities\DownloadLogsFromS3.py --loco 4021 --day 2017-07-30</v>
      </c>
      <c r="AN160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12:55:20"},{"id":29,"name":"Sharepoint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x14ac:dyDescent="0.25">
      <c r="A161" s="32" t="s">
        <v>719</v>
      </c>
      <c r="B161" s="7">
        <v>4022</v>
      </c>
      <c r="C161" s="21" t="s">
        <v>198</v>
      </c>
      <c r="D161" s="21" t="s">
        <v>928</v>
      </c>
      <c r="E161" s="13">
        <v>42946.290173611109</v>
      </c>
      <c r="F161" s="13">
        <v>42946.306446759256</v>
      </c>
      <c r="G161" s="7">
        <v>1</v>
      </c>
      <c r="H161" s="21" t="s">
        <v>524</v>
      </c>
      <c r="I161" s="13">
        <v>42946.315972222219</v>
      </c>
      <c r="J161" s="7">
        <v>0</v>
      </c>
      <c r="K161" s="89" t="str">
        <f t="shared" si="45"/>
        <v>4021/4022</v>
      </c>
      <c r="L161" s="21" t="str">
        <f>VLOOKUP(A161,'Trips&amp;Operators'!$C$1:$G$99999,5,FALSE)</f>
        <v>DAVIDSON DAVID</v>
      </c>
      <c r="M161" s="6">
        <f t="shared" si="46"/>
        <v>9.5254629632108845E-3</v>
      </c>
      <c r="N161" s="7">
        <f t="shared" si="62"/>
        <v>13.716666667023674</v>
      </c>
      <c r="O161" s="7"/>
      <c r="P161" s="7"/>
      <c r="Q161" s="22"/>
      <c r="R161" s="170"/>
      <c r="S161" s="213">
        <f t="shared" si="47"/>
        <v>1</v>
      </c>
      <c r="T161" s="195" t="str">
        <f t="shared" si="48"/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49"/>
        <v>https://d0f6bd738d7f1b3e5a7ca70fe4ff75f0.us-east-1.aws.found.io/app/kibana#/discover/Steve-Slow-Train-Analysis-(2080s-and-2083s)?_g=(refreshInterval:(display:Off,pause:!f,section:0,value:0),time:(from:'2017-07-30T05:57:51-0600',mode:absolute,to:'2017-07-30T08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1" s="197" t="str">
        <f>IF(AA161&lt;VLOOKUP(AG161,Variables!$AC$3:$AD$8,2,FALSE),"Y","N")</f>
        <v>N</v>
      </c>
      <c r="X161" s="197">
        <f t="shared" si="61"/>
        <v>1</v>
      </c>
      <c r="Y161" s="197">
        <f t="shared" si="50"/>
        <v>9.8599999999999993E-2</v>
      </c>
      <c r="Z161" s="197">
        <f t="shared" si="51"/>
        <v>5.8940999999999999</v>
      </c>
      <c r="AA161" s="197">
        <f t="shared" si="52"/>
        <v>5.7954999999999997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53"/>
        <v>1803</v>
      </c>
      <c r="AE161" s="77" t="str">
        <f t="shared" si="54"/>
        <v>aws s3 cp s3://rtdc.mdm.uploadarchive.raw/RTDC4022/ "%USERPROFILE%\AppData\Local\Temp\OnboardLogs"\RTDC4022\2017-07-30 --exclude "*" --recursive --include "*20170730*" &amp; "%USERPROFILE%\Documents\GitHub\mrs-test-scripts\Headless Mode &amp; Sideloading\WalkAndUnGZ.bat" "%USERPROFILE%\AppData\Local\Temp\OnboardLogs"\RTDC4022\2017-07-30 &amp; aws s3 cp s3://rtdc.mdm.uploadarchive.raw/RTDC4022/ "%USERPROFILE%\AppData\Local\Temp\OnboardLogs"\RTDC4022\2017-07-31 --exclude "*" --recursive --include "*20170731*" &amp; "%USERPROFILE%\Documents\GitHub\mrs-test-scripts\Headless Mode &amp; Sideloading\WalkAndUnGZ.bat" "%USERPROFILE%\AppData\Local\Temp\OnboardLogs"\RTDC4022\2017-07-31</v>
      </c>
      <c r="AF161" s="74" t="str">
        <f t="shared" si="55"/>
        <v>"C:\Program Files (x86)\AstroGrep\AstroGrep.exe" /e /r /s /spath="%USERPROFILE%\AppData\Local\Temp\OnboardLogs" /stypes="app*4022*20170730*" /stext=" 13:.+((SYSTEM_STATE.+slice.+state.+changed )|(ment ac)|(multiple cpu faults)|(system.+state.+changed )|(\[timeout)|(PRM\|1\|D)|(kpr)|(kdp)|(train st.+moving)|(\|lc)|(penalty))"</v>
      </c>
      <c r="AG161" s="209" t="str">
        <f t="shared" si="56"/>
        <v>NW</v>
      </c>
      <c r="AH161" s="78" t="str">
        <f t="shared" si="57"/>
        <v>"%USERPROFILE%\Documents\GitHub\eaglep3\Utilities\RefineRTDCRunTimes.py" --tripid 1803-30 --locoid 4022 --swversion DE.1.0.9.0 --startMP 204:986 --initTime 2017-07-30T06:57:51 --startdatetime 2017-07-30T07:21:17 --delay 1 --endMP 300:58941 --enddatetime 2017-07-30T07:35:00 --enforcementcount 0 &gt;&gt;C:\Users\stu\Documents\GitHub\eaglep3-reporting\EC\2017-07-30-refined-times.txt</v>
      </c>
      <c r="AI161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{"issue":{"subject":"","project_id":79,"tracker_id":40,"status_id":1,"priority_id":2,"assigned_to_id":23,"start_date":"2017-07-30","description":"","custom_fields":[{"id":1,"name":"Subdivision","value":"NW"},{"id":4,"name":"Milepost","value":"5.8941"},{"id":17,"name":"Train ID","value":"1803-30"},{"id":16,"name":"Locomotive ID","value":"4022"},{"id":130,"name":"Impact","value":""},{"id":150,"name":"Time of Event (Mountain Time)","value":"07:35:00"},{"id":151,"name":"Denver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59"/>
        <v>start /low /b %USERPROFILE%\Documents\GitHub\eaglep3\Utilities\DownloadLogsFromS3.py --loco 4022 --day 2017-07-30</v>
      </c>
      <c r="AN161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13:35:00"},{"id":29,"name":"Sharepoint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x14ac:dyDescent="0.25">
      <c r="A162" s="32" t="s">
        <v>724</v>
      </c>
      <c r="B162" s="7">
        <v>4021</v>
      </c>
      <c r="C162" s="21" t="s">
        <v>198</v>
      </c>
      <c r="D162" s="21" t="s">
        <v>929</v>
      </c>
      <c r="E162" s="13">
        <v>42946.31722222222</v>
      </c>
      <c r="F162" s="13">
        <v>42946.318622685183</v>
      </c>
      <c r="G162" s="7">
        <v>1</v>
      </c>
      <c r="H162" s="21" t="s">
        <v>605</v>
      </c>
      <c r="I162" s="13">
        <v>42946.33011574074</v>
      </c>
      <c r="J162" s="7">
        <v>0</v>
      </c>
      <c r="K162" s="89" t="str">
        <f t="shared" si="45"/>
        <v>4021/4022</v>
      </c>
      <c r="L162" s="21" t="str">
        <f>VLOOKUP(A162,'Trips&amp;Operators'!$C$1:$G$99999,5,FALSE)</f>
        <v>DAVIDSON DAVID</v>
      </c>
      <c r="M162" s="6">
        <f t="shared" si="46"/>
        <v>1.1493055557366461E-2</v>
      </c>
      <c r="N162" s="7">
        <f t="shared" si="62"/>
        <v>16.550000002607703</v>
      </c>
      <c r="O162" s="7"/>
      <c r="P162" s="7"/>
      <c r="Q162" s="22"/>
      <c r="R162" s="170"/>
      <c r="S162" s="213">
        <f t="shared" si="47"/>
        <v>1</v>
      </c>
      <c r="T162" s="195" t="str">
        <f t="shared" si="48"/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49"/>
        <v>https://d0f6bd738d7f1b3e5a7ca70fe4ff75f0.us-east-1.aws.found.io/app/kibana#/discover/Steve-Slow-Train-Analysis-(2080s-and-2083s)?_g=(refreshInterval:(display:Off,pause:!f,section:0,value:0),time:(from:'2017-07-30T06:36:48-0600',mode:absolute,to:'2017-07-30T08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2" s="197" t="str">
        <f>IF(AA162&lt;VLOOKUP(AG162,Variables!$AC$3:$AD$8,2,FALSE),"Y","N")</f>
        <v>N</v>
      </c>
      <c r="X162" s="197">
        <f t="shared" si="61"/>
        <v>1</v>
      </c>
      <c r="Y162" s="197">
        <f t="shared" si="50"/>
        <v>5.8623000000000003</v>
      </c>
      <c r="Z162" s="197">
        <f t="shared" si="51"/>
        <v>7.1199999999999999E-2</v>
      </c>
      <c r="AA162" s="197">
        <f t="shared" si="52"/>
        <v>5.7911000000000001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53"/>
        <v>1804</v>
      </c>
      <c r="AE162" s="77" t="str">
        <f t="shared" si="54"/>
        <v>aws s3 cp s3://rtdc.mdm.uploadarchive.raw/RTDC4021/ "%USERPROFILE%\AppData\Local\Temp\OnboardLogs"\RTDC4021\2017-07-30 --exclude "*" --recursive --include "*20170730*" &amp; "%USERPROFILE%\Documents\GitHub\mrs-test-scripts\Headless Mode &amp; Sideloading\WalkAndUnGZ.bat" "%USERPROFILE%\AppData\Local\Temp\OnboardLogs"\RTDC4021\2017-07-30 &amp; aws s3 cp s3://rtdc.mdm.uploadarchive.raw/RTDC4021/ "%USERPROFILE%\AppData\Local\Temp\OnboardLogs"\RTDC4021\2017-07-31 --exclude "*" --recursive --include "*20170731*" &amp; "%USERPROFILE%\Documents\GitHub\mrs-test-scripts\Headless Mode &amp; Sideloading\WalkAndUnGZ.bat" "%USERPROFILE%\AppData\Local\Temp\OnboardLogs"\RTDC4021\2017-07-31</v>
      </c>
      <c r="AF162" s="74" t="str">
        <f t="shared" si="55"/>
        <v>"C:\Program Files (x86)\AstroGrep\AstroGrep.exe" /e /r /s /spath="%USERPROFILE%\AppData\Local\Temp\OnboardLogs" /stypes="app*4021*20170730*" /stext=" 13:.+((SYSTEM_STATE.+slice.+state.+changed )|(ment ac)|(multiple cpu faults)|(system.+state.+changed )|(\[timeout)|(PRM\|1\|D)|(kpr)|(kdp)|(train st.+moving)|(\|lc)|(penalty))"</v>
      </c>
      <c r="AG162" s="209" t="str">
        <f t="shared" si="56"/>
        <v>NW</v>
      </c>
      <c r="AH162" s="78" t="str">
        <f t="shared" si="57"/>
        <v>"%USERPROFILE%\Documents\GitHub\eaglep3\Utilities\RefineRTDCRunTimes.py" --tripid 1804-30 --locoid 4021 --swversion DE.1.0.9.0 --startMP 300:58623 --initTime 2017-07-30T07:36:48 --startdatetime 2017-07-30T07:38:49 --delay 1 --endMP 204:712 --enddatetime 2017-07-30T07:55:22 --enforcementcount 0 &gt;&gt;C:\Users\stu\Documents\GitHub\eaglep3-reporting\EC\2017-07-30-refined-times.txt</v>
      </c>
      <c r="AI162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{"issue":{"subject":"","project_id":79,"tracker_id":40,"status_id":1,"priority_id":2,"assigned_to_id":23,"start_date":"2017-07-30","description":"","custom_fields":[{"id":1,"name":"Subdivision","value":"NW"},{"id":4,"name":"Milepost","value":"0.0712"},{"id":17,"name":"Train ID","value":"1804-30"},{"id":16,"name":"Locomotive ID","value":"4021"},{"id":130,"name":"Impact","value":""},{"id":150,"name":"Time of Event (Mountain Time)","value":"07:55:22"},{"id":151,"name":"Denver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59"/>
        <v>start /low /b %USERPROFILE%\Documents\GitHub\eaglep3\Utilities\DownloadLogsFromS3.py --loco 4021 --day 2017-07-30</v>
      </c>
      <c r="AN162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13:55:22"},{"id":29,"name":"Sharepoint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s="20" customFormat="1" x14ac:dyDescent="0.25">
      <c r="A163" s="32" t="s">
        <v>729</v>
      </c>
      <c r="B163" s="7">
        <v>4022</v>
      </c>
      <c r="C163" s="21" t="s">
        <v>198</v>
      </c>
      <c r="D163" s="21" t="s">
        <v>604</v>
      </c>
      <c r="E163" s="13">
        <v>42946.331990740742</v>
      </c>
      <c r="F163" s="13">
        <v>42946.348101851851</v>
      </c>
      <c r="G163" s="7">
        <v>1</v>
      </c>
      <c r="H163" s="21" t="s">
        <v>523</v>
      </c>
      <c r="I163" s="13">
        <v>42946.357210648152</v>
      </c>
      <c r="J163" s="7">
        <v>0</v>
      </c>
      <c r="K163" s="89" t="str">
        <f t="shared" si="45"/>
        <v>4021/4022</v>
      </c>
      <c r="L163" s="21" t="str">
        <f>VLOOKUP(A163,'Trips&amp;Operators'!$C$1:$G$99999,5,FALSE)</f>
        <v>DAVIDSON DAVID</v>
      </c>
      <c r="M163" s="6">
        <f t="shared" si="46"/>
        <v>9.1087963010068052E-3</v>
      </c>
      <c r="N163" s="7">
        <f t="shared" si="62"/>
        <v>13.116666673449799</v>
      </c>
      <c r="O163" s="7"/>
      <c r="P163" s="7"/>
      <c r="Q163" s="22"/>
      <c r="R163" s="170"/>
      <c r="S163" s="213">
        <f t="shared" si="47"/>
        <v>1</v>
      </c>
      <c r="T163" s="195" t="str">
        <f t="shared" si="48"/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49"/>
        <v>https://d0f6bd738d7f1b3e5a7ca70fe4ff75f0.us-east-1.aws.found.io/app/kibana#/discover/Steve-Slow-Train-Analysis-(2080s-and-2083s)?_g=(refreshInterval:(display:Off,pause:!f,section:0,value:0),time:(from:'2017-07-30T06:58:04-0600',mode:absolute,to:'2017-07-30T09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3" s="197" t="str">
        <f>IF(AA163&lt;VLOOKUP(AG163,Variables!$AC$3:$AD$8,2,FALSE),"Y","N")</f>
        <v>N</v>
      </c>
      <c r="X163" s="197">
        <f t="shared" ref="X163:X194" si="63">VALUE(LEFT(AD163,4))-VALUE(LEFT(AD162,4))</f>
        <v>1</v>
      </c>
      <c r="Y163" s="197">
        <f t="shared" si="50"/>
        <v>9.9000000000000005E-2</v>
      </c>
      <c r="Z163" s="197">
        <f t="shared" si="51"/>
        <v>5.8948</v>
      </c>
      <c r="AA163" s="197">
        <f t="shared" si="52"/>
        <v>5.7957999999999998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53"/>
        <v>1805</v>
      </c>
      <c r="AE163" s="77" t="str">
        <f t="shared" si="54"/>
        <v>aws s3 cp s3://rtdc.mdm.uploadarchive.raw/RTDC4022/ "%USERPROFILE%\AppData\Local\Temp\OnboardLogs"\RTDC4022\2017-07-30 --exclude "*" --recursive --include "*20170730*" &amp; "%USERPROFILE%\Documents\GitHub\mrs-test-scripts\Headless Mode &amp; Sideloading\WalkAndUnGZ.bat" "%USERPROFILE%\AppData\Local\Temp\OnboardLogs"\RTDC4022\2017-07-30 &amp; aws s3 cp s3://rtdc.mdm.uploadarchive.raw/RTDC4022/ "%USERPROFILE%\AppData\Local\Temp\OnboardLogs"\RTDC4022\2017-07-31 --exclude "*" --recursive --include "*20170731*" &amp; "%USERPROFILE%\Documents\GitHub\mrs-test-scripts\Headless Mode &amp; Sideloading\WalkAndUnGZ.bat" "%USERPROFILE%\AppData\Local\Temp\OnboardLogs"\RTDC4022\2017-07-31</v>
      </c>
      <c r="AF163" s="74" t="str">
        <f t="shared" si="55"/>
        <v>"C:\Program Files (x86)\AstroGrep\AstroGrep.exe" /e /r /s /spath="%USERPROFILE%\AppData\Local\Temp\OnboardLogs" /stypes="app*4022*20170730*" /stext=" 14:.+((SYSTEM_STATE.+slice.+state.+changed )|(ment ac)|(multiple cpu faults)|(system.+state.+changed )|(\[timeout)|(PRM\|1\|D)|(kpr)|(kdp)|(train st.+moving)|(\|lc)|(penalty))"</v>
      </c>
      <c r="AG163" s="209" t="str">
        <f t="shared" si="56"/>
        <v>NW</v>
      </c>
      <c r="AH163" s="78" t="str">
        <f t="shared" si="57"/>
        <v>"%USERPROFILE%\Documents\GitHub\eaglep3\Utilities\RefineRTDCRunTimes.py" --tripid 1805-30 --locoid 4022 --swversion DE.1.0.9.0 --startMP 204:990 --initTime 2017-07-30T07:58:04 --startdatetime 2017-07-30T08:21:16 --delay 1 --endMP 300:58948 --enddatetime 2017-07-30T08:34:23 --enforcementcount 0 &gt;&gt;C:\Users\stu\Documents\GitHub\eaglep3-reporting\EC\2017-07-30-refined-times.txt</v>
      </c>
      <c r="AI163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{"issue":{"subject":"","project_id":79,"tracker_id":40,"status_id":1,"priority_id":2,"assigned_to_id":23,"start_date":"2017-07-30","description":"","custom_fields":[{"id":1,"name":"Subdivision","value":"NW"},{"id":4,"name":"Milepost","value":"5.8948"},{"id":17,"name":"Train ID","value":"1805-30"},{"id":16,"name":"Locomotive ID","value":"4022"},{"id":130,"name":"Impact","value":""},{"id":150,"name":"Time of Event (Mountain Time)","value":"08:34:23"},{"id":151,"name":"Denver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59"/>
        <v>start /low /b %USERPROFILE%\Documents\GitHub\eaglep3\Utilities\DownloadLogsFromS3.py --loco 4022 --day 2017-07-30</v>
      </c>
      <c r="AN163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14:34:23"},{"id":29,"name":"Sharepoint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732</v>
      </c>
      <c r="B164" s="7">
        <v>4021</v>
      </c>
      <c r="C164" s="21" t="s">
        <v>198</v>
      </c>
      <c r="D164" s="21" t="s">
        <v>494</v>
      </c>
      <c r="E164" s="13">
        <v>42946.358356481483</v>
      </c>
      <c r="F164" s="13">
        <v>42946.359918981485</v>
      </c>
      <c r="G164" s="7">
        <v>1</v>
      </c>
      <c r="H164" s="21" t="s">
        <v>930</v>
      </c>
      <c r="I164" s="13">
        <v>42946.371805555558</v>
      </c>
      <c r="J164" s="7">
        <v>0</v>
      </c>
      <c r="K164" s="89" t="str">
        <f t="shared" si="45"/>
        <v>4021/4022</v>
      </c>
      <c r="L164" s="21" t="str">
        <f>VLOOKUP(A164,'Trips&amp;Operators'!$C$1:$G$99999,5,FALSE)</f>
        <v>DAVIDSON DAVID</v>
      </c>
      <c r="M164" s="6">
        <f t="shared" si="46"/>
        <v>1.1886574073287193E-2</v>
      </c>
      <c r="N164" s="7">
        <f t="shared" si="62"/>
        <v>17.116666665533558</v>
      </c>
      <c r="O164" s="7"/>
      <c r="P164" s="7"/>
      <c r="Q164" s="22"/>
      <c r="R164" s="170"/>
      <c r="S164" s="213">
        <f t="shared" si="47"/>
        <v>1</v>
      </c>
      <c r="T164" s="195" t="str">
        <f t="shared" si="48"/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49"/>
        <v>https://d0f6bd738d7f1b3e5a7ca70fe4ff75f0.us-east-1.aws.found.io/app/kibana#/discover/Steve-Slow-Train-Analysis-(2080s-and-2083s)?_g=(refreshInterval:(display:Off,pause:!f,section:0,value:0),time:(from:'2017-07-30T07:36:02-0600',mode:absolute,to:'2017-07-30T09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4" s="197" t="str">
        <f>IF(AA164&lt;VLOOKUP(AG164,Variables!$AC$3:$AD$8,2,FALSE),"Y","N")</f>
        <v>N</v>
      </c>
      <c r="X164" s="197">
        <f t="shared" si="63"/>
        <v>1</v>
      </c>
      <c r="Y164" s="197">
        <f t="shared" si="50"/>
        <v>5.8634000000000004</v>
      </c>
      <c r="Z164" s="197">
        <f t="shared" si="51"/>
        <v>6.9199999999999998E-2</v>
      </c>
      <c r="AA164" s="197">
        <f t="shared" si="52"/>
        <v>5.7942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53"/>
        <v>1806</v>
      </c>
      <c r="AE164" s="77" t="str">
        <f t="shared" si="54"/>
        <v>aws s3 cp s3://rtdc.mdm.uploadarchive.raw/RTDC4021/ "%USERPROFILE%\AppData\Local\Temp\OnboardLogs"\RTDC4021\2017-07-30 --exclude "*" --recursive --include "*20170730*" &amp; "%USERPROFILE%\Documents\GitHub\mrs-test-scripts\Headless Mode &amp; Sideloading\WalkAndUnGZ.bat" "%USERPROFILE%\AppData\Local\Temp\OnboardLogs"\RTDC4021\2017-07-30 &amp; aws s3 cp s3://rtdc.mdm.uploadarchive.raw/RTDC4021/ "%USERPROFILE%\AppData\Local\Temp\OnboardLogs"\RTDC4021\2017-07-31 --exclude "*" --recursive --include "*20170731*" &amp; "%USERPROFILE%\Documents\GitHub\mrs-test-scripts\Headless Mode &amp; Sideloading\WalkAndUnGZ.bat" "%USERPROFILE%\AppData\Local\Temp\OnboardLogs"\RTDC4021\2017-07-31</v>
      </c>
      <c r="AF164" s="74" t="str">
        <f t="shared" si="55"/>
        <v>"C:\Program Files (x86)\AstroGrep\AstroGrep.exe" /e /r /s /spath="%USERPROFILE%\AppData\Local\Temp\OnboardLogs" /stypes="app*4021*20170730*" /stext=" 14:.+((SYSTEM_STATE.+slice.+state.+changed )|(ment ac)|(multiple cpu faults)|(system.+state.+changed )|(\[timeout)|(PRM\|1\|D)|(kpr)|(kdp)|(train st.+moving)|(\|lc)|(penalty))"</v>
      </c>
      <c r="AG164" s="209" t="str">
        <f t="shared" si="56"/>
        <v>NW</v>
      </c>
      <c r="AH164" s="78" t="str">
        <f t="shared" si="57"/>
        <v>"%USERPROFILE%\Documents\GitHub\eaglep3\Utilities\RefineRTDCRunTimes.py" --tripid 1806-30 --locoid 4021 --swversion DE.1.0.9.0 --startMP 300:58634 --initTime 2017-07-30T08:36:02 --startdatetime 2017-07-30T08:38:17 --delay 1 --endMP 204:692 --enddatetime 2017-07-30T08:55:24 --enforcementcount 0 &gt;&gt;C:\Users\stu\Documents\GitHub\eaglep3-reporting\EC\2017-07-30-refined-times.txt</v>
      </c>
      <c r="AI164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{"issue":{"subject":"","project_id":79,"tracker_id":40,"status_id":1,"priority_id":2,"assigned_to_id":23,"start_date":"2017-07-30","description":"","custom_fields":[{"id":1,"name":"Subdivision","value":"NW"},{"id":4,"name":"Milepost","value":"0.0692"},{"id":17,"name":"Train ID","value":"1806-30"},{"id":16,"name":"Locomotive ID","value":"4021"},{"id":130,"name":"Impact","value":""},{"id":150,"name":"Time of Event (Mountain Time)","value":"08:55:24"},{"id":151,"name":"Denver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59"/>
        <v>start /low /b %USERPROFILE%\Documents\GitHub\eaglep3\Utilities\DownloadLogsFromS3.py --loco 4021 --day 2017-07-30</v>
      </c>
      <c r="AN164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14:55:24"},{"id":29,"name":"Sharepoint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s="20" customFormat="1" x14ac:dyDescent="0.25">
      <c r="A165" s="32" t="s">
        <v>737</v>
      </c>
      <c r="B165" s="7">
        <v>4022</v>
      </c>
      <c r="C165" s="21" t="s">
        <v>198</v>
      </c>
      <c r="D165" s="21" t="s">
        <v>609</v>
      </c>
      <c r="E165" s="13">
        <v>42946.373391203706</v>
      </c>
      <c r="F165" s="13">
        <v>42946.389791666668</v>
      </c>
      <c r="G165" s="7">
        <v>1</v>
      </c>
      <c r="H165" s="21" t="s">
        <v>492</v>
      </c>
      <c r="I165" s="13">
        <v>42946.39943287037</v>
      </c>
      <c r="J165" s="7">
        <v>0</v>
      </c>
      <c r="K165" s="89" t="str">
        <f t="shared" si="45"/>
        <v>4021/4022</v>
      </c>
      <c r="L165" s="21" t="str">
        <f>VLOOKUP(A165,'Trips&amp;Operators'!$C$1:$G$99999,5,FALSE)</f>
        <v>DAVIDSON DAVID</v>
      </c>
      <c r="M165" s="6">
        <f t="shared" si="46"/>
        <v>9.6412037019035779E-3</v>
      </c>
      <c r="N165" s="7">
        <f t="shared" si="62"/>
        <v>13.883333330741152</v>
      </c>
      <c r="O165" s="7"/>
      <c r="P165" s="7"/>
      <c r="Q165" s="22"/>
      <c r="R165" s="170"/>
      <c r="S165" s="213">
        <f t="shared" si="47"/>
        <v>1</v>
      </c>
      <c r="T165" s="195" t="str">
        <f t="shared" si="48"/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49"/>
        <v>https://d0f6bd738d7f1b3e5a7ca70fe4ff75f0.us-east-1.aws.found.io/app/kibana#/discover/Steve-Slow-Train-Analysis-(2080s-and-2083s)?_g=(refreshInterval:(display:Off,pause:!f,section:0,value:0),time:(from:'2017-07-30T07:57:41-0600',mode:absolute,to:'2017-07-30T10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5" s="197" t="str">
        <f>IF(AA165&lt;VLOOKUP(AG165,Variables!$AC$3:$AD$8,2,FALSE),"Y","N")</f>
        <v>N</v>
      </c>
      <c r="X165" s="197">
        <f t="shared" si="63"/>
        <v>1</v>
      </c>
      <c r="Y165" s="197">
        <f t="shared" si="50"/>
        <v>9.8299999999999998E-2</v>
      </c>
      <c r="Z165" s="197">
        <f t="shared" si="51"/>
        <v>5.8944000000000001</v>
      </c>
      <c r="AA165" s="197">
        <f t="shared" si="52"/>
        <v>5.7961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53"/>
        <v>1807</v>
      </c>
      <c r="AE165" s="77" t="str">
        <f t="shared" si="54"/>
        <v>aws s3 cp s3://rtdc.mdm.uploadarchive.raw/RTDC4022/ "%USERPROFILE%\AppData\Local\Temp\OnboardLogs"\RTDC4022\2017-07-30 --exclude "*" --recursive --include "*20170730*" &amp; "%USERPROFILE%\Documents\GitHub\mrs-test-scripts\Headless Mode &amp; Sideloading\WalkAndUnGZ.bat" "%USERPROFILE%\AppData\Local\Temp\OnboardLogs"\RTDC4022\2017-07-30 &amp; aws s3 cp s3://rtdc.mdm.uploadarchive.raw/RTDC4022/ "%USERPROFILE%\AppData\Local\Temp\OnboardLogs"\RTDC4022\2017-07-31 --exclude "*" --recursive --include "*20170731*" &amp; "%USERPROFILE%\Documents\GitHub\mrs-test-scripts\Headless Mode &amp; Sideloading\WalkAndUnGZ.bat" "%USERPROFILE%\AppData\Local\Temp\OnboardLogs"\RTDC4022\2017-07-31</v>
      </c>
      <c r="AF165" s="74" t="str">
        <f t="shared" si="55"/>
        <v>"C:\Program Files (x86)\AstroGrep\AstroGrep.exe" /e /r /s /spath="%USERPROFILE%\AppData\Local\Temp\OnboardLogs" /stypes="app*4022*20170730*" /stext=" 15:.+((SYSTEM_STATE.+slice.+state.+changed )|(ment ac)|(multiple cpu faults)|(system.+state.+changed )|(\[timeout)|(PRM\|1\|D)|(kpr)|(kdp)|(train st.+moving)|(\|lc)|(penalty))"</v>
      </c>
      <c r="AG165" s="209" t="str">
        <f t="shared" si="56"/>
        <v>NW</v>
      </c>
      <c r="AH165" s="78" t="str">
        <f t="shared" si="57"/>
        <v>"%USERPROFILE%\Documents\GitHub\eaglep3\Utilities\RefineRTDCRunTimes.py" --tripid 1807-30 --locoid 4022 --swversion DE.1.0.9.0 --startMP 204:983 --initTime 2017-07-30T08:57:41 --startdatetime 2017-07-30T09:21:18 --delay 1 --endMP 300:58944 --enddatetime 2017-07-30T09:35:11 --enforcementcount 0 &gt;&gt;C:\Users\stu\Documents\GitHub\eaglep3-reporting\EC\2017-07-30-refined-times.txt</v>
      </c>
      <c r="AI165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{"issue":{"subject":"","project_id":79,"tracker_id":40,"status_id":1,"priority_id":2,"assigned_to_id":23,"start_date":"2017-07-30","description":"","custom_fields":[{"id":1,"name":"Subdivision","value":"NW"},{"id":4,"name":"Milepost","value":"5.8944"},{"id":17,"name":"Train ID","value":"1807-30"},{"id":16,"name":"Locomotive ID","value":"4022"},{"id":130,"name":"Impact","value":""},{"id":150,"name":"Time of Event (Mountain Time)","value":"09:35:11"},{"id":151,"name":"Denver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59"/>
        <v>start /low /b %USERPROFILE%\Documents\GitHub\eaglep3\Utilities\DownloadLogsFromS3.py --loco 4022 --day 2017-07-30</v>
      </c>
      <c r="AN165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15:35:11"},{"id":29,"name":"Sharepoint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743</v>
      </c>
      <c r="B166" s="7">
        <v>4021</v>
      </c>
      <c r="C166" s="21" t="s">
        <v>198</v>
      </c>
      <c r="D166" s="21" t="s">
        <v>525</v>
      </c>
      <c r="E166" s="13">
        <v>42946.400659722225</v>
      </c>
      <c r="F166" s="13">
        <v>42946.402106481481</v>
      </c>
      <c r="G166" s="7">
        <v>1</v>
      </c>
      <c r="H166" s="21" t="s">
        <v>931</v>
      </c>
      <c r="I166" s="13">
        <v>42946.413449074076</v>
      </c>
      <c r="J166" s="7">
        <v>0</v>
      </c>
      <c r="K166" s="89" t="str">
        <f t="shared" si="45"/>
        <v>4021/4022</v>
      </c>
      <c r="L166" s="21" t="str">
        <f>VLOOKUP(A166,'Trips&amp;Operators'!$C$1:$G$99999,5,FALSE)</f>
        <v>DAVIDSON DAVID</v>
      </c>
      <c r="M166" s="6">
        <f t="shared" si="46"/>
        <v>1.1342592595610768E-2</v>
      </c>
      <c r="N166" s="7">
        <f t="shared" si="62"/>
        <v>16.333333337679505</v>
      </c>
      <c r="O166" s="7"/>
      <c r="P166" s="7"/>
      <c r="Q166" s="22"/>
      <c r="R166" s="170"/>
      <c r="S166" s="213">
        <f t="shared" si="47"/>
        <v>1</v>
      </c>
      <c r="T166" s="195" t="str">
        <f t="shared" si="48"/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49"/>
        <v>https://d0f6bd738d7f1b3e5a7ca70fe4ff75f0.us-east-1.aws.found.io/app/kibana#/discover/Steve-Slow-Train-Analysis-(2080s-and-2083s)?_g=(refreshInterval:(display:Off,pause:!f,section:0,value:0),time:(from:'2017-07-30T08:36:57-0600',mode:absolute,to:'2017-07-30T10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6" s="197" t="str">
        <f>IF(AA166&lt;VLOOKUP(AG166,Variables!$AC$3:$AD$8,2,FALSE),"Y","N")</f>
        <v>N</v>
      </c>
      <c r="X166" s="197">
        <f t="shared" si="63"/>
        <v>1</v>
      </c>
      <c r="Y166" s="197">
        <f t="shared" si="50"/>
        <v>5.8628</v>
      </c>
      <c r="Z166" s="197">
        <f t="shared" si="51"/>
        <v>7.0300000000000001E-2</v>
      </c>
      <c r="AA166" s="197">
        <f t="shared" si="52"/>
        <v>5.7925000000000004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53"/>
        <v>1808</v>
      </c>
      <c r="AE166" s="77" t="str">
        <f t="shared" si="54"/>
        <v>aws s3 cp s3://rtdc.mdm.uploadarchive.raw/RTDC4021/ "%USERPROFILE%\AppData\Local\Temp\OnboardLogs"\RTDC4021\2017-07-30 --exclude "*" --recursive --include "*20170730*" &amp; "%USERPROFILE%\Documents\GitHub\mrs-test-scripts\Headless Mode &amp; Sideloading\WalkAndUnGZ.bat" "%USERPROFILE%\AppData\Local\Temp\OnboardLogs"\RTDC4021\2017-07-30 &amp; aws s3 cp s3://rtdc.mdm.uploadarchive.raw/RTDC4021/ "%USERPROFILE%\AppData\Local\Temp\OnboardLogs"\RTDC4021\2017-07-31 --exclude "*" --recursive --include "*20170731*" &amp; "%USERPROFILE%\Documents\GitHub\mrs-test-scripts\Headless Mode &amp; Sideloading\WalkAndUnGZ.bat" "%USERPROFILE%\AppData\Local\Temp\OnboardLogs"\RTDC4021\2017-07-31</v>
      </c>
      <c r="AF166" s="74" t="str">
        <f t="shared" si="55"/>
        <v>"C:\Program Files (x86)\AstroGrep\AstroGrep.exe" /e /r /s /spath="%USERPROFILE%\AppData\Local\Temp\OnboardLogs" /stypes="app*4021*20170730*" /stext=" 15:.+((SYSTEM_STATE.+slice.+state.+changed )|(ment ac)|(multiple cpu faults)|(system.+state.+changed )|(\[timeout)|(PRM\|1\|D)|(kpr)|(kdp)|(train st.+moving)|(\|lc)|(penalty))"</v>
      </c>
      <c r="AG166" s="209" t="str">
        <f t="shared" si="56"/>
        <v>NW</v>
      </c>
      <c r="AH166" s="78" t="str">
        <f t="shared" si="57"/>
        <v>"%USERPROFILE%\Documents\GitHub\eaglep3\Utilities\RefineRTDCRunTimes.py" --tripid 1808-30 --locoid 4021 --swversion DE.1.0.9.0 --startMP 300:58628 --initTime 2017-07-30T09:36:57 --startdatetime 2017-07-30T09:39:02 --delay 1 --endMP 204:703 --enddatetime 2017-07-30T09:55:22 --enforcementcount 0 &gt;&gt;C:\Users\stu\Documents\GitHub\eaglep3-reporting\EC\2017-07-30-refined-times.txt</v>
      </c>
      <c r="AI166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{"issue":{"subject":"","project_id":79,"tracker_id":40,"status_id":1,"priority_id":2,"assigned_to_id":23,"start_date":"2017-07-30","description":"","custom_fields":[{"id":1,"name":"Subdivision","value":"NW"},{"id":4,"name":"Milepost","value":"0.0703"},{"id":17,"name":"Train ID","value":"1808-30"},{"id":16,"name":"Locomotive ID","value":"4021"},{"id":130,"name":"Impact","value":""},{"id":150,"name":"Time of Event (Mountain Time)","value":"09:55:22"},{"id":151,"name":"Denver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59"/>
        <v>start /low /b %USERPROFILE%\Documents\GitHub\eaglep3\Utilities\DownloadLogsFromS3.py --loco 4021 --day 2017-07-30</v>
      </c>
      <c r="AN166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15:55:22"},{"id":29,"name":"Sharepoint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745</v>
      </c>
      <c r="B167" s="7">
        <v>4022</v>
      </c>
      <c r="C167" s="21" t="s">
        <v>198</v>
      </c>
      <c r="D167" s="21" t="s">
        <v>932</v>
      </c>
      <c r="E167" s="13">
        <v>42946.415081018517</v>
      </c>
      <c r="F167" s="13">
        <v>42946.431458333333</v>
      </c>
      <c r="G167" s="7">
        <v>1</v>
      </c>
      <c r="H167" s="21" t="s">
        <v>491</v>
      </c>
      <c r="I167" s="13">
        <v>42946.441134259258</v>
      </c>
      <c r="J167" s="7">
        <v>0</v>
      </c>
      <c r="K167" s="89" t="str">
        <f t="shared" si="45"/>
        <v>4021/4022</v>
      </c>
      <c r="L167" s="21" t="str">
        <f>VLOOKUP(A167,'Trips&amp;Operators'!$C$1:$G$99999,5,FALSE)</f>
        <v>DAVIDSON DAVID</v>
      </c>
      <c r="M167" s="6">
        <f t="shared" si="46"/>
        <v>9.6759259249665774E-3</v>
      </c>
      <c r="N167" s="7">
        <f t="shared" si="62"/>
        <v>13.933333331951872</v>
      </c>
      <c r="O167" s="7"/>
      <c r="P167" s="7"/>
      <c r="Q167" s="22"/>
      <c r="R167" s="170"/>
      <c r="S167" s="213">
        <f t="shared" si="47"/>
        <v>1</v>
      </c>
      <c r="T167" s="195" t="str">
        <f t="shared" si="48"/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49"/>
        <v>https://d0f6bd738d7f1b3e5a7ca70fe4ff75f0.us-east-1.aws.found.io/app/kibana#/discover/Steve-Slow-Train-Analysis-(2080s-and-2083s)?_g=(refreshInterval:(display:Off,pause:!f,section:0,value:0),time:(from:'2017-07-30T08:57:43-0600',mode:absolute,to:'2017-07-30T11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7" s="197" t="str">
        <f>IF(AA167&lt;VLOOKUP(AG167,Variables!$AC$3:$AD$8,2,FALSE),"Y","N")</f>
        <v>N</v>
      </c>
      <c r="X167" s="197">
        <f t="shared" si="63"/>
        <v>1</v>
      </c>
      <c r="Y167" s="197">
        <f t="shared" si="50"/>
        <v>9.9199999999999997E-2</v>
      </c>
      <c r="Z167" s="197">
        <f t="shared" si="51"/>
        <v>5.8935000000000004</v>
      </c>
      <c r="AA167" s="197">
        <f t="shared" si="52"/>
        <v>5.7943000000000007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53"/>
        <v>1809</v>
      </c>
      <c r="AE167" s="77" t="str">
        <f t="shared" si="54"/>
        <v>aws s3 cp s3://rtdc.mdm.uploadarchive.raw/RTDC4022/ "%USERPROFILE%\AppData\Local\Temp\OnboardLogs"\RTDC4022\2017-07-30 --exclude "*" --recursive --include "*20170730*" &amp; "%USERPROFILE%\Documents\GitHub\mrs-test-scripts\Headless Mode &amp; Sideloading\WalkAndUnGZ.bat" "%USERPROFILE%\AppData\Local\Temp\OnboardLogs"\RTDC4022\2017-07-30 &amp; aws s3 cp s3://rtdc.mdm.uploadarchive.raw/RTDC4022/ "%USERPROFILE%\AppData\Local\Temp\OnboardLogs"\RTDC4022\2017-07-31 --exclude "*" --recursive --include "*20170731*" &amp; "%USERPROFILE%\Documents\GitHub\mrs-test-scripts\Headless Mode &amp; Sideloading\WalkAndUnGZ.bat" "%USERPROFILE%\AppData\Local\Temp\OnboardLogs"\RTDC4022\2017-07-31</v>
      </c>
      <c r="AF167" s="74" t="str">
        <f t="shared" si="55"/>
        <v>"C:\Program Files (x86)\AstroGrep\AstroGrep.exe" /e /r /s /spath="%USERPROFILE%\AppData\Local\Temp\OnboardLogs" /stypes="app*4022*20170730*" /stext=" 16:.+((SYSTEM_STATE.+slice.+state.+changed )|(ment ac)|(multiple cpu faults)|(system.+state.+changed )|(\[timeout)|(PRM\|1\|D)|(kpr)|(kdp)|(train st.+moving)|(\|lc)|(penalty))"</v>
      </c>
      <c r="AG167" s="209" t="str">
        <f t="shared" si="56"/>
        <v>NW</v>
      </c>
      <c r="AH167" s="78" t="str">
        <f t="shared" si="57"/>
        <v>"%USERPROFILE%\Documents\GitHub\eaglep3\Utilities\RefineRTDCRunTimes.py" --tripid 1809-30 --locoid 4022 --swversion DE.1.0.9.0 --startMP 204:992 --initTime 2017-07-30T09:57:43 --startdatetime 2017-07-30T10:21:18 --delay 1 --endMP 300:58935 --enddatetime 2017-07-30T10:35:14 --enforcementcount 0 &gt;&gt;C:\Users\stu\Documents\GitHub\eaglep3-reporting\EC\2017-07-30-refined-times.txt</v>
      </c>
      <c r="AI167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{"issue":{"subject":"","project_id":79,"tracker_id":40,"status_id":1,"priority_id":2,"assigned_to_id":23,"start_date":"2017-07-30","description":"","custom_fields":[{"id":1,"name":"Subdivision","value":"NW"},{"id":4,"name":"Milepost","value":"5.8935"},{"id":17,"name":"Train ID","value":"1809-30"},{"id":16,"name":"Locomotive ID","value":"4022"},{"id":130,"name":"Impact","value":""},{"id":150,"name":"Time of Event (Mountain Time)","value":"10:35:14"},{"id":151,"name":"Denver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59"/>
        <v>start /low /b %USERPROFILE%\Documents\GitHub\eaglep3\Utilities\DownloadLogsFromS3.py --loco 4022 --day 2017-07-30</v>
      </c>
      <c r="AN167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16:35:14"},{"id":29,"name":"Sharepoint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2" t="s">
        <v>754</v>
      </c>
      <c r="B168" s="7">
        <v>4021</v>
      </c>
      <c r="C168" s="21" t="s">
        <v>198</v>
      </c>
      <c r="D168" s="21" t="s">
        <v>470</v>
      </c>
      <c r="E168" s="13">
        <v>42946.44226851852</v>
      </c>
      <c r="F168" s="13">
        <v>42946.443680555552</v>
      </c>
      <c r="G168" s="7">
        <v>1</v>
      </c>
      <c r="H168" s="21" t="s">
        <v>613</v>
      </c>
      <c r="I168" s="13">
        <v>42946.45521990741</v>
      </c>
      <c r="J168" s="7">
        <v>0</v>
      </c>
      <c r="K168" s="89" t="str">
        <f t="shared" si="45"/>
        <v>4021/4022</v>
      </c>
      <c r="L168" s="21" t="str">
        <f>VLOOKUP(A168,'Trips&amp;Operators'!$C$1:$G$99999,5,FALSE)</f>
        <v>DAVIDSON DAVID</v>
      </c>
      <c r="M168" s="6">
        <f t="shared" si="46"/>
        <v>1.1539351857209112E-2</v>
      </c>
      <c r="N168" s="7">
        <f t="shared" si="62"/>
        <v>16.616666674381122</v>
      </c>
      <c r="O168" s="7"/>
      <c r="P168" s="7"/>
      <c r="Q168" s="22"/>
      <c r="R168" s="170"/>
      <c r="S168" s="213">
        <f t="shared" si="47"/>
        <v>1</v>
      </c>
      <c r="T168" s="195" t="str">
        <f t="shared" si="48"/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49"/>
        <v>https://d0f6bd738d7f1b3e5a7ca70fe4ff75f0.us-east-1.aws.found.io/app/kibana#/discover/Steve-Slow-Train-Analysis-(2080s-and-2083s)?_g=(refreshInterval:(display:Off,pause:!f,section:0,value:0),time:(from:'2017-07-30T09:36:52-0600',mode:absolute,to:'2017-07-30T11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8" s="197" t="str">
        <f>IF(AA168&lt;VLOOKUP(AG168,Variables!$AC$3:$AD$8,2,FALSE),"Y","N")</f>
        <v>N</v>
      </c>
      <c r="X168" s="197">
        <f t="shared" si="63"/>
        <v>1</v>
      </c>
      <c r="Y168" s="197">
        <f t="shared" si="50"/>
        <v>5.8625999999999996</v>
      </c>
      <c r="Z168" s="197">
        <f t="shared" si="51"/>
        <v>7.0599999999999996E-2</v>
      </c>
      <c r="AA168" s="197">
        <f t="shared" si="52"/>
        <v>5.7919999999999998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53"/>
        <v>1810</v>
      </c>
      <c r="AE168" s="77" t="str">
        <f t="shared" si="54"/>
        <v>aws s3 cp s3://rtdc.mdm.uploadarchive.raw/RTDC4021/ "%USERPROFILE%\AppData\Local\Temp\OnboardLogs"\RTDC4021\2017-07-30 --exclude "*" --recursive --include "*20170730*" &amp; "%USERPROFILE%\Documents\GitHub\mrs-test-scripts\Headless Mode &amp; Sideloading\WalkAndUnGZ.bat" "%USERPROFILE%\AppData\Local\Temp\OnboardLogs"\RTDC4021\2017-07-30 &amp; aws s3 cp s3://rtdc.mdm.uploadarchive.raw/RTDC4021/ "%USERPROFILE%\AppData\Local\Temp\OnboardLogs"\RTDC4021\2017-07-31 --exclude "*" --recursive --include "*20170731*" &amp; "%USERPROFILE%\Documents\GitHub\mrs-test-scripts\Headless Mode &amp; Sideloading\WalkAndUnGZ.bat" "%USERPROFILE%\AppData\Local\Temp\OnboardLogs"\RTDC4021\2017-07-31</v>
      </c>
      <c r="AF168" s="74" t="str">
        <f t="shared" si="55"/>
        <v>"C:\Program Files (x86)\AstroGrep\AstroGrep.exe" /e /r /s /spath="%USERPROFILE%\AppData\Local\Temp\OnboardLogs" /stypes="app*4021*20170730*" /stext=" 16:.+((SYSTEM_STATE.+slice.+state.+changed )|(ment ac)|(multiple cpu faults)|(system.+state.+changed )|(\[timeout)|(PRM\|1\|D)|(kpr)|(kdp)|(train st.+moving)|(\|lc)|(penalty))"</v>
      </c>
      <c r="AG168" s="209" t="str">
        <f t="shared" si="56"/>
        <v>NW</v>
      </c>
      <c r="AH168" s="78" t="str">
        <f t="shared" si="57"/>
        <v>"%USERPROFILE%\Documents\GitHub\eaglep3\Utilities\RefineRTDCRunTimes.py" --tripid 1810-30 --locoid 4021 --swversion DE.1.0.9.0 --startMP 300:58626 --initTime 2017-07-30T10:36:52 --startdatetime 2017-07-30T10:38:54 --delay 1 --endMP 204:706 --enddatetime 2017-07-30T10:55:31 --enforcementcount 0 &gt;&gt;C:\Users\stu\Documents\GitHub\eaglep3-reporting\EC\2017-07-30-refined-times.txt</v>
      </c>
      <c r="AI168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{"issue":{"subject":"","project_id":79,"tracker_id":40,"status_id":1,"priority_id":2,"assigned_to_id":23,"start_date":"2017-07-30","description":"","custom_fields":[{"id":1,"name":"Subdivision","value":"NW"},{"id":4,"name":"Milepost","value":"0.0706"},{"id":17,"name":"Train ID","value":"1810-30"},{"id":16,"name":"Locomotive ID","value":"4021"},{"id":130,"name":"Impact","value":""},{"id":150,"name":"Time of Event (Mountain Time)","value":"10:55:31"},{"id":151,"name":"Denver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2" t="str">
        <f t="shared" si="59"/>
        <v>start /low /b %USERPROFILE%\Documents\GitHub\eaglep3\Utilities\DownloadLogsFromS3.py --loco 4021 --day 2017-07-30</v>
      </c>
      <c r="AN168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16:55:31"},{"id":29,"name":"Sharepoint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</row>
    <row r="169" spans="1:91" x14ac:dyDescent="0.25">
      <c r="A169" s="32" t="s">
        <v>760</v>
      </c>
      <c r="B169" s="7">
        <v>4022</v>
      </c>
      <c r="C169" s="21" t="s">
        <v>198</v>
      </c>
      <c r="D169" s="21" t="s">
        <v>609</v>
      </c>
      <c r="E169" s="13">
        <v>42946.457777777781</v>
      </c>
      <c r="F169" s="13">
        <v>42946.473124999997</v>
      </c>
      <c r="G169" s="7">
        <v>1</v>
      </c>
      <c r="H169" s="21" t="s">
        <v>523</v>
      </c>
      <c r="I169" s="13">
        <v>42946.482731481483</v>
      </c>
      <c r="J169" s="7">
        <v>0</v>
      </c>
      <c r="K169" s="89" t="str">
        <f t="shared" si="45"/>
        <v>4021/4022</v>
      </c>
      <c r="L169" s="21" t="str">
        <f>VLOOKUP(A169,'Trips&amp;Operators'!$C$1:$G$99999,5,FALSE)</f>
        <v>DAVIDSON DAVID</v>
      </c>
      <c r="M169" s="6">
        <f t="shared" si="46"/>
        <v>9.606481486116536E-3</v>
      </c>
      <c r="N169" s="7">
        <f t="shared" si="62"/>
        <v>13.833333340007812</v>
      </c>
      <c r="O169" s="7"/>
      <c r="P169" s="7"/>
      <c r="Q169" s="22"/>
      <c r="R169" s="170"/>
      <c r="S169" s="213">
        <f t="shared" si="47"/>
        <v>1</v>
      </c>
      <c r="T169" s="195" t="str">
        <f t="shared" si="48"/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49"/>
        <v>https://d0f6bd738d7f1b3e5a7ca70fe4ff75f0.us-east-1.aws.found.io/app/kibana#/discover/Steve-Slow-Train-Analysis-(2080s-and-2083s)?_g=(refreshInterval:(display:Off,pause:!f,section:0,value:0),time:(from:'2017-07-30T09:59:12-0600',mode:absolute,to:'2017-07-30T12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9" s="197" t="str">
        <f>IF(AA169&lt;VLOOKUP(AG169,Variables!$AC$3:$AD$8,2,FALSE),"Y","N")</f>
        <v>N</v>
      </c>
      <c r="X169" s="197">
        <f t="shared" si="63"/>
        <v>1</v>
      </c>
      <c r="Y169" s="197">
        <f t="shared" si="50"/>
        <v>9.8299999999999998E-2</v>
      </c>
      <c r="Z169" s="197">
        <f t="shared" si="51"/>
        <v>5.8948</v>
      </c>
      <c r="AA169" s="197">
        <f t="shared" si="52"/>
        <v>5.7965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53"/>
        <v>1811</v>
      </c>
      <c r="AE169" s="77" t="str">
        <f t="shared" si="54"/>
        <v>aws s3 cp s3://rtdc.mdm.uploadarchive.raw/RTDC4022/ "%USERPROFILE%\AppData\Local\Temp\OnboardLogs"\RTDC4022\2017-07-30 --exclude "*" --recursive --include "*20170730*" &amp; "%USERPROFILE%\Documents\GitHub\mrs-test-scripts\Headless Mode &amp; Sideloading\WalkAndUnGZ.bat" "%USERPROFILE%\AppData\Local\Temp\OnboardLogs"\RTDC4022\2017-07-30 &amp; aws s3 cp s3://rtdc.mdm.uploadarchive.raw/RTDC4022/ "%USERPROFILE%\AppData\Local\Temp\OnboardLogs"\RTDC4022\2017-07-31 --exclude "*" --recursive --include "*20170731*" &amp; "%USERPROFILE%\Documents\GitHub\mrs-test-scripts\Headless Mode &amp; Sideloading\WalkAndUnGZ.bat" "%USERPROFILE%\AppData\Local\Temp\OnboardLogs"\RTDC4022\2017-07-31</v>
      </c>
      <c r="AF169" s="74" t="str">
        <f t="shared" si="55"/>
        <v>"C:\Program Files (x86)\AstroGrep\AstroGrep.exe" /e /r /s /spath="%USERPROFILE%\AppData\Local\Temp\OnboardLogs" /stypes="app*4022*20170730*" /stext=" 17:.+((SYSTEM_STATE.+slice.+state.+changed )|(ment ac)|(multiple cpu faults)|(system.+state.+changed )|(\[timeout)|(PRM\|1\|D)|(kpr)|(kdp)|(train st.+moving)|(\|lc)|(penalty))"</v>
      </c>
      <c r="AG169" s="209" t="str">
        <f t="shared" si="56"/>
        <v>NW</v>
      </c>
      <c r="AH169" s="78" t="str">
        <f t="shared" si="57"/>
        <v>"%USERPROFILE%\Documents\GitHub\eaglep3\Utilities\RefineRTDCRunTimes.py" --tripid 1811-30 --locoid 4022 --swversion DE.1.0.9.0 --startMP 204:983 --initTime 2017-07-30T10:59:12 --startdatetime 2017-07-30T11:21:18 --delay 1 --endMP 300:58948 --enddatetime 2017-07-30T11:35:08 --enforcementcount 0 &gt;&gt;C:\Users\stu\Documents\GitHub\eaglep3-reporting\EC\2017-07-30-refined-times.txt</v>
      </c>
      <c r="AI169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{"issue":{"subject":"","project_id":79,"tracker_id":40,"status_id":1,"priority_id":2,"assigned_to_id":23,"start_date":"2017-07-30","description":"","custom_fields":[{"id":1,"name":"Subdivision","value":"NW"},{"id":4,"name":"Milepost","value":"5.8948"},{"id":17,"name":"Train ID","value":"1811-30"},{"id":16,"name":"Locomotive ID","value":"4022"},{"id":130,"name":"Impact","value":""},{"id":150,"name":"Time of Event (Mountain Time)","value":"11:35:08"},{"id":151,"name":"Denver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59"/>
        <v>start /low /b %USERPROFILE%\Documents\GitHub\eaglep3\Utilities\DownloadLogsFromS3.py --loco 4022 --day 2017-07-30</v>
      </c>
      <c r="AN169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17:35:08"},{"id":29,"name":"Sharepoint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s="20" customFormat="1" x14ac:dyDescent="0.25">
      <c r="A170" s="32" t="s">
        <v>766</v>
      </c>
      <c r="B170" s="7">
        <v>4021</v>
      </c>
      <c r="C170" s="21" t="s">
        <v>198</v>
      </c>
      <c r="D170" s="21" t="s">
        <v>614</v>
      </c>
      <c r="E170" s="13">
        <v>42946.483807870369</v>
      </c>
      <c r="F170" s="13">
        <v>42946.485231481478</v>
      </c>
      <c r="G170" s="7">
        <v>1</v>
      </c>
      <c r="H170" s="21" t="s">
        <v>934</v>
      </c>
      <c r="I170" s="13">
        <v>42946.497928240744</v>
      </c>
      <c r="J170" s="7">
        <v>0</v>
      </c>
      <c r="K170" s="89" t="str">
        <f t="shared" si="45"/>
        <v>4021/4022</v>
      </c>
      <c r="L170" s="21" t="str">
        <f>VLOOKUP(A170,'Trips&amp;Operators'!$C$1:$G$99999,5,FALSE)</f>
        <v>DAVIDSON DAVID</v>
      </c>
      <c r="M170" s="6">
        <f t="shared" si="46"/>
        <v>1.2696759265963919E-2</v>
      </c>
      <c r="N170" s="7">
        <f t="shared" si="62"/>
        <v>18.283333342988044</v>
      </c>
      <c r="O170" s="7"/>
      <c r="P170" s="7"/>
      <c r="Q170" s="22"/>
      <c r="R170" s="170"/>
      <c r="S170" s="213">
        <f t="shared" si="47"/>
        <v>1</v>
      </c>
      <c r="T170" s="195" t="str">
        <f t="shared" si="48"/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49"/>
        <v>https://d0f6bd738d7f1b3e5a7ca70fe4ff75f0.us-east-1.aws.found.io/app/kibana#/discover/Steve-Slow-Train-Analysis-(2080s-and-2083s)?_g=(refreshInterval:(display:Off,pause:!f,section:0,value:0),time:(from:'2017-07-30T10:36:41-0600',mode:absolute,to:'2017-07-30T12:57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0" s="197" t="str">
        <f>IF(AA170&lt;VLOOKUP(AG170,Variables!$AC$3:$AD$8,2,FALSE),"Y","N")</f>
        <v>N</v>
      </c>
      <c r="X170" s="197">
        <f t="shared" si="63"/>
        <v>1</v>
      </c>
      <c r="Y170" s="197">
        <f t="shared" si="50"/>
        <v>5.8632</v>
      </c>
      <c r="Z170" s="197">
        <f t="shared" si="51"/>
        <v>6.6100000000000006E-2</v>
      </c>
      <c r="AA170" s="197">
        <f t="shared" si="52"/>
        <v>5.7971000000000004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53"/>
        <v>1812</v>
      </c>
      <c r="AE170" s="77" t="str">
        <f t="shared" si="54"/>
        <v>aws s3 cp s3://rtdc.mdm.uploadarchive.raw/RTDC4021/ "%USERPROFILE%\AppData\Local\Temp\OnboardLogs"\RTDC4021\2017-07-30 --exclude "*" --recursive --include "*20170730*" &amp; "%USERPROFILE%\Documents\GitHub\mrs-test-scripts\Headless Mode &amp; Sideloading\WalkAndUnGZ.bat" "%USERPROFILE%\AppData\Local\Temp\OnboardLogs"\RTDC4021\2017-07-30 &amp; aws s3 cp s3://rtdc.mdm.uploadarchive.raw/RTDC4021/ "%USERPROFILE%\AppData\Local\Temp\OnboardLogs"\RTDC4021\2017-07-31 --exclude "*" --recursive --include "*20170731*" &amp; "%USERPROFILE%\Documents\GitHub\mrs-test-scripts\Headless Mode &amp; Sideloading\WalkAndUnGZ.bat" "%USERPROFILE%\AppData\Local\Temp\OnboardLogs"\RTDC4021\2017-07-31</v>
      </c>
      <c r="AF170" s="74" t="str">
        <f t="shared" si="55"/>
        <v>"C:\Program Files (x86)\AstroGrep\AstroGrep.exe" /e /r /s /spath="%USERPROFILE%\AppData\Local\Temp\OnboardLogs" /stypes="app*4021*20170730*" /stext=" 17:.+((SYSTEM_STATE.+slice.+state.+changed )|(ment ac)|(multiple cpu faults)|(system.+state.+changed )|(\[timeout)|(PRM\|1\|D)|(kpr)|(kdp)|(train st.+moving)|(\|lc)|(penalty))"</v>
      </c>
      <c r="AG170" s="209" t="str">
        <f t="shared" si="56"/>
        <v>NW</v>
      </c>
      <c r="AH170" s="78" t="str">
        <f t="shared" si="57"/>
        <v>"%USERPROFILE%\Documents\GitHub\eaglep3\Utilities\RefineRTDCRunTimes.py" --tripid 1812-30 --locoid 4021 --swversion DE.1.0.9.0 --startMP 300:58632 --initTime 2017-07-30T11:36:41 --startdatetime 2017-07-30T11:38:44 --delay 1 --endMP 204:661 --enddatetime 2017-07-30T11:57:01 --enforcementcount 0 &gt;&gt;C:\Users\stu\Documents\GitHub\eaglep3-reporting\EC\2017-07-30-refined-times.txt</v>
      </c>
      <c r="AI170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{"issue":{"subject":"","project_id":79,"tracker_id":40,"status_id":1,"priority_id":2,"assigned_to_id":23,"start_date":"2017-07-30","description":"","custom_fields":[{"id":1,"name":"Subdivision","value":"NW"},{"id":4,"name":"Milepost","value":"0.0661"},{"id":17,"name":"Train ID","value":"1812-30"},{"id":16,"name":"Locomotive ID","value":"4021"},{"id":130,"name":"Impact","value":""},{"id":150,"name":"Time of Event (Mountain Time)","value":"11:57:01"},{"id":151,"name":"Denver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59"/>
        <v>start /low /b %USERPROFILE%\Documents\GitHub\eaglep3\Utilities\DownloadLogsFromS3.py --loco 4021 --day 2017-07-30</v>
      </c>
      <c r="AN170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17:57:01"},{"id":29,"name":"Sharepoint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769</v>
      </c>
      <c r="B171" s="7">
        <v>4022</v>
      </c>
      <c r="C171" s="21" t="s">
        <v>198</v>
      </c>
      <c r="D171" s="21" t="s">
        <v>469</v>
      </c>
      <c r="E171" s="13">
        <v>42946.499861111108</v>
      </c>
      <c r="F171" s="13">
        <v>42946.514803240738</v>
      </c>
      <c r="G171" s="7">
        <v>1</v>
      </c>
      <c r="H171" s="21" t="s">
        <v>523</v>
      </c>
      <c r="I171" s="13">
        <v>42946.524421296293</v>
      </c>
      <c r="J171" s="7">
        <v>0</v>
      </c>
      <c r="K171" s="89" t="str">
        <f t="shared" si="45"/>
        <v>4021/4022</v>
      </c>
      <c r="L171" s="21" t="str">
        <f>VLOOKUP(A171,'Trips&amp;Operators'!$C$1:$G$99999,5,FALSE)</f>
        <v>DAVIDSON DAVID</v>
      </c>
      <c r="M171" s="6">
        <f t="shared" si="46"/>
        <v>9.6180555556202307E-3</v>
      </c>
      <c r="N171" s="7">
        <f t="shared" si="62"/>
        <v>13.850000000093132</v>
      </c>
      <c r="O171" s="7"/>
      <c r="P171" s="7"/>
      <c r="Q171" s="22"/>
      <c r="R171" s="170"/>
      <c r="S171" s="213">
        <f t="shared" si="47"/>
        <v>1</v>
      </c>
      <c r="T171" s="195" t="str">
        <f t="shared" si="48"/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49"/>
        <v>https://d0f6bd738d7f1b3e5a7ca70fe4ff75f0.us-east-1.aws.found.io/app/kibana#/discover/Steve-Slow-Train-Analysis-(2080s-and-2083s)?_g=(refreshInterval:(display:Off,pause:!f,section:0,value:0),time:(from:'2017-07-30T10:59:48-0600',mode:absolute,to:'2017-07-30T13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1" s="197" t="str">
        <f>IF(AA171&lt;VLOOKUP(AG171,Variables!$AC$3:$AD$8,2,FALSE),"Y","N")</f>
        <v>N</v>
      </c>
      <c r="X171" s="197">
        <f t="shared" si="63"/>
        <v>1</v>
      </c>
      <c r="Y171" s="197">
        <f t="shared" si="50"/>
        <v>9.8500000000000004E-2</v>
      </c>
      <c r="Z171" s="197">
        <f t="shared" si="51"/>
        <v>5.8948</v>
      </c>
      <c r="AA171" s="197">
        <f t="shared" si="52"/>
        <v>5.7963000000000005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53"/>
        <v>1813</v>
      </c>
      <c r="AE171" s="77" t="str">
        <f t="shared" si="54"/>
        <v>aws s3 cp s3://rtdc.mdm.uploadarchive.raw/RTDC4022/ "%USERPROFILE%\AppData\Local\Temp\OnboardLogs"\RTDC4022\2017-07-30 --exclude "*" --recursive --include "*20170730*" &amp; "%USERPROFILE%\Documents\GitHub\mrs-test-scripts\Headless Mode &amp; Sideloading\WalkAndUnGZ.bat" "%USERPROFILE%\AppData\Local\Temp\OnboardLogs"\RTDC4022\2017-07-30 &amp; aws s3 cp s3://rtdc.mdm.uploadarchive.raw/RTDC4022/ "%USERPROFILE%\AppData\Local\Temp\OnboardLogs"\RTDC4022\2017-07-31 --exclude "*" --recursive --include "*20170731*" &amp; "%USERPROFILE%\Documents\GitHub\mrs-test-scripts\Headless Mode &amp; Sideloading\WalkAndUnGZ.bat" "%USERPROFILE%\AppData\Local\Temp\OnboardLogs"\RTDC4022\2017-07-31</v>
      </c>
      <c r="AF171" s="74" t="str">
        <f t="shared" si="55"/>
        <v>"C:\Program Files (x86)\AstroGrep\AstroGrep.exe" /e /r /s /spath="%USERPROFILE%\AppData\Local\Temp\OnboardLogs" /stypes="app*4022*20170730*" /stext=" 18:.+((SYSTEM_STATE.+slice.+state.+changed )|(ment ac)|(multiple cpu faults)|(system.+state.+changed )|(\[timeout)|(PRM\|1\|D)|(kpr)|(kdp)|(train st.+moving)|(\|lc)|(penalty))"</v>
      </c>
      <c r="AG171" s="209" t="str">
        <f t="shared" si="56"/>
        <v>NW</v>
      </c>
      <c r="AH171" s="78" t="str">
        <f t="shared" si="57"/>
        <v>"%USERPROFILE%\Documents\GitHub\eaglep3\Utilities\RefineRTDCRunTimes.py" --tripid 1813-30 --locoid 4022 --swversion DE.1.0.9.0 --startMP 204:985 --initTime 2017-07-30T11:59:48 --startdatetime 2017-07-30T12:21:19 --delay 1 --endMP 300:58948 --enddatetime 2017-07-30T12:35:10 --enforcementcount 0 &gt;&gt;C:\Users\stu\Documents\GitHub\eaglep3-reporting\EC\2017-07-30-refined-times.txt</v>
      </c>
      <c r="AI171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{"issue":{"subject":"","project_id":79,"tracker_id":40,"status_id":1,"priority_id":2,"assigned_to_id":23,"start_date":"2017-07-30","description":"","custom_fields":[{"id":1,"name":"Subdivision","value":"NW"},{"id":4,"name":"Milepost","value":"5.8948"},{"id":17,"name":"Train ID","value":"1813-30"},{"id":16,"name":"Locomotive ID","value":"4022"},{"id":130,"name":"Impact","value":""},{"id":150,"name":"Time of Event (Mountain Time)","value":"12:35:10"},{"id":151,"name":"Denver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59"/>
        <v>start /low /b %USERPROFILE%\Documents\GitHub\eaglep3\Utilities\DownloadLogsFromS3.py --loco 4022 --day 2017-07-30</v>
      </c>
      <c r="AN171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18:35:10"},{"id":29,"name":"Sharepoint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2" t="s">
        <v>775</v>
      </c>
      <c r="B172" s="7">
        <v>4021</v>
      </c>
      <c r="C172" s="21" t="s">
        <v>198</v>
      </c>
      <c r="D172" s="21" t="s">
        <v>610</v>
      </c>
      <c r="E172" s="13">
        <v>42946.525416666664</v>
      </c>
      <c r="F172" s="13">
        <v>42946.526782407411</v>
      </c>
      <c r="G172" s="7">
        <v>1</v>
      </c>
      <c r="H172" s="21" t="s">
        <v>607</v>
      </c>
      <c r="I172" s="13">
        <v>42946.538414351853</v>
      </c>
      <c r="J172" s="7">
        <v>0</v>
      </c>
      <c r="K172" s="89" t="str">
        <f t="shared" si="45"/>
        <v>4021/4022</v>
      </c>
      <c r="L172" s="21" t="str">
        <f>VLOOKUP(A172,'Trips&amp;Operators'!$C$1:$G$99999,5,FALSE)</f>
        <v>DAVIDSON DAVID</v>
      </c>
      <c r="M172" s="6">
        <f t="shared" si="46"/>
        <v>1.1631944442342501E-2</v>
      </c>
      <c r="N172" s="7">
        <f t="shared" si="62"/>
        <v>16.749999996973202</v>
      </c>
      <c r="O172" s="7"/>
      <c r="P172" s="7"/>
      <c r="Q172" s="22"/>
      <c r="R172" s="170"/>
      <c r="S172" s="213">
        <f t="shared" si="47"/>
        <v>1</v>
      </c>
      <c r="T172" s="195" t="str">
        <f t="shared" si="48"/>
        <v>Southbound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49"/>
        <v>https://d0f6bd738d7f1b3e5a7ca70fe4ff75f0.us-east-1.aws.found.io/app/kibana#/discover/Steve-Slow-Train-Analysis-(2080s-and-2083s)?_g=(refreshInterval:(display:Off,pause:!f,section:0,value:0),time:(from:'2017-07-30T11:36:36-0600',mode:absolute,to:'2017-07-30T13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2" s="197" t="str">
        <f>IF(AA172&lt;VLOOKUP(AG172,Variables!$AC$3:$AD$8,2,FALSE),"Y","N")</f>
        <v>N</v>
      </c>
      <c r="X172" s="197">
        <f t="shared" si="63"/>
        <v>1</v>
      </c>
      <c r="Y172" s="197">
        <f t="shared" si="50"/>
        <v>5.8640999999999996</v>
      </c>
      <c r="Z172" s="197">
        <f t="shared" si="51"/>
        <v>6.9099999999999995E-2</v>
      </c>
      <c r="AA172" s="197">
        <f t="shared" si="52"/>
        <v>5.7949999999999999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53"/>
        <v>1814</v>
      </c>
      <c r="AE172" s="77" t="str">
        <f t="shared" si="54"/>
        <v>aws s3 cp s3://rtdc.mdm.uploadarchive.raw/RTDC4021/ "%USERPROFILE%\AppData\Local\Temp\OnboardLogs"\RTDC4021\2017-07-30 --exclude "*" --recursive --include "*20170730*" &amp; "%USERPROFILE%\Documents\GitHub\mrs-test-scripts\Headless Mode &amp; Sideloading\WalkAndUnGZ.bat" "%USERPROFILE%\AppData\Local\Temp\OnboardLogs"\RTDC4021\2017-07-30 &amp; aws s3 cp s3://rtdc.mdm.uploadarchive.raw/RTDC4021/ "%USERPROFILE%\AppData\Local\Temp\OnboardLogs"\RTDC4021\2017-07-31 --exclude "*" --recursive --include "*20170731*" &amp; "%USERPROFILE%\Documents\GitHub\mrs-test-scripts\Headless Mode &amp; Sideloading\WalkAndUnGZ.bat" "%USERPROFILE%\AppData\Local\Temp\OnboardLogs"\RTDC4021\2017-07-31</v>
      </c>
      <c r="AF172" s="74" t="str">
        <f t="shared" si="55"/>
        <v>"C:\Program Files (x86)\AstroGrep\AstroGrep.exe" /e /r /s /spath="%USERPROFILE%\AppData\Local\Temp\OnboardLogs" /stypes="app*4021*20170730*" /stext=" 18:.+((SYSTEM_STATE.+slice.+state.+changed )|(ment ac)|(multiple cpu faults)|(system.+state.+changed )|(\[timeout)|(PRM\|1\|D)|(kpr)|(kdp)|(train st.+moving)|(\|lc)|(penalty))"</v>
      </c>
      <c r="AG172" s="209" t="str">
        <f t="shared" si="56"/>
        <v>NW</v>
      </c>
      <c r="AH172" s="78" t="str">
        <f t="shared" si="57"/>
        <v>"%USERPROFILE%\Documents\GitHub\eaglep3\Utilities\RefineRTDCRunTimes.py" --tripid 1814-30 --locoid 4021 --swversion DE.1.0.9.0 --startMP 300:58641 --initTime 2017-07-30T12:36:36 --startdatetime 2017-07-30T12:38:34 --delay 1 --endMP 204:691 --enddatetime 2017-07-30T12:55:19 --enforcementcount 0 &gt;&gt;C:\Users\stu\Documents\GitHub\eaglep3-reporting\EC\2017-07-30-refined-times.txt</v>
      </c>
      <c r="AI172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{"issue":{"subject":"","project_id":79,"tracker_id":40,"status_id":1,"priority_id":2,"assigned_to_id":23,"start_date":"2017-07-30","description":"","custom_fields":[{"id":1,"name":"Subdivision","value":"NW"},{"id":4,"name":"Milepost","value":"0.0691"},{"id":17,"name":"Train ID","value":"1814-30"},{"id":16,"name":"Locomotive ID","value":"4021"},{"id":130,"name":"Impact","value":""},{"id":150,"name":"Time of Event (Mountain Time)","value":"12:55:19"},{"id":151,"name":"Denver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59"/>
        <v>start /low /b %USERPROFILE%\Documents\GitHub\eaglep3\Utilities\DownloadLogsFromS3.py --loco 4021 --day 2017-07-30</v>
      </c>
      <c r="AN172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18:55:19"},{"id":29,"name":"Sharepoint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780</v>
      </c>
      <c r="B173" s="7">
        <v>4022</v>
      </c>
      <c r="C173" s="21" t="s">
        <v>198</v>
      </c>
      <c r="D173" s="21" t="s">
        <v>935</v>
      </c>
      <c r="E173" s="13">
        <v>42946.540127314816</v>
      </c>
      <c r="F173" s="13">
        <v>42946.556446759256</v>
      </c>
      <c r="G173" s="7">
        <v>1</v>
      </c>
      <c r="H173" s="21" t="s">
        <v>936</v>
      </c>
      <c r="I173" s="13">
        <v>42946.56591435185</v>
      </c>
      <c r="J173" s="7">
        <v>0</v>
      </c>
      <c r="K173" s="89" t="str">
        <f t="shared" si="45"/>
        <v>4021/4022</v>
      </c>
      <c r="L173" s="21" t="str">
        <f>VLOOKUP(A173,'Trips&amp;Operators'!$C$1:$G$99999,5,FALSE)</f>
        <v>DAVIDSON DAVID</v>
      </c>
      <c r="M173" s="6">
        <f t="shared" si="46"/>
        <v>9.4675925938645378E-3</v>
      </c>
      <c r="N173" s="7">
        <f t="shared" si="62"/>
        <v>13.633333335164934</v>
      </c>
      <c r="O173" s="7"/>
      <c r="P173" s="7"/>
      <c r="Q173" s="22"/>
      <c r="R173" s="170"/>
      <c r="S173" s="213">
        <f t="shared" si="47"/>
        <v>1</v>
      </c>
      <c r="T173" s="195" t="str">
        <f t="shared" si="48"/>
        <v>NorthBound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49"/>
        <v>https://d0f6bd738d7f1b3e5a7ca70fe4ff75f0.us-east-1.aws.found.io/app/kibana#/discover/Steve-Slow-Train-Analysis-(2080s-and-2083s)?_g=(refreshInterval:(display:Off,pause:!f,section:0,value:0),time:(from:'2017-07-30T11:57:47-0600',mode:absolute,to:'2017-07-30T14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3" s="197" t="str">
        <f>IF(AA173&lt;VLOOKUP(AG173,Variables!$AC$3:$AD$8,2,FALSE),"Y","N")</f>
        <v>N</v>
      </c>
      <c r="X173" s="197">
        <f t="shared" si="63"/>
        <v>1</v>
      </c>
      <c r="Y173" s="197">
        <f t="shared" si="50"/>
        <v>9.7199999999999995E-2</v>
      </c>
      <c r="Z173" s="197">
        <f t="shared" si="51"/>
        <v>5.8943000000000003</v>
      </c>
      <c r="AA173" s="197">
        <f t="shared" si="52"/>
        <v>5.7971000000000004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53"/>
        <v>1815</v>
      </c>
      <c r="AE173" s="77" t="str">
        <f t="shared" si="54"/>
        <v>aws s3 cp s3://rtdc.mdm.uploadarchive.raw/RTDC4022/ "%USERPROFILE%\AppData\Local\Temp\OnboardLogs"\RTDC4022\2017-07-30 --exclude "*" --recursive --include "*20170730*" &amp; "%USERPROFILE%\Documents\GitHub\mrs-test-scripts\Headless Mode &amp; Sideloading\WalkAndUnGZ.bat" "%USERPROFILE%\AppData\Local\Temp\OnboardLogs"\RTDC4022\2017-07-30 &amp; aws s3 cp s3://rtdc.mdm.uploadarchive.raw/RTDC4022/ "%USERPROFILE%\AppData\Local\Temp\OnboardLogs"\RTDC4022\2017-07-31 --exclude "*" --recursive --include "*20170731*" &amp; "%USERPROFILE%\Documents\GitHub\mrs-test-scripts\Headless Mode &amp; Sideloading\WalkAndUnGZ.bat" "%USERPROFILE%\AppData\Local\Temp\OnboardLogs"\RTDC4022\2017-07-31</v>
      </c>
      <c r="AF173" s="74" t="str">
        <f t="shared" si="55"/>
        <v>"C:\Program Files (x86)\AstroGrep\AstroGrep.exe" /e /r /s /spath="%USERPROFILE%\AppData\Local\Temp\OnboardLogs" /stypes="app*4022*20170730*" /stext=" 19:.+((SYSTEM_STATE.+slice.+state.+changed )|(ment ac)|(multiple cpu faults)|(system.+state.+changed )|(\[timeout)|(PRM\|1\|D)|(kpr)|(kdp)|(train st.+moving)|(\|lc)|(penalty))"</v>
      </c>
      <c r="AG173" s="209" t="str">
        <f t="shared" si="56"/>
        <v>NW</v>
      </c>
      <c r="AH173" s="78" t="str">
        <f t="shared" si="57"/>
        <v>"%USERPROFILE%\Documents\GitHub\eaglep3\Utilities\RefineRTDCRunTimes.py" --tripid 1815-30 --locoid 4022 --swversion DE.1.0.9.0 --startMP 204:972 --initTime 2017-07-30T12:57:47 --startdatetime 2017-07-30T13:21:17 --delay 1 --endMP 300:58943 --enddatetime 2017-07-30T13:34:55 --enforcementcount 0 &gt;&gt;C:\Users\stu\Documents\GitHub\eaglep3-reporting\EC\2017-07-30-refined-times.txt</v>
      </c>
      <c r="AI173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{"issue":{"subject":"","project_id":79,"tracker_id":40,"status_id":1,"priority_id":2,"assigned_to_id":23,"start_date":"2017-07-30","description":"","custom_fields":[{"id":1,"name":"Subdivision","value":"NW"},{"id":4,"name":"Milepost","value":"5.8943"},{"id":17,"name":"Train ID","value":"1815-30"},{"id":16,"name":"Locomotive ID","value":"4022"},{"id":130,"name":"Impact","value":""},{"id":150,"name":"Time of Event (Mountain Time)","value":"13:34:55"},{"id":151,"name":"Denver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59"/>
        <v>start /low /b %USERPROFILE%\Documents\GitHub\eaglep3\Utilities\DownloadLogsFromS3.py --loco 4022 --day 2017-07-30</v>
      </c>
      <c r="AN173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19:34:55"},{"id":29,"name":"Sharepoint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785</v>
      </c>
      <c r="B174" s="7">
        <v>4021</v>
      </c>
      <c r="C174" s="21" t="s">
        <v>198</v>
      </c>
      <c r="D174" s="21" t="s">
        <v>494</v>
      </c>
      <c r="E174" s="13">
        <v>42946.567106481481</v>
      </c>
      <c r="F174" s="13">
        <v>42946.568472222221</v>
      </c>
      <c r="G174" s="7">
        <v>1</v>
      </c>
      <c r="H174" s="21" t="s">
        <v>927</v>
      </c>
      <c r="I174" s="13">
        <v>42946.580567129633</v>
      </c>
      <c r="J174" s="7">
        <v>0</v>
      </c>
      <c r="K174" s="89" t="str">
        <f t="shared" si="45"/>
        <v>4021/4022</v>
      </c>
      <c r="L174" s="21" t="str">
        <f>VLOOKUP(A174,'Trips&amp;Operators'!$C$1:$G$99999,5,FALSE)</f>
        <v>DAVIDSON DAVID</v>
      </c>
      <c r="M174" s="6">
        <f t="shared" si="46"/>
        <v>1.209490741166519E-2</v>
      </c>
      <c r="N174" s="7">
        <f t="shared" si="62"/>
        <v>17.416666672797874</v>
      </c>
      <c r="O174" s="7"/>
      <c r="P174" s="7"/>
      <c r="Q174" s="22"/>
      <c r="R174" s="170"/>
      <c r="S174" s="213">
        <f t="shared" si="47"/>
        <v>1</v>
      </c>
      <c r="T174" s="195" t="str">
        <f t="shared" si="48"/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49"/>
        <v>https://d0f6bd738d7f1b3e5a7ca70fe4ff75f0.us-east-1.aws.found.io/app/kibana#/discover/Steve-Slow-Train-Analysis-(2080s-and-2083s)?_g=(refreshInterval:(display:Off,pause:!f,section:0,value:0),time:(from:'2017-07-30T12:36:38-0600',mode:absolute,to:'2017-07-30T14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4" s="197" t="str">
        <f>IF(AA174&lt;VLOOKUP(AG174,Variables!$AC$3:$AD$8,2,FALSE),"Y","N")</f>
        <v>N</v>
      </c>
      <c r="X174" s="197">
        <f t="shared" si="63"/>
        <v>1</v>
      </c>
      <c r="Y174" s="197">
        <f t="shared" si="50"/>
        <v>5.8634000000000004</v>
      </c>
      <c r="Z174" s="197">
        <f t="shared" si="51"/>
        <v>6.8000000000000005E-2</v>
      </c>
      <c r="AA174" s="197">
        <f t="shared" si="52"/>
        <v>5.7954000000000008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53"/>
        <v>1816</v>
      </c>
      <c r="AE174" s="77" t="str">
        <f t="shared" si="54"/>
        <v>aws s3 cp s3://rtdc.mdm.uploadarchive.raw/RTDC4021/ "%USERPROFILE%\AppData\Local\Temp\OnboardLogs"\RTDC4021\2017-07-30 --exclude "*" --recursive --include "*20170730*" &amp; "%USERPROFILE%\Documents\GitHub\mrs-test-scripts\Headless Mode &amp; Sideloading\WalkAndUnGZ.bat" "%USERPROFILE%\AppData\Local\Temp\OnboardLogs"\RTDC4021\2017-07-30 &amp; aws s3 cp s3://rtdc.mdm.uploadarchive.raw/RTDC4021/ "%USERPROFILE%\AppData\Local\Temp\OnboardLogs"\RTDC4021\2017-07-31 --exclude "*" --recursive --include "*20170731*" &amp; "%USERPROFILE%\Documents\GitHub\mrs-test-scripts\Headless Mode &amp; Sideloading\WalkAndUnGZ.bat" "%USERPROFILE%\AppData\Local\Temp\OnboardLogs"\RTDC4021\2017-07-31</v>
      </c>
      <c r="AF174" s="74" t="str">
        <f t="shared" si="55"/>
        <v>"C:\Program Files (x86)\AstroGrep\AstroGrep.exe" /e /r /s /spath="%USERPROFILE%\AppData\Local\Temp\OnboardLogs" /stypes="app*4021*20170730*" /stext=" 19:.+((SYSTEM_STATE.+slice.+state.+changed )|(ment ac)|(multiple cpu faults)|(system.+state.+changed )|(\[timeout)|(PRM\|1\|D)|(kpr)|(kdp)|(train st.+moving)|(\|lc)|(penalty))"</v>
      </c>
      <c r="AG174" s="209" t="str">
        <f t="shared" si="56"/>
        <v>NW</v>
      </c>
      <c r="AH174" s="78" t="str">
        <f t="shared" si="57"/>
        <v>"%USERPROFILE%\Documents\GitHub\eaglep3\Utilities\RefineRTDCRunTimes.py" --tripid 1816-30 --locoid 4021 --swversion DE.1.0.9.0 --startMP 300:58634 --initTime 2017-07-30T13:36:38 --startdatetime 2017-07-30T13:38:36 --delay 1 --endMP 204:680 --enddatetime 2017-07-30T13:56:01 --enforcementcount 0 &gt;&gt;C:\Users\stu\Documents\GitHub\eaglep3-reporting\EC\2017-07-30-refined-times.txt</v>
      </c>
      <c r="AI174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{"issue":{"subject":"","project_id":79,"tracker_id":40,"status_id":1,"priority_id":2,"assigned_to_id":23,"start_date":"2017-07-30","description":"","custom_fields":[{"id":1,"name":"Subdivision","value":"NW"},{"id":4,"name":"Milepost","value":"0.068"},{"id":17,"name":"Train ID","value":"1816-30"},{"id":16,"name":"Locomotive ID","value":"4021"},{"id":130,"name":"Impact","value":""},{"id":150,"name":"Time of Event (Mountain Time)","value":"13:56:01"},{"id":151,"name":"Denver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59"/>
        <v>start /low /b %USERPROFILE%\Documents\GitHub\eaglep3\Utilities\DownloadLogsFromS3.py --loco 4021 --day 2017-07-30</v>
      </c>
      <c r="AN174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19:56:01"},{"id":29,"name":"Sharepoint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789</v>
      </c>
      <c r="B175" s="7">
        <v>4022</v>
      </c>
      <c r="C175" s="21" t="s">
        <v>198</v>
      </c>
      <c r="D175" s="21" t="s">
        <v>937</v>
      </c>
      <c r="E175" s="13">
        <v>42946.586597222224</v>
      </c>
      <c r="F175" s="13">
        <v>42946.598356481481</v>
      </c>
      <c r="G175" s="7">
        <v>1</v>
      </c>
      <c r="H175" s="21" t="s">
        <v>611</v>
      </c>
      <c r="I175" s="13">
        <v>42946.60732638889</v>
      </c>
      <c r="J175" s="7">
        <v>0</v>
      </c>
      <c r="K175" s="89" t="str">
        <f t="shared" si="45"/>
        <v>4021/4022</v>
      </c>
      <c r="L175" s="21" t="str">
        <f>VLOOKUP(A175,'Trips&amp;Operators'!$C$1:$G$99999,5,FALSE)</f>
        <v>LOPES KIMBERLY</v>
      </c>
      <c r="M175" s="6">
        <f t="shared" si="46"/>
        <v>8.969907408754807E-3</v>
      </c>
      <c r="N175" s="7">
        <f t="shared" si="62"/>
        <v>12.916666668606922</v>
      </c>
      <c r="O175" s="7"/>
      <c r="P175" s="7"/>
      <c r="Q175" s="22"/>
      <c r="R175" s="170"/>
      <c r="S175" s="213">
        <f t="shared" si="47"/>
        <v>1</v>
      </c>
      <c r="T175" s="195" t="str">
        <f t="shared" si="48"/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49"/>
        <v>https://d0f6bd738d7f1b3e5a7ca70fe4ff75f0.us-east-1.aws.found.io/app/kibana#/discover/Steve-Slow-Train-Analysis-(2080s-and-2083s)?_g=(refreshInterval:(display:Off,pause:!f,section:0,value:0),time:(from:'2017-07-30T13:04:42-0600',mode:absolute,to:'2017-07-30T15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5" s="197" t="str">
        <f>IF(AA175&lt;VLOOKUP(AG175,Variables!$AC$3:$AD$8,2,FALSE),"Y","N")</f>
        <v>N</v>
      </c>
      <c r="X175" s="197">
        <f t="shared" si="63"/>
        <v>1</v>
      </c>
      <c r="Y175" s="197">
        <f t="shared" si="50"/>
        <v>9.8100000000000007E-2</v>
      </c>
      <c r="Z175" s="197">
        <f t="shared" si="51"/>
        <v>5.8971</v>
      </c>
      <c r="AA175" s="197">
        <f t="shared" si="52"/>
        <v>5.7990000000000004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53"/>
        <v>1817</v>
      </c>
      <c r="AE175" s="77" t="str">
        <f t="shared" si="54"/>
        <v>aws s3 cp s3://rtdc.mdm.uploadarchive.raw/RTDC4022/ "%USERPROFILE%\AppData\Local\Temp\OnboardLogs"\RTDC4022\2017-07-30 --exclude "*" --recursive --include "*20170730*" &amp; "%USERPROFILE%\Documents\GitHub\mrs-test-scripts\Headless Mode &amp; Sideloading\WalkAndUnGZ.bat" "%USERPROFILE%\AppData\Local\Temp\OnboardLogs"\RTDC4022\2017-07-30 &amp; aws s3 cp s3://rtdc.mdm.uploadarchive.raw/RTDC4022/ "%USERPROFILE%\AppData\Local\Temp\OnboardLogs"\RTDC4022\2017-07-31 --exclude "*" --recursive --include "*20170731*" &amp; "%USERPROFILE%\Documents\GitHub\mrs-test-scripts\Headless Mode &amp; Sideloading\WalkAndUnGZ.bat" "%USERPROFILE%\AppData\Local\Temp\OnboardLogs"\RTDC4022\2017-07-31</v>
      </c>
      <c r="AF175" s="74" t="str">
        <f t="shared" si="55"/>
        <v>"C:\Program Files (x86)\AstroGrep\AstroGrep.exe" /e /r /s /spath="%USERPROFILE%\AppData\Local\Temp\OnboardLogs" /stypes="app*4022*20170730*" /stext=" 20:.+((SYSTEM_STATE.+slice.+state.+changed )|(ment ac)|(multiple cpu faults)|(system.+state.+changed )|(\[timeout)|(PRM\|1\|D)|(kpr)|(kdp)|(train st.+moving)|(\|lc)|(penalty))"</v>
      </c>
      <c r="AG175" s="209" t="str">
        <f t="shared" si="56"/>
        <v>NW</v>
      </c>
      <c r="AH175" s="78" t="str">
        <f t="shared" si="57"/>
        <v>"%USERPROFILE%\Documents\GitHub\eaglep3\Utilities\RefineRTDCRunTimes.py" --tripid 1817-30 --locoid 4022 --swversion DE.1.0.9.0 --startMP 204:981 --initTime 2017-07-30T14:04:42 --startdatetime 2017-07-30T14:21:38 --delay 1 --endMP 300:58971 --enddatetime 2017-07-30T14:34:33 --enforcementcount 0 &gt;&gt;C:\Users\stu\Documents\GitHub\eaglep3-reporting\EC\2017-07-30-refined-times.txt</v>
      </c>
      <c r="AI175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{"issue":{"subject":"","project_id":79,"tracker_id":40,"status_id":1,"priority_id":2,"assigned_to_id":23,"start_date":"2017-07-30","description":"","custom_fields":[{"id":1,"name":"Subdivision","value":"NW"},{"id":4,"name":"Milepost","value":"5.8971"},{"id":17,"name":"Train ID","value":"1817-30"},{"id":16,"name":"Locomotive ID","value":"4022"},{"id":130,"name":"Impact","value":""},{"id":150,"name":"Time of Event (Mountain Time)","value":"14:34:33"},{"id":151,"name":"Denver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59"/>
        <v>start /low /b %USERPROFILE%\Documents\GitHub\eaglep3\Utilities\DownloadLogsFromS3.py --loco 4022 --day 2017-07-30</v>
      </c>
      <c r="AN175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20:34:33"},{"id":29,"name":"Sharepoint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s="20" customFormat="1" x14ac:dyDescent="0.25">
      <c r="A176" s="32" t="s">
        <v>794</v>
      </c>
      <c r="B176" s="7">
        <v>4021</v>
      </c>
      <c r="C176" s="21" t="s">
        <v>198</v>
      </c>
      <c r="D176" s="21" t="s">
        <v>606</v>
      </c>
      <c r="E176" s="13">
        <v>42946.608124999999</v>
      </c>
      <c r="F176" s="13">
        <v>42946.609479166669</v>
      </c>
      <c r="G176" s="7">
        <v>1</v>
      </c>
      <c r="H176" s="21" t="s">
        <v>938</v>
      </c>
      <c r="I176" s="13">
        <v>42946.621041666665</v>
      </c>
      <c r="J176" s="7">
        <v>0</v>
      </c>
      <c r="K176" s="89" t="str">
        <f t="shared" si="45"/>
        <v>4021/4022</v>
      </c>
      <c r="L176" s="21" t="str">
        <f>VLOOKUP(A176,'Trips&amp;Operators'!$C$1:$G$99999,5,FALSE)</f>
        <v>LOPES KIMBERLY</v>
      </c>
      <c r="M176" s="6">
        <f t="shared" si="46"/>
        <v>1.1562499996216502E-2</v>
      </c>
      <c r="N176" s="7">
        <f t="shared" si="62"/>
        <v>16.649999994551763</v>
      </c>
      <c r="O176" s="7"/>
      <c r="P176" s="7"/>
      <c r="Q176" s="22"/>
      <c r="R176" s="170"/>
      <c r="S176" s="213">
        <f t="shared" si="47"/>
        <v>1</v>
      </c>
      <c r="T176" s="195" t="str">
        <f t="shared" si="48"/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49"/>
        <v>https://d0f6bd738d7f1b3e5a7ca70fe4ff75f0.us-east-1.aws.found.io/app/kibana#/discover/Steve-Slow-Train-Analysis-(2080s-and-2083s)?_g=(refreshInterval:(display:Off,pause:!f,section:0,value:0),time:(from:'2017-07-30T13:35:42-0600',mode:absolute,to:'2017-07-30T15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6" s="197" t="str">
        <f>IF(AA176&lt;VLOOKUP(AG176,Variables!$AC$3:$AD$8,2,FALSE),"Y","N")</f>
        <v>N</v>
      </c>
      <c r="X176" s="197">
        <f t="shared" si="63"/>
        <v>1</v>
      </c>
      <c r="Y176" s="197">
        <f t="shared" si="50"/>
        <v>5.8648999999999996</v>
      </c>
      <c r="Z176" s="197">
        <f t="shared" si="51"/>
        <v>7.0800000000000002E-2</v>
      </c>
      <c r="AA176" s="197">
        <f t="shared" si="52"/>
        <v>5.7940999999999994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53"/>
        <v>1818</v>
      </c>
      <c r="AE176" s="77" t="str">
        <f t="shared" si="54"/>
        <v>aws s3 cp s3://rtdc.mdm.uploadarchive.raw/RTDC4021/ "%USERPROFILE%\AppData\Local\Temp\OnboardLogs"\RTDC4021\2017-07-30 --exclude "*" --recursive --include "*20170730*" &amp; "%USERPROFILE%\Documents\GitHub\mrs-test-scripts\Headless Mode &amp; Sideloading\WalkAndUnGZ.bat" "%USERPROFILE%\AppData\Local\Temp\OnboardLogs"\RTDC4021\2017-07-30 &amp; aws s3 cp s3://rtdc.mdm.uploadarchive.raw/RTDC4021/ "%USERPROFILE%\AppData\Local\Temp\OnboardLogs"\RTDC4021\2017-07-31 --exclude "*" --recursive --include "*20170731*" &amp; "%USERPROFILE%\Documents\GitHub\mrs-test-scripts\Headless Mode &amp; Sideloading\WalkAndUnGZ.bat" "%USERPROFILE%\AppData\Local\Temp\OnboardLogs"\RTDC4021\2017-07-31</v>
      </c>
      <c r="AF176" s="74" t="str">
        <f t="shared" si="55"/>
        <v>"C:\Program Files (x86)\AstroGrep\AstroGrep.exe" /e /r /s /spath="%USERPROFILE%\AppData\Local\Temp\OnboardLogs" /stypes="app*4021*20170730*" /stext=" 20:.+((SYSTEM_STATE.+slice.+state.+changed )|(ment ac)|(multiple cpu faults)|(system.+state.+changed )|(\[timeout)|(PRM\|1\|D)|(kpr)|(kdp)|(train st.+moving)|(\|lc)|(penalty))"</v>
      </c>
      <c r="AG176" s="209" t="str">
        <f t="shared" si="56"/>
        <v>NW</v>
      </c>
      <c r="AH176" s="78" t="str">
        <f t="shared" si="57"/>
        <v>"%USERPROFILE%\Documents\GitHub\eaglep3\Utilities\RefineRTDCRunTimes.py" --tripid 1818-30 --locoid 4021 --swversion DE.1.0.9.0 --startMP 300:58649 --initTime 2017-07-30T14:35:42 --startdatetime 2017-07-30T14:37:39 --delay 1 --endMP 204:708 --enddatetime 2017-07-30T14:54:18 --enforcementcount 0 &gt;&gt;C:\Users\stu\Documents\GitHub\eaglep3-reporting\EC\2017-07-30-refined-times.txt</v>
      </c>
      <c r="AI176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{"issue":{"subject":"","project_id":79,"tracker_id":40,"status_id":1,"priority_id":2,"assigned_to_id":23,"start_date":"2017-07-30","description":"","custom_fields":[{"id":1,"name":"Subdivision","value":"NW"},{"id":4,"name":"Milepost","value":"0.0708"},{"id":17,"name":"Train ID","value":"1818-30"},{"id":16,"name":"Locomotive ID","value":"4021"},{"id":130,"name":"Impact","value":""},{"id":150,"name":"Time of Event (Mountain Time)","value":"14:54:18"},{"id":151,"name":"Denver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59"/>
        <v>start /low /b %USERPROFILE%\Documents\GitHub\eaglep3\Utilities\DownloadLogsFromS3.py --loco 4021 --day 2017-07-30</v>
      </c>
      <c r="AN176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20:54:18"},{"id":29,"name":"Sharepoint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2" t="s">
        <v>799</v>
      </c>
      <c r="B177" s="7">
        <v>4022</v>
      </c>
      <c r="C177" s="21" t="s">
        <v>198</v>
      </c>
      <c r="D177" s="21" t="s">
        <v>939</v>
      </c>
      <c r="E177" s="13">
        <v>42946.634560185186</v>
      </c>
      <c r="F177" s="13">
        <v>42946.639907407407</v>
      </c>
      <c r="G177" s="7">
        <v>1</v>
      </c>
      <c r="H177" s="21" t="s">
        <v>940</v>
      </c>
      <c r="I177" s="13">
        <v>42946.650590277779</v>
      </c>
      <c r="J177" s="7">
        <v>0</v>
      </c>
      <c r="K177" s="89" t="str">
        <f t="shared" si="45"/>
        <v>4021/4022</v>
      </c>
      <c r="L177" s="21" t="str">
        <f>VLOOKUP(A177,'Trips&amp;Operators'!$C$1:$G$99999,5,FALSE)</f>
        <v>HOLCOMB KAMDEN</v>
      </c>
      <c r="M177" s="6">
        <f t="shared" si="46"/>
        <v>1.0682870371965691E-2</v>
      </c>
      <c r="N177" s="7">
        <f t="shared" si="62"/>
        <v>15.383333335630596</v>
      </c>
      <c r="O177" s="7"/>
      <c r="P177" s="7"/>
      <c r="Q177" s="22"/>
      <c r="R177" s="170"/>
      <c r="S177" s="213">
        <f t="shared" si="47"/>
        <v>1</v>
      </c>
      <c r="T177" s="195" t="str">
        <f t="shared" si="48"/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49"/>
        <v>https://d0f6bd738d7f1b3e5a7ca70fe4ff75f0.us-east-1.aws.found.io/app/kibana#/discover/Steve-Slow-Train-Analysis-(2080s-and-2083s)?_g=(refreshInterval:(display:Off,pause:!f,section:0,value:0),time:(from:'2017-07-30T14:13:46-0600',mode:absolute,to:'2017-07-30T16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7" s="197" t="str">
        <f>IF(AA177&lt;VLOOKUP(AG177,Variables!$AC$3:$AD$8,2,FALSE),"Y","N")</f>
        <v>N</v>
      </c>
      <c r="X177" s="197">
        <f t="shared" si="63"/>
        <v>1</v>
      </c>
      <c r="Y177" s="197">
        <f t="shared" si="50"/>
        <v>0.1021</v>
      </c>
      <c r="Z177" s="197">
        <f t="shared" si="51"/>
        <v>5.8997000000000002</v>
      </c>
      <c r="AA177" s="197">
        <f t="shared" si="52"/>
        <v>5.7976000000000001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53"/>
        <v>1819</v>
      </c>
      <c r="AE177" s="77" t="str">
        <f t="shared" si="54"/>
        <v>aws s3 cp s3://rtdc.mdm.uploadarchive.raw/RTDC4022/ "%USERPROFILE%\AppData\Local\Temp\OnboardLogs"\RTDC4022\2017-07-30 --exclude "*" --recursive --include "*20170730*" &amp; "%USERPROFILE%\Documents\GitHub\mrs-test-scripts\Headless Mode &amp; Sideloading\WalkAndUnGZ.bat" "%USERPROFILE%\AppData\Local\Temp\OnboardLogs"\RTDC4022\2017-07-30 &amp; aws s3 cp s3://rtdc.mdm.uploadarchive.raw/RTDC4022/ "%USERPROFILE%\AppData\Local\Temp\OnboardLogs"\RTDC4022\2017-07-31 --exclude "*" --recursive --include "*20170731*" &amp; "%USERPROFILE%\Documents\GitHub\mrs-test-scripts\Headless Mode &amp; Sideloading\WalkAndUnGZ.bat" "%USERPROFILE%\AppData\Local\Temp\OnboardLogs"\RTDC4022\2017-07-31</v>
      </c>
      <c r="AF177" s="74" t="str">
        <f t="shared" si="55"/>
        <v>"C:\Program Files (x86)\AstroGrep\AstroGrep.exe" /e /r /s /spath="%USERPROFILE%\AppData\Local\Temp\OnboardLogs" /stypes="app*4022*20170730*" /stext=" 21:.+((SYSTEM_STATE.+slice.+state.+changed )|(ment ac)|(multiple cpu faults)|(system.+state.+changed )|(\[timeout)|(PRM\|1\|D)|(kpr)|(kdp)|(train st.+moving)|(\|lc)|(penalty))"</v>
      </c>
      <c r="AG177" s="209" t="str">
        <f t="shared" si="56"/>
        <v>NW</v>
      </c>
      <c r="AH177" s="78" t="str">
        <f t="shared" si="57"/>
        <v>"%USERPROFILE%\Documents\GitHub\eaglep3\Utilities\RefineRTDCRunTimes.py" --tripid 1819-30 --locoid 4022 --swversion DE.1.0.9.0 --startMP 204:1021 --initTime 2017-07-30T15:13:46 --startdatetime 2017-07-30T15:21:28 --delay 1 --endMP 300:58997 --enddatetime 2017-07-30T15:36:51 --enforcementcount 0 &gt;&gt;C:\Users\stu\Documents\GitHub\eaglep3-reporting\EC\2017-07-30-refined-times.txt</v>
      </c>
      <c r="AI177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{"issue":{"subject":"","project_id":79,"tracker_id":40,"status_id":1,"priority_id":2,"assigned_to_id":23,"start_date":"2017-07-30","description":"","custom_fields":[{"id":1,"name":"Subdivision","value":"NW"},{"id":4,"name":"Milepost","value":"5.8997"},{"id":17,"name":"Train ID","value":"1819-30"},{"id":16,"name":"Locomotive ID","value":"4022"},{"id":130,"name":"Impact","value":""},{"id":150,"name":"Time of Event (Mountain Time)","value":"15:36:51"},{"id":151,"name":"Denver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59"/>
        <v>start /low /b %USERPROFILE%\Documents\GitHub\eaglep3\Utilities\DownloadLogsFromS3.py --loco 4022 --day 2017-07-30</v>
      </c>
      <c r="AN177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21:36:51"},{"id":29,"name":"Sharepoint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643</v>
      </c>
      <c r="B178" s="7">
        <v>4021</v>
      </c>
      <c r="C178" s="21" t="s">
        <v>198</v>
      </c>
      <c r="D178" s="21" t="s">
        <v>942</v>
      </c>
      <c r="E178" s="13">
        <v>42946.651666666665</v>
      </c>
      <c r="F178" s="13">
        <v>42946.653217592589</v>
      </c>
      <c r="G178" s="7">
        <v>1</v>
      </c>
      <c r="H178" s="21" t="s">
        <v>943</v>
      </c>
      <c r="I178" s="13">
        <v>42946.663136574076</v>
      </c>
      <c r="J178" s="7">
        <v>0</v>
      </c>
      <c r="K178" s="89" t="str">
        <f t="shared" si="45"/>
        <v>4021/4022</v>
      </c>
      <c r="L178" s="21" t="str">
        <f>VLOOKUP(A178,'Trips&amp;Operators'!$C$1:$G$99999,5,FALSE)</f>
        <v>HOLCOMB KAMDEN</v>
      </c>
      <c r="M178" s="6">
        <f t="shared" si="46"/>
        <v>9.9189814864075743E-3</v>
      </c>
      <c r="N178" s="7">
        <f t="shared" si="62"/>
        <v>14.283333340426907</v>
      </c>
      <c r="O178" s="7"/>
      <c r="P178" s="7"/>
      <c r="Q178" s="22"/>
      <c r="R178" s="170"/>
      <c r="S178" s="213">
        <f t="shared" si="47"/>
        <v>1</v>
      </c>
      <c r="T178" s="195" t="str">
        <f t="shared" si="48"/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49"/>
        <v>https://d0f6bd738d7f1b3e5a7ca70fe4ff75f0.us-east-1.aws.found.io/app/kibana#/discover/Steve-Slow-Train-Analysis-(2080s-and-2083s)?_g=(refreshInterval:(display:Off,pause:!f,section:0,value:0),time:(from:'2017-07-30T14:38:24-0600',mode:absolute,to:'2017-07-30T16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8" s="197" t="str">
        <f>IF(AA178&lt;VLOOKUP(AG178,Variables!$AC$3:$AD$8,2,FALSE),"Y","N")</f>
        <v>N</v>
      </c>
      <c r="X178" s="197">
        <f t="shared" si="63"/>
        <v>1</v>
      </c>
      <c r="Y178" s="197">
        <f t="shared" si="50"/>
        <v>5.8667999999999996</v>
      </c>
      <c r="Z178" s="197">
        <f t="shared" si="51"/>
        <v>7.6399999999999996E-2</v>
      </c>
      <c r="AA178" s="197">
        <f t="shared" si="52"/>
        <v>5.7904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53"/>
        <v>1820</v>
      </c>
      <c r="AE178" s="77" t="str">
        <f t="shared" si="54"/>
        <v>aws s3 cp s3://rtdc.mdm.uploadarchive.raw/RTDC4021/ "%USERPROFILE%\AppData\Local\Temp\OnboardLogs"\RTDC4021\2017-07-30 --exclude "*" --recursive --include "*20170730*" &amp; "%USERPROFILE%\Documents\GitHub\mrs-test-scripts\Headless Mode &amp; Sideloading\WalkAndUnGZ.bat" "%USERPROFILE%\AppData\Local\Temp\OnboardLogs"\RTDC4021\2017-07-30 &amp; aws s3 cp s3://rtdc.mdm.uploadarchive.raw/RTDC4021/ "%USERPROFILE%\AppData\Local\Temp\OnboardLogs"\RTDC4021\2017-07-31 --exclude "*" --recursive --include "*20170731*" &amp; "%USERPROFILE%\Documents\GitHub\mrs-test-scripts\Headless Mode &amp; Sideloading\WalkAndUnGZ.bat" "%USERPROFILE%\AppData\Local\Temp\OnboardLogs"\RTDC4021\2017-07-31</v>
      </c>
      <c r="AF178" s="74" t="str">
        <f t="shared" si="55"/>
        <v>"C:\Program Files (x86)\AstroGrep\AstroGrep.exe" /e /r /s /spath="%USERPROFILE%\AppData\Local\Temp\OnboardLogs" /stypes="app*4021*20170730*" /stext=" 21:.+((SYSTEM_STATE.+slice.+state.+changed )|(ment ac)|(multiple cpu faults)|(system.+state.+changed )|(\[timeout)|(PRM\|1\|D)|(kpr)|(kdp)|(train st.+moving)|(\|lc)|(penalty))"</v>
      </c>
      <c r="AG178" s="209" t="str">
        <f t="shared" si="56"/>
        <v>NW</v>
      </c>
      <c r="AH178" s="78" t="str">
        <f t="shared" si="57"/>
        <v>"%USERPROFILE%\Documents\GitHub\eaglep3\Utilities\RefineRTDCRunTimes.py" --tripid 1820-30 --locoid 4021 --swversion DE.1.0.9.0 --startMP 300:58668 --initTime 2017-07-30T15:38:24 --startdatetime 2017-07-30T15:40:38 --delay 1 --endMP 204:764 --enddatetime 2017-07-30T15:54:55 --enforcementcount 0 &gt;&gt;C:\Users\stu\Documents\GitHub\eaglep3-reporting\EC\2017-07-30-refined-times.txt</v>
      </c>
      <c r="AI178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{"issue":{"subject":"","project_id":79,"tracker_id":40,"status_id":1,"priority_id":2,"assigned_to_id":23,"start_date":"2017-07-30","description":"","custom_fields":[{"id":1,"name":"Subdivision","value":"NW"},{"id":4,"name":"Milepost","value":"0.0764"},{"id":17,"name":"Train ID","value":"1820-30"},{"id":16,"name":"Locomotive ID","value":"4021"},{"id":130,"name":"Impact","value":""},{"id":150,"name":"Time of Event (Mountain Time)","value":"15:54:55"},{"id":151,"name":"Denver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59"/>
        <v>start /low /b %USERPROFILE%\Documents\GitHub\eaglep3\Utilities\DownloadLogsFromS3.py --loco 4021 --day 2017-07-30</v>
      </c>
      <c r="AN178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21:54:55"},{"id":29,"name":"Sharepoint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807</v>
      </c>
      <c r="B179" s="7">
        <v>4022</v>
      </c>
      <c r="C179" s="21" t="s">
        <v>198</v>
      </c>
      <c r="D179" s="21" t="s">
        <v>944</v>
      </c>
      <c r="E179" s="13">
        <v>42946.679756944446</v>
      </c>
      <c r="F179" s="13">
        <v>42946.681516203702</v>
      </c>
      <c r="G179" s="7">
        <v>1</v>
      </c>
      <c r="H179" s="21" t="s">
        <v>945</v>
      </c>
      <c r="I179" s="13">
        <v>42946.690706018519</v>
      </c>
      <c r="J179" s="7">
        <v>0</v>
      </c>
      <c r="K179" s="89" t="str">
        <f t="shared" si="45"/>
        <v>4021/4022</v>
      </c>
      <c r="L179" s="21" t="str">
        <f>VLOOKUP(A179,'Trips&amp;Operators'!$C$1:$G$99999,5,FALSE)</f>
        <v>HOLCOMB KAMDEN</v>
      </c>
      <c r="M179" s="6">
        <f t="shared" si="46"/>
        <v>9.189814816636499E-3</v>
      </c>
      <c r="N179" s="7">
        <f t="shared" si="62"/>
        <v>13.233333335956559</v>
      </c>
      <c r="O179" s="7"/>
      <c r="P179" s="7"/>
      <c r="Q179" s="22"/>
      <c r="R179" s="170"/>
      <c r="S179" s="213">
        <f t="shared" si="47"/>
        <v>1</v>
      </c>
      <c r="T179" s="195" t="str">
        <f t="shared" si="48"/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49"/>
        <v>https://d0f6bd738d7f1b3e5a7ca70fe4ff75f0.us-east-1.aws.found.io/app/kibana#/discover/Steve-Slow-Train-Analysis-(2080s-and-2083s)?_g=(refreshInterval:(display:Off,pause:!f,section:0,value:0),time:(from:'2017-07-30T15:18:51-0600',mode:absolute,to:'2017-07-30T17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9" s="197" t="str">
        <f>IF(AA179&lt;VLOOKUP(AG179,Variables!$AC$3:$AD$8,2,FALSE),"Y","N")</f>
        <v>N</v>
      </c>
      <c r="X179" s="197">
        <f t="shared" si="63"/>
        <v>1</v>
      </c>
      <c r="Y179" s="197">
        <f t="shared" si="50"/>
        <v>0.1053</v>
      </c>
      <c r="Z179" s="197">
        <f t="shared" si="51"/>
        <v>5.8998999999999997</v>
      </c>
      <c r="AA179" s="197">
        <f t="shared" si="52"/>
        <v>5.7946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53"/>
        <v>1821</v>
      </c>
      <c r="AE179" s="77" t="str">
        <f t="shared" si="54"/>
        <v>aws s3 cp s3://rtdc.mdm.uploadarchive.raw/RTDC4022/ "%USERPROFILE%\AppData\Local\Temp\OnboardLogs"\RTDC4022\2017-07-30 --exclude "*" --recursive --include "*20170730*" &amp; "%USERPROFILE%\Documents\GitHub\mrs-test-scripts\Headless Mode &amp; Sideloading\WalkAndUnGZ.bat" "%USERPROFILE%\AppData\Local\Temp\OnboardLogs"\RTDC4022\2017-07-30 &amp; aws s3 cp s3://rtdc.mdm.uploadarchive.raw/RTDC4022/ "%USERPROFILE%\AppData\Local\Temp\OnboardLogs"\RTDC4022\2017-07-31 --exclude "*" --recursive --include "*20170731*" &amp; "%USERPROFILE%\Documents\GitHub\mrs-test-scripts\Headless Mode &amp; Sideloading\WalkAndUnGZ.bat" "%USERPROFILE%\AppData\Local\Temp\OnboardLogs"\RTDC4022\2017-07-31</v>
      </c>
      <c r="AF179" s="74" t="str">
        <f t="shared" si="55"/>
        <v>"C:\Program Files (x86)\AstroGrep\AstroGrep.exe" /e /r /s /spath="%USERPROFILE%\AppData\Local\Temp\OnboardLogs" /stypes="app*4022*20170730*" /stext=" 22:.+((SYSTEM_STATE.+slice.+state.+changed )|(ment ac)|(multiple cpu faults)|(system.+state.+changed )|(\[timeout)|(PRM\|1\|D)|(kpr)|(kdp)|(train st.+moving)|(\|lc)|(penalty))"</v>
      </c>
      <c r="AG179" s="209" t="str">
        <f t="shared" si="56"/>
        <v>NW</v>
      </c>
      <c r="AH179" s="78" t="str">
        <f t="shared" si="57"/>
        <v>"%USERPROFILE%\Documents\GitHub\eaglep3\Utilities\RefineRTDCRunTimes.py" --tripid 1821-30 --locoid 4022 --swversion DE.1.0.9.0 --startMP 204:1053 --initTime 2017-07-30T16:18:51 --startdatetime 2017-07-30T16:21:23 --delay 1 --endMP 300:58999 --enddatetime 2017-07-30T16:34:37 --enforcementcount 0 &gt;&gt;C:\Users\stu\Documents\GitHub\eaglep3-reporting\EC\2017-07-30-refined-times.txt</v>
      </c>
      <c r="AI179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{"issue":{"subject":"","project_id":79,"tracker_id":40,"status_id":1,"priority_id":2,"assigned_to_id":23,"start_date":"2017-07-30","description":"","custom_fields":[{"id":1,"name":"Subdivision","value":"NW"},{"id":4,"name":"Milepost","value":"5.8999"},{"id":17,"name":"Train ID","value":"1821-30"},{"id":16,"name":"Locomotive ID","value":"4022"},{"id":130,"name":"Impact","value":""},{"id":150,"name":"Time of Event (Mountain Time)","value":"16:34:37"},{"id":151,"name":"Denver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59"/>
        <v>start /low /b %USERPROFILE%\Documents\GitHub\eaglep3\Utilities\DownloadLogsFromS3.py --loco 4022 --day 2017-07-30</v>
      </c>
      <c r="AN179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22:34:37"},{"id":29,"name":"Sharepoint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s="20" customFormat="1" x14ac:dyDescent="0.25">
      <c r="A180" s="32" t="s">
        <v>811</v>
      </c>
      <c r="B180" s="7">
        <v>4021</v>
      </c>
      <c r="C180" s="21" t="s">
        <v>198</v>
      </c>
      <c r="D180" s="21" t="s">
        <v>946</v>
      </c>
      <c r="E180" s="13">
        <v>42946.691689814812</v>
      </c>
      <c r="F180" s="13">
        <v>42946.692928240744</v>
      </c>
      <c r="G180" s="7">
        <v>1</v>
      </c>
      <c r="H180" s="21" t="s">
        <v>947</v>
      </c>
      <c r="I180" s="13">
        <v>42946.70449074074</v>
      </c>
      <c r="J180" s="7">
        <v>0</v>
      </c>
      <c r="K180" s="89" t="str">
        <f t="shared" si="45"/>
        <v>4021/4022</v>
      </c>
      <c r="L180" s="21" t="str">
        <f>VLOOKUP(A180,'Trips&amp;Operators'!$C$1:$G$99999,5,FALSE)</f>
        <v>HOLCOMB KAMDEN</v>
      </c>
      <c r="M180" s="6">
        <f t="shared" si="46"/>
        <v>1.1562499996216502E-2</v>
      </c>
      <c r="N180" s="7">
        <f t="shared" si="62"/>
        <v>16.649999994551763</v>
      </c>
      <c r="O180" s="7"/>
      <c r="P180" s="7"/>
      <c r="Q180" s="22"/>
      <c r="R180" s="170"/>
      <c r="S180" s="213">
        <f t="shared" si="47"/>
        <v>1</v>
      </c>
      <c r="T180" s="195" t="str">
        <f t="shared" si="48"/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49"/>
        <v>https://d0f6bd738d7f1b3e5a7ca70fe4ff75f0.us-east-1.aws.found.io/app/kibana#/discover/Steve-Slow-Train-Analysis-(2080s-and-2083s)?_g=(refreshInterval:(display:Off,pause:!f,section:0,value:0),time:(from:'2017-07-30T15:36:02-0600',mode:absolute,to:'2017-07-30T17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0" s="197" t="str">
        <f>IF(AA180&lt;VLOOKUP(AG180,Variables!$AC$3:$AD$8,2,FALSE),"Y","N")</f>
        <v>N</v>
      </c>
      <c r="X180" s="197">
        <f t="shared" si="63"/>
        <v>1</v>
      </c>
      <c r="Y180" s="197">
        <f t="shared" si="50"/>
        <v>5.8674999999999997</v>
      </c>
      <c r="Z180" s="197">
        <f t="shared" si="51"/>
        <v>6.9800000000000001E-2</v>
      </c>
      <c r="AA180" s="197">
        <f t="shared" si="52"/>
        <v>5.7976999999999999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53"/>
        <v>1822</v>
      </c>
      <c r="AE180" s="77" t="str">
        <f t="shared" si="54"/>
        <v>aws s3 cp s3://rtdc.mdm.uploadarchive.raw/RTDC4021/ "%USERPROFILE%\AppData\Local\Temp\OnboardLogs"\RTDC4021\2017-07-30 --exclude "*" --recursive --include "*20170730*" &amp; "%USERPROFILE%\Documents\GitHub\mrs-test-scripts\Headless Mode &amp; Sideloading\WalkAndUnGZ.bat" "%USERPROFILE%\AppData\Local\Temp\OnboardLogs"\RTDC4021\2017-07-30 &amp; aws s3 cp s3://rtdc.mdm.uploadarchive.raw/RTDC4021/ "%USERPROFILE%\AppData\Local\Temp\OnboardLogs"\RTDC4021\2017-07-31 --exclude "*" --recursive --include "*20170731*" &amp; "%USERPROFILE%\Documents\GitHub\mrs-test-scripts\Headless Mode &amp; Sideloading\WalkAndUnGZ.bat" "%USERPROFILE%\AppData\Local\Temp\OnboardLogs"\RTDC4021\2017-07-31</v>
      </c>
      <c r="AF180" s="74" t="str">
        <f t="shared" si="55"/>
        <v>"C:\Program Files (x86)\AstroGrep\AstroGrep.exe" /e /r /s /spath="%USERPROFILE%\AppData\Local\Temp\OnboardLogs" /stypes="app*4021*20170730*" /stext=" 22:.+((SYSTEM_STATE.+slice.+state.+changed )|(ment ac)|(multiple cpu faults)|(system.+state.+changed )|(\[timeout)|(PRM\|1\|D)|(kpr)|(kdp)|(train st.+moving)|(\|lc)|(penalty))"</v>
      </c>
      <c r="AG180" s="209" t="str">
        <f t="shared" si="56"/>
        <v>NW</v>
      </c>
      <c r="AH180" s="78" t="str">
        <f t="shared" si="57"/>
        <v>"%USERPROFILE%\Documents\GitHub\eaglep3\Utilities\RefineRTDCRunTimes.py" --tripid 1822-30 --locoid 4021 --swversion DE.1.0.9.0 --startMP 300:58675 --initTime 2017-07-30T16:36:02 --startdatetime 2017-07-30T16:37:49 --delay 1 --endMP 204:698 --enddatetime 2017-07-30T16:54:28 --enforcementcount 0 &gt;&gt;C:\Users\stu\Documents\GitHub\eaglep3-reporting\EC\2017-07-30-refined-times.txt</v>
      </c>
      <c r="AI180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{"issue":{"subject":"","project_id":79,"tracker_id":40,"status_id":1,"priority_id":2,"assigned_to_id":23,"start_date":"2017-07-30","description":"","custom_fields":[{"id":1,"name":"Subdivision","value":"NW"},{"id":4,"name":"Milepost","value":"0.0698"},{"id":17,"name":"Train ID","value":"1822-30"},{"id":16,"name":"Locomotive ID","value":"4021"},{"id":130,"name":"Impact","value":""},{"id":150,"name":"Time of Event (Mountain Time)","value":"16:54:28"},{"id":151,"name":"Denver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59"/>
        <v>start /low /b %USERPROFILE%\Documents\GitHub\eaglep3\Utilities\DownloadLogsFromS3.py --loco 4021 --day 2017-07-30</v>
      </c>
      <c r="AN180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22:54:28"},{"id":29,"name":"Sharepoint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815</v>
      </c>
      <c r="B181" s="7">
        <v>4022</v>
      </c>
      <c r="C181" s="21" t="s">
        <v>198</v>
      </c>
      <c r="D181" s="21" t="s">
        <v>932</v>
      </c>
      <c r="E181" s="13">
        <v>42946.720972222225</v>
      </c>
      <c r="F181" s="13">
        <v>42946.723240740743</v>
      </c>
      <c r="G181" s="7">
        <v>1</v>
      </c>
      <c r="H181" s="21" t="s">
        <v>940</v>
      </c>
      <c r="I181" s="13">
        <v>42946.732789351852</v>
      </c>
      <c r="J181" s="7">
        <v>0</v>
      </c>
      <c r="K181" s="89" t="str">
        <f t="shared" si="45"/>
        <v>4021/4022</v>
      </c>
      <c r="L181" s="21" t="str">
        <f>VLOOKUP(A181,'Trips&amp;Operators'!$C$1:$G$99999,5,FALSE)</f>
        <v>HOLCOMB KAMDEN</v>
      </c>
      <c r="M181" s="6">
        <f t="shared" si="46"/>
        <v>9.5486111094942316E-3</v>
      </c>
      <c r="N181" s="7">
        <f t="shared" si="62"/>
        <v>13.749999997671694</v>
      </c>
      <c r="O181" s="7"/>
      <c r="P181" s="7"/>
      <c r="Q181" s="22"/>
      <c r="R181" s="170"/>
      <c r="S181" s="213">
        <f t="shared" si="47"/>
        <v>1</v>
      </c>
      <c r="T181" s="195" t="str">
        <f t="shared" si="48"/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49"/>
        <v>https://d0f6bd738d7f1b3e5a7ca70fe4ff75f0.us-east-1.aws.found.io/app/kibana#/discover/Steve-Slow-Train-Analysis-(2080s-and-2083s)?_g=(refreshInterval:(display:Off,pause:!f,section:0,value:0),time:(from:'2017-07-30T16:18:12-0600',mode:absolute,to:'2017-07-30T18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1" s="197" t="str">
        <f>IF(AA181&lt;VLOOKUP(AG181,Variables!$AC$3:$AD$8,2,FALSE),"Y","N")</f>
        <v>N</v>
      </c>
      <c r="X181" s="197">
        <f t="shared" si="63"/>
        <v>1</v>
      </c>
      <c r="Y181" s="197">
        <f t="shared" si="50"/>
        <v>9.9199999999999997E-2</v>
      </c>
      <c r="Z181" s="197">
        <f t="shared" si="51"/>
        <v>5.8997000000000002</v>
      </c>
      <c r="AA181" s="197">
        <f t="shared" si="52"/>
        <v>5.8005000000000004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53"/>
        <v>1823</v>
      </c>
      <c r="AE181" s="77" t="str">
        <f t="shared" si="54"/>
        <v>aws s3 cp s3://rtdc.mdm.uploadarchive.raw/RTDC4022/ "%USERPROFILE%\AppData\Local\Temp\OnboardLogs"\RTDC4022\2017-07-30 --exclude "*" --recursive --include "*20170730*" &amp; "%USERPROFILE%\Documents\GitHub\mrs-test-scripts\Headless Mode &amp; Sideloading\WalkAndUnGZ.bat" "%USERPROFILE%\AppData\Local\Temp\OnboardLogs"\RTDC4022\2017-07-30 &amp; aws s3 cp s3://rtdc.mdm.uploadarchive.raw/RTDC4022/ "%USERPROFILE%\AppData\Local\Temp\OnboardLogs"\RTDC4022\2017-07-31 --exclude "*" --recursive --include "*20170731*" &amp; "%USERPROFILE%\Documents\GitHub\mrs-test-scripts\Headless Mode &amp; Sideloading\WalkAndUnGZ.bat" "%USERPROFILE%\AppData\Local\Temp\OnboardLogs"\RTDC4022\2017-07-31</v>
      </c>
      <c r="AF181" s="74" t="str">
        <f t="shared" si="55"/>
        <v>"C:\Program Files (x86)\AstroGrep\AstroGrep.exe" /e /r /s /spath="%USERPROFILE%\AppData\Local\Temp\OnboardLogs" /stypes="app*4022*20170730*" /stext=" 23:.+((SYSTEM_STATE.+slice.+state.+changed )|(ment ac)|(multiple cpu faults)|(system.+state.+changed )|(\[timeout)|(PRM\|1\|D)|(kpr)|(kdp)|(train st.+moving)|(\|lc)|(penalty))"</v>
      </c>
      <c r="AG181" s="209" t="str">
        <f t="shared" si="56"/>
        <v>NW</v>
      </c>
      <c r="AH181" s="78" t="str">
        <f t="shared" si="57"/>
        <v>"%USERPROFILE%\Documents\GitHub\eaglep3\Utilities\RefineRTDCRunTimes.py" --tripid 1823-30 --locoid 4022 --swversion DE.1.0.9.0 --startMP 204:992 --initTime 2017-07-30T17:18:12 --startdatetime 2017-07-30T17:21:28 --delay 1 --endMP 300:58997 --enddatetime 2017-07-30T17:35:13 --enforcementcount 0 &gt;&gt;C:\Users\stu\Documents\GitHub\eaglep3-reporting\EC\2017-07-30-refined-times.txt</v>
      </c>
      <c r="AI181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{"issue":{"subject":"","project_id":79,"tracker_id":40,"status_id":1,"priority_id":2,"assigned_to_id":23,"start_date":"2017-07-30","description":"","custom_fields":[{"id":1,"name":"Subdivision","value":"NW"},{"id":4,"name":"Milepost","value":"5.8997"},{"id":17,"name":"Train ID","value":"1823-30"},{"id":16,"name":"Locomotive ID","value":"4022"},{"id":130,"name":"Impact","value":""},{"id":150,"name":"Time of Event (Mountain Time)","value":"17:35:13"},{"id":151,"name":"Denver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59"/>
        <v>start /low /b %USERPROFILE%\Documents\GitHub\eaglep3\Utilities\DownloadLogsFromS3.py --loco 4022 --day 2017-07-30</v>
      </c>
      <c r="AN181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23:35:13"},{"id":29,"name":"Sharepoint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s="20" customFormat="1" x14ac:dyDescent="0.25">
      <c r="A182" s="32" t="s">
        <v>650</v>
      </c>
      <c r="B182" s="7">
        <v>4021</v>
      </c>
      <c r="C182" s="21" t="s">
        <v>198</v>
      </c>
      <c r="D182" s="21" t="s">
        <v>948</v>
      </c>
      <c r="E182" s="13">
        <v>42946.733807870369</v>
      </c>
      <c r="F182" s="13">
        <v>42946.735393518517</v>
      </c>
      <c r="G182" s="7">
        <v>1</v>
      </c>
      <c r="H182" s="21" t="s">
        <v>949</v>
      </c>
      <c r="I182" s="13">
        <v>42946.746481481481</v>
      </c>
      <c r="J182" s="7">
        <v>0</v>
      </c>
      <c r="K182" s="89" t="str">
        <f t="shared" si="45"/>
        <v>4021/4022</v>
      </c>
      <c r="L182" s="21" t="str">
        <f>VLOOKUP(A182,'Trips&amp;Operators'!$C$1:$G$99999,5,FALSE)</f>
        <v>HOLCOMB KAMDEN</v>
      </c>
      <c r="M182" s="6">
        <f t="shared" si="46"/>
        <v>1.1087962964666076E-2</v>
      </c>
      <c r="N182" s="7">
        <f t="shared" si="62"/>
        <v>15.966666669119149</v>
      </c>
      <c r="O182" s="7"/>
      <c r="P182" s="7"/>
      <c r="Q182" s="22"/>
      <c r="R182" s="170"/>
      <c r="S182" s="213">
        <f t="shared" si="47"/>
        <v>1</v>
      </c>
      <c r="T182" s="195" t="str">
        <f t="shared" si="48"/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49"/>
        <v>https://d0f6bd738d7f1b3e5a7ca70fe4ff75f0.us-east-1.aws.found.io/app/kibana#/discover/Steve-Slow-Train-Analysis-(2080s-and-2083s)?_g=(refreshInterval:(display:Off,pause:!f,section:0,value:0),time:(from:'2017-07-30T16:36:41-0600',mode:absolute,to:'2017-07-30T18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2" s="197" t="str">
        <f>IF(AA182&lt;VLOOKUP(AG182,Variables!$AC$3:$AD$8,2,FALSE),"Y","N")</f>
        <v>N</v>
      </c>
      <c r="X182" s="197">
        <f t="shared" si="63"/>
        <v>1</v>
      </c>
      <c r="Y182" s="197">
        <f t="shared" si="50"/>
        <v>5.8688000000000002</v>
      </c>
      <c r="Z182" s="197">
        <f t="shared" si="51"/>
        <v>7.1999999999999995E-2</v>
      </c>
      <c r="AA182" s="197">
        <f t="shared" si="52"/>
        <v>5.7968000000000002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53"/>
        <v>1824</v>
      </c>
      <c r="AE182" s="77" t="str">
        <f t="shared" si="54"/>
        <v>aws s3 cp s3://rtdc.mdm.uploadarchive.raw/RTDC4021/ "%USERPROFILE%\AppData\Local\Temp\OnboardLogs"\RTDC4021\2017-07-30 --exclude "*" --recursive --include "*20170730*" &amp; "%USERPROFILE%\Documents\GitHub\mrs-test-scripts\Headless Mode &amp; Sideloading\WalkAndUnGZ.bat" "%USERPROFILE%\AppData\Local\Temp\OnboardLogs"\RTDC4021\2017-07-30 &amp; aws s3 cp s3://rtdc.mdm.uploadarchive.raw/RTDC4021/ "%USERPROFILE%\AppData\Local\Temp\OnboardLogs"\RTDC4021\2017-07-31 --exclude "*" --recursive --include "*20170731*" &amp; "%USERPROFILE%\Documents\GitHub\mrs-test-scripts\Headless Mode &amp; Sideloading\WalkAndUnGZ.bat" "%USERPROFILE%\AppData\Local\Temp\OnboardLogs"\RTDC4021\2017-07-31</v>
      </c>
      <c r="AF182" s="74" t="str">
        <f t="shared" si="55"/>
        <v>"C:\Program Files (x86)\AstroGrep\AstroGrep.exe" /e /r /s /spath="%USERPROFILE%\AppData\Local\Temp\OnboardLogs" /stypes="app*4021*20170730*" /stext=" 23:.+((SYSTEM_STATE.+slice.+state.+changed )|(ment ac)|(multiple cpu faults)|(system.+state.+changed )|(\[timeout)|(PRM\|1\|D)|(kpr)|(kdp)|(train st.+moving)|(\|lc)|(penalty))"</v>
      </c>
      <c r="AG182" s="209" t="str">
        <f t="shared" si="56"/>
        <v>NW</v>
      </c>
      <c r="AH182" s="78" t="str">
        <f t="shared" si="57"/>
        <v>"%USERPROFILE%\Documents\GitHub\eaglep3\Utilities\RefineRTDCRunTimes.py" --tripid 1824-30 --locoid 4021 --swversion DE.1.0.9.0 --startMP 300:58688 --initTime 2017-07-30T17:36:41 --startdatetime 2017-07-30T17:38:58 --delay 1 --endMP 204:720 --enddatetime 2017-07-30T17:54:56 --enforcementcount 0 &gt;&gt;C:\Users\stu\Documents\GitHub\eaglep3-reporting\EC\2017-07-30-refined-times.txt</v>
      </c>
      <c r="AI182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{"issue":{"subject":"","project_id":79,"tracker_id":40,"status_id":1,"priority_id":2,"assigned_to_id":23,"start_date":"2017-07-30","description":"","custom_fields":[{"id":1,"name":"Subdivision","value":"NW"},{"id":4,"name":"Milepost","value":"0.072"},{"id":17,"name":"Train ID","value":"1824-30"},{"id":16,"name":"Locomotive ID","value":"4021"},{"id":130,"name":"Impact","value":""},{"id":150,"name":"Time of Event (Mountain Time)","value":"17:54:56"},{"id":151,"name":"Denver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59"/>
        <v>start /low /b %USERPROFILE%\Documents\GitHub\eaglep3\Utilities\DownloadLogsFromS3.py --loco 4021 --day 2017-07-30</v>
      </c>
      <c r="AN182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23:54:56"},{"id":29,"name":"Sharepoint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2" t="s">
        <v>652</v>
      </c>
      <c r="B183" s="7">
        <v>4022</v>
      </c>
      <c r="C183" s="21" t="s">
        <v>198</v>
      </c>
      <c r="D183" s="21" t="s">
        <v>604</v>
      </c>
      <c r="E183" s="13">
        <v>42946.764131944445</v>
      </c>
      <c r="F183" s="13">
        <v>42946.765347222223</v>
      </c>
      <c r="G183" s="7">
        <v>0</v>
      </c>
      <c r="H183" s="21" t="s">
        <v>950</v>
      </c>
      <c r="I183" s="13">
        <v>42946.775185185186</v>
      </c>
      <c r="J183" s="7">
        <v>0</v>
      </c>
      <c r="K183" s="89" t="str">
        <f t="shared" si="45"/>
        <v>4021/4022</v>
      </c>
      <c r="L183" s="21" t="str">
        <f>VLOOKUP(A183,'Trips&amp;Operators'!$C$1:$G$99999,5,FALSE)</f>
        <v>HOLCOMB KAMDEN</v>
      </c>
      <c r="M183" s="6">
        <f t="shared" si="46"/>
        <v>9.8379629635019228E-3</v>
      </c>
      <c r="N183" s="7">
        <f t="shared" si="62"/>
        <v>14.166666667442769</v>
      </c>
      <c r="O183" s="7"/>
      <c r="P183" s="7"/>
      <c r="Q183" s="22"/>
      <c r="R183" s="170"/>
      <c r="S183" s="213">
        <f t="shared" si="47"/>
        <v>1</v>
      </c>
      <c r="T183" s="195" t="str">
        <f t="shared" si="48"/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49"/>
        <v>https://d0f6bd738d7f1b3e5a7ca70fe4ff75f0.us-east-1.aws.found.io/app/kibana#/discover/Steve-Slow-Train-Analysis-(2080s-and-2083s)?_g=(refreshInterval:(display:Off,pause:!f,section:0,value:0),time:(from:'2017-07-30T17:20:21-0600',mode:absolute,to:'2017-07-30T19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3" s="197" t="str">
        <f>IF(AA183&lt;VLOOKUP(AG183,Variables!$AC$3:$AD$8,2,FALSE),"Y","N")</f>
        <v>N</v>
      </c>
      <c r="X183" s="197">
        <f t="shared" si="63"/>
        <v>1</v>
      </c>
      <c r="Y183" s="197">
        <f t="shared" si="50"/>
        <v>9.9000000000000005E-2</v>
      </c>
      <c r="Z183" s="197">
        <f t="shared" si="51"/>
        <v>5.8992000000000004</v>
      </c>
      <c r="AA183" s="197">
        <f t="shared" si="52"/>
        <v>5.8002000000000002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53"/>
        <v>1825</v>
      </c>
      <c r="AE183" s="77" t="str">
        <f t="shared" si="54"/>
        <v>aws s3 cp s3://rtdc.mdm.uploadarchive.raw/RTDC4022/ "%USERPROFILE%\AppData\Local\Temp\OnboardLogs"\RTDC4022\2017-07-30 --exclude "*" --recursive --include "*20170730*" &amp; "%USERPROFILE%\Documents\GitHub\mrs-test-scripts\Headless Mode &amp; Sideloading\WalkAndUnGZ.bat" "%USERPROFILE%\AppData\Local\Temp\OnboardLogs"\RTDC4022\2017-07-30 &amp; aws s3 cp s3://rtdc.mdm.uploadarchive.raw/RTDC4022/ "%USERPROFILE%\AppData\Local\Temp\OnboardLogs"\RTDC4022\2017-07-31 --exclude "*" --recursive --include "*20170731*" &amp; "%USERPROFILE%\Documents\GitHub\mrs-test-scripts\Headless Mode &amp; Sideloading\WalkAndUnGZ.bat" "%USERPROFILE%\AppData\Local\Temp\OnboardLogs"\RTDC4022\2017-07-31</v>
      </c>
      <c r="AF183" s="74" t="str">
        <f t="shared" si="55"/>
        <v>"C:\Program Files (x86)\AstroGrep\AstroGrep.exe" /e /r /s /spath="%USERPROFILE%\AppData\Local\Temp\OnboardLogs" /stypes="app*4022*20170731*" /stext=" 00:.+((SYSTEM_STATE.+slice.+state.+changed )|(ment ac)|(multiple cpu faults)|(system.+state.+changed )|(\[timeout)|(PRM\|1\|D)|(kpr)|(kdp)|(train st.+moving)|(\|lc)|(penalty))"</v>
      </c>
      <c r="AG183" s="209" t="str">
        <f t="shared" si="56"/>
        <v>NW</v>
      </c>
      <c r="AH183" s="78" t="str">
        <f t="shared" si="57"/>
        <v>"%USERPROFILE%\Documents\GitHub\eaglep3\Utilities\RefineRTDCRunTimes.py" --tripid 1825-30 --locoid 4022 --swversion DE.1.0.9.0 --startMP 204:990 --initTime 2017-07-30T18:20:21 --startdatetime 2017-07-30T18:22:06 --delay 0 --endMP 300:58992 --enddatetime 2017-07-30T18:36:16 --enforcementcount 0 &gt;&gt;C:\Users\stu\Documents\GitHub\eaglep3-reporting\EC\2017-07-30-refined-times.txt</v>
      </c>
      <c r="AI183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{"issue":{"subject":"","project_id":79,"tracker_id":40,"status_id":1,"priority_id":2,"assigned_to_id":23,"start_date":"2017-07-30","description":"","custom_fields":[{"id":1,"name":"Subdivision","value":"NW"},{"id":4,"name":"Milepost","value":"5.8992"},{"id":17,"name":"Train ID","value":"1825-30"},{"id":16,"name":"Locomotive ID","value":"4022"},{"id":130,"name":"Impact","value":""},{"id":150,"name":"Time of Event (Mountain Time)","value":"18:36:16"},{"id":151,"name":"Denver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59"/>
        <v>start /low /b %USERPROFILE%\Documents\GitHub\eaglep3\Utilities\DownloadLogsFromS3.py --loco 4022 --day 2017-07-30</v>
      </c>
      <c r="AN183" s="151" t="str">
        <f t="shared" si="6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00:36:16"},{"id":29,"name":"Sharepoint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825</v>
      </c>
      <c r="B184" s="7">
        <v>4021</v>
      </c>
      <c r="C184" s="21" t="s">
        <v>198</v>
      </c>
      <c r="D184" s="21" t="s">
        <v>951</v>
      </c>
      <c r="E184" s="13">
        <v>42946.775879629633</v>
      </c>
      <c r="F184" s="13">
        <v>42946.777187500003</v>
      </c>
      <c r="G184" s="7">
        <v>0</v>
      </c>
      <c r="H184" s="21" t="s">
        <v>931</v>
      </c>
      <c r="I184" s="13">
        <v>42946.788148148145</v>
      </c>
      <c r="J184" s="7">
        <v>0</v>
      </c>
      <c r="K184" s="89" t="str">
        <f t="shared" si="45"/>
        <v>4021/4022</v>
      </c>
      <c r="L184" s="21" t="str">
        <f>VLOOKUP(A184,'Trips&amp;Operators'!$C$1:$G$99999,5,FALSE)</f>
        <v>HOLCOMB KAMDEN</v>
      </c>
      <c r="M184" s="6">
        <f t="shared" si="46"/>
        <v>1.0960648141917773E-2</v>
      </c>
      <c r="N184" s="7">
        <f t="shared" si="62"/>
        <v>15.783333324361593</v>
      </c>
      <c r="O184" s="7"/>
      <c r="P184" s="7"/>
      <c r="Q184" s="22"/>
      <c r="R184" s="170"/>
      <c r="S184" s="213">
        <f t="shared" si="47"/>
        <v>1</v>
      </c>
      <c r="T184" s="195" t="str">
        <f t="shared" si="48"/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49"/>
        <v>https://d0f6bd738d7f1b3e5a7ca70fe4ff75f0.us-east-1.aws.found.io/app/kibana#/discover/Steve-Slow-Train-Analysis-(2080s-and-2083s)?_g=(refreshInterval:(display:Off,pause:!f,section:0,value:0),time:(from:'2017-07-30T17:37:16-0600',mode:absolute,to:'2017-07-30T19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4" s="197" t="str">
        <f>IF(AA184&lt;VLOOKUP(AG184,Variables!$AC$3:$AD$8,2,FALSE),"Y","N")</f>
        <v>N</v>
      </c>
      <c r="X184" s="197">
        <f t="shared" si="63"/>
        <v>1</v>
      </c>
      <c r="Y184" s="197">
        <f t="shared" si="50"/>
        <v>5.8682999999999996</v>
      </c>
      <c r="Z184" s="197">
        <f t="shared" si="51"/>
        <v>7.0300000000000001E-2</v>
      </c>
      <c r="AA184" s="197">
        <f t="shared" si="52"/>
        <v>5.798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53"/>
        <v>1826</v>
      </c>
      <c r="AE184" s="77" t="str">
        <f t="shared" si="54"/>
        <v>aws s3 cp s3://rtdc.mdm.uploadarchive.raw/RTDC4021/ "%USERPROFILE%\AppData\Local\Temp\OnboardLogs"\RTDC4021\2017-07-30 --exclude "*" --recursive --include "*20170730*" &amp; "%USERPROFILE%\Documents\GitHub\mrs-test-scripts\Headless Mode &amp; Sideloading\WalkAndUnGZ.bat" "%USERPROFILE%\AppData\Local\Temp\OnboardLogs"\RTDC4021\2017-07-30 &amp; aws s3 cp s3://rtdc.mdm.uploadarchive.raw/RTDC4021/ "%USERPROFILE%\AppData\Local\Temp\OnboardLogs"\RTDC4021\2017-07-31 --exclude "*" --recursive --include "*20170731*" &amp; "%USERPROFILE%\Documents\GitHub\mrs-test-scripts\Headless Mode &amp; Sideloading\WalkAndUnGZ.bat" "%USERPROFILE%\AppData\Local\Temp\OnboardLogs"\RTDC4021\2017-07-31</v>
      </c>
      <c r="AF184" s="74" t="str">
        <f t="shared" si="55"/>
        <v>"C:\Program Files (x86)\AstroGrep\AstroGrep.exe" /e /r /s /spath="%USERPROFILE%\AppData\Local\Temp\OnboardLogs" /stypes="app*4021*20170731*" /stext=" 00:.+((SYSTEM_STATE.+slice.+state.+changed )|(ment ac)|(multiple cpu faults)|(system.+state.+changed )|(\[timeout)|(PRM\|1\|D)|(kpr)|(kdp)|(train st.+moving)|(\|lc)|(penalty))"</v>
      </c>
      <c r="AG184" s="209" t="str">
        <f t="shared" si="56"/>
        <v>NW</v>
      </c>
      <c r="AH184" s="78" t="str">
        <f t="shared" si="57"/>
        <v>"%USERPROFILE%\Documents\GitHub\eaglep3\Utilities\RefineRTDCRunTimes.py" --tripid 1826-30 --locoid 4021 --swversion DE.1.0.9.0 --startMP 300:58683 --initTime 2017-07-30T18:37:16 --startdatetime 2017-07-30T18:39:09 --delay 0 --endMP 204:703 --enddatetime 2017-07-30T18:54:56 --enforcementcount 0 &gt;&gt;C:\Users\stu\Documents\GitHub\eaglep3-reporting\EC\2017-07-30-refined-times.txt</v>
      </c>
      <c r="AI184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{"issue":{"subject":"","project_id":79,"tracker_id":40,"status_id":1,"priority_id":2,"assigned_to_id":23,"start_date":"2017-07-30","description":"","custom_fields":[{"id":1,"name":"Subdivision","value":"NW"},{"id":4,"name":"Milepost","value":"0.0703"},{"id":17,"name":"Train ID","value":"1826-30"},{"id":16,"name":"Locomotive ID","value":"4021"},{"id":130,"name":"Impact","value":""},{"id":150,"name":"Time of Event (Mountain Time)","value":"18:54:56"},{"id":151,"name":"Denver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59"/>
        <v>start /low /b %USERPROFILE%\Documents\GitHub\eaglep3\Utilities\DownloadLogsFromS3.py --loco 4021 --day 2017-07-30</v>
      </c>
      <c r="AN184" s="151" t="str">
        <f t="shared" si="6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00:54:56"},{"id":29,"name":"Sharepoint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653</v>
      </c>
      <c r="B185" s="7">
        <v>4022</v>
      </c>
      <c r="C185" s="21" t="s">
        <v>198</v>
      </c>
      <c r="D185" s="21" t="s">
        <v>604</v>
      </c>
      <c r="E185" s="13">
        <v>42946.804988425924</v>
      </c>
      <c r="F185" s="13">
        <v>42946.806574074071</v>
      </c>
      <c r="G185" s="7">
        <v>1</v>
      </c>
      <c r="H185" s="21" t="s">
        <v>952</v>
      </c>
      <c r="I185" s="13">
        <v>42946.815729166665</v>
      </c>
      <c r="J185" s="7">
        <v>0</v>
      </c>
      <c r="K185" s="89" t="str">
        <f t="shared" si="45"/>
        <v>4021/4022</v>
      </c>
      <c r="L185" s="21" t="str">
        <f>VLOOKUP(A185,'Trips&amp;Operators'!$C$1:$G$99999,5,FALSE)</f>
        <v>HOLCOMB KAMDEN</v>
      </c>
      <c r="M185" s="6">
        <f t="shared" si="46"/>
        <v>9.1550925935734995E-3</v>
      </c>
      <c r="N185" s="7">
        <f t="shared" si="62"/>
        <v>13.183333334745839</v>
      </c>
      <c r="O185" s="7"/>
      <c r="P185" s="7"/>
      <c r="Q185" s="22"/>
      <c r="R185" s="170"/>
      <c r="S185" s="213">
        <f t="shared" si="47"/>
        <v>1</v>
      </c>
      <c r="T185" s="195" t="str">
        <f t="shared" si="48"/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49"/>
        <v>https://d0f6bd738d7f1b3e5a7ca70fe4ff75f0.us-east-1.aws.found.io/app/kibana#/discover/Steve-Slow-Train-Analysis-(2080s-and-2083s)?_g=(refreshInterval:(display:Off,pause:!f,section:0,value:0),time:(from:'2017-07-30T18:19:11-0600',mode:absolute,to:'2017-07-30T20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5" s="197" t="str">
        <f>IF(AA185&lt;VLOOKUP(AG185,Variables!$AC$3:$AD$8,2,FALSE),"Y","N")</f>
        <v>N</v>
      </c>
      <c r="X185" s="197">
        <f t="shared" si="63"/>
        <v>1</v>
      </c>
      <c r="Y185" s="197">
        <f t="shared" si="50"/>
        <v>9.9000000000000005E-2</v>
      </c>
      <c r="Z185" s="197">
        <f t="shared" si="51"/>
        <v>5.8978000000000002</v>
      </c>
      <c r="AA185" s="197">
        <f t="shared" si="52"/>
        <v>5.7988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53"/>
        <v>1827</v>
      </c>
      <c r="AE185" s="77" t="str">
        <f t="shared" si="54"/>
        <v>aws s3 cp s3://rtdc.mdm.uploadarchive.raw/RTDC4022/ "%USERPROFILE%\AppData\Local\Temp\OnboardLogs"\RTDC4022\2017-07-30 --exclude "*" --recursive --include "*20170730*" &amp; "%USERPROFILE%\Documents\GitHub\mrs-test-scripts\Headless Mode &amp; Sideloading\WalkAndUnGZ.bat" "%USERPROFILE%\AppData\Local\Temp\OnboardLogs"\RTDC4022\2017-07-30 &amp; aws s3 cp s3://rtdc.mdm.uploadarchive.raw/RTDC4022/ "%USERPROFILE%\AppData\Local\Temp\OnboardLogs"\RTDC4022\2017-07-31 --exclude "*" --recursive --include "*20170731*" &amp; "%USERPROFILE%\Documents\GitHub\mrs-test-scripts\Headless Mode &amp; Sideloading\WalkAndUnGZ.bat" "%USERPROFILE%\AppData\Local\Temp\OnboardLogs"\RTDC4022\2017-07-31</v>
      </c>
      <c r="AF185" s="74" t="str">
        <f t="shared" si="55"/>
        <v>"C:\Program Files (x86)\AstroGrep\AstroGrep.exe" /e /r /s /spath="%USERPROFILE%\AppData\Local\Temp\OnboardLogs" /stypes="app*4022*20170731*" /stext=" 01:.+((SYSTEM_STATE.+slice.+state.+changed )|(ment ac)|(multiple cpu faults)|(system.+state.+changed )|(\[timeout)|(PRM\|1\|D)|(kpr)|(kdp)|(train st.+moving)|(\|lc)|(penalty))"</v>
      </c>
      <c r="AG185" s="209" t="str">
        <f t="shared" si="56"/>
        <v>NW</v>
      </c>
      <c r="AH185" s="78" t="str">
        <f t="shared" si="57"/>
        <v>"%USERPROFILE%\Documents\GitHub\eaglep3\Utilities\RefineRTDCRunTimes.py" --tripid 1827-30 --locoid 4022 --swversion DE.1.0.9.0 --startMP 204:990 --initTime 2017-07-30T19:19:11 --startdatetime 2017-07-30T19:21:28 --delay 1 --endMP 300:58978 --enddatetime 2017-07-30T19:34:39 --enforcementcount 0 &gt;&gt;C:\Users\stu\Documents\GitHub\eaglep3-reporting\EC\2017-07-30-refined-times.txt</v>
      </c>
      <c r="AI185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{"issue":{"subject":"","project_id":79,"tracker_id":40,"status_id":1,"priority_id":2,"assigned_to_id":23,"start_date":"2017-07-30","description":"","custom_fields":[{"id":1,"name":"Subdivision","value":"NW"},{"id":4,"name":"Milepost","value":"5.8978"},{"id":17,"name":"Train ID","value":"1827-30"},{"id":16,"name":"Locomotive ID","value":"4022"},{"id":130,"name":"Impact","value":""},{"id":150,"name":"Time of Event (Mountain Time)","value":"19:34:39"},{"id":151,"name":"Denver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59"/>
        <v>start /low /b %USERPROFILE%\Documents\GitHub\eaglep3\Utilities\DownloadLogsFromS3.py --loco 4022 --day 2017-07-30</v>
      </c>
      <c r="AN185" s="151" t="str">
        <f t="shared" si="6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01:34:39"},{"id":29,"name":"Sharepoint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s="20" customFormat="1" x14ac:dyDescent="0.25">
      <c r="A186" s="32" t="s">
        <v>831</v>
      </c>
      <c r="B186" s="7">
        <v>4021</v>
      </c>
      <c r="C186" s="21" t="s">
        <v>198</v>
      </c>
      <c r="D186" s="21" t="s">
        <v>953</v>
      </c>
      <c r="E186" s="13">
        <v>42946.816631944443</v>
      </c>
      <c r="F186" s="13">
        <v>42946.817847222221</v>
      </c>
      <c r="G186" s="7">
        <v>1</v>
      </c>
      <c r="H186" s="21" t="s">
        <v>954</v>
      </c>
      <c r="I186" s="13">
        <v>42946.830335648148</v>
      </c>
      <c r="J186" s="7">
        <v>0</v>
      </c>
      <c r="K186" s="89" t="str">
        <f t="shared" si="45"/>
        <v>4021/4022</v>
      </c>
      <c r="L186" s="21" t="str">
        <f>VLOOKUP(A186,'Trips&amp;Operators'!$C$1:$G$99999,5,FALSE)</f>
        <v>HOLCOMB KAMDEN</v>
      </c>
      <c r="M186" s="6">
        <f t="shared" si="46"/>
        <v>1.2488425927585922E-2</v>
      </c>
      <c r="N186" s="7">
        <f t="shared" si="62"/>
        <v>17.983333335723728</v>
      </c>
      <c r="O186" s="7"/>
      <c r="P186" s="7"/>
      <c r="Q186" s="22"/>
      <c r="R186" s="170"/>
      <c r="S186" s="213">
        <f t="shared" si="47"/>
        <v>1</v>
      </c>
      <c r="T186" s="195" t="str">
        <f t="shared" si="48"/>
        <v>Southbound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49"/>
        <v>https://d0f6bd738d7f1b3e5a7ca70fe4ff75f0.us-east-1.aws.found.io/app/kibana#/discover/Steve-Slow-Train-Analysis-(2080s-and-2083s)?_g=(refreshInterval:(display:Off,pause:!f,section:0,value:0),time:(from:'2017-07-30T18:35:57-0600',mode:absolute,to:'2017-07-30T20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6" s="197" t="str">
        <f>IF(AA186&lt;VLOOKUP(AG186,Variables!$AC$3:$AD$8,2,FALSE),"Y","N")</f>
        <v>N</v>
      </c>
      <c r="X186" s="197">
        <f t="shared" si="63"/>
        <v>1</v>
      </c>
      <c r="Y186" s="197">
        <f t="shared" si="50"/>
        <v>5.8663999999999996</v>
      </c>
      <c r="Z186" s="197">
        <f t="shared" si="51"/>
        <v>7.1499999999999994E-2</v>
      </c>
      <c r="AA186" s="197">
        <f t="shared" si="52"/>
        <v>5.7948999999999993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53"/>
        <v>1828</v>
      </c>
      <c r="AE186" s="77" t="str">
        <f t="shared" si="54"/>
        <v>aws s3 cp s3://rtdc.mdm.uploadarchive.raw/RTDC4021/ "%USERPROFILE%\AppData\Local\Temp\OnboardLogs"\RTDC4021\2017-07-30 --exclude "*" --recursive --include "*20170730*" &amp; "%USERPROFILE%\Documents\GitHub\mrs-test-scripts\Headless Mode &amp; Sideloading\WalkAndUnGZ.bat" "%USERPROFILE%\AppData\Local\Temp\OnboardLogs"\RTDC4021\2017-07-30 &amp; aws s3 cp s3://rtdc.mdm.uploadarchive.raw/RTDC4021/ "%USERPROFILE%\AppData\Local\Temp\OnboardLogs"\RTDC4021\2017-07-31 --exclude "*" --recursive --include "*20170731*" &amp; "%USERPROFILE%\Documents\GitHub\mrs-test-scripts\Headless Mode &amp; Sideloading\WalkAndUnGZ.bat" "%USERPROFILE%\AppData\Local\Temp\OnboardLogs"\RTDC4021\2017-07-31</v>
      </c>
      <c r="AF186" s="74" t="str">
        <f t="shared" si="55"/>
        <v>"C:\Program Files (x86)\AstroGrep\AstroGrep.exe" /e /r /s /spath="%USERPROFILE%\AppData\Local\Temp\OnboardLogs" /stypes="app*4021*20170731*" /stext=" 01:.+((SYSTEM_STATE.+slice.+state.+changed )|(ment ac)|(multiple cpu faults)|(system.+state.+changed )|(\[timeout)|(PRM\|1\|D)|(kpr)|(kdp)|(train st.+moving)|(\|lc)|(penalty))"</v>
      </c>
      <c r="AG186" s="209" t="str">
        <f t="shared" si="56"/>
        <v>NW</v>
      </c>
      <c r="AH186" s="78" t="str">
        <f t="shared" si="57"/>
        <v>"%USERPROFILE%\Documents\GitHub\eaglep3\Utilities\RefineRTDCRunTimes.py" --tripid 1828-30 --locoid 4021 --swversion DE.1.0.9.0 --startMP 300:58664 --initTime 2017-07-30T19:35:57 --startdatetime 2017-07-30T19:37:42 --delay 1 --endMP 204:715 --enddatetime 2017-07-30T19:55:41 --enforcementcount 0 &gt;&gt;C:\Users\stu\Documents\GitHub\eaglep3-reporting\EC\2017-07-30-refined-times.txt</v>
      </c>
      <c r="AI186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{"issue":{"subject":"","project_id":79,"tracker_id":40,"status_id":1,"priority_id":2,"assigned_to_id":23,"start_date":"2017-07-30","description":"","custom_fields":[{"id":1,"name":"Subdivision","value":"NW"},{"id":4,"name":"Milepost","value":"0.0715"},{"id":17,"name":"Train ID","value":"1828-30"},{"id":16,"name":"Locomotive ID","value":"4021"},{"id":130,"name":"Impact","value":""},{"id":150,"name":"Time of Event (Mountain Time)","value":"19:55:41"},{"id":151,"name":"Denver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59"/>
        <v>start /low /b %USERPROFILE%\Documents\GitHub\eaglep3\Utilities\DownloadLogsFromS3.py --loco 4021 --day 2017-07-30</v>
      </c>
      <c r="AN186" s="151" t="str">
        <f t="shared" si="6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01:55:41"},{"id":29,"name":"Sharepoint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839</v>
      </c>
      <c r="B187" s="7">
        <v>4022</v>
      </c>
      <c r="C187" s="21" t="s">
        <v>198</v>
      </c>
      <c r="D187" s="21" t="s">
        <v>609</v>
      </c>
      <c r="E187" s="13">
        <v>42946.84716435185</v>
      </c>
      <c r="F187" s="13">
        <v>42946.848576388889</v>
      </c>
      <c r="G187" s="7">
        <v>1</v>
      </c>
      <c r="H187" s="21" t="s">
        <v>955</v>
      </c>
      <c r="I187" s="13">
        <v>42946.858298611114</v>
      </c>
      <c r="J187" s="7">
        <v>0</v>
      </c>
      <c r="K187" s="89" t="str">
        <f t="shared" si="45"/>
        <v>4021/4022</v>
      </c>
      <c r="L187" s="21" t="str">
        <f>VLOOKUP(A187,'Trips&amp;Operators'!$C$1:$G$99999,5,FALSE)</f>
        <v>HOLCOMB KAMDEN</v>
      </c>
      <c r="M187" s="6">
        <f t="shared" si="46"/>
        <v>9.7222222248092294E-3</v>
      </c>
      <c r="N187" s="7">
        <f t="shared" si="62"/>
        <v>14.00000000372529</v>
      </c>
      <c r="O187" s="7"/>
      <c r="P187" s="7"/>
      <c r="Q187" s="22"/>
      <c r="R187" s="170"/>
      <c r="S187" s="213">
        <f t="shared" si="47"/>
        <v>1</v>
      </c>
      <c r="T187" s="195" t="str">
        <f t="shared" si="48"/>
        <v>NorthBound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49"/>
        <v>https://d0f6bd738d7f1b3e5a7ca70fe4ff75f0.us-east-1.aws.found.io/app/kibana#/discover/Steve-Slow-Train-Analysis-(2080s-and-2083s)?_g=(refreshInterval:(display:Off,pause:!f,section:0,value:0),time:(from:'2017-07-30T19:19:55-0600',mode:absolute,to:'2017-07-30T21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7" s="197" t="str">
        <f>IF(AA187&lt;VLOOKUP(AG187,Variables!$AC$3:$AD$8,2,FALSE),"Y","N")</f>
        <v>N</v>
      </c>
      <c r="X187" s="197">
        <f t="shared" si="63"/>
        <v>1</v>
      </c>
      <c r="Y187" s="197">
        <f t="shared" si="50"/>
        <v>9.8299999999999998E-2</v>
      </c>
      <c r="Z187" s="197">
        <f t="shared" si="51"/>
        <v>5.8983999999999996</v>
      </c>
      <c r="AA187" s="197">
        <f t="shared" si="52"/>
        <v>5.8000999999999996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53"/>
        <v>1829</v>
      </c>
      <c r="AE187" s="77" t="str">
        <f t="shared" si="54"/>
        <v>aws s3 cp s3://rtdc.mdm.uploadarchive.raw/RTDC4022/ "%USERPROFILE%\AppData\Local\Temp\OnboardLogs"\RTDC4022\2017-07-30 --exclude "*" --recursive --include "*20170730*" &amp; "%USERPROFILE%\Documents\GitHub\mrs-test-scripts\Headless Mode &amp; Sideloading\WalkAndUnGZ.bat" "%USERPROFILE%\AppData\Local\Temp\OnboardLogs"\RTDC4022\2017-07-30 &amp; aws s3 cp s3://rtdc.mdm.uploadarchive.raw/RTDC4022/ "%USERPROFILE%\AppData\Local\Temp\OnboardLogs"\RTDC4022\2017-07-31 --exclude "*" --recursive --include "*20170731*" &amp; "%USERPROFILE%\Documents\GitHub\mrs-test-scripts\Headless Mode &amp; Sideloading\WalkAndUnGZ.bat" "%USERPROFILE%\AppData\Local\Temp\OnboardLogs"\RTDC4022\2017-07-31</v>
      </c>
      <c r="AF187" s="74" t="str">
        <f t="shared" si="55"/>
        <v>"C:\Program Files (x86)\AstroGrep\AstroGrep.exe" /e /r /s /spath="%USERPROFILE%\AppData\Local\Temp\OnboardLogs" /stypes="app*4022*20170731*" /stext=" 02:.+((SYSTEM_STATE.+slice.+state.+changed )|(ment ac)|(multiple cpu faults)|(system.+state.+changed )|(\[timeout)|(PRM\|1\|D)|(kpr)|(kdp)|(train st.+moving)|(\|lc)|(penalty))"</v>
      </c>
      <c r="AG187" s="209" t="str">
        <f t="shared" si="56"/>
        <v>NW</v>
      </c>
      <c r="AH187" s="78" t="str">
        <f t="shared" si="57"/>
        <v>"%USERPROFILE%\Documents\GitHub\eaglep3\Utilities\RefineRTDCRunTimes.py" --tripid 1829-30 --locoid 4022 --swversion DE.1.0.9.0 --startMP 204:983 --initTime 2017-07-30T20:19:55 --startdatetime 2017-07-30T20:21:57 --delay 1 --endMP 300:58984 --enddatetime 2017-07-30T20:35:57 --enforcementcount 0 &gt;&gt;C:\Users\stu\Documents\GitHub\eaglep3-reporting\EC\2017-07-30-refined-times.txt</v>
      </c>
      <c r="AI187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{"issue":{"subject":"","project_id":79,"tracker_id":40,"status_id":1,"priority_id":2,"assigned_to_id":23,"start_date":"2017-07-30","description":"","custom_fields":[{"id":1,"name":"Subdivision","value":"NW"},{"id":4,"name":"Milepost","value":"5.8984"},{"id":17,"name":"Train ID","value":"1829-30"},{"id":16,"name":"Locomotive ID","value":"4022"},{"id":130,"name":"Impact","value":""},{"id":150,"name":"Time of Event (Mountain Time)","value":"20:35:57"},{"id":151,"name":"Denver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59"/>
        <v>start /low /b %USERPROFILE%\Documents\GitHub\eaglep3\Utilities\DownloadLogsFromS3.py --loco 4022 --day 2017-07-30</v>
      </c>
      <c r="AN187" s="151" t="str">
        <f t="shared" si="6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02:35:57"},{"id":29,"name":"Sharepoint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840</v>
      </c>
      <c r="B188" s="7">
        <v>4021</v>
      </c>
      <c r="C188" s="21" t="s">
        <v>198</v>
      </c>
      <c r="D188" s="21" t="s">
        <v>956</v>
      </c>
      <c r="E188" s="13">
        <v>42946.859363425923</v>
      </c>
      <c r="F188" s="13">
        <v>42946.860694444447</v>
      </c>
      <c r="G188" s="7">
        <v>1</v>
      </c>
      <c r="H188" s="21" t="s">
        <v>603</v>
      </c>
      <c r="I188" s="13">
        <v>42946.871446759258</v>
      </c>
      <c r="J188" s="7">
        <v>0</v>
      </c>
      <c r="K188" s="89" t="str">
        <f t="shared" si="45"/>
        <v>4021/4022</v>
      </c>
      <c r="L188" s="21" t="str">
        <f>VLOOKUP(A188,'Trips&amp;Operators'!$C$1:$G$99999,5,FALSE)</f>
        <v>HOLCOMB KAMDEN</v>
      </c>
      <c r="M188" s="6">
        <f t="shared" si="46"/>
        <v>1.0752314810815733E-2</v>
      </c>
      <c r="N188" s="7">
        <f t="shared" si="62"/>
        <v>15.483333327574655</v>
      </c>
      <c r="O188" s="7"/>
      <c r="P188" s="7"/>
      <c r="Q188" s="22"/>
      <c r="R188" s="170"/>
      <c r="S188" s="213">
        <f t="shared" si="47"/>
        <v>1</v>
      </c>
      <c r="T188" s="195" t="str">
        <f t="shared" si="48"/>
        <v>Southbound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49"/>
        <v>https://d0f6bd738d7f1b3e5a7ca70fe4ff75f0.us-east-1.aws.found.io/app/kibana#/discover/Steve-Slow-Train-Analysis-(2080s-and-2083s)?_g=(refreshInterval:(display:Off,pause:!f,section:0,value:0),time:(from:'2017-07-30T19:37:29-0600',mode:absolute,to:'2017-07-30T21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8" s="197" t="str">
        <f>IF(AA188&lt;VLOOKUP(AG188,Variables!$AC$3:$AD$8,2,FALSE),"Y","N")</f>
        <v>N</v>
      </c>
      <c r="X188" s="197">
        <f t="shared" si="63"/>
        <v>1</v>
      </c>
      <c r="Y188" s="197">
        <f t="shared" si="50"/>
        <v>5.8672000000000004</v>
      </c>
      <c r="Z188" s="197">
        <f t="shared" si="51"/>
        <v>6.8500000000000005E-2</v>
      </c>
      <c r="AA188" s="197">
        <f t="shared" si="52"/>
        <v>5.7987000000000002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53"/>
        <v>1830</v>
      </c>
      <c r="AE188" s="77" t="str">
        <f t="shared" si="54"/>
        <v>aws s3 cp s3://rtdc.mdm.uploadarchive.raw/RTDC4021/ "%USERPROFILE%\AppData\Local\Temp\OnboardLogs"\RTDC4021\2017-07-30 --exclude "*" --recursive --include "*20170730*" &amp; "%USERPROFILE%\Documents\GitHub\mrs-test-scripts\Headless Mode &amp; Sideloading\WalkAndUnGZ.bat" "%USERPROFILE%\AppData\Local\Temp\OnboardLogs"\RTDC4021\2017-07-30 &amp; aws s3 cp s3://rtdc.mdm.uploadarchive.raw/RTDC4021/ "%USERPROFILE%\AppData\Local\Temp\OnboardLogs"\RTDC4021\2017-07-31 --exclude "*" --recursive --include "*20170731*" &amp; "%USERPROFILE%\Documents\GitHub\mrs-test-scripts\Headless Mode &amp; Sideloading\WalkAndUnGZ.bat" "%USERPROFILE%\AppData\Local\Temp\OnboardLogs"\RTDC4021\2017-07-31</v>
      </c>
      <c r="AF188" s="74" t="str">
        <f t="shared" si="55"/>
        <v>"C:\Program Files (x86)\AstroGrep\AstroGrep.exe" /e /r /s /spath="%USERPROFILE%\AppData\Local\Temp\OnboardLogs" /stypes="app*4021*20170731*" /stext=" 02:.+((SYSTEM_STATE.+slice.+state.+changed )|(ment ac)|(multiple cpu faults)|(system.+state.+changed )|(\[timeout)|(PRM\|1\|D)|(kpr)|(kdp)|(train st.+moving)|(\|lc)|(penalty))"</v>
      </c>
      <c r="AG188" s="209" t="str">
        <f t="shared" si="56"/>
        <v>NW</v>
      </c>
      <c r="AH188" s="78" t="str">
        <f t="shared" si="57"/>
        <v>"%USERPROFILE%\Documents\GitHub\eaglep3\Utilities\RefineRTDCRunTimes.py" --tripid 1830-30 --locoid 4021 --swversion DE.1.0.9.0 --startMP 300:58672 --initTime 2017-07-30T20:37:29 --startdatetime 2017-07-30T20:39:24 --delay 1 --endMP 204:685 --enddatetime 2017-07-30T20:54:53 --enforcementcount 0 &gt;&gt;C:\Users\stu\Documents\GitHub\eaglep3-reporting\EC\2017-07-30-refined-times.txt</v>
      </c>
      <c r="AI188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{"issue":{"subject":"","project_id":79,"tracker_id":40,"status_id":1,"priority_id":2,"assigned_to_id":23,"start_date":"2017-07-30","description":"","custom_fields":[{"id":1,"name":"Subdivision","value":"NW"},{"id":4,"name":"Milepost","value":"0.0685"},{"id":17,"name":"Train ID","value":"1830-30"},{"id":16,"name":"Locomotive ID","value":"4021"},{"id":130,"name":"Impact","value":""},{"id":150,"name":"Time of Event (Mountain Time)","value":"20:54:53"},{"id":151,"name":"Denver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59"/>
        <v>start /low /b %USERPROFILE%\Documents\GitHub\eaglep3\Utilities\DownloadLogsFromS3.py --loco 4021 --day 2017-07-30</v>
      </c>
      <c r="AN188" s="151" t="str">
        <f t="shared" si="6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02:54:53"},{"id":29,"name":"Sharepoint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657</v>
      </c>
      <c r="B189" s="7">
        <v>4022</v>
      </c>
      <c r="C189" s="21" t="s">
        <v>198</v>
      </c>
      <c r="D189" s="21" t="s">
        <v>957</v>
      </c>
      <c r="E189" s="13">
        <v>42946.882060185184</v>
      </c>
      <c r="F189" s="13">
        <v>42946.889826388891</v>
      </c>
      <c r="G189" s="7">
        <v>1</v>
      </c>
      <c r="H189" s="21" t="s">
        <v>958</v>
      </c>
      <c r="I189" s="13">
        <v>42946.9</v>
      </c>
      <c r="J189" s="7">
        <v>0</v>
      </c>
      <c r="K189" s="89" t="str">
        <f t="shared" si="45"/>
        <v>4021/4022</v>
      </c>
      <c r="L189" s="21" t="str">
        <f>VLOOKUP(A189,'Trips&amp;Operators'!$C$1:$G$99999,5,FALSE)</f>
        <v>HOLCOMB KAMDEN</v>
      </c>
      <c r="M189" s="6">
        <f t="shared" si="46"/>
        <v>1.0173611110076308E-2</v>
      </c>
      <c r="N189" s="7">
        <f t="shared" si="62"/>
        <v>14.649999998509884</v>
      </c>
      <c r="O189" s="7"/>
      <c r="P189" s="7"/>
      <c r="Q189" s="22"/>
      <c r="R189" s="170"/>
      <c r="S189" s="213">
        <f t="shared" si="47"/>
        <v>1</v>
      </c>
      <c r="T189" s="195" t="str">
        <f t="shared" si="48"/>
        <v>NorthBound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49"/>
        <v>https://d0f6bd738d7f1b3e5a7ca70fe4ff75f0.us-east-1.aws.found.io/app/kibana#/discover/Steve-Slow-Train-Analysis-(2080s-and-2083s)?_g=(refreshInterval:(display:Off,pause:!f,section:0,value:0),time:(from:'2017-07-30T20:10:10-0600',mode:absolute,to:'2017-07-30T22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9" s="197" t="str">
        <f>IF(AA189&lt;VLOOKUP(AG189,Variables!$AC$3:$AD$8,2,FALSE),"Y","N")</f>
        <v>N</v>
      </c>
      <c r="X189" s="197">
        <f t="shared" si="63"/>
        <v>1</v>
      </c>
      <c r="Y189" s="197">
        <f t="shared" si="50"/>
        <v>9.7799999999999998E-2</v>
      </c>
      <c r="Z189" s="197">
        <f t="shared" si="51"/>
        <v>5.8994999999999997</v>
      </c>
      <c r="AA189" s="197">
        <f t="shared" si="52"/>
        <v>5.8016999999999994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53"/>
        <v>1831</v>
      </c>
      <c r="AE189" s="77" t="str">
        <f t="shared" si="54"/>
        <v>aws s3 cp s3://rtdc.mdm.uploadarchive.raw/RTDC4022/ "%USERPROFILE%\AppData\Local\Temp\OnboardLogs"\RTDC4022\2017-07-30 --exclude "*" --recursive --include "*20170730*" &amp; "%USERPROFILE%\Documents\GitHub\mrs-test-scripts\Headless Mode &amp; Sideloading\WalkAndUnGZ.bat" "%USERPROFILE%\AppData\Local\Temp\OnboardLogs"\RTDC4022\2017-07-30 &amp; aws s3 cp s3://rtdc.mdm.uploadarchive.raw/RTDC4022/ "%USERPROFILE%\AppData\Local\Temp\OnboardLogs"\RTDC4022\2017-07-31 --exclude "*" --recursive --include "*20170731*" &amp; "%USERPROFILE%\Documents\GitHub\mrs-test-scripts\Headless Mode &amp; Sideloading\WalkAndUnGZ.bat" "%USERPROFILE%\AppData\Local\Temp\OnboardLogs"\RTDC4022\2017-07-31</v>
      </c>
      <c r="AF189" s="74" t="str">
        <f t="shared" si="55"/>
        <v>"C:\Program Files (x86)\AstroGrep\AstroGrep.exe" /e /r /s /spath="%USERPROFILE%\AppData\Local\Temp\OnboardLogs" /stypes="app*4022*20170731*" /stext=" 03:.+((SYSTEM_STATE.+slice.+state.+changed )|(ment ac)|(multiple cpu faults)|(system.+state.+changed )|(\[timeout)|(PRM\|1\|D)|(kpr)|(kdp)|(train st.+moving)|(\|lc)|(penalty))"</v>
      </c>
      <c r="AG189" s="209" t="str">
        <f t="shared" si="56"/>
        <v>NW</v>
      </c>
      <c r="AH189" s="78" t="str">
        <f t="shared" si="57"/>
        <v>"%USERPROFILE%\Documents\GitHub\eaglep3\Utilities\RefineRTDCRunTimes.py" --tripid 1831-30 --locoid 4022 --swversion DE.1.0.9.0 --startMP 204:978 --initTime 2017-07-30T21:10:10 --startdatetime 2017-07-30T21:21:21 --delay 1 --endMP 300:58995 --enddatetime 2017-07-30T21:36:00 --enforcementcount 0 &gt;&gt;C:\Users\stu\Documents\GitHub\eaglep3-reporting\EC\2017-07-30-refined-times.txt</v>
      </c>
      <c r="AI189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{"issue":{"subject":"","project_id":79,"tracker_id":40,"status_id":1,"priority_id":2,"assigned_to_id":23,"start_date":"2017-07-30","description":"","custom_fields":[{"id":1,"name":"Subdivision","value":"NW"},{"id":4,"name":"Milepost","value":"5.8995"},{"id":17,"name":"Train ID","value":"1831-30"},{"id":16,"name":"Locomotive ID","value":"4022"},{"id":130,"name":"Impact","value":""},{"id":150,"name":"Time of Event (Mountain Time)","value":"21:36:00"},{"id":151,"name":"Denver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59"/>
        <v>start /low /b %USERPROFILE%\Documents\GitHub\eaglep3\Utilities\DownloadLogsFromS3.py --loco 4022 --day 2017-07-30</v>
      </c>
      <c r="AN189" s="151" t="str">
        <f t="shared" si="6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03:36:00"},{"id":29,"name":"Sharepoint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s="20" customFormat="1" x14ac:dyDescent="0.25">
      <c r="A190" s="32" t="s">
        <v>845</v>
      </c>
      <c r="B190" s="7">
        <v>4021</v>
      </c>
      <c r="C190" s="21" t="s">
        <v>198</v>
      </c>
      <c r="D190" s="21" t="s">
        <v>959</v>
      </c>
      <c r="E190" s="13">
        <v>42946.900995370372</v>
      </c>
      <c r="F190" s="13">
        <v>42946.902499999997</v>
      </c>
      <c r="G190" s="7">
        <v>1</v>
      </c>
      <c r="H190" s="21" t="s">
        <v>931</v>
      </c>
      <c r="I190" s="13">
        <v>42946.913078703707</v>
      </c>
      <c r="J190" s="7">
        <v>0</v>
      </c>
      <c r="K190" s="89" t="str">
        <f t="shared" si="45"/>
        <v>4021/4022</v>
      </c>
      <c r="L190" s="21" t="str">
        <f>VLOOKUP(A190,'Trips&amp;Operators'!$C$1:$G$99999,5,FALSE)</f>
        <v>HOLCOMB KAMDEN</v>
      </c>
      <c r="M190" s="6">
        <f t="shared" si="46"/>
        <v>1.057870371005265E-2</v>
      </c>
      <c r="N190" s="7">
        <f t="shared" si="62"/>
        <v>15.233333342475817</v>
      </c>
      <c r="O190" s="7"/>
      <c r="P190" s="7"/>
      <c r="Q190" s="22"/>
      <c r="R190" s="170"/>
      <c r="S190" s="213">
        <f t="shared" si="47"/>
        <v>1</v>
      </c>
      <c r="T190" s="195" t="str">
        <f t="shared" si="48"/>
        <v>Southbound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49"/>
        <v>https://d0f6bd738d7f1b3e5a7ca70fe4ff75f0.us-east-1.aws.found.io/app/kibana#/discover/Steve-Slow-Train-Analysis-(2080s-and-2083s)?_g=(refreshInterval:(display:Off,pause:!f,section:0,value:0),time:(from:'2017-07-30T20:37:26-0600',mode:absolute,to:'2017-07-30T22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0" s="197" t="str">
        <f>IF(AA190&lt;VLOOKUP(AG190,Variables!$AC$3:$AD$8,2,FALSE),"Y","N")</f>
        <v>N</v>
      </c>
      <c r="X190" s="197">
        <f t="shared" si="63"/>
        <v>1</v>
      </c>
      <c r="Y190" s="197">
        <f t="shared" si="50"/>
        <v>5.8677000000000001</v>
      </c>
      <c r="Z190" s="197">
        <f t="shared" si="51"/>
        <v>7.0300000000000001E-2</v>
      </c>
      <c r="AA190" s="197">
        <f t="shared" si="52"/>
        <v>5.7974000000000006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53"/>
        <v>1832</v>
      </c>
      <c r="AE190" s="77" t="str">
        <f t="shared" si="54"/>
        <v>aws s3 cp s3://rtdc.mdm.uploadarchive.raw/RTDC4021/ "%USERPROFILE%\AppData\Local\Temp\OnboardLogs"\RTDC4021\2017-07-30 --exclude "*" --recursive --include "*20170730*" &amp; "%USERPROFILE%\Documents\GitHub\mrs-test-scripts\Headless Mode &amp; Sideloading\WalkAndUnGZ.bat" "%USERPROFILE%\AppData\Local\Temp\OnboardLogs"\RTDC4021\2017-07-30 &amp; aws s3 cp s3://rtdc.mdm.uploadarchive.raw/RTDC4021/ "%USERPROFILE%\AppData\Local\Temp\OnboardLogs"\RTDC4021\2017-07-31 --exclude "*" --recursive --include "*20170731*" &amp; "%USERPROFILE%\Documents\GitHub\mrs-test-scripts\Headless Mode &amp; Sideloading\WalkAndUnGZ.bat" "%USERPROFILE%\AppData\Local\Temp\OnboardLogs"\RTDC4021\2017-07-31</v>
      </c>
      <c r="AF190" s="74" t="str">
        <f t="shared" si="55"/>
        <v>"C:\Program Files (x86)\AstroGrep\AstroGrep.exe" /e /r /s /spath="%USERPROFILE%\AppData\Local\Temp\OnboardLogs" /stypes="app*4021*20170731*" /stext=" 03:.+((SYSTEM_STATE.+slice.+state.+changed )|(ment ac)|(multiple cpu faults)|(system.+state.+changed )|(\[timeout)|(PRM\|1\|D)|(kpr)|(kdp)|(train st.+moving)|(\|lc)|(penalty))"</v>
      </c>
      <c r="AG190" s="209" t="str">
        <f t="shared" si="56"/>
        <v>NW</v>
      </c>
      <c r="AH190" s="78" t="str">
        <f t="shared" si="57"/>
        <v>"%USERPROFILE%\Documents\GitHub\eaglep3\Utilities\RefineRTDCRunTimes.py" --tripid 1832-30 --locoid 4021 --swversion DE.1.0.9.0 --startMP 300:58677 --initTime 2017-07-30T21:37:26 --startdatetime 2017-07-30T21:39:36 --delay 1 --endMP 204:703 --enddatetime 2017-07-30T21:54:50 --enforcementcount 0 &gt;&gt;C:\Users\stu\Documents\GitHub\eaglep3-reporting\EC\2017-07-30-refined-times.txt</v>
      </c>
      <c r="AI190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{"issue":{"subject":"","project_id":79,"tracker_id":40,"status_id":1,"priority_id":2,"assigned_to_id":23,"start_date":"2017-07-30","description":"","custom_fields":[{"id":1,"name":"Subdivision","value":"NW"},{"id":4,"name":"Milepost","value":"0.0703"},{"id":17,"name":"Train ID","value":"1832-30"},{"id":16,"name":"Locomotive ID","value":"4021"},{"id":130,"name":"Impact","value":""},{"id":150,"name":"Time of Event (Mountain Time)","value":"21:54:50"},{"id":151,"name":"Denver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59"/>
        <v>start /low /b %USERPROFILE%\Documents\GitHub\eaglep3\Utilities\DownloadLogsFromS3.py --loco 4021 --day 2017-07-30</v>
      </c>
      <c r="AN190" s="151" t="str">
        <f t="shared" si="6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03:54:50"},{"id":29,"name":"Sharepoint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849</v>
      </c>
      <c r="B191" s="7">
        <v>4022</v>
      </c>
      <c r="C191" s="21" t="s">
        <v>198</v>
      </c>
      <c r="D191" s="21" t="s">
        <v>957</v>
      </c>
      <c r="E191" s="13">
        <v>42946.930231481485</v>
      </c>
      <c r="F191" s="13">
        <v>42946.93167824074</v>
      </c>
      <c r="G191" s="7">
        <v>1</v>
      </c>
      <c r="H191" s="21" t="s">
        <v>960</v>
      </c>
      <c r="I191" s="13">
        <v>42946.941076388888</v>
      </c>
      <c r="J191" s="7">
        <v>0</v>
      </c>
      <c r="K191" s="89" t="str">
        <f t="shared" si="45"/>
        <v>4021/4022</v>
      </c>
      <c r="L191" s="21" t="str">
        <f>VLOOKUP(A191,'Trips&amp;Operators'!$C$1:$G$99999,5,FALSE)</f>
        <v>HOLCOMB KAMDEN</v>
      </c>
      <c r="M191" s="6">
        <f t="shared" si="46"/>
        <v>9.3981481477385387E-3</v>
      </c>
      <c r="N191" s="7">
        <f t="shared" si="62"/>
        <v>13.533333332743496</v>
      </c>
      <c r="O191" s="7"/>
      <c r="P191" s="7"/>
      <c r="Q191" s="22"/>
      <c r="R191" s="170"/>
      <c r="S191" s="213">
        <f t="shared" si="47"/>
        <v>1</v>
      </c>
      <c r="T191" s="195" t="str">
        <f t="shared" si="48"/>
        <v>NorthBound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49"/>
        <v>https://d0f6bd738d7f1b3e5a7ca70fe4ff75f0.us-east-1.aws.found.io/app/kibana#/discover/Steve-Slow-Train-Analysis-(2080s-and-2083s)?_g=(refreshInterval:(display:Off,pause:!f,section:0,value:0),time:(from:'2017-07-30T21:19:32-0600',mode:absolute,to:'2017-07-30T23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1" s="197" t="str">
        <f>IF(AA191&lt;VLOOKUP(AG191,Variables!$AC$3:$AD$8,2,FALSE),"Y","N")</f>
        <v>N</v>
      </c>
      <c r="X191" s="197">
        <f t="shared" si="63"/>
        <v>1</v>
      </c>
      <c r="Y191" s="197">
        <f t="shared" si="50"/>
        <v>9.7799999999999998E-2</v>
      </c>
      <c r="Z191" s="197">
        <f t="shared" si="51"/>
        <v>5.9001000000000001</v>
      </c>
      <c r="AA191" s="197">
        <f t="shared" si="52"/>
        <v>5.8022999999999998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53"/>
        <v>1833</v>
      </c>
      <c r="AE191" s="77" t="str">
        <f t="shared" si="54"/>
        <v>aws s3 cp s3://rtdc.mdm.uploadarchive.raw/RTDC4022/ "%USERPROFILE%\AppData\Local\Temp\OnboardLogs"\RTDC4022\2017-07-30 --exclude "*" --recursive --include "*20170730*" &amp; "%USERPROFILE%\Documents\GitHub\mrs-test-scripts\Headless Mode &amp; Sideloading\WalkAndUnGZ.bat" "%USERPROFILE%\AppData\Local\Temp\OnboardLogs"\RTDC4022\2017-07-30 &amp; aws s3 cp s3://rtdc.mdm.uploadarchive.raw/RTDC4022/ "%USERPROFILE%\AppData\Local\Temp\OnboardLogs"\RTDC4022\2017-07-31 --exclude "*" --recursive --include "*20170731*" &amp; "%USERPROFILE%\Documents\GitHub\mrs-test-scripts\Headless Mode &amp; Sideloading\WalkAndUnGZ.bat" "%USERPROFILE%\AppData\Local\Temp\OnboardLogs"\RTDC4022\2017-07-31</v>
      </c>
      <c r="AF191" s="74" t="str">
        <f t="shared" si="55"/>
        <v>"C:\Program Files (x86)\AstroGrep\AstroGrep.exe" /e /r /s /spath="%USERPROFILE%\AppData\Local\Temp\OnboardLogs" /stypes="app*4022*20170731*" /stext=" 04:.+((SYSTEM_STATE.+slice.+state.+changed )|(ment ac)|(multiple cpu faults)|(system.+state.+changed )|(\[timeout)|(PRM\|1\|D)|(kpr)|(kdp)|(train st.+moving)|(\|lc)|(penalty))"</v>
      </c>
      <c r="AG191" s="209" t="str">
        <f t="shared" si="56"/>
        <v>NW</v>
      </c>
      <c r="AH191" s="78" t="str">
        <f t="shared" si="57"/>
        <v>"%USERPROFILE%\Documents\GitHub\eaglep3\Utilities\RefineRTDCRunTimes.py" --tripid 1833-30 --locoid 4022 --swversion DE.1.0.9.0 --startMP 204:978 --initTime 2017-07-30T22:19:32 --startdatetime 2017-07-30T22:21:37 --delay 1 --endMP 300:59001 --enddatetime 2017-07-30T22:35:09 --enforcementcount 0 &gt;&gt;C:\Users\stu\Documents\GitHub\eaglep3-reporting\EC\2017-07-30-refined-times.txt</v>
      </c>
      <c r="AI191" s="96" t="str">
        <f t="shared" si="58"/>
        <v>echo {"issue":{"subject":"","project_id":79,"tracker_id":40,"status_id":1,"priority_id":2,"assigned_to_id":23,"start_date":"2017-07-30","description":"","custom_fields":[{"id":1,"name":"Subdivision","value":"NW"},{"id":4,"name":"Milepost","value":"5.9001"},{"id":17,"name":"Train ID","value":"1833-30"},{"id":16,"name":"Locomotive ID","value":"4022"},{"id":130,"name":"Impact","value":""},{"id":150,"name":"Time of Event (Mountain Time)","value":"22:35:09"},{"id":151,"name":"Denver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59"/>
        <v>start /low /b %USERPROFILE%\Documents\GitHub\eaglep3\Utilities\DownloadLogsFromS3.py --loco 4022 --day 2017-07-30</v>
      </c>
      <c r="AN191" s="151" t="str">
        <f t="shared" si="6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04:35:09"},{"id":29,"name":"Sharepoint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2" t="s">
        <v>677</v>
      </c>
      <c r="B192" s="7">
        <v>4005</v>
      </c>
      <c r="C192" s="21" t="s">
        <v>198</v>
      </c>
      <c r="D192" s="21" t="s">
        <v>998</v>
      </c>
      <c r="E192" s="13">
        <v>42946.13863425926</v>
      </c>
      <c r="F192" s="13">
        <v>42946.141712962963</v>
      </c>
      <c r="G192" s="7">
        <v>4</v>
      </c>
      <c r="H192" s="21" t="s">
        <v>446</v>
      </c>
      <c r="I192" s="13">
        <v>42946.149386574078</v>
      </c>
      <c r="J192" s="7">
        <v>0</v>
      </c>
      <c r="K192" s="89" t="str">
        <f t="shared" si="45"/>
        <v>4005/4006</v>
      </c>
      <c r="L192" s="21" t="str">
        <f>VLOOKUP(A192,'Trips&amp;Operators'!$C$1:$G$99999,5,FALSE)</f>
        <v>WILLIAMS DONTE</v>
      </c>
      <c r="M192" s="6">
        <f t="shared" si="46"/>
        <v>7.6736111150239594E-3</v>
      </c>
      <c r="N192" s="7">
        <f t="shared" si="62"/>
        <v>11.050000005634502</v>
      </c>
      <c r="O192" s="7"/>
      <c r="P192" s="7"/>
      <c r="Q192" s="22"/>
      <c r="R192" s="170"/>
      <c r="S192" s="213">
        <f t="shared" si="47"/>
        <v>1</v>
      </c>
      <c r="T192" s="195" t="str">
        <f t="shared" si="48"/>
        <v>Southbound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49"/>
        <v>https://d0f6bd738d7f1b3e5a7ca70fe4ff75f0.us-east-1.aws.found.io/app/kibana#/discover/Steve-Slow-Train-Analysis-(2080s-and-2083s)?_g=(refreshInterval:(display:Off,pause:!f,section:0,value:0),time:(from:'2017-07-30T02:19:38-0600',mode:absolute,to:'2017-07-30T04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2" s="197" t="str">
        <f>IF(AA192&lt;VLOOKUP(AG192,Variables!$AC$3:$AD$8,2,FALSE),"Y","N")</f>
        <v>Y</v>
      </c>
      <c r="X192" s="197">
        <f t="shared" si="63"/>
        <v>-1531</v>
      </c>
      <c r="Y192" s="197">
        <f t="shared" si="50"/>
        <v>2.3633000000000002</v>
      </c>
      <c r="Z192" s="197">
        <f t="shared" si="51"/>
        <v>1.5800000000000002E-2</v>
      </c>
      <c r="AA192" s="197">
        <f t="shared" si="52"/>
        <v>2.3475000000000001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53"/>
        <v>302</v>
      </c>
      <c r="AE192" s="77" t="str">
        <f t="shared" si="54"/>
        <v>aws s3 cp s3://rtdc.mdm.uploadarchive.raw/RTDC4005/ "%USERPROFILE%\AppData\Local\Temp\OnboardLogs"\RTDC4005\2017-07-30 --exclude "*" --recursive --include "*20170730*" &amp; "%USERPROFILE%\Documents\GitHub\mrs-test-scripts\Headless Mode &amp; Sideloading\WalkAndUnGZ.bat" "%USERPROFILE%\AppData\Local\Temp\OnboardLogs"\RTDC4005\2017-07-30 &amp; aws s3 cp s3://rtdc.mdm.uploadarchive.raw/RTDC4005/ "%USERPROFILE%\AppData\Local\Temp\OnboardLogs"\RTDC4005\2017-07-31 --exclude "*" --recursive --include "*20170731*" &amp; "%USERPROFILE%\Documents\GitHub\mrs-test-scripts\Headless Mode &amp; Sideloading\WalkAndUnGZ.bat" "%USERPROFILE%\AppData\Local\Temp\OnboardLogs"\RTDC4005\2017-07-31</v>
      </c>
      <c r="AF192" s="74" t="str">
        <f t="shared" si="55"/>
        <v>"C:\Program Files (x86)\AstroGrep\AstroGrep.exe" /e /r /s /spath="%USERPROFILE%\AppData\Local\Temp\OnboardLogs" /stypes="app*4005*20170730*" /stext=" 09:.+((SYSTEM_STATE.+slice.+state.+changed )|(ment ac)|(multiple cpu faults)|(system.+state.+changed )|(\[timeout)|(PRM\|1\|D)|(kpr)|(kdp)|(train st.+moving)|(\|lc)|(penalty))"</v>
      </c>
      <c r="AG192" s="209" t="str">
        <f t="shared" si="56"/>
        <v>Other</v>
      </c>
      <c r="AH192" s="78" t="str">
        <f t="shared" si="57"/>
        <v>"%USERPROFILE%\Documents\GitHub\eaglep3\Utilities\RefineRTDCRunTimes.py" --tripid 302-30 --locoid 4005 --swversion DE.1.0.9.0 --startMP 300:23633 --initTime 2017-07-30T03:19:38 --startdatetime 2017-07-30T03:24:04 --delay 4 --endMP 204:158 --enddatetime 2017-07-30T03:35:07 --enforcementcount 0 &gt;&gt;C:\Users\stu\Documents\GitHub\eaglep3-reporting\EC\2017-07-30-refined-times.txt</v>
      </c>
      <c r="AI192" s="96" t="str">
        <f t="shared" si="58"/>
        <v>echo {"issue":{"subject":"","project_id":79,"tracker_id":40,"status_id":1,"priority_id":2,"assigned_to_id":23,"start_date":"2017-07-30","description":"","custom_fields":[{"id":1,"name":"Subdivision","value":"Other"},{"id":4,"name":"Milepost","value":"0.0158"},{"id":17,"name":"Train ID","value":"302-30"},{"id":16,"name":"Locomotive ID","value":"4005"},{"id":130,"name":"Impact","value":""},{"id":150,"name":"Time of Event (Mountain Time)","value":"03:35:07"},{"id":151,"name":"Denver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59"/>
        <v>start /low /b %USERPROFILE%\Documents\GitHub\eaglep3\Utilities\DownloadLogsFromS3.py --loco 4005 --day 2017-07-30</v>
      </c>
      <c r="AN192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09:35:07"},{"id":29,"name":"Sharepoint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829</v>
      </c>
      <c r="B193" s="7">
        <v>4044</v>
      </c>
      <c r="C193" s="21" t="s">
        <v>198</v>
      </c>
      <c r="D193" s="21" t="s">
        <v>475</v>
      </c>
      <c r="E193" s="13">
        <v>42946.797812500001</v>
      </c>
      <c r="F193" s="13">
        <v>42946.79960648148</v>
      </c>
      <c r="G193" s="7">
        <v>1</v>
      </c>
      <c r="H193" s="21" t="s">
        <v>601</v>
      </c>
      <c r="I193" s="13">
        <v>42946.808148148149</v>
      </c>
      <c r="J193" s="7">
        <v>0</v>
      </c>
      <c r="K193" s="89" t="str">
        <f t="shared" si="45"/>
        <v>4043/4044</v>
      </c>
      <c r="L193" s="21" t="str">
        <f>VLOOKUP(A193,'Trips&amp;Operators'!$C$1:$G$99999,5,FALSE)</f>
        <v>DELGADO DIANAH</v>
      </c>
      <c r="M193" s="6">
        <f t="shared" si="46"/>
        <v>8.5416666697710752E-3</v>
      </c>
      <c r="N193" s="7">
        <f t="shared" si="62"/>
        <v>12.300000004470348</v>
      </c>
      <c r="O193" s="7"/>
      <c r="P193" s="7"/>
      <c r="Q193" s="22"/>
      <c r="R193" s="170"/>
      <c r="S193" s="213">
        <f t="shared" si="47"/>
        <v>1</v>
      </c>
      <c r="T193" s="195" t="str">
        <f t="shared" si="48"/>
        <v>NorthBound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49"/>
        <v>https://d0f6bd738d7f1b3e5a7ca70fe4ff75f0.us-east-1.aws.found.io/app/kibana#/discover/Steve-Slow-Train-Analysis-(2080s-and-2083s)?_g=(refreshInterval:(display:Off,pause:!f,section:0,value:0),time:(from:'2017-07-30T18:08:51-0600',mode:absolute,to:'2017-07-30T20:23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3" s="197" t="str">
        <f>IF(AA193&lt;VLOOKUP(AG193,Variables!$AC$3:$AD$8,2,FALSE),"Y","N")</f>
        <v>Y</v>
      </c>
      <c r="X193" s="197">
        <f t="shared" si="63"/>
        <v>1</v>
      </c>
      <c r="Y193" s="197">
        <f t="shared" si="50"/>
        <v>4.5699999999999998E-2</v>
      </c>
      <c r="Z193" s="197">
        <f t="shared" si="51"/>
        <v>2.3306</v>
      </c>
      <c r="AA193" s="197">
        <f t="shared" si="52"/>
        <v>2.2848999999999999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53"/>
        <v>303</v>
      </c>
      <c r="AE193" s="77" t="str">
        <f t="shared" si="54"/>
        <v>aws s3 cp s3://rtdc.mdm.uploadarchive.raw/RTDC4044/ "%USERPROFILE%\AppData\Local\Temp\OnboardLogs"\RTDC4044\2017-07-30 --exclude "*" --recursive --include "*20170730*" &amp; "%USERPROFILE%\Documents\GitHub\mrs-test-scripts\Headless Mode &amp; Sideloading\WalkAndUnGZ.bat" "%USERPROFILE%\AppData\Local\Temp\OnboardLogs"\RTDC4044\2017-07-30 &amp; aws s3 cp s3://rtdc.mdm.uploadarchive.raw/RTDC4044/ "%USERPROFILE%\AppData\Local\Temp\OnboardLogs"\RTDC4044\2017-07-31 --exclude "*" --recursive --include "*20170731*" &amp; "%USERPROFILE%\Documents\GitHub\mrs-test-scripts\Headless Mode &amp; Sideloading\WalkAndUnGZ.bat" "%USERPROFILE%\AppData\Local\Temp\OnboardLogs"\RTDC4044\2017-07-31</v>
      </c>
      <c r="AF193" s="74" t="str">
        <f t="shared" si="55"/>
        <v>"C:\Program Files (x86)\AstroGrep\AstroGrep.exe" /e /r /s /spath="%USERPROFILE%\AppData\Local\Temp\OnboardLogs" /stypes="app*4044*20170731*" /stext=" 01:.+((SYSTEM_STATE.+slice.+state.+changed )|(ment ac)|(multiple cpu faults)|(system.+state.+changed )|(\[timeout)|(PRM\|1\|D)|(kpr)|(kdp)|(train st.+moving)|(\|lc)|(penalty))"</v>
      </c>
      <c r="AG193" s="209" t="str">
        <f t="shared" si="56"/>
        <v>Other</v>
      </c>
      <c r="AH193" s="78" t="str">
        <f t="shared" si="57"/>
        <v>"%USERPROFILE%\Documents\GitHub\eaglep3\Utilities\RefineRTDCRunTimes.py" --tripid 303-30 --locoid 4044 --swversion DE.1.0.9.0 --startMP 204:457 --initTime 2017-07-30T19:08:51 --startdatetime 2017-07-30T19:11:26 --delay 1 --endMP 300:23306 --enddatetime 2017-07-30T19:23:44 --enforcementcount 0 &gt;&gt;C:\Users\stu\Documents\GitHub\eaglep3-reporting\EC\2017-07-30-refined-times.txt</v>
      </c>
      <c r="AI193" s="96" t="str">
        <f t="shared" si="58"/>
        <v>echo {"issue":{"subject":"","project_id":79,"tracker_id":40,"status_id":1,"priority_id":2,"assigned_to_id":23,"start_date":"2017-07-30","description":"","custom_fields":[{"id":1,"name":"Subdivision","value":"Other"},{"id":4,"name":"Milepost","value":"2.3306"},{"id":17,"name":"Train ID","value":"303-30"},{"id":16,"name":"Locomotive ID","value":"4044"},{"id":130,"name":"Impact","value":""},{"id":150,"name":"Time of Event (Mountain Time)","value":"19:23:44"},{"id":151,"name":"Denver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59"/>
        <v>start /low /b %USERPROFILE%\Documents\GitHub\eaglep3\Utilities\DownloadLogsFromS3.py --loco 4044 --day 2017-07-30</v>
      </c>
      <c r="AN193" s="151" t="str">
        <f t="shared" si="6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01:23:44"},{"id":29,"name":"Sharepoint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684</v>
      </c>
      <c r="B194" s="7">
        <v>4065</v>
      </c>
      <c r="C194" s="21" t="s">
        <v>198</v>
      </c>
      <c r="D194" s="21" t="s">
        <v>999</v>
      </c>
      <c r="E194" s="13">
        <v>42946.154004629629</v>
      </c>
      <c r="F194" s="13">
        <v>42946.157500000001</v>
      </c>
      <c r="G194" s="7">
        <v>4</v>
      </c>
      <c r="H194" s="21" t="s">
        <v>342</v>
      </c>
      <c r="I194" s="13">
        <v>42946.162893518522</v>
      </c>
      <c r="J194" s="7">
        <v>0</v>
      </c>
      <c r="K194" s="89" t="str">
        <f t="shared" si="45"/>
        <v>4065/4066</v>
      </c>
      <c r="L194" s="21" t="str">
        <f>VLOOKUP(A194,'Trips&amp;Operators'!$C$1:$G$99999,5,FALSE)</f>
        <v>DAVIS WENDY</v>
      </c>
      <c r="M194" s="6">
        <f t="shared" si="46"/>
        <v>5.393518520577345E-3</v>
      </c>
      <c r="N194" s="7">
        <f t="shared" si="62"/>
        <v>7.7666666696313769</v>
      </c>
      <c r="O194" s="7"/>
      <c r="P194" s="7"/>
      <c r="Q194" s="22"/>
      <c r="R194" s="170"/>
      <c r="S194" s="213">
        <f t="shared" si="47"/>
        <v>1</v>
      </c>
      <c r="T194" s="195" t="str">
        <f t="shared" si="48"/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49"/>
        <v>https://d0f6bd738d7f1b3e5a7ca70fe4ff75f0.us-east-1.aws.found.io/app/kibana#/discover/Steve-Slow-Train-Analysis-(2080s-and-2083s)?_g=(refreshInterval:(display:Off,pause:!f,section:0,value:0),time:(from:'2017-07-30T02:41:46-0600',mode:absolute,to:'2017-07-30T04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94" s="197" t="str">
        <f>IF(AA194&lt;VLOOKUP(AG194,Variables!$AC$3:$AD$8,2,FALSE),"Y","N")</f>
        <v>Y</v>
      </c>
      <c r="X194" s="197">
        <f t="shared" si="63"/>
        <v>1</v>
      </c>
      <c r="Y194" s="197">
        <f t="shared" si="50"/>
        <v>2.2166000000000001</v>
      </c>
      <c r="Z194" s="197">
        <f t="shared" si="51"/>
        <v>1.49E-2</v>
      </c>
      <c r="AA194" s="197">
        <f t="shared" si="52"/>
        <v>2.2017000000000002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53"/>
        <v>304</v>
      </c>
      <c r="AE194" s="77" t="str">
        <f t="shared" si="54"/>
        <v>aws s3 cp s3://rtdc.mdm.uploadarchive.raw/RTDC4065/ "%USERPROFILE%\AppData\Local\Temp\OnboardLogs"\RTDC4065\2017-07-30 --exclude "*" --recursive --include "*20170730*" &amp; "%USERPROFILE%\Documents\GitHub\mrs-test-scripts\Headless Mode &amp; Sideloading\WalkAndUnGZ.bat" "%USERPROFILE%\AppData\Local\Temp\OnboardLogs"\RTDC4065\2017-07-30 &amp; aws s3 cp s3://rtdc.mdm.uploadarchive.raw/RTDC4065/ "%USERPROFILE%\AppData\Local\Temp\OnboardLogs"\RTDC4065\2017-07-31 --exclude "*" --recursive --include "*20170731*" &amp; "%USERPROFILE%\Documents\GitHub\mrs-test-scripts\Headless Mode &amp; Sideloading\WalkAndUnGZ.bat" "%USERPROFILE%\AppData\Local\Temp\OnboardLogs"\RTDC4065\2017-07-31</v>
      </c>
      <c r="AF194" s="74" t="str">
        <f t="shared" si="55"/>
        <v>"C:\Program Files (x86)\AstroGrep\AstroGrep.exe" /e /r /s /spath="%USERPROFILE%\AppData\Local\Temp\OnboardLogs" /stypes="app*4065*20170730*" /stext=" 09:.+((SYSTEM_STATE.+slice.+state.+changed )|(ment ac)|(multiple cpu faults)|(system.+state.+changed )|(\[timeout)|(PRM\|1\|D)|(kpr)|(kdp)|(train st.+moving)|(\|lc)|(penalty))"</v>
      </c>
      <c r="AG194" s="209" t="str">
        <f t="shared" si="56"/>
        <v>Other</v>
      </c>
      <c r="AH194" s="78" t="str">
        <f t="shared" si="57"/>
        <v>"%USERPROFILE%\Documents\GitHub\eaglep3\Utilities\RefineRTDCRunTimes.py" --tripid 304-30 --locoid 4065 --swversion DE.1.0.9.0 --startMP 300:22166 --initTime 2017-07-30T03:41:46 --startdatetime 2017-07-30T03:46:48 --delay 4 --endMP 204:149 --enddatetime 2017-07-30T03:54:34 --enforcementcount 0 &gt;&gt;C:\Users\stu\Documents\GitHub\eaglep3-reporting\EC\2017-07-30-refined-times.txt</v>
      </c>
      <c r="AI194" s="96" t="str">
        <f t="shared" si="58"/>
        <v>echo {"issue":{"subject":"","project_id":79,"tracker_id":40,"status_id":1,"priority_id":2,"assigned_to_id":23,"start_date":"2017-07-30","description":"","custom_fields":[{"id":1,"name":"Subdivision","value":"Other"},{"id":4,"name":"Milepost","value":"0.0149"},{"id":17,"name":"Train ID","value":"304-30"},{"id":16,"name":"Locomotive ID","value":"4065"},{"id":130,"name":"Impact","value":""},{"id":150,"name":"Time of Event (Mountain Time)","value":"03:54:34"},{"id":151,"name":"Denver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59"/>
        <v>start /low /b %USERPROFILE%\Documents\GitHub\eaglep3\Utilities\DownloadLogsFromS3.py --loco 4065 --day 2017-07-30</v>
      </c>
      <c r="AN194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09:54:34"},{"id":29,"name":"Sharepoint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686</v>
      </c>
      <c r="B195" s="7">
        <v>4029</v>
      </c>
      <c r="C195" s="21" t="s">
        <v>198</v>
      </c>
      <c r="D195" s="21" t="s">
        <v>1000</v>
      </c>
      <c r="E195" s="13">
        <v>42946.169895833336</v>
      </c>
      <c r="F195" s="13">
        <v>42946.172777777778</v>
      </c>
      <c r="G195" s="7">
        <v>4</v>
      </c>
      <c r="H195" s="21" t="s">
        <v>883</v>
      </c>
      <c r="I195" s="13">
        <v>42946.180636574078</v>
      </c>
      <c r="J195" s="7">
        <v>0</v>
      </c>
      <c r="K195" s="89" t="str">
        <f t="shared" si="45"/>
        <v>4029/4030</v>
      </c>
      <c r="L195" s="21" t="str">
        <f>VLOOKUP(A195,'Trips&amp;Operators'!$C$1:$G$99999,5,FALSE)</f>
        <v>LALONDE GREGORY</v>
      </c>
      <c r="M195" s="6">
        <f t="shared" si="46"/>
        <v>7.8587962998426519E-3</v>
      </c>
      <c r="N195" s="7">
        <f t="shared" si="62"/>
        <v>11.316666671773419</v>
      </c>
      <c r="O195" s="7"/>
      <c r="P195" s="7"/>
      <c r="Q195" s="22"/>
      <c r="R195" s="170"/>
      <c r="S195" s="213">
        <f t="shared" si="47"/>
        <v>1</v>
      </c>
      <c r="T195" s="195" t="str">
        <f t="shared" si="48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49"/>
        <v>https://d0f6bd738d7f1b3e5a7ca70fe4ff75f0.us-east-1.aws.found.io/app/kibana#/discover/Steve-Slow-Train-Analysis-(2080s-and-2083s)?_g=(refreshInterval:(display:Off,pause:!f,section:0,value:0),time:(from:'2017-07-30T03:04:39-0600',mode:absolute,to:'2017-07-30T05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5" s="197" t="str">
        <f>IF(AA195&lt;VLOOKUP(AG195,Variables!$AC$3:$AD$8,2,FALSE),"Y","N")</f>
        <v>Y</v>
      </c>
      <c r="X195" s="197">
        <f t="shared" ref="X195:X219" si="64">VALUE(LEFT(AD195,4))-VALUE(LEFT(AD194,4))</f>
        <v>2</v>
      </c>
      <c r="Y195" s="197">
        <f t="shared" si="50"/>
        <v>2.3456999999999999</v>
      </c>
      <c r="Z195" s="197">
        <f t="shared" si="51"/>
        <v>1.5599999999999999E-2</v>
      </c>
      <c r="AA195" s="197">
        <f t="shared" si="52"/>
        <v>2.3300999999999998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53"/>
        <v>306</v>
      </c>
      <c r="AE195" s="77" t="str">
        <f t="shared" si="54"/>
        <v>aws s3 cp s3://rtdc.mdm.uploadarchive.raw/RTDC4029/ "%USERPROFILE%\AppData\Local\Temp\OnboardLogs"\RTDC4029\2017-07-30 --exclude "*" --recursive --include "*20170730*" &amp; "%USERPROFILE%\Documents\GitHub\mrs-test-scripts\Headless Mode &amp; Sideloading\WalkAndUnGZ.bat" "%USERPROFILE%\AppData\Local\Temp\OnboardLogs"\RTDC4029\2017-07-30 &amp; aws s3 cp s3://rtdc.mdm.uploadarchive.raw/RTDC4029/ "%USERPROFILE%\AppData\Local\Temp\OnboardLogs"\RTDC4029\2017-07-31 --exclude "*" --recursive --include "*20170731*" &amp; "%USERPROFILE%\Documents\GitHub\mrs-test-scripts\Headless Mode &amp; Sideloading\WalkAndUnGZ.bat" "%USERPROFILE%\AppData\Local\Temp\OnboardLogs"\RTDC4029\2017-07-31</v>
      </c>
      <c r="AF195" s="74" t="str">
        <f t="shared" si="55"/>
        <v>"C:\Program Files (x86)\AstroGrep\AstroGrep.exe" /e /r /s /spath="%USERPROFILE%\AppData\Local\Temp\OnboardLogs" /stypes="app*4029*20170730*" /stext=" 10:.+((SYSTEM_STATE.+slice.+state.+changed )|(ment ac)|(multiple cpu faults)|(system.+state.+changed )|(\[timeout)|(PRM\|1\|D)|(kpr)|(kdp)|(train st.+moving)|(\|lc)|(penalty))"</v>
      </c>
      <c r="AG195" s="209" t="str">
        <f t="shared" si="56"/>
        <v>Other</v>
      </c>
      <c r="AH195" s="78" t="str">
        <f t="shared" si="57"/>
        <v>"%USERPROFILE%\Documents\GitHub\eaglep3\Utilities\RefineRTDCRunTimes.py" --tripid 306-30 --locoid 4029 --swversion DE.1.0.9.0 --startMP 300:23457 --initTime 2017-07-30T04:04:39 --startdatetime 2017-07-30T04:08:48 --delay 4 --endMP 204:156 --enddatetime 2017-07-30T04:20:07 --enforcementcount 0 &gt;&gt;C:\Users\stu\Documents\GitHub\eaglep3-reporting\EC\2017-07-30-refined-times.txt</v>
      </c>
      <c r="AI195" s="96" t="str">
        <f t="shared" si="58"/>
        <v>echo {"issue":{"subject":"","project_id":79,"tracker_id":40,"status_id":1,"priority_id":2,"assigned_to_id":23,"start_date":"2017-07-30","description":"","custom_fields":[{"id":1,"name":"Subdivision","value":"Other"},{"id":4,"name":"Milepost","value":"0.0156"},{"id":17,"name":"Train ID","value":"306-30"},{"id":16,"name":"Locomotive ID","value":"4029"},{"id":130,"name":"Impact","value":""},{"id":150,"name":"Time of Event (Mountain Time)","value":"04:20:07"},{"id":151,"name":"Denver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59"/>
        <v>start /low /b %USERPROFILE%\Documents\GitHub\eaglep3\Utilities\DownloadLogsFromS3.py --loco 4029 --day 2017-07-30</v>
      </c>
      <c r="AN195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10:20:07"},{"id":29,"name":"Sharepoint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857</v>
      </c>
      <c r="B196" s="7">
        <v>4004</v>
      </c>
      <c r="C196" s="21" t="s">
        <v>198</v>
      </c>
      <c r="D196" s="21" t="s">
        <v>1001</v>
      </c>
      <c r="E196" s="13">
        <v>42947.026516203703</v>
      </c>
      <c r="F196" s="13">
        <v>42947.028275462966</v>
      </c>
      <c r="G196" s="7">
        <v>2</v>
      </c>
      <c r="H196" s="21" t="s">
        <v>520</v>
      </c>
      <c r="I196" s="13">
        <v>42947.035798611112</v>
      </c>
      <c r="J196" s="7">
        <v>0</v>
      </c>
      <c r="K196" s="89" t="str">
        <f t="shared" si="45"/>
        <v>4003/4004</v>
      </c>
      <c r="L196" s="21" t="str">
        <f>VLOOKUP(A196,'Trips&amp;Operators'!$C$1:$G$99999,5,FALSE)</f>
        <v>STAMBAUGH JAMES</v>
      </c>
      <c r="M196" s="6">
        <f t="shared" si="46"/>
        <v>7.5231481459923089E-3</v>
      </c>
      <c r="N196" s="7">
        <f t="shared" si="62"/>
        <v>10.833333330228925</v>
      </c>
      <c r="O196" s="7"/>
      <c r="P196" s="7"/>
      <c r="Q196" s="22"/>
      <c r="R196" s="170"/>
      <c r="S196" s="213">
        <f t="shared" si="47"/>
        <v>1</v>
      </c>
      <c r="T196" s="195" t="str">
        <f t="shared" si="48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49"/>
        <v>https://d0f6bd738d7f1b3e5a7ca70fe4ff75f0.us-east-1.aws.found.io/app/kibana#/discover/Steve-Slow-Train-Analysis-(2080s-and-2083s)?_g=(refreshInterval:(display:Off,pause:!f,section:0,value:0),time:(from:'2017-07-30T23:38:11-0600',mode:absolute,to:'2017-07-31T01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6" s="197" t="str">
        <f>IF(AA196&lt;VLOOKUP(AG196,Variables!$AC$3:$AD$8,2,FALSE),"Y","N")</f>
        <v>Y</v>
      </c>
      <c r="X196" s="197">
        <f t="shared" si="64"/>
        <v>1</v>
      </c>
      <c r="Y196" s="197">
        <f t="shared" si="50"/>
        <v>4.3099999999999999E-2</v>
      </c>
      <c r="Z196" s="197">
        <f t="shared" si="51"/>
        <v>2.3300999999999998</v>
      </c>
      <c r="AA196" s="197">
        <f t="shared" si="52"/>
        <v>2.2869999999999999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53"/>
        <v>307</v>
      </c>
      <c r="AE196" s="77" t="str">
        <f t="shared" si="54"/>
        <v>aws s3 cp s3://rtdc.mdm.uploadarchive.raw/RTDC4004/ "%USERPROFILE%\AppData\Local\Temp\OnboardLogs"\RTDC4004\2017-07-31 --exclude "*" --recursive --include "*20170731*" &amp; "%USERPROFILE%\Documents\GitHub\mrs-test-scripts\Headless Mode &amp; Sideloading\WalkAndUnGZ.bat" "%USERPROFILE%\AppData\Local\Temp\OnboardLogs"\RTDC4004\2017-07-31 &amp; aws s3 cp s3://rtdc.mdm.uploadarchive.raw/RTDC4004/ "%USERPROFILE%\AppData\Local\Temp\OnboardLogs"\RTDC4004\2017-08-01 --exclude "*" --recursive --include "*20170801*" &amp; "%USERPROFILE%\Documents\GitHub\mrs-test-scripts\Headless Mode &amp; Sideloading\WalkAndUnGZ.bat" "%USERPROFILE%\AppData\Local\Temp\OnboardLogs"\RTDC4004\2017-08-01</v>
      </c>
      <c r="AF196" s="74" t="str">
        <f t="shared" si="55"/>
        <v>"C:\Program Files (x86)\AstroGrep\AstroGrep.exe" /e /r /s /spath="%USERPROFILE%\AppData\Local\Temp\OnboardLogs" /stypes="app*4004*20170731*" /stext=" 06:.+((SYSTEM_STATE.+slice.+state.+changed )|(ment ac)|(multiple cpu faults)|(system.+state.+changed )|(\[timeout)|(PRM\|1\|D)|(kpr)|(kdp)|(train st.+moving)|(\|lc)|(penalty))"</v>
      </c>
      <c r="AG196" s="209" t="str">
        <f t="shared" si="56"/>
        <v>Other</v>
      </c>
      <c r="AH196" s="78" t="str">
        <f t="shared" si="57"/>
        <v>"%USERPROFILE%\Documents\GitHub\eaglep3\Utilities\RefineRTDCRunTimes.py" --tripid 307-30 --locoid 4004 --swversion DE.1.0.9.0 --startMP 204:431 --initTime 2017-07-31T00:38:11 --startdatetime 2017-07-31T00:40:43 --delay 2 --endMP 300:23301 --enddatetime 2017-07-31T00:51:33 --enforcementcount 0 &gt;&gt;C:\Users\stu\Documents\GitHub\eaglep3-reporting\EC\2017-07-30-refined-times.txt</v>
      </c>
      <c r="AI196" s="96" t="str">
        <f t="shared" si="58"/>
        <v>echo {"issue":{"subject":"","project_id":79,"tracker_id":40,"status_id":1,"priority_id":2,"assigned_to_id":23,"start_date":"2017-07-31","description":"","custom_fields":[{"id":1,"name":"Subdivision","value":"Other"},{"id":4,"name":"Milepost","value":"2.3301"},{"id":17,"name":"Train ID","value":"307-30"},{"id":16,"name":"Locomotive ID","value":"4004"},{"id":130,"name":"Impact","value":""},{"id":150,"name":"Time of Event (Mountain Time)","value":"00:51:33"},{"id":151,"name":"Denver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59"/>
        <v>start /low /b %USERPROFILE%\Documents\GitHub\eaglep3\Utilities\DownloadLogsFromS3.py --loco 4004 --day 2017-07-31</v>
      </c>
      <c r="AN196" s="151" t="str">
        <f t="shared" si="6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06:51:33"},{"id":29,"name":"Sharepoint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689</v>
      </c>
      <c r="B197" s="7">
        <v>4003</v>
      </c>
      <c r="C197" s="21" t="s">
        <v>198</v>
      </c>
      <c r="D197" s="21" t="s">
        <v>1002</v>
      </c>
      <c r="E197" s="13">
        <v>42946.176655092589</v>
      </c>
      <c r="F197" s="13">
        <v>42946.181539351855</v>
      </c>
      <c r="G197" s="7">
        <v>6</v>
      </c>
      <c r="H197" s="21" t="s">
        <v>519</v>
      </c>
      <c r="I197" s="13">
        <v>42946.191678240742</v>
      </c>
      <c r="J197" s="7">
        <v>0</v>
      </c>
      <c r="K197" s="89" t="str">
        <f t="shared" si="45"/>
        <v>4003/4004</v>
      </c>
      <c r="L197" s="21" t="str">
        <f>VLOOKUP(A197,'Trips&amp;Operators'!$C$1:$G$99999,5,FALSE)</f>
        <v>GEBRETEKLE DAGNEW</v>
      </c>
      <c r="M197" s="6">
        <f t="shared" si="46"/>
        <v>1.0138888887013309E-2</v>
      </c>
      <c r="N197" s="7">
        <f t="shared" si="62"/>
        <v>14.599999997299165</v>
      </c>
      <c r="O197" s="7"/>
      <c r="P197" s="7"/>
      <c r="Q197" s="22"/>
      <c r="R197" s="170"/>
      <c r="S197" s="213">
        <f t="shared" si="47"/>
        <v>1</v>
      </c>
      <c r="T197" s="195" t="str">
        <f t="shared" si="48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49"/>
        <v>https://d0f6bd738d7f1b3e5a7ca70fe4ff75f0.us-east-1.aws.found.io/app/kibana#/discover/Steve-Slow-Train-Analysis-(2080s-and-2083s)?_g=(refreshInterval:(display:Off,pause:!f,section:0,value:0),time:(from:'2017-07-30T03:14:23-0600',mode:absolute,to:'2017-07-30T05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7" s="197" t="str">
        <f>IF(AA197&lt;VLOOKUP(AG197,Variables!$AC$3:$AD$8,2,FALSE),"Y","N")</f>
        <v>Y</v>
      </c>
      <c r="X197" s="197">
        <f t="shared" si="64"/>
        <v>1</v>
      </c>
      <c r="Y197" s="197">
        <f t="shared" si="50"/>
        <v>2.3664999999999998</v>
      </c>
      <c r="Z197" s="197">
        <f t="shared" si="51"/>
        <v>1.67E-2</v>
      </c>
      <c r="AA197" s="197">
        <f t="shared" si="52"/>
        <v>2.3497999999999997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53"/>
        <v>308</v>
      </c>
      <c r="AE197" s="77" t="str">
        <f t="shared" si="54"/>
        <v>aws s3 cp s3://rtdc.mdm.uploadarchive.raw/RTDC4003/ "%USERPROFILE%\AppData\Local\Temp\OnboardLogs"\RTDC4003\2017-07-30 --exclude "*" --recursive --include "*20170730*" &amp; "%USERPROFILE%\Documents\GitHub\mrs-test-scripts\Headless Mode &amp; Sideloading\WalkAndUnGZ.bat" "%USERPROFILE%\AppData\Local\Temp\OnboardLogs"\RTDC4003\2017-07-30 &amp; aws s3 cp s3://rtdc.mdm.uploadarchive.raw/RTDC4003/ "%USERPROFILE%\AppData\Local\Temp\OnboardLogs"\RTDC4003\2017-07-31 --exclude "*" --recursive --include "*20170731*" &amp; "%USERPROFILE%\Documents\GitHub\mrs-test-scripts\Headless Mode &amp; Sideloading\WalkAndUnGZ.bat" "%USERPROFILE%\AppData\Local\Temp\OnboardLogs"\RTDC4003\2017-07-31</v>
      </c>
      <c r="AF197" s="74" t="str">
        <f t="shared" si="55"/>
        <v>"C:\Program Files (x86)\AstroGrep\AstroGrep.exe" /e /r /s /spath="%USERPROFILE%\AppData\Local\Temp\OnboardLogs" /stypes="app*4003*20170730*" /stext=" 10:.+((SYSTEM_STATE.+slice.+state.+changed )|(ment ac)|(multiple cpu faults)|(system.+state.+changed )|(\[timeout)|(PRM\|1\|D)|(kpr)|(kdp)|(train st.+moving)|(\|lc)|(penalty))"</v>
      </c>
      <c r="AG197" s="209" t="str">
        <f t="shared" si="56"/>
        <v>Other</v>
      </c>
      <c r="AH197" s="78" t="str">
        <f t="shared" si="57"/>
        <v>"%USERPROFILE%\Documents\GitHub\eaglep3\Utilities\RefineRTDCRunTimes.py" --tripid 308-30 --locoid 4003 --swversion DE.1.0.9.0 --startMP 300:23665 --initTime 2017-07-30T04:14:23 --startdatetime 2017-07-30T04:21:25 --delay 6 --endMP 204:167 --enddatetime 2017-07-30T04:36:01 --enforcementcount 0 &gt;&gt;C:\Users\stu\Documents\GitHub\eaglep3-reporting\EC\2017-07-30-refined-times.txt</v>
      </c>
      <c r="AI197" s="96" t="str">
        <f t="shared" si="58"/>
        <v>echo {"issue":{"subject":"","project_id":79,"tracker_id":40,"status_id":1,"priority_id":2,"assigned_to_id":23,"start_date":"2017-07-30","description":"","custom_fields":[{"id":1,"name":"Subdivision","value":"Other"},{"id":4,"name":"Milepost","value":"0.0167"},{"id":17,"name":"Train ID","value":"308-30"},{"id":16,"name":"Locomotive ID","value":"4003"},{"id":130,"name":"Impact","value":""},{"id":150,"name":"Time of Event (Mountain Time)","value":"04:36:01"},{"id":151,"name":"Denver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59"/>
        <v>start /low /b %USERPROFILE%\Documents\GitHub\eaglep3\Utilities\DownloadLogsFromS3.py --loco 4003 --day 2017-07-30</v>
      </c>
      <c r="AN197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10:36:01"},{"id":29,"name":"Sharepoint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859</v>
      </c>
      <c r="B198" s="7">
        <v>4066</v>
      </c>
      <c r="C198" s="21" t="s">
        <v>198</v>
      </c>
      <c r="D198" s="21" t="s">
        <v>395</v>
      </c>
      <c r="E198" s="13">
        <v>42947.04724537037</v>
      </c>
      <c r="F198" s="13">
        <v>42947.049178240741</v>
      </c>
      <c r="G198" s="7">
        <v>1</v>
      </c>
      <c r="H198" s="21" t="s">
        <v>520</v>
      </c>
      <c r="I198" s="13">
        <v>42947.058993055558</v>
      </c>
      <c r="J198" s="7">
        <v>0</v>
      </c>
      <c r="K198" s="89" t="str">
        <f t="shared" si="45"/>
        <v>4065/4066</v>
      </c>
      <c r="L198" s="21" t="str">
        <f>VLOOKUP(A198,'Trips&amp;Operators'!$C$1:$G$99999,5,FALSE)</f>
        <v>SMITH MICHAEL</v>
      </c>
      <c r="M198" s="6">
        <f t="shared" si="46"/>
        <v>9.8148148172185756E-3</v>
      </c>
      <c r="N198" s="7"/>
      <c r="O198" s="7"/>
      <c r="P198" s="7">
        <f>24*60*SUM($M198:$M198)</f>
        <v>14.133333336794749</v>
      </c>
      <c r="Q198" s="22"/>
      <c r="R198" s="170" t="s">
        <v>1048</v>
      </c>
      <c r="S198" s="213">
        <f t="shared" si="47"/>
        <v>1</v>
      </c>
      <c r="T198" s="195" t="str">
        <f t="shared" si="48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49"/>
        <v>https://d0f6bd738d7f1b3e5a7ca70fe4ff75f0.us-east-1.aws.found.io/app/kibana#/discover/Steve-Slow-Train-Analysis-(2080s-and-2083s)?_g=(refreshInterval:(display:Off,pause:!f,section:0,value:0),time:(from:'2017-07-31T00:08:02-0600',mode:absolute,to:'2017-07-31T02:24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98" s="197" t="str">
        <f>IF(AA198&lt;VLOOKUP(AG198,Variables!$AC$3:$AD$8,2,FALSE),"Y","N")</f>
        <v>Y</v>
      </c>
      <c r="X198" s="197">
        <f t="shared" si="64"/>
        <v>1</v>
      </c>
      <c r="Y198" s="197">
        <f t="shared" si="50"/>
        <v>4.5499999999999999E-2</v>
      </c>
      <c r="Z198" s="197">
        <f t="shared" si="51"/>
        <v>2.3300999999999998</v>
      </c>
      <c r="AA198" s="197">
        <f t="shared" si="52"/>
        <v>2.2845999999999997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53"/>
        <v>309</v>
      </c>
      <c r="AE198" s="77" t="str">
        <f t="shared" si="54"/>
        <v>aws s3 cp s3://rtdc.mdm.uploadarchive.raw/RTDC4066/ "%USERPROFILE%\AppData\Local\Temp\OnboardLogs"\RTDC4066\2017-07-31 --exclude "*" --recursive --include "*20170731*" &amp; "%USERPROFILE%\Documents\GitHub\mrs-test-scripts\Headless Mode &amp; Sideloading\WalkAndUnGZ.bat" "%USERPROFILE%\AppData\Local\Temp\OnboardLogs"\RTDC4066\2017-07-31 &amp; aws s3 cp s3://rtdc.mdm.uploadarchive.raw/RTDC4066/ "%USERPROFILE%\AppData\Local\Temp\OnboardLogs"\RTDC4066\2017-08-01 --exclude "*" --recursive --include "*20170801*" &amp; "%USERPROFILE%\Documents\GitHub\mrs-test-scripts\Headless Mode &amp; Sideloading\WalkAndUnGZ.bat" "%USERPROFILE%\AppData\Local\Temp\OnboardLogs"\RTDC4066\2017-08-01</v>
      </c>
      <c r="AF198" s="74" t="str">
        <f t="shared" si="55"/>
        <v>"C:\Program Files (x86)\AstroGrep\AstroGrep.exe" /e /r /s /spath="%USERPROFILE%\AppData\Local\Temp\OnboardLogs" /stypes="app*4066*20170731*" /stext=" 07:.+((SYSTEM_STATE.+slice.+state.+changed )|(ment ac)|(multiple cpu faults)|(system.+state.+changed )|(\[timeout)|(PRM\|1\|D)|(kpr)|(kdp)|(train st.+moving)|(\|lc)|(penalty))"</v>
      </c>
      <c r="AG198" s="209" t="str">
        <f t="shared" si="56"/>
        <v>Other</v>
      </c>
      <c r="AH198" s="78" t="str">
        <f t="shared" si="57"/>
        <v>"%USERPROFILE%\Documents\GitHub\eaglep3\Utilities\RefineRTDCRunTimes.py" --tripid 309-30 --locoid 4066 --swversion DE.1.0.9.0 --startMP 204:455 --initTime 2017-07-31T01:08:02 --startdatetime 2017-07-31T01:10:49 --delay 1 --endMP 300:23301 --enddatetime 2017-07-31T01:24:57 --enforcementcount 0 &gt;&gt;C:\Users\stu\Documents\GitHub\eaglep3-reporting\EC\2017-07-30-refined-times.txt</v>
      </c>
      <c r="AI198" s="96" t="str">
        <f t="shared" si="58"/>
        <v>echo {"issue":{"subject":"CCROC/crew/equipment mismatch","project_id":79,"tracker_id":40,"status_id":1,"priority_id":2,"assigned_to_id":23,"start_date":"2017-07-31","description":"","custom_fields":[{"id":1,"name":"Subdivision","value":"Other"},{"id":4,"name":"Milepost","value":"2.3301"},{"id":17,"name":"Train ID","value":"309-30"},{"id":16,"name":"Locomotive ID","value":"4066"},{"id":130,"name":"Impact","value":""},{"id":150,"name":"Time of Event (Mountain Time)","value":"01:24:57"},{"id":151,"name":"Denver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59"/>
        <v>start /low /b %USERPROFILE%\Documents\GitHub\eaglep3\Utilities\DownloadLogsFromS3.py --loco 4066 --day 2017-07-31</v>
      </c>
      <c r="AN198" s="151" t="str">
        <f t="shared" si="60"/>
        <v>echo {"issue":{"subject":"CCROC/crew/equipment mismatch","project_id":30,"tracker_id":4,"status_id":1,"priority_id":1,"assigned_to_id":10,"start_date":"2017-07-31","description":"","custom_fields":[{"id":30,"name":"Category","value":"Issue"},{"id":3,"name":"Functional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07:24:57"},{"id":29,"name":"Sharepoint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617</v>
      </c>
      <c r="B199" s="7">
        <v>4011</v>
      </c>
      <c r="C199" s="21" t="s">
        <v>198</v>
      </c>
      <c r="D199" s="21" t="s">
        <v>1003</v>
      </c>
      <c r="E199" s="13">
        <v>42946.197002314817</v>
      </c>
      <c r="F199" s="13">
        <v>42946.201365740744</v>
      </c>
      <c r="G199" s="7">
        <v>6</v>
      </c>
      <c r="H199" s="21" t="s">
        <v>910</v>
      </c>
      <c r="I199" s="13">
        <v>42946.208356481482</v>
      </c>
      <c r="J199" s="7">
        <v>0</v>
      </c>
      <c r="K199" s="89" t="str">
        <f t="shared" si="45"/>
        <v>4011/4012</v>
      </c>
      <c r="L199" s="21" t="str">
        <f>VLOOKUP(A199,'Trips&amp;Operators'!$C$1:$G$99999,5,FALSE)</f>
        <v>GUZMAN DANNY</v>
      </c>
      <c r="M199" s="6">
        <f t="shared" si="46"/>
        <v>6.9907407378195785E-3</v>
      </c>
      <c r="N199" s="7">
        <f t="shared" ref="N199:N219" si="65">24*60*SUM($M199:$M199)</f>
        <v>10.066666662460193</v>
      </c>
      <c r="O199" s="7"/>
      <c r="P199" s="7"/>
      <c r="Q199" s="22"/>
      <c r="R199" s="170"/>
      <c r="S199" s="213">
        <f t="shared" si="47"/>
        <v>1</v>
      </c>
      <c r="T199" s="195" t="str">
        <f t="shared" si="48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49"/>
        <v>https://d0f6bd738d7f1b3e5a7ca70fe4ff75f0.us-east-1.aws.found.io/app/kibana#/discover/Steve-Slow-Train-Analysis-(2080s-and-2083s)?_g=(refreshInterval:(display:Off,pause:!f,section:0,value:0),time:(from:'2017-07-30T03:43:41-0600',mode:absolute,to:'2017-07-30T06:00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9" s="197" t="str">
        <f>IF(AA199&lt;VLOOKUP(AG199,Variables!$AC$3:$AD$8,2,FALSE),"Y","N")</f>
        <v>Y</v>
      </c>
      <c r="X199" s="197">
        <f t="shared" si="64"/>
        <v>1</v>
      </c>
      <c r="Y199" s="197">
        <f t="shared" si="50"/>
        <v>2.3441999999999998</v>
      </c>
      <c r="Z199" s="197">
        <f t="shared" si="51"/>
        <v>1.6500000000000001E-2</v>
      </c>
      <c r="AA199" s="197">
        <f t="shared" si="52"/>
        <v>2.3276999999999997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53"/>
        <v>310</v>
      </c>
      <c r="AE199" s="77" t="str">
        <f t="shared" si="54"/>
        <v>aws s3 cp s3://rtdc.mdm.uploadarchive.raw/RTDC4011/ "%USERPROFILE%\AppData\Local\Temp\OnboardLogs"\RTDC4011\2017-07-30 --exclude "*" --recursive --include "*20170730*" &amp; "%USERPROFILE%\Documents\GitHub\mrs-test-scripts\Headless Mode &amp; Sideloading\WalkAndUnGZ.bat" "%USERPROFILE%\AppData\Local\Temp\OnboardLogs"\RTDC4011\2017-07-30 &amp; aws s3 cp s3://rtdc.mdm.uploadarchive.raw/RTDC4011/ "%USERPROFILE%\AppData\Local\Temp\OnboardLogs"\RTDC4011\2017-07-31 --exclude "*" --recursive --include "*20170731*" &amp; "%USERPROFILE%\Documents\GitHub\mrs-test-scripts\Headless Mode &amp; Sideloading\WalkAndUnGZ.bat" "%USERPROFILE%\AppData\Local\Temp\OnboardLogs"\RTDC4011\2017-07-31</v>
      </c>
      <c r="AF199" s="74" t="str">
        <f t="shared" si="55"/>
        <v>"C:\Program Files (x86)\AstroGrep\AstroGrep.exe" /e /r /s /spath="%USERPROFILE%\AppData\Local\Temp\OnboardLogs" /stypes="app*4011*20170730*" /stext=" 11:.+((SYSTEM_STATE.+slice.+state.+changed )|(ment ac)|(multiple cpu faults)|(system.+state.+changed )|(\[timeout)|(PRM\|1\|D)|(kpr)|(kdp)|(train st.+moving)|(\|lc)|(penalty))"</v>
      </c>
      <c r="AG199" s="209" t="str">
        <f t="shared" si="56"/>
        <v>Other</v>
      </c>
      <c r="AH199" s="78" t="str">
        <f t="shared" si="57"/>
        <v>"%USERPROFILE%\Documents\GitHub\eaglep3\Utilities\RefineRTDCRunTimes.py" --tripid 310-30 --locoid 4011 --swversion DE.1.0.9.0 --startMP 300:23442 --initTime 2017-07-30T04:43:41 --startdatetime 2017-07-30T04:49:58 --delay 6 --endMP 204:165 --enddatetime 2017-07-30T05:00:02 --enforcementcount 0 &gt;&gt;C:\Users\stu\Documents\GitHub\eaglep3-reporting\EC\2017-07-30-refined-times.txt</v>
      </c>
      <c r="AI199" s="96" t="str">
        <f t="shared" si="58"/>
        <v>echo {"issue":{"subject":"","project_id":79,"tracker_id":40,"status_id":1,"priority_id":2,"assigned_to_id":23,"start_date":"2017-07-30","description":"","custom_fields":[{"id":1,"name":"Subdivision","value":"Other"},{"id":4,"name":"Milepost","value":"0.0165"},{"id":17,"name":"Train ID","value":"310-30"},{"id":16,"name":"Locomotive ID","value":"4011"},{"id":130,"name":"Impact","value":""},{"id":150,"name":"Time of Event (Mountain Time)","value":"05:00:02"},{"id":151,"name":"Denver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59"/>
        <v>start /low /b %USERPROFILE%\Documents\GitHub\eaglep3\Utilities\DownloadLogsFromS3.py --loco 4011 --day 2017-07-30</v>
      </c>
      <c r="AN199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11:00:02"},{"id":29,"name":"Sharepoint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672</v>
      </c>
      <c r="B200" s="7">
        <v>4056</v>
      </c>
      <c r="C200" s="21" t="s">
        <v>198</v>
      </c>
      <c r="D200" s="21" t="s">
        <v>405</v>
      </c>
      <c r="E200" s="13">
        <v>42946.088784722226</v>
      </c>
      <c r="F200" s="13">
        <v>42946.090763888889</v>
      </c>
      <c r="G200" s="7">
        <v>1</v>
      </c>
      <c r="H200" s="21" t="s">
        <v>346</v>
      </c>
      <c r="I200" s="13">
        <v>42946.10056712963</v>
      </c>
      <c r="J200" s="7">
        <v>0</v>
      </c>
      <c r="K200" s="89" t="str">
        <f t="shared" si="45"/>
        <v>4055/4056</v>
      </c>
      <c r="L200" s="21" t="str">
        <f>VLOOKUP(A200,'Trips&amp;Operators'!$C$1:$G$99999,5,FALSE)</f>
        <v>FORTUNATO FRANK</v>
      </c>
      <c r="M200" s="6">
        <f t="shared" si="46"/>
        <v>9.8032407404389232E-3</v>
      </c>
      <c r="N200" s="7">
        <f t="shared" si="65"/>
        <v>14.116666666232049</v>
      </c>
      <c r="O200" s="7"/>
      <c r="P200" s="7"/>
      <c r="Q200" s="22"/>
      <c r="R200" s="170"/>
      <c r="S200" s="213">
        <f t="shared" si="47"/>
        <v>1</v>
      </c>
      <c r="T200" s="195" t="str">
        <f t="shared" si="48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49"/>
        <v>https://d0f6bd738d7f1b3e5a7ca70fe4ff75f0.us-east-1.aws.found.io/app/kibana#/discover/Steve-Slow-Train-Analysis-(2080s-and-2083s)?_g=(refreshInterval:(display:Off,pause:!f,section:0,value:0),time:(from:'2017-07-30T01:07:51-0600',mode:absolute,to:'2017-07-30T03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0" s="197" t="str">
        <f>IF(AA200&lt;VLOOKUP(AG200,Variables!$AC$3:$AD$8,2,FALSE),"Y","N")</f>
        <v>Y</v>
      </c>
      <c r="X200" s="197">
        <f t="shared" si="64"/>
        <v>1</v>
      </c>
      <c r="Y200" s="197">
        <f t="shared" si="50"/>
        <v>4.58E-2</v>
      </c>
      <c r="Z200" s="197">
        <f t="shared" si="51"/>
        <v>2.3346</v>
      </c>
      <c r="AA200" s="197">
        <f t="shared" si="52"/>
        <v>2.2888000000000002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53"/>
        <v>311</v>
      </c>
      <c r="AE200" s="77" t="str">
        <f t="shared" si="54"/>
        <v>aws s3 cp s3://rtdc.mdm.uploadarchive.raw/RTDC4056/ "%USERPROFILE%\AppData\Local\Temp\OnboardLogs"\RTDC4056\2017-07-30 --exclude "*" --recursive --include "*20170730*" &amp; "%USERPROFILE%\Documents\GitHub\mrs-test-scripts\Headless Mode &amp; Sideloading\WalkAndUnGZ.bat" "%USERPROFILE%\AppData\Local\Temp\OnboardLogs"\RTDC4056\2017-07-30 &amp; aws s3 cp s3://rtdc.mdm.uploadarchive.raw/RTDC4056/ "%USERPROFILE%\AppData\Local\Temp\OnboardLogs"\RTDC4056\2017-07-31 --exclude "*" --recursive --include "*20170731*" &amp; "%USERPROFILE%\Documents\GitHub\mrs-test-scripts\Headless Mode &amp; Sideloading\WalkAndUnGZ.bat" "%USERPROFILE%\AppData\Local\Temp\OnboardLogs"\RTDC4056\2017-07-31</v>
      </c>
      <c r="AF200" s="74" t="str">
        <f t="shared" si="55"/>
        <v>"C:\Program Files (x86)\AstroGrep\AstroGrep.exe" /e /r /s /spath="%USERPROFILE%\AppData\Local\Temp\OnboardLogs" /stypes="app*4056*20170730*" /stext=" 08:.+((SYSTEM_STATE.+slice.+state.+changed )|(ment ac)|(multiple cpu faults)|(system.+state.+changed )|(\[timeout)|(PRM\|1\|D)|(kpr)|(kdp)|(train st.+moving)|(\|lc)|(penalty))"</v>
      </c>
      <c r="AG200" s="209" t="str">
        <f t="shared" si="56"/>
        <v>Other</v>
      </c>
      <c r="AH200" s="78" t="str">
        <f t="shared" si="57"/>
        <v>"%USERPROFILE%\Documents\GitHub\eaglep3\Utilities\RefineRTDCRunTimes.py" --tripid 311-29 --locoid 4056 --swversion DE.1.0.9.0 --startMP 204:458 --initTime 2017-07-30T02:07:51 --startdatetime 2017-07-30T02:10:42 --delay 1 --endMP 300:23346 --enddatetime 2017-07-30T02:24:49 --enforcementcount 0 &gt;&gt;C:\Users\stu\Documents\GitHub\eaglep3-reporting\EC\2017-07-30-refined-times.txt</v>
      </c>
      <c r="AI200" s="96" t="str">
        <f t="shared" si="58"/>
        <v>echo {"issue":{"subject":"","project_id":79,"tracker_id":40,"status_id":1,"priority_id":2,"assigned_to_id":23,"start_date":"2017-07-30","description":"","custom_fields":[{"id":1,"name":"Subdivision","value":"Other"},{"id":4,"name":"Milepost","value":"2.3346"},{"id":17,"name":"Train ID","value":"311-29"},{"id":16,"name":"Locomotive ID","value":"4056"},{"id":130,"name":"Impact","value":""},{"id":150,"name":"Time of Event (Mountain Time)","value":"02:24:49"},{"id":151,"name":"Denver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59"/>
        <v>start /low /b %USERPROFILE%\Documents\GitHub\eaglep3\Utilities\DownloadLogsFromS3.py --loco 4056 --day 2017-07-30</v>
      </c>
      <c r="AN200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08:24:49"},{"id":29,"name":"Sharepoint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704</v>
      </c>
      <c r="B201" s="7">
        <v>4031</v>
      </c>
      <c r="C201" s="21" t="s">
        <v>198</v>
      </c>
      <c r="D201" s="21" t="s">
        <v>1004</v>
      </c>
      <c r="E201" s="13">
        <v>42946.222303240742</v>
      </c>
      <c r="F201" s="13">
        <v>42946.226747685185</v>
      </c>
      <c r="G201" s="7">
        <v>6</v>
      </c>
      <c r="H201" s="21" t="s">
        <v>342</v>
      </c>
      <c r="I201" s="13">
        <v>42946.235196759262</v>
      </c>
      <c r="J201" s="7">
        <v>0</v>
      </c>
      <c r="K201" s="89" t="str">
        <f t="shared" si="45"/>
        <v>4031/4032</v>
      </c>
      <c r="L201" s="21" t="str">
        <f>VLOOKUP(A201,'Trips&amp;Operators'!$C$1:$G$99999,5,FALSE)</f>
        <v>MACDONALD THOMAS</v>
      </c>
      <c r="M201" s="6">
        <f t="shared" si="46"/>
        <v>8.449074077361729E-3</v>
      </c>
      <c r="N201" s="7">
        <f t="shared" si="65"/>
        <v>12.16666667140089</v>
      </c>
      <c r="O201" s="7"/>
      <c r="P201" s="7"/>
      <c r="Q201" s="22"/>
      <c r="R201" s="170"/>
      <c r="S201" s="213">
        <f t="shared" si="47"/>
        <v>1</v>
      </c>
      <c r="T201" s="195" t="str">
        <f t="shared" si="48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49"/>
        <v>https://d0f6bd738d7f1b3e5a7ca70fe4ff75f0.us-east-1.aws.found.io/app/kibana#/discover/Steve-Slow-Train-Analysis-(2080s-and-2083s)?_g=(refreshInterval:(display:Off,pause:!f,section:0,value:0),time:(from:'2017-07-30T04:20:07-0600',mode:absolute,to:'2017-07-30T06:38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1" s="197" t="str">
        <f>IF(AA201&lt;VLOOKUP(AG201,Variables!$AC$3:$AD$8,2,FALSE),"Y","N")</f>
        <v>Y</v>
      </c>
      <c r="X201" s="197">
        <f t="shared" si="64"/>
        <v>1</v>
      </c>
      <c r="Y201" s="197">
        <f t="shared" si="50"/>
        <v>2.3517000000000001</v>
      </c>
      <c r="Z201" s="197">
        <f t="shared" si="51"/>
        <v>1.49E-2</v>
      </c>
      <c r="AA201" s="197">
        <f t="shared" si="52"/>
        <v>2.3368000000000002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53"/>
        <v>312</v>
      </c>
      <c r="AE201" s="77" t="str">
        <f t="shared" si="54"/>
        <v>aws s3 cp s3://rtdc.mdm.uploadarchive.raw/RTDC4031/ "%USERPROFILE%\AppData\Local\Temp\OnboardLogs"\RTDC4031\2017-07-30 --exclude "*" --recursive --include "*20170730*" &amp; "%USERPROFILE%\Documents\GitHub\mrs-test-scripts\Headless Mode &amp; Sideloading\WalkAndUnGZ.bat" "%USERPROFILE%\AppData\Local\Temp\OnboardLogs"\RTDC4031\2017-07-30 &amp; aws s3 cp s3://rtdc.mdm.uploadarchive.raw/RTDC4031/ "%USERPROFILE%\AppData\Local\Temp\OnboardLogs"\RTDC4031\2017-07-31 --exclude "*" --recursive --include "*20170731*" &amp; "%USERPROFILE%\Documents\GitHub\mrs-test-scripts\Headless Mode &amp; Sideloading\WalkAndUnGZ.bat" "%USERPROFILE%\AppData\Local\Temp\OnboardLogs"\RTDC4031\2017-07-31</v>
      </c>
      <c r="AF201" s="74" t="str">
        <f t="shared" si="55"/>
        <v>"C:\Program Files (x86)\AstroGrep\AstroGrep.exe" /e /r /s /spath="%USERPROFILE%\AppData\Local\Temp\OnboardLogs" /stypes="app*4031*20170730*" /stext=" 11:.+((SYSTEM_STATE.+slice.+state.+changed )|(ment ac)|(multiple cpu faults)|(system.+state.+changed )|(\[timeout)|(PRM\|1\|D)|(kpr)|(kdp)|(train st.+moving)|(\|lc)|(penalty))"</v>
      </c>
      <c r="AG201" s="209" t="str">
        <f t="shared" si="56"/>
        <v>Other</v>
      </c>
      <c r="AH201" s="78" t="str">
        <f t="shared" si="57"/>
        <v>"%USERPROFILE%\Documents\GitHub\eaglep3\Utilities\RefineRTDCRunTimes.py" --tripid 312-30 --locoid 4031 --swversion DE.1.0.9.0 --startMP 300:23517 --initTime 2017-07-30T05:20:07 --startdatetime 2017-07-30T05:26:31 --delay 6 --endMP 204:149 --enddatetime 2017-07-30T05:38:41 --enforcementcount 0 &gt;&gt;C:\Users\stu\Documents\GitHub\eaglep3-reporting\EC\2017-07-30-refined-times.txt</v>
      </c>
      <c r="AI201" s="96" t="str">
        <f t="shared" si="58"/>
        <v>echo {"issue":{"subject":"","project_id":79,"tracker_id":40,"status_id":1,"priority_id":2,"assigned_to_id":23,"start_date":"2017-07-30","description":"","custom_fields":[{"id":1,"name":"Subdivision","value":"Other"},{"id":4,"name":"Milepost","value":"0.0149"},{"id":17,"name":"Train ID","value":"312-30"},{"id":16,"name":"Locomotive ID","value":"4031"},{"id":130,"name":"Impact","value":""},{"id":150,"name":"Time of Event (Mountain Time)","value":"05:38:41"},{"id":151,"name":"Denver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59"/>
        <v>start /low /b %USERPROFILE%\Documents\GitHub\eaglep3\Utilities\DownloadLogsFromS3.py --loco 4031 --day 2017-07-30</v>
      </c>
      <c r="AN201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11:38:41"},{"id":29,"name":"Sharepoint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673</v>
      </c>
      <c r="B202" s="7">
        <v>4042</v>
      </c>
      <c r="C202" s="21" t="s">
        <v>198</v>
      </c>
      <c r="D202" s="21" t="s">
        <v>345</v>
      </c>
      <c r="E202" s="13">
        <v>42946.1096875</v>
      </c>
      <c r="F202" s="13">
        <v>42946.112696759257</v>
      </c>
      <c r="G202" s="7">
        <v>1</v>
      </c>
      <c r="H202" s="21" t="s">
        <v>346</v>
      </c>
      <c r="I202" s="13">
        <v>42946.121458333335</v>
      </c>
      <c r="J202" s="7">
        <v>0</v>
      </c>
      <c r="K202" s="89" t="str">
        <f t="shared" si="45"/>
        <v>4041/4042</v>
      </c>
      <c r="L202" s="21" t="str">
        <f>VLOOKUP(A202,'Trips&amp;Operators'!$C$1:$G$99999,5,FALSE)</f>
        <v>LAMAR NEKESHA</v>
      </c>
      <c r="M202" s="6">
        <f t="shared" si="46"/>
        <v>8.7615740776527673E-3</v>
      </c>
      <c r="N202" s="7">
        <f t="shared" si="65"/>
        <v>12.616666671819985</v>
      </c>
      <c r="O202" s="7"/>
      <c r="P202" s="7"/>
      <c r="Q202" s="22"/>
      <c r="R202" s="170"/>
      <c r="S202" s="213">
        <f t="shared" si="47"/>
        <v>1</v>
      </c>
      <c r="T202" s="195" t="str">
        <f t="shared" si="48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49"/>
        <v>https://d0f6bd738d7f1b3e5a7ca70fe4ff75f0.us-east-1.aws.found.io/app/kibana#/discover/Steve-Slow-Train-Analysis-(2080s-and-2083s)?_g=(refreshInterval:(display:Off,pause:!f,section:0,value:0),time:(from:'2017-07-30T01:37:57-0600',mode:absolute,to:'2017-07-30T03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2" s="197" t="str">
        <f>IF(AA202&lt;VLOOKUP(AG202,Variables!$AC$3:$AD$8,2,FALSE),"Y","N")</f>
        <v>Y</v>
      </c>
      <c r="X202" s="197">
        <f t="shared" si="64"/>
        <v>1</v>
      </c>
      <c r="Y202" s="197">
        <f t="shared" si="50"/>
        <v>4.5100000000000001E-2</v>
      </c>
      <c r="Z202" s="197">
        <f t="shared" si="51"/>
        <v>2.3346</v>
      </c>
      <c r="AA202" s="197">
        <f t="shared" si="52"/>
        <v>2.2894999999999999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53"/>
        <v>313</v>
      </c>
      <c r="AE202" s="77" t="str">
        <f t="shared" si="54"/>
        <v>aws s3 cp s3://rtdc.mdm.uploadarchive.raw/RTDC4042/ "%USERPROFILE%\AppData\Local\Temp\OnboardLogs"\RTDC4042\2017-07-30 --exclude "*" --recursive --include "*20170730*" &amp; "%USERPROFILE%\Documents\GitHub\mrs-test-scripts\Headless Mode &amp; Sideloading\WalkAndUnGZ.bat" "%USERPROFILE%\AppData\Local\Temp\OnboardLogs"\RTDC4042\2017-07-30 &amp; aws s3 cp s3://rtdc.mdm.uploadarchive.raw/RTDC4042/ "%USERPROFILE%\AppData\Local\Temp\OnboardLogs"\RTDC4042\2017-07-31 --exclude "*" --recursive --include "*20170731*" &amp; "%USERPROFILE%\Documents\GitHub\mrs-test-scripts\Headless Mode &amp; Sideloading\WalkAndUnGZ.bat" "%USERPROFILE%\AppData\Local\Temp\OnboardLogs"\RTDC4042\2017-07-31</v>
      </c>
      <c r="AF202" s="74" t="str">
        <f t="shared" si="55"/>
        <v>"C:\Program Files (x86)\AstroGrep\AstroGrep.exe" /e /r /s /spath="%USERPROFILE%\AppData\Local\Temp\OnboardLogs" /stypes="app*4042*20170730*" /stext=" 08:.+((SYSTEM_STATE.+slice.+state.+changed )|(ment ac)|(multiple cpu faults)|(system.+state.+changed )|(\[timeout)|(PRM\|1\|D)|(kpr)|(kdp)|(train st.+moving)|(\|lc)|(penalty))"</v>
      </c>
      <c r="AG202" s="209" t="str">
        <f t="shared" si="56"/>
        <v>Other</v>
      </c>
      <c r="AH202" s="78" t="str">
        <f t="shared" si="57"/>
        <v>"%USERPROFILE%\Documents\GitHub\eaglep3\Utilities\RefineRTDCRunTimes.py" --tripid 313-29 --locoid 4042 --swversion DE.1.0.9.0 --startMP 204:451 --initTime 2017-07-30T02:37:57 --startdatetime 2017-07-30T02:42:17 --delay 1 --endMP 300:23346 --enddatetime 2017-07-30T02:54:54 --enforcementcount 0 &gt;&gt;C:\Users\stu\Documents\GitHub\eaglep3-reporting\EC\2017-07-30-refined-times.txt</v>
      </c>
      <c r="AI202" s="96" t="str">
        <f t="shared" si="58"/>
        <v>echo {"issue":{"subject":"","project_id":79,"tracker_id":40,"status_id":1,"priority_id":2,"assigned_to_id":23,"start_date":"2017-07-30","description":"","custom_fields":[{"id":1,"name":"Subdivision","value":"Other"},{"id":4,"name":"Milepost","value":"2.3346"},{"id":17,"name":"Train ID","value":"313-29"},{"id":16,"name":"Locomotive ID","value":"4042"},{"id":130,"name":"Impact","value":""},{"id":150,"name":"Time of Event (Mountain Time)","value":"02:54:54"},{"id":151,"name":"Denver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59"/>
        <v>start /low /b %USERPROFILE%\Documents\GitHub\eaglep3\Utilities\DownloadLogsFromS3.py --loco 4042 --day 2017-07-30</v>
      </c>
      <c r="AN202" s="151" t="str">
        <f t="shared" si="60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08:54:54"},{"id":29,"name":"Sharepoint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861</v>
      </c>
      <c r="B203" s="7">
        <v>4046</v>
      </c>
      <c r="C203" s="21" t="s">
        <v>198</v>
      </c>
      <c r="D203" s="21" t="s">
        <v>513</v>
      </c>
      <c r="E203" s="13">
        <v>42947.092951388891</v>
      </c>
      <c r="F203" s="13">
        <v>42947.096041666664</v>
      </c>
      <c r="G203" s="7">
        <v>2</v>
      </c>
      <c r="H203" s="21" t="s">
        <v>346</v>
      </c>
      <c r="I203" s="13">
        <v>42947.104467592595</v>
      </c>
      <c r="J203" s="7">
        <v>0</v>
      </c>
      <c r="K203" s="89" t="str">
        <f t="shared" si="45"/>
        <v>4045/4046</v>
      </c>
      <c r="L203" s="21" t="str">
        <f>VLOOKUP(A203,'Trips&amp;Operators'!$C$1:$G$99999,5,FALSE)</f>
        <v>HAITHCOX MICHAEL</v>
      </c>
      <c r="M203" s="6">
        <f t="shared" si="46"/>
        <v>8.4259259310783818E-3</v>
      </c>
      <c r="N203" s="7">
        <f t="shared" si="65"/>
        <v>12.13333334075287</v>
      </c>
      <c r="O203" s="7"/>
      <c r="P203" s="7"/>
      <c r="Q203" s="22"/>
      <c r="R203" s="170"/>
      <c r="S203" s="213">
        <f t="shared" si="47"/>
        <v>1</v>
      </c>
      <c r="T203" s="195" t="str">
        <f t="shared" si="48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49"/>
        <v>https://d0f6bd738d7f1b3e5a7ca70fe4ff75f0.us-east-1.aws.found.io/app/kibana#/discover/Steve-Slow-Train-Analysis-(2080s-and-2083s)?_g=(refreshInterval:(display:Off,pause:!f,section:0,value:0),time:(from:'2017-07-31T01:13:51-0600',mode:absolute,to:'2017-07-31T03:30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3" s="197" t="str">
        <f>IF(AA203&lt;VLOOKUP(AG203,Variables!$AC$3:$AD$8,2,FALSE),"Y","N")</f>
        <v>Y</v>
      </c>
      <c r="X203" s="197">
        <f t="shared" si="64"/>
        <v>0</v>
      </c>
      <c r="Y203" s="197">
        <f t="shared" si="50"/>
        <v>4.6699999999999998E-2</v>
      </c>
      <c r="Z203" s="197">
        <f t="shared" si="51"/>
        <v>2.3346</v>
      </c>
      <c r="AA203" s="197">
        <f t="shared" si="52"/>
        <v>2.2879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53"/>
        <v>313</v>
      </c>
      <c r="AE203" s="77" t="str">
        <f t="shared" si="54"/>
        <v>aws s3 cp s3://rtdc.mdm.uploadarchive.raw/RTDC4046/ "%USERPROFILE%\AppData\Local\Temp\OnboardLogs"\RTDC4046\2017-07-31 --exclude "*" --recursive --include "*20170731*" &amp; "%USERPROFILE%\Documents\GitHub\mrs-test-scripts\Headless Mode &amp; Sideloading\WalkAndUnGZ.bat" "%USERPROFILE%\AppData\Local\Temp\OnboardLogs"\RTDC4046\2017-07-31 &amp; aws s3 cp s3://rtdc.mdm.uploadarchive.raw/RTDC4046/ "%USERPROFILE%\AppData\Local\Temp\OnboardLogs"\RTDC4046\2017-08-01 --exclude "*" --recursive --include "*20170801*" &amp; "%USERPROFILE%\Documents\GitHub\mrs-test-scripts\Headless Mode &amp; Sideloading\WalkAndUnGZ.bat" "%USERPROFILE%\AppData\Local\Temp\OnboardLogs"\RTDC4046\2017-08-01</v>
      </c>
      <c r="AF203" s="74" t="str">
        <f t="shared" si="55"/>
        <v>"C:\Program Files (x86)\AstroGrep\AstroGrep.exe" /e /r /s /spath="%USERPROFILE%\AppData\Local\Temp\OnboardLogs" /stypes="app*4046*20170731*" /stext=" 08:.+((SYSTEM_STATE.+slice.+state.+changed )|(ment ac)|(multiple cpu faults)|(system.+state.+changed )|(\[timeout)|(PRM\|1\|D)|(kpr)|(kdp)|(train st.+moving)|(\|lc)|(penalty))"</v>
      </c>
      <c r="AG203" s="209" t="str">
        <f t="shared" si="56"/>
        <v>Other</v>
      </c>
      <c r="AH203" s="78" t="str">
        <f t="shared" si="57"/>
        <v>"%USERPROFILE%\Documents\GitHub\eaglep3\Utilities\RefineRTDCRunTimes.py" --tripid 313-30 --locoid 4046 --swversion DE.1.0.9.0 --startMP 204:467 --initTime 2017-07-31T02:13:51 --startdatetime 2017-07-31T02:18:18 --delay 2 --endMP 300:23346 --enddatetime 2017-07-31T02:30:26 --enforcementcount 0 &gt;&gt;C:\Users\stu\Documents\GitHub\eaglep3-reporting\EC\2017-07-30-refined-times.txt</v>
      </c>
      <c r="AI203" s="96" t="str">
        <f t="shared" si="58"/>
        <v>echo {"issue":{"subject":"","project_id":79,"tracker_id":40,"status_id":1,"priority_id":2,"assigned_to_id":23,"start_date":"2017-07-31","description":"","custom_fields":[{"id":1,"name":"Subdivision","value":"Other"},{"id":4,"name":"Milepost","value":"2.3346"},{"id":17,"name":"Train ID","value":"313-30"},{"id":16,"name":"Locomotive ID","value":"4046"},{"id":130,"name":"Impact","value":""},{"id":150,"name":"Time of Event (Mountain Time)","value":"02:30:26"},{"id":151,"name":"Denver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59"/>
        <v>start /low /b %USERPROFILE%\Documents\GitHub\eaglep3\Utilities\DownloadLogsFromS3.py --loco 4046 --day 2017-07-31</v>
      </c>
      <c r="AN203" s="151" t="str">
        <f t="shared" si="60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08:30:26"},{"id":29,"name":"Sharepoint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700</v>
      </c>
      <c r="B204" s="7">
        <v>4022</v>
      </c>
      <c r="C204" s="21" t="s">
        <v>198</v>
      </c>
      <c r="D204" s="21" t="s">
        <v>965</v>
      </c>
      <c r="E204" s="13">
        <v>42946.21775462963</v>
      </c>
      <c r="F204" s="13">
        <v>42946.222604166665</v>
      </c>
      <c r="G204" s="7">
        <v>6</v>
      </c>
      <c r="H204" s="21" t="s">
        <v>492</v>
      </c>
      <c r="I204" s="13">
        <v>42946.228379629632</v>
      </c>
      <c r="J204" s="7">
        <v>0</v>
      </c>
      <c r="K204" s="89" t="str">
        <f t="shared" si="45"/>
        <v>4021/4022</v>
      </c>
      <c r="L204" s="21" t="str">
        <f>VLOOKUP(A204,'Trips&amp;Operators'!$C$1:$G$99999,5,FALSE)</f>
        <v>DAVIDSON DAVID</v>
      </c>
      <c r="M204" s="6">
        <f t="shared" si="46"/>
        <v>5.7754629669943824E-3</v>
      </c>
      <c r="N204" s="7">
        <f t="shared" si="65"/>
        <v>8.3166666724719107</v>
      </c>
      <c r="O204" s="7"/>
      <c r="P204" s="7"/>
      <c r="Q204" s="22"/>
      <c r="R204" s="170"/>
      <c r="S204" s="213">
        <f t="shared" si="47"/>
        <v>0</v>
      </c>
      <c r="T204" s="195" t="str">
        <f t="shared" si="48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96" t="str">
        <f t="shared" si="49"/>
        <v>https://d0f6bd738d7f1b3e5a7ca70fe4ff75f0.us-east-1.aws.found.io/app/kibana#/discover/Steve-Slow-Train-Analysis-(2080s-and-2083s)?_g=(refreshInterval:(display:Off,pause:!f,section:0,value:0),time:(from:'2017-07-30T04:13:34-0600',mode:absolute,to:'2017-07-30T06:28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4" s="197" t="str">
        <f>IF(AA204&lt;VLOOKUP(AG204,Variables!$AC$3:$AD$8,2,FALSE),"Y","N")</f>
        <v>Y</v>
      </c>
      <c r="X204" s="197">
        <f t="shared" si="64"/>
        <v>1588</v>
      </c>
      <c r="Y204" s="197">
        <f t="shared" si="50"/>
        <v>3.0156999999999998</v>
      </c>
      <c r="Z204" s="197">
        <f t="shared" si="51"/>
        <v>5.8944000000000001</v>
      </c>
      <c r="AA204" s="197">
        <f t="shared" si="52"/>
        <v>2.8787000000000003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53"/>
        <v>1901</v>
      </c>
      <c r="AE204" s="77" t="str">
        <f t="shared" si="54"/>
        <v>aws s3 cp s3://rtdc.mdm.uploadarchive.raw/RTDC4022/ "%USERPROFILE%\AppData\Local\Temp\OnboardLogs"\RTDC4022\2017-07-30 --exclude "*" --recursive --include "*20170730*" &amp; "%USERPROFILE%\Documents\GitHub\mrs-test-scripts\Headless Mode &amp; Sideloading\WalkAndUnGZ.bat" "%USERPROFILE%\AppData\Local\Temp\OnboardLogs"\RTDC4022\2017-07-30 &amp; aws s3 cp s3://rtdc.mdm.uploadarchive.raw/RTDC4022/ "%USERPROFILE%\AppData\Local\Temp\OnboardLogs"\RTDC4022\2017-07-31 --exclude "*" --recursive --include "*20170731*" &amp; "%USERPROFILE%\Documents\GitHub\mrs-test-scripts\Headless Mode &amp; Sideloading\WalkAndUnGZ.bat" "%USERPROFILE%\AppData\Local\Temp\OnboardLogs"\RTDC4022\2017-07-31</v>
      </c>
      <c r="AF204" s="74" t="str">
        <f t="shared" si="55"/>
        <v>"C:\Program Files (x86)\AstroGrep\AstroGrep.exe" /e /r /s /spath="%USERPROFILE%\AppData\Local\Temp\OnboardLogs" /stypes="app*4022*20170730*" /stext=" 11:.+((SYSTEM_STATE.+slice.+state.+changed )|(ment ac)|(multiple cpu faults)|(system.+state.+changed )|(\[timeout)|(PRM\|1\|D)|(kpr)|(kdp)|(train st.+moving)|(\|lc)|(penalty))"</v>
      </c>
      <c r="AG204" s="209" t="str">
        <f t="shared" si="56"/>
        <v>Other</v>
      </c>
      <c r="AH204" s="78" t="str">
        <f t="shared" ref="AH204:AH219" si="66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1901-30 --locoid 4022 --swversion DE.1.0.9.0 --startMP 300:30157 --initTime 2017-07-30T05:13:34 --startdatetime 2017-07-30T05:20:33 --delay 6 --endMP 300:58944 --enddatetime 2017-07-30T05:28:52 --enforcementcount 0 &gt;&gt;C:\Users\stu\Documents\GitHub\eaglep3-reporting\EC\2017-07-30-refined-times.txt</v>
      </c>
      <c r="AI204" s="96" t="str">
        <f t="shared" ref="AI204:AI219" si="67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{"issue":{"subject":"","project_id":79,"tracker_id":40,"status_id":1,"priority_id":2,"assigned_to_id":23,"start_date":"2017-07-30","description":"","custom_fields":[{"id":1,"name":"Subdivision","value":"Other"},{"id":4,"name":"Milepost","value":"5.8944"},{"id":17,"name":"Train ID","value":"1901-30"},{"id":16,"name":"Locomotive ID","value":"4022"},{"id":130,"name":"Impact","value":""},{"id":150,"name":"Time of Event (Mountain Time)","value":"05:28:52"},{"id":151,"name":"Denver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ref="AM204:AM219" si="68">"start /low /b "&amp;dls3logs&amp;" --loco "&amp;B204&amp;" --day "&amp;TEXT(F204,"YYYY-MM-DD")</f>
        <v>start /low /b %USERPROFILE%\Documents\GitHub\eaglep3\Utilities\DownloadLogsFromS3.py --loco 4022 --day 2017-07-30</v>
      </c>
      <c r="AN204" s="151" t="str">
        <f t="shared" ref="AN204:AN219" si="69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11:28:52"},{"id":29,"name":"Sharepoint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s="20" customFormat="1" x14ac:dyDescent="0.25">
      <c r="A205" s="32" t="s">
        <v>850</v>
      </c>
      <c r="B205" s="7">
        <v>4021</v>
      </c>
      <c r="C205" s="21" t="s">
        <v>198</v>
      </c>
      <c r="D205" s="21" t="s">
        <v>966</v>
      </c>
      <c r="E205" s="13">
        <v>42946.942175925928</v>
      </c>
      <c r="F205" s="13">
        <v>25568.708333333332</v>
      </c>
      <c r="G205" s="7">
        <v>1</v>
      </c>
      <c r="H205" s="21" t="s">
        <v>967</v>
      </c>
      <c r="I205" s="13">
        <v>25568.708333333332</v>
      </c>
      <c r="J205" s="7">
        <v>0</v>
      </c>
      <c r="K205" s="89" t="str">
        <f t="shared" ref="K205:K219" si="70">IF(ISEVEN(B205),(B205-1)&amp;"/"&amp;B205,B205&amp;"/"&amp;(B205+1))</f>
        <v>4021/4022</v>
      </c>
      <c r="L205" s="21" t="str">
        <f>VLOOKUP(A205,'Trips&amp;Operators'!$C$1:$G$99999,5,FALSE)</f>
        <v>HOLCOMB KAMDEN</v>
      </c>
      <c r="M205" s="6">
        <f t="shared" ref="M205:M219" si="71">I205-F205</f>
        <v>0</v>
      </c>
      <c r="N205" s="7">
        <f t="shared" si="65"/>
        <v>0</v>
      </c>
      <c r="O205" s="7"/>
      <c r="P205" s="7"/>
      <c r="Q205" s="22"/>
      <c r="R205" s="170"/>
      <c r="S205" s="213">
        <f t="shared" ref="S205:S219" si="72">1/IF(AG205="EC",12,1)*SUM(U205:U205)</f>
        <v>0</v>
      </c>
      <c r="T205" s="195" t="str">
        <f t="shared" ref="T205:T219" si="73"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96" t="str">
        <f t="shared" ref="V205:V219" si="74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-07-30T21:36:44-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5" s="197" t="str">
        <f>IF(AA205&lt;VLOOKUP(AG205,Variables!$AC$3:$AD$8,2,FALSE),"Y","N")</f>
        <v>Y</v>
      </c>
      <c r="X205" s="197">
        <f t="shared" si="64"/>
        <v>1</v>
      </c>
      <c r="Y205" s="197">
        <f t="shared" ref="Y205:Y219" si="75">RIGHT(D205,LEN(D205)-4)/10000</f>
        <v>5.8678999999999997</v>
      </c>
      <c r="Z205" s="197">
        <f t="shared" ref="Z205:Z219" si="76">RIGHT(H205,LEN(H205)-4)/10000</f>
        <v>2.149</v>
      </c>
      <c r="AA205" s="197">
        <f t="shared" ref="AA205:AA219" si="77">ABS(Z205-Y205)</f>
        <v>3.7188999999999997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19" si="78">VALUE(LEFT(A205,LEN(A205)-3))</f>
        <v>1902</v>
      </c>
      <c r="AE205" s="77" t="str">
        <f t="shared" ref="AE205:AE219" si="7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s3://rtdc.mdm.uploadarchive.raw/RTDC4021/ "%USERPROFILE%\AppData\Local\Temp\OnboardLogs"\RTDC4021\1969-12-31 --exclude "*" --recursive --include "*19691231*" &amp; "%USERPROFILE%\Documents\GitHub\mrs-test-scripts\Headless Mode &amp; Sideloading\WalkAndUnGZ.bat" "%USERPROFILE%\AppData\Local\Temp\OnboardLogs"\RTDC4021\1969-12-31 &amp; aws s3 cp s3://rtdc.mdm.uploadarchive.raw/RTDC4021/ "%USERPROFILE%\AppData\Local\Temp\OnboardLogs"\RTDC4021\1970-01-01 --exclude "*" --recursive --include "*19700101*" &amp; "%USERPROFILE%\Documents\GitHub\mrs-test-scripts\Headless Mode &amp; Sideloading\WalkAndUnGZ.bat" "%USERPROFILE%\AppData\Local\Temp\OnboardLogs"\RTDC4021\1970-01-01</v>
      </c>
      <c r="AF205" s="74" t="str">
        <f t="shared" ref="AF205:AF219" si="80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/stypes="app*4021*19691231*" /stext=" 23:.+((SYSTEM_STATE.+slice.+state.+changed )|(ment ac)|(multiple cpu faults)|(system.+state.+changed )|(\[timeout)|(PRM\|1\|D)|(kpr)|(kdp)|(train st.+moving)|(\|lc)|(penalty))"</v>
      </c>
      <c r="AG205" s="209" t="str">
        <f t="shared" ref="AG205:AG219" si="81">DetSubdiv(A205)</f>
        <v>Other</v>
      </c>
      <c r="AH205" s="78" t="str">
        <f t="shared" si="66"/>
        <v>"%USERPROFILE%\Documents\GitHub\eaglep3\Utilities\RefineRTDCRunTimes.py" --tripid 1902-30 --locoid 4021 --swversion DE.1.0.9.0 --startMP 300:58679 --initTime 2017-07-30T22:36:44 --startdatetime 1969-12-31T17:00:00 --delay 1 --endMP 300:21490 --enddatetime 1969-12-31T17:00:00 --enforcementcount 0 &gt;&gt;C:\Users\stu\Documents\GitHub\eaglep3-reporting\EC\2017-07-30-refined-times.txt</v>
      </c>
      <c r="AI205" s="96" t="str">
        <f t="shared" si="67"/>
        <v>echo {"issue":{"subject":"","project_id":79,"tracker_id":40,"status_id":1,"priority_id":2,"assigned_to_id":23,"start_date":"1969-12-31","description":"","custom_fields":[{"id":1,"name":"Subdivision","value":"Other"},{"id":4,"name":"Milepost","value":"2.149"},{"id":17,"name":"Train ID","value":"1902-30"},{"id":16,"name":"Locomotive ID","value":"4021"},{"id":130,"name":"Impact","value":""},{"id":150,"name":"Time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68"/>
        <v>start /low /b %USERPROFILE%\Documents\GitHub\eaglep3\Utilities\DownloadLogsFromS3.py --loco 4021 --day 1969-12-31</v>
      </c>
      <c r="AN205" s="151" t="str">
        <f t="shared" si="69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2" t="s">
        <v>850</v>
      </c>
      <c r="B206" s="7">
        <v>4022</v>
      </c>
      <c r="C206" s="21" t="s">
        <v>198</v>
      </c>
      <c r="D206" s="21" t="s">
        <v>968</v>
      </c>
      <c r="E206" s="13">
        <v>42946.949872685182</v>
      </c>
      <c r="F206" s="13">
        <v>25568.708333333332</v>
      </c>
      <c r="G206" s="7">
        <v>1</v>
      </c>
      <c r="H206" s="21" t="s">
        <v>969</v>
      </c>
      <c r="I206" s="13">
        <v>25568.708333333332</v>
      </c>
      <c r="J206" s="7">
        <v>0</v>
      </c>
      <c r="K206" s="89" t="str">
        <f t="shared" si="70"/>
        <v>4021/4022</v>
      </c>
      <c r="L206" s="21" t="str">
        <f>VLOOKUP(A206,'Trips&amp;Operators'!$C$1:$G$99999,5,FALSE)</f>
        <v>HOLCOMB KAMDEN</v>
      </c>
      <c r="M206" s="6">
        <f t="shared" si="71"/>
        <v>0</v>
      </c>
      <c r="N206" s="7">
        <f t="shared" si="65"/>
        <v>0</v>
      </c>
      <c r="O206" s="7"/>
      <c r="P206" s="7"/>
      <c r="Q206" s="22"/>
      <c r="R206" s="170"/>
      <c r="S206" s="213">
        <f t="shared" si="72"/>
        <v>0</v>
      </c>
      <c r="T206" s="195" t="str">
        <f t="shared" si="73"/>
        <v>Southbound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96" t="str">
        <f t="shared" si="74"/>
        <v>https://d0f6bd738d7f1b3e5a7ca70fe4ff75f0.us-east-1.aws.found.io/app/kibana#/discover/Steve-Slow-Train-Analysis-(2080s-and-2083s)?_g=(refreshInterval:(display:Off,pause:!f,section:0,value:0),time:(from:'2017-07-30T21:47:49-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6" s="197" t="str">
        <f>IF(AA206&lt;VLOOKUP(AG206,Variables!$AC$3:$AD$8,2,FALSE),"Y","N")</f>
        <v>Y</v>
      </c>
      <c r="X206" s="197">
        <f t="shared" si="64"/>
        <v>0</v>
      </c>
      <c r="Y206" s="197">
        <f t="shared" si="75"/>
        <v>2.181</v>
      </c>
      <c r="Z206" s="197">
        <f t="shared" si="76"/>
        <v>2.1802999999999999</v>
      </c>
      <c r="AA206" s="197">
        <f t="shared" si="77"/>
        <v>7.0000000000014495E-4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78"/>
        <v>1902</v>
      </c>
      <c r="AE206" s="77" t="str">
        <f t="shared" si="79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06" s="74" t="str">
        <f t="shared" si="80"/>
        <v>"C:\Program Files (x86)\AstroGrep\AstroGrep.exe" /e /r /s /spath="%USERPROFILE%\AppData\Local\Temp\OnboardLogs" /stypes="app*4022*19691231*" /stext=" 23:.+((SYSTEM_STATE.+slice.+state.+changed )|(ment ac)|(multiple cpu faults)|(system.+state.+changed )|(\[timeout)|(PRM\|1\|D)|(kpr)|(kdp)|(train st.+moving)|(\|lc)|(penalty))"</v>
      </c>
      <c r="AG206" s="209" t="str">
        <f t="shared" si="81"/>
        <v>Other</v>
      </c>
      <c r="AH206" s="78" t="str">
        <f t="shared" si="66"/>
        <v>"%USERPROFILE%\Documents\GitHub\eaglep3\Utilities\RefineRTDCRunTimes.py" --tripid 1902-30 --locoid 4022 --swversion DE.1.0.9.0 --startMP 300:21810 --initTime 2017-07-30T22:47:49 --startdatetime 1969-12-31T17:00:00 --delay 1 --endMP 300:21803 --enddatetime 1969-12-31T17:00:00 --enforcementcount 0 &gt;&gt;C:\Users\stu\Documents\GitHub\eaglep3-reporting\EC\2017-07-30-refined-times.txt</v>
      </c>
      <c r="AI206" s="96" t="str">
        <f t="shared" si="67"/>
        <v>echo {"issue":{"subject":"","project_id":79,"tracker_id":40,"status_id":1,"priority_id":2,"assigned_to_id":23,"start_date":"1969-12-31","description":"","custom_fields":[{"id":1,"name":"Subdivision","value":"Other"},{"id":4,"name":"Milepost","value":"2.1803"},{"id":17,"name":"Train ID","value":"1902-30"},{"id":16,"name":"Locomotive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68"/>
        <v>start /low /b %USERPROFILE%\Documents\GitHub\eaglep3\Utilities\DownloadLogsFromS3.py --loco 4022 --day 1969-12-31</v>
      </c>
      <c r="AN206" s="151" t="str">
        <f t="shared" si="69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774</v>
      </c>
      <c r="B207" s="7">
        <v>4045</v>
      </c>
      <c r="C207" s="21" t="s">
        <v>198</v>
      </c>
      <c r="D207" s="21" t="s">
        <v>1005</v>
      </c>
      <c r="E207" s="13">
        <v>42946.531446759262</v>
      </c>
      <c r="F207" s="13">
        <v>42946.532638888886</v>
      </c>
      <c r="G207" s="7">
        <v>1</v>
      </c>
      <c r="H207" s="21" t="s">
        <v>600</v>
      </c>
      <c r="I207" s="13">
        <v>42946.533587962964</v>
      </c>
      <c r="J207" s="7">
        <v>0</v>
      </c>
      <c r="K207" s="89" t="str">
        <f t="shared" si="70"/>
        <v>4045/4046</v>
      </c>
      <c r="L207" s="21" t="str">
        <f>VLOOKUP(A207,'Trips&amp;Operators'!$C$1:$G$99999,5,FALSE)</f>
        <v>LOPES KIMBERLY</v>
      </c>
      <c r="M207" s="6">
        <f t="shared" si="71"/>
        <v>9.490740776527673E-4</v>
      </c>
      <c r="N207" s="7">
        <f t="shared" si="65"/>
        <v>1.3666666718199849</v>
      </c>
      <c r="O207" s="7"/>
      <c r="P207" s="7"/>
      <c r="Q207" s="22"/>
      <c r="R207" s="170"/>
      <c r="S207" s="213">
        <f t="shared" si="72"/>
        <v>0</v>
      </c>
      <c r="T207" s="195" t="str">
        <f t="shared" si="73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96" t="str">
        <f t="shared" si="74"/>
        <v>https://d0f6bd738d7f1b3e5a7ca70fe4ff75f0.us-east-1.aws.found.io/app/kibana#/discover/Steve-Slow-Train-Analysis-(2080s-and-2083s)?_g=(refreshInterval:(display:Off,pause:!f,section:0,value:0),time:(from:'2017-07-30T11:45:17-0600',mode:absolute,to:'2017-07-30T13:48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7" s="197" t="str">
        <f>IF(AA207&lt;VLOOKUP(AG207,Variables!$AC$3:$AD$8,2,FALSE),"Y","N")</f>
        <v>Y</v>
      </c>
      <c r="X207" s="197">
        <f t="shared" si="64"/>
        <v>-1852</v>
      </c>
      <c r="Y207" s="197">
        <f t="shared" si="75"/>
        <v>0.31709999999999999</v>
      </c>
      <c r="Z207" s="197">
        <f t="shared" si="76"/>
        <v>0.11559999999999999</v>
      </c>
      <c r="AA207" s="197">
        <f t="shared" si="77"/>
        <v>0.20150000000000001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78"/>
        <v>50</v>
      </c>
      <c r="AE207" s="77" t="str">
        <f t="shared" si="79"/>
        <v>aws s3 cp s3://rtdc.mdm.uploadarchive.raw/RTDC4045/ "%USERPROFILE%\AppData\Local\Temp\OnboardLogs"\RTDC4045\2017-07-30 --exclude "*" --recursive --include "*20170730*" &amp; "%USERPROFILE%\Documents\GitHub\mrs-test-scripts\Headless Mode &amp; Sideloading\WalkAndUnGZ.bat" "%USERPROFILE%\AppData\Local\Temp\OnboardLogs"\RTDC4045\2017-07-30 &amp; aws s3 cp s3://rtdc.mdm.uploadarchive.raw/RTDC4045/ "%USERPROFILE%\AppData\Local\Temp\OnboardLogs"\RTDC4045\2017-07-31 --exclude "*" --recursive --include "*20170731*" &amp; "%USERPROFILE%\Documents\GitHub\mrs-test-scripts\Headless Mode &amp; Sideloading\WalkAndUnGZ.bat" "%USERPROFILE%\AppData\Local\Temp\OnboardLogs"\RTDC4045\2017-07-31</v>
      </c>
      <c r="AF207" s="74" t="str">
        <f t="shared" si="80"/>
        <v>"C:\Program Files (x86)\AstroGrep\AstroGrep.exe" /e /r /s /spath="%USERPROFILE%\AppData\Local\Temp\OnboardLogs" /stypes="app*4045*20170730*" /stext=" 18:.+((SYSTEM_STATE.+slice.+state.+changed )|(ment ac)|(multiple cpu faults)|(system.+state.+changed )|(\[timeout)|(PRM\|1\|D)|(kpr)|(kdp)|(train st.+moving)|(\|lc)|(penalty))"</v>
      </c>
      <c r="AG207" s="209" t="str">
        <f t="shared" si="81"/>
        <v>Shuttle/Test</v>
      </c>
      <c r="AH207" s="78" t="str">
        <f t="shared" si="66"/>
        <v>"%USERPROFILE%\Documents\GitHub\eaglep3\Utilities\RefineRTDCRunTimes.py" --tripid 50-30 --locoid 4045 --swversion DE.1.0.9.0 --startMP 204:3171 --initTime 2017-07-30T12:45:17 --startdatetime 2017-07-30T12:47:00 --delay 1 --endMP 204:1156 --enddatetime 2017-07-30T12:48:22 --enforcementcount 0 &gt;&gt;C:\Users\stu\Documents\GitHub\eaglep3-reporting\EC\2017-07-30-refined-times.txt</v>
      </c>
      <c r="AI207" s="96" t="str">
        <f t="shared" si="67"/>
        <v>echo {"issue":{"subject":"","project_id":79,"tracker_id":40,"status_id":1,"priority_id":2,"assigned_to_id":23,"start_date":"2017-07-30","description":"","custom_fields":[{"id":1,"name":"Subdivision","value":"Shuttle/Test"},{"id":4,"name":"Milepost","value":"0.1156"},{"id":17,"name":"Train ID","value":"50-30"},{"id":16,"name":"Locomotive ID","value":"4045"},{"id":130,"name":"Impact","value":""},{"id":150,"name":"Time of Event (Mountain Time)","value":"12:48:22"},{"id":151,"name":"Denver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68"/>
        <v>start /low /b %USERPROFILE%\Documents\GitHub\eaglep3\Utilities\DownloadLogsFromS3.py --loco 4045 --day 2017-07-30</v>
      </c>
      <c r="AN207" s="151" t="str">
        <f t="shared" si="69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18:48:22"},{"id":29,"name":"Sharepoint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s="20" customFormat="1" x14ac:dyDescent="0.25">
      <c r="A208" s="32" t="s">
        <v>774</v>
      </c>
      <c r="B208" s="7">
        <v>4046</v>
      </c>
      <c r="C208" s="21" t="s">
        <v>198</v>
      </c>
      <c r="D208" s="21" t="s">
        <v>460</v>
      </c>
      <c r="E208" s="13">
        <v>42946.524224537039</v>
      </c>
      <c r="F208" s="13">
        <v>42946.532638888886</v>
      </c>
      <c r="G208" s="7">
        <v>1</v>
      </c>
      <c r="H208" s="21" t="s">
        <v>1006</v>
      </c>
      <c r="I208" s="13">
        <v>42946.533587962964</v>
      </c>
      <c r="J208" s="7">
        <v>0</v>
      </c>
      <c r="K208" s="89" t="str">
        <f t="shared" si="70"/>
        <v>4045/4046</v>
      </c>
      <c r="L208" s="21" t="str">
        <f>VLOOKUP(A208,'Trips&amp;Operators'!$C$1:$G$99999,5,FALSE)</f>
        <v>LOPES KIMBERLY</v>
      </c>
      <c r="M208" s="6">
        <f t="shared" si="71"/>
        <v>9.490740776527673E-4</v>
      </c>
      <c r="N208" s="7">
        <f t="shared" si="65"/>
        <v>1.3666666718199849</v>
      </c>
      <c r="O208" s="7"/>
      <c r="P208" s="7"/>
      <c r="Q208" s="22"/>
      <c r="R208" s="170"/>
      <c r="S208" s="213">
        <f t="shared" si="72"/>
        <v>0</v>
      </c>
      <c r="T208" s="195" t="str">
        <f t="shared" si="73"/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96" t="str">
        <f t="shared" si="74"/>
        <v>https://d0f6bd738d7f1b3e5a7ca70fe4ff75f0.us-east-1.aws.found.io/app/kibana#/discover/Steve-Slow-Train-Analysis-(2080s-and-2083s)?_g=(refreshInterval:(display:Off,pause:!f,section:0,value:0),time:(from:'2017-07-30T11:34:53-0600',mode:absolute,to:'2017-07-30T13:48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8" s="197" t="str">
        <f>IF(AA208&lt;VLOOKUP(AG208,Variables!$AC$3:$AD$8,2,FALSE),"Y","N")</f>
        <v>Y</v>
      </c>
      <c r="X208" s="197">
        <f t="shared" si="64"/>
        <v>0</v>
      </c>
      <c r="Y208" s="197">
        <f t="shared" si="75"/>
        <v>4.3999999999999997E-2</v>
      </c>
      <c r="Z208" s="197">
        <f t="shared" si="76"/>
        <v>0.34710000000000002</v>
      </c>
      <c r="AA208" s="197">
        <f t="shared" si="77"/>
        <v>0.30310000000000004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78"/>
        <v>50</v>
      </c>
      <c r="AE208" s="77" t="str">
        <f t="shared" si="79"/>
        <v>aws s3 cp s3://rtdc.mdm.uploadarchive.raw/RTDC4046/ "%USERPROFILE%\AppData\Local\Temp\OnboardLogs"\RTDC4046\2017-07-30 --exclude "*" --recursive --include "*20170730*" &amp; "%USERPROFILE%\Documents\GitHub\mrs-test-scripts\Headless Mode &amp; Sideloading\WalkAndUnGZ.bat" "%USERPROFILE%\AppData\Local\Temp\OnboardLogs"\RTDC4046\2017-07-30 &amp; aws s3 cp s3://rtdc.mdm.uploadarchive.raw/RTDC4046/ "%USERPROFILE%\AppData\Local\Temp\OnboardLogs"\RTDC4046\2017-07-31 --exclude "*" --recursive --include "*20170731*" &amp; "%USERPROFILE%\Documents\GitHub\mrs-test-scripts\Headless Mode &amp; Sideloading\WalkAndUnGZ.bat" "%USERPROFILE%\AppData\Local\Temp\OnboardLogs"\RTDC4046\2017-07-31</v>
      </c>
      <c r="AF208" s="74" t="str">
        <f t="shared" si="80"/>
        <v>"C:\Program Files (x86)\AstroGrep\AstroGrep.exe" /e /r /s /spath="%USERPROFILE%\AppData\Local\Temp\OnboardLogs" /stypes="app*4046*20170730*" /stext=" 18:.+((SYSTEM_STATE.+slice.+state.+changed )|(ment ac)|(multiple cpu faults)|(system.+state.+changed )|(\[timeout)|(PRM\|1\|D)|(kpr)|(kdp)|(train st.+moving)|(\|lc)|(penalty))"</v>
      </c>
      <c r="AG208" s="209" t="str">
        <f t="shared" si="81"/>
        <v>Shuttle/Test</v>
      </c>
      <c r="AH208" s="78" t="str">
        <f t="shared" si="66"/>
        <v>"%USERPROFILE%\Documents\GitHub\eaglep3\Utilities\RefineRTDCRunTimes.py" --tripid 50-30 --locoid 4046 --swversion DE.1.0.9.0 --startMP 204:440 --initTime 2017-07-30T12:34:53 --startdatetime 2017-07-30T12:47:00 --delay 1 --endMP 204:3471 --enddatetime 2017-07-30T12:48:22 --enforcementcount 0 &gt;&gt;C:\Users\stu\Documents\GitHub\eaglep3-reporting\EC\2017-07-30-refined-times.txt</v>
      </c>
      <c r="AI208" s="96" t="str">
        <f t="shared" si="67"/>
        <v>echo {"issue":{"subject":"","project_id":79,"tracker_id":40,"status_id":1,"priority_id":2,"assigned_to_id":23,"start_date":"2017-07-30","description":"","custom_fields":[{"id":1,"name":"Subdivision","value":"Shuttle/Test"},{"id":4,"name":"Milepost","value":"0.3471"},{"id":17,"name":"Train ID","value":"50-30"},{"id":16,"name":"Locomotive ID","value":"4046"},{"id":130,"name":"Impact","value":""},{"id":150,"name":"Time of Event (Mountain Time)","value":"12:48:22"},{"id":151,"name":"Denver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8" s="47"/>
      <c r="AL208" s="47"/>
      <c r="AM208" s="142" t="str">
        <f t="shared" si="68"/>
        <v>start /low /b %USERPROFILE%\Documents\GitHub\eaglep3\Utilities\DownloadLogsFromS3.py --loco 4046 --day 2017-07-30</v>
      </c>
      <c r="AN208" s="151" t="str">
        <f t="shared" si="69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18:48:22"},{"id":29,"name":"Sharepoint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 s="32" t="s">
        <v>679</v>
      </c>
      <c r="B209" s="7">
        <v>4006</v>
      </c>
      <c r="C209" s="21" t="s">
        <v>198</v>
      </c>
      <c r="D209" s="21" t="s">
        <v>1007</v>
      </c>
      <c r="E209" s="13">
        <v>42946.484039351853</v>
      </c>
      <c r="F209" s="13">
        <v>42946.485266203701</v>
      </c>
      <c r="G209" s="7">
        <v>1</v>
      </c>
      <c r="H209" s="21" t="s">
        <v>1008</v>
      </c>
      <c r="I209" s="13">
        <v>42946.492025462961</v>
      </c>
      <c r="J209" s="7">
        <v>0</v>
      </c>
      <c r="K209" s="89" t="str">
        <f t="shared" si="70"/>
        <v>4005/4006</v>
      </c>
      <c r="L209" s="21" t="str">
        <f>VLOOKUP(A209,'Trips&amp;Operators'!$C$1:$G$99999,5,FALSE)</f>
        <v>CHANDLER KELVIN</v>
      </c>
      <c r="M209" s="6">
        <f t="shared" si="71"/>
        <v>6.7592592604341917E-3</v>
      </c>
      <c r="N209" s="7">
        <f t="shared" si="65"/>
        <v>9.733333335025236</v>
      </c>
      <c r="O209" s="7"/>
      <c r="P209" s="7"/>
      <c r="Q209" s="22"/>
      <c r="R209" s="170"/>
      <c r="S209" s="213">
        <f t="shared" si="72"/>
        <v>1</v>
      </c>
      <c r="T209" s="195" t="str">
        <f t="shared" si="73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74"/>
        <v>https://d0f6bd738d7f1b3e5a7ca70fe4ff75f0.us-east-1.aws.found.io/app/kibana#/discover/Steve-Slow-Train-Analysis-(2080s-and-2083s)?_g=(refreshInterval:(display:Off,pause:!f,section:0,value:0),time:(from:'2017-07-30T10:37:01-0600',mode:absolute,to:'2017-07-30T12:48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9" s="197" t="str">
        <f>IF(AA209&lt;VLOOKUP(AG209,Variables!$AC$3:$AD$8,2,FALSE),"Y","N")</f>
        <v>Y</v>
      </c>
      <c r="X209" s="197">
        <f t="shared" si="64"/>
        <v>1</v>
      </c>
      <c r="Y209" s="197">
        <f t="shared" si="75"/>
        <v>6.4699999999999994E-2</v>
      </c>
      <c r="Z209" s="197">
        <f t="shared" si="76"/>
        <v>2.407</v>
      </c>
      <c r="AA209" s="197">
        <f t="shared" si="77"/>
        <v>2.3422999999999998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78"/>
        <v>51</v>
      </c>
      <c r="AE209" s="77" t="str">
        <f t="shared" si="79"/>
        <v>aws s3 cp s3://rtdc.mdm.uploadarchive.raw/RTDC4006/ "%USERPROFILE%\AppData\Local\Temp\OnboardLogs"\RTDC4006\2017-07-30 --exclude "*" --recursive --include "*20170730*" &amp; "%USERPROFILE%\Documents\GitHub\mrs-test-scripts\Headless Mode &amp; Sideloading\WalkAndUnGZ.bat" "%USERPROFILE%\AppData\Local\Temp\OnboardLogs"\RTDC4006\2017-07-30 &amp; aws s3 cp s3://rtdc.mdm.uploadarchive.raw/RTDC4006/ "%USERPROFILE%\AppData\Local\Temp\OnboardLogs"\RTDC4006\2017-07-31 --exclude "*" --recursive --include "*20170731*" &amp; "%USERPROFILE%\Documents\GitHub\mrs-test-scripts\Headless Mode &amp; Sideloading\WalkAndUnGZ.bat" "%USERPROFILE%\AppData\Local\Temp\OnboardLogs"\RTDC4006\2017-07-31</v>
      </c>
      <c r="AF209" s="74" t="str">
        <f t="shared" si="80"/>
        <v>"C:\Program Files (x86)\AstroGrep\AstroGrep.exe" /e /r /s /spath="%USERPROFILE%\AppData\Local\Temp\OnboardLogs" /stypes="app*4006*20170730*" /stext=" 17:.+((SYSTEM_STATE.+slice.+state.+changed )|(ment ac)|(multiple cpu faults)|(system.+state.+changed )|(\[timeout)|(PRM\|1\|D)|(kpr)|(kdp)|(train st.+moving)|(\|lc)|(penalty))"</v>
      </c>
      <c r="AG209" s="209" t="str">
        <f t="shared" si="81"/>
        <v>Shuttle/Test</v>
      </c>
      <c r="AH209" s="78" t="str">
        <f t="shared" si="66"/>
        <v>"%USERPROFILE%\Documents\GitHub\eaglep3\Utilities\RefineRTDCRunTimes.py" --tripid 51-30 --locoid 4006 --swversion DE.1.0.9.0 --startMP 204:647 --initTime 2017-07-30T11:37:01 --startdatetime 2017-07-30T11:38:47 --delay 1 --endMP 300:24070 --enddatetime 2017-07-30T11:48:31 --enforcementcount 0 &gt;&gt;C:\Users\stu\Documents\GitHub\eaglep3-reporting\EC\2017-07-30-refined-times.txt</v>
      </c>
      <c r="AI209" s="96" t="str">
        <f t="shared" si="67"/>
        <v>echo {"issue":{"subject":"","project_id":79,"tracker_id":40,"status_id":1,"priority_id":2,"assigned_to_id":23,"start_date":"2017-07-30","description":"","custom_fields":[{"id":1,"name":"Subdivision","value":"Shuttle/Test"},{"id":4,"name":"Milepost","value":"2.407"},{"id":17,"name":"Train ID","value":"51-30"},{"id":16,"name":"Locomotive ID","value":"4006"},{"id":130,"name":"Impact","value":""},{"id":150,"name":"Time of Event (Mountain Time)","value":"11:48:31"},{"id":151,"name":"Denver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68"/>
        <v>start /low /b %USERPROFILE%\Documents\GitHub\eaglep3\Utilities\DownloadLogsFromS3.py --loco 4006 --day 2017-07-30</v>
      </c>
      <c r="AN209" s="151" t="str">
        <f t="shared" si="69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17:48:31"},{"id":29,"name":"Sharepoint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679</v>
      </c>
      <c r="B210" s="7">
        <v>4058</v>
      </c>
      <c r="C210" s="21" t="s">
        <v>198</v>
      </c>
      <c r="D210" s="21" t="s">
        <v>447</v>
      </c>
      <c r="E210" s="13">
        <v>42946.141226851854</v>
      </c>
      <c r="F210" s="13">
        <v>42946.14603009259</v>
      </c>
      <c r="G210" s="7">
        <v>1</v>
      </c>
      <c r="H210" s="21" t="s">
        <v>1009</v>
      </c>
      <c r="I210" s="13">
        <v>42946.147106481483</v>
      </c>
      <c r="J210" s="7">
        <v>0</v>
      </c>
      <c r="K210" s="89" t="str">
        <f t="shared" si="70"/>
        <v>4057/4058</v>
      </c>
      <c r="L210" s="21" t="str">
        <f>VLOOKUP(A210,'Trips&amp;Operators'!$C$1:$G$99999,5,FALSE)</f>
        <v>CHANDLER KELVIN</v>
      </c>
      <c r="M210" s="6">
        <f t="shared" si="71"/>
        <v>1.0763888931251131E-3</v>
      </c>
      <c r="N210" s="7">
        <f t="shared" si="65"/>
        <v>1.5500000061001629</v>
      </c>
      <c r="O210" s="7"/>
      <c r="P210" s="7"/>
      <c r="Q210" s="22"/>
      <c r="R210" s="170"/>
      <c r="S210" s="213">
        <f t="shared" si="72"/>
        <v>0</v>
      </c>
      <c r="T210" s="195" t="str">
        <f t="shared" si="73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96" t="str">
        <f t="shared" si="74"/>
        <v>https://d0f6bd738d7f1b3e5a7ca70fe4ff75f0.us-east-1.aws.found.io/app/kibana#/discover/Steve-Slow-Train-Analysis-(2080s-and-2083s)?_g=(refreshInterval:(display:Off,pause:!f,section:0,value:0),time:(from:'2017-07-30T02:23:22-0600',mode:absolute,to:'2017-07-30T04:31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0" s="197" t="str">
        <f>IF(AA210&lt;VLOOKUP(AG210,Variables!$AC$3:$AD$8,2,FALSE),"Y","N")</f>
        <v>Y</v>
      </c>
      <c r="X210" s="197">
        <f t="shared" si="64"/>
        <v>0</v>
      </c>
      <c r="Y210" s="197">
        <f t="shared" si="75"/>
        <v>4.4200000000000003E-2</v>
      </c>
      <c r="Z210" s="197">
        <f t="shared" si="76"/>
        <v>0.35010000000000002</v>
      </c>
      <c r="AA210" s="197">
        <f t="shared" si="77"/>
        <v>0.30590000000000001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78"/>
        <v>51</v>
      </c>
      <c r="AE210" s="77" t="str">
        <f t="shared" si="79"/>
        <v>aws s3 cp s3://rtdc.mdm.uploadarchive.raw/RTDC4058/ "%USERPROFILE%\AppData\Local\Temp\OnboardLogs"\RTDC4058\2017-07-30 --exclude "*" --recursive --include "*20170730*" &amp; "%USERPROFILE%\Documents\GitHub\mrs-test-scripts\Headless Mode &amp; Sideloading\WalkAndUnGZ.bat" "%USERPROFILE%\AppData\Local\Temp\OnboardLogs"\RTDC4058\2017-07-30 &amp; aws s3 cp s3://rtdc.mdm.uploadarchive.raw/RTDC4058/ "%USERPROFILE%\AppData\Local\Temp\OnboardLogs"\RTDC4058\2017-07-31 --exclude "*" --recursive --include "*20170731*" &amp; "%USERPROFILE%\Documents\GitHub\mrs-test-scripts\Headless Mode &amp; Sideloading\WalkAndUnGZ.bat" "%USERPROFILE%\AppData\Local\Temp\OnboardLogs"\RTDC4058\2017-07-31</v>
      </c>
      <c r="AF210" s="74" t="str">
        <f t="shared" si="80"/>
        <v>"C:\Program Files (x86)\AstroGrep\AstroGrep.exe" /e /r /s /spath="%USERPROFILE%\AppData\Local\Temp\OnboardLogs" /stypes="app*4058*20170730*" /stext=" 09:.+((SYSTEM_STATE.+slice.+state.+changed )|(ment ac)|(multiple cpu faults)|(system.+state.+changed )|(\[timeout)|(PRM\|1\|D)|(kpr)|(kdp)|(train st.+moving)|(\|lc)|(penalty))"</v>
      </c>
      <c r="AG210" s="209" t="str">
        <f t="shared" si="81"/>
        <v>Shuttle/Test</v>
      </c>
      <c r="AH210" s="78" t="str">
        <f t="shared" si="66"/>
        <v>"%USERPROFILE%\Documents\GitHub\eaglep3\Utilities\RefineRTDCRunTimes.py" --tripid 51-30 --locoid 4058 --swversion DE.1.0.9.0 --startMP 204:442 --initTime 2017-07-30T03:23:22 --startdatetime 2017-07-30T03:30:17 --delay 1 --endMP 204:3501 --enddatetime 2017-07-30T03:31:50 --enforcementcount 0 &gt;&gt;C:\Users\stu\Documents\GitHub\eaglep3-reporting\EC\2017-07-30-refined-times.txt</v>
      </c>
      <c r="AI210" s="96" t="str">
        <f t="shared" si="67"/>
        <v>echo {"issue":{"subject":"","project_id":79,"tracker_id":40,"status_id":1,"priority_id":2,"assigned_to_id":23,"start_date":"2017-07-30","description":"","custom_fields":[{"id":1,"name":"Subdivision","value":"Shuttle/Test"},{"id":4,"name":"Milepost","value":"0.3501"},{"id":17,"name":"Train ID","value":"51-30"},{"id":16,"name":"Locomotive ID","value":"4058"},{"id":130,"name":"Impact","value":""},{"id":150,"name":"Time of Event (Mountain Time)","value":"03:31:50"},{"id":151,"name":"Denver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68"/>
        <v>start /low /b %USERPROFILE%\Documents\GitHub\eaglep3\Utilities\DownloadLogsFromS3.py --loco 4058 --day 2017-07-30</v>
      </c>
      <c r="AN210" s="151" t="str">
        <f t="shared" si="69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09:31:50"},{"id":29,"name":"Sharepoint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682</v>
      </c>
      <c r="B211" s="7">
        <v>4057</v>
      </c>
      <c r="C211" s="21" t="s">
        <v>198</v>
      </c>
      <c r="D211" s="21" t="s">
        <v>1010</v>
      </c>
      <c r="E211" s="13">
        <v>42946.144687499997</v>
      </c>
      <c r="F211" s="13">
        <v>42946.14603009259</v>
      </c>
      <c r="G211" s="7">
        <v>1</v>
      </c>
      <c r="H211" s="21" t="s">
        <v>522</v>
      </c>
      <c r="I211" s="13">
        <v>42946.147106481483</v>
      </c>
      <c r="J211" s="7">
        <v>0</v>
      </c>
      <c r="K211" s="89" t="str">
        <f t="shared" si="70"/>
        <v>4057/4058</v>
      </c>
      <c r="L211" s="21" t="str">
        <f>VLOOKUP(A211,'Trips&amp;Operators'!$C$1:$G$99999,5,FALSE)</f>
        <v>CHANDLER KELVIN</v>
      </c>
      <c r="M211" s="6">
        <f t="shared" si="71"/>
        <v>1.0763888931251131E-3</v>
      </c>
      <c r="N211" s="7">
        <f t="shared" si="65"/>
        <v>1.5500000061001629</v>
      </c>
      <c r="O211" s="7"/>
      <c r="P211" s="7"/>
      <c r="Q211" s="22"/>
      <c r="R211" s="170"/>
      <c r="S211" s="213">
        <f t="shared" si="72"/>
        <v>0</v>
      </c>
      <c r="T211" s="195" t="str">
        <f t="shared" si="73"/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6" t="str">
        <f t="shared" si="74"/>
        <v>https://d0f6bd738d7f1b3e5a7ca70fe4ff75f0.us-east-1.aws.found.io/app/kibana#/discover/Steve-Slow-Train-Analysis-(2080s-and-2083s)?_g=(refreshInterval:(display:Off,pause:!f,section:0,value:0),time:(from:'2017-07-30T02:28:21-0600',mode:absolute,to:'2017-07-30T04:31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1" s="197" t="str">
        <f>IF(AA211&lt;VLOOKUP(AG211,Variables!$AC$3:$AD$8,2,FALSE),"Y","N")</f>
        <v>Y</v>
      </c>
      <c r="X211" s="197">
        <f t="shared" si="64"/>
        <v>1</v>
      </c>
      <c r="Y211" s="197">
        <f t="shared" si="75"/>
        <v>0.31769999999999998</v>
      </c>
      <c r="Z211" s="197">
        <f t="shared" si="76"/>
        <v>0.1164</v>
      </c>
      <c r="AA211" s="197">
        <f t="shared" si="77"/>
        <v>0.20129999999999998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78"/>
        <v>52</v>
      </c>
      <c r="AE211" s="77" t="str">
        <f t="shared" si="79"/>
        <v>aws s3 cp s3://rtdc.mdm.uploadarchive.raw/RTDC4057/ "%USERPROFILE%\AppData\Local\Temp\OnboardLogs"\RTDC4057\2017-07-30 --exclude "*" --recursive --include "*20170730*" &amp; "%USERPROFILE%\Documents\GitHub\mrs-test-scripts\Headless Mode &amp; Sideloading\WalkAndUnGZ.bat" "%USERPROFILE%\AppData\Local\Temp\OnboardLogs"\RTDC4057\2017-07-30 &amp; aws s3 cp s3://rtdc.mdm.uploadarchive.raw/RTDC4057/ "%USERPROFILE%\AppData\Local\Temp\OnboardLogs"\RTDC4057\2017-07-31 --exclude "*" --recursive --include "*20170731*" &amp; "%USERPROFILE%\Documents\GitHub\mrs-test-scripts\Headless Mode &amp; Sideloading\WalkAndUnGZ.bat" "%USERPROFILE%\AppData\Local\Temp\OnboardLogs"\RTDC4057\2017-07-31</v>
      </c>
      <c r="AF211" s="74" t="str">
        <f t="shared" si="80"/>
        <v>"C:\Program Files (x86)\AstroGrep\AstroGrep.exe" /e /r /s /spath="%USERPROFILE%\AppData\Local\Temp\OnboardLogs" /stypes="app*4057*20170730*" /stext=" 09:.+((SYSTEM_STATE.+slice.+state.+changed )|(ment ac)|(multiple cpu faults)|(system.+state.+changed )|(\[timeout)|(PRM\|1\|D)|(kpr)|(kdp)|(train st.+moving)|(\|lc)|(penalty))"</v>
      </c>
      <c r="AG211" s="209" t="str">
        <f t="shared" si="81"/>
        <v>Shuttle/Test</v>
      </c>
      <c r="AH211" s="78" t="str">
        <f t="shared" si="66"/>
        <v>"%USERPROFILE%\Documents\GitHub\eaglep3\Utilities\RefineRTDCRunTimes.py" --tripid 52-30 --locoid 4057 --swversion DE.1.0.9.0 --startMP 204:3177 --initTime 2017-07-30T03:28:21 --startdatetime 2017-07-30T03:30:17 --delay 1 --endMP 204:1164 --enddatetime 2017-07-30T03:31:50 --enforcementcount 0 &gt;&gt;C:\Users\stu\Documents\GitHub\eaglep3-reporting\EC\2017-07-30-refined-times.txt</v>
      </c>
      <c r="AI211" s="96" t="str">
        <f t="shared" si="67"/>
        <v>echo {"issue":{"subject":"","project_id":79,"tracker_id":40,"status_id":1,"priority_id":2,"assigned_to_id":23,"start_date":"2017-07-30","description":"","custom_fields":[{"id":1,"name":"Subdivision","value":"Shuttle/Test"},{"id":4,"name":"Milepost","value":"0.1164"},{"id":17,"name":"Train ID","value":"52-30"},{"id":16,"name":"Locomotive ID","value":"4057"},{"id":130,"name":"Impact","value":""},{"id":150,"name":"Time of Event (Mountain Time)","value":"03:31:50"},{"id":151,"name":"Denver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68"/>
        <v>start /low /b %USERPROFILE%\Documents\GitHub\eaglep3\Utilities\DownloadLogsFromS3.py --loco 4057 --day 2017-07-30</v>
      </c>
      <c r="AN211" s="151" t="str">
        <f t="shared" si="69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09:31:50"},{"id":29,"name":"Sharepoint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748</v>
      </c>
      <c r="B212" s="7">
        <v>4045</v>
      </c>
      <c r="C212" s="21" t="s">
        <v>198</v>
      </c>
      <c r="D212" s="21" t="s">
        <v>1011</v>
      </c>
      <c r="E212" s="13">
        <v>42946.419189814813</v>
      </c>
      <c r="F212" s="13">
        <v>42946.4215625</v>
      </c>
      <c r="G212" s="7">
        <v>3</v>
      </c>
      <c r="H212" s="21" t="s">
        <v>342</v>
      </c>
      <c r="I212" s="13">
        <v>42946.430995370371</v>
      </c>
      <c r="J212" s="7">
        <v>0</v>
      </c>
      <c r="K212" s="89" t="str">
        <f t="shared" si="70"/>
        <v>4045/4046</v>
      </c>
      <c r="L212" s="21" t="str">
        <f>VLOOKUP(A212,'Trips&amp;Operators'!$C$1:$G$99999,5,FALSE)</f>
        <v>BROWN JACOB</v>
      </c>
      <c r="M212" s="6">
        <f t="shared" si="71"/>
        <v>9.4328703708015382E-3</v>
      </c>
      <c r="N212" s="7">
        <f t="shared" si="65"/>
        <v>13.583333333954215</v>
      </c>
      <c r="O212" s="7"/>
      <c r="P212" s="7"/>
      <c r="Q212" s="22"/>
      <c r="R212" s="170"/>
      <c r="S212" s="213">
        <f t="shared" si="72"/>
        <v>1</v>
      </c>
      <c r="T212" s="195" t="str">
        <f t="shared" si="73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74"/>
        <v>https://d0f6bd738d7f1b3e5a7ca70fe4ff75f0.us-east-1.aws.found.io/app/kibana#/discover/Steve-Slow-Train-Analysis-(2080s-and-2083s)?_g=(refreshInterval:(display:Off,pause:!f,section:0,value:0),time:(from:'2017-07-30T09:03:38-0600',mode:absolute,to:'2017-07-30T11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2" s="197" t="str">
        <f>IF(AA212&lt;VLOOKUP(AG212,Variables!$AC$3:$AD$8,2,FALSE),"Y","N")</f>
        <v>Y</v>
      </c>
      <c r="X212" s="197">
        <f t="shared" si="64"/>
        <v>2</v>
      </c>
      <c r="Y212" s="197">
        <f t="shared" si="75"/>
        <v>2.2141999999999999</v>
      </c>
      <c r="Z212" s="197">
        <f t="shared" si="76"/>
        <v>1.49E-2</v>
      </c>
      <c r="AA212" s="197">
        <f t="shared" si="77"/>
        <v>2.1993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78"/>
        <v>54</v>
      </c>
      <c r="AE212" s="77" t="str">
        <f t="shared" si="79"/>
        <v>aws s3 cp s3://rtdc.mdm.uploadarchive.raw/RTDC4045/ "%USERPROFILE%\AppData\Local\Temp\OnboardLogs"\RTDC4045\2017-07-30 --exclude "*" --recursive --include "*20170730*" &amp; "%USERPROFILE%\Documents\GitHub\mrs-test-scripts\Headless Mode &amp; Sideloading\WalkAndUnGZ.bat" "%USERPROFILE%\AppData\Local\Temp\OnboardLogs"\RTDC4045\2017-07-30 &amp; aws s3 cp s3://rtdc.mdm.uploadarchive.raw/RTDC4045/ "%USERPROFILE%\AppData\Local\Temp\OnboardLogs"\RTDC4045\2017-07-31 --exclude "*" --recursive --include "*20170731*" &amp; "%USERPROFILE%\Documents\GitHub\mrs-test-scripts\Headless Mode &amp; Sideloading\WalkAndUnGZ.bat" "%USERPROFILE%\AppData\Local\Temp\OnboardLogs"\RTDC4045\2017-07-31</v>
      </c>
      <c r="AF212" s="74" t="str">
        <f t="shared" si="80"/>
        <v>"C:\Program Files (x86)\AstroGrep\AstroGrep.exe" /e /r /s /spath="%USERPROFILE%\AppData\Local\Temp\OnboardLogs" /stypes="app*4045*20170730*" /stext=" 16:.+((SYSTEM_STATE.+slice.+state.+changed )|(ment ac)|(multiple cpu faults)|(system.+state.+changed )|(\[timeout)|(PRM\|1\|D)|(kpr)|(kdp)|(train st.+moving)|(\|lc)|(penalty))"</v>
      </c>
      <c r="AG212" s="209" t="str">
        <f t="shared" si="81"/>
        <v>Shuttle/Test</v>
      </c>
      <c r="AH212" s="78" t="str">
        <f t="shared" si="66"/>
        <v>"%USERPROFILE%\Documents\GitHub\eaglep3\Utilities\RefineRTDCRunTimes.py" --tripid 54-30 --locoid 4045 --swversion DE.1.0.9.0 --startMP 300:22142 --initTime 2017-07-30T10:03:38 --startdatetime 2017-07-30T10:07:03 --delay 3 --endMP 204:149 --enddatetime 2017-07-30T10:20:38 --enforcementcount 0 &gt;&gt;C:\Users\stu\Documents\GitHub\eaglep3-reporting\EC\2017-07-30-refined-times.txt</v>
      </c>
      <c r="AI212" s="96" t="str">
        <f t="shared" si="67"/>
        <v>echo {"issue":{"subject":"","project_id":79,"tracker_id":40,"status_id":1,"priority_id":2,"assigned_to_id":23,"start_date":"2017-07-30","description":"","custom_fields":[{"id":1,"name":"Subdivision","value":"Shuttle/Test"},{"id":4,"name":"Milepost","value":"0.0149"},{"id":17,"name":"Train ID","value":"54-30"},{"id":16,"name":"Locomotive ID","value":"4045"},{"id":130,"name":"Impact","value":""},{"id":150,"name":"Time of Event (Mountain Time)","value":"10:20:38"},{"id":151,"name":"Denver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68"/>
        <v>start /low /b %USERPROFILE%\Documents\GitHub\eaglep3\Utilities\DownloadLogsFromS3.py --loco 4045 --day 2017-07-30</v>
      </c>
      <c r="AN212" s="151" t="str">
        <f t="shared" si="69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16:20:38"},{"id":29,"name":"Sharepoint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757</v>
      </c>
      <c r="B213" s="7">
        <v>4053</v>
      </c>
      <c r="C213" s="21" t="s">
        <v>198</v>
      </c>
      <c r="D213" s="21" t="s">
        <v>1012</v>
      </c>
      <c r="E213" s="13">
        <v>42946.456446759257</v>
      </c>
      <c r="F213" s="13">
        <v>42946.458287037036</v>
      </c>
      <c r="G213" s="7">
        <v>1</v>
      </c>
      <c r="H213" s="21" t="s">
        <v>1013</v>
      </c>
      <c r="I213" s="13">
        <v>42946.475729166668</v>
      </c>
      <c r="J213" s="7">
        <v>0</v>
      </c>
      <c r="K213" s="89" t="str">
        <f t="shared" si="70"/>
        <v>4053/4054</v>
      </c>
      <c r="L213" s="21" t="str">
        <f>VLOOKUP(A213,'Trips&amp;Operators'!$C$1:$G$99999,5,FALSE)</f>
        <v>BADERTSCHER DIANE</v>
      </c>
      <c r="M213" s="6">
        <f t="shared" si="71"/>
        <v>1.7442129632399883E-2</v>
      </c>
      <c r="N213" s="7">
        <f t="shared" si="65"/>
        <v>25.116666670655832</v>
      </c>
      <c r="O213" s="7"/>
      <c r="P213" s="7"/>
      <c r="Q213" s="22"/>
      <c r="R213" s="170"/>
      <c r="S213" s="213">
        <f t="shared" si="72"/>
        <v>1</v>
      </c>
      <c r="T213" s="195" t="str">
        <f t="shared" si="73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74"/>
        <v>https://d0f6bd738d7f1b3e5a7ca70fe4ff75f0.us-east-1.aws.found.io/app/kibana#/discover/Steve-Slow-Train-Analysis-(2080s-and-2083s)?_g=(refreshInterval:(display:Off,pause:!f,section:0,value:0),time:(from:'2017-07-30T09:57:17-0600',mode:absolute,to:'2017-07-30T12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3" s="197" t="str">
        <f>IF(AA213&lt;VLOOKUP(AG213,Variables!$AC$3:$AD$8,2,FALSE),"Y","N")</f>
        <v>Y</v>
      </c>
      <c r="X213" s="197">
        <f t="shared" si="64"/>
        <v>2</v>
      </c>
      <c r="Y213" s="197">
        <f t="shared" si="75"/>
        <v>3.0594999999999999</v>
      </c>
      <c r="Z213" s="197">
        <f t="shared" si="76"/>
        <v>9.3899999999999997E-2</v>
      </c>
      <c r="AA213" s="197">
        <f t="shared" si="77"/>
        <v>2.9655999999999998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78"/>
        <v>56</v>
      </c>
      <c r="AE213" s="77" t="str">
        <f t="shared" si="79"/>
        <v>aws s3 cp s3://rtdc.mdm.uploadarchive.raw/RTDC4053/ "%USERPROFILE%\AppData\Local\Temp\OnboardLogs"\RTDC4053\2017-07-30 --exclude "*" --recursive --include "*20170730*" &amp; "%USERPROFILE%\Documents\GitHub\mrs-test-scripts\Headless Mode &amp; Sideloading\WalkAndUnGZ.bat" "%USERPROFILE%\AppData\Local\Temp\OnboardLogs"\RTDC4053\2017-07-30 &amp; aws s3 cp s3://rtdc.mdm.uploadarchive.raw/RTDC4053/ "%USERPROFILE%\AppData\Local\Temp\OnboardLogs"\RTDC4053\2017-07-31 --exclude "*" --recursive --include "*20170731*" &amp; "%USERPROFILE%\Documents\GitHub\mrs-test-scripts\Headless Mode &amp; Sideloading\WalkAndUnGZ.bat" "%USERPROFILE%\AppData\Local\Temp\OnboardLogs"\RTDC4053\2017-07-31</v>
      </c>
      <c r="AF213" s="74" t="str">
        <f t="shared" si="80"/>
        <v>"C:\Program Files (x86)\AstroGrep\AstroGrep.exe" /e /r /s /spath="%USERPROFILE%\AppData\Local\Temp\OnboardLogs" /stypes="app*4053*20170730*" /stext=" 17:.+((SYSTEM_STATE.+slice.+state.+changed )|(ment ac)|(multiple cpu faults)|(system.+state.+changed )|(\[timeout)|(PRM\|1\|D)|(kpr)|(kdp)|(train st.+moving)|(\|lc)|(penalty))"</v>
      </c>
      <c r="AG213" s="209" t="str">
        <f t="shared" si="81"/>
        <v>Shuttle/Test</v>
      </c>
      <c r="AH213" s="78" t="str">
        <f t="shared" si="66"/>
        <v>"%USERPROFILE%\Documents\GitHub\eaglep3\Utilities\RefineRTDCRunTimes.py" --tripid 56-30 --locoid 4053 --swversion DE.1.0.9.0 --startMP 300:30595 --initTime 2017-07-30T10:57:17 --startdatetime 2017-07-30T10:59:56 --delay 1 --endMP 204:939 --enddatetime 2017-07-30T11:25:03 --enforcementcount 0 &gt;&gt;C:\Users\stu\Documents\GitHub\eaglep3-reporting\EC\2017-07-30-refined-times.txt</v>
      </c>
      <c r="AI213" s="96" t="str">
        <f t="shared" si="67"/>
        <v>echo {"issue":{"subject":"","project_id":79,"tracker_id":40,"status_id":1,"priority_id":2,"assigned_to_id":23,"start_date":"2017-07-30","description":"","custom_fields":[{"id":1,"name":"Subdivision","value":"Shuttle/Test"},{"id":4,"name":"Milepost","value":"0.0939"},{"id":17,"name":"Train ID","value":"56-30"},{"id":16,"name":"Locomotive ID","value":"4053"},{"id":130,"name":"Impact","value":""},{"id":150,"name":"Time of Event (Mountain Time)","value":"11:25:03"},{"id":151,"name":"Denver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68"/>
        <v>start /low /b %USERPROFILE%\Documents\GitHub\eaglep3\Utilities\DownloadLogsFromS3.py --loco 4053 --day 2017-07-30</v>
      </c>
      <c r="AN213" s="151" t="str">
        <f t="shared" si="69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17:25:03"},{"id":29,"name":"Sharepoint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640</v>
      </c>
      <c r="B214" s="7">
        <v>4045</v>
      </c>
      <c r="C214" s="21" t="s">
        <v>198</v>
      </c>
      <c r="D214" s="21" t="s">
        <v>1014</v>
      </c>
      <c r="E214" s="13">
        <v>42946.614479166667</v>
      </c>
      <c r="F214" s="13">
        <v>42946.615706018521</v>
      </c>
      <c r="G214" s="7">
        <v>1</v>
      </c>
      <c r="H214" s="21" t="s">
        <v>343</v>
      </c>
      <c r="I214" s="13">
        <v>42946.617094907408</v>
      </c>
      <c r="J214" s="7">
        <v>0</v>
      </c>
      <c r="K214" s="89" t="str">
        <f t="shared" si="70"/>
        <v>4045/4046</v>
      </c>
      <c r="L214" s="21" t="str">
        <f>VLOOKUP(A214,'Trips&amp;Operators'!$C$1:$G$99999,5,FALSE)</f>
        <v>NELSON ARIANE</v>
      </c>
      <c r="M214" s="6">
        <f t="shared" si="71"/>
        <v>1.3888888861401938E-3</v>
      </c>
      <c r="N214" s="7">
        <f t="shared" si="65"/>
        <v>1.9999999960418791</v>
      </c>
      <c r="O214" s="7"/>
      <c r="P214" s="7"/>
      <c r="Q214" s="22"/>
      <c r="R214" s="170"/>
      <c r="S214" s="213">
        <f t="shared" si="72"/>
        <v>0</v>
      </c>
      <c r="T214" s="195" t="str">
        <f t="shared" si="73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6" t="str">
        <f t="shared" si="74"/>
        <v>https://d0f6bd738d7f1b3e5a7ca70fe4ff75f0.us-east-1.aws.found.io/app/kibana#/discover/Steve-Slow-Train-Analysis-(2080s-and-2083s)?_g=(refreshInterval:(display:Off,pause:!f,section:0,value:0),time:(from:'2017-07-30T13:44:51-0600',mode:absolute,to:'2017-07-30T15:48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4" s="197" t="str">
        <f>IF(AA214&lt;VLOOKUP(AG214,Variables!$AC$3:$AD$8,2,FALSE),"Y","N")</f>
        <v>Y</v>
      </c>
      <c r="X214" s="197">
        <f t="shared" si="64"/>
        <v>11</v>
      </c>
      <c r="Y214" s="197">
        <f t="shared" si="75"/>
        <v>0.32750000000000001</v>
      </c>
      <c r="Z214" s="197">
        <f t="shared" si="76"/>
        <v>1.43E-2</v>
      </c>
      <c r="AA214" s="197">
        <f t="shared" si="77"/>
        <v>0.31320000000000003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78"/>
        <v>67</v>
      </c>
      <c r="AE214" s="77" t="str">
        <f t="shared" si="79"/>
        <v>aws s3 cp s3://rtdc.mdm.uploadarchive.raw/RTDC4045/ "%USERPROFILE%\AppData\Local\Temp\OnboardLogs"\RTDC4045\2017-07-30 --exclude "*" --recursive --include "*20170730*" &amp; "%USERPROFILE%\Documents\GitHub\mrs-test-scripts\Headless Mode &amp; Sideloading\WalkAndUnGZ.bat" "%USERPROFILE%\AppData\Local\Temp\OnboardLogs"\RTDC4045\2017-07-30 &amp; aws s3 cp s3://rtdc.mdm.uploadarchive.raw/RTDC4045/ "%USERPROFILE%\AppData\Local\Temp\OnboardLogs"\RTDC4045\2017-07-31 --exclude "*" --recursive --include "*20170731*" &amp; "%USERPROFILE%\Documents\GitHub\mrs-test-scripts\Headless Mode &amp; Sideloading\WalkAndUnGZ.bat" "%USERPROFILE%\AppData\Local\Temp\OnboardLogs"\RTDC4045\2017-07-31</v>
      </c>
      <c r="AF214" s="74" t="str">
        <f t="shared" si="80"/>
        <v>"C:\Program Files (x86)\AstroGrep\AstroGrep.exe" /e /r /s /spath="%USERPROFILE%\AppData\Local\Temp\OnboardLogs" /stypes="app*4045*20170730*" /stext=" 20:.+((SYSTEM_STATE.+slice.+state.+changed )|(ment ac)|(multiple cpu faults)|(system.+state.+changed )|(\[timeout)|(PRM\|1\|D)|(kpr)|(kdp)|(train st.+moving)|(\|lc)|(penalty))"</v>
      </c>
      <c r="AG214" s="209" t="str">
        <f t="shared" si="81"/>
        <v>Shuttle/Test</v>
      </c>
      <c r="AH214" s="78" t="str">
        <f t="shared" si="66"/>
        <v>"%USERPROFILE%\Documents\GitHub\eaglep3\Utilities\RefineRTDCRunTimes.py" --tripid 67-30 --locoid 4045 --swversion DE.1.0.9.0 --startMP 204:3275 --initTime 2017-07-30T14:44:51 --startdatetime 2017-07-30T14:46:37 --delay 1 --endMP 204:143 --enddatetime 2017-07-30T14:48:37 --enforcementcount 0 &gt;&gt;C:\Users\stu\Documents\GitHub\eaglep3-reporting\EC\2017-07-30-refined-times.txt</v>
      </c>
      <c r="AI214" s="96" t="str">
        <f t="shared" si="67"/>
        <v>echo {"issue":{"subject":"","project_id":79,"tracker_id":40,"status_id":1,"priority_id":2,"assigned_to_id":23,"start_date":"2017-07-30","description":"","custom_fields":[{"id":1,"name":"Subdivision","value":"Shuttle/Test"},{"id":4,"name":"Milepost","value":"0.0143"},{"id":17,"name":"Train ID","value":"67-30"},{"id":16,"name":"Locomotive ID","value":"4045"},{"id":130,"name":"Impact","value":""},{"id":150,"name":"Time of Event (Mountain Time)","value":"14:48:37"},{"id":151,"name":"Denver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68"/>
        <v>start /low /b %USERPROFILE%\Documents\GitHub\eaglep3\Utilities\DownloadLogsFromS3.py --loco 4045 --day 2017-07-30</v>
      </c>
      <c r="AN214" s="151" t="str">
        <f t="shared" si="69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20:48:37"},{"id":29,"name":"Sharepoint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640</v>
      </c>
      <c r="B215" s="7">
        <v>4046</v>
      </c>
      <c r="C215" s="21" t="s">
        <v>198</v>
      </c>
      <c r="D215" s="21" t="s">
        <v>1015</v>
      </c>
      <c r="E215" s="13">
        <v>42946.609606481485</v>
      </c>
      <c r="F215" s="13">
        <v>42946.615706018521</v>
      </c>
      <c r="G215" s="7">
        <v>1</v>
      </c>
      <c r="H215" s="21" t="s">
        <v>1016</v>
      </c>
      <c r="I215" s="13">
        <v>42946.617094907408</v>
      </c>
      <c r="J215" s="7">
        <v>0</v>
      </c>
      <c r="K215" s="89" t="str">
        <f t="shared" si="70"/>
        <v>4045/4046</v>
      </c>
      <c r="L215" s="21" t="str">
        <f>VLOOKUP(A215,'Trips&amp;Operators'!$C$1:$G$99999,5,FALSE)</f>
        <v>NELSON ARIANE</v>
      </c>
      <c r="M215" s="6">
        <f t="shared" si="71"/>
        <v>1.3888888861401938E-3</v>
      </c>
      <c r="N215" s="7">
        <f t="shared" si="65"/>
        <v>1.9999999960418791</v>
      </c>
      <c r="O215" s="7"/>
      <c r="P215" s="7"/>
      <c r="Q215" s="22"/>
      <c r="R215" s="170"/>
      <c r="S215" s="213">
        <f t="shared" si="72"/>
        <v>0</v>
      </c>
      <c r="T215" s="195" t="str">
        <f t="shared" si="73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6" t="str">
        <f t="shared" si="74"/>
        <v>https://d0f6bd738d7f1b3e5a7ca70fe4ff75f0.us-east-1.aws.found.io/app/kibana#/discover/Steve-Slow-Train-Analysis-(2080s-and-2083s)?_g=(refreshInterval:(display:Off,pause:!f,section:0,value:0),time:(from:'2017-07-30T13:37:50-0600',mode:absolute,to:'2017-07-30T15:48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5" s="197" t="str">
        <f>IF(AA215&lt;VLOOKUP(AG215,Variables!$AC$3:$AD$8,2,FALSE),"Y","N")</f>
        <v>Y</v>
      </c>
      <c r="X215" s="197">
        <f t="shared" si="64"/>
        <v>0</v>
      </c>
      <c r="Y215" s="197">
        <f t="shared" si="75"/>
        <v>0.14729999999999999</v>
      </c>
      <c r="Z215" s="197">
        <f t="shared" si="76"/>
        <v>0.1847</v>
      </c>
      <c r="AA215" s="197">
        <f t="shared" si="77"/>
        <v>3.7400000000000017E-2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78"/>
        <v>67</v>
      </c>
      <c r="AE215" s="77" t="str">
        <f t="shared" si="79"/>
        <v>aws s3 cp s3://rtdc.mdm.uploadarchive.raw/RTDC4046/ "%USERPROFILE%\AppData\Local\Temp\OnboardLogs"\RTDC4046\2017-07-30 --exclude "*" --recursive --include "*20170730*" &amp; "%USERPROFILE%\Documents\GitHub\mrs-test-scripts\Headless Mode &amp; Sideloading\WalkAndUnGZ.bat" "%USERPROFILE%\AppData\Local\Temp\OnboardLogs"\RTDC4046\2017-07-30 &amp; aws s3 cp s3://rtdc.mdm.uploadarchive.raw/RTDC4046/ "%USERPROFILE%\AppData\Local\Temp\OnboardLogs"\RTDC4046\2017-07-31 --exclude "*" --recursive --include "*20170731*" &amp; "%USERPROFILE%\Documents\GitHub\mrs-test-scripts\Headless Mode &amp; Sideloading\WalkAndUnGZ.bat" "%USERPROFILE%\AppData\Local\Temp\OnboardLogs"\RTDC4046\2017-07-31</v>
      </c>
      <c r="AF215" s="74" t="str">
        <f t="shared" si="80"/>
        <v>"C:\Program Files (x86)\AstroGrep\AstroGrep.exe" /e /r /s /spath="%USERPROFILE%\AppData\Local\Temp\OnboardLogs" /stypes="app*4046*20170730*" /stext=" 20:.+((SYSTEM_STATE.+slice.+state.+changed )|(ment ac)|(multiple cpu faults)|(system.+state.+changed )|(\[timeout)|(PRM\|1\|D)|(kpr)|(kdp)|(train st.+moving)|(\|lc)|(penalty))"</v>
      </c>
      <c r="AG215" s="209" t="str">
        <f t="shared" si="81"/>
        <v>Shuttle/Test</v>
      </c>
      <c r="AH215" s="78" t="str">
        <f t="shared" si="66"/>
        <v>"%USERPROFILE%\Documents\GitHub\eaglep3\Utilities\RefineRTDCRunTimes.py" --tripid 67-30 --locoid 4046 --swversion DE.1.0.9.0 --startMP 204:1473 --initTime 2017-07-30T14:37:50 --startdatetime 2017-07-30T14:46:37 --delay 1 --endMP 204:1847 --enddatetime 2017-07-30T14:48:37 --enforcementcount 0 &gt;&gt;C:\Users\stu\Documents\GitHub\eaglep3-reporting\EC\2017-07-30-refined-times.txt</v>
      </c>
      <c r="AI215" s="96" t="str">
        <f t="shared" si="67"/>
        <v>echo {"issue":{"subject":"","project_id":79,"tracker_id":40,"status_id":1,"priority_id":2,"assigned_to_id":23,"start_date":"2017-07-30","description":"","custom_fields":[{"id":1,"name":"Subdivision","value":"Shuttle/Test"},{"id":4,"name":"Milepost","value":"0.1847"},{"id":17,"name":"Train ID","value":"67-30"},{"id":16,"name":"Locomotive ID","value":"4046"},{"id":130,"name":"Impact","value":""},{"id":150,"name":"Time of Event (Mountain Time)","value":"14:48:37"},{"id":151,"name":"Denver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68"/>
        <v>start /low /b %USERPROFILE%\Documents\GitHub\eaglep3\Utilities\DownloadLogsFromS3.py --loco 4046 --day 2017-07-30</v>
      </c>
      <c r="AN215" s="151" t="str">
        <f t="shared" si="69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20:48:37"},{"id":29,"name":"Sharepoint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810</v>
      </c>
      <c r="B216" s="7">
        <v>4058</v>
      </c>
      <c r="C216" s="21" t="s">
        <v>198</v>
      </c>
      <c r="D216" s="21" t="s">
        <v>915</v>
      </c>
      <c r="E216" s="13">
        <v>42946.688020833331</v>
      </c>
      <c r="F216" s="13">
        <v>42946.70511574074</v>
      </c>
      <c r="G216" s="7">
        <v>1</v>
      </c>
      <c r="H216" s="21" t="s">
        <v>346</v>
      </c>
      <c r="I216" s="13">
        <v>42946.712673611109</v>
      </c>
      <c r="J216" s="7">
        <v>0</v>
      </c>
      <c r="K216" s="89" t="str">
        <f t="shared" si="70"/>
        <v>4057/4058</v>
      </c>
      <c r="L216" s="21" t="str">
        <f>VLOOKUP(A216,'Trips&amp;Operators'!$C$1:$G$99999,5,FALSE)</f>
        <v>LOPES KIMBERLY</v>
      </c>
      <c r="M216" s="6">
        <f t="shared" si="71"/>
        <v>7.5578703690553084E-3</v>
      </c>
      <c r="N216" s="7">
        <f t="shared" si="65"/>
        <v>10.883333331439644</v>
      </c>
      <c r="O216" s="7"/>
      <c r="P216" s="7"/>
      <c r="Q216" s="22"/>
      <c r="R216" s="170"/>
      <c r="S216" s="213">
        <f t="shared" si="72"/>
        <v>1</v>
      </c>
      <c r="T216" s="195" t="str">
        <f t="shared" si="73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74"/>
        <v>https://d0f6bd738d7f1b3e5a7ca70fe4ff75f0.us-east-1.aws.found.io/app/kibana#/discover/Steve-Slow-Train-Analysis-(2080s-and-2083s)?_g=(refreshInterval:(display:Off,pause:!f,section:0,value:0),time:(from:'2017-07-30T15:30:45-0600',mode:absolute,to:'2017-07-30T18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6" s="197" t="str">
        <f>IF(AA216&lt;VLOOKUP(AG216,Variables!$AC$3:$AD$8,2,FALSE),"Y","N")</f>
        <v>Y</v>
      </c>
      <c r="X216" s="197">
        <f t="shared" si="64"/>
        <v>2</v>
      </c>
      <c r="Y216" s="197">
        <f t="shared" si="75"/>
        <v>0.14829999999999999</v>
      </c>
      <c r="Z216" s="197">
        <f t="shared" si="76"/>
        <v>2.3346</v>
      </c>
      <c r="AA216" s="197">
        <f t="shared" si="77"/>
        <v>2.1863000000000001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78"/>
        <v>69</v>
      </c>
      <c r="AE216" s="77" t="str">
        <f t="shared" si="79"/>
        <v>aws s3 cp s3://rtdc.mdm.uploadarchive.raw/RTDC4058/ "%USERPROFILE%\AppData\Local\Temp\OnboardLogs"\RTDC4058\2017-07-30 --exclude "*" --recursive --include "*20170730*" &amp; "%USERPROFILE%\Documents\GitHub\mrs-test-scripts\Headless Mode &amp; Sideloading\WalkAndUnGZ.bat" "%USERPROFILE%\AppData\Local\Temp\OnboardLogs"\RTDC4058\2017-07-30 &amp; aws s3 cp s3://rtdc.mdm.uploadarchive.raw/RTDC4058/ "%USERPROFILE%\AppData\Local\Temp\OnboardLogs"\RTDC4058\2017-07-31 --exclude "*" --recursive --include "*20170731*" &amp; "%USERPROFILE%\Documents\GitHub\mrs-test-scripts\Headless Mode &amp; Sideloading\WalkAndUnGZ.bat" "%USERPROFILE%\AppData\Local\Temp\OnboardLogs"\RTDC4058\2017-07-31</v>
      </c>
      <c r="AF216" s="74" t="str">
        <f t="shared" si="80"/>
        <v>"C:\Program Files (x86)\AstroGrep\AstroGrep.exe" /e /r /s /spath="%USERPROFILE%\AppData\Local\Temp\OnboardLogs" /stypes="app*4058*20170730*" /stext=" 23:.+((SYSTEM_STATE.+slice.+state.+changed )|(ment ac)|(multiple cpu faults)|(system.+state.+changed )|(\[timeout)|(PRM\|1\|D)|(kpr)|(kdp)|(train st.+moving)|(\|lc)|(penalty))"</v>
      </c>
      <c r="AG216" s="209" t="str">
        <f t="shared" si="81"/>
        <v>Shuttle/Test</v>
      </c>
      <c r="AH216" s="78" t="str">
        <f t="shared" si="66"/>
        <v>"%USERPROFILE%\Documents\GitHub\eaglep3\Utilities\RefineRTDCRunTimes.py" --tripid 69-30 --locoid 4058 --swversion DE.1.0.9.0 --startMP 204:1483 --initTime 2017-07-30T16:30:45 --startdatetime 2017-07-30T16:55:22 --delay 1 --endMP 300:23346 --enddatetime 2017-07-30T17:06:15 --enforcementcount 0 &gt;&gt;C:\Users\stu\Documents\GitHub\eaglep3-reporting\EC\2017-07-30-refined-times.txt</v>
      </c>
      <c r="AI216" s="96" t="str">
        <f t="shared" si="67"/>
        <v>echo {"issue":{"subject":"","project_id":79,"tracker_id":40,"status_id":1,"priority_id":2,"assigned_to_id":23,"start_date":"2017-07-30","description":"","custom_fields":[{"id":1,"name":"Subdivision","value":"Shuttle/Test"},{"id":4,"name":"Milepost","value":"2.3346"},{"id":17,"name":"Train ID","value":"69-30"},{"id":16,"name":"Locomotive ID","value":"4058"},{"id":130,"name":"Impact","value":""},{"id":150,"name":"Time of Event (Mountain Time)","value":"17:06:15"},{"id":151,"name":"Denver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68"/>
        <v>start /low /b %USERPROFILE%\Documents\GitHub\eaglep3\Utilities\DownloadLogsFromS3.py --loco 4058 --day 2017-07-30</v>
      </c>
      <c r="AN216" s="151" t="str">
        <f t="shared" si="69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23:06:15"},{"id":29,"name":"Sharepoint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628</v>
      </c>
      <c r="B217" s="7">
        <v>4005</v>
      </c>
      <c r="C217" s="21" t="s">
        <v>198</v>
      </c>
      <c r="D217" s="21" t="s">
        <v>1017</v>
      </c>
      <c r="E217" s="13">
        <v>42946.432106481479</v>
      </c>
      <c r="F217" s="13">
        <v>42946.434791666667</v>
      </c>
      <c r="G217" s="7">
        <v>2</v>
      </c>
      <c r="H217" s="21" t="s">
        <v>1018</v>
      </c>
      <c r="I217" s="13">
        <v>42946.457152777781</v>
      </c>
      <c r="J217" s="7">
        <v>0</v>
      </c>
      <c r="K217" s="89" t="str">
        <f t="shared" si="70"/>
        <v>4005/4006</v>
      </c>
      <c r="L217" s="21" t="str">
        <f>VLOOKUP(A217,'Trips&amp;Operators'!$C$1:$G$99999,5,FALSE)</f>
        <v>WILLIAMS DONTE</v>
      </c>
      <c r="M217" s="6">
        <f t="shared" si="71"/>
        <v>2.2361111114150845E-2</v>
      </c>
      <c r="N217" s="7">
        <f t="shared" si="65"/>
        <v>32.200000004377216</v>
      </c>
      <c r="O217" s="7"/>
      <c r="P217" s="7"/>
      <c r="Q217" s="22"/>
      <c r="R217" s="170"/>
      <c r="S217" s="213">
        <f t="shared" si="72"/>
        <v>0</v>
      </c>
      <c r="T217" s="195" t="str">
        <f t="shared" si="73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6" t="str">
        <f t="shared" si="74"/>
        <v>https://d0f6bd738d7f1b3e5a7ca70fe4ff75f0.us-east-1.aws.found.io/app/kibana#/discover/Steve-Slow-Train-Analysis-(2080s-and-2083s)?_g=(refreshInterval:(display:Off,pause:!f,section:0,value:0),time:(from:'2017-07-30T09:22:14-0600',mode:absolute,to:'2017-07-30T11:58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7" s="197" t="str">
        <f>IF(AA217&lt;VLOOKUP(AG217,Variables!$AC$3:$AD$8,2,FALSE),"Y","N")</f>
        <v>Y</v>
      </c>
      <c r="X217" s="197">
        <f t="shared" si="64"/>
        <v>1</v>
      </c>
      <c r="Y217" s="197">
        <f t="shared" si="75"/>
        <v>23.3126</v>
      </c>
      <c r="Z217" s="197">
        <f t="shared" si="76"/>
        <v>4.8395000000000001</v>
      </c>
      <c r="AA217" s="197">
        <f t="shared" si="77"/>
        <v>18.473099999999999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78"/>
        <v>70</v>
      </c>
      <c r="AE217" s="77" t="str">
        <f t="shared" si="79"/>
        <v>aws s3 cp s3://rtdc.mdm.uploadarchive.raw/RTDC4005/ "%USERPROFILE%\AppData\Local\Temp\OnboardLogs"\RTDC4005\2017-07-30 --exclude "*" --recursive --include "*20170730*" &amp; "%USERPROFILE%\Documents\GitHub\mrs-test-scripts\Headless Mode &amp; Sideloading\WalkAndUnGZ.bat" "%USERPROFILE%\AppData\Local\Temp\OnboardLogs"\RTDC4005\2017-07-30 &amp; aws s3 cp s3://rtdc.mdm.uploadarchive.raw/RTDC4005/ "%USERPROFILE%\AppData\Local\Temp\OnboardLogs"\RTDC4005\2017-07-31 --exclude "*" --recursive --include "*20170731*" &amp; "%USERPROFILE%\Documents\GitHub\mrs-test-scripts\Headless Mode &amp; Sideloading\WalkAndUnGZ.bat" "%USERPROFILE%\AppData\Local\Temp\OnboardLogs"\RTDC4005\2017-07-31</v>
      </c>
      <c r="AF217" s="74" t="str">
        <f t="shared" si="80"/>
        <v>"C:\Program Files (x86)\AstroGrep\AstroGrep.exe" /e /r /s /spath="%USERPROFILE%\AppData\Local\Temp\OnboardLogs" /stypes="app*4005*20170730*" /stext=" 16:.+((SYSTEM_STATE.+slice.+state.+changed )|(ment ac)|(multiple cpu faults)|(system.+state.+changed )|(\[timeout)|(PRM\|1\|D)|(kpr)|(kdp)|(train st.+moving)|(\|lc)|(penalty))"</v>
      </c>
      <c r="AG217" s="209" t="str">
        <f t="shared" si="81"/>
        <v>Shuttle/Test</v>
      </c>
      <c r="AH217" s="78" t="str">
        <f t="shared" si="66"/>
        <v>"%USERPROFILE%\Documents\GitHub\eaglep3\Utilities\RefineRTDCRunTimes.py" --tripid 70-30 --locoid 4005 --swversion DE.1.0.9.0 --startMP 204:233126 --initTime 2017-07-30T10:22:14 --startdatetime 2017-07-30T10:26:06 --delay 2 --endMP 204:48395 --enddatetime 2017-07-30T10:58:18 --enforcementcount 0 &gt;&gt;C:\Users\stu\Documents\GitHub\eaglep3-reporting\EC\2017-07-30-refined-times.txt</v>
      </c>
      <c r="AI217" s="96" t="str">
        <f t="shared" si="67"/>
        <v>echo {"issue":{"subject":"","project_id":79,"tracker_id":40,"status_id":1,"priority_id":2,"assigned_to_id":23,"start_date":"2017-07-30","description":"","custom_fields":[{"id":1,"name":"Subdivision","value":"Shuttle/Test"},{"id":4,"name":"Milepost","value":"4.8395"},{"id":17,"name":"Train ID","value":"70-30"},{"id":16,"name":"Locomotive ID","value":"4005"},{"id":130,"name":"Impact","value":""},{"id":150,"name":"Time of Event (Mountain Time)","value":"10:58:18"},{"id":151,"name":"Denver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68"/>
        <v>start /low /b %USERPROFILE%\Documents\GitHub\eaglep3\Utilities\DownloadLogsFromS3.py --loco 4005 --day 2017-07-30</v>
      </c>
      <c r="AN217" s="151" t="str">
        <f t="shared" si="69"/>
        <v>echo {"issue":{"subject":"","project_id":30,"tracker_id":4,"status_id":1,"priority_id":1,"assigned_to_id":10,"start_date":"2017-07-30","description":"","custom_fields":[{"id":30,"name":"Category","value":"Issue"},{"id":3,"name":"Functional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UTC","value":"2017-07-30 16:58:18"},{"id":29,"name":"Sharepoint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656</v>
      </c>
      <c r="B218" s="7">
        <v>4045</v>
      </c>
      <c r="C218" s="21" t="s">
        <v>198</v>
      </c>
      <c r="D218" s="21" t="s">
        <v>1019</v>
      </c>
      <c r="E218" s="13">
        <v>42946.860254629632</v>
      </c>
      <c r="F218" s="13">
        <v>42946.861574074072</v>
      </c>
      <c r="G218" s="7">
        <v>1</v>
      </c>
      <c r="H218" s="21" t="s">
        <v>1020</v>
      </c>
      <c r="I218" s="13">
        <v>42946.863252314812</v>
      </c>
      <c r="J218" s="7">
        <v>0</v>
      </c>
      <c r="K218" s="89" t="str">
        <f t="shared" si="70"/>
        <v>4045/4046</v>
      </c>
      <c r="L218" s="21" t="str">
        <f>VLOOKUP(A218,'Trips&amp;Operators'!$C$1:$G$99999,5,FALSE)</f>
        <v>HAITHCOX MICHAEL</v>
      </c>
      <c r="M218" s="6">
        <f t="shared" si="71"/>
        <v>1.6782407401478849E-3</v>
      </c>
      <c r="N218" s="7">
        <f t="shared" si="65"/>
        <v>2.4166666658129543</v>
      </c>
      <c r="O218" s="7"/>
      <c r="P218" s="7"/>
      <c r="Q218" s="22"/>
      <c r="R218" s="170"/>
      <c r="S218" s="213">
        <f t="shared" si="72"/>
        <v>0</v>
      </c>
      <c r="T218" s="195" t="str">
        <f t="shared" si="73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6" t="str">
        <f t="shared" si="74"/>
        <v>https://d0f6bd738d7f1b3e5a7ca70fe4ff75f0.us-east-1.aws.found.io/app/kibana#/discover/Steve-Slow-Train-Analysis-(2080s-and-2083s)?_g=(refreshInterval:(display:Off,pause:!f,section:0,value:0),time:(from:'2017-07-30T19:38:46-0600',mode:absolute,to:'2017-07-30T21:43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8" s="197" t="str">
        <f>IF(AA218&lt;VLOOKUP(AG218,Variables!$AC$3:$AD$8,2,FALSE),"Y","N")</f>
        <v>Y</v>
      </c>
      <c r="X218" s="197">
        <f t="shared" si="64"/>
        <v>17</v>
      </c>
      <c r="Y218" s="197">
        <f t="shared" si="75"/>
        <v>0.34060000000000001</v>
      </c>
      <c r="Z218" s="197">
        <f t="shared" si="76"/>
        <v>9.9900000000000003E-2</v>
      </c>
      <c r="AA218" s="197">
        <f t="shared" si="77"/>
        <v>0.24070000000000003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78"/>
        <v>87</v>
      </c>
      <c r="AE218" s="77" t="str">
        <f t="shared" si="79"/>
        <v>aws s3 cp s3://rtdc.mdm.uploadarchive.raw/RTDC4045/ "%USERPROFILE%\AppData\Local\Temp\OnboardLogs"\RTDC4045\2017-07-30 --exclude "*" --recursive --include "*20170730*" &amp; "%USERPROFILE%\Documents\GitHub\mrs-test-scripts\Headless Mode &amp; Sideloading\WalkAndUnGZ.bat" "%USERPROFILE%\AppData\Local\Temp\OnboardLogs"\RTDC4045\2017-07-30 &amp; aws s3 cp s3://rtdc.mdm.uploadarchive.raw/RTDC4045/ "%USERPROFILE%\AppData\Local\Temp\OnboardLogs"\RTDC4045\2017-07-31 --exclude "*" --recursive --include "*20170731*" &amp; "%USERPROFILE%\Documents\GitHub\mrs-test-scripts\Headless Mode &amp; Sideloading\WalkAndUnGZ.bat" "%USERPROFILE%\AppData\Local\Temp\OnboardLogs"\RTDC4045\2017-07-31</v>
      </c>
      <c r="AF218" s="74" t="str">
        <f t="shared" si="80"/>
        <v>"C:\Program Files (x86)\AstroGrep\AstroGrep.exe" /e /r /s /spath="%USERPROFILE%\AppData\Local\Temp\OnboardLogs" /stypes="app*4045*20170731*" /stext=" 02:.+((SYSTEM_STATE.+slice.+state.+changed )|(ment ac)|(multiple cpu faults)|(system.+state.+changed )|(\[timeout)|(PRM\|1\|D)|(kpr)|(kdp)|(train st.+moving)|(\|lc)|(penalty))"</v>
      </c>
      <c r="AG218" s="209" t="str">
        <f t="shared" si="81"/>
        <v>Shuttle/Test</v>
      </c>
      <c r="AH218" s="78" t="str">
        <f t="shared" si="66"/>
        <v>"%USERPROFILE%\Documents\GitHub\eaglep3\Utilities\RefineRTDCRunTimes.py" --tripid 87-30 --locoid 4045 --swversion DE.1.0.9.0 --startMP 204:3406 --initTime 2017-07-30T20:38:46 --startdatetime 2017-07-30T20:40:40 --delay 1 --endMP 204:999 --enddatetime 2017-07-30T20:43:05 --enforcementcount 0 &gt;&gt;C:\Users\stu\Documents\GitHub\eaglep3-reporting\EC\2017-07-30-refined-times.txt</v>
      </c>
      <c r="AI218" s="96" t="str">
        <f t="shared" si="67"/>
        <v>echo {"issue":{"subject":"","project_id":79,"tracker_id":40,"status_id":1,"priority_id":2,"assigned_to_id":23,"start_date":"2017-07-30","description":"","custom_fields":[{"id":1,"name":"Subdivision","value":"Shuttle/Test"},{"id":4,"name":"Milepost","value":"0.0999"},{"id":17,"name":"Train ID","value":"87-30"},{"id":16,"name":"Locomotive ID","value":"4045"},{"id":130,"name":"Impact","value":""},{"id":150,"name":"Time of Event (Mountain Time)","value":"20:43:05"},{"id":151,"name":"Denver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68"/>
        <v>start /low /b %USERPROFILE%\Documents\GitHub\eaglep3\Utilities\DownloadLogsFromS3.py --loco 4045 --day 2017-07-30</v>
      </c>
      <c r="AN218" s="151" t="str">
        <f t="shared" si="69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02:43:05"},{"id":29,"name":"Sharepoint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s="20" customFormat="1" x14ac:dyDescent="0.25">
      <c r="A219" s="32" t="s">
        <v>656</v>
      </c>
      <c r="B219" s="7">
        <v>4046</v>
      </c>
      <c r="C219" s="21" t="s">
        <v>198</v>
      </c>
      <c r="D219" s="21" t="s">
        <v>887</v>
      </c>
      <c r="E219" s="13">
        <v>42946.849432870367</v>
      </c>
      <c r="F219" s="13">
        <v>42946.861574074072</v>
      </c>
      <c r="G219" s="7">
        <v>2</v>
      </c>
      <c r="H219" s="21" t="s">
        <v>1021</v>
      </c>
      <c r="I219" s="13">
        <v>42946.863252314812</v>
      </c>
      <c r="J219" s="7">
        <v>0</v>
      </c>
      <c r="K219" s="89" t="str">
        <f t="shared" si="70"/>
        <v>4045/4046</v>
      </c>
      <c r="L219" s="21" t="str">
        <f>VLOOKUP(A219,'Trips&amp;Operators'!$C$1:$G$99999,5,FALSE)</f>
        <v>HAITHCOX MICHAEL</v>
      </c>
      <c r="M219" s="6">
        <f t="shared" si="71"/>
        <v>1.6782407401478849E-3</v>
      </c>
      <c r="N219" s="7">
        <f t="shared" si="65"/>
        <v>2.4166666658129543</v>
      </c>
      <c r="O219" s="7"/>
      <c r="P219" s="7"/>
      <c r="Q219" s="22"/>
      <c r="R219" s="170"/>
      <c r="S219" s="213">
        <f t="shared" si="72"/>
        <v>0</v>
      </c>
      <c r="T219" s="195" t="str">
        <f t="shared" si="73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6" t="str">
        <f t="shared" si="74"/>
        <v>https://d0f6bd738d7f1b3e5a7ca70fe4ff75f0.us-east-1.aws.found.io/app/kibana#/discover/Steve-Slow-Train-Analysis-(2080s-and-2083s)?_g=(refreshInterval:(display:Off,pause:!f,section:0,value:0),time:(from:'2017-07-30T19:23:11-0600',mode:absolute,to:'2017-07-30T21:43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9" s="197" t="str">
        <f>IF(AA219&lt;VLOOKUP(AG219,Variables!$AC$3:$AD$8,2,FALSE),"Y","N")</f>
        <v>Y</v>
      </c>
      <c r="X219" s="197">
        <f t="shared" si="64"/>
        <v>0</v>
      </c>
      <c r="Y219" s="197">
        <f t="shared" si="75"/>
        <v>4.7699999999999999E-2</v>
      </c>
      <c r="Z219" s="197">
        <f t="shared" si="76"/>
        <v>0.37069999999999997</v>
      </c>
      <c r="AA219" s="197">
        <f t="shared" si="77"/>
        <v>0.32299999999999995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78"/>
        <v>87</v>
      </c>
      <c r="AE219" s="77" t="str">
        <f t="shared" si="79"/>
        <v>aws s3 cp s3://rtdc.mdm.uploadarchive.raw/RTDC4046/ "%USERPROFILE%\AppData\Local\Temp\OnboardLogs"\RTDC4046\2017-07-30 --exclude "*" --recursive --include "*20170730*" &amp; "%USERPROFILE%\Documents\GitHub\mrs-test-scripts\Headless Mode &amp; Sideloading\WalkAndUnGZ.bat" "%USERPROFILE%\AppData\Local\Temp\OnboardLogs"\RTDC4046\2017-07-30 &amp; aws s3 cp s3://rtdc.mdm.uploadarchive.raw/RTDC4046/ "%USERPROFILE%\AppData\Local\Temp\OnboardLogs"\RTDC4046\2017-07-31 --exclude "*" --recursive --include "*20170731*" &amp; "%USERPROFILE%\Documents\GitHub\mrs-test-scripts\Headless Mode &amp; Sideloading\WalkAndUnGZ.bat" "%USERPROFILE%\AppData\Local\Temp\OnboardLogs"\RTDC4046\2017-07-31</v>
      </c>
      <c r="AF219" s="74" t="str">
        <f t="shared" si="80"/>
        <v>"C:\Program Files (x86)\AstroGrep\AstroGrep.exe" /e /r /s /spath="%USERPROFILE%\AppData\Local\Temp\OnboardLogs" /stypes="app*4046*20170731*" /stext=" 02:.+((SYSTEM_STATE.+slice.+state.+changed )|(ment ac)|(multiple cpu faults)|(system.+state.+changed )|(\[timeout)|(PRM\|1\|D)|(kpr)|(kdp)|(train st.+moving)|(\|lc)|(penalty))"</v>
      </c>
      <c r="AG219" s="209" t="str">
        <f t="shared" si="81"/>
        <v>Shuttle/Test</v>
      </c>
      <c r="AH219" s="78" t="str">
        <f t="shared" si="66"/>
        <v>"%USERPROFILE%\Documents\GitHub\eaglep3\Utilities\RefineRTDCRunTimes.py" --tripid 87-30 --locoid 4046 --swversion DE.1.0.9.0 --startMP 204:477 --initTime 2017-07-30T20:23:11 --startdatetime 2017-07-30T20:40:40 --delay 2 --endMP 204:3707 --enddatetime 2017-07-30T20:43:05 --enforcementcount 0 &gt;&gt;C:\Users\stu\Documents\GitHub\eaglep3-reporting\EC\2017-07-30-refined-times.txt</v>
      </c>
      <c r="AI219" s="96" t="str">
        <f t="shared" si="67"/>
        <v>echo {"issue":{"subject":"","project_id":79,"tracker_id":40,"status_id":1,"priority_id":2,"assigned_to_id":23,"start_date":"2017-07-30","description":"","custom_fields":[{"id":1,"name":"Subdivision","value":"Shuttle/Test"},{"id":4,"name":"Milepost","value":"0.3707"},{"id":17,"name":"Train ID","value":"87-30"},{"id":16,"name":"Locomotive ID","value":"4046"},{"id":130,"name":"Impact","value":""},{"id":150,"name":"Time of Event (Mountain Time)","value":"20:43:05"},{"id":151,"name":"Denver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9" s="47"/>
      <c r="AL219" s="47"/>
      <c r="AM219" s="142" t="str">
        <f t="shared" si="68"/>
        <v>start /low /b %USERPROFILE%\Documents\GitHub\eaglep3\Utilities\DownloadLogsFromS3.py --loco 4046 --day 2017-07-30</v>
      </c>
      <c r="AN219" s="151" t="str">
        <f t="shared" si="69"/>
        <v>echo {"issue":{"subject":"","project_id":30,"tracker_id":4,"status_id":1,"priority_id":1,"assigned_to_id":10,"start_date":"2017-07-31","description":"","custom_fields":[{"id":30,"name":"Category","value":"Issue"},{"id":3,"name":"Functional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UTC","value":"2017-07-31 02:43:05"},{"id":29,"name":"Sharepoint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M220"/>
      <c r="AO220"/>
    </row>
    <row r="221" spans="1:9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M221"/>
      <c r="AO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M222"/>
      <c r="AO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M223"/>
      <c r="AO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M224"/>
      <c r="AO224"/>
    </row>
    <row r="225" spans="1:91" s="2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M226"/>
      <c r="AO226"/>
    </row>
    <row r="227" spans="1:9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M227"/>
      <c r="AO227"/>
    </row>
    <row r="228" spans="1:9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M228"/>
      <c r="AO228"/>
    </row>
    <row r="229" spans="1:9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M229"/>
      <c r="AO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M230"/>
      <c r="AO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M231"/>
      <c r="AO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M232"/>
      <c r="AO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</sheetData>
  <autoFilter ref="A12:AG260">
    <sortState ref="A13:AG260">
      <sortCondition ref="AG13:AG219"/>
      <sortCondition ref="AD13:AD219"/>
    </sortState>
  </autoFilter>
  <sortState ref="A13:AN217">
    <sortCondition ref="AG13:AG217"/>
    <sortCondition ref="AD13:AD217"/>
  </sortState>
  <mergeCells count="1">
    <mergeCell ref="A11:P11"/>
  </mergeCells>
  <conditionalFormatting sqref="W11:W12 W265:X1048576 W13:X219">
    <cfRule type="cellIs" dxfId="10" priority="415" operator="equal">
      <formula>"Y"</formula>
    </cfRule>
  </conditionalFormatting>
  <conditionalFormatting sqref="X265:X1048576 X13:X219">
    <cfRule type="cellIs" dxfId="9" priority="398" operator="greaterThan">
      <formula>1</formula>
    </cfRule>
  </conditionalFormatting>
  <conditionalFormatting sqref="X265:X1048576 X12:X219">
    <cfRule type="cellIs" dxfId="8" priority="395" operator="equal">
      <formula>0</formula>
    </cfRule>
  </conditionalFormatting>
  <conditionalFormatting sqref="A13:S219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AK13:AK219</xm:sqref>
        </x14:dataValidation>
        <x14:dataValidation type="list" allowBlank="1" showInputMessage="1" showErrorMessage="1">
          <x14:formula1>
            <xm:f>'Redmine List Values'!$C$2:$C$15</xm:f>
          </x14:formula1>
          <xm:sqref>AL13:AL219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1"/>
  <sheetViews>
    <sheetView topLeftCell="A2" workbookViewId="0">
      <selection activeCell="P15" sqref="P15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COUNTIF($O$7:$O$272,"=Y")</f>
        <v>0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COUNTA($O$7:$O$272)-O2</f>
        <v>40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- 2017-07-30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403</v>
      </c>
      <c r="X6" s="208" t="s">
        <v>396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42946.599733796298</v>
      </c>
      <c r="B7" s="30" t="s">
        <v>532</v>
      </c>
      <c r="C7" s="30" t="s">
        <v>639</v>
      </c>
      <c r="D7" s="30" t="s">
        <v>49</v>
      </c>
      <c r="E7" s="30" t="s">
        <v>187</v>
      </c>
      <c r="F7" s="42">
        <v>370</v>
      </c>
      <c r="G7" s="42">
        <v>420</v>
      </c>
      <c r="H7" s="42">
        <v>32496</v>
      </c>
      <c r="I7" s="42">
        <v>33431</v>
      </c>
      <c r="J7" s="30" t="s">
        <v>188</v>
      </c>
      <c r="K7" s="42">
        <v>33137</v>
      </c>
      <c r="L7" s="131" t="s">
        <v>50</v>
      </c>
      <c r="M7" s="132">
        <f t="shared" ref="M7:M46" si="0">CONVERT((I7-K7)/10000,"mi","ft")*IF(L7="Increasing Mileposts (1)",-1,1)</f>
        <v>-155.232</v>
      </c>
      <c r="N7" s="133" t="str">
        <f>VLOOKUP(C7,'Trips&amp;Operators'!$C$1:$G$99999,5,FALSE)</f>
        <v>ROMERO CHAD</v>
      </c>
      <c r="O7" s="203" t="s">
        <v>180</v>
      </c>
      <c r="P7" s="134" t="s">
        <v>407</v>
      </c>
      <c r="Q7" s="30"/>
      <c r="R7" s="81" t="str">
        <f>VLOOKUP(C7,'Train Runs'!$A$13:$AE$9919,31,0)</f>
        <v>aws s3 cp s3://rtdc.mdm.uploadarchive.raw/RTDC4066/ "%USERPROFILE%\AppData\Local\Temp\OnboardLogs"\RTDC4066\2017-07-30 --exclude "*" --recursive --include "*20170730*" &amp; "%USERPROFILE%\Documents\GitHub\mrs-test-scripts\Headless Mode &amp; Sideloading\WalkAndUnGZ.bat" "%USERPROFILE%\AppData\Local\Temp\OnboardLogs"\RTDC4066\2017-07-30 &amp; aws s3 cp s3://rtdc.mdm.uploadarchive.raw/RTDC4066/ "%USERPROFILE%\AppData\Local\Temp\OnboardLogs"\RTDC4066\2017-07-31 --exclude "*" --recursive --include "*20170731*" &amp; "%USERPROFILE%\Documents\GitHub\mrs-test-scripts\Headless Mode &amp; Sideloading\WalkAndUnGZ.bat" "%USERPROFILE%\AppData\Local\Temp\OnboardLogs"\RTDC4066\2017-07-31</v>
      </c>
      <c r="S7" s="84" t="str">
        <f>VLOOKUP(C7,'Train Runs'!$A$13:$AE$9919,22,0)</f>
        <v>https://d0f6bd738d7f1b3e5a7ca70fe4ff75f0.us-east-1.aws.found.io/app/kibana#/discover/Steve-Slow-Train-Analysis-(2080s-and-2083s)?_g=(refreshInterval:(display:Off,pause:!f,section:0,value:0),time:(from:'2017-07-30T13:08:17-0600',mode:absolute,to:'2017-07-30T15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7" s="86" t="str">
        <f t="shared" ref="T7:T46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/stypes="*4066*201707302*" /stext=" 20:.+((SYSTEM_STATE.+slice.+state.+changed )|(ment ac)|(multiple cpu faults)|(system.+state.+changed )|(\[timeout)|(PRM\|1\|D)|(kpr)|(kdp)|(train st.+moving)|(\|lc)|(penalty))"</v>
      </c>
      <c r="U7" s="9" t="str">
        <f t="shared" ref="U7:U46" si="2">MID(B7,13,4)</f>
        <v>4066</v>
      </c>
      <c r="V7" s="31">
        <f t="shared" ref="V7:V46" si="3">A7-utc_offset/24</f>
        <v>42946.849733796298</v>
      </c>
      <c r="W7" s="45" t="str">
        <f t="shared" ref="W7:W46" si="4">DetSubdiv(C7)</f>
        <v>EC</v>
      </c>
      <c r="X7" s="22">
        <f t="shared" ref="X7:X46" si="5">VALUE(LEFT(C7,LEN(C7)-3))</f>
        <v>185</v>
      </c>
      <c r="Y7" s="96" t="str">
        <f t="shared" ref="Y7:Y46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arrival","project_id":79,"tracker_id":40,"status_id":1,"priority_id":2,"assigned_to_id":23,"start_date":"2017-07-30","description":"","custom_fields":[{"id":1,"name":"Subdivision","value":"EC"},{"id":4,"name":"Milepost","value":"3.3137"},{"id":17,"name":"Train ID","value":"185-30"},{"id":16,"name":"Locomotive ID","value":"4066"},{"id":130,"name":"Impact","value":""},{"id":150,"name":"Time of Event (Mountain Time)","value":"14:23:37"},{"id":151,"name":"Denver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6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/c/Users/stu/AppData/Local/Temp/OnboardLogs/RTDC4066 --include="*4066*201707302*"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"%USERPROFILE%\AppData\Local\Temp\OnboardLogs"\RTDC4066\*4066*201707302* &gt;&gt; 2017-07-30-SliceDisagreementCheck.txt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4066 --day 2017-07-30</v>
      </c>
    </row>
    <row r="8" spans="1:32" s="1" customFormat="1" x14ac:dyDescent="0.25">
      <c r="A8" s="31">
        <v>42946.521539351852</v>
      </c>
      <c r="B8" s="30" t="s">
        <v>538</v>
      </c>
      <c r="C8" s="30" t="s">
        <v>631</v>
      </c>
      <c r="D8" s="30" t="s">
        <v>49</v>
      </c>
      <c r="E8" s="30" t="s">
        <v>187</v>
      </c>
      <c r="F8" s="42">
        <v>0</v>
      </c>
      <c r="G8" s="42">
        <v>239</v>
      </c>
      <c r="H8" s="42">
        <v>33313</v>
      </c>
      <c r="I8" s="42">
        <v>32962</v>
      </c>
      <c r="J8" s="30" t="s">
        <v>188</v>
      </c>
      <c r="K8" s="42">
        <v>33257</v>
      </c>
      <c r="L8" s="131" t="s">
        <v>51</v>
      </c>
      <c r="M8" s="132">
        <f t="shared" si="0"/>
        <v>-155.76</v>
      </c>
      <c r="N8" s="133" t="str">
        <f>VLOOKUP(C8,'Trips&amp;Operators'!$C$1:$G$99999,5,FALSE)</f>
        <v>NELSON ARIANE</v>
      </c>
      <c r="O8" s="203" t="s">
        <v>180</v>
      </c>
      <c r="P8" s="134" t="s">
        <v>407</v>
      </c>
      <c r="Q8" s="30"/>
      <c r="R8" s="81" t="str">
        <f>VLOOKUP(C8,'Train Runs'!$A$13:$AE$9919,31,0)</f>
        <v>aws s3 cp s3://rtdc.mdm.uploadarchive.raw/RTDC4015/ "%USERPROFILE%\AppData\Local\Temp\OnboardLogs"\RTDC4015\2017-07-30 --exclude "*" --recursive --include "*20170730*" &amp; "%USERPROFILE%\Documents\GitHub\mrs-test-scripts\Headless Mode &amp; Sideloading\WalkAndUnGZ.bat" "%USERPROFILE%\AppData\Local\Temp\OnboardLogs"\RTDC4015\2017-07-30 &amp; aws s3 cp s3://rtdc.mdm.uploadarchive.raw/RTDC4015/ "%USERPROFILE%\AppData\Local\Temp\OnboardLogs"\RTDC4015\2017-07-31 --exclude "*" --recursive --include "*20170731*" &amp; "%USERPROFILE%\Documents\GitHub\mrs-test-scripts\Headless Mode &amp; Sideloading\WalkAndUnGZ.bat" "%USERPROFILE%\AppData\Local\Temp\OnboardLogs"\RTDC4015\2017-07-31</v>
      </c>
      <c r="S8" s="84" t="str">
        <f>VLOOKUP(C8,'Train Runs'!$A$13:$AE$9919,22,0)</f>
        <v>https://d0f6bd738d7f1b3e5a7ca70fe4ff75f0.us-east-1.aws.found.io/app/kibana#/discover/Steve-Slow-Train-Analysis-(2080s-and-2083s)?_g=(refreshInterval:(display:Off,pause:!f,section:0,value:0),time:(from:'2017-07-30T10:53:25-0600',mode:absolute,to:'2017-07-30T13:43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8" s="86" t="str">
        <f t="shared" si="1"/>
        <v>"C:\Program Files (x86)\AstroGrep\AstroGrep.exe" /e /r /s /spath="%USERPROFILE%\AppData\Local\Temp\OnboardLogs" /stypes="*4015*201707301*" /stext=" 18:.+((SYSTEM_STATE.+slice.+state.+changed )|(ment ac)|(multiple cpu faults)|(system.+state.+changed )|(\[timeout)|(PRM\|1\|D)|(kpr)|(kdp)|(train st.+moving)|(\|lc)|(penalty))"</v>
      </c>
      <c r="U8" s="9" t="str">
        <f t="shared" si="2"/>
        <v>4015</v>
      </c>
      <c r="V8" s="31">
        <f t="shared" si="3"/>
        <v>42946.771539351852</v>
      </c>
      <c r="W8" s="45" t="str">
        <f t="shared" si="4"/>
        <v>EC</v>
      </c>
      <c r="X8" s="22">
        <f t="shared" si="5"/>
        <v>160</v>
      </c>
      <c r="Y8" s="96" t="str">
        <f t="shared" si="6"/>
        <v>echo {"issue":{"subject":"Early arrival","project_id":79,"tracker_id":40,"status_id":1,"priority_id":2,"assigned_to_id":23,"start_date":"2017-07-30","description":"","custom_fields":[{"id":1,"name":"Subdivision","value":"EC"},{"id":4,"name":"Milepost","value":"3.3257"},{"id":17,"name":"Train ID","value":"160-30"},{"id":16,"name":"Locomotive ID","value":"4015"},{"id":130,"name":"Impact","value":""},{"id":150,"name":"Time of Event (Mountain Time)","value":"12:31:01"},{"id":151,"name":"Denver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/c/Users/stu/AppData/Local/Temp/OnboardLogs/RTDC4015 --include="*4015*201707301*"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"%USERPROFILE%\AppData\Local\Temp\OnboardLogs"\RTDC4015\*4015*201707301* &gt;&gt; 2017-07-30-SliceDisagreementCheck.txt</v>
      </c>
      <c r="AE8" s="145" t="str">
        <f t="shared" ref="AE8:AE46" si="9">"start /low /b "&amp;dls3logs&amp;" --loco "&amp;U8&amp;" --day "&amp;TEXT(V8,"YYYY-MM-DD")</f>
        <v>start /low /b %USERPROFILE%\Documents\GitHub\eaglep3\Utilities\DownloadLogsFromS3.py --loco 4015 --day 2017-07-30</v>
      </c>
    </row>
    <row r="9" spans="1:32" s="1" customFormat="1" x14ac:dyDescent="0.25">
      <c r="A9" s="31">
        <v>42947.018379629626</v>
      </c>
      <c r="B9" s="30" t="s">
        <v>526</v>
      </c>
      <c r="C9" s="30" t="s">
        <v>661</v>
      </c>
      <c r="D9" s="30" t="s">
        <v>49</v>
      </c>
      <c r="E9" s="30" t="s">
        <v>187</v>
      </c>
      <c r="F9" s="42">
        <v>0</v>
      </c>
      <c r="G9" s="42">
        <v>251</v>
      </c>
      <c r="H9" s="42">
        <v>33387</v>
      </c>
      <c r="I9" s="42">
        <v>32993</v>
      </c>
      <c r="J9" s="30" t="s">
        <v>188</v>
      </c>
      <c r="K9" s="42">
        <v>33257</v>
      </c>
      <c r="L9" s="131" t="s">
        <v>51</v>
      </c>
      <c r="M9" s="132">
        <f t="shared" si="0"/>
        <v>-139.392</v>
      </c>
      <c r="N9" s="133" t="str">
        <f>VLOOKUP(C9,'Trips&amp;Operators'!$C$1:$G$99999,5,FALSE)</f>
        <v>STAMBAUGH JAMES</v>
      </c>
      <c r="O9" s="203" t="s">
        <v>180</v>
      </c>
      <c r="P9" s="134" t="s">
        <v>407</v>
      </c>
      <c r="Q9" s="30"/>
      <c r="R9" s="81" t="str">
        <f>VLOOKUP(C9,'Train Runs'!$A$13:$AE$9919,31,0)</f>
        <v>aws s3 cp s3://rtdc.mdm.uploadarchive.raw/RTDC4003/ "%USERPROFILE%\AppData\Local\Temp\OnboardLogs"\RTDC4003\2017-07-30 --exclude "*" --recursive --include "*20170730*" &amp; "%USERPROFILE%\Documents\GitHub\mrs-test-scripts\Headless Mode &amp; Sideloading\WalkAndUnGZ.bat" "%USERPROFILE%\AppData\Local\Temp\OnboardLogs"\RTDC4003\2017-07-30 &amp; aws s3 cp s3://rtdc.mdm.uploadarchive.raw/RTDC4003/ "%USERPROFILE%\AppData\Local\Temp\OnboardLogs"\RTDC4003\2017-07-31 --exclude "*" --recursive --include "*20170731*" &amp; "%USERPROFILE%\Documents\GitHub\mrs-test-scripts\Headless Mode &amp; Sideloading\WalkAndUnGZ.bat" "%USERPROFILE%\AppData\Local\Temp\OnboardLogs"\RTDC4003\2017-07-31</v>
      </c>
      <c r="S9" s="84" t="str">
        <f>VLOOKUP(C9,'Train Runs'!$A$13:$AE$9919,22,0)</f>
        <v>https://d0f6bd738d7f1b3e5a7ca70fe4ff75f0.us-east-1.aws.found.io/app/kibana#/discover/Steve-Slow-Train-Analysis-(2080s-and-2083s)?_g=(refreshInterval:(display:Off,pause:!f,section:0,value:0),time:(from:'2017-07-30T22:53:39-0600',mode:absolute,to:'2017-07-31T01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9" s="86" t="str">
        <f t="shared" si="1"/>
        <v>"C:\Program Files (x86)\AstroGrep\AstroGrep.exe" /e /r /s /spath="%USERPROFILE%\AppData\Local\Temp\OnboardLogs" /stypes="*4003*201707310*" /stext=" 06:.+((SYSTEM_STATE.+slice.+state.+changed )|(ment ac)|(multiple cpu faults)|(system.+state.+changed )|(\[timeout)|(PRM\|1\|D)|(kpr)|(kdp)|(train st.+moving)|(\|lc)|(penalty))"</v>
      </c>
      <c r="U9" s="9" t="str">
        <f t="shared" si="2"/>
        <v>4003</v>
      </c>
      <c r="V9" s="31">
        <f t="shared" si="3"/>
        <v>42947.268379629626</v>
      </c>
      <c r="W9" s="45" t="str">
        <f t="shared" si="4"/>
        <v>EC</v>
      </c>
      <c r="X9" s="22">
        <f t="shared" si="5"/>
        <v>238</v>
      </c>
      <c r="Y9" s="96" t="str">
        <f t="shared" si="6"/>
        <v>echo {"issue":{"subject":"Early arrival","project_id":79,"tracker_id":40,"status_id":1,"priority_id":2,"assigned_to_id":23,"start_date":"2017-07-31","description":"","custom_fields":[{"id":1,"name":"Subdivision","value":"EC"},{"id":4,"name":"Milepost","value":"3.3257"},{"id":17,"name":"Train ID","value":"238-30"},{"id":16,"name":"Locomotive ID","value":"4003"},{"id":130,"name":"Impact","value":""},{"id":150,"name":"Time of Event (Mountain Time)","value":"00:26:28"},{"id":151,"name":"Denver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/c/Users/stu/AppData/Local/Temp/OnboardLogs/RTDC4003 --include="*4003*201707310*"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"%USERPROFILE%\AppData\Local\Temp\OnboardLogs"\RTDC4003\*4003*201707310* &gt;&gt; 2017-07-30-SliceDisagreementCheck.txt</v>
      </c>
      <c r="AE9" s="145" t="str">
        <f t="shared" si="9"/>
        <v>start /low /b %USERPROFILE%\Documents\GitHub\eaglep3\Utilities\DownloadLogsFromS3.py --loco 4003 --day 2017-07-31</v>
      </c>
    </row>
    <row r="10" spans="1:32" s="1" customFormat="1" x14ac:dyDescent="0.25">
      <c r="A10" s="31">
        <v>42946.38962962963</v>
      </c>
      <c r="B10" s="30" t="s">
        <v>528</v>
      </c>
      <c r="C10" s="30" t="s">
        <v>626</v>
      </c>
      <c r="D10" s="30" t="s">
        <v>49</v>
      </c>
      <c r="E10" s="30" t="s">
        <v>187</v>
      </c>
      <c r="F10" s="42">
        <v>0</v>
      </c>
      <c r="G10" s="42">
        <v>214</v>
      </c>
      <c r="H10" s="42">
        <v>41721</v>
      </c>
      <c r="I10" s="42">
        <v>42075</v>
      </c>
      <c r="J10" s="30" t="s">
        <v>188</v>
      </c>
      <c r="K10" s="42">
        <v>42779</v>
      </c>
      <c r="L10" s="131" t="s">
        <v>50</v>
      </c>
      <c r="M10" s="132">
        <f t="shared" si="0"/>
        <v>371.71199999999999</v>
      </c>
      <c r="N10" s="133" t="str">
        <f>VLOOKUP(C10,'Trips&amp;Operators'!$C$1:$G$99999,5,FALSE)</f>
        <v>WILLIAMS DONTE</v>
      </c>
      <c r="O10" s="203" t="s">
        <v>180</v>
      </c>
      <c r="P10" s="134" t="s">
        <v>615</v>
      </c>
      <c r="Q10" s="30"/>
      <c r="R10" s="81" t="str">
        <f>VLOOKUP(C10,'Train Runs'!$A$13:$AE$9919,31,0)</f>
        <v>aws s3 cp s3://rtdc.mdm.uploadarchive.raw/RTDC4006/ "%USERPROFILE%\AppData\Local\Temp\OnboardLogs"\RTDC4006\2017-07-30 --exclude "*" --recursive --include "*20170730*" &amp; "%USERPROFILE%\Documents\GitHub\mrs-test-scripts\Headless Mode &amp; Sideloading\WalkAndUnGZ.bat" "%USERPROFILE%\AppData\Local\Temp\OnboardLogs"\RTDC4006\2017-07-30 &amp; aws s3 cp s3://rtdc.mdm.uploadarchive.raw/RTDC4006/ "%USERPROFILE%\AppData\Local\Temp\OnboardLogs"\RTDC4006\2017-07-31 --exclude "*" --recursive --include "*20170731*" &amp; "%USERPROFILE%\Documents\GitHub\mrs-test-scripts\Headless Mode &amp; Sideloading\WalkAndUnGZ.bat" "%USERPROFILE%\AppData\Local\Temp\OnboardLogs"\RTDC4006\2017-07-31</v>
      </c>
      <c r="S10" s="84" t="str">
        <f>VLOOKUP(C10,'Train Runs'!$A$13:$AE$9919,22,0)</f>
        <v>https://d0f6bd738d7f1b3e5a7ca70fe4ff75f0.us-east-1.aws.found.io/app/kibana#/discover/Steve-Slow-Train-Analysis-(2080s-and-2083s)?_g=(refreshInterval:(display:Off,pause:!f,section:0,value:0),time:(from:'2017-07-30T07:53:38-0600',mode:absolute,to:'2017-07-30T10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0" s="86" t="str">
        <f t="shared" si="1"/>
        <v>"C:\Program Files (x86)\AstroGrep\AstroGrep.exe" /e /r /s /spath="%USERPROFILE%\AppData\Local\Temp\OnboardLogs" /stypes="*4006*201707301*" /stext=" 15:.+((SYSTEM_STATE.+slice.+state.+changed )|(ment ac)|(multiple cpu faults)|(system.+state.+changed )|(\[timeout)|(PRM\|1\|D)|(kpr)|(kdp)|(train st.+moving)|(\|lc)|(penalty))"</v>
      </c>
      <c r="U10" s="9" t="str">
        <f t="shared" si="2"/>
        <v>4006</v>
      </c>
      <c r="V10" s="31">
        <f t="shared" si="3"/>
        <v>42946.63962962963</v>
      </c>
      <c r="W10" s="45" t="str">
        <f t="shared" si="4"/>
        <v>EC</v>
      </c>
      <c r="X10" s="22">
        <f t="shared" si="5"/>
        <v>143</v>
      </c>
      <c r="Y10" s="96" t="str">
        <f t="shared" si="6"/>
        <v>echo {"issue":{"subject":"Form C","project_id":79,"tracker_id":40,"status_id":1,"priority_id":2,"assigned_to_id":23,"start_date":"2017-07-30","description":"","custom_fields":[{"id":1,"name":"Subdivision","value":"EC"},{"id":4,"name":"Milepost","value":"4.2779"},{"id":17,"name":"Train ID","value":"143-30"},{"id":16,"name":"Locomotive ID","value":"4006"},{"id":130,"name":"Impact","value":""},{"id":150,"name":"Time of Event (Mountain Time)","value":"09:21:04"},{"id":151,"name":"Denver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/c/Users/stu/AppData/Local/Temp/OnboardLogs/RTDC4006 --include="*4006*201707301*"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"%USERPROFILE%\AppData\Local\Temp\OnboardLogs"\RTDC4006\*4006*201707301* &gt;&gt; 2017-07-30-SliceDisagreementCheck.txt</v>
      </c>
      <c r="AE10" s="145" t="str">
        <f t="shared" si="9"/>
        <v>start /low /b %USERPROFILE%\Documents\GitHub\eaglep3\Utilities\DownloadLogsFromS3.py --loco 4006 --day 2017-07-30</v>
      </c>
    </row>
    <row r="11" spans="1:32" s="1" customFormat="1" x14ac:dyDescent="0.25">
      <c r="A11" s="31">
        <v>42946.483564814815</v>
      </c>
      <c r="B11" s="30" t="s">
        <v>526</v>
      </c>
      <c r="C11" s="30" t="s">
        <v>629</v>
      </c>
      <c r="D11" s="30" t="s">
        <v>49</v>
      </c>
      <c r="E11" s="30" t="s">
        <v>187</v>
      </c>
      <c r="F11" s="42">
        <v>540</v>
      </c>
      <c r="G11" s="42">
        <v>593</v>
      </c>
      <c r="H11" s="42">
        <v>78608</v>
      </c>
      <c r="I11" s="42">
        <v>76726</v>
      </c>
      <c r="J11" s="30" t="s">
        <v>188</v>
      </c>
      <c r="K11" s="42">
        <v>78469</v>
      </c>
      <c r="L11" s="131" t="s">
        <v>51</v>
      </c>
      <c r="M11" s="132">
        <f t="shared" si="0"/>
        <v>-920.30399999999997</v>
      </c>
      <c r="N11" s="133" t="str">
        <f>VLOOKUP(C11,'Trips&amp;Operators'!$C$1:$G$99999,5,FALSE)</f>
        <v>SULLIVAN BRANDON</v>
      </c>
      <c r="O11" s="203" t="s">
        <v>180</v>
      </c>
      <c r="P11" s="134" t="s">
        <v>407</v>
      </c>
      <c r="Q11" s="30"/>
      <c r="R11" s="81" t="str">
        <f>VLOOKUP(C11,'Train Runs'!$A$13:$AE$9919,31,0)</f>
        <v>aws s3 cp s3://rtdc.mdm.uploadarchive.raw/RTDC4003/ "%USERPROFILE%\AppData\Local\Temp\OnboardLogs"\RTDC4003\2017-07-30 --exclude "*" --recursive --include "*20170730*" &amp; "%USERPROFILE%\Documents\GitHub\mrs-test-scripts\Headless Mode &amp; Sideloading\WalkAndUnGZ.bat" "%USERPROFILE%\AppData\Local\Temp\OnboardLogs"\RTDC4003\2017-07-30 &amp; aws s3 cp s3://rtdc.mdm.uploadarchive.raw/RTDC4003/ "%USERPROFILE%\AppData\Local\Temp\OnboardLogs"\RTDC4003\2017-07-31 --exclude "*" --recursive --include "*20170731*" &amp; "%USERPROFILE%\Documents\GitHub\mrs-test-scripts\Headless Mode &amp; Sideloading\WalkAndUnGZ.bat" "%USERPROFILE%\AppData\Local\Temp\OnboardLogs"\RTDC4003\2017-07-31</v>
      </c>
      <c r="S11" s="84" t="str">
        <f>VLOOKUP(C11,'Train Runs'!$A$13:$AE$9919,22,0)</f>
        <v>https://d0f6bd738d7f1b3e5a7ca70fe4ff75f0.us-east-1.aws.found.io/app/kibana#/discover/Steve-Slow-Train-Analysis-(2080s-and-2083s)?_g=(refreshInterval:(display:Off,pause:!f,section:0,value:0),time:(from:'2017-07-30T10:07:14-0600',mode:absolute,to:'2017-07-30T12:57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1" s="86" t="str">
        <f t="shared" si="1"/>
        <v>"C:\Program Files (x86)\AstroGrep\AstroGrep.exe" /e /r /s /spath="%USERPROFILE%\AppData\Local\Temp\OnboardLogs" /stypes="*4003*201707301*" /stext=" 17:.+((SYSTEM_STATE.+slice.+state.+changed )|(ment ac)|(multiple cpu faults)|(system.+state.+changed )|(\[timeout)|(PRM\|1\|D)|(kpr)|(kdp)|(train st.+moving)|(\|lc)|(penalty))"</v>
      </c>
      <c r="U11" s="9" t="str">
        <f t="shared" si="2"/>
        <v>4003</v>
      </c>
      <c r="V11" s="31">
        <f t="shared" si="3"/>
        <v>42946.733564814815</v>
      </c>
      <c r="W11" s="45" t="str">
        <f t="shared" si="4"/>
        <v>EC</v>
      </c>
      <c r="X11" s="22">
        <f t="shared" si="5"/>
        <v>154</v>
      </c>
      <c r="Y11" s="96" t="str">
        <f t="shared" si="6"/>
        <v>echo {"issue":{"subject":"Early arrival","project_id":79,"tracker_id":40,"status_id":1,"priority_id":2,"assigned_to_id":23,"start_date":"2017-07-30","description":"","custom_fields":[{"id":1,"name":"Subdivision","value":"EC"},{"id":4,"name":"Milepost","value":"7.8469"},{"id":17,"name":"Train ID","value":"154-30"},{"id":16,"name":"Locomotive ID","value":"4003"},{"id":130,"name":"Impact","value":""},{"id":150,"name":"Time of Event (Mountain Time)","value":"11:36:20"},{"id":151,"name":"Denver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/c/Users/stu/AppData/Local/Temp/OnboardLogs/RTDC4003 --include="*4003*201707301*"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"%USERPROFILE%\AppData\Local\Temp\OnboardLogs"\RTDC4003\*4003*201707301* &gt;&gt; 2017-07-30-SliceDisagreementCheck.txt</v>
      </c>
      <c r="AE11" s="145" t="str">
        <f t="shared" si="9"/>
        <v>start /low /b %USERPROFILE%\Documents\GitHub\eaglep3\Utilities\DownloadLogsFromS3.py --loco 4003 --day 2017-07-30</v>
      </c>
    </row>
    <row r="12" spans="1:32" s="1" customFormat="1" x14ac:dyDescent="0.25">
      <c r="A12" s="31">
        <v>42946.822523148148</v>
      </c>
      <c r="B12" s="30" t="s">
        <v>389</v>
      </c>
      <c r="C12" s="30" t="s">
        <v>655</v>
      </c>
      <c r="D12" s="30" t="s">
        <v>96</v>
      </c>
      <c r="E12" s="30" t="s">
        <v>187</v>
      </c>
      <c r="F12" s="42">
        <v>360</v>
      </c>
      <c r="G12" s="42">
        <v>415</v>
      </c>
      <c r="H12" s="42">
        <v>108968</v>
      </c>
      <c r="I12" s="42">
        <v>107420</v>
      </c>
      <c r="J12" s="30" t="s">
        <v>188</v>
      </c>
      <c r="K12" s="42">
        <v>109135</v>
      </c>
      <c r="L12" s="131" t="s">
        <v>51</v>
      </c>
      <c r="M12" s="132">
        <f t="shared" si="0"/>
        <v>-905.52</v>
      </c>
      <c r="N12" s="133" t="str">
        <f>VLOOKUP(C12,'Trips&amp;Operators'!$C$1:$G$99999,5,FALSE)</f>
        <v>HAITHCOX MICHAEL</v>
      </c>
      <c r="O12" s="203" t="s">
        <v>180</v>
      </c>
      <c r="P12" s="134" t="s">
        <v>407</v>
      </c>
      <c r="Q12" s="30"/>
      <c r="R12" s="81" t="str">
        <f>VLOOKUP(C12,'Train Runs'!$A$13:$AE$9919,31,0)</f>
        <v>aws s3 cp s3://rtdc.mdm.uploadarchive.raw/RTDC4045/ "%USERPROFILE%\AppData\Local\Temp\OnboardLogs"\RTDC4045\2017-07-30 --exclude "*" --recursive --include "*20170730*" &amp; "%USERPROFILE%\Documents\GitHub\mrs-test-scripts\Headless Mode &amp; Sideloading\WalkAndUnGZ.bat" "%USERPROFILE%\AppData\Local\Temp\OnboardLogs"\RTDC4045\2017-07-30 &amp; aws s3 cp s3://rtdc.mdm.uploadarchive.raw/RTDC4045/ "%USERPROFILE%\AppData\Local\Temp\OnboardLogs"\RTDC4045\2017-07-31 --exclude "*" --recursive --include "*20170731*" &amp; "%USERPROFILE%\Documents\GitHub\mrs-test-scripts\Headless Mode &amp; Sideloading\WalkAndUnGZ.bat" "%USERPROFILE%\AppData\Local\Temp\OnboardLogs"\RTDC4045\2017-07-31</v>
      </c>
      <c r="S12" s="84" t="str">
        <f>VLOOKUP(C12,'Train Runs'!$A$13:$AE$9919,22,0)</f>
        <v>https://d0f6bd738d7f1b3e5a7ca70fe4ff75f0.us-east-1.aws.found.io/app/kibana#/discover/Steve-Slow-Train-Analysis-(2080s-and-2083s)?_g=(refreshInterval:(display:Off,pause:!f,section:0,value:0),time:(from:'2017-07-30T18:09:38-0600',mode:absolute,to:'2017-07-30T21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2" s="86" t="str">
        <f t="shared" si="1"/>
        <v>"C:\Program Files (x86)\AstroGrep\AstroGrep.exe" /e /r /s /spath="%USERPROFILE%\AppData\Local\Temp\OnboardLogs" /stypes="*4045*201707310*" /stext=" 01:.+((SYSTEM_STATE.+slice.+state.+changed )|(ment ac)|(multiple cpu faults)|(system.+state.+changed )|(\[timeout)|(PRM\|1\|D)|(kpr)|(kdp)|(train st.+moving)|(\|lc)|(penalty))"</v>
      </c>
      <c r="U12" s="9" t="str">
        <f t="shared" si="2"/>
        <v>4045</v>
      </c>
      <c r="V12" s="31">
        <f t="shared" si="3"/>
        <v>42947.072523148148</v>
      </c>
      <c r="W12" s="45" t="str">
        <f t="shared" si="4"/>
        <v>EC</v>
      </c>
      <c r="X12" s="22">
        <f t="shared" si="5"/>
        <v>220</v>
      </c>
      <c r="Y12" s="96" t="str">
        <f t="shared" si="6"/>
        <v>echo {"issue":{"subject":"Early arrival","project_id":79,"tracker_id":40,"status_id":1,"priority_id":2,"assigned_to_id":23,"start_date":"2017-07-30","description":"","custom_fields":[{"id":1,"name":"Subdivision","value":"EC"},{"id":4,"name":"Milepost","value":"10.9135"},{"id":17,"name":"Train ID","value":"220-30"},{"id":16,"name":"Locomotive ID","value":"4045"},{"id":130,"name":"Impact","value":""},{"id":150,"name":"Time of Event (Mountain Time)","value":"19:44:26"},{"id":151,"name":"Denver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/c/Users/stu/AppData/Local/Temp/OnboardLogs/RTDC4045 --include="*4045*201707310*"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"%USERPROFILE%\AppData\Local\Temp\OnboardLogs"\RTDC4045\*4045*201707310* &gt;&gt; 2017-07-30-SliceDisagreementCheck.txt</v>
      </c>
      <c r="AE12" s="145" t="str">
        <f t="shared" si="9"/>
        <v>start /low /b %USERPROFILE%\Documents\GitHub\eaglep3\Utilities\DownloadLogsFromS3.py --loco 4045 --day 2017-07-31</v>
      </c>
    </row>
    <row r="13" spans="1:32" s="1" customFormat="1" x14ac:dyDescent="0.25">
      <c r="A13" s="31">
        <v>42946.654328703706</v>
      </c>
      <c r="B13" s="30" t="s">
        <v>531</v>
      </c>
      <c r="C13" s="30" t="s">
        <v>642</v>
      </c>
      <c r="D13" s="30" t="s">
        <v>49</v>
      </c>
      <c r="E13" s="30" t="s">
        <v>196</v>
      </c>
      <c r="F13" s="42">
        <v>200</v>
      </c>
      <c r="G13" s="42">
        <v>254</v>
      </c>
      <c r="H13" s="42">
        <v>31158</v>
      </c>
      <c r="I13" s="42">
        <v>30750</v>
      </c>
      <c r="J13" s="30" t="s">
        <v>197</v>
      </c>
      <c r="K13" s="42">
        <v>30562</v>
      </c>
      <c r="L13" s="131" t="s">
        <v>51</v>
      </c>
      <c r="M13" s="132">
        <f t="shared" si="0"/>
        <v>99.263999999999996</v>
      </c>
      <c r="N13" s="133" t="str">
        <f>VLOOKUP(C13,'Trips&amp;Operators'!$C$1:$G$99999,5,FALSE)</f>
        <v>ROMERO CHAD</v>
      </c>
      <c r="O13" s="203" t="s">
        <v>180</v>
      </c>
      <c r="P13" s="134"/>
      <c r="Q13" s="30"/>
      <c r="R13" s="81" t="str">
        <f>VLOOKUP(C13,'Train Runs'!$A$13:$AE$9919,31,0)</f>
        <v>aws s3 cp s3://rtdc.mdm.uploadarchive.raw/RTDC4065/ "%USERPROFILE%\AppData\Local\Temp\OnboardLogs"\RTDC4065\2017-07-30 --exclude "*" --recursive --include "*20170730*" &amp; "%USERPROFILE%\Documents\GitHub\mrs-test-scripts\Headless Mode &amp; Sideloading\WalkAndUnGZ.bat" "%USERPROFILE%\AppData\Local\Temp\OnboardLogs"\RTDC4065\2017-07-30 &amp; aws s3 cp s3://rtdc.mdm.uploadarchive.raw/RTDC4065/ "%USERPROFILE%\AppData\Local\Temp\OnboardLogs"\RTDC4065\2017-07-31 --exclude "*" --recursive --include "*20170731*" &amp; "%USERPROFILE%\Documents\GitHub\mrs-test-scripts\Headless Mode &amp; Sideloading\WalkAndUnGZ.bat" "%USERPROFILE%\AppData\Local\Temp\OnboardLogs"\RTDC4065\2017-07-31</v>
      </c>
      <c r="S13" s="84" t="str">
        <f>VLOOKUP(C13,'Train Runs'!$A$13:$AE$9919,22,0)</f>
        <v>https://d0f6bd738d7f1b3e5a7ca70fe4ff75f0.us-east-1.aws.found.io/app/kibana#/discover/Steve-Slow-Train-Analysis-(2080s-and-2083s)?_g=(refreshInterval:(display:Off,pause:!f,section:0,value:0),time:(from:'2017-07-30T13:57:44-0600',mode:absolute,to:'2017-07-30T16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3" s="86" t="str">
        <f t="shared" si="1"/>
        <v>"C:\Program Files (x86)\AstroGrep\AstroGrep.exe" /e /r /s /spath="%USERPROFILE%\AppData\Local\Temp\OnboardLogs" /stypes="*4065*201707302*" /stext=" 21:.+((SYSTEM_STATE.+slice.+state.+changed )|(ment ac)|(multiple cpu faults)|(system.+state.+changed )|(\[timeout)|(PRM\|1\|D)|(kpr)|(kdp)|(train st.+moving)|(\|lc)|(penalty))"</v>
      </c>
      <c r="U13" s="9" t="str">
        <f t="shared" si="2"/>
        <v>4065</v>
      </c>
      <c r="V13" s="31">
        <f t="shared" si="3"/>
        <v>42946.904328703706</v>
      </c>
      <c r="W13" s="45" t="str">
        <f t="shared" si="4"/>
        <v>EC</v>
      </c>
      <c r="X13" s="22">
        <f t="shared" si="5"/>
        <v>186</v>
      </c>
      <c r="Y13" s="96" t="str">
        <f t="shared" si="6"/>
        <v>echo {"issue":{"subject":"","project_id":79,"tracker_id":40,"status_id":1,"priority_id":2,"assigned_to_id":23,"start_date":"2017-07-30","description":"","custom_fields":[{"id":1,"name":"Subdivision","value":"EC"},{"id":4,"name":"Milepost","value":"3.0562"},{"id":17,"name":"Train ID","value":"186-30"},{"id":16,"name":"Locomotive ID","value":"4065"},{"id":130,"name":"Impact","value":""},{"id":150,"name":"Time of Event (Mountain Time)","value":"15:42:14"},{"id":151,"name":"Denver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/c/Users/stu/AppData/Local/Temp/OnboardLogs/RTDC4065 --include="*4065*201707302*"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"%USERPROFILE%\AppData\Local\Temp\OnboardLogs"\RTDC4065\*4065*201707302* &gt;&gt; 2017-07-30-SliceDisagreementCheck.txt</v>
      </c>
      <c r="AE13" s="145" t="str">
        <f t="shared" si="9"/>
        <v>start /low /b %USERPROFILE%\Documents\GitHub\eaglep3\Utilities\DownloadLogsFromS3.py --loco 4065 --day 2017-07-30</v>
      </c>
    </row>
    <row r="14" spans="1:32" x14ac:dyDescent="0.25">
      <c r="A14" s="31">
        <v>42946.726643518516</v>
      </c>
      <c r="B14" s="30" t="s">
        <v>531</v>
      </c>
      <c r="C14" s="30" t="s">
        <v>648</v>
      </c>
      <c r="D14" s="30" t="s">
        <v>49</v>
      </c>
      <c r="E14" s="30" t="s">
        <v>196</v>
      </c>
      <c r="F14" s="42">
        <v>200</v>
      </c>
      <c r="G14" s="42">
        <v>250</v>
      </c>
      <c r="H14" s="42">
        <v>31195</v>
      </c>
      <c r="I14" s="42">
        <v>30851</v>
      </c>
      <c r="J14" s="30" t="s">
        <v>197</v>
      </c>
      <c r="K14" s="42">
        <v>30562</v>
      </c>
      <c r="L14" s="131" t="s">
        <v>51</v>
      </c>
      <c r="M14" s="132">
        <f t="shared" si="0"/>
        <v>152.59200000000001</v>
      </c>
      <c r="N14" s="133" t="str">
        <f>VLOOKUP(C14,'Trips&amp;Operators'!$C$1:$G$99999,5,FALSE)</f>
        <v>ROMERO CHAD</v>
      </c>
      <c r="O14" s="203" t="s">
        <v>180</v>
      </c>
      <c r="P14" s="134"/>
      <c r="Q14" s="30"/>
      <c r="R14" s="81" t="str">
        <f>VLOOKUP(C14,'Train Runs'!$A$13:$AE$9919,31,0)</f>
        <v>aws s3 cp s3://rtdc.mdm.uploadarchive.raw/RTDC4065/ "%USERPROFILE%\AppData\Local\Temp\OnboardLogs"\RTDC4065\2017-07-30 --exclude "*" --recursive --include "*20170730*" &amp; "%USERPROFILE%\Documents\GitHub\mrs-test-scripts\Headless Mode &amp; Sideloading\WalkAndUnGZ.bat" "%USERPROFILE%\AppData\Local\Temp\OnboardLogs"\RTDC4065\2017-07-30 &amp; aws s3 cp s3://rtdc.mdm.uploadarchive.raw/RTDC4065/ "%USERPROFILE%\AppData\Local\Temp\OnboardLogs"\RTDC4065\2017-07-31 --exclude "*" --recursive --include "*20170731*" &amp; "%USERPROFILE%\Documents\GitHub\mrs-test-scripts\Headless Mode &amp; Sideloading\WalkAndUnGZ.bat" "%USERPROFILE%\AppData\Local\Temp\OnboardLogs"\RTDC4065\2017-07-31</v>
      </c>
      <c r="S14" s="84" t="str">
        <f>VLOOKUP(C14,'Train Runs'!$A$13:$AE$9919,22,0)</f>
        <v>https://d0f6bd738d7f1b3e5a7ca70fe4ff75f0.us-east-1.aws.found.io/app/kibana#/discover/Steve-Slow-Train-Analysis-(2080s-and-2083s)?_g=(refreshInterval:(display:Off,pause:!f,section:0,value:0),time:(from:'2017-07-30T15:42:54-0600',mode:absolute,to:'2017-07-30T18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4" s="86" t="str">
        <f t="shared" si="1"/>
        <v>"C:\Program Files (x86)\AstroGrep\AstroGrep.exe" /e /r /s /spath="%USERPROFILE%\AppData\Local\Temp\OnboardLogs" /stypes="*4065*201707302*" /stext=" 23:.+((SYSTEM_STATE.+slice.+state.+changed )|(ment ac)|(multiple cpu faults)|(system.+state.+changed )|(\[timeout)|(PRM\|1\|D)|(kpr)|(kdp)|(train st.+moving)|(\|lc)|(penalty))"</v>
      </c>
      <c r="U14" s="9" t="str">
        <f t="shared" si="2"/>
        <v>4065</v>
      </c>
      <c r="V14" s="31">
        <f t="shared" si="3"/>
        <v>42946.976643518516</v>
      </c>
      <c r="W14" s="45" t="str">
        <f t="shared" si="4"/>
        <v>EC</v>
      </c>
      <c r="X14" s="22">
        <f t="shared" si="5"/>
        <v>200</v>
      </c>
      <c r="Y14" s="96" t="str">
        <f t="shared" si="6"/>
        <v>echo {"issue":{"subject":"","project_id":79,"tracker_id":40,"status_id":1,"priority_id":2,"assigned_to_id":23,"start_date":"2017-07-30","description":"","custom_fields":[{"id":1,"name":"Subdivision","value":"EC"},{"id":4,"name":"Milepost","value":"3.0562"},{"id":17,"name":"Train ID","value":"200-30"},{"id":16,"name":"Locomotive ID","value":"4065"},{"id":130,"name":"Impact","value":""},{"id":150,"name":"Time of Event (Mountain Time)","value":"17:26:22"},{"id":151,"name":"Denver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/c/Users/stu/AppData/Local/Temp/OnboardLogs/RTDC4065 --include="*4065*201707302*"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"%USERPROFILE%\AppData\Local\Temp\OnboardLogs"\RTDC4065\*4065*201707302* &gt;&gt; 2017-07-30-SliceDisagreementCheck.txt</v>
      </c>
      <c r="AE14" s="145" t="str">
        <f t="shared" si="9"/>
        <v>start /low /b %USERPROFILE%\Documents\GitHub\eaglep3\Utilities\DownloadLogsFromS3.py --loco 4065 --day 2017-07-30</v>
      </c>
      <c r="AF14" s="1"/>
    </row>
    <row r="15" spans="1:32" x14ac:dyDescent="0.25">
      <c r="A15" s="31">
        <v>42946.669745370367</v>
      </c>
      <c r="B15" s="30" t="s">
        <v>389</v>
      </c>
      <c r="C15" s="30" t="s">
        <v>644</v>
      </c>
      <c r="D15" s="30" t="s">
        <v>96</v>
      </c>
      <c r="E15" s="30" t="s">
        <v>196</v>
      </c>
      <c r="F15" s="42">
        <v>600</v>
      </c>
      <c r="G15" s="42">
        <v>651</v>
      </c>
      <c r="H15" s="42">
        <v>184115</v>
      </c>
      <c r="I15" s="42">
        <v>180798</v>
      </c>
      <c r="J15" s="30" t="s">
        <v>197</v>
      </c>
      <c r="K15" s="42">
        <v>191104</v>
      </c>
      <c r="L15" s="131" t="s">
        <v>51</v>
      </c>
      <c r="M15" s="132">
        <f t="shared" si="0"/>
        <v>-5441.5680000000002</v>
      </c>
      <c r="N15" s="133" t="str">
        <f>VLOOKUP(C15,'Trips&amp;Operators'!$C$1:$G$99999,5,FALSE)</f>
        <v>THOMPSON LESTER</v>
      </c>
      <c r="O15" s="203" t="s">
        <v>180</v>
      </c>
      <c r="P15" s="134"/>
      <c r="Q15" s="30"/>
      <c r="R15" s="81" t="str">
        <f>VLOOKUP(C15,'Train Runs'!$A$13:$AE$9919,31,0)</f>
        <v>aws s3 cp s3://rtdc.mdm.uploadarchive.raw/RTDC4045/ "%USERPROFILE%\AppData\Local\Temp\OnboardLogs"\RTDC4045\2017-07-30 --exclude "*" --recursive --include "*20170730*" &amp; "%USERPROFILE%\Documents\GitHub\mrs-test-scripts\Headless Mode &amp; Sideloading\WalkAndUnGZ.bat" "%USERPROFILE%\AppData\Local\Temp\OnboardLogs"\RTDC4045\2017-07-30 &amp; aws s3 cp s3://rtdc.mdm.uploadarchive.raw/RTDC4045/ "%USERPROFILE%\AppData\Local\Temp\OnboardLogs"\RTDC4045\2017-07-31 --exclude "*" --recursive --include "*20170731*" &amp; "%USERPROFILE%\Documents\GitHub\mrs-test-scripts\Headless Mode &amp; Sideloading\WalkAndUnGZ.bat" "%USERPROFILE%\AppData\Local\Temp\OnboardLogs"\RTDC4045\2017-07-31</v>
      </c>
      <c r="S15" s="84" t="str">
        <f>VLOOKUP(C15,'Train Runs'!$A$13:$AE$9919,22,0)</f>
        <v>https://d0f6bd738d7f1b3e5a7ca70fe4ff75f0.us-east-1.aws.found.io/app/kibana#/discover/Steve-Slow-Train-Analysis-(2080s-and-2083s)?_g=(refreshInterval:(display:Off,pause:!f,section:0,value:0),time:(from:'2017-07-30T14:54:19-0600',mode:absolute,to:'2017-07-30T17:39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5" s="86" t="str">
        <f t="shared" si="1"/>
        <v>"C:\Program Files (x86)\AstroGrep\AstroGrep.exe" /e /r /s /spath="%USERPROFILE%\AppData\Local\Temp\OnboardLogs" /stypes="*4045*201707302*" /stext=" 22:.+((SYSTEM_STATE.+slice.+state.+changed )|(ment ac)|(multiple cpu faults)|(system.+state.+changed )|(\[timeout)|(PRM\|1\|D)|(kpr)|(kdp)|(train st.+moving)|(\|lc)|(penalty))"</v>
      </c>
      <c r="U15" s="9" t="str">
        <f t="shared" si="2"/>
        <v>4045</v>
      </c>
      <c r="V15" s="31">
        <f t="shared" si="3"/>
        <v>42946.919745370367</v>
      </c>
      <c r="W15" s="45" t="str">
        <f t="shared" si="4"/>
        <v>EC</v>
      </c>
      <c r="X15" s="22">
        <f t="shared" si="5"/>
        <v>192</v>
      </c>
      <c r="Y15" s="96" t="str">
        <f t="shared" si="6"/>
        <v>echo {"issue":{"subject":"","project_id":79,"tracker_id":40,"status_id":1,"priority_id":2,"assigned_to_id":23,"start_date":"2017-07-30","description":"","custom_fields":[{"id":1,"name":"Subdivision","value":"EC"},{"id":4,"name":"Milepost","value":"19.1104"},{"id":17,"name":"Train ID","value":"192-30"},{"id":16,"name":"Locomotive ID","value":"4045"},{"id":130,"name":"Impact","value":""},{"id":150,"name":"Time of Event (Mountain Time)","value":"16:04:26"},{"id":151,"name":"Denver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/c/Users/stu/AppData/Local/Temp/OnboardLogs/RTDC4045 --include="*4045*201707302*"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"%USERPROFILE%\AppData\Local\Temp\OnboardLogs"\RTDC4045\*4045*201707302* &gt;&gt; 2017-07-30-SliceDisagreementCheck.txt</v>
      </c>
      <c r="AE15" s="145" t="str">
        <f t="shared" si="9"/>
        <v>start /low /b %USERPROFILE%\Documents\GitHub\eaglep3\Utilities\DownloadLogsFromS3.py --loco 4045 --day 2017-07-30</v>
      </c>
      <c r="AF15" s="1"/>
    </row>
    <row r="16" spans="1:32" x14ac:dyDescent="0.25">
      <c r="A16" s="31">
        <v>42946.431956018518</v>
      </c>
      <c r="B16" s="30" t="s">
        <v>444</v>
      </c>
      <c r="C16" s="30" t="s">
        <v>627</v>
      </c>
      <c r="D16" s="30" t="s">
        <v>96</v>
      </c>
      <c r="E16" s="30" t="s">
        <v>196</v>
      </c>
      <c r="F16" s="42">
        <v>550</v>
      </c>
      <c r="G16" s="42">
        <v>601</v>
      </c>
      <c r="H16" s="42">
        <v>222268</v>
      </c>
      <c r="I16" s="42">
        <v>219730</v>
      </c>
      <c r="J16" s="30" t="s">
        <v>197</v>
      </c>
      <c r="K16" s="42">
        <v>224578</v>
      </c>
      <c r="L16" s="131" t="s">
        <v>51</v>
      </c>
      <c r="M16" s="132">
        <f t="shared" si="0"/>
        <v>-2559.7440000000001</v>
      </c>
      <c r="N16" s="133" t="str">
        <f>VLOOKUP(C16,'Trips&amp;Operators'!$C$1:$G$99999,5,FALSE)</f>
        <v>MACDONALD THOMAS</v>
      </c>
      <c r="O16" s="203" t="s">
        <v>180</v>
      </c>
      <c r="P16" s="134"/>
      <c r="Q16" s="30"/>
      <c r="R16" s="81" t="str">
        <f>VLOOKUP(C16,'Train Runs'!$A$13:$AE$9919,31,0)</f>
        <v>aws s3 cp s3://rtdc.mdm.uploadarchive.raw/RTDC4031/ "%USERPROFILE%\AppData\Local\Temp\OnboardLogs"\RTDC4031\2017-07-30 --exclude "*" --recursive --include "*20170730*" &amp; "%USERPROFILE%\Documents\GitHub\mrs-test-scripts\Headless Mode &amp; Sideloading\WalkAndUnGZ.bat" "%USERPROFILE%\AppData\Local\Temp\OnboardLogs"\RTDC4031\2017-07-30 &amp; aws s3 cp s3://rtdc.mdm.uploadarchive.raw/RTDC4031/ "%USERPROFILE%\AppData\Local\Temp\OnboardLogs"\RTDC4031\2017-07-31 --exclude "*" --recursive --include "*20170731*" &amp; "%USERPROFILE%\Documents\GitHub\mrs-test-scripts\Headless Mode &amp; Sideloading\WalkAndUnGZ.bat" "%USERPROFILE%\AppData\Local\Temp\OnboardLogs"\RTDC4031\2017-07-31</v>
      </c>
      <c r="S16" s="84" t="str">
        <f>VLOOKUP(C16,'Train Runs'!$A$13:$AE$9919,22,0)</f>
        <v>https://d0f6bd738d7f1b3e5a7ca70fe4ff75f0.us-east-1.aws.found.io/app/kibana#/discover/Steve-Slow-Train-Analysis-(2080s-and-2083s)?_g=(refreshInterval:(display:Off,pause:!f,section:0,value:0),time:(from:'2017-07-30T09:17:42-0600',mode:absolute,to:'2017-07-30T12:01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6" s="86" t="str">
        <f t="shared" si="1"/>
        <v>"C:\Program Files (x86)\AstroGrep\AstroGrep.exe" /e /r /s /spath="%USERPROFILE%\AppData\Local\Temp\OnboardLogs" /stypes="*4031*201707301*" /stext=" 16:.+((SYSTEM_STATE.+slice.+state.+changed )|(ment ac)|(multiple cpu faults)|(system.+state.+changed )|(\[timeout)|(PRM\|1\|D)|(kpr)|(kdp)|(train st.+moving)|(\|lc)|(penalty))"</v>
      </c>
      <c r="U16" s="9" t="str">
        <f t="shared" si="2"/>
        <v>4031</v>
      </c>
      <c r="V16" s="31">
        <f t="shared" si="3"/>
        <v>42946.681956018518</v>
      </c>
      <c r="W16" s="45" t="str">
        <f t="shared" si="4"/>
        <v>EC</v>
      </c>
      <c r="X16" s="22">
        <f t="shared" si="5"/>
        <v>146</v>
      </c>
      <c r="Y16" s="96" t="str">
        <f t="shared" si="6"/>
        <v>echo {"issue":{"subject":"","project_id":79,"tracker_id":40,"status_id":1,"priority_id":2,"assigned_to_id":23,"start_date":"2017-07-30","description":"","custom_fields":[{"id":1,"name":"Subdivision","value":"EC"},{"id":4,"name":"Milepost","value":"22.4578"},{"id":17,"name":"Train ID","value":"146-30"},{"id":16,"name":"Locomotive ID","value":"4031"},{"id":130,"name":"Impact","value":""},{"id":150,"name":"Time of Event (Mountain Time)","value":"10:22:01"},{"id":151,"name":"Denver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/c/Users/stu/AppData/Local/Temp/OnboardLogs/RTDC4031 --include="*4031*201707301*"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"%USERPROFILE%\AppData\Local\Temp\OnboardLogs"\RTDC4031\*4031*201707301* &gt;&gt; 2017-07-30-SliceDisagreementCheck.txt</v>
      </c>
      <c r="AE16" s="145" t="str">
        <f t="shared" si="9"/>
        <v>start /low /b %USERPROFILE%\Documents\GitHub\eaglep3\Utilities\DownloadLogsFromS3.py --loco 4031 --day 2017-07-30</v>
      </c>
      <c r="AF16" s="1"/>
    </row>
    <row r="17" spans="1:32" x14ac:dyDescent="0.25">
      <c r="A17" s="31">
        <v>42946.586076388892</v>
      </c>
      <c r="B17" s="30" t="s">
        <v>637</v>
      </c>
      <c r="C17" s="30" t="s">
        <v>638</v>
      </c>
      <c r="D17" s="30" t="s">
        <v>49</v>
      </c>
      <c r="E17" s="30" t="s">
        <v>196</v>
      </c>
      <c r="F17" s="42">
        <v>350</v>
      </c>
      <c r="G17" s="42">
        <v>427</v>
      </c>
      <c r="H17" s="42">
        <v>223688</v>
      </c>
      <c r="I17" s="42">
        <v>224840</v>
      </c>
      <c r="J17" s="30" t="s">
        <v>197</v>
      </c>
      <c r="K17" s="42">
        <v>224581</v>
      </c>
      <c r="L17" s="131" t="s">
        <v>50</v>
      </c>
      <c r="M17" s="132">
        <f t="shared" si="0"/>
        <v>-136.75200000000001</v>
      </c>
      <c r="N17" s="133" t="str">
        <f>VLOOKUP(C17,'Trips&amp;Operators'!$C$1:$G$99999,5,FALSE)</f>
        <v>MAGEE KENYA</v>
      </c>
      <c r="O17" s="203" t="s">
        <v>180</v>
      </c>
      <c r="P17" s="134"/>
      <c r="Q17" s="30"/>
      <c r="R17" s="81" t="str">
        <f>VLOOKUP(C17,'Train Runs'!$A$13:$AE$9919,31,0)</f>
        <v>aws s3 cp s3://rtdc.mdm.uploadarchive.raw/RTDC4030/ "%USERPROFILE%\AppData\Local\Temp\OnboardLogs"\RTDC4030\2017-07-30 --exclude "*" --recursive --include "*20170730*" &amp; "%USERPROFILE%\Documents\GitHub\mrs-test-scripts\Headless Mode &amp; Sideloading\WalkAndUnGZ.bat" "%USERPROFILE%\AppData\Local\Temp\OnboardLogs"\RTDC4030\2017-07-30 &amp; aws s3 cp s3://rtdc.mdm.uploadarchive.raw/RTDC4030/ "%USERPROFILE%\AppData\Local\Temp\OnboardLogs"\RTDC4030\2017-07-31 --exclude "*" --recursive --include "*20170731*" &amp; "%USERPROFILE%\Documents\GitHub\mrs-test-scripts\Headless Mode &amp; Sideloading\WalkAndUnGZ.bat" "%USERPROFILE%\AppData\Local\Temp\OnboardLogs"\RTDC4030\2017-07-31</v>
      </c>
      <c r="S17" s="84" t="str">
        <f>VLOOKUP(C17,'Train Runs'!$A$13:$AE$9919,22,0)</f>
        <v>https://d0f6bd738d7f1b3e5a7ca70fe4ff75f0.us-east-1.aws.found.io/app/kibana#/discover/Steve-Slow-Train-Analysis-(2080s-and-2083s)?_g=(refreshInterval:(display:Off,pause:!f,section:0,value:0),time:(from:'2017-07-30T12:22:29-0600',mode:absolute,to:'2017-07-30T16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7" s="86" t="str">
        <f t="shared" si="1"/>
        <v>"C:\Program Files (x86)\AstroGrep\AstroGrep.exe" /e /r /s /spath="%USERPROFILE%\AppData\Local\Temp\OnboardLogs" /stypes="*4030*201707302*" /stext=" 20:.+((SYSTEM_STATE.+slice.+state.+changed )|(ment ac)|(multiple cpu faults)|(system.+state.+changed )|(\[timeout)|(PRM\|1\|D)|(kpr)|(kdp)|(train st.+moving)|(\|lc)|(penalty))"</v>
      </c>
      <c r="U17" s="9" t="str">
        <f t="shared" si="2"/>
        <v>4030</v>
      </c>
      <c r="V17" s="31">
        <f t="shared" si="3"/>
        <v>42946.836076388892</v>
      </c>
      <c r="W17" s="45" t="str">
        <f t="shared" si="4"/>
        <v>EC</v>
      </c>
      <c r="X17" s="22">
        <f t="shared" si="5"/>
        <v>179</v>
      </c>
      <c r="Y17" s="96" t="str">
        <f t="shared" si="6"/>
        <v>echo {"issue":{"subject":"","project_id":79,"tracker_id":40,"status_id":1,"priority_id":2,"assigned_to_id":23,"start_date":"2017-07-30","description":"","custom_fields":[{"id":1,"name":"Subdivision","value":"EC"},{"id":4,"name":"Milepost","value":"22.4581"},{"id":17,"name":"Train ID","value":"179-30"},{"id":16,"name":"Locomotive ID","value":"4030"},{"id":130,"name":"Impact","value":""},{"id":150,"name":"Time of Event (Mountain Time)","value":"14:03:57"},{"id":151,"name":"Denver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/c/Users/stu/AppData/Local/Temp/OnboardLogs/RTDC4030 --include="*4030*201707302*"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"%USERPROFILE%\AppData\Local\Temp\OnboardLogs"\RTDC4030\*4030*201707302* &gt;&gt; 2017-07-30-SliceDisagreementCheck.txt</v>
      </c>
      <c r="AE17" s="145" t="str">
        <f t="shared" si="9"/>
        <v>start /low /b %USERPROFILE%\Documents\GitHub\eaglep3\Utilities\DownloadLogsFromS3.py --loco 4030 --day 2017-07-30</v>
      </c>
      <c r="AF17" s="1"/>
    </row>
    <row r="18" spans="1:32" x14ac:dyDescent="0.25">
      <c r="A18" s="31">
        <v>42946.552534722221</v>
      </c>
      <c r="B18" s="30" t="s">
        <v>620</v>
      </c>
      <c r="C18" s="30" t="s">
        <v>634</v>
      </c>
      <c r="D18" s="30" t="s">
        <v>96</v>
      </c>
      <c r="E18" s="30" t="s">
        <v>196</v>
      </c>
      <c r="F18" s="42">
        <v>350</v>
      </c>
      <c r="G18" s="42">
        <v>404</v>
      </c>
      <c r="H18" s="42">
        <v>225668</v>
      </c>
      <c r="I18" s="42">
        <v>224594</v>
      </c>
      <c r="J18" s="30" t="s">
        <v>197</v>
      </c>
      <c r="K18" s="42">
        <v>228668</v>
      </c>
      <c r="L18" s="131" t="s">
        <v>51</v>
      </c>
      <c r="M18" s="132">
        <f t="shared" si="0"/>
        <v>-2151.0720000000001</v>
      </c>
      <c r="N18" s="133" t="str">
        <f>VLOOKUP(C18,'Trips&amp;Operators'!$C$1:$G$99999,5,FALSE)</f>
        <v>DELGADO DIANAH</v>
      </c>
      <c r="O18" s="203" t="s">
        <v>180</v>
      </c>
      <c r="P18" s="134"/>
      <c r="Q18" s="30"/>
      <c r="R18" s="81" t="str">
        <f>VLOOKUP(C18,'Train Runs'!$A$13:$AE$9919,31,0)</f>
        <v>aws s3 cp s3://rtdc.mdm.uploadarchive.raw/RTDC4043/ "%USERPROFILE%\AppData\Local\Temp\OnboardLogs"\RTDC4043\2017-07-30 --exclude "*" --recursive --include "*20170730*" &amp; "%USERPROFILE%\Documents\GitHub\mrs-test-scripts\Headless Mode &amp; Sideloading\WalkAndUnGZ.bat" "%USERPROFILE%\AppData\Local\Temp\OnboardLogs"\RTDC4043\2017-07-30 &amp; aws s3 cp s3://rtdc.mdm.uploadarchive.raw/RTDC4043/ "%USERPROFILE%\AppData\Local\Temp\OnboardLogs"\RTDC4043\2017-07-31 --exclude "*" --recursive --include "*20170731*" &amp; "%USERPROFILE%\Documents\GitHub\mrs-test-scripts\Headless Mode &amp; Sideloading\WalkAndUnGZ.bat" "%USERPROFILE%\AppData\Local\Temp\OnboardLogs"\RTDC4043\2017-07-31</v>
      </c>
      <c r="S18" s="84" t="str">
        <f>VLOOKUP(C18,'Train Runs'!$A$13:$AE$9919,22,0)</f>
        <v>https://d0f6bd738d7f1b3e5a7ca70fe4ff75f0.us-east-1.aws.found.io/app/kibana#/discover/Steve-Slow-Train-Analysis-(2080s-and-2083s)?_g=(refreshInterval:(display:Off,pause:!f,section:0,value:0),time:(from:'2017-07-30T12:02:20-0600',mode:absolute,to:'2017-07-30T14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8" s="86" t="str">
        <f t="shared" si="1"/>
        <v>"C:\Program Files (x86)\AstroGrep\AstroGrep.exe" /e /r /s /spath="%USERPROFILE%\AppData\Local\Temp\OnboardLogs" /stypes="*4043*201707301*" /stext=" 19:.+((SYSTEM_STATE.+slice.+state.+changed )|(ment ac)|(multiple cpu faults)|(system.+state.+changed )|(\[timeout)|(PRM\|1\|D)|(kpr)|(kdp)|(train st.+moving)|(\|lc)|(penalty))"</v>
      </c>
      <c r="U18" s="9" t="str">
        <f t="shared" si="2"/>
        <v>4043</v>
      </c>
      <c r="V18" s="31">
        <f t="shared" si="3"/>
        <v>42946.802534722221</v>
      </c>
      <c r="W18" s="45" t="str">
        <f t="shared" si="4"/>
        <v>EC</v>
      </c>
      <c r="X18" s="22">
        <f t="shared" si="5"/>
        <v>170</v>
      </c>
      <c r="Y18" s="96" t="str">
        <f t="shared" si="6"/>
        <v>echo {"issue":{"subject":"","project_id":79,"tracker_id":40,"status_id":1,"priority_id":2,"assigned_to_id":23,"start_date":"2017-07-30","description":"","custom_fields":[{"id":1,"name":"Subdivision","value":"EC"},{"id":4,"name":"Milepost","value":"22.8668"},{"id":17,"name":"Train ID","value":"170-30"},{"id":16,"name":"Locomotive ID","value":"4043"},{"id":130,"name":"Impact","value":""},{"id":150,"name":"Time of Event (Mountain Time)","value":"13:15:39"},{"id":151,"name":"Denver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/c/Users/stu/AppData/Local/Temp/OnboardLogs/RTDC4043 --include="*4043*201707301*"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"%USERPROFILE%\AppData\Local\Temp\OnboardLogs"\RTDC4043\*4043*201707301* &gt;&gt; 2017-07-30-SliceDisagreementCheck.txt</v>
      </c>
      <c r="AE18" s="145" t="str">
        <f t="shared" si="9"/>
        <v>start /low /b %USERPROFILE%\Documents\GitHub\eaglep3\Utilities\DownloadLogsFromS3.py --loco 4043 --day 2017-07-30</v>
      </c>
      <c r="AF18" s="1"/>
    </row>
    <row r="19" spans="1:32" x14ac:dyDescent="0.25">
      <c r="A19" s="31">
        <v>42946.201527777775</v>
      </c>
      <c r="B19" s="30" t="s">
        <v>620</v>
      </c>
      <c r="C19" s="30" t="s">
        <v>621</v>
      </c>
      <c r="D19" s="30" t="s">
        <v>49</v>
      </c>
      <c r="E19" s="30" t="s">
        <v>181</v>
      </c>
      <c r="F19" s="42">
        <v>0</v>
      </c>
      <c r="G19" s="42">
        <v>39</v>
      </c>
      <c r="H19" s="42">
        <v>143</v>
      </c>
      <c r="I19" s="42">
        <v>116</v>
      </c>
      <c r="J19" s="30" t="s">
        <v>182</v>
      </c>
      <c r="K19" s="42">
        <v>1</v>
      </c>
      <c r="L19" s="131" t="s">
        <v>51</v>
      </c>
      <c r="M19" s="132">
        <f t="shared" si="0"/>
        <v>60.72</v>
      </c>
      <c r="N19" s="133" t="str">
        <f>VLOOKUP(C19,'Trips&amp;Operators'!$C$1:$G$99999,5,FALSE)</f>
        <v>MAELZER KURT</v>
      </c>
      <c r="O19" s="203" t="s">
        <v>180</v>
      </c>
      <c r="P19" s="134"/>
      <c r="Q19" s="30"/>
      <c r="R19" s="81" t="str">
        <f>VLOOKUP(C19,'Train Runs'!$A$13:$AE$9919,31,0)</f>
        <v>aws s3 cp s3://rtdc.mdm.uploadarchive.raw/RTDC4043/ "%USERPROFILE%\AppData\Local\Temp\OnboardLogs"\RTDC4043\2017-07-30 --exclude "*" --recursive --include "*20170730*" &amp; "%USERPROFILE%\Documents\GitHub\mrs-test-scripts\Headless Mode &amp; Sideloading\WalkAndUnGZ.bat" "%USERPROFILE%\AppData\Local\Temp\OnboardLogs"\RTDC4043\2017-07-30 &amp; aws s3 cp s3://rtdc.mdm.uploadarchive.raw/RTDC4043/ "%USERPROFILE%\AppData\Local\Temp\OnboardLogs"\RTDC4043\2017-07-31 --exclude "*" --recursive --include "*20170731*" &amp; "%USERPROFILE%\Documents\GitHub\mrs-test-scripts\Headless Mode &amp; Sideloading\WalkAndUnGZ.bat" "%USERPROFILE%\AppData\Local\Temp\OnboardLogs"\RTDC4043\2017-07-31</v>
      </c>
      <c r="S19" s="84" t="str">
        <f>VLOOKUP(C19,'Train Runs'!$A$13:$AE$9919,22,0)</f>
        <v>https://d0f6bd738d7f1b3e5a7ca70fe4ff75f0.us-east-1.aws.found.io/app/kibana#/discover/Steve-Slow-Train-Analysis-(2080s-and-2083s)?_g=(refreshInterval:(display:Off,pause:!f,section:0,value:0),time:(from:'2017-07-30T03:02:09-0600',mode:absolute,to:'2017-07-30T05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9" s="86" t="str">
        <f t="shared" si="1"/>
        <v>"C:\Program Files (x86)\AstroGrep\AstroGrep.exe" /e /r /s /spath="%USERPROFILE%\AppData\Local\Temp\OnboardLogs" /stypes="*4043*201707301*" /stext=" 10:.+((SYSTEM_STATE.+slice.+state.+changed )|(ment ac)|(multiple cpu faults)|(system.+state.+changed )|(\[timeout)|(PRM\|1\|D)|(kpr)|(kdp)|(train st.+moving)|(\|lc)|(penalty))"</v>
      </c>
      <c r="U19" s="9" t="str">
        <f t="shared" si="2"/>
        <v>4043</v>
      </c>
      <c r="V19" s="31">
        <f t="shared" si="3"/>
        <v>42946.451527777775</v>
      </c>
      <c r="W19" s="45" t="str">
        <f t="shared" si="4"/>
        <v>EC</v>
      </c>
      <c r="X19" s="22">
        <f t="shared" si="5"/>
        <v>102</v>
      </c>
      <c r="Y19" s="96" t="str">
        <f t="shared" si="6"/>
        <v>echo {"issue":{"subject":"","project_id":79,"tracker_id":40,"status_id":1,"priority_id":2,"assigned_to_id":23,"start_date":"2017-07-30","description":"","custom_fields":[{"id":1,"name":"Subdivision","value":"EC"},{"id":4,"name":"Milepost","value":"0.0001"},{"id":17,"name":"Train ID","value":"102-30"},{"id":16,"name":"Locomotive ID","value":"4043"},{"id":130,"name":"Impact","value":""},{"id":150,"name":"Time of Event (Mountain Time)","value":"04:50:12"},{"id":151,"name":"Denver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/c/Users/stu/AppData/Local/Temp/OnboardLogs/RTDC4043 --include="*4043*201707301*"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"%USERPROFILE%\AppData\Local\Temp\OnboardLogs"\RTDC4043\*4043*201707301* &gt;&gt; 2017-07-30-SliceDisagreementCheck.txt</v>
      </c>
      <c r="AE19" s="145" t="str">
        <f t="shared" si="9"/>
        <v>start /low /b %USERPROFILE%\Documents\GitHub\eaglep3\Utilities\DownloadLogsFromS3.py --loco 4043 --day 2017-07-30</v>
      </c>
      <c r="AF19" s="1"/>
    </row>
    <row r="20" spans="1:32" x14ac:dyDescent="0.25">
      <c r="A20" s="31">
        <v>42946.304837962962</v>
      </c>
      <c r="B20" s="30" t="s">
        <v>444</v>
      </c>
      <c r="C20" s="30" t="s">
        <v>624</v>
      </c>
      <c r="D20" s="30" t="s">
        <v>49</v>
      </c>
      <c r="E20" s="30" t="s">
        <v>181</v>
      </c>
      <c r="F20" s="42">
        <v>0</v>
      </c>
      <c r="G20" s="42">
        <v>68</v>
      </c>
      <c r="H20" s="42">
        <v>238</v>
      </c>
      <c r="I20" s="42">
        <v>123</v>
      </c>
      <c r="J20" s="30" t="s">
        <v>182</v>
      </c>
      <c r="K20" s="42">
        <v>1</v>
      </c>
      <c r="L20" s="131" t="s">
        <v>51</v>
      </c>
      <c r="M20" s="132">
        <f t="shared" si="0"/>
        <v>64.415999999999997</v>
      </c>
      <c r="N20" s="133" t="str">
        <f>VLOOKUP(C20,'Trips&amp;Operators'!$C$1:$G$99999,5,FALSE)</f>
        <v>MACDONALD THOMAS</v>
      </c>
      <c r="O20" s="203" t="s">
        <v>180</v>
      </c>
      <c r="P20" s="134"/>
      <c r="Q20" s="30"/>
      <c r="R20" s="81" t="str">
        <f>VLOOKUP(C20,'Train Runs'!$A$13:$AE$9919,31,0)</f>
        <v>aws s3 cp s3://rtdc.mdm.uploadarchive.raw/RTDC4031/ "%USERPROFILE%\AppData\Local\Temp\OnboardLogs"\RTDC4031\2017-07-30 --exclude "*" --recursive --include "*20170730*" &amp; "%USERPROFILE%\Documents\GitHub\mrs-test-scripts\Headless Mode &amp; Sideloading\WalkAndUnGZ.bat" "%USERPROFILE%\AppData\Local\Temp\OnboardLogs"\RTDC4031\2017-07-30 &amp; aws s3 cp s3://rtdc.mdm.uploadarchive.raw/RTDC4031/ "%USERPROFILE%\AppData\Local\Temp\OnboardLogs"\RTDC4031\2017-07-31 --exclude "*" --recursive --include "*20170731*" &amp; "%USERPROFILE%\Documents\GitHub\mrs-test-scripts\Headless Mode &amp; Sideloading\WalkAndUnGZ.bat" "%USERPROFILE%\AppData\Local\Temp\OnboardLogs"\RTDC4031\2017-07-31</v>
      </c>
      <c r="S20" s="84" t="str">
        <f>VLOOKUP(C20,'Train Runs'!$A$13:$AE$9919,22,0)</f>
        <v>https://d0f6bd738d7f1b3e5a7ca70fe4ff75f0.us-east-1.aws.found.io/app/kibana#/discover/Steve-Slow-Train-Analysis-(2080s-and-2083s)?_g=(refreshInterval:(display:Off,pause:!f,section:0,value:0),time:(from:'2017-07-30T05:23:08-0600',mode:absolute,to:'2017-07-30T08:18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0" s="86" t="str">
        <f t="shared" si="1"/>
        <v>"C:\Program Files (x86)\AstroGrep\AstroGrep.exe" /e /r /s /spath="%USERPROFILE%\AppData\Local\Temp\OnboardLogs" /stypes="*4031*201707301*" /stext=" 13:.+((SYSTEM_STATE.+slice.+state.+changed )|(ment ac)|(multiple cpu faults)|(system.+state.+changed )|(\[timeout)|(PRM\|1\|D)|(kpr)|(kdp)|(train st.+moving)|(\|lc)|(penalty))"</v>
      </c>
      <c r="U20" s="9" t="str">
        <f t="shared" si="2"/>
        <v>4031</v>
      </c>
      <c r="V20" s="31">
        <f t="shared" si="3"/>
        <v>42946.554837962962</v>
      </c>
      <c r="W20" s="45" t="str">
        <f t="shared" si="4"/>
        <v>EC</v>
      </c>
      <c r="X20" s="22">
        <f t="shared" si="5"/>
        <v>118</v>
      </c>
      <c r="Y20" s="96" t="str">
        <f t="shared" si="6"/>
        <v>echo {"issue":{"subject":"","project_id":79,"tracker_id":40,"status_id":1,"priority_id":2,"assigned_to_id":23,"start_date":"2017-07-30","description":"","custom_fields":[{"id":1,"name":"Subdivision","value":"EC"},{"id":4,"name":"Milepost","value":"0.0001"},{"id":17,"name":"Train ID","value":"118-30"},{"id":16,"name":"Locomotive ID","value":"4031"},{"id":130,"name":"Impact","value":""},{"id":150,"name":"Time of Event (Mountain Time)","value":"07:18:58"},{"id":151,"name":"Denver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/c/Users/stu/AppData/Local/Temp/OnboardLogs/RTDC4031 --include="*4031*201707301*"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"%USERPROFILE%\AppData\Local\Temp\OnboardLogs"\RTDC4031\*4031*201707301* &gt;&gt; 2017-07-30-SliceDisagreementCheck.txt</v>
      </c>
      <c r="AE20" s="145" t="str">
        <f t="shared" si="9"/>
        <v>start /low /b %USERPROFILE%\Documents\GitHub\eaglep3\Utilities\DownloadLogsFromS3.py --loco 4031 --day 2017-07-30</v>
      </c>
      <c r="AF20" s="1"/>
    </row>
    <row r="21" spans="1:32" x14ac:dyDescent="0.25">
      <c r="A21" s="31">
        <v>42946.379537037035</v>
      </c>
      <c r="B21" s="30" t="s">
        <v>444</v>
      </c>
      <c r="C21" s="30" t="s">
        <v>625</v>
      </c>
      <c r="D21" s="30" t="s">
        <v>49</v>
      </c>
      <c r="E21" s="30" t="s">
        <v>181</v>
      </c>
      <c r="F21" s="42">
        <v>0</v>
      </c>
      <c r="G21" s="42">
        <v>54</v>
      </c>
      <c r="H21" s="42">
        <v>194</v>
      </c>
      <c r="I21" s="42">
        <v>147</v>
      </c>
      <c r="J21" s="30" t="s">
        <v>182</v>
      </c>
      <c r="K21" s="42">
        <v>1</v>
      </c>
      <c r="L21" s="131" t="s">
        <v>51</v>
      </c>
      <c r="M21" s="132">
        <f t="shared" si="0"/>
        <v>77.087999999999994</v>
      </c>
      <c r="N21" s="133" t="str">
        <f>VLOOKUP(C21,'Trips&amp;Operators'!$C$1:$G$99999,5,FALSE)</f>
        <v>MACDONALD THOMAS</v>
      </c>
      <c r="O21" s="203" t="s">
        <v>180</v>
      </c>
      <c r="P21" s="134"/>
      <c r="Q21" s="30"/>
      <c r="R21" s="81" t="str">
        <f>VLOOKUP(C21,'Train Runs'!$A$13:$AE$9919,31,0)</f>
        <v>aws s3 cp s3://rtdc.mdm.uploadarchive.raw/RTDC4031/ "%USERPROFILE%\AppData\Local\Temp\OnboardLogs"\RTDC4031\2017-07-30 --exclude "*" --recursive --include "*20170730*" &amp; "%USERPROFILE%\Documents\GitHub\mrs-test-scripts\Headless Mode &amp; Sideloading\WalkAndUnGZ.bat" "%USERPROFILE%\AppData\Local\Temp\OnboardLogs"\RTDC4031\2017-07-30 &amp; aws s3 cp s3://rtdc.mdm.uploadarchive.raw/RTDC4031/ "%USERPROFILE%\AppData\Local\Temp\OnboardLogs"\RTDC4031\2017-07-31 --exclude "*" --recursive --include "*20170731*" &amp; "%USERPROFILE%\Documents\GitHub\mrs-test-scripts\Headless Mode &amp; Sideloading\WalkAndUnGZ.bat" "%USERPROFILE%\AppData\Local\Temp\OnboardLogs"\RTDC4031\2017-07-31</v>
      </c>
      <c r="S21" s="84" t="str">
        <f>VLOOKUP(C21,'Train Runs'!$A$13:$AE$9919,22,0)</f>
        <v>https://d0f6bd738d7f1b3e5a7ca70fe4ff75f0.us-east-1.aws.found.io/app/kibana#/discover/Steve-Slow-Train-Analysis-(2080s-and-2083s)?_g=(refreshInterval:(display:Off,pause:!f,section:0,value:0),time:(from:'2017-07-30T07:24:22-0600',mode:absolute,to:'2017-07-30T10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1" s="86" t="str">
        <f t="shared" si="1"/>
        <v>"C:\Program Files (x86)\AstroGrep\AstroGrep.exe" /e /r /s /spath="%USERPROFILE%\AppData\Local\Temp\OnboardLogs" /stypes="*4031*201707301*" /stext=" 15:.+((SYSTEM_STATE.+slice.+state.+changed )|(ment ac)|(multiple cpu faults)|(system.+state.+changed )|(\[timeout)|(PRM\|1\|D)|(kpr)|(kdp)|(train st.+moving)|(\|lc)|(penalty))"</v>
      </c>
      <c r="U21" s="9" t="str">
        <f t="shared" si="2"/>
        <v>4031</v>
      </c>
      <c r="V21" s="31">
        <f t="shared" si="3"/>
        <v>42946.629537037035</v>
      </c>
      <c r="W21" s="45" t="str">
        <f t="shared" si="4"/>
        <v>EC</v>
      </c>
      <c r="X21" s="22">
        <f t="shared" si="5"/>
        <v>132</v>
      </c>
      <c r="Y21" s="96" t="str">
        <f t="shared" si="6"/>
        <v>echo {"issue":{"subject":"","project_id":79,"tracker_id":40,"status_id":1,"priority_id":2,"assigned_to_id":23,"start_date":"2017-07-30","description":"","custom_fields":[{"id":1,"name":"Subdivision","value":"EC"},{"id":4,"name":"Milepost","value":"0.0001"},{"id":17,"name":"Train ID","value":"132-30"},{"id":16,"name":"Locomotive ID","value":"4031"},{"id":130,"name":"Impact","value":""},{"id":150,"name":"Time of Event (Mountain Time)","value":"09:06:32"},{"id":151,"name":"Denver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/c/Users/stu/AppData/Local/Temp/OnboardLogs/RTDC4031 --include="*4031*201707301*"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"%USERPROFILE%\AppData\Local\Temp\OnboardLogs"\RTDC4031\*4031*201707301* &gt;&gt; 2017-07-30-SliceDisagreementCheck.txt</v>
      </c>
      <c r="AE21" s="145" t="str">
        <f t="shared" si="9"/>
        <v>start /low /b %USERPROFILE%\Documents\GitHub\eaglep3\Utilities\DownloadLogsFromS3.py --loco 4031 --day 2017-07-30</v>
      </c>
      <c r="AF21" s="1"/>
    </row>
    <row r="22" spans="1:32" x14ac:dyDescent="0.25">
      <c r="A22" s="31">
        <v>42946.507337962961</v>
      </c>
      <c r="B22" s="30" t="s">
        <v>620</v>
      </c>
      <c r="C22" s="30" t="s">
        <v>630</v>
      </c>
      <c r="D22" s="30" t="s">
        <v>49</v>
      </c>
      <c r="E22" s="30" t="s">
        <v>181</v>
      </c>
      <c r="F22" s="42">
        <v>0</v>
      </c>
      <c r="G22" s="42">
        <v>66</v>
      </c>
      <c r="H22" s="42">
        <v>238</v>
      </c>
      <c r="I22" s="42">
        <v>187</v>
      </c>
      <c r="J22" s="30" t="s">
        <v>182</v>
      </c>
      <c r="K22" s="42">
        <v>1</v>
      </c>
      <c r="L22" s="131" t="s">
        <v>51</v>
      </c>
      <c r="M22" s="132">
        <f t="shared" si="0"/>
        <v>98.207999999999998</v>
      </c>
      <c r="N22" s="133" t="str">
        <f>VLOOKUP(C22,'Trips&amp;Operators'!$C$1:$G$99999,5,FALSE)</f>
        <v>LOPES KIMBERLY</v>
      </c>
      <c r="O22" s="203" t="s">
        <v>180</v>
      </c>
      <c r="P22" s="134"/>
      <c r="Q22" s="30"/>
      <c r="R22" s="81" t="str">
        <f>VLOOKUP(C22,'Train Runs'!$A$13:$AE$9919,31,0)</f>
        <v>aws s3 cp s3://rtdc.mdm.uploadarchive.raw/RTDC4043/ "%USERPROFILE%\AppData\Local\Temp\OnboardLogs"\RTDC4043\2017-07-30 --exclude "*" --recursive --include "*20170730*" &amp; "%USERPROFILE%\Documents\GitHub\mrs-test-scripts\Headless Mode &amp; Sideloading\WalkAndUnGZ.bat" "%USERPROFILE%\AppData\Local\Temp\OnboardLogs"\RTDC4043\2017-07-30 &amp; aws s3 cp s3://rtdc.mdm.uploadarchive.raw/RTDC4043/ "%USERPROFILE%\AppData\Local\Temp\OnboardLogs"\RTDC4043\2017-07-31 --exclude "*" --recursive --include "*20170731*" &amp; "%USERPROFILE%\Documents\GitHub\mrs-test-scripts\Headless Mode &amp; Sideloading\WalkAndUnGZ.bat" "%USERPROFILE%\AppData\Local\Temp\OnboardLogs"\RTDC4043\2017-07-31</v>
      </c>
      <c r="S22" s="84" t="str">
        <f>VLOOKUP(C22,'Train Runs'!$A$13:$AE$9919,22,0)</f>
        <v>https://d0f6bd738d7f1b3e5a7ca70fe4ff75f0.us-east-1.aws.found.io/app/kibana#/discover/Steve-Slow-Train-Analysis-(2080s-and-2083s)?_g=(refreshInterval:(display:Off,pause:!f,section:0,value:0),time:(from:'2017-07-30T10:23:47-0600',mode:absolute,to:'2017-07-30T13:10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2" s="86" t="str">
        <f t="shared" si="1"/>
        <v>"C:\Program Files (x86)\AstroGrep\AstroGrep.exe" /e /r /s /spath="%USERPROFILE%\AppData\Local\Temp\OnboardLogs" /stypes="*4043*201707301*" /stext=" 18:.+((SYSTEM_STATE.+slice.+state.+changed )|(ment ac)|(multiple cpu faults)|(system.+state.+changed )|(\[timeout)|(PRM\|1\|D)|(kpr)|(kdp)|(train st.+moving)|(\|lc)|(penalty))"</v>
      </c>
      <c r="U22" s="9" t="str">
        <f t="shared" si="2"/>
        <v>4043</v>
      </c>
      <c r="V22" s="31">
        <f t="shared" si="3"/>
        <v>42946.757337962961</v>
      </c>
      <c r="W22" s="45" t="str">
        <f t="shared" si="4"/>
        <v>EC</v>
      </c>
      <c r="X22" s="22">
        <f t="shared" si="5"/>
        <v>156</v>
      </c>
      <c r="Y22" s="96" t="str">
        <f t="shared" si="6"/>
        <v>echo {"issue":{"subject":"","project_id":79,"tracker_id":40,"status_id":1,"priority_id":2,"assigned_to_id":23,"start_date":"2017-07-30","description":"","custom_fields":[{"id":1,"name":"Subdivision","value":"EC"},{"id":4,"name":"Milepost","value":"0.0001"},{"id":17,"name":"Train ID","value":"156-30"},{"id":16,"name":"Locomotive ID","value":"4043"},{"id":130,"name":"Impact","value":""},{"id":150,"name":"Time of Event (Mountain Time)","value":"12:10:34"},{"id":151,"name":"Denver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/c/Users/stu/AppData/Local/Temp/OnboardLogs/RTDC4043 --include="*4043*201707301*"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"%USERPROFILE%\AppData\Local\Temp\OnboardLogs"\RTDC4043\*4043*201707301* &gt;&gt; 2017-07-30-SliceDisagreementCheck.txt</v>
      </c>
      <c r="AE22" s="145" t="str">
        <f t="shared" si="9"/>
        <v>start /low /b %USERPROFILE%\Documents\GitHub\eaglep3\Utilities\DownloadLogsFromS3.py --loco 4043 --day 2017-07-30</v>
      </c>
      <c r="AF22" s="1"/>
    </row>
    <row r="23" spans="1:32" x14ac:dyDescent="0.25">
      <c r="A23" s="31">
        <v>42946.538784722223</v>
      </c>
      <c r="B23" s="30" t="s">
        <v>444</v>
      </c>
      <c r="C23" s="30" t="s">
        <v>632</v>
      </c>
      <c r="D23" s="30" t="s">
        <v>49</v>
      </c>
      <c r="E23" s="30" t="s">
        <v>181</v>
      </c>
      <c r="F23" s="42">
        <v>0</v>
      </c>
      <c r="G23" s="42">
        <v>47</v>
      </c>
      <c r="H23" s="42">
        <v>185</v>
      </c>
      <c r="I23" s="42">
        <v>147</v>
      </c>
      <c r="J23" s="30" t="s">
        <v>182</v>
      </c>
      <c r="K23" s="42">
        <v>1</v>
      </c>
      <c r="L23" s="131" t="s">
        <v>51</v>
      </c>
      <c r="M23" s="132">
        <f t="shared" si="0"/>
        <v>77.087999999999994</v>
      </c>
      <c r="N23" s="133" t="str">
        <f>VLOOKUP(C23,'Trips&amp;Operators'!$C$1:$G$99999,5,FALSE)</f>
        <v>DAVIS MICHAEL</v>
      </c>
      <c r="O23" s="203" t="s">
        <v>180</v>
      </c>
      <c r="P23" s="134"/>
      <c r="Q23" s="30"/>
      <c r="R23" s="81" t="str">
        <f>VLOOKUP(C23,'Train Runs'!$A$13:$AE$9919,31,0)</f>
        <v>aws s3 cp s3://rtdc.mdm.uploadarchive.raw/RTDC4031/ "%USERPROFILE%\AppData\Local\Temp\OnboardLogs"\RTDC4031\2017-07-30 --exclude "*" --recursive --include "*20170730*" &amp; "%USERPROFILE%\Documents\GitHub\mrs-test-scripts\Headless Mode &amp; Sideloading\WalkAndUnGZ.bat" "%USERPROFILE%\AppData\Local\Temp\OnboardLogs"\RTDC4031\2017-07-30 &amp; aws s3 cp s3://rtdc.mdm.uploadarchive.raw/RTDC4031/ "%USERPROFILE%\AppData\Local\Temp\OnboardLogs"\RTDC4031\2017-07-31 --exclude "*" --recursive --include "*20170731*" &amp; "%USERPROFILE%\Documents\GitHub\mrs-test-scripts\Headless Mode &amp; Sideloading\WalkAndUnGZ.bat" "%USERPROFILE%\AppData\Local\Temp\OnboardLogs"\RTDC4031\2017-07-31</v>
      </c>
      <c r="S23" s="84" t="str">
        <f>VLOOKUP(C23,'Train Runs'!$A$13:$AE$9919,22,0)</f>
        <v>https://d0f6bd738d7f1b3e5a7ca70fe4ff75f0.us-east-1.aws.found.io/app/kibana#/discover/Steve-Slow-Train-Analysis-(2080s-and-2083s)?_g=(refreshInterval:(display:Off,pause:!f,section:0,value:0),time:(from:'2017-07-30T11:09:08-0600',mode:absolute,to:'2017-07-30T13:55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3" s="86" t="str">
        <f t="shared" si="1"/>
        <v>"C:\Program Files (x86)\AstroGrep\AstroGrep.exe" /e /r /s /spath="%USERPROFILE%\AppData\Local\Temp\OnboardLogs" /stypes="*4031*201707301*" /stext=" 18:.+((SYSTEM_STATE.+slice.+state.+changed )|(ment ac)|(multiple cpu faults)|(system.+state.+changed )|(\[timeout)|(PRM\|1\|D)|(kpr)|(kdp)|(train st.+moving)|(\|lc)|(penalty))"</v>
      </c>
      <c r="U23" s="9" t="str">
        <f t="shared" si="2"/>
        <v>4031</v>
      </c>
      <c r="V23" s="31">
        <f t="shared" si="3"/>
        <v>42946.788784722223</v>
      </c>
      <c r="W23" s="45" t="str">
        <f t="shared" si="4"/>
        <v>EC</v>
      </c>
      <c r="X23" s="22">
        <f t="shared" si="5"/>
        <v>162</v>
      </c>
      <c r="Y23" s="96" t="str">
        <f t="shared" si="6"/>
        <v>echo {"issue":{"subject":"","project_id":79,"tracker_id":40,"status_id":1,"priority_id":2,"assigned_to_id":23,"start_date":"2017-07-30","description":"","custom_fields":[{"id":1,"name":"Subdivision","value":"EC"},{"id":4,"name":"Milepost","value":"0.0001"},{"id":17,"name":"Train ID","value":"162-30"},{"id":16,"name":"Locomotive ID","value":"4031"},{"id":130,"name":"Impact","value":""},{"id":150,"name":"Time of Event (Mountain Time)","value":"12:55:51"},{"id":151,"name":"Denver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/c/Users/stu/AppData/Local/Temp/OnboardLogs/RTDC4031 --include="*4031*201707301*"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"%USERPROFILE%\AppData\Local\Temp\OnboardLogs"\RTDC4031\*4031*201707301* &gt;&gt; 2017-07-30-SliceDisagreementCheck.txt</v>
      </c>
      <c r="AE23" s="145" t="str">
        <f t="shared" si="9"/>
        <v>start /low /b %USERPROFILE%\Documents\GitHub\eaglep3\Utilities\DownloadLogsFromS3.py --loco 4031 --day 2017-07-30</v>
      </c>
      <c r="AF23" s="1"/>
    </row>
    <row r="24" spans="1:32" x14ac:dyDescent="0.25">
      <c r="A24" s="31">
        <v>42946.555925925924</v>
      </c>
      <c r="B24" s="30" t="s">
        <v>635</v>
      </c>
      <c r="C24" s="30" t="s">
        <v>636</v>
      </c>
      <c r="D24" s="30" t="s">
        <v>49</v>
      </c>
      <c r="E24" s="30" t="s">
        <v>181</v>
      </c>
      <c r="F24" s="42">
        <v>0</v>
      </c>
      <c r="G24" s="42">
        <v>42</v>
      </c>
      <c r="H24" s="42">
        <v>160</v>
      </c>
      <c r="I24" s="42">
        <v>119</v>
      </c>
      <c r="J24" s="30" t="s">
        <v>182</v>
      </c>
      <c r="K24" s="42">
        <v>1</v>
      </c>
      <c r="L24" s="131" t="s">
        <v>51</v>
      </c>
      <c r="M24" s="132">
        <f t="shared" si="0"/>
        <v>62.304000000000002</v>
      </c>
      <c r="N24" s="133" t="str">
        <f>VLOOKUP(C24,'Trips&amp;Operators'!$C$1:$G$99999,5,FALSE)</f>
        <v>MAGEE KENYA</v>
      </c>
      <c r="O24" s="203" t="s">
        <v>180</v>
      </c>
      <c r="P24" s="134"/>
      <c r="Q24" s="30"/>
      <c r="R24" s="81" t="str">
        <f>VLOOKUP(C24,'Train Runs'!$A$13:$AE$9919,31,0)</f>
        <v>aws s3 cp s3://rtdc.mdm.uploadarchive.raw/RTDC4029/ "%USERPROFILE%\AppData\Local\Temp\OnboardLogs"\RTDC4029\2017-07-30 --exclude "*" --recursive --include "*20170730*" &amp; "%USERPROFILE%\Documents\GitHub\mrs-test-scripts\Headless Mode &amp; Sideloading\WalkAndUnGZ.bat" "%USERPROFILE%\AppData\Local\Temp\OnboardLogs"\RTDC4029\2017-07-30 &amp; aws s3 cp s3://rtdc.mdm.uploadarchive.raw/RTDC4029/ "%USERPROFILE%\AppData\Local\Temp\OnboardLogs"\RTDC4029\2017-07-31 --exclude "*" --recursive --include "*20170731*" &amp; "%USERPROFILE%\Documents\GitHub\mrs-test-scripts\Headless Mode &amp; Sideloading\WalkAndUnGZ.bat" "%USERPROFILE%\AppData\Local\Temp\OnboardLogs"\RTDC4029\2017-07-31</v>
      </c>
      <c r="S24" s="84" t="str">
        <f>VLOOKUP(C24,'Train Runs'!$A$13:$AE$9919,22,0)</f>
        <v>https://d0f6bd738d7f1b3e5a7ca70fe4ff75f0.us-east-1.aws.found.io/app/kibana#/discover/Steve-Slow-Train-Analysis-(2080s-and-2083s)?_g=(refreshInterval:(display:Off,pause:!f,section:0,value:0),time:(from:'2017-07-30T11:38:43-0600',mode:absolute,to:'2017-07-30T14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4" s="86" t="str">
        <f t="shared" si="1"/>
        <v>"C:\Program Files (x86)\AstroGrep\AstroGrep.exe" /e /r /s /spath="%USERPROFILE%\AppData\Local\Temp\OnboardLogs" /stypes="*4029*201707301*" /stext=" 19:.+((SYSTEM_STATE.+slice.+state.+changed )|(ment ac)|(multiple cpu faults)|(system.+state.+changed )|(\[timeout)|(PRM\|1\|D)|(kpr)|(kdp)|(train st.+moving)|(\|lc)|(penalty))"</v>
      </c>
      <c r="U24" s="9" t="str">
        <f t="shared" si="2"/>
        <v>4029</v>
      </c>
      <c r="V24" s="31">
        <f t="shared" si="3"/>
        <v>42946.805925925924</v>
      </c>
      <c r="W24" s="45" t="str">
        <f t="shared" si="4"/>
        <v>EC</v>
      </c>
      <c r="X24" s="22">
        <f t="shared" si="5"/>
        <v>166</v>
      </c>
      <c r="Y24" s="96" t="str">
        <f t="shared" si="6"/>
        <v>echo {"issue":{"subject":"","project_id":79,"tracker_id":40,"status_id":1,"priority_id":2,"assigned_to_id":23,"start_date":"2017-07-30","description":"","custom_fields":[{"id":1,"name":"Subdivision","value":"EC"},{"id":4,"name":"Milepost","value":"0.0001"},{"id":17,"name":"Train ID","value":"166-30"},{"id":16,"name":"Locomotive ID","value":"4029"},{"id":130,"name":"Impact","value":""},{"id":150,"name":"Time of Event (Mountain Time)","value":"13:20:32"},{"id":151,"name":"Denver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/c/Users/stu/AppData/Local/Temp/OnboardLogs/RTDC4029 --include="*4029*201707301*"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"%USERPROFILE%\AppData\Local\Temp\OnboardLogs"\RTDC4029\*4029*201707301* &gt;&gt; 2017-07-30-SliceDisagreementCheck.txt</v>
      </c>
      <c r="AE24" s="145" t="str">
        <f t="shared" si="9"/>
        <v>start /low /b %USERPROFILE%\Documents\GitHub\eaglep3\Utilities\DownloadLogsFromS3.py --loco 4029 --day 2017-07-30</v>
      </c>
      <c r="AF24" s="1"/>
    </row>
    <row r="25" spans="1:32" x14ac:dyDescent="0.25">
      <c r="A25" s="31">
        <v>42947.025127314817</v>
      </c>
      <c r="B25" s="30" t="s">
        <v>526</v>
      </c>
      <c r="C25" s="30" t="s">
        <v>661</v>
      </c>
      <c r="D25" s="30" t="s">
        <v>49</v>
      </c>
      <c r="E25" s="30" t="s">
        <v>181</v>
      </c>
      <c r="F25" s="42">
        <v>0</v>
      </c>
      <c r="G25" s="42">
        <v>50</v>
      </c>
      <c r="H25" s="42">
        <v>139</v>
      </c>
      <c r="I25" s="42">
        <v>92</v>
      </c>
      <c r="J25" s="30" t="s">
        <v>182</v>
      </c>
      <c r="K25" s="42">
        <v>1</v>
      </c>
      <c r="L25" s="131" t="s">
        <v>51</v>
      </c>
      <c r="M25" s="132">
        <f t="shared" si="0"/>
        <v>48.048000000000002</v>
      </c>
      <c r="N25" s="133" t="str">
        <f>VLOOKUP(C25,'Trips&amp;Operators'!$C$1:$G$99999,5,FALSE)</f>
        <v>STAMBAUGH JAMES</v>
      </c>
      <c r="O25" s="203" t="s">
        <v>180</v>
      </c>
      <c r="P25" s="134"/>
      <c r="Q25" s="30"/>
      <c r="R25" s="81" t="str">
        <f>VLOOKUP(C25,'Train Runs'!$A$13:$AE$9919,31,0)</f>
        <v>aws s3 cp s3://rtdc.mdm.uploadarchive.raw/RTDC4003/ "%USERPROFILE%\AppData\Local\Temp\OnboardLogs"\RTDC4003\2017-07-30 --exclude "*" --recursive --include "*20170730*" &amp; "%USERPROFILE%\Documents\GitHub\mrs-test-scripts\Headless Mode &amp; Sideloading\WalkAndUnGZ.bat" "%USERPROFILE%\AppData\Local\Temp\OnboardLogs"\RTDC4003\2017-07-30 &amp; aws s3 cp s3://rtdc.mdm.uploadarchive.raw/RTDC4003/ "%USERPROFILE%\AppData\Local\Temp\OnboardLogs"\RTDC4003\2017-07-31 --exclude "*" --recursive --include "*20170731*" &amp; "%USERPROFILE%\Documents\GitHub\mrs-test-scripts\Headless Mode &amp; Sideloading\WalkAndUnGZ.bat" "%USERPROFILE%\AppData\Local\Temp\OnboardLogs"\RTDC4003\2017-07-31</v>
      </c>
      <c r="S25" s="84" t="str">
        <f>VLOOKUP(C25,'Train Runs'!$A$13:$AE$9919,22,0)</f>
        <v>https://d0f6bd738d7f1b3e5a7ca70fe4ff75f0.us-east-1.aws.found.io/app/kibana#/discover/Steve-Slow-Train-Analysis-(2080s-and-2083s)?_g=(refreshInterval:(display:Off,pause:!f,section:0,value:0),time:(from:'2017-07-30T22:53:39-0600',mode:absolute,to:'2017-07-31T01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5" s="86" t="str">
        <f t="shared" si="1"/>
        <v>"C:\Program Files (x86)\AstroGrep\AstroGrep.exe" /e /r /s /spath="%USERPROFILE%\AppData\Local\Temp\OnboardLogs" /stypes="*4003*201707310*" /stext=" 06:.+((SYSTEM_STATE.+slice.+state.+changed )|(ment ac)|(multiple cpu faults)|(system.+state.+changed )|(\[timeout)|(PRM\|1\|D)|(kpr)|(kdp)|(train st.+moving)|(\|lc)|(penalty))"</v>
      </c>
      <c r="U25" s="9" t="str">
        <f t="shared" si="2"/>
        <v>4003</v>
      </c>
      <c r="V25" s="31">
        <f t="shared" si="3"/>
        <v>42947.275127314817</v>
      </c>
      <c r="W25" s="45" t="str">
        <f t="shared" si="4"/>
        <v>EC</v>
      </c>
      <c r="X25" s="22">
        <f t="shared" si="5"/>
        <v>238</v>
      </c>
      <c r="Y25" s="96" t="str">
        <f t="shared" si="6"/>
        <v>echo {"issue":{"subject":"","project_id":79,"tracker_id":40,"status_id":1,"priority_id":2,"assigned_to_id":23,"start_date":"2017-07-31","description":"","custom_fields":[{"id":1,"name":"Subdivision","value":"EC"},{"id":4,"name":"Milepost","value":"0.0001"},{"id":17,"name":"Train ID","value":"238-30"},{"id":16,"name":"Locomotive ID","value":"4003"},{"id":130,"name":"Impact","value":""},{"id":150,"name":"Time of Event (Mountain Time)","value":"00:36:11"},{"id":151,"name":"Denver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/c/Users/stu/AppData/Local/Temp/OnboardLogs/RTDC4003 --include="*4003*201707310*"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"%USERPROFILE%\AppData\Local\Temp\OnboardLogs"\RTDC4003\*4003*201707310* &gt;&gt; 2017-07-30-SliceDisagreementCheck.txt</v>
      </c>
      <c r="AE25" s="145" t="str">
        <f t="shared" si="9"/>
        <v>start /low /b %USERPROFILE%\Documents\GitHub\eaglep3\Utilities\DownloadLogsFromS3.py --loco 4003 --day 2017-07-31</v>
      </c>
      <c r="AF25" s="1"/>
    </row>
    <row r="26" spans="1:32" x14ac:dyDescent="0.25">
      <c r="A26" s="31">
        <v>42947.090821759259</v>
      </c>
      <c r="B26" s="30" t="s">
        <v>662</v>
      </c>
      <c r="C26" s="30" t="s">
        <v>663</v>
      </c>
      <c r="D26" s="30" t="s">
        <v>96</v>
      </c>
      <c r="E26" s="30" t="s">
        <v>181</v>
      </c>
      <c r="F26" s="42">
        <v>0</v>
      </c>
      <c r="G26" s="42">
        <v>9</v>
      </c>
      <c r="H26" s="42">
        <v>838</v>
      </c>
      <c r="I26" s="42">
        <v>0</v>
      </c>
      <c r="J26" s="30" t="s">
        <v>182</v>
      </c>
      <c r="K26" s="42">
        <v>839</v>
      </c>
      <c r="L26" s="131" t="s">
        <v>51</v>
      </c>
      <c r="M26" s="132">
        <f t="shared" si="0"/>
        <v>-442.99200000000002</v>
      </c>
      <c r="N26" s="133" t="str">
        <f>VLOOKUP(C26,'Trips&amp;Operators'!$C$1:$G$99999,5,FALSE)</f>
        <v>HAITHCOX MICHAEL</v>
      </c>
      <c r="O26" s="203" t="s">
        <v>180</v>
      </c>
      <c r="P26" s="134"/>
      <c r="Q26" s="30"/>
      <c r="R26" s="81" t="str">
        <f>VLOOKUP(C26,'Train Runs'!$A$13:$AE$9919,31,0)</f>
        <v>aws s3 cp s3://rtdc.mdm.uploadarchive.raw/RTDC4053/ "%USERPROFILE%\AppData\Local\Temp\OnboardLogs"\RTDC4053\2017-07-31 --exclude "*" --recursive --include "*20170731*" &amp; "%USERPROFILE%\Documents\GitHub\mrs-test-scripts\Headless Mode &amp; Sideloading\WalkAndUnGZ.bat" "%USERPROFILE%\AppData\Local\Temp\OnboardLogs"\RTDC4053\2017-07-31 &amp; aws s3 cp s3://rtdc.mdm.uploadarchive.raw/RTDC4053/ "%USERPROFILE%\AppData\Local\Temp\OnboardLogs"\RTDC4053\2017-08-01 --exclude "*" --recursive --include "*20170801*" &amp; "%USERPROFILE%\Documents\GitHub\mrs-test-scripts\Headless Mode &amp; Sideloading\WalkAndUnGZ.bat" "%USERPROFILE%\AppData\Local\Temp\OnboardLogs"\RTDC4053\2017-08-01</v>
      </c>
      <c r="S26" s="84" t="str">
        <f>VLOOKUP(C26,'Train Runs'!$A$13:$AE$9919,22,0)</f>
        <v>https://d0f6bd738d7f1b3e5a7ca70fe4ff75f0.us-east-1.aws.found.io/app/kibana#/discover/Steve-Slow-Train-Analysis-(2080s-and-2083s)?_g=(refreshInterval:(display:Off,pause:!f,section:0,value:0),time:(from:'2017-07-31T00:24:59-0600',mode:absolute,to:'2017-07-31T03:10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6" s="86" t="str">
        <f t="shared" si="1"/>
        <v>"C:\Program Files (x86)\AstroGrep\AstroGrep.exe" /e /r /s /spath="%USERPROFILE%\AppData\Local\Temp\OnboardLogs" /stypes="*4053*201707310*" /stext=" 08:.+((SYSTEM_STATE.+slice.+state.+changed )|(ment ac)|(multiple cpu faults)|(system.+state.+changed )|(\[timeout)|(PRM\|1\|D)|(kpr)|(kdp)|(train st.+moving)|(\|lc)|(penalty))"</v>
      </c>
      <c r="U26" s="9" t="str">
        <f t="shared" si="2"/>
        <v>4053</v>
      </c>
      <c r="V26" s="31">
        <f t="shared" si="3"/>
        <v>42947.340821759259</v>
      </c>
      <c r="W26" s="45" t="str">
        <f t="shared" si="4"/>
        <v>EC</v>
      </c>
      <c r="X26" s="22">
        <f t="shared" si="5"/>
        <v>244</v>
      </c>
      <c r="Y26" s="96" t="str">
        <f t="shared" si="6"/>
        <v>echo {"issue":{"subject":"","project_id":79,"tracker_id":40,"status_id":1,"priority_id":2,"assigned_to_id":23,"start_date":"2017-07-31","description":"","custom_fields":[{"id":1,"name":"Subdivision","value":"EC"},{"id":4,"name":"Milepost","value":"0.0839"},{"id":17,"name":"Train ID","value":"244-30"},{"id":16,"name":"Locomotive ID","value":"4053"},{"id":130,"name":"Impact","value":""},{"id":150,"name":"Time of Event (Mountain Time)","value":"02:10:47"},{"id":151,"name":"Denver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/c/Users/stu/AppData/Local/Temp/OnboardLogs/RTDC4053 --include="*4053*201707310*"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"%USERPROFILE%\AppData\Local\Temp\OnboardLogs"\RTDC4053\*4053*201707310* &gt;&gt; 2017-07-30-SliceDisagreementCheck.txt</v>
      </c>
      <c r="AE26" s="145" t="str">
        <f t="shared" si="9"/>
        <v>start /low /b %USERPROFILE%\Documents\GitHub\eaglep3\Utilities\DownloadLogsFromS3.py --loco 4053 --day 2017-07-31</v>
      </c>
      <c r="AF26" s="1"/>
    </row>
    <row r="27" spans="1:32" s="20" customFormat="1" x14ac:dyDescent="0.25">
      <c r="A27" s="31">
        <v>42946.545671296299</v>
      </c>
      <c r="B27" s="30" t="s">
        <v>532</v>
      </c>
      <c r="C27" s="30" t="s">
        <v>633</v>
      </c>
      <c r="D27" s="30" t="s">
        <v>49</v>
      </c>
      <c r="E27" s="30" t="s">
        <v>181</v>
      </c>
      <c r="F27" s="42">
        <v>0</v>
      </c>
      <c r="G27" s="42">
        <v>31</v>
      </c>
      <c r="H27" s="42">
        <v>233395</v>
      </c>
      <c r="I27" s="42">
        <v>233414</v>
      </c>
      <c r="J27" s="30" t="s">
        <v>182</v>
      </c>
      <c r="K27" s="42">
        <v>233491</v>
      </c>
      <c r="L27" s="131" t="s">
        <v>50</v>
      </c>
      <c r="M27" s="132">
        <f t="shared" si="0"/>
        <v>40.655999999999999</v>
      </c>
      <c r="N27" s="133" t="str">
        <f>VLOOKUP(C27,'Trips&amp;Operators'!$C$1:$G$99999,5,FALSE)</f>
        <v>ROMERO CHAD</v>
      </c>
      <c r="O27" s="203" t="s">
        <v>180</v>
      </c>
      <c r="P27" s="134"/>
      <c r="Q27" s="30"/>
      <c r="R27" s="81" t="str">
        <f>VLOOKUP(C27,'Train Runs'!$A$13:$AE$9919,31,0)</f>
        <v>aws s3 cp s3://rtdc.mdm.uploadarchive.raw/RTDC4066/ "%USERPROFILE%\AppData\Local\Temp\OnboardLogs"\RTDC4066\2017-07-30 --exclude "*" --recursive --include "*20170730*" &amp; "%USERPROFILE%\Documents\GitHub\mrs-test-scripts\Headless Mode &amp; Sideloading\WalkAndUnGZ.bat" "%USERPROFILE%\AppData\Local\Temp\OnboardLogs"\RTDC4066\2017-07-30 &amp; aws s3 cp s3://rtdc.mdm.uploadarchive.raw/RTDC4066/ "%USERPROFILE%\AppData\Local\Temp\OnboardLogs"\RTDC4066\2017-07-31 --exclude "*" --recursive --include "*20170731*" &amp; "%USERPROFILE%\Documents\GitHub\mrs-test-scripts\Headless Mode &amp; Sideloading\WalkAndUnGZ.bat" "%USERPROFILE%\AppData\Local\Temp\OnboardLogs"\RTDC4066\2017-07-31</v>
      </c>
      <c r="S27" s="84" t="str">
        <f>VLOOKUP(C27,'Train Runs'!$A$13:$AE$9919,22,0)</f>
        <v>https://d0f6bd738d7f1b3e5a7ca70fe4ff75f0.us-east-1.aws.found.io/app/kibana#/discover/Steve-Slow-Train-Analysis-(2080s-and-2083s)?_g=(refreshInterval:(display:Off,pause:!f,section:0,value:0),time:(from:'2017-07-30T11:28:39-0600',mode:absolute,to:'2017-07-30T14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27" s="86" t="str">
        <f t="shared" si="1"/>
        <v>"C:\Program Files (x86)\AstroGrep\AstroGrep.exe" /e /r /s /spath="%USERPROFILE%\AppData\Local\Temp\OnboardLogs" /stypes="*4066*201707301*" /stext=" 19:.+((SYSTEM_STATE.+slice.+state.+changed )|(ment ac)|(multiple cpu faults)|(system.+state.+changed )|(\[timeout)|(PRM\|1\|D)|(kpr)|(kdp)|(train st.+moving)|(\|lc)|(penalty))"</v>
      </c>
      <c r="U27" s="9" t="str">
        <f t="shared" si="2"/>
        <v>4066</v>
      </c>
      <c r="V27" s="31">
        <f t="shared" si="3"/>
        <v>42946.795671296299</v>
      </c>
      <c r="W27" s="45" t="str">
        <f t="shared" si="4"/>
        <v>EC</v>
      </c>
      <c r="X27" s="22">
        <f t="shared" si="5"/>
        <v>171</v>
      </c>
      <c r="Y27" s="96" t="str">
        <f t="shared" si="6"/>
        <v>echo {"issue":{"subject":"","project_id":79,"tracker_id":40,"status_id":1,"priority_id":2,"assigned_to_id":23,"start_date":"2017-07-30","description":"","custom_fields":[{"id":1,"name":"Subdivision","value":"EC"},{"id":4,"name":"Milepost","value":"23.3491"},{"id":17,"name":"Train ID","value":"171-30"},{"id":16,"name":"Locomotive ID","value":"4066"},{"id":130,"name":"Impact","value":""},{"id":150,"name":"Time of Event (Mountain Time)","value":"13:05:46"},{"id":151,"name":"Denver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/c/Users/stu/AppData/Local/Temp/OnboardLogs/RTDC4066 --include="*4066*201707301*"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"%USERPROFILE%\AppData\Local\Temp\OnboardLogs"\RTDC4066\*4066*201707301* &gt;&gt; 2017-07-30-SliceDisagreementCheck.txt</v>
      </c>
      <c r="AE27" s="145" t="str">
        <f t="shared" si="9"/>
        <v>start /low /b %USERPROFILE%\Documents\GitHub\eaglep3\Utilities\DownloadLogsFromS3.py --loco 4066 --day 2017-07-30</v>
      </c>
      <c r="AF27" s="1"/>
    </row>
    <row r="28" spans="1:32" x14ac:dyDescent="0.25">
      <c r="A28" s="31">
        <v>42946.652662037035</v>
      </c>
      <c r="B28" s="30" t="s">
        <v>388</v>
      </c>
      <c r="C28" s="30" t="s">
        <v>641</v>
      </c>
      <c r="D28" s="30" t="s">
        <v>49</v>
      </c>
      <c r="E28" s="30" t="s">
        <v>181</v>
      </c>
      <c r="F28" s="42">
        <v>0</v>
      </c>
      <c r="G28" s="42">
        <v>47</v>
      </c>
      <c r="H28" s="42">
        <v>233302</v>
      </c>
      <c r="I28" s="42">
        <v>233331</v>
      </c>
      <c r="J28" s="30" t="s">
        <v>182</v>
      </c>
      <c r="K28" s="42">
        <v>233491</v>
      </c>
      <c r="L28" s="131" t="s">
        <v>50</v>
      </c>
      <c r="M28" s="132">
        <f t="shared" si="0"/>
        <v>84.48</v>
      </c>
      <c r="N28" s="133" t="str">
        <f>VLOOKUP(C28,'Trips&amp;Operators'!$C$1:$G$99999,5,FALSE)</f>
        <v>THOMPSON LESTER</v>
      </c>
      <c r="O28" s="203" t="s">
        <v>180</v>
      </c>
      <c r="P28" s="134"/>
      <c r="Q28" s="30"/>
      <c r="R28" s="81" t="str">
        <f>VLOOKUP(C28,'Train Runs'!$A$13:$AE$9919,31,0)</f>
        <v>aws s3 cp s3://rtdc.mdm.uploadarchive.raw/RTDC4046/ "%USERPROFILE%\AppData\Local\Temp\OnboardLogs"\RTDC4046\2017-07-30 --exclude "*" --recursive --include "*20170730*" &amp; "%USERPROFILE%\Documents\GitHub\mrs-test-scripts\Headless Mode &amp; Sideloading\WalkAndUnGZ.bat" "%USERPROFILE%\AppData\Local\Temp\OnboardLogs"\RTDC4046\2017-07-30 &amp; aws s3 cp s3://rtdc.mdm.uploadarchive.raw/RTDC4046/ "%USERPROFILE%\AppData\Local\Temp\OnboardLogs"\RTDC4046\2017-07-31 --exclude "*" --recursive --include "*20170731*" &amp; "%USERPROFILE%\Documents\GitHub\mrs-test-scripts\Headless Mode &amp; Sideloading\WalkAndUnGZ.bat" "%USERPROFILE%\AppData\Local\Temp\OnboardLogs"\RTDC4046\2017-07-31</v>
      </c>
      <c r="S28" s="84" t="str">
        <f>VLOOKUP(C28,'Train Runs'!$A$13:$AE$9919,22,0)</f>
        <v>https://d0f6bd738d7f1b3e5a7ca70fe4ff75f0.us-east-1.aws.found.io/app/kibana#/discover/Steve-Slow-Train-Analysis-(2080s-and-2083s)?_g=(refreshInterval:(display:Off,pause:!f,section:0,value:0),time:(from:'2017-07-30T13:50:11-0600',mode:absolute,to:'2017-07-30T16:39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8" s="86" t="str">
        <f t="shared" si="1"/>
        <v>"C:\Program Files (x86)\AstroGrep\AstroGrep.exe" /e /r /s /spath="%USERPROFILE%\AppData\Local\Temp\OnboardLogs" /stypes="*4046*201707302*" /stext=" 21:.+((SYSTEM_STATE.+slice.+state.+changed )|(ment ac)|(multiple cpu faults)|(system.+state.+changed )|(\[timeout)|(PRM\|1\|D)|(kpr)|(kdp)|(train st.+moving)|(\|lc)|(penalty))"</v>
      </c>
      <c r="U28" s="9" t="str">
        <f t="shared" si="2"/>
        <v>4046</v>
      </c>
      <c r="V28" s="31">
        <f t="shared" si="3"/>
        <v>42946.902662037035</v>
      </c>
      <c r="W28" s="45" t="str">
        <f t="shared" si="4"/>
        <v>EC</v>
      </c>
      <c r="X28" s="22">
        <f t="shared" si="5"/>
        <v>191</v>
      </c>
      <c r="Y28" s="96" t="str">
        <f t="shared" si="6"/>
        <v>echo {"issue":{"subject":"","project_id":79,"tracker_id":40,"status_id":1,"priority_id":2,"assigned_to_id":23,"start_date":"2017-07-30","description":"","custom_fields":[{"id":1,"name":"Subdivision","value":"EC"},{"id":4,"name":"Milepost","value":"23.3491"},{"id":17,"name":"Train ID","value":"191-30"},{"id":16,"name":"Locomotive ID","value":"4046"},{"id":130,"name":"Impact","value":""},{"id":150,"name":"Time of Event (Mountain Time)","value":"15:39:50"},{"id":151,"name":"Denver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/c/Users/stu/AppData/Local/Temp/OnboardLogs/RTDC4046 --include="*4046*201707302*"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"%USERPROFILE%\AppData\Local\Temp\OnboardLogs"\RTDC4046\*4046*201707302* &gt;&gt; 2017-07-30-SliceDisagreementCheck.txt</v>
      </c>
      <c r="AE28" s="145" t="str">
        <f t="shared" si="9"/>
        <v>start /low /b %USERPROFILE%\Documents\GitHub\eaglep3\Utilities\DownloadLogsFromS3.py --loco 4046 --day 2017-07-30</v>
      </c>
      <c r="AF28" s="1"/>
    </row>
    <row r="29" spans="1:32" x14ac:dyDescent="0.25">
      <c r="A29" s="31">
        <v>42946.681250000001</v>
      </c>
      <c r="B29" s="30" t="s">
        <v>645</v>
      </c>
      <c r="C29" s="30" t="s">
        <v>646</v>
      </c>
      <c r="D29" s="30" t="s">
        <v>49</v>
      </c>
      <c r="E29" s="30" t="s">
        <v>181</v>
      </c>
      <c r="F29" s="42">
        <v>0</v>
      </c>
      <c r="G29" s="42">
        <v>37</v>
      </c>
      <c r="H29" s="42">
        <v>233412</v>
      </c>
      <c r="I29" s="42">
        <v>233424</v>
      </c>
      <c r="J29" s="30" t="s">
        <v>182</v>
      </c>
      <c r="K29" s="42">
        <v>233491</v>
      </c>
      <c r="L29" s="131" t="s">
        <v>50</v>
      </c>
      <c r="M29" s="132">
        <f t="shared" si="0"/>
        <v>35.375999999999998</v>
      </c>
      <c r="N29" s="133" t="str">
        <f>VLOOKUP(C29,'Trips&amp;Operators'!$C$1:$G$99999,5,FALSE)</f>
        <v>DELGADO DIANAH</v>
      </c>
      <c r="O29" s="203" t="s">
        <v>180</v>
      </c>
      <c r="P29" s="134"/>
      <c r="Q29" s="30"/>
      <c r="R29" s="81" t="str">
        <f>VLOOKUP(C29,'Train Runs'!$A$13:$AE$9919,31,0)</f>
        <v>aws s3 cp s3://rtdc.mdm.uploadarchive.raw/RTDC4044/ "%USERPROFILE%\AppData\Local\Temp\OnboardLogs"\RTDC4044\2017-07-30 --exclude "*" --recursive --include "*20170730*" &amp; "%USERPROFILE%\Documents\GitHub\mrs-test-scripts\Headless Mode &amp; Sideloading\WalkAndUnGZ.bat" "%USERPROFILE%\AppData\Local\Temp\OnboardLogs"\RTDC4044\2017-07-30 &amp; aws s3 cp s3://rtdc.mdm.uploadarchive.raw/RTDC4044/ "%USERPROFILE%\AppData\Local\Temp\OnboardLogs"\RTDC4044\2017-07-31 --exclude "*" --recursive --include "*20170731*" &amp; "%USERPROFILE%\Documents\GitHub\mrs-test-scripts\Headless Mode &amp; Sideloading\WalkAndUnGZ.bat" "%USERPROFILE%\AppData\Local\Temp\OnboardLogs"\RTDC4044\2017-07-31</v>
      </c>
      <c r="S29" s="84" t="str">
        <f>VLOOKUP(C29,'Train Runs'!$A$13:$AE$9919,22,0)</f>
        <v>https://d0f6bd738d7f1b3e5a7ca70fe4ff75f0.us-east-1.aws.found.io/app/kibana#/discover/Steve-Slow-Train-Analysis-(2080s-and-2083s)?_g=(refreshInterval:(display:Off,pause:!f,section:0,value:0),time:(from:'2017-07-30T14:36:49-0600',mode:absolute,to:'2017-07-30T17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9" s="86" t="str">
        <f t="shared" si="1"/>
        <v>"C:\Program Files (x86)\AstroGrep\AstroGrep.exe" /e /r /s /spath="%USERPROFILE%\AppData\Local\Temp\OnboardLogs" /stypes="*4044*201707302*" /stext=" 22:.+((SYSTEM_STATE.+slice.+state.+changed )|(ment ac)|(multiple cpu faults)|(system.+state.+changed )|(\[timeout)|(PRM\|1\|D)|(kpr)|(kdp)|(train st.+moving)|(\|lc)|(penalty))"</v>
      </c>
      <c r="U29" s="9" t="str">
        <f t="shared" si="2"/>
        <v>4044</v>
      </c>
      <c r="V29" s="31">
        <f t="shared" si="3"/>
        <v>42946.931250000001</v>
      </c>
      <c r="W29" s="45" t="str">
        <f t="shared" si="4"/>
        <v>EC</v>
      </c>
      <c r="X29" s="22">
        <f t="shared" si="5"/>
        <v>197</v>
      </c>
      <c r="Y29" s="96" t="str">
        <f t="shared" si="6"/>
        <v>echo {"issue":{"subject":"","project_id":79,"tracker_id":40,"status_id":1,"priority_id":2,"assigned_to_id":23,"start_date":"2017-07-30","description":"","custom_fields":[{"id":1,"name":"Subdivision","value":"EC"},{"id":4,"name":"Milepost","value":"23.3491"},{"id":17,"name":"Train ID","value":"197-30"},{"id":16,"name":"Locomotive ID","value":"4044"},{"id":130,"name":"Impact","value":""},{"id":150,"name":"Time of Event (Mountain Time)","value":"16:21:00"},{"id":151,"name":"Denver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/c/Users/stu/AppData/Local/Temp/OnboardLogs/RTDC4044 --include="*4044*201707302*"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"%USERPROFILE%\AppData\Local\Temp\OnboardLogs"\RTDC4044\*4044*201707302* &gt;&gt; 2017-07-30-SliceDisagreementCheck.txt</v>
      </c>
      <c r="AE29" s="145" t="str">
        <f t="shared" si="9"/>
        <v>start /low /b %USERPROFILE%\Documents\GitHub\eaglep3\Utilities\DownloadLogsFromS3.py --loco 4044 --day 2017-07-30</v>
      </c>
      <c r="AF29" s="1"/>
    </row>
    <row r="30" spans="1:32" x14ac:dyDescent="0.25">
      <c r="A30" s="31">
        <v>42946.724861111114</v>
      </c>
      <c r="B30" s="30" t="s">
        <v>388</v>
      </c>
      <c r="C30" s="30" t="s">
        <v>647</v>
      </c>
      <c r="D30" s="30" t="s">
        <v>49</v>
      </c>
      <c r="E30" s="30" t="s">
        <v>181</v>
      </c>
      <c r="F30" s="42">
        <v>0</v>
      </c>
      <c r="G30" s="42">
        <v>48</v>
      </c>
      <c r="H30" s="42">
        <v>233324</v>
      </c>
      <c r="I30" s="42">
        <v>233347</v>
      </c>
      <c r="J30" s="30" t="s">
        <v>182</v>
      </c>
      <c r="K30" s="42">
        <v>233491</v>
      </c>
      <c r="L30" s="131" t="s">
        <v>50</v>
      </c>
      <c r="M30" s="132">
        <f t="shared" si="0"/>
        <v>76.031999999999996</v>
      </c>
      <c r="N30" s="133" t="str">
        <f>VLOOKUP(C30,'Trips&amp;Operators'!$C$1:$G$99999,5,FALSE)</f>
        <v>THOMPSON LESTER</v>
      </c>
      <c r="O30" s="203" t="s">
        <v>180</v>
      </c>
      <c r="P30" s="134"/>
      <c r="Q30" s="30"/>
      <c r="R30" s="81" t="str">
        <f>VLOOKUP(C30,'Train Runs'!$A$13:$AE$9919,31,0)</f>
        <v>aws s3 cp s3://rtdc.mdm.uploadarchive.raw/RTDC4046/ "%USERPROFILE%\AppData\Local\Temp\OnboardLogs"\RTDC4046\2017-07-30 --exclude "*" --recursive --include "*20170730*" &amp; "%USERPROFILE%\Documents\GitHub\mrs-test-scripts\Headless Mode &amp; Sideloading\WalkAndUnGZ.bat" "%USERPROFILE%\AppData\Local\Temp\OnboardLogs"\RTDC4046\2017-07-30 &amp; aws s3 cp s3://rtdc.mdm.uploadarchive.raw/RTDC4046/ "%USERPROFILE%\AppData\Local\Temp\OnboardLogs"\RTDC4046\2017-07-31 --exclude "*" --recursive --include "*20170731*" &amp; "%USERPROFILE%\Documents\GitHub\mrs-test-scripts\Headless Mode &amp; Sideloading\WalkAndUnGZ.bat" "%USERPROFILE%\AppData\Local\Temp\OnboardLogs"\RTDC4046\2017-07-31</v>
      </c>
      <c r="S30" s="84" t="str">
        <f>VLOOKUP(C30,'Train Runs'!$A$13:$AE$9919,22,0)</f>
        <v>https://d0f6bd738d7f1b3e5a7ca70fe4ff75f0.us-east-1.aws.found.io/app/kibana#/discover/Steve-Slow-Train-Analysis-(2080s-and-2083s)?_g=(refreshInterval:(display:Off,pause:!f,section:0,value:0),time:(from:'2017-07-30T15:42:53-0600',mode:absolute,to:'2017-07-30T18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0" s="86" t="str">
        <f t="shared" si="1"/>
        <v>"C:\Program Files (x86)\AstroGrep\AstroGrep.exe" /e /r /s /spath="%USERPROFILE%\AppData\Local\Temp\OnboardLogs" /stypes="*4046*201707302*" /stext=" 23:.+((SYSTEM_STATE.+slice.+state.+changed )|(ment ac)|(multiple cpu faults)|(system.+state.+changed )|(\[timeout)|(PRM\|1\|D)|(kpr)|(kdp)|(train st.+moving)|(\|lc)|(penalty))"</v>
      </c>
      <c r="U30" s="9" t="str">
        <f t="shared" si="2"/>
        <v>4046</v>
      </c>
      <c r="V30" s="31">
        <f t="shared" si="3"/>
        <v>42946.974861111114</v>
      </c>
      <c r="W30" s="45" t="str">
        <f t="shared" si="4"/>
        <v>EC</v>
      </c>
      <c r="X30" s="22">
        <f t="shared" si="5"/>
        <v>205</v>
      </c>
      <c r="Y30" s="96" t="str">
        <f t="shared" si="6"/>
        <v>echo {"issue":{"subject":"","project_id":79,"tracker_id":40,"status_id":1,"priority_id":2,"assigned_to_id":23,"start_date":"2017-07-30","description":"","custom_fields":[{"id":1,"name":"Subdivision","value":"EC"},{"id":4,"name":"Milepost","value":"23.3491"},{"id":17,"name":"Train ID","value":"205-30"},{"id":16,"name":"Locomotive ID","value":"4046"},{"id":130,"name":"Impact","value":""},{"id":150,"name":"Time of Event (Mountain Time)","value":"17:23:48"},{"id":151,"name":"Denver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/c/Users/stu/AppData/Local/Temp/OnboardLogs/RTDC4046 --include="*4046*201707302*"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"%USERPROFILE%\AppData\Local\Temp\OnboardLogs"\RTDC4046\*4046*201707302* &gt;&gt; 2017-07-30-SliceDisagreementCheck.txt</v>
      </c>
      <c r="AE30" s="145" t="str">
        <f t="shared" si="9"/>
        <v>start /low /b %USERPROFILE%\Documents\GitHub\eaglep3\Utilities\DownloadLogsFromS3.py --loco 4046 --day 2017-07-30</v>
      </c>
      <c r="AF30" s="1"/>
    </row>
    <row r="31" spans="1:32" x14ac:dyDescent="0.25">
      <c r="A31" s="31">
        <v>42946.745370370372</v>
      </c>
      <c r="B31" s="30" t="s">
        <v>533</v>
      </c>
      <c r="C31" s="30" t="s">
        <v>649</v>
      </c>
      <c r="D31" s="30" t="s">
        <v>49</v>
      </c>
      <c r="E31" s="30" t="s">
        <v>181</v>
      </c>
      <c r="F31" s="42">
        <v>0</v>
      </c>
      <c r="G31" s="42">
        <v>50</v>
      </c>
      <c r="H31" s="42">
        <v>233408</v>
      </c>
      <c r="I31" s="42">
        <v>233437</v>
      </c>
      <c r="J31" s="30" t="s">
        <v>182</v>
      </c>
      <c r="K31" s="42">
        <v>233491</v>
      </c>
      <c r="L31" s="131" t="s">
        <v>50</v>
      </c>
      <c r="M31" s="132">
        <f t="shared" si="0"/>
        <v>28.512</v>
      </c>
      <c r="N31" s="133" t="str">
        <f>VLOOKUP(C31,'Trips&amp;Operators'!$C$1:$G$99999,5,FALSE)</f>
        <v>STAMBAUGH JAMES</v>
      </c>
      <c r="O31" s="203" t="s">
        <v>180</v>
      </c>
      <c r="P31" s="134"/>
      <c r="Q31" s="30"/>
      <c r="R31" s="81" t="str">
        <f>VLOOKUP(C31,'Train Runs'!$A$13:$AE$9919,31,0)</f>
        <v>aws s3 cp s3://rtdc.mdm.uploadarchive.raw/RTDC4004/ "%USERPROFILE%\AppData\Local\Temp\OnboardLogs"\RTDC4004\2017-07-30 --exclude "*" --recursive --include "*20170730*" &amp; "%USERPROFILE%\Documents\GitHub\mrs-test-scripts\Headless Mode &amp; Sideloading\WalkAndUnGZ.bat" "%USERPROFILE%\AppData\Local\Temp\OnboardLogs"\RTDC4004\2017-07-30 &amp; aws s3 cp s3://rtdc.mdm.uploadarchive.raw/RTDC4004/ "%USERPROFILE%\AppData\Local\Temp\OnboardLogs"\RTDC4004\2017-07-31 --exclude "*" --recursive --include "*20170731*" &amp; "%USERPROFILE%\Documents\GitHub\mrs-test-scripts\Headless Mode &amp; Sideloading\WalkAndUnGZ.bat" "%USERPROFILE%\AppData\Local\Temp\OnboardLogs"\RTDC4004\2017-07-31</v>
      </c>
      <c r="S31" s="84" t="str">
        <f>VLOOKUP(C31,'Train Runs'!$A$13:$AE$9919,22,0)</f>
        <v>https://d0f6bd738d7f1b3e5a7ca70fe4ff75f0.us-east-1.aws.found.io/app/kibana#/discover/Steve-Slow-Train-Analysis-(2080s-and-2083s)?_g=(refreshInterval:(display:Off,pause:!f,section:0,value:0),time:(from:'2017-07-30T16:21:27-0600',mode:absolute,to:'2017-07-30T18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31" s="86" t="str">
        <f t="shared" si="1"/>
        <v>"C:\Program Files (x86)\AstroGrep\AstroGrep.exe" /e /r /s /spath="%USERPROFILE%\AppData\Local\Temp\OnboardLogs" /stypes="*4004*201707302*" /stext=" 23:.+((SYSTEM_STATE.+slice.+state.+changed )|(ment ac)|(multiple cpu faults)|(system.+state.+changed )|(\[timeout)|(PRM\|1\|D)|(kpr)|(kdp)|(train st.+moving)|(\|lc)|(penalty))"</v>
      </c>
      <c r="U31" s="9" t="str">
        <f t="shared" si="2"/>
        <v>4004</v>
      </c>
      <c r="V31" s="31">
        <f t="shared" si="3"/>
        <v>42946.995370370372</v>
      </c>
      <c r="W31" s="45" t="str">
        <f t="shared" si="4"/>
        <v>EC</v>
      </c>
      <c r="X31" s="22">
        <f t="shared" si="5"/>
        <v>209</v>
      </c>
      <c r="Y31" s="96" t="str">
        <f t="shared" si="6"/>
        <v>echo {"issue":{"subject":"","project_id":79,"tracker_id":40,"status_id":1,"priority_id":2,"assigned_to_id":23,"start_date":"2017-07-30","description":"","custom_fields":[{"id":1,"name":"Subdivision","value":"EC"},{"id":4,"name":"Milepost","value":"23.3491"},{"id":17,"name":"Train ID","value":"209-30"},{"id":16,"name":"Locomotive ID","value":"4004"},{"id":130,"name":"Impact","value":""},{"id":150,"name":"Time of Event (Mountain Time)","value":"17:53:20"},{"id":151,"name":"Denver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/c/Users/stu/AppData/Local/Temp/OnboardLogs/RTDC4004 --include="*4004*201707302*"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"%USERPROFILE%\AppData\Local\Temp\OnboardLogs"\RTDC4004\*4004*201707302* &gt;&gt; 2017-07-30-SliceDisagreementCheck.txt</v>
      </c>
      <c r="AE31" s="145" t="str">
        <f t="shared" si="9"/>
        <v>start /low /b %USERPROFILE%\Documents\GitHub\eaglep3\Utilities\DownloadLogsFromS3.py --loco 4004 --day 2017-07-30</v>
      </c>
      <c r="AF31" s="1"/>
    </row>
    <row r="32" spans="1:32" x14ac:dyDescent="0.25">
      <c r="A32" s="31">
        <v>42946.75408564815</v>
      </c>
      <c r="B32" s="30" t="s">
        <v>645</v>
      </c>
      <c r="C32" s="30" t="s">
        <v>651</v>
      </c>
      <c r="D32" s="30" t="s">
        <v>49</v>
      </c>
      <c r="E32" s="30" t="s">
        <v>181</v>
      </c>
      <c r="F32" s="42">
        <v>0</v>
      </c>
      <c r="G32" s="42">
        <v>106</v>
      </c>
      <c r="H32" s="42">
        <v>233213</v>
      </c>
      <c r="I32" s="42">
        <v>233312</v>
      </c>
      <c r="J32" s="30" t="s">
        <v>182</v>
      </c>
      <c r="K32" s="42">
        <v>233491</v>
      </c>
      <c r="L32" s="131" t="s">
        <v>50</v>
      </c>
      <c r="M32" s="132">
        <f t="shared" si="0"/>
        <v>94.512</v>
      </c>
      <c r="N32" s="133" t="str">
        <f>VLOOKUP(C32,'Trips&amp;Operators'!$C$1:$G$99999,5,FALSE)</f>
        <v>DELGADO DIANAH</v>
      </c>
      <c r="O32" s="203" t="s">
        <v>180</v>
      </c>
      <c r="P32" s="134"/>
      <c r="Q32" s="30"/>
      <c r="R32" s="81" t="str">
        <f>VLOOKUP(C32,'Train Runs'!$A$13:$AE$9919,31,0)</f>
        <v>aws s3 cp s3://rtdc.mdm.uploadarchive.raw/RTDC4044/ "%USERPROFILE%\AppData\Local\Temp\OnboardLogs"\RTDC4044\2017-07-30 --exclude "*" --recursive --include "*20170730*" &amp; "%USERPROFILE%\Documents\GitHub\mrs-test-scripts\Headless Mode &amp; Sideloading\WalkAndUnGZ.bat" "%USERPROFILE%\AppData\Local\Temp\OnboardLogs"\RTDC4044\2017-07-30 &amp; aws s3 cp s3://rtdc.mdm.uploadarchive.raw/RTDC4044/ "%USERPROFILE%\AppData\Local\Temp\OnboardLogs"\RTDC4044\2017-07-31 --exclude "*" --recursive --include "*20170731*" &amp; "%USERPROFILE%\Documents\GitHub\mrs-test-scripts\Headless Mode &amp; Sideloading\WalkAndUnGZ.bat" "%USERPROFILE%\AppData\Local\Temp\OnboardLogs"\RTDC4044\2017-07-31</v>
      </c>
      <c r="S32" s="84" t="str">
        <f>VLOOKUP(C32,'Train Runs'!$A$13:$AE$9919,22,0)</f>
        <v>https://d0f6bd738d7f1b3e5a7ca70fe4ff75f0.us-east-1.aws.found.io/app/kibana#/discover/Steve-Slow-Train-Analysis-(2080s-and-2083s)?_g=(refreshInterval:(display:Off,pause:!f,section:0,value:0),time:(from:'2017-07-30T16:23:30-0600',mode:absolute,to:'2017-07-30T19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2" s="86" t="str">
        <f t="shared" si="1"/>
        <v>"C:\Program Files (x86)\AstroGrep\AstroGrep.exe" /e /r /s /spath="%USERPROFILE%\AppData\Local\Temp\OnboardLogs" /stypes="*4044*201707310*" /stext=" 00:.+((SYSTEM_STATE.+slice.+state.+changed )|(ment ac)|(multiple cpu faults)|(system.+state.+changed )|(\[timeout)|(PRM\|1\|D)|(kpr)|(kdp)|(train st.+moving)|(\|lc)|(penalty))"</v>
      </c>
      <c r="U32" s="9" t="str">
        <f t="shared" si="2"/>
        <v>4044</v>
      </c>
      <c r="V32" s="31">
        <f t="shared" si="3"/>
        <v>42947.00408564815</v>
      </c>
      <c r="W32" s="45" t="str">
        <f t="shared" si="4"/>
        <v>EC</v>
      </c>
      <c r="X32" s="22">
        <f t="shared" si="5"/>
        <v>211</v>
      </c>
      <c r="Y32" s="96" t="str">
        <f t="shared" si="6"/>
        <v>echo {"issue":{"subject":"","project_id":79,"tracker_id":40,"status_id":1,"priority_id":2,"assigned_to_id":23,"start_date":"2017-07-30","description":"","custom_fields":[{"id":1,"name":"Subdivision","value":"EC"},{"id":4,"name":"Milepost","value":"23.3491"},{"id":17,"name":"Train ID","value":"211-30"},{"id":16,"name":"Locomotive ID","value":"4044"},{"id":130,"name":"Impact","value":""},{"id":150,"name":"Time of Event (Mountain Time)","value":"18:05:53"},{"id":151,"name":"Denver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/c/Users/stu/AppData/Local/Temp/OnboardLogs/RTDC4044 --include="*4044*201707310*"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"%USERPROFILE%\AppData\Local\Temp\OnboardLogs"\RTDC4044\*4044*201707310* &gt;&gt; 2017-07-30-SliceDisagreementCheck.txt</v>
      </c>
      <c r="AE32" s="145" t="str">
        <f t="shared" si="9"/>
        <v>start /low /b %USERPROFILE%\Documents\GitHub\eaglep3\Utilities\DownloadLogsFromS3.py --loco 4044 --day 2017-07-31</v>
      </c>
      <c r="AF32" s="1"/>
    </row>
    <row r="33" spans="1:32" x14ac:dyDescent="0.25">
      <c r="A33" s="31">
        <v>42946.81689814815</v>
      </c>
      <c r="B33" s="30" t="s">
        <v>533</v>
      </c>
      <c r="C33" s="30" t="s">
        <v>654</v>
      </c>
      <c r="D33" s="30" t="s">
        <v>49</v>
      </c>
      <c r="E33" s="30" t="s">
        <v>181</v>
      </c>
      <c r="F33" s="42">
        <v>0</v>
      </c>
      <c r="G33" s="42">
        <v>49</v>
      </c>
      <c r="H33" s="42">
        <v>233403</v>
      </c>
      <c r="I33" s="42">
        <v>233453</v>
      </c>
      <c r="J33" s="30" t="s">
        <v>182</v>
      </c>
      <c r="K33" s="42">
        <v>233491</v>
      </c>
      <c r="L33" s="131" t="s">
        <v>50</v>
      </c>
      <c r="M33" s="132">
        <f t="shared" si="0"/>
        <v>20.064</v>
      </c>
      <c r="N33" s="133" t="str">
        <f>VLOOKUP(C33,'Trips&amp;Operators'!$C$1:$G$99999,5,FALSE)</f>
        <v>STAMBAUGH JAMES</v>
      </c>
      <c r="O33" s="203" t="s">
        <v>180</v>
      </c>
      <c r="P33" s="134"/>
      <c r="Q33" s="30"/>
      <c r="R33" s="81" t="str">
        <f>VLOOKUP(C33,'Train Runs'!$A$13:$AE$9919,31,0)</f>
        <v>aws s3 cp s3://rtdc.mdm.uploadarchive.raw/RTDC4004/ "%USERPROFILE%\AppData\Local\Temp\OnboardLogs"\RTDC4004\2017-07-30 --exclude "*" --recursive --include "*20170730*" &amp; "%USERPROFILE%\Documents\GitHub\mrs-test-scripts\Headless Mode &amp; Sideloading\WalkAndUnGZ.bat" "%USERPROFILE%\AppData\Local\Temp\OnboardLogs"\RTDC4004\2017-07-30 &amp; aws s3 cp s3://rtdc.mdm.uploadarchive.raw/RTDC4004/ "%USERPROFILE%\AppData\Local\Temp\OnboardLogs"\RTDC4004\2017-07-31 --exclude "*" --recursive --include "*20170731*" &amp; "%USERPROFILE%\Documents\GitHub\mrs-test-scripts\Headless Mode &amp; Sideloading\WalkAndUnGZ.bat" "%USERPROFILE%\AppData\Local\Temp\OnboardLogs"\RTDC4004\2017-07-31</v>
      </c>
      <c r="S33" s="84" t="str">
        <f>VLOOKUP(C33,'Train Runs'!$A$13:$AE$9919,22,0)</f>
        <v>https://d0f6bd738d7f1b3e5a7ca70fe4ff75f0.us-east-1.aws.found.io/app/kibana#/discover/Steve-Slow-Train-Analysis-(2080s-and-2083s)?_g=(refreshInterval:(display:Off,pause:!f,section:0,value:0),time:(from:'2017-07-30T17:51:25-0600',mode:absolute,to:'2017-07-30T20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33" s="86" t="str">
        <f t="shared" si="1"/>
        <v>"C:\Program Files (x86)\AstroGrep\AstroGrep.exe" /e /r /s /spath="%USERPROFILE%\AppData\Local\Temp\OnboardLogs" /stypes="*4004*201707310*" /stext=" 01:.+((SYSTEM_STATE.+slice.+state.+changed )|(ment ac)|(multiple cpu faults)|(system.+state.+changed )|(\[timeout)|(PRM\|1\|D)|(kpr)|(kdp)|(train st.+moving)|(\|lc)|(penalty))"</v>
      </c>
      <c r="U33" s="9" t="str">
        <f t="shared" si="2"/>
        <v>4004</v>
      </c>
      <c r="V33" s="31">
        <f t="shared" si="3"/>
        <v>42947.06689814815</v>
      </c>
      <c r="W33" s="45" t="str">
        <f t="shared" si="4"/>
        <v>EC</v>
      </c>
      <c r="X33" s="22">
        <f t="shared" si="5"/>
        <v>221</v>
      </c>
      <c r="Y33" s="96" t="str">
        <f t="shared" si="6"/>
        <v>echo {"issue":{"subject":"","project_id":79,"tracker_id":40,"status_id":1,"priority_id":2,"assigned_to_id":23,"start_date":"2017-07-30","description":"","custom_fields":[{"id":1,"name":"Subdivision","value":"EC"},{"id":4,"name":"Milepost","value":"23.3491"},{"id":17,"name":"Train ID","value":"221-30"},{"id":16,"name":"Locomotive ID","value":"4004"},{"id":130,"name":"Impact","value":""},{"id":150,"name":"Time of Event (Mountain Time)","value":"19:36:20"},{"id":151,"name":"Denver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/c/Users/stu/AppData/Local/Temp/OnboardLogs/RTDC4004 --include="*4004*201707310*"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"%USERPROFILE%\AppData\Local\Temp\OnboardLogs"\RTDC4004\*4004*201707310* &gt;&gt; 2017-07-30-SliceDisagreementCheck.txt</v>
      </c>
      <c r="AE33" s="145" t="str">
        <f t="shared" si="9"/>
        <v>start /low /b %USERPROFILE%\Documents\GitHub\eaglep3\Utilities\DownloadLogsFromS3.py --loco 4004 --day 2017-07-31</v>
      </c>
      <c r="AF33" s="1"/>
    </row>
    <row r="34" spans="1:32" x14ac:dyDescent="0.25">
      <c r="A34" s="31">
        <v>42946.941724537035</v>
      </c>
      <c r="B34" s="30" t="s">
        <v>658</v>
      </c>
      <c r="C34" s="30" t="s">
        <v>659</v>
      </c>
      <c r="D34" s="30" t="s">
        <v>49</v>
      </c>
      <c r="E34" s="30" t="s">
        <v>181</v>
      </c>
      <c r="F34" s="42">
        <v>0</v>
      </c>
      <c r="G34" s="42">
        <v>94</v>
      </c>
      <c r="H34" s="42">
        <v>233145</v>
      </c>
      <c r="I34" s="42">
        <v>233259</v>
      </c>
      <c r="J34" s="30" t="s">
        <v>182</v>
      </c>
      <c r="K34" s="42">
        <v>233491</v>
      </c>
      <c r="L34" s="131" t="s">
        <v>50</v>
      </c>
      <c r="M34" s="132">
        <f t="shared" si="0"/>
        <v>122.496</v>
      </c>
      <c r="N34" s="133" t="str">
        <f>VLOOKUP(C34,'Trips&amp;Operators'!$C$1:$G$99999,5,FALSE)</f>
        <v>PERKINS DARREN</v>
      </c>
      <c r="O34" s="203" t="s">
        <v>180</v>
      </c>
      <c r="P34" s="134"/>
      <c r="Q34" s="30"/>
      <c r="R34" s="81" t="str">
        <f>VLOOKUP(C34,'Train Runs'!$A$13:$AE$9919,31,0)</f>
        <v>aws s3 cp s3://rtdc.mdm.uploadarchive.raw/RTDC4032/ "%USERPROFILE%\AppData\Local\Temp\OnboardLogs"\RTDC4032\2017-07-30 --exclude "*" --recursive --include "*20170730*" &amp; "%USERPROFILE%\Documents\GitHub\mrs-test-scripts\Headless Mode &amp; Sideloading\WalkAndUnGZ.bat" "%USERPROFILE%\AppData\Local\Temp\OnboardLogs"\RTDC4032\2017-07-30 &amp; aws s3 cp s3://rtdc.mdm.uploadarchive.raw/RTDC4032/ "%USERPROFILE%\AppData\Local\Temp\OnboardLogs"\RTDC4032\2017-07-31 --exclude "*" --recursive --include "*20170731*" &amp; "%USERPROFILE%\Documents\GitHub\mrs-test-scripts\Headless Mode &amp; Sideloading\WalkAndUnGZ.bat" "%USERPROFILE%\AppData\Local\Temp\OnboardLogs"\RTDC4032\2017-07-31</v>
      </c>
      <c r="S34" s="84" t="str">
        <f>VLOOKUP(C34,'Train Runs'!$A$13:$AE$9919,22,0)</f>
        <v>https://d0f6bd738d7f1b3e5a7ca70fe4ff75f0.us-east-1.aws.found.io/app/kibana#/discover/Steve-Slow-Train-Analysis-(2080s-and-2083s)?_g=(refreshInterval:(display:Off,pause:!f,section:0,value:0),time:(from:'2017-07-30T20:38:28-0600',mode:absolute,to:'2017-07-30T23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4" s="86" t="str">
        <f t="shared" si="1"/>
        <v>"C:\Program Files (x86)\AstroGrep\AstroGrep.exe" /e /r /s /spath="%USERPROFILE%\AppData\Local\Temp\OnboardLogs" /stypes="*4032*201707310*" /stext=" 04:.+((SYSTEM_STATE.+slice.+state.+changed )|(ment ac)|(multiple cpu faults)|(system.+state.+changed )|(\[timeout)|(PRM\|1\|D)|(kpr)|(kdp)|(train st.+moving)|(\|lc)|(penalty))"</v>
      </c>
      <c r="U34" s="9" t="str">
        <f t="shared" si="2"/>
        <v>4032</v>
      </c>
      <c r="V34" s="31">
        <f t="shared" si="3"/>
        <v>42947.191724537035</v>
      </c>
      <c r="W34" s="45" t="str">
        <f t="shared" si="4"/>
        <v>EC</v>
      </c>
      <c r="X34" s="22">
        <f t="shared" si="5"/>
        <v>233</v>
      </c>
      <c r="Y34" s="96" t="str">
        <f t="shared" si="6"/>
        <v>echo {"issue":{"subject":"","project_id":79,"tracker_id":40,"status_id":1,"priority_id":2,"assigned_to_id":23,"start_date":"2017-07-30","description":"","custom_fields":[{"id":1,"name":"Subdivision","value":"EC"},{"id":4,"name":"Milepost","value":"23.3491"},{"id":17,"name":"Train ID","value":"233-30"},{"id":16,"name":"Locomotive ID","value":"4032"},{"id":130,"name":"Impact","value":""},{"id":150,"name":"Time of Event (Mountain Time)","value":"22:36:05"},{"id":151,"name":"Denver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/c/Users/stu/AppData/Local/Temp/OnboardLogs/RTDC4032 --include="*4032*201707310*"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"%USERPROFILE%\AppData\Local\Temp\OnboardLogs"\RTDC4032\*4032*201707310* &gt;&gt; 2017-07-30-SliceDisagreementCheck.txt</v>
      </c>
      <c r="AE34" s="145" t="str">
        <f t="shared" si="9"/>
        <v>start /low /b %USERPROFILE%\Documents\GitHub\eaglep3\Utilities\DownloadLogsFromS3.py --loco 4032 --day 2017-07-31</v>
      </c>
      <c r="AF34" s="1"/>
    </row>
    <row r="35" spans="1:32" x14ac:dyDescent="0.25">
      <c r="A35" s="31">
        <v>42946.983067129629</v>
      </c>
      <c r="B35" s="30" t="s">
        <v>533</v>
      </c>
      <c r="C35" s="30" t="s">
        <v>660</v>
      </c>
      <c r="D35" s="30" t="s">
        <v>49</v>
      </c>
      <c r="E35" s="30" t="s">
        <v>181</v>
      </c>
      <c r="F35" s="42">
        <v>0</v>
      </c>
      <c r="G35" s="42">
        <v>24</v>
      </c>
      <c r="H35" s="42">
        <v>233455</v>
      </c>
      <c r="I35" s="42">
        <v>233466</v>
      </c>
      <c r="J35" s="30" t="s">
        <v>182</v>
      </c>
      <c r="K35" s="42">
        <v>233491</v>
      </c>
      <c r="L35" s="131" t="s">
        <v>50</v>
      </c>
      <c r="M35" s="132">
        <f t="shared" si="0"/>
        <v>13.2</v>
      </c>
      <c r="N35" s="133" t="str">
        <f>VLOOKUP(C35,'Trips&amp;Operators'!$C$1:$G$99999,5,FALSE)</f>
        <v>STAMBAUGH JAMES</v>
      </c>
      <c r="O35" s="203" t="s">
        <v>180</v>
      </c>
      <c r="P35" s="134"/>
      <c r="Q35" s="30"/>
      <c r="R35" s="81" t="str">
        <f>VLOOKUP(C35,'Train Runs'!$A$13:$AE$9919,31,0)</f>
        <v>aws s3 cp s3://rtdc.mdm.uploadarchive.raw/RTDC4004/ "%USERPROFILE%\AppData\Local\Temp\OnboardLogs"\RTDC4004\2017-07-30 --exclude "*" --recursive --include "*20170730*" &amp; "%USERPROFILE%\Documents\GitHub\mrs-test-scripts\Headless Mode &amp; Sideloading\WalkAndUnGZ.bat" "%USERPROFILE%\AppData\Local\Temp\OnboardLogs"\RTDC4004\2017-07-30 &amp; aws s3 cp s3://rtdc.mdm.uploadarchive.raw/RTDC4004/ "%USERPROFILE%\AppData\Local\Temp\OnboardLogs"\RTDC4004\2017-07-31 --exclude "*" --recursive --include "*20170731*" &amp; "%USERPROFILE%\Documents\GitHub\mrs-test-scripts\Headless Mode &amp; Sideloading\WalkAndUnGZ.bat" "%USERPROFILE%\AppData\Local\Temp\OnboardLogs"\RTDC4004\2017-07-31</v>
      </c>
      <c r="S35" s="84" t="str">
        <f>VLOOKUP(C35,'Train Runs'!$A$13:$AE$9919,22,0)</f>
        <v>https://d0f6bd738d7f1b3e5a7ca70fe4ff75f0.us-east-1.aws.found.io/app/kibana#/discover/Steve-Slow-Train-Analysis-(2080s-and-2083s)?_g=(refreshInterval:(display:Off,pause:!f,section:0,value:0),time:(from:'2017-07-30T21:36:53-0600',mode:absolute,to:'2017-07-31T00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35" s="86" t="str">
        <f t="shared" si="1"/>
        <v>"C:\Program Files (x86)\AstroGrep\AstroGrep.exe" /e /r /s /spath="%USERPROFILE%\AppData\Local\Temp\OnboardLogs" /stypes="*4004*201707310*" /stext=" 05:.+((SYSTEM_STATE.+slice.+state.+changed )|(ment ac)|(multiple cpu faults)|(system.+state.+changed )|(\[timeout)|(PRM\|1\|D)|(kpr)|(kdp)|(train st.+moving)|(\|lc)|(penalty))"</v>
      </c>
      <c r="U35" s="9" t="str">
        <f t="shared" si="2"/>
        <v>4004</v>
      </c>
      <c r="V35" s="31">
        <f t="shared" si="3"/>
        <v>42947.233067129629</v>
      </c>
      <c r="W35" s="45" t="str">
        <f t="shared" si="4"/>
        <v>EC</v>
      </c>
      <c r="X35" s="22">
        <f t="shared" si="5"/>
        <v>237</v>
      </c>
      <c r="Y35" s="96" t="str">
        <f t="shared" si="6"/>
        <v>echo {"issue":{"subject":"","project_id":79,"tracker_id":40,"status_id":1,"priority_id":2,"assigned_to_id":23,"start_date":"2017-07-30","description":"","custom_fields":[{"id":1,"name":"Subdivision","value":"EC"},{"id":4,"name":"Milepost","value":"23.3491"},{"id":17,"name":"Train ID","value":"237-30"},{"id":16,"name":"Locomotive ID","value":"4004"},{"id":130,"name":"Impact","value":""},{"id":150,"name":"Time of Event (Mountain Time)","value":"23:35:37"},{"id":151,"name":"Denver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/c/Users/stu/AppData/Local/Temp/OnboardLogs/RTDC4004 --include="*4004*201707310*"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"%USERPROFILE%\AppData\Local\Temp\OnboardLogs"\RTDC4004\*4004*201707310* &gt;&gt; 2017-07-30-SliceDisagreementCheck.txt</v>
      </c>
      <c r="AE35" s="145" t="str">
        <f t="shared" si="9"/>
        <v>start /low /b %USERPROFILE%\Documents\GitHub\eaglep3\Utilities\DownloadLogsFromS3.py --loco 4004 --day 2017-07-31</v>
      </c>
      <c r="AF35" s="1"/>
    </row>
    <row r="36" spans="1:32" x14ac:dyDescent="0.25">
      <c r="A36" s="31">
        <v>42946.772465277776</v>
      </c>
      <c r="B36" s="30" t="s">
        <v>335</v>
      </c>
      <c r="C36" s="30" t="s">
        <v>652</v>
      </c>
      <c r="D36" s="30" t="s">
        <v>49</v>
      </c>
      <c r="E36" s="30" t="s">
        <v>196</v>
      </c>
      <c r="F36" s="42">
        <v>150</v>
      </c>
      <c r="G36" s="42">
        <v>348</v>
      </c>
      <c r="H36" s="42">
        <v>55478</v>
      </c>
      <c r="I36" s="42">
        <v>56131</v>
      </c>
      <c r="J36" s="30" t="s">
        <v>197</v>
      </c>
      <c r="K36" s="42">
        <v>57008</v>
      </c>
      <c r="L36" s="131" t="s">
        <v>50</v>
      </c>
      <c r="M36" s="132">
        <f t="shared" si="0"/>
        <v>463.05599999999998</v>
      </c>
      <c r="N36" s="133" t="str">
        <f>VLOOKUP(C36,'Trips&amp;Operators'!$C$1:$G$99999,5,FALSE)</f>
        <v>HOLCOMB KAMDEN</v>
      </c>
      <c r="O36" s="203" t="s">
        <v>180</v>
      </c>
      <c r="P36" s="134"/>
      <c r="Q36" s="30"/>
      <c r="R36" s="81" t="str">
        <f>VLOOKUP(C36,'Train Runs'!$A$13:$AE$9919,31,0)</f>
        <v>aws s3 cp s3://rtdc.mdm.uploadarchive.raw/RTDC4022/ "%USERPROFILE%\AppData\Local\Temp\OnboardLogs"\RTDC4022\2017-07-30 --exclude "*" --recursive --include "*20170730*" &amp; "%USERPROFILE%\Documents\GitHub\mrs-test-scripts\Headless Mode &amp; Sideloading\WalkAndUnGZ.bat" "%USERPROFILE%\AppData\Local\Temp\OnboardLogs"\RTDC4022\2017-07-30 &amp; aws s3 cp s3://rtdc.mdm.uploadarchive.raw/RTDC4022/ "%USERPROFILE%\AppData\Local\Temp\OnboardLogs"\RTDC4022\2017-07-31 --exclude "*" --recursive --include "*20170731*" &amp; "%USERPROFILE%\Documents\GitHub\mrs-test-scripts\Headless Mode &amp; Sideloading\WalkAndUnGZ.bat" "%USERPROFILE%\AppData\Local\Temp\OnboardLogs"\RTDC4022\2017-07-31</v>
      </c>
      <c r="S36" s="84" t="str">
        <f>VLOOKUP(C36,'Train Runs'!$A$13:$AE$9919,22,0)</f>
        <v>https://d0f6bd738d7f1b3e5a7ca70fe4ff75f0.us-east-1.aws.found.io/app/kibana#/discover/Steve-Slow-Train-Analysis-(2080s-and-2083s)?_g=(refreshInterval:(display:Off,pause:!f,section:0,value:0),time:(from:'2017-07-30T17:20:21-0600',mode:absolute,to:'2017-07-30T19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36" s="86" t="str">
        <f t="shared" si="1"/>
        <v>"C:\Program Files (x86)\AstroGrep\AstroGrep.exe" /e /r /s /spath="%USERPROFILE%\AppData\Local\Temp\OnboardLogs" /stypes="*4022*201707310*" /stext=" 00:.+((SYSTEM_STATE.+slice.+state.+changed )|(ment ac)|(multiple cpu faults)|(system.+state.+changed )|(\[timeout)|(PRM\|1\|D)|(kpr)|(kdp)|(train st.+moving)|(\|lc)|(penalty))"</v>
      </c>
      <c r="U36" s="9" t="str">
        <f t="shared" si="2"/>
        <v>4022</v>
      </c>
      <c r="V36" s="31">
        <f t="shared" si="3"/>
        <v>42947.022465277776</v>
      </c>
      <c r="W36" s="45" t="str">
        <f t="shared" si="4"/>
        <v>NW</v>
      </c>
      <c r="X36" s="22">
        <f t="shared" si="5"/>
        <v>1825</v>
      </c>
      <c r="Y36" s="96" t="str">
        <f t="shared" si="6"/>
        <v>echo {"issue":{"subject":"","project_id":79,"tracker_id":40,"status_id":1,"priority_id":2,"assigned_to_id":23,"start_date":"2017-07-30","description":"","custom_fields":[{"id":1,"name":"Subdivision","value":"NW"},{"id":4,"name":"Milepost","value":"5.7008"},{"id":17,"name":"Train ID","value":"1825-30"},{"id":16,"name":"Locomotive ID","value":"4022"},{"id":130,"name":"Impact","value":""},{"id":150,"name":"Time of Event (Mountain Time)","value":"18:32:21"},{"id":151,"name":"Denver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/c/Users/stu/AppData/Local/Temp/OnboardLogs/RTDC4022 --include="*4022*201707310*"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"%USERPROFILE%\AppData\Local\Temp\OnboardLogs"\RTDC4022\*4022*201707310* &gt;&gt; 2017-07-30-SliceDisagreementCheck.txt</v>
      </c>
      <c r="AE36" s="145" t="str">
        <f t="shared" si="9"/>
        <v>start /low /b %USERPROFILE%\Documents\GitHub\eaglep3\Utilities\DownloadLogsFromS3.py --loco 4022 --day 2017-07-31</v>
      </c>
      <c r="AF36" s="1"/>
    </row>
    <row r="37" spans="1:32" x14ac:dyDescent="0.25">
      <c r="A37" s="31">
        <v>42946.246979166666</v>
      </c>
      <c r="B37" s="30" t="s">
        <v>622</v>
      </c>
      <c r="C37" s="30" t="s">
        <v>623</v>
      </c>
      <c r="D37" s="30" t="s">
        <v>49</v>
      </c>
      <c r="E37" s="30" t="s">
        <v>181</v>
      </c>
      <c r="F37" s="42">
        <v>0</v>
      </c>
      <c r="G37" s="42">
        <v>32</v>
      </c>
      <c r="H37" s="42">
        <v>682</v>
      </c>
      <c r="I37" s="42">
        <v>680</v>
      </c>
      <c r="J37" s="30" t="s">
        <v>182</v>
      </c>
      <c r="K37" s="42">
        <v>575</v>
      </c>
      <c r="L37" s="131" t="s">
        <v>51</v>
      </c>
      <c r="M37" s="132">
        <f t="shared" si="0"/>
        <v>55.44</v>
      </c>
      <c r="N37" s="133" t="str">
        <f>VLOOKUP(C37,'Trips&amp;Operators'!$C$1:$G$99999,5,FALSE)</f>
        <v>DAVIDSON DAVID</v>
      </c>
      <c r="O37" s="203" t="s">
        <v>180</v>
      </c>
      <c r="P37" s="134"/>
      <c r="Q37" s="30"/>
      <c r="R37" s="81" t="str">
        <f>VLOOKUP(C37,'Train Runs'!$A$13:$AE$9919,31,0)</f>
        <v>aws s3 cp s3://rtdc.mdm.uploadarchive.raw/RTDC4021/ "%USERPROFILE%\AppData\Local\Temp\OnboardLogs"\RTDC4021\2017-07-30 --exclude "*" --recursive --include "*20170730*" &amp; "%USERPROFILE%\Documents\GitHub\mrs-test-scripts\Headless Mode &amp; Sideloading\WalkAndUnGZ.bat" "%USERPROFILE%\AppData\Local\Temp\OnboardLogs"\RTDC4021\2017-07-30 &amp; aws s3 cp s3://rtdc.mdm.uploadarchive.raw/RTDC4021/ "%USERPROFILE%\AppData\Local\Temp\OnboardLogs"\RTDC4021\2017-07-31 --exclude "*" --recursive --include "*20170731*" &amp; "%USERPROFILE%\Documents\GitHub\mrs-test-scripts\Headless Mode &amp; Sideloading\WalkAndUnGZ.bat" "%USERPROFILE%\AppData\Local\Temp\OnboardLogs"\RTDC4021\2017-07-31</v>
      </c>
      <c r="S37" s="84" t="str">
        <f>VLOOKUP(C37,'Train Runs'!$A$13:$AE$9919,22,0)</f>
        <v>https://d0f6bd738d7f1b3e5a7ca70fe4ff75f0.us-east-1.aws.found.io/app/kibana#/discover/Steve-Slow-Train-Analysis-(2080s-and-2083s)?_g=(refreshInterval:(display:Off,pause:!f,section:0,value:0),time:(from:'2017-07-30T04:30:49-0600',mode:absolute,to:'2017-07-30T06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7" s="86" t="str">
        <f t="shared" si="1"/>
        <v>"C:\Program Files (x86)\AstroGrep\AstroGrep.exe" /e /r /s /spath="%USERPROFILE%\AppData\Local\Temp\OnboardLogs" /stypes="*4021*201707301*" /stext=" 11:.+((SYSTEM_STATE.+slice.+state.+changed )|(ment ac)|(multiple cpu faults)|(system.+state.+changed )|(\[timeout)|(PRM\|1\|D)|(kpr)|(kdp)|(train st.+moving)|(\|lc)|(penalty))"</v>
      </c>
      <c r="U37" s="9" t="str">
        <f t="shared" si="2"/>
        <v>4021</v>
      </c>
      <c r="V37" s="31">
        <f t="shared" si="3"/>
        <v>42946.496979166666</v>
      </c>
      <c r="W37" s="45" t="str">
        <f t="shared" si="4"/>
        <v>NW</v>
      </c>
      <c r="X37" s="22">
        <f t="shared" si="5"/>
        <v>1800</v>
      </c>
      <c r="Y37" s="96" t="str">
        <f t="shared" si="6"/>
        <v>echo {"issue":{"subject":"","project_id":79,"tracker_id":40,"status_id":1,"priority_id":2,"assigned_to_id":23,"start_date":"2017-07-30","description":"","custom_fields":[{"id":1,"name":"Subdivision","value":"NW"},{"id":4,"name":"Milepost","value":"0.0575"},{"id":17,"name":"Train ID","value":"1800-30"},{"id":16,"name":"Locomotive ID","value":"4021"},{"id":130,"name":"Impact","value":""},{"id":150,"name":"Time of Event (Mountain Time)","value":"05:55:39"},{"id":151,"name":"Denver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/c/Users/stu/AppData/Local/Temp/OnboardLogs/RTDC4021 --include="*4021*201707301*"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"%USERPROFILE%\AppData\Local\Temp\OnboardLogs"\RTDC4021\*4021*201707301* &gt;&gt; 2017-07-30-SliceDisagreementCheck.txt</v>
      </c>
      <c r="AE37" s="145" t="str">
        <f t="shared" si="9"/>
        <v>start /low /b %USERPROFILE%\Documents\GitHub\eaglep3\Utilities\DownloadLogsFromS3.py --loco 4021 --day 2017-07-30</v>
      </c>
      <c r="AF37" s="1"/>
    </row>
    <row r="38" spans="1:32" x14ac:dyDescent="0.25">
      <c r="A38" s="31">
        <v>42946.663136574076</v>
      </c>
      <c r="B38" s="30" t="s">
        <v>622</v>
      </c>
      <c r="C38" s="30" t="s">
        <v>643</v>
      </c>
      <c r="D38" s="30" t="s">
        <v>49</v>
      </c>
      <c r="E38" s="30" t="s">
        <v>181</v>
      </c>
      <c r="F38" s="42">
        <v>0</v>
      </c>
      <c r="G38" s="42">
        <v>56</v>
      </c>
      <c r="H38" s="42">
        <v>782</v>
      </c>
      <c r="I38" s="42">
        <v>733</v>
      </c>
      <c r="J38" s="30" t="s">
        <v>182</v>
      </c>
      <c r="K38" s="42">
        <v>575</v>
      </c>
      <c r="L38" s="131" t="s">
        <v>51</v>
      </c>
      <c r="M38" s="132">
        <f t="shared" si="0"/>
        <v>83.424000000000007</v>
      </c>
      <c r="N38" s="133" t="str">
        <f>VLOOKUP(C38,'Trips&amp;Operators'!$C$1:$G$99999,5,FALSE)</f>
        <v>HOLCOMB KAMDEN</v>
      </c>
      <c r="O38" s="203" t="s">
        <v>180</v>
      </c>
      <c r="P38" s="134"/>
      <c r="Q38" s="30"/>
      <c r="R38" s="81" t="str">
        <f>VLOOKUP(C38,'Train Runs'!$A$13:$AE$9919,31,0)</f>
        <v>aws s3 cp s3://rtdc.mdm.uploadarchive.raw/RTDC4021/ "%USERPROFILE%\AppData\Local\Temp\OnboardLogs"\RTDC4021\2017-07-30 --exclude "*" --recursive --include "*20170730*" &amp; "%USERPROFILE%\Documents\GitHub\mrs-test-scripts\Headless Mode &amp; Sideloading\WalkAndUnGZ.bat" "%USERPROFILE%\AppData\Local\Temp\OnboardLogs"\RTDC4021\2017-07-30 &amp; aws s3 cp s3://rtdc.mdm.uploadarchive.raw/RTDC4021/ "%USERPROFILE%\AppData\Local\Temp\OnboardLogs"\RTDC4021\2017-07-31 --exclude "*" --recursive --include "*20170731*" &amp; "%USERPROFILE%\Documents\GitHub\mrs-test-scripts\Headless Mode &amp; Sideloading\WalkAndUnGZ.bat" "%USERPROFILE%\AppData\Local\Temp\OnboardLogs"\RTDC4021\2017-07-31</v>
      </c>
      <c r="S38" s="84" t="str">
        <f>VLOOKUP(C38,'Train Runs'!$A$13:$AE$9919,22,0)</f>
        <v>https://d0f6bd738d7f1b3e5a7ca70fe4ff75f0.us-east-1.aws.found.io/app/kibana#/discover/Steve-Slow-Train-Analysis-(2080s-and-2083s)?_g=(refreshInterval:(display:Off,pause:!f,section:0,value:0),time:(from:'2017-07-30T14:38:24-0600',mode:absolute,to:'2017-07-30T16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8" s="86" t="str">
        <f t="shared" si="1"/>
        <v>"C:\Program Files (x86)\AstroGrep\AstroGrep.exe" /e /r /s /spath="%USERPROFILE%\AppData\Local\Temp\OnboardLogs" /stypes="*4021*201707302*" /stext=" 21:.+((SYSTEM_STATE.+slice.+state.+changed )|(ment ac)|(multiple cpu faults)|(system.+state.+changed )|(\[timeout)|(PRM\|1\|D)|(kpr)|(kdp)|(train st.+moving)|(\|lc)|(penalty))"</v>
      </c>
      <c r="U38" s="9" t="str">
        <f t="shared" si="2"/>
        <v>4021</v>
      </c>
      <c r="V38" s="31">
        <f t="shared" si="3"/>
        <v>42946.913136574076</v>
      </c>
      <c r="W38" s="45" t="str">
        <f t="shared" si="4"/>
        <v>NW</v>
      </c>
      <c r="X38" s="22">
        <f t="shared" si="5"/>
        <v>1820</v>
      </c>
      <c r="Y38" s="96" t="str">
        <f t="shared" si="6"/>
        <v>echo {"issue":{"subject":"","project_id":79,"tracker_id":40,"status_id":1,"priority_id":2,"assigned_to_id":23,"start_date":"2017-07-30","description":"","custom_fields":[{"id":1,"name":"Subdivision","value":"NW"},{"id":4,"name":"Milepost","value":"0.0575"},{"id":17,"name":"Train ID","value":"1820-30"},{"id":16,"name":"Locomotive ID","value":"4021"},{"id":130,"name":"Impact","value":""},{"id":150,"name":"Time of Event (Mountain Time)","value":"15:54:55"},{"id":151,"name":"Denver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/c/Users/stu/AppData/Local/Temp/OnboardLogs/RTDC4021 --include="*4021*201707302*"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"%USERPROFILE%\AppData\Local\Temp\OnboardLogs"\RTDC4021\*4021*201707302* &gt;&gt; 2017-07-30-SliceDisagreementCheck.txt</v>
      </c>
      <c r="AE38" s="145" t="str">
        <f t="shared" si="9"/>
        <v>start /low /b %USERPROFILE%\Documents\GitHub\eaglep3\Utilities\DownloadLogsFromS3.py --loco 4021 --day 2017-07-30</v>
      </c>
      <c r="AF38" s="1"/>
    </row>
    <row r="39" spans="1:32" x14ac:dyDescent="0.25">
      <c r="A39" s="31">
        <v>42946.745925925927</v>
      </c>
      <c r="B39" s="30" t="s">
        <v>622</v>
      </c>
      <c r="C39" s="30" t="s">
        <v>650</v>
      </c>
      <c r="D39" s="30" t="s">
        <v>49</v>
      </c>
      <c r="E39" s="30" t="s">
        <v>181</v>
      </c>
      <c r="F39" s="42">
        <v>0</v>
      </c>
      <c r="G39" s="42">
        <v>129</v>
      </c>
      <c r="H39" s="42">
        <v>1133</v>
      </c>
      <c r="I39" s="42">
        <v>1000</v>
      </c>
      <c r="J39" s="30" t="s">
        <v>182</v>
      </c>
      <c r="K39" s="42">
        <v>575</v>
      </c>
      <c r="L39" s="131" t="s">
        <v>51</v>
      </c>
      <c r="M39" s="132">
        <f t="shared" si="0"/>
        <v>224.4</v>
      </c>
      <c r="N39" s="133" t="str">
        <f>VLOOKUP(C39,'Trips&amp;Operators'!$C$1:$G$99999,5,FALSE)</f>
        <v>HOLCOMB KAMDEN</v>
      </c>
      <c r="O39" s="203" t="s">
        <v>180</v>
      </c>
      <c r="P39" s="134"/>
      <c r="Q39" s="30"/>
      <c r="R39" s="81" t="str">
        <f>VLOOKUP(C39,'Train Runs'!$A$13:$AE$9919,31,0)</f>
        <v>aws s3 cp s3://rtdc.mdm.uploadarchive.raw/RTDC4021/ "%USERPROFILE%\AppData\Local\Temp\OnboardLogs"\RTDC4021\2017-07-30 --exclude "*" --recursive --include "*20170730*" &amp; "%USERPROFILE%\Documents\GitHub\mrs-test-scripts\Headless Mode &amp; Sideloading\WalkAndUnGZ.bat" "%USERPROFILE%\AppData\Local\Temp\OnboardLogs"\RTDC4021\2017-07-30 &amp; aws s3 cp s3://rtdc.mdm.uploadarchive.raw/RTDC4021/ "%USERPROFILE%\AppData\Local\Temp\OnboardLogs"\RTDC4021\2017-07-31 --exclude "*" --recursive --include "*20170731*" &amp; "%USERPROFILE%\Documents\GitHub\mrs-test-scripts\Headless Mode &amp; Sideloading\WalkAndUnGZ.bat" "%USERPROFILE%\AppData\Local\Temp\OnboardLogs"\RTDC4021\2017-07-31</v>
      </c>
      <c r="S39" s="84" t="str">
        <f>VLOOKUP(C39,'Train Runs'!$A$13:$AE$9919,22,0)</f>
        <v>https://d0f6bd738d7f1b3e5a7ca70fe4ff75f0.us-east-1.aws.found.io/app/kibana#/discover/Steve-Slow-Train-Analysis-(2080s-and-2083s)?_g=(refreshInterval:(display:Off,pause:!f,section:0,value:0),time:(from:'2017-07-30T16:36:41-0600',mode:absolute,to:'2017-07-30T18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9" s="86" t="str">
        <f t="shared" si="1"/>
        <v>"C:\Program Files (x86)\AstroGrep\AstroGrep.exe" /e /r /s /spath="%USERPROFILE%\AppData\Local\Temp\OnboardLogs" /stypes="*4021*201707302*" /stext=" 23:.+((SYSTEM_STATE.+slice.+state.+changed )|(ment ac)|(multiple cpu faults)|(system.+state.+changed )|(\[timeout)|(PRM\|1\|D)|(kpr)|(kdp)|(train st.+moving)|(\|lc)|(penalty))"</v>
      </c>
      <c r="U39" s="9" t="str">
        <f t="shared" si="2"/>
        <v>4021</v>
      </c>
      <c r="V39" s="31">
        <f t="shared" si="3"/>
        <v>42946.995925925927</v>
      </c>
      <c r="W39" s="45" t="str">
        <f t="shared" si="4"/>
        <v>NW</v>
      </c>
      <c r="X39" s="22">
        <f t="shared" si="5"/>
        <v>1824</v>
      </c>
      <c r="Y39" s="96" t="str">
        <f t="shared" si="6"/>
        <v>echo {"issue":{"subject":"","project_id":79,"tracker_id":40,"status_id":1,"priority_id":2,"assigned_to_id":23,"start_date":"2017-07-30","description":"","custom_fields":[{"id":1,"name":"Subdivision","value":"NW"},{"id":4,"name":"Milepost","value":"0.0575"},{"id":17,"name":"Train ID","value":"1824-30"},{"id":16,"name":"Locomotive ID","value":"4021"},{"id":130,"name":"Impact","value":""},{"id":150,"name":"Time of Event (Mountain Time)","value":"17:54:08"},{"id":151,"name":"Denver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/c/Users/stu/AppData/Local/Temp/OnboardLogs/RTDC4021 --include="*4021*201707302*"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"%USERPROFILE%\AppData\Local\Temp\OnboardLogs"\RTDC4021\*4021*201707302* &gt;&gt; 2017-07-30-SliceDisagreementCheck.txt</v>
      </c>
      <c r="AE39" s="145" t="str">
        <f t="shared" si="9"/>
        <v>start /low /b %USERPROFILE%\Documents\GitHub\eaglep3\Utilities\DownloadLogsFromS3.py --loco 4021 --day 2017-07-30</v>
      </c>
      <c r="AF39" s="1"/>
    </row>
    <row r="40" spans="1:32" x14ac:dyDescent="0.25">
      <c r="A40" s="31">
        <v>42946.774097222224</v>
      </c>
      <c r="B40" s="30" t="s">
        <v>335</v>
      </c>
      <c r="C40" s="30" t="s">
        <v>652</v>
      </c>
      <c r="D40" s="30" t="s">
        <v>49</v>
      </c>
      <c r="E40" s="30" t="s">
        <v>181</v>
      </c>
      <c r="F40" s="42">
        <v>0</v>
      </c>
      <c r="G40" s="42">
        <v>146</v>
      </c>
      <c r="H40" s="42">
        <v>57863</v>
      </c>
      <c r="I40" s="42">
        <v>58039</v>
      </c>
      <c r="J40" s="30" t="s">
        <v>182</v>
      </c>
      <c r="K40" s="42">
        <v>59048</v>
      </c>
      <c r="L40" s="131" t="s">
        <v>50</v>
      </c>
      <c r="M40" s="132">
        <f t="shared" si="0"/>
        <v>532.75199999999995</v>
      </c>
      <c r="N40" s="133" t="str">
        <f>VLOOKUP(C40,'Trips&amp;Operators'!$C$1:$G$99999,5,FALSE)</f>
        <v>HOLCOMB KAMDEN</v>
      </c>
      <c r="O40" s="203" t="s">
        <v>180</v>
      </c>
      <c r="P40" s="134"/>
      <c r="Q40" s="30"/>
      <c r="R40" s="81" t="str">
        <f>VLOOKUP(C40,'Train Runs'!$A$13:$AE$9919,31,0)</f>
        <v>aws s3 cp s3://rtdc.mdm.uploadarchive.raw/RTDC4022/ "%USERPROFILE%\AppData\Local\Temp\OnboardLogs"\RTDC4022\2017-07-30 --exclude "*" --recursive --include "*20170730*" &amp; "%USERPROFILE%\Documents\GitHub\mrs-test-scripts\Headless Mode &amp; Sideloading\WalkAndUnGZ.bat" "%USERPROFILE%\AppData\Local\Temp\OnboardLogs"\RTDC4022\2017-07-30 &amp; aws s3 cp s3://rtdc.mdm.uploadarchive.raw/RTDC4022/ "%USERPROFILE%\AppData\Local\Temp\OnboardLogs"\RTDC4022\2017-07-31 --exclude "*" --recursive --include "*20170731*" &amp; "%USERPROFILE%\Documents\GitHub\mrs-test-scripts\Headless Mode &amp; Sideloading\WalkAndUnGZ.bat" "%USERPROFILE%\AppData\Local\Temp\OnboardLogs"\RTDC4022\2017-07-31</v>
      </c>
      <c r="S40" s="84" t="str">
        <f>VLOOKUP(C40,'Train Runs'!$A$13:$AE$9919,22,0)</f>
        <v>https://d0f6bd738d7f1b3e5a7ca70fe4ff75f0.us-east-1.aws.found.io/app/kibana#/discover/Steve-Slow-Train-Analysis-(2080s-and-2083s)?_g=(refreshInterval:(display:Off,pause:!f,section:0,value:0),time:(from:'2017-07-30T17:20:21-0600',mode:absolute,to:'2017-07-30T19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40" s="86" t="str">
        <f t="shared" si="1"/>
        <v>"C:\Program Files (x86)\AstroGrep\AstroGrep.exe" /e /r /s /spath="%USERPROFILE%\AppData\Local\Temp\OnboardLogs" /stypes="*4022*201707310*" /stext=" 00:.+((SYSTEM_STATE.+slice.+state.+changed )|(ment ac)|(multiple cpu faults)|(system.+state.+changed )|(\[timeout)|(PRM\|1\|D)|(kpr)|(kdp)|(train st.+moving)|(\|lc)|(penalty))"</v>
      </c>
      <c r="U40" s="9" t="str">
        <f t="shared" si="2"/>
        <v>4022</v>
      </c>
      <c r="V40" s="31">
        <f t="shared" si="3"/>
        <v>42947.024097222224</v>
      </c>
      <c r="W40" s="45" t="str">
        <f t="shared" si="4"/>
        <v>NW</v>
      </c>
      <c r="X40" s="22">
        <f t="shared" si="5"/>
        <v>1825</v>
      </c>
      <c r="Y40" s="96" t="str">
        <f t="shared" si="6"/>
        <v>echo {"issue":{"subject":"","project_id":79,"tracker_id":40,"status_id":1,"priority_id":2,"assigned_to_id":23,"start_date":"2017-07-30","description":"","custom_fields":[{"id":1,"name":"Subdivision","value":"NW"},{"id":4,"name":"Milepost","value":"5.9048"},{"id":17,"name":"Train ID","value":"1825-30"},{"id":16,"name":"Locomotive ID","value":"4022"},{"id":130,"name":"Impact","value":""},{"id":150,"name":"Time of Event (Mountain Time)","value":"18:34:42"},{"id":151,"name":"Denver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/c/Users/stu/AppData/Local/Temp/OnboardLogs/RTDC4022 --include="*4022*201707310*"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"%USERPROFILE%\AppData\Local\Temp\OnboardLogs"\RTDC4022\*4022*201707310* &gt;&gt; 2017-07-30-SliceDisagreementCheck.txt</v>
      </c>
      <c r="AE40" s="145" t="str">
        <f t="shared" si="9"/>
        <v>start /low /b %USERPROFILE%\Documents\GitHub\eaglep3\Utilities\DownloadLogsFromS3.py --loco 4022 --day 2017-07-31</v>
      </c>
      <c r="AF40" s="1"/>
    </row>
    <row r="41" spans="1:32" x14ac:dyDescent="0.25">
      <c r="A41" s="31">
        <v>42946.815729166665</v>
      </c>
      <c r="B41" s="30" t="s">
        <v>335</v>
      </c>
      <c r="C41" s="30" t="s">
        <v>653</v>
      </c>
      <c r="D41" s="30" t="s">
        <v>49</v>
      </c>
      <c r="E41" s="30" t="s">
        <v>181</v>
      </c>
      <c r="F41" s="42">
        <v>0</v>
      </c>
      <c r="G41" s="42">
        <v>28</v>
      </c>
      <c r="H41" s="42">
        <v>58995</v>
      </c>
      <c r="I41" s="42">
        <v>59010</v>
      </c>
      <c r="J41" s="30" t="s">
        <v>182</v>
      </c>
      <c r="K41" s="42">
        <v>59048</v>
      </c>
      <c r="L41" s="131" t="s">
        <v>50</v>
      </c>
      <c r="M41" s="132">
        <f t="shared" si="0"/>
        <v>20.064</v>
      </c>
      <c r="N41" s="133" t="str">
        <f>VLOOKUP(C41,'Trips&amp;Operators'!$C$1:$G$99999,5,FALSE)</f>
        <v>HOLCOMB KAMDEN</v>
      </c>
      <c r="O41" s="203" t="s">
        <v>180</v>
      </c>
      <c r="P41" s="134"/>
      <c r="Q41" s="30"/>
      <c r="R41" s="81" t="str">
        <f>VLOOKUP(C41,'Train Runs'!$A$13:$AE$9919,31,0)</f>
        <v>aws s3 cp s3://rtdc.mdm.uploadarchive.raw/RTDC4022/ "%USERPROFILE%\AppData\Local\Temp\OnboardLogs"\RTDC4022\2017-07-30 --exclude "*" --recursive --include "*20170730*" &amp; "%USERPROFILE%\Documents\GitHub\mrs-test-scripts\Headless Mode &amp; Sideloading\WalkAndUnGZ.bat" "%USERPROFILE%\AppData\Local\Temp\OnboardLogs"\RTDC4022\2017-07-30 &amp; aws s3 cp s3://rtdc.mdm.uploadarchive.raw/RTDC4022/ "%USERPROFILE%\AppData\Local\Temp\OnboardLogs"\RTDC4022\2017-07-31 --exclude "*" --recursive --include "*20170731*" &amp; "%USERPROFILE%\Documents\GitHub\mrs-test-scripts\Headless Mode &amp; Sideloading\WalkAndUnGZ.bat" "%USERPROFILE%\AppData\Local\Temp\OnboardLogs"\RTDC4022\2017-07-31</v>
      </c>
      <c r="S41" s="84" t="str">
        <f>VLOOKUP(C41,'Train Runs'!$A$13:$AE$9919,22,0)</f>
        <v>https://d0f6bd738d7f1b3e5a7ca70fe4ff75f0.us-east-1.aws.found.io/app/kibana#/discover/Steve-Slow-Train-Analysis-(2080s-and-2083s)?_g=(refreshInterval:(display:Off,pause:!f,section:0,value:0),time:(from:'2017-07-30T18:19:11-0600',mode:absolute,to:'2017-07-30T20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41" s="86" t="str">
        <f t="shared" si="1"/>
        <v>"C:\Program Files (x86)\AstroGrep\AstroGrep.exe" /e /r /s /spath="%USERPROFILE%\AppData\Local\Temp\OnboardLogs" /stypes="*4022*201707310*" /stext=" 01:.+((SYSTEM_STATE.+slice.+state.+changed )|(ment ac)|(multiple cpu faults)|(system.+state.+changed )|(\[timeout)|(PRM\|1\|D)|(kpr)|(kdp)|(train st.+moving)|(\|lc)|(penalty))"</v>
      </c>
      <c r="U41" s="9" t="str">
        <f t="shared" si="2"/>
        <v>4022</v>
      </c>
      <c r="V41" s="31">
        <f t="shared" si="3"/>
        <v>42947.065729166665</v>
      </c>
      <c r="W41" s="45" t="str">
        <f t="shared" si="4"/>
        <v>NW</v>
      </c>
      <c r="X41" s="22">
        <f t="shared" si="5"/>
        <v>1827</v>
      </c>
      <c r="Y41" s="96" t="str">
        <f t="shared" si="6"/>
        <v>echo {"issue":{"subject":"","project_id":79,"tracker_id":40,"status_id":1,"priority_id":2,"assigned_to_id":23,"start_date":"2017-07-30","description":"","custom_fields":[{"id":1,"name":"Subdivision","value":"NW"},{"id":4,"name":"Milepost","value":"5.9048"},{"id":17,"name":"Train ID","value":"1827-30"},{"id":16,"name":"Locomotive ID","value":"4022"},{"id":130,"name":"Impact","value":""},{"id":150,"name":"Time of Event (Mountain Time)","value":"19:34:39"},{"id":151,"name":"Denver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/c/Users/stu/AppData/Local/Temp/OnboardLogs/RTDC4022 --include="*4022*201707310*"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"%USERPROFILE%\AppData\Local\Temp\OnboardLogs"\RTDC4022\*4022*201707310* &gt;&gt; 2017-07-30-SliceDisagreementCheck.txt</v>
      </c>
      <c r="AE41" s="145" t="str">
        <f t="shared" si="9"/>
        <v>start /low /b %USERPROFILE%\Documents\GitHub\eaglep3\Utilities\DownloadLogsFromS3.py --loco 4022 --day 2017-07-31</v>
      </c>
      <c r="AF41" s="1"/>
    </row>
    <row r="42" spans="1:32" x14ac:dyDescent="0.25">
      <c r="A42" s="31">
        <v>42946.9</v>
      </c>
      <c r="B42" s="30" t="s">
        <v>335</v>
      </c>
      <c r="C42" s="30" t="s">
        <v>657</v>
      </c>
      <c r="D42" s="30" t="s">
        <v>49</v>
      </c>
      <c r="E42" s="30" t="s">
        <v>181</v>
      </c>
      <c r="F42" s="42">
        <v>0</v>
      </c>
      <c r="G42" s="42">
        <v>16</v>
      </c>
      <c r="H42" s="42">
        <v>59020</v>
      </c>
      <c r="I42" s="42">
        <v>59027</v>
      </c>
      <c r="J42" s="30" t="s">
        <v>182</v>
      </c>
      <c r="K42" s="42">
        <v>59048</v>
      </c>
      <c r="L42" s="131" t="s">
        <v>50</v>
      </c>
      <c r="M42" s="132">
        <f t="shared" si="0"/>
        <v>11.087999999999999</v>
      </c>
      <c r="N42" s="133" t="str">
        <f>VLOOKUP(C42,'Trips&amp;Operators'!$C$1:$G$99999,5,FALSE)</f>
        <v>HOLCOMB KAMDEN</v>
      </c>
      <c r="O42" s="203" t="s">
        <v>180</v>
      </c>
      <c r="P42" s="134"/>
      <c r="Q42" s="30"/>
      <c r="R42" s="81" t="str">
        <f>VLOOKUP(C42,'Train Runs'!$A$13:$AE$9919,31,0)</f>
        <v>aws s3 cp s3://rtdc.mdm.uploadarchive.raw/RTDC4022/ "%USERPROFILE%\AppData\Local\Temp\OnboardLogs"\RTDC4022\2017-07-30 --exclude "*" --recursive --include "*20170730*" &amp; "%USERPROFILE%\Documents\GitHub\mrs-test-scripts\Headless Mode &amp; Sideloading\WalkAndUnGZ.bat" "%USERPROFILE%\AppData\Local\Temp\OnboardLogs"\RTDC4022\2017-07-30 &amp; aws s3 cp s3://rtdc.mdm.uploadarchive.raw/RTDC4022/ "%USERPROFILE%\AppData\Local\Temp\OnboardLogs"\RTDC4022\2017-07-31 --exclude "*" --recursive --include "*20170731*" &amp; "%USERPROFILE%\Documents\GitHub\mrs-test-scripts\Headless Mode &amp; Sideloading\WalkAndUnGZ.bat" "%USERPROFILE%\AppData\Local\Temp\OnboardLogs"\RTDC4022\2017-07-31</v>
      </c>
      <c r="S42" s="84" t="str">
        <f>VLOOKUP(C42,'Train Runs'!$A$13:$AE$9919,22,0)</f>
        <v>https://d0f6bd738d7f1b3e5a7ca70fe4ff75f0.us-east-1.aws.found.io/app/kibana#/discover/Steve-Slow-Train-Analysis-(2080s-and-2083s)?_g=(refreshInterval:(display:Off,pause:!f,section:0,value:0),time:(from:'2017-07-30T20:10:10-0600',mode:absolute,to:'2017-07-30T22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42" s="86" t="str">
        <f t="shared" si="1"/>
        <v>"C:\Program Files (x86)\AstroGrep\AstroGrep.exe" /e /r /s /spath="%USERPROFILE%\AppData\Local\Temp\OnboardLogs" /stypes="*4022*201707310*" /stext=" 03:.+((SYSTEM_STATE.+slice.+state.+changed )|(ment ac)|(multiple cpu faults)|(system.+state.+changed )|(\[timeout)|(PRM\|1\|D)|(kpr)|(kdp)|(train st.+moving)|(\|lc)|(penalty))"</v>
      </c>
      <c r="U42" s="9" t="str">
        <f t="shared" si="2"/>
        <v>4022</v>
      </c>
      <c r="V42" s="31">
        <f t="shared" si="3"/>
        <v>42947.15</v>
      </c>
      <c r="W42" s="45" t="str">
        <f t="shared" si="4"/>
        <v>NW</v>
      </c>
      <c r="X42" s="22">
        <f t="shared" si="5"/>
        <v>1831</v>
      </c>
      <c r="Y42" s="96" t="str">
        <f t="shared" si="6"/>
        <v>echo {"issue":{"subject":"","project_id":79,"tracker_id":40,"status_id":1,"priority_id":2,"assigned_to_id":23,"start_date":"2017-07-30","description":"","custom_fields":[{"id":1,"name":"Subdivision","value":"NW"},{"id":4,"name":"Milepost","value":"5.9048"},{"id":17,"name":"Train ID","value":"1831-30"},{"id":16,"name":"Locomotive ID","value":"4022"},{"id":130,"name":"Impact","value":""},{"id":150,"name":"Time of Event (Mountain Time)","value":"21:36:00"},{"id":151,"name":"Denver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/c/Users/stu/AppData/Local/Temp/OnboardLogs/RTDC4022 --include="*4022*201707310*"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"%USERPROFILE%\AppData\Local\Temp\OnboardLogs"\RTDC4022\*4022*201707310* &gt;&gt; 2017-07-30-SliceDisagreementCheck.txt</v>
      </c>
      <c r="AE42" s="145" t="str">
        <f t="shared" si="9"/>
        <v>start /low /b %USERPROFILE%\Documents\GitHub\eaglep3\Utilities\DownloadLogsFromS3.py --loco 4022 --day 2017-07-31</v>
      </c>
      <c r="AF42" s="1"/>
    </row>
    <row r="43" spans="1:32" x14ac:dyDescent="0.25">
      <c r="A43" s="31">
        <v>42946.201504629629</v>
      </c>
      <c r="B43" s="30" t="s">
        <v>616</v>
      </c>
      <c r="C43" s="30" t="s">
        <v>617</v>
      </c>
      <c r="D43" s="30" t="s">
        <v>96</v>
      </c>
      <c r="E43" s="30" t="s">
        <v>618</v>
      </c>
      <c r="F43" s="42">
        <v>0</v>
      </c>
      <c r="G43" s="42">
        <v>85</v>
      </c>
      <c r="H43" s="42">
        <v>23076</v>
      </c>
      <c r="I43" s="42">
        <v>22989</v>
      </c>
      <c r="J43" s="30" t="s">
        <v>619</v>
      </c>
      <c r="K43" s="42">
        <v>24235</v>
      </c>
      <c r="L43" s="131" t="s">
        <v>51</v>
      </c>
      <c r="M43" s="132">
        <f t="shared" si="0"/>
        <v>-657.88800000000003</v>
      </c>
      <c r="N43" s="133" t="str">
        <f>VLOOKUP(C43,'Trips&amp;Operators'!$C$1:$G$99999,5,FALSE)</f>
        <v>GUZMAN DANNY</v>
      </c>
      <c r="O43" s="203" t="s">
        <v>180</v>
      </c>
      <c r="P43" s="134"/>
      <c r="Q43" s="30"/>
      <c r="R43" s="81" t="str">
        <f>VLOOKUP(C43,'Train Runs'!$A$13:$AE$9919,31,0)</f>
        <v>aws s3 cp s3://rtdc.mdm.uploadarchive.raw/RTDC4011/ "%USERPROFILE%\AppData\Local\Temp\OnboardLogs"\RTDC4011\2017-07-30 --exclude "*" --recursive --include "*20170730*" &amp; "%USERPROFILE%\Documents\GitHub\mrs-test-scripts\Headless Mode &amp; Sideloading\WalkAndUnGZ.bat" "%USERPROFILE%\AppData\Local\Temp\OnboardLogs"\RTDC4011\2017-07-30 &amp; aws s3 cp s3://rtdc.mdm.uploadarchive.raw/RTDC4011/ "%USERPROFILE%\AppData\Local\Temp\OnboardLogs"\RTDC4011\2017-07-31 --exclude "*" --recursive --include "*20170731*" &amp; "%USERPROFILE%\Documents\GitHub\mrs-test-scripts\Headless Mode &amp; Sideloading\WalkAndUnGZ.bat" "%USERPROFILE%\AppData\Local\Temp\OnboardLogs"\RTDC4011\2017-07-31</v>
      </c>
      <c r="S43" s="84" t="str">
        <f>VLOOKUP(C43,'Train Runs'!$A$13:$AE$9919,22,0)</f>
        <v>https://d0f6bd738d7f1b3e5a7ca70fe4ff75f0.us-east-1.aws.found.io/app/kibana#/discover/Steve-Slow-Train-Analysis-(2080s-and-2083s)?_g=(refreshInterval:(display:Off,pause:!f,section:0,value:0),time:(from:'2017-07-30T03:43:41-0600',mode:absolute,to:'2017-07-30T06:00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3" s="86" t="str">
        <f t="shared" si="1"/>
        <v>"C:\Program Files (x86)\AstroGrep\AstroGrep.exe" /e /r /s /spath="%USERPROFILE%\AppData\Local\Temp\OnboardLogs" /stypes="*4011*201707301*" /stext=" 10:.+((SYSTEM_STATE.+slice.+state.+changed )|(ment ac)|(multiple cpu faults)|(system.+state.+changed )|(\[timeout)|(PRM\|1\|D)|(kpr)|(kdp)|(train st.+moving)|(\|lc)|(penalty))"</v>
      </c>
      <c r="U43" s="9" t="str">
        <f t="shared" si="2"/>
        <v>4011</v>
      </c>
      <c r="V43" s="31">
        <f t="shared" si="3"/>
        <v>42946.451504629629</v>
      </c>
      <c r="W43" s="45" t="str">
        <f t="shared" si="4"/>
        <v>Other</v>
      </c>
      <c r="X43" s="22">
        <f t="shared" si="5"/>
        <v>310</v>
      </c>
      <c r="Y43" s="96" t="str">
        <f t="shared" si="6"/>
        <v>echo {"issue":{"subject":"","project_id":79,"tracker_id":40,"status_id":1,"priority_id":2,"assigned_to_id":23,"start_date":"2017-07-30","description":"","custom_fields":[{"id":1,"name":"Subdivision","value":"Other"},{"id":4,"name":"Milepost","value":"2.4235"},{"id":17,"name":"Train ID","value":"310-30"},{"id":16,"name":"Locomotive ID","value":"4011"},{"id":130,"name":"Impact","value":""},{"id":150,"name":"Time of Event (Mountain Time)","value":"04:50:10"},{"id":151,"name":"Denver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/c/Users/stu/AppData/Local/Temp/OnboardLogs/RTDC4011 --include="*4011*201707301*"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"%USERPROFILE%\AppData\Local\Temp\OnboardLogs"\RTDC4011\*4011*201707301* &gt;&gt; 2017-07-30-SliceDisagreementCheck.txt</v>
      </c>
      <c r="AE43" s="145" t="str">
        <f t="shared" si="9"/>
        <v>start /low /b %USERPROFILE%\Documents\GitHub\eaglep3\Utilities\DownloadLogsFromS3.py --loco 4011 --day 2017-07-30</v>
      </c>
      <c r="AF43" s="1"/>
    </row>
    <row r="44" spans="1:32" x14ac:dyDescent="0.25">
      <c r="A44" s="31">
        <v>42946.435428240744</v>
      </c>
      <c r="B44" s="30" t="s">
        <v>527</v>
      </c>
      <c r="C44" s="30" t="s">
        <v>628</v>
      </c>
      <c r="D44" s="30" t="s">
        <v>96</v>
      </c>
      <c r="E44" s="30" t="s">
        <v>196</v>
      </c>
      <c r="F44" s="42">
        <v>350</v>
      </c>
      <c r="G44" s="42">
        <v>402</v>
      </c>
      <c r="H44" s="42">
        <v>229248</v>
      </c>
      <c r="I44" s="42">
        <v>228103</v>
      </c>
      <c r="J44" s="30" t="s">
        <v>197</v>
      </c>
      <c r="K44" s="42">
        <v>232080</v>
      </c>
      <c r="L44" s="131" t="s">
        <v>51</v>
      </c>
      <c r="M44" s="132">
        <f t="shared" si="0"/>
        <v>-2099.8560000000002</v>
      </c>
      <c r="N44" s="133" t="str">
        <f>VLOOKUP(C44,'Trips&amp;Operators'!$C$1:$G$99999,5,FALSE)</f>
        <v>WILLIAMS DONTE</v>
      </c>
      <c r="O44" s="203" t="s">
        <v>180</v>
      </c>
      <c r="P44" s="134"/>
      <c r="Q44" s="30"/>
      <c r="R44" s="81" t="str">
        <f>VLOOKUP(C44,'Train Runs'!$A$13:$AE$9919,31,0)</f>
        <v>aws s3 cp s3://rtdc.mdm.uploadarchive.raw/RTDC4005/ "%USERPROFILE%\AppData\Local\Temp\OnboardLogs"\RTDC4005\2017-07-30 --exclude "*" --recursive --include "*20170730*" &amp; "%USERPROFILE%\Documents\GitHub\mrs-test-scripts\Headless Mode &amp; Sideloading\WalkAndUnGZ.bat" "%USERPROFILE%\AppData\Local\Temp\OnboardLogs"\RTDC4005\2017-07-30 &amp; aws s3 cp s3://rtdc.mdm.uploadarchive.raw/RTDC4005/ "%USERPROFILE%\AppData\Local\Temp\OnboardLogs"\RTDC4005\2017-07-31 --exclude "*" --recursive --include "*20170731*" &amp; "%USERPROFILE%\Documents\GitHub\mrs-test-scripts\Headless Mode &amp; Sideloading\WalkAndUnGZ.bat" "%USERPROFILE%\AppData\Local\Temp\OnboardLogs"\RTDC4005\2017-07-31</v>
      </c>
      <c r="S44" s="84" t="str">
        <f>VLOOKUP(C44,'Train Runs'!$A$13:$AE$9919,22,0)</f>
        <v>https://d0f6bd738d7f1b3e5a7ca70fe4ff75f0.us-east-1.aws.found.io/app/kibana#/discover/Steve-Slow-Train-Analysis-(2080s-and-2083s)?_g=(refreshInterval:(display:Off,pause:!f,section:0,value:0),time:(from:'2017-07-30T09:22:14-0600',mode:absolute,to:'2017-07-30T11:58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44" s="86" t="str">
        <f t="shared" si="1"/>
        <v>"C:\Program Files (x86)\AstroGrep\AstroGrep.exe" /e /r /s /spath="%USERPROFILE%\AppData\Local\Temp\OnboardLogs" /stypes="*4005*201707301*" /stext=" 16:.+((SYSTEM_STATE.+slice.+state.+changed )|(ment ac)|(multiple cpu faults)|(system.+state.+changed )|(\[timeout)|(PRM\|1\|D)|(kpr)|(kdp)|(train st.+moving)|(\|lc)|(penalty))"</v>
      </c>
      <c r="U44" s="9" t="str">
        <f t="shared" si="2"/>
        <v>4005</v>
      </c>
      <c r="V44" s="31">
        <f t="shared" si="3"/>
        <v>42946.685428240744</v>
      </c>
      <c r="W44" s="45" t="str">
        <f t="shared" si="4"/>
        <v>Shuttle/Test</v>
      </c>
      <c r="X44" s="22">
        <f t="shared" si="5"/>
        <v>70</v>
      </c>
      <c r="Y44" s="96" t="str">
        <f t="shared" si="6"/>
        <v>echo {"issue":{"subject":"","project_id":79,"tracker_id":40,"status_id":1,"priority_id":2,"assigned_to_id":23,"start_date":"2017-07-30","description":"","custom_fields":[{"id":1,"name":"Subdivision","value":"Shuttle/Test"},{"id":4,"name":"Milepost","value":"23.208"},{"id":17,"name":"Train ID","value":"70-30"},{"id":16,"name":"Locomotive ID","value":"4005"},{"id":130,"name":"Impact","value":""},{"id":150,"name":"Time of Event (Mountain Time)","value":"10:27:01"},{"id":151,"name":"Denver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/c/Users/stu/AppData/Local/Temp/OnboardLogs/RTDC4005 --include="*4005*201707301*"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"%USERPROFILE%\AppData\Local\Temp\OnboardLogs"\RTDC4005\*4005*201707301* &gt;&gt; 2017-07-30-SliceDisagreementCheck.txt</v>
      </c>
      <c r="AE44" s="145" t="str">
        <f t="shared" si="9"/>
        <v>start /low /b %USERPROFILE%\Documents\GitHub\eaglep3\Utilities\DownloadLogsFromS3.py --loco 4005 --day 2017-07-30</v>
      </c>
      <c r="AF44" s="1"/>
    </row>
    <row r="45" spans="1:32" x14ac:dyDescent="0.25">
      <c r="A45" s="31">
        <v>42946.61173611111</v>
      </c>
      <c r="B45" s="30" t="s">
        <v>388</v>
      </c>
      <c r="C45" s="30" t="s">
        <v>640</v>
      </c>
      <c r="D45" s="30" t="s">
        <v>96</v>
      </c>
      <c r="E45" s="30" t="s">
        <v>529</v>
      </c>
      <c r="F45" s="42">
        <v>0</v>
      </c>
      <c r="G45" s="42">
        <v>30</v>
      </c>
      <c r="H45" s="42">
        <v>1869</v>
      </c>
      <c r="I45" s="42">
        <v>1880</v>
      </c>
      <c r="J45" s="30" t="s">
        <v>530</v>
      </c>
      <c r="K45" s="42">
        <v>1692</v>
      </c>
      <c r="L45" s="131" t="s">
        <v>50</v>
      </c>
      <c r="M45" s="132">
        <f t="shared" si="0"/>
        <v>-99.263999999999996</v>
      </c>
      <c r="N45" s="133" t="str">
        <f>VLOOKUP(C45,'Trips&amp;Operators'!$C$1:$G$99999,5,FALSE)</f>
        <v>NELSON ARIANE</v>
      </c>
      <c r="O45" s="203" t="s">
        <v>180</v>
      </c>
      <c r="P45" s="134"/>
      <c r="Q45" s="30"/>
      <c r="R45" s="81" t="str">
        <f>VLOOKUP(C45,'Train Runs'!$A$13:$AE$9919,31,0)</f>
        <v>aws s3 cp s3://rtdc.mdm.uploadarchive.raw/RTDC4045/ "%USERPROFILE%\AppData\Local\Temp\OnboardLogs"\RTDC4045\2017-07-30 --exclude "*" --recursive --include "*20170730*" &amp; "%USERPROFILE%\Documents\GitHub\mrs-test-scripts\Headless Mode &amp; Sideloading\WalkAndUnGZ.bat" "%USERPROFILE%\AppData\Local\Temp\OnboardLogs"\RTDC4045\2017-07-30 &amp; aws s3 cp s3://rtdc.mdm.uploadarchive.raw/RTDC4045/ "%USERPROFILE%\AppData\Local\Temp\OnboardLogs"\RTDC4045\2017-07-31 --exclude "*" --recursive --include "*20170731*" &amp; "%USERPROFILE%\Documents\GitHub\mrs-test-scripts\Headless Mode &amp; Sideloading\WalkAndUnGZ.bat" "%USERPROFILE%\AppData\Local\Temp\OnboardLogs"\RTDC4045\2017-07-31</v>
      </c>
      <c r="S45" s="84" t="str">
        <f>VLOOKUP(C45,'Train Runs'!$A$13:$AE$9919,22,0)</f>
        <v>https://d0f6bd738d7f1b3e5a7ca70fe4ff75f0.us-east-1.aws.found.io/app/kibana#/discover/Steve-Slow-Train-Analysis-(2080s-and-2083s)?_g=(refreshInterval:(display:Off,pause:!f,section:0,value:0),time:(from:'2017-07-30T13:44:51-0600',mode:absolute,to:'2017-07-30T15:48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5" s="86" t="str">
        <f t="shared" si="1"/>
        <v>"C:\Program Files (x86)\AstroGrep\AstroGrep.exe" /e /r /s /spath="%USERPROFILE%\AppData\Local\Temp\OnboardLogs" /stypes="*4046*201707302*" /stext=" 20:.+((SYSTEM_STATE.+slice.+state.+changed )|(ment ac)|(multiple cpu faults)|(system.+state.+changed )|(\[timeout)|(PRM\|1\|D)|(kpr)|(kdp)|(train st.+moving)|(\|lc)|(penalty))"</v>
      </c>
      <c r="U45" s="9" t="str">
        <f t="shared" si="2"/>
        <v>4046</v>
      </c>
      <c r="V45" s="31">
        <f t="shared" si="3"/>
        <v>42946.86173611111</v>
      </c>
      <c r="W45" s="45" t="str">
        <f t="shared" si="4"/>
        <v>Shuttle/Test</v>
      </c>
      <c r="X45" s="22">
        <f t="shared" si="5"/>
        <v>67</v>
      </c>
      <c r="Y45" s="96" t="str">
        <f t="shared" si="6"/>
        <v>echo {"issue":{"subject":"","project_id":79,"tracker_id":40,"status_id":1,"priority_id":2,"assigned_to_id":23,"start_date":"2017-07-30","description":"","custom_fields":[{"id":1,"name":"Subdivision","value":"Shuttle/Test"},{"id":4,"name":"Milepost","value":"0.1692"},{"id":17,"name":"Train ID","value":"67-30"},{"id":16,"name":"Locomotive ID","value":"4046"},{"id":130,"name":"Impact","value":""},{"id":150,"name":"Time of Event (Mountain Time)","value":"14:40:54"},{"id":151,"name":"Denver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7"/>
        <v>grep -hrE -A400 "Enforcement Action" /c/Users/stu/AppData/Local/Temp/OnboardLogs/RTDC4046 --include="*4046*201707302*"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"%USERPROFILE%\AppData\Local\Temp\OnboardLogs"\RTDC4046\*4046*201707302* &gt;&gt; 2017-07-30-SliceDisagreementCheck.txt</v>
      </c>
      <c r="AE45" s="145" t="str">
        <f t="shared" si="9"/>
        <v>start /low /b %USERPROFILE%\Documents\GitHub\eaglep3\Utilities\DownloadLogsFromS3.py --loco 4046 --day 2017-07-30</v>
      </c>
      <c r="AF45" s="1"/>
    </row>
    <row r="46" spans="1:32" x14ac:dyDescent="0.25">
      <c r="A46" s="31">
        <v>42946.863263888888</v>
      </c>
      <c r="B46" s="30" t="s">
        <v>389</v>
      </c>
      <c r="C46" s="30" t="s">
        <v>656</v>
      </c>
      <c r="D46" s="30" t="s">
        <v>96</v>
      </c>
      <c r="E46" s="30" t="s">
        <v>181</v>
      </c>
      <c r="F46" s="42">
        <v>0</v>
      </c>
      <c r="G46" s="42">
        <v>6</v>
      </c>
      <c r="H46" s="42">
        <v>839</v>
      </c>
      <c r="I46" s="42">
        <v>0</v>
      </c>
      <c r="J46" s="30" t="s">
        <v>182</v>
      </c>
      <c r="K46" s="42">
        <v>839</v>
      </c>
      <c r="L46" s="131" t="s">
        <v>51</v>
      </c>
      <c r="M46" s="132">
        <f t="shared" si="0"/>
        <v>-442.99200000000002</v>
      </c>
      <c r="N46" s="133" t="str">
        <f>VLOOKUP(C46,'Trips&amp;Operators'!$C$1:$G$99999,5,FALSE)</f>
        <v>HAITHCOX MICHAEL</v>
      </c>
      <c r="O46" s="203" t="s">
        <v>180</v>
      </c>
      <c r="P46" s="134"/>
      <c r="Q46" s="30"/>
      <c r="R46" s="81" t="str">
        <f>VLOOKUP(C46,'Train Runs'!$A$13:$AE$9919,31,0)</f>
        <v>aws s3 cp s3://rtdc.mdm.uploadarchive.raw/RTDC4045/ "%USERPROFILE%\AppData\Local\Temp\OnboardLogs"\RTDC4045\2017-07-30 --exclude "*" --recursive --include "*20170730*" &amp; "%USERPROFILE%\Documents\GitHub\mrs-test-scripts\Headless Mode &amp; Sideloading\WalkAndUnGZ.bat" "%USERPROFILE%\AppData\Local\Temp\OnboardLogs"\RTDC4045\2017-07-30 &amp; aws s3 cp s3://rtdc.mdm.uploadarchive.raw/RTDC4045/ "%USERPROFILE%\AppData\Local\Temp\OnboardLogs"\RTDC4045\2017-07-31 --exclude "*" --recursive --include "*20170731*" &amp; "%USERPROFILE%\Documents\GitHub\mrs-test-scripts\Headless Mode &amp; Sideloading\WalkAndUnGZ.bat" "%USERPROFILE%\AppData\Local\Temp\OnboardLogs"\RTDC4045\2017-07-31</v>
      </c>
      <c r="S46" s="84" t="str">
        <f>VLOOKUP(C46,'Train Runs'!$A$13:$AE$9919,22,0)</f>
        <v>https://d0f6bd738d7f1b3e5a7ca70fe4ff75f0.us-east-1.aws.found.io/app/kibana#/discover/Steve-Slow-Train-Analysis-(2080s-and-2083s)?_g=(refreshInterval:(display:Off,pause:!f,section:0,value:0),time:(from:'2017-07-30T19:38:46-0600',mode:absolute,to:'2017-07-30T21:43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6" s="86" t="str">
        <f t="shared" si="1"/>
        <v>"C:\Program Files (x86)\AstroGrep\AstroGrep.exe" /e /r /s /spath="%USERPROFILE%\AppData\Local\Temp\OnboardLogs" /stypes="*4045*201707310*" /stext=" 02:.+((SYSTEM_STATE.+slice.+state.+changed )|(ment ac)|(multiple cpu faults)|(system.+state.+changed )|(\[timeout)|(PRM\|1\|D)|(kpr)|(kdp)|(train st.+moving)|(\|lc)|(penalty))"</v>
      </c>
      <c r="U46" s="9" t="str">
        <f t="shared" si="2"/>
        <v>4045</v>
      </c>
      <c r="V46" s="31">
        <f t="shared" si="3"/>
        <v>42947.113263888888</v>
      </c>
      <c r="W46" s="45" t="str">
        <f t="shared" si="4"/>
        <v>Shuttle/Test</v>
      </c>
      <c r="X46" s="22">
        <f t="shared" si="5"/>
        <v>87</v>
      </c>
      <c r="Y46" s="96" t="str">
        <f t="shared" si="6"/>
        <v>echo {"issue":{"subject":"","project_id":79,"tracker_id":40,"status_id":1,"priority_id":2,"assigned_to_id":23,"start_date":"2017-07-30","description":"","custom_fields":[{"id":1,"name":"Subdivision","value":"Shuttle/Test"},{"id":4,"name":"Milepost","value":"0.0839"},{"id":17,"name":"Train ID","value":"87-30"},{"id":16,"name":"Locomotive ID","value":"4045"},{"id":130,"name":"Impact","value":""},{"id":150,"name":"Time of Event (Mountain Time)","value":"20:43:06"},{"id":151,"name":"Denver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7"/>
        <v>grep -hrE -A400 "Enforcement Action" /c/Users/stu/AppData/Local/Temp/OnboardLogs/RTDC4045 --include="*4045*201707310*"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"%USERPROFILE%\AppData\Local\Temp\OnboardLogs"\RTDC4045\*4045*201707310* &gt;&gt; 2017-07-30-SliceDisagreementCheck.txt</v>
      </c>
      <c r="AE46" s="145" t="str">
        <f t="shared" si="9"/>
        <v>start /low /b %USERPROFILE%\Documents\GitHub\eaglep3\Utilities\DownloadLogsFromS3.py --loco 4045 --day 2017-07-31</v>
      </c>
      <c r="AF46" s="1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</sheetData>
  <autoFilter ref="A6:AC70">
    <sortState ref="A7:AC70">
      <sortCondition ref="W7:W46"/>
      <sortCondition ref="E7:E46"/>
      <sortCondition ref="K7:K46"/>
      <sortCondition ref="F7:F46"/>
    </sortState>
  </autoFilter>
  <sortState ref="A7:AE50">
    <sortCondition ref="W7:W50"/>
    <sortCondition ref="E7:E50"/>
    <sortCondition ref="K7:K50"/>
    <sortCondition ref="C7:C50"/>
    <sortCondition ref="F7:F50"/>
  </sortState>
  <mergeCells count="1">
    <mergeCell ref="A5:O5"/>
  </mergeCells>
  <conditionalFormatting sqref="O6:P6 R6 O72:O1048576 O7:O4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6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AA7:AA46</xm:sqref>
        </x14:dataValidation>
        <x14:dataValidation type="list" allowBlank="1" showInputMessage="1" showErrorMessage="1">
          <x14:formula1>
            <xm:f>'Redmine List Values'!$C$2:$C$15</xm:f>
          </x14:formula1>
          <xm:sqref>AB7:AB46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4"/>
  <sheetViews>
    <sheetView workbookViewId="0">
      <selection activeCell="E3" sqref="E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2017-07-30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>
        <v>144</v>
      </c>
      <c r="B3" s="42" t="str">
        <f>A3&amp;"-"&amp;IF(DAY(Variables!$A$2)&lt;10,0,"")&amp;DAY(Variables!$A$2)</f>
        <v>144-30</v>
      </c>
      <c r="C3" s="135"/>
      <c r="D3" s="153"/>
      <c r="E3" s="30" t="s">
        <v>1044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7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22144-30%22)),sort:!(Time.ISO8601,asc))</v>
      </c>
      <c r="J3" s="30" t="e">
        <f>VLOOKUP(B3,'Train Runs'!$A$13:$A$99916,1,FALSE)</f>
        <v>#N/A</v>
      </c>
    </row>
    <row r="4" spans="1:10" x14ac:dyDescent="0.25">
      <c r="A4" s="195"/>
      <c r="B4" s="42" t="str">
        <f>A4&amp;"-"&amp;IF(DAY(Variables!$A$2)&lt;10,0,"")&amp;DAY(Variables!$A$2)</f>
        <v>-30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" s="30" t="e">
        <f>VLOOKUP(B4,'Train Runs'!$A$13:$A$99916,1,FALSE)</f>
        <v>#N/A</v>
      </c>
    </row>
    <row r="5" spans="1:10" x14ac:dyDescent="0.25">
      <c r="A5" s="195"/>
      <c r="B5" s="42" t="str">
        <f>A5&amp;"-"&amp;IF(DAY(Variables!$A$2)&lt;10,0,"")&amp;DAY(Variables!$A$2)</f>
        <v>-30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" s="30" t="e">
        <f>VLOOKUP(B5,'Train Runs'!$A$13:$A$99916,1,FALSE)</f>
        <v>#N/A</v>
      </c>
    </row>
    <row r="6" spans="1:10" x14ac:dyDescent="0.25">
      <c r="A6" s="195"/>
      <c r="B6" s="42" t="str">
        <f>A6&amp;"-"&amp;IF(DAY(Variables!$A$2)&lt;10,0,"")&amp;DAY(Variables!$A$2)</f>
        <v>-30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" s="30" t="e">
        <f>VLOOKUP(B6,'Train Runs'!$A$13:$A$99916,1,FALSE)</f>
        <v>#N/A</v>
      </c>
    </row>
    <row r="7" spans="1:10" x14ac:dyDescent="0.25">
      <c r="A7" s="195"/>
      <c r="B7" s="42" t="str">
        <f>A7&amp;"-"&amp;IF(DAY(Variables!$A$2)&lt;10,0,"")&amp;DAY(Variables!$A$2)</f>
        <v>-30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" s="30" t="e">
        <f>VLOOKUP(B7,'Train Runs'!$A$13:$A$99916,1,FALSE)</f>
        <v>#N/A</v>
      </c>
    </row>
    <row r="8" spans="1:10" x14ac:dyDescent="0.25">
      <c r="A8" s="195"/>
      <c r="B8" s="42" t="str">
        <f>A8&amp;"-"&amp;IF(DAY(Variables!$A$2)&lt;10,0,"")&amp;DAY(Variables!$A$2)</f>
        <v>-30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ref="I8:I28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" s="30" t="e">
        <f>VLOOKUP(B8,'Train Runs'!$A$13:$A$99916,1,FALSE)</f>
        <v>#N/A</v>
      </c>
    </row>
    <row r="9" spans="1:10" x14ac:dyDescent="0.25">
      <c r="A9" s="195"/>
      <c r="B9" s="42" t="str">
        <f>A9&amp;"-"&amp;IF(DAY(Variables!$A$2)&lt;10,0,"")&amp;DAY(Variables!$A$2)</f>
        <v>-30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9" s="30" t="e">
        <f>VLOOKUP(B9,'Train Runs'!$A$13:$A$99916,1,FALSE)</f>
        <v>#N/A</v>
      </c>
    </row>
    <row r="10" spans="1:10" x14ac:dyDescent="0.25">
      <c r="A10" s="195"/>
      <c r="B10" s="42" t="str">
        <f>A10&amp;"-"&amp;IF(DAY(Variables!$A$2)&lt;10,0,"")&amp;DAY(Variables!$A$2)</f>
        <v>-30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0" s="30" t="e">
        <f>VLOOKUP(B10,'Train Runs'!$A$13:$A$99916,1,FALSE)</f>
        <v>#N/A</v>
      </c>
    </row>
    <row r="11" spans="1:10" x14ac:dyDescent="0.25">
      <c r="A11" s="195"/>
      <c r="B11" s="42" t="str">
        <f>A11&amp;"-"&amp;IF(DAY(Variables!$A$2)&lt;10,0,"")&amp;DAY(Variables!$A$2)</f>
        <v>-30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1" s="30" t="e">
        <f>VLOOKUP(B11,'Train Runs'!$A$13:$A$99916,1,FALSE)</f>
        <v>#N/A</v>
      </c>
    </row>
    <row r="12" spans="1:10" x14ac:dyDescent="0.25">
      <c r="A12" s="195"/>
      <c r="B12" s="42" t="str">
        <f>A12&amp;"-"&amp;IF(DAY(Variables!$A$2)&lt;10,0,"")&amp;DAY(Variables!$A$2)</f>
        <v>-30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2" s="30" t="e">
        <f>VLOOKUP(B12,'Train Runs'!$A$13:$A$99916,1,FALSE)</f>
        <v>#N/A</v>
      </c>
    </row>
    <row r="13" spans="1:10" x14ac:dyDescent="0.25">
      <c r="A13" s="195"/>
      <c r="B13" s="42" t="str">
        <f>A13&amp;"-"&amp;IF(DAY(Variables!$A$2)&lt;10,0,"")&amp;DAY(Variables!$A$2)</f>
        <v>-30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3" s="30" t="e">
        <f>VLOOKUP(B13,'Train Runs'!$A$13:$A$99916,1,FALSE)</f>
        <v>#N/A</v>
      </c>
    </row>
    <row r="14" spans="1:10" x14ac:dyDescent="0.25">
      <c r="A14" s="195"/>
      <c r="B14" s="42" t="str">
        <f>A14&amp;"-"&amp;IF(DAY(Variables!$A$2)&lt;10,0,"")&amp;DAY(Variables!$A$2)</f>
        <v>-30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4" s="30" t="e">
        <f>VLOOKUP(B14,'Train Runs'!$A$13:$A$99916,1,FALSE)</f>
        <v>#N/A</v>
      </c>
    </row>
    <row r="15" spans="1:10" x14ac:dyDescent="0.25">
      <c r="A15" s="195"/>
      <c r="B15" s="42" t="str">
        <f>A15&amp;"-"&amp;IF(DAY(Variables!$A$2)&lt;10,0,"")&amp;DAY(Variables!$A$2)</f>
        <v>-30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5" s="30" t="e">
        <f>VLOOKUP(B15,'Train Runs'!$A$13:$A$99916,1,FALSE)</f>
        <v>#N/A</v>
      </c>
    </row>
    <row r="16" spans="1:10" x14ac:dyDescent="0.25">
      <c r="A16" s="195"/>
      <c r="B16" s="42" t="str">
        <f>A16&amp;"-"&amp;IF(DAY(Variables!$A$2)&lt;10,0,"")&amp;DAY(Variables!$A$2)</f>
        <v>-30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6" s="30" t="e">
        <f>VLOOKUP(B16,'Train Runs'!$A$13:$A$99916,1,FALSE)</f>
        <v>#N/A</v>
      </c>
    </row>
    <row r="17" spans="1:10" x14ac:dyDescent="0.25">
      <c r="A17" s="195"/>
      <c r="B17" s="42" t="str">
        <f>A17&amp;"-"&amp;IF(DAY(Variables!$A$2)&lt;10,0,"")&amp;DAY(Variables!$A$2)</f>
        <v>-30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7" s="30" t="e">
        <f>VLOOKUP(B17,'Train Runs'!$A$13:$A$99916,1,FALSE)</f>
        <v>#N/A</v>
      </c>
    </row>
    <row r="18" spans="1:10" x14ac:dyDescent="0.25">
      <c r="A18" s="195"/>
      <c r="B18" s="42" t="str">
        <f>A18&amp;"-"&amp;IF(DAY(Variables!$A$2)&lt;10,0,"")&amp;DAY(Variables!$A$2)</f>
        <v>-30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8" s="30" t="e">
        <f>VLOOKUP(B18,'Train Runs'!$A$13:$A$99916,1,FALSE)</f>
        <v>#N/A</v>
      </c>
    </row>
    <row r="19" spans="1:10" x14ac:dyDescent="0.25">
      <c r="A19" s="195"/>
      <c r="B19" s="42" t="str">
        <f>A19&amp;"-"&amp;IF(DAY(Variables!$A$2)&lt;10,0,"")&amp;DAY(Variables!$A$2)</f>
        <v>-30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9" s="30" t="e">
        <f>VLOOKUP(B19,'Train Runs'!$A$13:$A$99916,1,FALSE)</f>
        <v>#N/A</v>
      </c>
    </row>
    <row r="20" spans="1:10" x14ac:dyDescent="0.25">
      <c r="A20" s="195"/>
      <c r="B20" s="42" t="str">
        <f>A20&amp;"-"&amp;IF(DAY(Variables!$A$2)&lt;10,0,"")&amp;DAY(Variables!$A$2)</f>
        <v>-30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0" s="30" t="e">
        <f>VLOOKUP(B20,'Train Runs'!$A$13:$A$99916,1,FALSE)</f>
        <v>#N/A</v>
      </c>
    </row>
    <row r="21" spans="1:10" x14ac:dyDescent="0.25">
      <c r="A21" s="195"/>
      <c r="B21" s="42" t="str">
        <f>A21&amp;"-"&amp;IF(DAY(Variables!$A$2)&lt;10,0,"")&amp;DAY(Variables!$A$2)</f>
        <v>-30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1" s="30" t="e">
        <f>VLOOKUP(B21,'Train Runs'!$A$13:$A$99916,1,FALSE)</f>
        <v>#N/A</v>
      </c>
    </row>
    <row r="22" spans="1:10" x14ac:dyDescent="0.25">
      <c r="A22" s="195"/>
      <c r="B22" s="42" t="str">
        <f>A22&amp;"-"&amp;IF(DAY(Variables!$A$2)&lt;10,0,"")&amp;DAY(Variables!$A$2)</f>
        <v>-30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2" s="30" t="e">
        <f>VLOOKUP(B22,'Train Runs'!$A$13:$A$99916,1,FALSE)</f>
        <v>#N/A</v>
      </c>
    </row>
    <row r="23" spans="1:10" x14ac:dyDescent="0.25">
      <c r="A23" s="195"/>
      <c r="B23" s="42" t="str">
        <f>A23&amp;"-"&amp;IF(DAY(Variables!$A$2)&lt;10,0,"")&amp;DAY(Variables!$A$2)</f>
        <v>-30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3" s="30" t="e">
        <f>VLOOKUP(B23,'Train Runs'!$A$13:$A$99916,1,FALSE)</f>
        <v>#N/A</v>
      </c>
    </row>
    <row r="24" spans="1:10" x14ac:dyDescent="0.25">
      <c r="A24" s="195"/>
      <c r="B24" s="42" t="str">
        <f>A24&amp;"-"&amp;IF(DAY(Variables!$A$2)&lt;10,0,"")&amp;DAY(Variables!$A$2)</f>
        <v>-30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4" s="30" t="e">
        <f>VLOOKUP(B24,'Train Runs'!$A$13:$A$99916,1,FALSE)</f>
        <v>#N/A</v>
      </c>
    </row>
    <row r="25" spans="1:10" x14ac:dyDescent="0.25">
      <c r="A25" s="195"/>
      <c r="B25" s="42" t="str">
        <f>A25&amp;"-"&amp;IF(DAY(Variables!$A$2)&lt;10,0,"")&amp;DAY(Variables!$A$2)</f>
        <v>-30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5" s="30" t="e">
        <f>VLOOKUP(B25,'Train Runs'!$A$13:$A$99916,1,FALSE)</f>
        <v>#N/A</v>
      </c>
    </row>
    <row r="26" spans="1:10" x14ac:dyDescent="0.25">
      <c r="A26" s="195"/>
      <c r="B26" s="42" t="str">
        <f>A26&amp;"-"&amp;IF(DAY(Variables!$A$2)&lt;10,0,"")&amp;DAY(Variables!$A$2)</f>
        <v>-30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6" s="30" t="e">
        <f>VLOOKUP(B26,'Train Runs'!$A$13:$A$99916,1,FALSE)</f>
        <v>#N/A</v>
      </c>
    </row>
    <row r="27" spans="1:10" x14ac:dyDescent="0.25">
      <c r="A27" s="195"/>
      <c r="B27" s="42" t="str">
        <f>A27&amp;"-"&amp;IF(DAY(Variables!$A$2)&lt;10,0,"")&amp;DAY(Variables!$A$2)</f>
        <v>-30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7" s="30" t="e">
        <f>VLOOKUP(B27,'Train Runs'!$A$13:$A$99916,1,FALSE)</f>
        <v>#N/A</v>
      </c>
    </row>
    <row r="28" spans="1:10" x14ac:dyDescent="0.25">
      <c r="A28" s="195"/>
      <c r="B28" s="42" t="str">
        <f>A28&amp;"-"&amp;IF(DAY(Variables!$A$2)&lt;10,0,"")&amp;DAY(Variables!$A$2)</f>
        <v>-30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8" s="30" t="e">
        <f>VLOOKUP(B28,'Train Runs'!$A$13:$A$99916,1,FALSE)</f>
        <v>#N/A</v>
      </c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</sheetData>
  <autoFilter ref="A2:J36"/>
  <sortState ref="A3:J115">
    <sortCondition ref="A3:A115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42946.033622685187</v>
      </c>
      <c r="B2" s="20" t="s">
        <v>471</v>
      </c>
      <c r="C2" s="20" t="s">
        <v>664</v>
      </c>
      <c r="D2" s="138">
        <v>2620000</v>
      </c>
      <c r="E2" s="20" t="s">
        <v>665</v>
      </c>
      <c r="F2" s="20" t="s">
        <v>666</v>
      </c>
      <c r="G2" s="8" t="str">
        <f>E2&amp;" "&amp;F2</f>
        <v>PERKINS DARREN</v>
      </c>
    </row>
    <row r="3" spans="1:7" x14ac:dyDescent="0.25">
      <c r="A3" s="8">
        <v>42946.037881944445</v>
      </c>
      <c r="B3" s="20" t="s">
        <v>350</v>
      </c>
      <c r="C3" s="20" t="s">
        <v>667</v>
      </c>
      <c r="D3" s="138">
        <v>3090000</v>
      </c>
      <c r="E3" s="20" t="s">
        <v>364</v>
      </c>
      <c r="F3" s="20" t="s">
        <v>365</v>
      </c>
      <c r="G3" s="8" t="str">
        <f t="shared" ref="G3:G66" si="0">E3&amp;" "&amp;F3</f>
        <v>LAMAR NEKESHA</v>
      </c>
    </row>
    <row r="4" spans="1:7" x14ac:dyDescent="0.25">
      <c r="A4" s="8">
        <v>42946.047824074078</v>
      </c>
      <c r="B4" s="20" t="s">
        <v>378</v>
      </c>
      <c r="C4" s="20" t="s">
        <v>668</v>
      </c>
      <c r="D4" s="138">
        <v>2730000</v>
      </c>
      <c r="E4" s="20" t="s">
        <v>495</v>
      </c>
      <c r="F4" s="20" t="s">
        <v>496</v>
      </c>
      <c r="G4" s="8" t="str">
        <f t="shared" si="0"/>
        <v>YANG JAN</v>
      </c>
    </row>
    <row r="5" spans="1:7" x14ac:dyDescent="0.25">
      <c r="A5" s="8">
        <v>42946.048541666663</v>
      </c>
      <c r="B5" s="20" t="s">
        <v>463</v>
      </c>
      <c r="C5" s="20" t="s">
        <v>669</v>
      </c>
      <c r="D5" s="138">
        <v>3000000</v>
      </c>
      <c r="E5" s="20" t="s">
        <v>382</v>
      </c>
      <c r="F5" s="20" t="s">
        <v>383</v>
      </c>
      <c r="G5" s="8" t="str">
        <f t="shared" si="0"/>
        <v>FORTUNATO FRANK</v>
      </c>
    </row>
    <row r="6" spans="1:7" x14ac:dyDescent="0.25">
      <c r="A6" s="8">
        <v>42946.067962962959</v>
      </c>
      <c r="B6" s="20" t="s">
        <v>454</v>
      </c>
      <c r="C6" s="20" t="s">
        <v>670</v>
      </c>
      <c r="D6" s="138">
        <v>2620000</v>
      </c>
      <c r="E6" s="20" t="s">
        <v>665</v>
      </c>
      <c r="F6" s="20" t="s">
        <v>666</v>
      </c>
      <c r="G6" s="8" t="str">
        <f t="shared" si="0"/>
        <v>PERKINS DARREN</v>
      </c>
    </row>
    <row r="7" spans="1:7" x14ac:dyDescent="0.25">
      <c r="A7" s="8">
        <v>42946.076678240737</v>
      </c>
      <c r="B7" s="20" t="s">
        <v>415</v>
      </c>
      <c r="C7" s="20" t="s">
        <v>671</v>
      </c>
      <c r="D7" s="138">
        <v>3090000</v>
      </c>
      <c r="E7" s="20" t="s">
        <v>364</v>
      </c>
      <c r="F7" s="20" t="s">
        <v>365</v>
      </c>
      <c r="G7" s="8" t="str">
        <f t="shared" si="0"/>
        <v>LAMAR NEKESHA</v>
      </c>
    </row>
    <row r="8" spans="1:7" x14ac:dyDescent="0.25">
      <c r="A8" s="8">
        <v>42946.089074074072</v>
      </c>
      <c r="B8" s="20" t="s">
        <v>462</v>
      </c>
      <c r="C8" s="20" t="s">
        <v>672</v>
      </c>
      <c r="D8" s="138">
        <v>3000000</v>
      </c>
      <c r="E8" s="20" t="s">
        <v>382</v>
      </c>
      <c r="F8" s="20" t="s">
        <v>383</v>
      </c>
      <c r="G8" s="8" t="str">
        <f t="shared" si="0"/>
        <v>FORTUNATO FRANK</v>
      </c>
    </row>
    <row r="9" spans="1:7" ht="15.75" thickBot="1" x14ac:dyDescent="0.3">
      <c r="A9" s="24">
        <v>42946.110219907408</v>
      </c>
      <c r="B9" s="20" t="s">
        <v>350</v>
      </c>
      <c r="C9" s="20" t="s">
        <v>673</v>
      </c>
      <c r="D9" s="138">
        <v>3090000</v>
      </c>
      <c r="E9" s="20" t="s">
        <v>364</v>
      </c>
      <c r="F9" s="20" t="s">
        <v>365</v>
      </c>
      <c r="G9" s="8" t="str">
        <f t="shared" si="0"/>
        <v>LAMAR NEKESHA</v>
      </c>
    </row>
    <row r="10" spans="1:7" x14ac:dyDescent="0.25">
      <c r="A10" s="8">
        <v>42946.118495370371</v>
      </c>
      <c r="B10" s="20" t="s">
        <v>674</v>
      </c>
      <c r="C10" s="20" t="s">
        <v>675</v>
      </c>
      <c r="D10" s="138">
        <v>2010000</v>
      </c>
      <c r="E10" s="20" t="s">
        <v>478</v>
      </c>
      <c r="F10" s="20" t="s">
        <v>479</v>
      </c>
      <c r="G10" s="8" t="str">
        <f t="shared" si="0"/>
        <v>MAELZER KURT</v>
      </c>
    </row>
    <row r="11" spans="1:7" x14ac:dyDescent="0.25">
      <c r="A11" s="8">
        <v>42946.122928240744</v>
      </c>
      <c r="B11" s="20" t="s">
        <v>674</v>
      </c>
      <c r="C11" s="20" t="s">
        <v>675</v>
      </c>
      <c r="D11" s="138">
        <v>2010000</v>
      </c>
      <c r="E11" s="20" t="s">
        <v>478</v>
      </c>
      <c r="F11" s="20" t="s">
        <v>479</v>
      </c>
      <c r="G11" s="8" t="str">
        <f t="shared" si="0"/>
        <v>MAELZER KURT</v>
      </c>
    </row>
    <row r="12" spans="1:7" x14ac:dyDescent="0.25">
      <c r="A12" s="8">
        <v>42946.137870370374</v>
      </c>
      <c r="B12" s="20" t="s">
        <v>645</v>
      </c>
      <c r="C12" s="20" t="s">
        <v>676</v>
      </c>
      <c r="D12" s="138">
        <v>2010000</v>
      </c>
      <c r="E12" s="20" t="s">
        <v>478</v>
      </c>
      <c r="F12" s="20" t="s">
        <v>479</v>
      </c>
      <c r="G12" s="8" t="str">
        <f t="shared" si="0"/>
        <v>MAELZER KURT</v>
      </c>
    </row>
    <row r="13" spans="1:7" x14ac:dyDescent="0.25">
      <c r="A13" s="8">
        <v>42946.139224537037</v>
      </c>
      <c r="B13" s="20" t="s">
        <v>527</v>
      </c>
      <c r="C13" s="20" t="s">
        <v>677</v>
      </c>
      <c r="D13" s="138">
        <v>3040000</v>
      </c>
      <c r="E13" s="20" t="s">
        <v>369</v>
      </c>
      <c r="F13" s="20" t="s">
        <v>370</v>
      </c>
      <c r="G13" s="8" t="str">
        <f t="shared" si="0"/>
        <v>WILLIAMS DONTE</v>
      </c>
    </row>
    <row r="14" spans="1:7" x14ac:dyDescent="0.25">
      <c r="A14" s="8">
        <v>42946.141805555555</v>
      </c>
      <c r="B14" s="20" t="s">
        <v>678</v>
      </c>
      <c r="C14" s="20" t="s">
        <v>679</v>
      </c>
      <c r="D14" s="138">
        <v>1800000</v>
      </c>
      <c r="E14" s="20" t="s">
        <v>680</v>
      </c>
      <c r="F14" s="20" t="s">
        <v>681</v>
      </c>
      <c r="G14" s="8" t="str">
        <f t="shared" si="0"/>
        <v>CHANDLER KELVIN</v>
      </c>
    </row>
    <row r="15" spans="1:7" x14ac:dyDescent="0.25">
      <c r="A15" s="8">
        <v>42946.144502314812</v>
      </c>
      <c r="B15" s="20" t="s">
        <v>674</v>
      </c>
      <c r="C15" s="20" t="s">
        <v>679</v>
      </c>
      <c r="D15" s="138">
        <v>1800000</v>
      </c>
      <c r="E15" s="20" t="s">
        <v>680</v>
      </c>
      <c r="F15" s="20" t="s">
        <v>681</v>
      </c>
      <c r="G15" s="8" t="str">
        <f t="shared" si="0"/>
        <v>CHANDLER KELVIN</v>
      </c>
    </row>
    <row r="16" spans="1:7" x14ac:dyDescent="0.25">
      <c r="A16" s="8">
        <v>42946.145046296297</v>
      </c>
      <c r="B16" s="20" t="s">
        <v>674</v>
      </c>
      <c r="C16" s="20" t="s">
        <v>682</v>
      </c>
      <c r="D16" s="138">
        <v>1800000</v>
      </c>
      <c r="E16" s="20" t="s">
        <v>680</v>
      </c>
      <c r="F16" s="20" t="s">
        <v>681</v>
      </c>
      <c r="G16" s="8" t="str">
        <f t="shared" si="0"/>
        <v>CHANDLER KELVIN</v>
      </c>
    </row>
    <row r="17" spans="1:7" x14ac:dyDescent="0.25">
      <c r="A17" s="8">
        <v>42946.151747685188</v>
      </c>
      <c r="B17" s="20" t="s">
        <v>528</v>
      </c>
      <c r="C17" s="20" t="s">
        <v>683</v>
      </c>
      <c r="D17" s="138">
        <v>3040000</v>
      </c>
      <c r="E17" s="20" t="s">
        <v>369</v>
      </c>
      <c r="F17" s="20" t="s">
        <v>370</v>
      </c>
      <c r="G17" s="8" t="str">
        <f t="shared" si="0"/>
        <v>WILLIAMS DONTE</v>
      </c>
    </row>
    <row r="18" spans="1:7" x14ac:dyDescent="0.25">
      <c r="A18" s="8">
        <v>42946.154479166667</v>
      </c>
      <c r="B18" s="20" t="s">
        <v>531</v>
      </c>
      <c r="C18" s="20" t="s">
        <v>684</v>
      </c>
      <c r="D18" s="138">
        <v>1990000</v>
      </c>
      <c r="E18" s="20" t="s">
        <v>379</v>
      </c>
      <c r="F18" s="20" t="s">
        <v>537</v>
      </c>
      <c r="G18" s="8" t="str">
        <f t="shared" si="0"/>
        <v>DAVIS WENDY</v>
      </c>
    </row>
    <row r="19" spans="1:7" x14ac:dyDescent="0.25">
      <c r="A19" s="8">
        <v>42946.166701388887</v>
      </c>
      <c r="B19" s="20" t="s">
        <v>532</v>
      </c>
      <c r="C19" s="20" t="s">
        <v>685</v>
      </c>
      <c r="D19" s="138">
        <v>1990000</v>
      </c>
      <c r="E19" s="20" t="s">
        <v>379</v>
      </c>
      <c r="F19" s="20" t="s">
        <v>537</v>
      </c>
      <c r="G19" s="8" t="str">
        <f t="shared" si="0"/>
        <v>DAVIS WENDY</v>
      </c>
    </row>
    <row r="20" spans="1:7" x14ac:dyDescent="0.25">
      <c r="A20" s="8">
        <v>42946.168738425928</v>
      </c>
      <c r="B20" s="20" t="s">
        <v>635</v>
      </c>
      <c r="C20" s="20" t="s">
        <v>686</v>
      </c>
      <c r="D20" s="138">
        <v>2530000</v>
      </c>
      <c r="E20" s="20" t="s">
        <v>687</v>
      </c>
      <c r="F20" s="20" t="s">
        <v>688</v>
      </c>
      <c r="G20" s="8" t="str">
        <f t="shared" si="0"/>
        <v>LALONDE GREGORY</v>
      </c>
    </row>
    <row r="21" spans="1:7" x14ac:dyDescent="0.25">
      <c r="A21" s="8">
        <v>42946.168761574074</v>
      </c>
      <c r="B21" s="20" t="s">
        <v>620</v>
      </c>
      <c r="C21" s="20" t="s">
        <v>621</v>
      </c>
      <c r="D21" s="138">
        <v>2010000</v>
      </c>
      <c r="E21" s="20" t="s">
        <v>478</v>
      </c>
      <c r="F21" s="20" t="s">
        <v>479</v>
      </c>
      <c r="G21" s="8" t="str">
        <f t="shared" si="0"/>
        <v>MAELZER KURT</v>
      </c>
    </row>
    <row r="22" spans="1:7" x14ac:dyDescent="0.25">
      <c r="A22" s="26">
        <v>42946.170254629629</v>
      </c>
      <c r="B22" s="20" t="s">
        <v>635</v>
      </c>
      <c r="C22" s="20" t="s">
        <v>686</v>
      </c>
      <c r="D22" s="138">
        <v>2530000</v>
      </c>
      <c r="E22" s="20" t="s">
        <v>687</v>
      </c>
      <c r="F22" s="20" t="s">
        <v>688</v>
      </c>
      <c r="G22" s="8" t="str">
        <f t="shared" si="0"/>
        <v>LALONDE GREGORY</v>
      </c>
    </row>
    <row r="23" spans="1:7" x14ac:dyDescent="0.25">
      <c r="A23" s="8">
        <v>42946.177152777775</v>
      </c>
      <c r="B23" s="20" t="s">
        <v>526</v>
      </c>
      <c r="C23" s="20" t="s">
        <v>689</v>
      </c>
      <c r="D23" s="138">
        <v>1100000</v>
      </c>
      <c r="E23" s="20" t="s">
        <v>690</v>
      </c>
      <c r="F23" s="20" t="s">
        <v>691</v>
      </c>
      <c r="G23" s="8" t="str">
        <f t="shared" si="0"/>
        <v>GEBRETEKLE DAGNEW</v>
      </c>
    </row>
    <row r="24" spans="1:7" x14ac:dyDescent="0.25">
      <c r="A24" s="8">
        <v>42946.184930555559</v>
      </c>
      <c r="B24" s="20" t="s">
        <v>637</v>
      </c>
      <c r="C24" s="20" t="s">
        <v>692</v>
      </c>
      <c r="D24" s="138">
        <v>2530000</v>
      </c>
      <c r="E24" s="20" t="s">
        <v>687</v>
      </c>
      <c r="F24" s="20" t="s">
        <v>688</v>
      </c>
      <c r="G24" s="8" t="str">
        <f t="shared" si="0"/>
        <v>LALONDE GREGORY</v>
      </c>
    </row>
    <row r="25" spans="1:7" x14ac:dyDescent="0.25">
      <c r="A25" s="8">
        <v>42946.185578703706</v>
      </c>
      <c r="B25" s="20" t="s">
        <v>527</v>
      </c>
      <c r="C25" s="20" t="s">
        <v>693</v>
      </c>
      <c r="D25" s="138">
        <v>3040000</v>
      </c>
      <c r="E25" s="20" t="s">
        <v>369</v>
      </c>
      <c r="F25" s="20" t="s">
        <v>370</v>
      </c>
      <c r="G25" s="8" t="str">
        <f t="shared" si="0"/>
        <v>WILLIAMS DONTE</v>
      </c>
    </row>
    <row r="26" spans="1:7" x14ac:dyDescent="0.25">
      <c r="A26" s="8">
        <v>42946.195023148146</v>
      </c>
      <c r="B26" s="20" t="s">
        <v>533</v>
      </c>
      <c r="C26" s="20" t="s">
        <v>694</v>
      </c>
      <c r="D26" s="138">
        <v>1100000</v>
      </c>
      <c r="E26" s="20" t="s">
        <v>690</v>
      </c>
      <c r="F26" s="20" t="s">
        <v>691</v>
      </c>
      <c r="G26" s="8" t="str">
        <f t="shared" si="0"/>
        <v>GEBRETEKLE DAGNEW</v>
      </c>
    </row>
    <row r="27" spans="1:7" x14ac:dyDescent="0.25">
      <c r="A27" s="8">
        <v>42946.197615740741</v>
      </c>
      <c r="B27" s="20" t="s">
        <v>616</v>
      </c>
      <c r="C27" s="20" t="s">
        <v>617</v>
      </c>
      <c r="D27" s="138">
        <v>2970000</v>
      </c>
      <c r="E27" s="20" t="s">
        <v>366</v>
      </c>
      <c r="F27" s="20" t="s">
        <v>367</v>
      </c>
      <c r="G27" s="8" t="str">
        <f t="shared" si="0"/>
        <v>GUZMAN DANNY</v>
      </c>
    </row>
    <row r="28" spans="1:7" x14ac:dyDescent="0.25">
      <c r="A28" s="8">
        <v>42946.205370370371</v>
      </c>
      <c r="B28" s="20" t="s">
        <v>645</v>
      </c>
      <c r="C28" s="20" t="s">
        <v>695</v>
      </c>
      <c r="D28" s="138">
        <v>2010000</v>
      </c>
      <c r="E28" s="20" t="s">
        <v>478</v>
      </c>
      <c r="F28" s="20" t="s">
        <v>479</v>
      </c>
      <c r="G28" s="8" t="str">
        <f t="shared" si="0"/>
        <v>MAELZER KURT</v>
      </c>
    </row>
    <row r="29" spans="1:7" x14ac:dyDescent="0.25">
      <c r="A29" s="8">
        <v>42946.210289351853</v>
      </c>
      <c r="B29" s="20" t="s">
        <v>696</v>
      </c>
      <c r="C29" s="20" t="s">
        <v>697</v>
      </c>
      <c r="D29" s="138">
        <v>2970000</v>
      </c>
      <c r="E29" s="20" t="s">
        <v>366</v>
      </c>
      <c r="F29" s="20" t="s">
        <v>367</v>
      </c>
      <c r="G29" s="8" t="str">
        <f t="shared" si="0"/>
        <v>GUZMAN DANNY</v>
      </c>
    </row>
    <row r="30" spans="1:7" x14ac:dyDescent="0.25">
      <c r="A30" s="8">
        <v>42946.214270833334</v>
      </c>
      <c r="B30" s="20" t="s">
        <v>635</v>
      </c>
      <c r="C30" s="20" t="s">
        <v>698</v>
      </c>
      <c r="D30" s="138">
        <v>2530000</v>
      </c>
      <c r="E30" s="20" t="s">
        <v>687</v>
      </c>
      <c r="F30" s="20" t="s">
        <v>688</v>
      </c>
      <c r="G30" s="8" t="str">
        <f t="shared" si="0"/>
        <v>LALONDE GREGORY</v>
      </c>
    </row>
    <row r="31" spans="1:7" x14ac:dyDescent="0.25">
      <c r="A31" s="8">
        <v>42946.215231481481</v>
      </c>
      <c r="B31" s="20" t="s">
        <v>531</v>
      </c>
      <c r="C31" s="20" t="s">
        <v>699</v>
      </c>
      <c r="D31" s="138">
        <v>1990000</v>
      </c>
      <c r="E31" s="20" t="s">
        <v>379</v>
      </c>
      <c r="F31" s="20" t="s">
        <v>537</v>
      </c>
      <c r="G31" s="8" t="str">
        <f t="shared" si="0"/>
        <v>DAVIS WENDY</v>
      </c>
    </row>
    <row r="32" spans="1:7" x14ac:dyDescent="0.25">
      <c r="A32" s="8">
        <v>42946.218715277777</v>
      </c>
      <c r="B32" s="20" t="s">
        <v>335</v>
      </c>
      <c r="C32" s="20" t="s">
        <v>700</v>
      </c>
      <c r="D32" s="138">
        <v>2600000</v>
      </c>
      <c r="E32" s="20" t="s">
        <v>701</v>
      </c>
      <c r="F32" s="20" t="s">
        <v>702</v>
      </c>
      <c r="G32" s="8" t="str">
        <f t="shared" si="0"/>
        <v>DAVIDSON DAVID</v>
      </c>
    </row>
    <row r="33" spans="1:7" x14ac:dyDescent="0.25">
      <c r="A33" s="8">
        <v>42946.224780092591</v>
      </c>
      <c r="B33" s="20" t="s">
        <v>526</v>
      </c>
      <c r="C33" s="20" t="s">
        <v>703</v>
      </c>
      <c r="D33" s="138">
        <v>1100000</v>
      </c>
      <c r="E33" s="20" t="s">
        <v>690</v>
      </c>
      <c r="F33" s="20" t="s">
        <v>691</v>
      </c>
      <c r="G33" s="8" t="str">
        <f t="shared" si="0"/>
        <v>GEBRETEKLE DAGNEW</v>
      </c>
    </row>
    <row r="34" spans="1:7" x14ac:dyDescent="0.25">
      <c r="A34" s="8">
        <v>42946.224930555552</v>
      </c>
      <c r="B34" s="20" t="s">
        <v>444</v>
      </c>
      <c r="C34" s="20" t="s">
        <v>704</v>
      </c>
      <c r="D34" s="138">
        <v>2560000</v>
      </c>
      <c r="E34" s="20" t="s">
        <v>472</v>
      </c>
      <c r="F34" s="20" t="s">
        <v>356</v>
      </c>
      <c r="G34" s="8" t="str">
        <f t="shared" si="0"/>
        <v>MACDONALD THOMAS</v>
      </c>
    </row>
    <row r="35" spans="1:7" x14ac:dyDescent="0.25">
      <c r="A35" s="8">
        <v>42946.226759259262</v>
      </c>
      <c r="B35" s="20" t="s">
        <v>528</v>
      </c>
      <c r="C35" s="20" t="s">
        <v>705</v>
      </c>
      <c r="D35" s="138">
        <v>3040000</v>
      </c>
      <c r="E35" s="20" t="s">
        <v>369</v>
      </c>
      <c r="F35" s="20" t="s">
        <v>370</v>
      </c>
      <c r="G35" s="8" t="str">
        <f t="shared" si="0"/>
        <v>WILLIAMS DONTE</v>
      </c>
    </row>
    <row r="36" spans="1:7" x14ac:dyDescent="0.25">
      <c r="A36" s="8">
        <v>42946.230416666665</v>
      </c>
      <c r="B36" s="20" t="s">
        <v>622</v>
      </c>
      <c r="C36" s="20" t="s">
        <v>623</v>
      </c>
      <c r="D36" s="138">
        <v>2600000</v>
      </c>
      <c r="E36" s="20" t="s">
        <v>701</v>
      </c>
      <c r="F36" s="20" t="s">
        <v>702</v>
      </c>
      <c r="G36" s="8" t="str">
        <f t="shared" si="0"/>
        <v>DAVIDSON DAVID</v>
      </c>
    </row>
    <row r="37" spans="1:7" x14ac:dyDescent="0.25">
      <c r="A37" s="8">
        <v>42946.238391203704</v>
      </c>
      <c r="B37" s="20" t="s">
        <v>658</v>
      </c>
      <c r="C37" s="20" t="s">
        <v>706</v>
      </c>
      <c r="D37" s="138">
        <v>2560000</v>
      </c>
      <c r="E37" s="20" t="s">
        <v>472</v>
      </c>
      <c r="F37" s="20" t="s">
        <v>356</v>
      </c>
      <c r="G37" s="8" t="str">
        <f t="shared" si="0"/>
        <v>MACDONALD THOMAS</v>
      </c>
    </row>
    <row r="38" spans="1:7" x14ac:dyDescent="0.25">
      <c r="A38" s="8">
        <v>42946.241932870369</v>
      </c>
      <c r="B38" s="20" t="s">
        <v>620</v>
      </c>
      <c r="C38" s="20" t="s">
        <v>707</v>
      </c>
      <c r="D38" s="138">
        <v>2010000</v>
      </c>
      <c r="E38" s="20" t="s">
        <v>478</v>
      </c>
      <c r="F38" s="20" t="s">
        <v>479</v>
      </c>
      <c r="G38" s="8" t="str">
        <f t="shared" si="0"/>
        <v>MAELZER KURT</v>
      </c>
    </row>
    <row r="39" spans="1:7" x14ac:dyDescent="0.25">
      <c r="A39" s="8">
        <v>42946.24628472222</v>
      </c>
      <c r="B39" s="20" t="s">
        <v>616</v>
      </c>
      <c r="C39" s="20" t="s">
        <v>708</v>
      </c>
      <c r="D39" s="138">
        <v>2970000</v>
      </c>
      <c r="E39" s="20" t="s">
        <v>366</v>
      </c>
      <c r="F39" s="20" t="s">
        <v>367</v>
      </c>
      <c r="G39" s="8" t="str">
        <f t="shared" si="0"/>
        <v>GUZMAN DANNY</v>
      </c>
    </row>
    <row r="40" spans="1:7" x14ac:dyDescent="0.25">
      <c r="A40" s="8">
        <v>42946.246504629627</v>
      </c>
      <c r="B40" s="25" t="s">
        <v>532</v>
      </c>
      <c r="C40" s="20" t="s">
        <v>709</v>
      </c>
      <c r="D40" s="138">
        <v>1990000</v>
      </c>
      <c r="E40" s="20" t="s">
        <v>379</v>
      </c>
      <c r="F40" s="20" t="s">
        <v>537</v>
      </c>
      <c r="G40" s="8" t="str">
        <f t="shared" si="0"/>
        <v>DAVIS WENDY</v>
      </c>
    </row>
    <row r="41" spans="1:7" x14ac:dyDescent="0.25">
      <c r="A41" s="8">
        <v>42946.248981481483</v>
      </c>
      <c r="B41" s="20" t="s">
        <v>335</v>
      </c>
      <c r="C41" s="20" t="s">
        <v>710</v>
      </c>
      <c r="D41" s="138">
        <v>2600000</v>
      </c>
      <c r="E41" s="20" t="s">
        <v>701</v>
      </c>
      <c r="F41" s="20" t="s">
        <v>702</v>
      </c>
      <c r="G41" s="8" t="str">
        <f t="shared" si="0"/>
        <v>DAVIDSON DAVID</v>
      </c>
    </row>
    <row r="42" spans="1:7" x14ac:dyDescent="0.25">
      <c r="A42" s="8">
        <v>42946.25576388889</v>
      </c>
      <c r="B42" s="20" t="s">
        <v>637</v>
      </c>
      <c r="C42" s="20" t="s">
        <v>711</v>
      </c>
      <c r="D42" s="138">
        <v>2530000</v>
      </c>
      <c r="E42" s="20" t="s">
        <v>687</v>
      </c>
      <c r="F42" s="20" t="s">
        <v>688</v>
      </c>
      <c r="G42" s="8" t="str">
        <f t="shared" si="0"/>
        <v>LALONDE GREGORY</v>
      </c>
    </row>
    <row r="43" spans="1:7" x14ac:dyDescent="0.25">
      <c r="A43" s="8">
        <v>42946.26</v>
      </c>
      <c r="B43" s="20" t="s">
        <v>527</v>
      </c>
      <c r="C43" s="20" t="s">
        <v>712</v>
      </c>
      <c r="D43" s="138">
        <v>3040000</v>
      </c>
      <c r="E43" s="20" t="s">
        <v>369</v>
      </c>
      <c r="F43" s="20" t="s">
        <v>370</v>
      </c>
      <c r="G43" s="8" t="str">
        <f t="shared" si="0"/>
        <v>WILLIAMS DONTE</v>
      </c>
    </row>
    <row r="44" spans="1:7" x14ac:dyDescent="0.25">
      <c r="A44" s="8">
        <v>42946.266863425924</v>
      </c>
      <c r="B44" s="20" t="s">
        <v>444</v>
      </c>
      <c r="C44" s="20" t="s">
        <v>624</v>
      </c>
      <c r="D44" s="138">
        <v>2560000</v>
      </c>
      <c r="E44" s="20" t="s">
        <v>472</v>
      </c>
      <c r="F44" s="20" t="s">
        <v>356</v>
      </c>
      <c r="G44" s="8" t="str">
        <f t="shared" si="0"/>
        <v>MACDONALD THOMAS</v>
      </c>
    </row>
    <row r="45" spans="1:7" x14ac:dyDescent="0.25">
      <c r="A45" s="8">
        <v>42946.267476851855</v>
      </c>
      <c r="B45" s="20" t="s">
        <v>533</v>
      </c>
      <c r="C45" s="20" t="s">
        <v>713</v>
      </c>
      <c r="D45" s="138">
        <v>2040000</v>
      </c>
      <c r="E45" s="20" t="s">
        <v>413</v>
      </c>
      <c r="F45" s="20" t="s">
        <v>414</v>
      </c>
      <c r="G45" s="8" t="str">
        <f t="shared" si="0"/>
        <v>MOSES BRADLEY</v>
      </c>
    </row>
    <row r="46" spans="1:7" x14ac:dyDescent="0.25">
      <c r="A46" s="8">
        <v>42946.276041666664</v>
      </c>
      <c r="B46" s="20" t="s">
        <v>622</v>
      </c>
      <c r="C46" s="20" t="s">
        <v>714</v>
      </c>
      <c r="D46" s="138">
        <v>2600000</v>
      </c>
      <c r="E46" s="20" t="s">
        <v>701</v>
      </c>
      <c r="F46" s="20" t="s">
        <v>702</v>
      </c>
      <c r="G46" s="8" t="str">
        <f t="shared" si="0"/>
        <v>DAVIDSON DAVID</v>
      </c>
    </row>
    <row r="47" spans="1:7" x14ac:dyDescent="0.25">
      <c r="A47" s="8">
        <v>42946.277800925927</v>
      </c>
      <c r="B47" s="20" t="s">
        <v>645</v>
      </c>
      <c r="C47" s="20" t="s">
        <v>715</v>
      </c>
      <c r="D47" s="138">
        <v>2010000</v>
      </c>
      <c r="E47" s="20" t="s">
        <v>478</v>
      </c>
      <c r="F47" s="20" t="s">
        <v>479</v>
      </c>
      <c r="G47" s="8" t="str">
        <f t="shared" si="0"/>
        <v>MAELZER KURT</v>
      </c>
    </row>
    <row r="48" spans="1:7" x14ac:dyDescent="0.25">
      <c r="A48" s="8">
        <v>42946.286400462966</v>
      </c>
      <c r="B48" s="20" t="s">
        <v>696</v>
      </c>
      <c r="C48" s="20" t="s">
        <v>716</v>
      </c>
      <c r="D48" s="138">
        <v>2970000</v>
      </c>
      <c r="E48" s="20" t="s">
        <v>366</v>
      </c>
      <c r="F48" s="20" t="s">
        <v>367</v>
      </c>
      <c r="G48" s="8" t="str">
        <f t="shared" si="0"/>
        <v>GUZMAN DANNY</v>
      </c>
    </row>
    <row r="49" spans="1:7" x14ac:dyDescent="0.25">
      <c r="A49" s="8">
        <v>42946.287453703706</v>
      </c>
      <c r="B49" s="20" t="s">
        <v>531</v>
      </c>
      <c r="C49" s="20" t="s">
        <v>717</v>
      </c>
      <c r="D49" s="138">
        <v>1990000</v>
      </c>
      <c r="E49" s="20" t="s">
        <v>379</v>
      </c>
      <c r="F49" s="20" t="s">
        <v>537</v>
      </c>
      <c r="G49" s="8" t="str">
        <f t="shared" si="0"/>
        <v>DAVIS WENDY</v>
      </c>
    </row>
    <row r="50" spans="1:7" x14ac:dyDescent="0.25">
      <c r="A50" s="8">
        <v>42946.287858796299</v>
      </c>
      <c r="B50" s="20" t="s">
        <v>635</v>
      </c>
      <c r="C50" s="20" t="s">
        <v>718</v>
      </c>
      <c r="D50" s="138">
        <v>2530000</v>
      </c>
      <c r="E50" s="20" t="s">
        <v>687</v>
      </c>
      <c r="F50" s="20" t="s">
        <v>688</v>
      </c>
      <c r="G50" s="8" t="str">
        <f t="shared" si="0"/>
        <v>LALONDE GREGORY</v>
      </c>
    </row>
    <row r="51" spans="1:7" x14ac:dyDescent="0.25">
      <c r="A51" s="8">
        <v>42946.290509259263</v>
      </c>
      <c r="B51" s="20" t="s">
        <v>335</v>
      </c>
      <c r="C51" s="20" t="s">
        <v>719</v>
      </c>
      <c r="D51" s="138">
        <v>2600000</v>
      </c>
      <c r="E51" s="20" t="s">
        <v>701</v>
      </c>
      <c r="F51" s="20" t="s">
        <v>702</v>
      </c>
      <c r="G51" s="8" t="str">
        <f t="shared" si="0"/>
        <v>DAVIDSON DAVID</v>
      </c>
    </row>
    <row r="52" spans="1:7" x14ac:dyDescent="0.25">
      <c r="A52" s="8">
        <v>42946.299178240741</v>
      </c>
      <c r="B52" s="20" t="s">
        <v>528</v>
      </c>
      <c r="C52" s="20" t="s">
        <v>720</v>
      </c>
      <c r="D52" s="138">
        <v>3040000</v>
      </c>
      <c r="E52" s="20" t="s">
        <v>369</v>
      </c>
      <c r="F52" s="20" t="s">
        <v>370</v>
      </c>
      <c r="G52" s="8" t="str">
        <f t="shared" si="0"/>
        <v>WILLIAMS DONTE</v>
      </c>
    </row>
    <row r="53" spans="1:7" x14ac:dyDescent="0.25">
      <c r="A53" s="8">
        <v>42946.30810185185</v>
      </c>
      <c r="B53" s="20" t="s">
        <v>526</v>
      </c>
      <c r="C53" s="20" t="s">
        <v>721</v>
      </c>
      <c r="D53" s="138">
        <v>2040000</v>
      </c>
      <c r="E53" s="20" t="s">
        <v>413</v>
      </c>
      <c r="F53" s="20" t="s">
        <v>414</v>
      </c>
      <c r="G53" s="8" t="str">
        <f t="shared" si="0"/>
        <v>MOSES BRADLEY</v>
      </c>
    </row>
    <row r="54" spans="1:7" x14ac:dyDescent="0.25">
      <c r="A54" s="8">
        <v>42946.310694444444</v>
      </c>
      <c r="B54" s="20" t="s">
        <v>658</v>
      </c>
      <c r="C54" s="20" t="s">
        <v>722</v>
      </c>
      <c r="D54" s="138">
        <v>2560000</v>
      </c>
      <c r="E54" s="20" t="s">
        <v>472</v>
      </c>
      <c r="F54" s="20" t="s">
        <v>356</v>
      </c>
      <c r="G54" s="8" t="str">
        <f t="shared" si="0"/>
        <v>MACDONALD THOMAS</v>
      </c>
    </row>
    <row r="55" spans="1:7" x14ac:dyDescent="0.25">
      <c r="A55" s="8">
        <v>42946.312523148146</v>
      </c>
      <c r="B55" s="20" t="s">
        <v>620</v>
      </c>
      <c r="C55" s="20" t="s">
        <v>723</v>
      </c>
      <c r="D55" s="138">
        <v>2010000</v>
      </c>
      <c r="E55" s="20" t="s">
        <v>478</v>
      </c>
      <c r="F55" s="20" t="s">
        <v>479</v>
      </c>
      <c r="G55" s="8" t="str">
        <f t="shared" si="0"/>
        <v>MAELZER KURT</v>
      </c>
    </row>
    <row r="56" spans="1:7" x14ac:dyDescent="0.25">
      <c r="A56" s="8">
        <v>42946.317650462966</v>
      </c>
      <c r="B56" s="20" t="s">
        <v>622</v>
      </c>
      <c r="C56" s="20" t="s">
        <v>724</v>
      </c>
      <c r="D56" s="138">
        <v>2600000</v>
      </c>
      <c r="E56" s="20" t="s">
        <v>701</v>
      </c>
      <c r="F56" s="20" t="s">
        <v>702</v>
      </c>
      <c r="G56" s="8" t="str">
        <f t="shared" si="0"/>
        <v>DAVIDSON DAVID</v>
      </c>
    </row>
    <row r="57" spans="1:7" x14ac:dyDescent="0.25">
      <c r="A57" s="8">
        <v>42946.319085648145</v>
      </c>
      <c r="B57" s="20" t="s">
        <v>616</v>
      </c>
      <c r="C57" s="20" t="s">
        <v>725</v>
      </c>
      <c r="D57" s="138">
        <v>2970000</v>
      </c>
      <c r="E57" s="20" t="s">
        <v>366</v>
      </c>
      <c r="F57" s="20" t="s">
        <v>367</v>
      </c>
      <c r="G57" s="8" t="str">
        <f t="shared" si="0"/>
        <v>GUZMAN DANNY</v>
      </c>
    </row>
    <row r="58" spans="1:7" x14ac:dyDescent="0.25">
      <c r="A58" s="8">
        <v>42946.320150462961</v>
      </c>
      <c r="B58" s="20" t="s">
        <v>532</v>
      </c>
      <c r="C58" s="20" t="s">
        <v>726</v>
      </c>
      <c r="D58" s="138">
        <v>1990000</v>
      </c>
      <c r="E58" s="20" t="s">
        <v>379</v>
      </c>
      <c r="F58" s="20" t="s">
        <v>537</v>
      </c>
      <c r="G58" s="8" t="str">
        <f t="shared" si="0"/>
        <v>DAVIS WENDY</v>
      </c>
    </row>
    <row r="59" spans="1:7" x14ac:dyDescent="0.25">
      <c r="A59" s="8">
        <v>42946.331064814818</v>
      </c>
      <c r="B59" s="20" t="s">
        <v>527</v>
      </c>
      <c r="C59" s="20" t="s">
        <v>727</v>
      </c>
      <c r="D59" s="138">
        <v>3040000</v>
      </c>
      <c r="E59" s="20" t="s">
        <v>369</v>
      </c>
      <c r="F59" s="20" t="s">
        <v>370</v>
      </c>
      <c r="G59" s="8" t="str">
        <f t="shared" si="0"/>
        <v>WILLIAMS DONTE</v>
      </c>
    </row>
    <row r="60" spans="1:7" x14ac:dyDescent="0.25">
      <c r="A60" s="8">
        <v>42946.331400462965</v>
      </c>
      <c r="B60" s="20" t="s">
        <v>637</v>
      </c>
      <c r="C60" s="20" t="s">
        <v>728</v>
      </c>
      <c r="D60" s="138">
        <v>2530000</v>
      </c>
      <c r="E60" s="20" t="s">
        <v>687</v>
      </c>
      <c r="F60" s="20" t="s">
        <v>688</v>
      </c>
      <c r="G60" s="8" t="str">
        <f t="shared" si="0"/>
        <v>LALONDE GREGORY</v>
      </c>
    </row>
    <row r="61" spans="1:7" x14ac:dyDescent="0.25">
      <c r="A61" s="8">
        <v>42946.332673611112</v>
      </c>
      <c r="B61" s="20" t="s">
        <v>335</v>
      </c>
      <c r="C61" s="20" t="s">
        <v>729</v>
      </c>
      <c r="D61" s="138">
        <v>2600000</v>
      </c>
      <c r="E61" s="20" t="s">
        <v>701</v>
      </c>
      <c r="F61" s="20" t="s">
        <v>702</v>
      </c>
      <c r="G61" s="8" t="str">
        <f t="shared" si="0"/>
        <v>DAVIDSON DAVID</v>
      </c>
    </row>
    <row r="62" spans="1:7" x14ac:dyDescent="0.25">
      <c r="A62" s="8">
        <v>42946.340138888889</v>
      </c>
      <c r="B62" s="20" t="s">
        <v>533</v>
      </c>
      <c r="C62" s="20" t="s">
        <v>730</v>
      </c>
      <c r="D62" s="138">
        <v>1100000</v>
      </c>
      <c r="E62" s="20" t="s">
        <v>690</v>
      </c>
      <c r="F62" s="20" t="s">
        <v>691</v>
      </c>
      <c r="G62" s="8" t="str">
        <f t="shared" si="0"/>
        <v>GEBRETEKLE DAGNEW</v>
      </c>
    </row>
    <row r="63" spans="1:7" x14ac:dyDescent="0.25">
      <c r="A63" s="8">
        <v>42946.349398148152</v>
      </c>
      <c r="B63" s="20" t="s">
        <v>645</v>
      </c>
      <c r="C63" s="20" t="s">
        <v>731</v>
      </c>
      <c r="D63" s="138">
        <v>2010000</v>
      </c>
      <c r="E63" s="20" t="s">
        <v>478</v>
      </c>
      <c r="F63" s="20" t="s">
        <v>479</v>
      </c>
      <c r="G63" s="8" t="str">
        <f t="shared" si="0"/>
        <v>MAELZER KURT</v>
      </c>
    </row>
    <row r="64" spans="1:7" x14ac:dyDescent="0.25">
      <c r="A64" s="26">
        <v>42946.350555555553</v>
      </c>
      <c r="B64" s="20" t="s">
        <v>444</v>
      </c>
      <c r="C64" s="20" t="s">
        <v>625</v>
      </c>
      <c r="D64" s="138">
        <v>2560000</v>
      </c>
      <c r="E64" s="20" t="s">
        <v>472</v>
      </c>
      <c r="F64" s="20" t="s">
        <v>356</v>
      </c>
      <c r="G64" s="8" t="str">
        <f t="shared" si="0"/>
        <v>MACDONALD THOMAS</v>
      </c>
    </row>
    <row r="65" spans="1:7" x14ac:dyDescent="0.25">
      <c r="A65" s="8">
        <v>42946.358784722222</v>
      </c>
      <c r="B65" s="20" t="s">
        <v>622</v>
      </c>
      <c r="C65" s="20" t="s">
        <v>732</v>
      </c>
      <c r="D65" s="138">
        <v>2600000</v>
      </c>
      <c r="E65" s="20" t="s">
        <v>701</v>
      </c>
      <c r="F65" s="20" t="s">
        <v>702</v>
      </c>
      <c r="G65" s="8" t="str">
        <f t="shared" si="0"/>
        <v>DAVIDSON DAVID</v>
      </c>
    </row>
    <row r="66" spans="1:7" x14ac:dyDescent="0.25">
      <c r="A66" s="8">
        <v>42946.359976851854</v>
      </c>
      <c r="B66" s="20" t="s">
        <v>635</v>
      </c>
      <c r="C66" s="20" t="s">
        <v>733</v>
      </c>
      <c r="D66" s="138">
        <v>2530000</v>
      </c>
      <c r="E66" s="20" t="s">
        <v>687</v>
      </c>
      <c r="F66" s="20" t="s">
        <v>688</v>
      </c>
      <c r="G66" s="8" t="str">
        <f t="shared" si="0"/>
        <v>LALONDE GREGORY</v>
      </c>
    </row>
    <row r="67" spans="1:7" x14ac:dyDescent="0.25">
      <c r="A67" s="8">
        <v>42946.360231481478</v>
      </c>
      <c r="B67" s="20" t="s">
        <v>696</v>
      </c>
      <c r="C67" s="20" t="s">
        <v>734</v>
      </c>
      <c r="D67" s="138">
        <v>2970000</v>
      </c>
      <c r="E67" s="20" t="s">
        <v>366</v>
      </c>
      <c r="F67" s="20" t="s">
        <v>367</v>
      </c>
      <c r="G67" s="8" t="str">
        <f t="shared" ref="G67:G130" si="1">E67&amp;" "&amp;F67</f>
        <v>GUZMAN DANNY</v>
      </c>
    </row>
    <row r="68" spans="1:7" x14ac:dyDescent="0.25">
      <c r="A68" s="8">
        <v>42946.360729166663</v>
      </c>
      <c r="B68" s="20" t="s">
        <v>531</v>
      </c>
      <c r="C68" s="20" t="s">
        <v>735</v>
      </c>
      <c r="D68" s="138">
        <v>1990000</v>
      </c>
      <c r="E68" s="20" t="s">
        <v>379</v>
      </c>
      <c r="F68" s="20" t="s">
        <v>537</v>
      </c>
      <c r="G68" s="8" t="str">
        <f t="shared" si="1"/>
        <v>DAVIS WENDY</v>
      </c>
    </row>
    <row r="69" spans="1:7" x14ac:dyDescent="0.25">
      <c r="A69" s="8">
        <v>42946.371157407404</v>
      </c>
      <c r="B69" s="20" t="s">
        <v>528</v>
      </c>
      <c r="C69" s="20" t="s">
        <v>626</v>
      </c>
      <c r="D69" s="138">
        <v>3040000</v>
      </c>
      <c r="E69" s="20" t="s">
        <v>369</v>
      </c>
      <c r="F69" s="20" t="s">
        <v>370</v>
      </c>
      <c r="G69" s="8" t="str">
        <f t="shared" si="1"/>
        <v>WILLIAMS DONTE</v>
      </c>
    </row>
    <row r="70" spans="1:7" x14ac:dyDescent="0.25">
      <c r="A70" s="8">
        <v>42946.371238425927</v>
      </c>
      <c r="B70" s="20" t="s">
        <v>526</v>
      </c>
      <c r="C70" s="20" t="s">
        <v>736</v>
      </c>
      <c r="D70" s="138">
        <v>1100000</v>
      </c>
      <c r="E70" s="20" t="s">
        <v>690</v>
      </c>
      <c r="F70" s="20" t="s">
        <v>691</v>
      </c>
      <c r="G70" s="8" t="str">
        <f t="shared" si="1"/>
        <v>GEBRETEKLE DAGNEW</v>
      </c>
    </row>
    <row r="71" spans="1:7" x14ac:dyDescent="0.25">
      <c r="A71" s="8">
        <v>42946.373749999999</v>
      </c>
      <c r="B71" s="20" t="s">
        <v>335</v>
      </c>
      <c r="C71" s="20" t="s">
        <v>737</v>
      </c>
      <c r="D71" s="138">
        <v>2600000</v>
      </c>
      <c r="E71" s="20" t="s">
        <v>701</v>
      </c>
      <c r="F71" s="20" t="s">
        <v>702</v>
      </c>
      <c r="G71" s="8" t="str">
        <f t="shared" si="1"/>
        <v>DAVIDSON DAVID</v>
      </c>
    </row>
    <row r="72" spans="1:7" x14ac:dyDescent="0.25">
      <c r="A72" s="8">
        <v>42946.38380787037</v>
      </c>
      <c r="B72" s="20" t="s">
        <v>658</v>
      </c>
      <c r="C72" s="20" t="s">
        <v>738</v>
      </c>
      <c r="D72" s="138">
        <v>2560000</v>
      </c>
      <c r="E72" s="20" t="s">
        <v>472</v>
      </c>
      <c r="F72" s="20" t="s">
        <v>356</v>
      </c>
      <c r="G72" s="8" t="str">
        <f t="shared" si="1"/>
        <v>MACDONALD THOMAS</v>
      </c>
    </row>
    <row r="73" spans="1:7" x14ac:dyDescent="0.25">
      <c r="A73" s="8">
        <v>42946.386006944442</v>
      </c>
      <c r="B73" s="20" t="s">
        <v>620</v>
      </c>
      <c r="C73" s="20" t="s">
        <v>739</v>
      </c>
      <c r="D73" s="138">
        <v>2010000</v>
      </c>
      <c r="E73" s="20" t="s">
        <v>478</v>
      </c>
      <c r="F73" s="20" t="s">
        <v>479</v>
      </c>
      <c r="G73" s="8" t="str">
        <f t="shared" si="1"/>
        <v>MAELZER KURT</v>
      </c>
    </row>
    <row r="74" spans="1:7" x14ac:dyDescent="0.25">
      <c r="A74" s="8">
        <v>42946.388564814813</v>
      </c>
      <c r="B74" s="20" t="s">
        <v>678</v>
      </c>
      <c r="C74" s="20" t="s">
        <v>679</v>
      </c>
      <c r="D74" s="138">
        <v>1800000</v>
      </c>
      <c r="E74" s="20" t="s">
        <v>680</v>
      </c>
      <c r="F74" s="20" t="s">
        <v>681</v>
      </c>
      <c r="G74" s="8" t="str">
        <f t="shared" si="1"/>
        <v>CHANDLER KELVIN</v>
      </c>
    </row>
    <row r="75" spans="1:7" x14ac:dyDescent="0.25">
      <c r="A75" s="8">
        <v>42946.391053240739</v>
      </c>
      <c r="B75" s="20" t="s">
        <v>678</v>
      </c>
      <c r="C75" s="20" t="s">
        <v>740</v>
      </c>
      <c r="D75" s="138">
        <v>1800000</v>
      </c>
      <c r="E75" s="20" t="s">
        <v>680</v>
      </c>
      <c r="F75" s="20" t="s">
        <v>681</v>
      </c>
      <c r="G75" s="8" t="str">
        <f t="shared" si="1"/>
        <v>CHANDLER KELVIN</v>
      </c>
    </row>
    <row r="76" spans="1:7" x14ac:dyDescent="0.25">
      <c r="A76" s="8">
        <v>42946.392175925925</v>
      </c>
      <c r="B76" s="20" t="s">
        <v>616</v>
      </c>
      <c r="C76" s="20" t="s">
        <v>741</v>
      </c>
      <c r="D76" s="138">
        <v>2970000</v>
      </c>
      <c r="E76" s="20" t="s">
        <v>366</v>
      </c>
      <c r="F76" s="20" t="s">
        <v>367</v>
      </c>
      <c r="G76" s="8" t="str">
        <f t="shared" si="1"/>
        <v>GUZMAN DANNY</v>
      </c>
    </row>
    <row r="77" spans="1:7" x14ac:dyDescent="0.25">
      <c r="A77" s="8">
        <v>42946.394467592596</v>
      </c>
      <c r="B77" s="20" t="s">
        <v>620</v>
      </c>
      <c r="C77" s="20" t="s">
        <v>739</v>
      </c>
      <c r="D77" s="138">
        <v>2010000</v>
      </c>
      <c r="E77" s="20" t="s">
        <v>478</v>
      </c>
      <c r="F77" s="20" t="s">
        <v>479</v>
      </c>
      <c r="G77" s="8" t="str">
        <f t="shared" si="1"/>
        <v>MAELZER KURT</v>
      </c>
    </row>
    <row r="78" spans="1:7" x14ac:dyDescent="0.25">
      <c r="A78" s="8">
        <v>42946.400914351849</v>
      </c>
      <c r="B78" s="20" t="s">
        <v>532</v>
      </c>
      <c r="C78" s="20" t="s">
        <v>742</v>
      </c>
      <c r="D78" s="138">
        <v>1990000</v>
      </c>
      <c r="E78" s="20" t="s">
        <v>379</v>
      </c>
      <c r="F78" s="20" t="s">
        <v>537</v>
      </c>
      <c r="G78" s="8" t="str">
        <f t="shared" si="1"/>
        <v>DAVIS WENDY</v>
      </c>
    </row>
    <row r="79" spans="1:7" x14ac:dyDescent="0.25">
      <c r="A79" s="8">
        <v>42946.401041666664</v>
      </c>
      <c r="B79" s="20" t="s">
        <v>622</v>
      </c>
      <c r="C79" s="20" t="s">
        <v>743</v>
      </c>
      <c r="D79" s="138">
        <v>2600000</v>
      </c>
      <c r="E79" s="20" t="s">
        <v>701</v>
      </c>
      <c r="F79" s="20" t="s">
        <v>702</v>
      </c>
      <c r="G79" s="8" t="str">
        <f t="shared" si="1"/>
        <v>DAVIDSON DAVID</v>
      </c>
    </row>
    <row r="80" spans="1:7" x14ac:dyDescent="0.25">
      <c r="A80" s="8">
        <v>42946.402175925927</v>
      </c>
      <c r="B80" s="20" t="s">
        <v>532</v>
      </c>
      <c r="C80" s="20" t="s">
        <v>742</v>
      </c>
      <c r="D80" s="138">
        <v>1990000</v>
      </c>
      <c r="E80" s="20" t="s">
        <v>379</v>
      </c>
      <c r="F80" s="20" t="s">
        <v>537</v>
      </c>
      <c r="G80" s="8" t="str">
        <f t="shared" si="1"/>
        <v>DAVIS WENDY</v>
      </c>
    </row>
    <row r="81" spans="1:7" x14ac:dyDescent="0.25">
      <c r="A81" s="8">
        <v>42946.412326388891</v>
      </c>
      <c r="B81" s="20" t="s">
        <v>637</v>
      </c>
      <c r="C81" s="20" t="s">
        <v>744</v>
      </c>
      <c r="D81" s="138">
        <v>2530000</v>
      </c>
      <c r="E81" s="20" t="s">
        <v>687</v>
      </c>
      <c r="F81" s="20" t="s">
        <v>688</v>
      </c>
      <c r="G81" s="8" t="str">
        <f t="shared" si="1"/>
        <v>LALONDE GREGORY</v>
      </c>
    </row>
    <row r="82" spans="1:7" x14ac:dyDescent="0.25">
      <c r="A82" s="8">
        <v>42946.415509259263</v>
      </c>
      <c r="B82" s="20" t="s">
        <v>335</v>
      </c>
      <c r="C82" s="20" t="s">
        <v>745</v>
      </c>
      <c r="D82" s="138">
        <v>2600000</v>
      </c>
      <c r="E82" s="20" t="s">
        <v>701</v>
      </c>
      <c r="F82" s="20" t="s">
        <v>702</v>
      </c>
      <c r="G82" s="8" t="str">
        <f t="shared" si="1"/>
        <v>DAVIDSON DAVID</v>
      </c>
    </row>
    <row r="83" spans="1:7" x14ac:dyDescent="0.25">
      <c r="A83" s="8">
        <v>42946.418055555558</v>
      </c>
      <c r="B83" s="20" t="s">
        <v>533</v>
      </c>
      <c r="C83" s="20" t="s">
        <v>746</v>
      </c>
      <c r="D83" s="138">
        <v>3010000</v>
      </c>
      <c r="E83" s="20" t="s">
        <v>747</v>
      </c>
      <c r="F83" s="20" t="s">
        <v>453</v>
      </c>
      <c r="G83" s="8" t="str">
        <f t="shared" si="1"/>
        <v>SULLIVAN BRANDON</v>
      </c>
    </row>
    <row r="84" spans="1:7" x14ac:dyDescent="0.25">
      <c r="A84" s="8">
        <v>42946.419652777775</v>
      </c>
      <c r="B84" s="20" t="s">
        <v>389</v>
      </c>
      <c r="C84" s="20" t="s">
        <v>748</v>
      </c>
      <c r="D84" s="138">
        <v>2270000</v>
      </c>
      <c r="E84" s="20" t="s">
        <v>749</v>
      </c>
      <c r="F84" s="20" t="s">
        <v>750</v>
      </c>
      <c r="G84" s="8" t="str">
        <f t="shared" si="1"/>
        <v>BROWN JACOB</v>
      </c>
    </row>
    <row r="85" spans="1:7" x14ac:dyDescent="0.25">
      <c r="A85" s="8">
        <v>42946.428263888891</v>
      </c>
      <c r="B85" s="20" t="s">
        <v>444</v>
      </c>
      <c r="C85" s="20" t="s">
        <v>627</v>
      </c>
      <c r="D85" s="138">
        <v>2560000</v>
      </c>
      <c r="E85" s="20" t="s">
        <v>472</v>
      </c>
      <c r="F85" s="20" t="s">
        <v>356</v>
      </c>
      <c r="G85" s="8" t="str">
        <f t="shared" si="1"/>
        <v>MACDONALD THOMAS</v>
      </c>
    </row>
    <row r="86" spans="1:7" x14ac:dyDescent="0.25">
      <c r="A86" s="8">
        <v>42946.429224537038</v>
      </c>
      <c r="B86" s="20" t="s">
        <v>444</v>
      </c>
      <c r="C86" s="20" t="s">
        <v>627</v>
      </c>
      <c r="D86" s="138">
        <v>2560000</v>
      </c>
      <c r="E86" s="20" t="s">
        <v>472</v>
      </c>
      <c r="F86" s="20" t="s">
        <v>356</v>
      </c>
      <c r="G86" s="8" t="str">
        <f t="shared" si="1"/>
        <v>MACDONALD THOMAS</v>
      </c>
    </row>
    <row r="87" spans="1:7" x14ac:dyDescent="0.25">
      <c r="A87" s="8">
        <v>42946.430625000001</v>
      </c>
      <c r="B87" s="20" t="s">
        <v>645</v>
      </c>
      <c r="C87" s="20" t="s">
        <v>751</v>
      </c>
      <c r="D87" s="138">
        <v>2440000</v>
      </c>
      <c r="E87" s="20" t="s">
        <v>540</v>
      </c>
      <c r="F87" s="20" t="s">
        <v>541</v>
      </c>
      <c r="G87" s="8" t="str">
        <f t="shared" si="1"/>
        <v>LOPES KIMBERLY</v>
      </c>
    </row>
    <row r="88" spans="1:7" x14ac:dyDescent="0.25">
      <c r="A88" s="8">
        <v>42946.432581018518</v>
      </c>
      <c r="B88" s="20" t="s">
        <v>527</v>
      </c>
      <c r="C88" s="20" t="s">
        <v>628</v>
      </c>
      <c r="D88" s="138">
        <v>3040000</v>
      </c>
      <c r="E88" s="20" t="s">
        <v>369</v>
      </c>
      <c r="F88" s="20" t="s">
        <v>370</v>
      </c>
      <c r="G88" s="8" t="str">
        <f t="shared" si="1"/>
        <v>WILLIAMS DONTE</v>
      </c>
    </row>
    <row r="89" spans="1:7" x14ac:dyDescent="0.25">
      <c r="A89" s="8">
        <v>42946.434675925928</v>
      </c>
      <c r="B89" s="20" t="s">
        <v>674</v>
      </c>
      <c r="C89" s="20" t="s">
        <v>752</v>
      </c>
      <c r="D89" s="138">
        <v>1800000</v>
      </c>
      <c r="E89" s="20" t="s">
        <v>680</v>
      </c>
      <c r="F89" s="20" t="s">
        <v>681</v>
      </c>
      <c r="G89" s="8" t="str">
        <f t="shared" si="1"/>
        <v>CHANDLER KELVIN</v>
      </c>
    </row>
    <row r="90" spans="1:7" x14ac:dyDescent="0.25">
      <c r="A90" s="8">
        <v>42946.435810185183</v>
      </c>
      <c r="B90" s="20" t="s">
        <v>674</v>
      </c>
      <c r="C90" s="20" t="s">
        <v>752</v>
      </c>
      <c r="D90" s="138">
        <v>1800000</v>
      </c>
      <c r="E90" s="20" t="s">
        <v>680</v>
      </c>
      <c r="F90" s="20" t="s">
        <v>681</v>
      </c>
      <c r="G90" s="8" t="str">
        <f t="shared" si="1"/>
        <v>CHANDLER KELVIN</v>
      </c>
    </row>
    <row r="91" spans="1:7" x14ac:dyDescent="0.25">
      <c r="A91" s="8">
        <v>42946.439942129633</v>
      </c>
      <c r="B91" s="20" t="s">
        <v>388</v>
      </c>
      <c r="C91" s="20" t="s">
        <v>753</v>
      </c>
      <c r="D91" s="138">
        <v>2470000</v>
      </c>
      <c r="E91" s="20" t="s">
        <v>455</v>
      </c>
      <c r="F91" s="20" t="s">
        <v>456</v>
      </c>
      <c r="G91" s="8" t="str">
        <f t="shared" si="1"/>
        <v>ROMERO CHAD</v>
      </c>
    </row>
    <row r="92" spans="1:7" x14ac:dyDescent="0.25">
      <c r="A92" s="8">
        <v>42946.44263888889</v>
      </c>
      <c r="B92" s="20" t="s">
        <v>622</v>
      </c>
      <c r="C92" s="20" t="s">
        <v>754</v>
      </c>
      <c r="D92" s="138">
        <v>2600000</v>
      </c>
      <c r="E92" s="20" t="s">
        <v>701</v>
      </c>
      <c r="F92" s="20" t="s">
        <v>702</v>
      </c>
      <c r="G92" s="8" t="str">
        <f t="shared" si="1"/>
        <v>DAVIDSON DAVID</v>
      </c>
    </row>
    <row r="93" spans="1:7" x14ac:dyDescent="0.25">
      <c r="A93" s="8">
        <v>42946.444247685184</v>
      </c>
      <c r="B93" s="20" t="s">
        <v>531</v>
      </c>
      <c r="C93" s="20" t="s">
        <v>755</v>
      </c>
      <c r="D93" s="138">
        <v>1990000</v>
      </c>
      <c r="E93" s="20" t="s">
        <v>379</v>
      </c>
      <c r="F93" s="20" t="s">
        <v>537</v>
      </c>
      <c r="G93" s="8" t="str">
        <f t="shared" si="1"/>
        <v>DAVIS WENDY</v>
      </c>
    </row>
    <row r="94" spans="1:7" x14ac:dyDescent="0.25">
      <c r="A94" s="8">
        <v>42946.445972222224</v>
      </c>
      <c r="B94" s="20" t="s">
        <v>756</v>
      </c>
      <c r="C94" s="20" t="s">
        <v>757</v>
      </c>
      <c r="D94" s="138">
        <v>2550000</v>
      </c>
      <c r="E94" s="20" t="s">
        <v>473</v>
      </c>
      <c r="F94" s="20" t="s">
        <v>474</v>
      </c>
      <c r="G94" s="8" t="str">
        <f t="shared" si="1"/>
        <v>BADERTSCHER DIANE</v>
      </c>
    </row>
    <row r="95" spans="1:7" x14ac:dyDescent="0.25">
      <c r="A95" s="8">
        <v>42946.448958333334</v>
      </c>
      <c r="B95" s="20" t="s">
        <v>635</v>
      </c>
      <c r="C95" s="20" t="s">
        <v>758</v>
      </c>
      <c r="D95" s="138">
        <v>2530000</v>
      </c>
      <c r="E95" s="20" t="s">
        <v>687</v>
      </c>
      <c r="F95" s="20" t="s">
        <v>688</v>
      </c>
      <c r="G95" s="8" t="str">
        <f t="shared" si="1"/>
        <v>LALONDE GREGORY</v>
      </c>
    </row>
    <row r="96" spans="1:7" x14ac:dyDescent="0.25">
      <c r="A96" s="8">
        <v>42946.455763888887</v>
      </c>
      <c r="B96" s="20" t="s">
        <v>539</v>
      </c>
      <c r="C96" s="20" t="s">
        <v>759</v>
      </c>
      <c r="D96" s="138">
        <v>2450000</v>
      </c>
      <c r="E96" s="20" t="s">
        <v>542</v>
      </c>
      <c r="F96" s="20" t="s">
        <v>543</v>
      </c>
      <c r="G96" s="8" t="str">
        <f t="shared" si="1"/>
        <v>NELSON ARIANE</v>
      </c>
    </row>
    <row r="97" spans="1:7" x14ac:dyDescent="0.25">
      <c r="A97" s="8">
        <v>42946.457025462965</v>
      </c>
      <c r="B97" s="20" t="s">
        <v>662</v>
      </c>
      <c r="C97" s="20" t="s">
        <v>757</v>
      </c>
      <c r="D97" s="138">
        <v>2550000</v>
      </c>
      <c r="E97" s="20" t="s">
        <v>473</v>
      </c>
      <c r="F97" s="20" t="s">
        <v>474</v>
      </c>
      <c r="G97" s="8" t="str">
        <f t="shared" si="1"/>
        <v>BADERTSCHER DIANE</v>
      </c>
    </row>
    <row r="98" spans="1:7" x14ac:dyDescent="0.25">
      <c r="A98" s="8">
        <v>42946.458414351851</v>
      </c>
      <c r="B98" s="20" t="s">
        <v>335</v>
      </c>
      <c r="C98" s="20" t="s">
        <v>760</v>
      </c>
      <c r="D98" s="138">
        <v>2600000</v>
      </c>
      <c r="E98" s="20" t="s">
        <v>701</v>
      </c>
      <c r="F98" s="20" t="s">
        <v>702</v>
      </c>
      <c r="G98" s="8" t="str">
        <f t="shared" si="1"/>
        <v>DAVIDSON DAVID</v>
      </c>
    </row>
    <row r="99" spans="1:7" x14ac:dyDescent="0.25">
      <c r="A99" s="8">
        <v>42946.463819444441</v>
      </c>
      <c r="B99" s="20" t="s">
        <v>526</v>
      </c>
      <c r="C99" s="20" t="s">
        <v>629</v>
      </c>
      <c r="D99" s="138">
        <v>3010000</v>
      </c>
      <c r="E99" s="20" t="s">
        <v>747</v>
      </c>
      <c r="F99" s="20" t="s">
        <v>453</v>
      </c>
      <c r="G99" s="8" t="str">
        <f t="shared" si="1"/>
        <v>SULLIVAN BRANDON</v>
      </c>
    </row>
    <row r="100" spans="1:7" x14ac:dyDescent="0.25">
      <c r="A100" s="8">
        <v>42946.466134259259</v>
      </c>
      <c r="B100" s="20" t="s">
        <v>658</v>
      </c>
      <c r="C100" s="20" t="s">
        <v>761</v>
      </c>
      <c r="D100" s="138">
        <v>920000</v>
      </c>
      <c r="E100" s="20" t="s">
        <v>379</v>
      </c>
      <c r="F100" s="20" t="s">
        <v>192</v>
      </c>
      <c r="G100" s="8" t="str">
        <f t="shared" si="1"/>
        <v>DAVIS MICHAEL</v>
      </c>
    </row>
    <row r="101" spans="1:7" x14ac:dyDescent="0.25">
      <c r="A101" s="8">
        <v>42946.475312499999</v>
      </c>
      <c r="B101" s="20" t="s">
        <v>620</v>
      </c>
      <c r="C101" s="20" t="s">
        <v>630</v>
      </c>
      <c r="D101" s="138">
        <v>2440000</v>
      </c>
      <c r="E101" s="20" t="s">
        <v>540</v>
      </c>
      <c r="F101" s="20" t="s">
        <v>541</v>
      </c>
      <c r="G101" s="8" t="str">
        <f t="shared" si="1"/>
        <v>LOPES KIMBERLY</v>
      </c>
    </row>
    <row r="102" spans="1:7" x14ac:dyDescent="0.25">
      <c r="A102" s="8">
        <v>42946.476064814815</v>
      </c>
      <c r="B102" s="20" t="s">
        <v>389</v>
      </c>
      <c r="C102" s="20" t="s">
        <v>762</v>
      </c>
      <c r="D102" s="138">
        <v>2470000</v>
      </c>
      <c r="E102" s="20" t="s">
        <v>455</v>
      </c>
      <c r="F102" s="20" t="s">
        <v>456</v>
      </c>
      <c r="G102" s="8" t="str">
        <f t="shared" si="1"/>
        <v>ROMERO CHAD</v>
      </c>
    </row>
    <row r="103" spans="1:7" x14ac:dyDescent="0.25">
      <c r="A103" s="8">
        <v>42946.476099537038</v>
      </c>
      <c r="B103" s="20" t="s">
        <v>678</v>
      </c>
      <c r="C103" s="20" t="s">
        <v>763</v>
      </c>
      <c r="D103" s="138">
        <v>3120000</v>
      </c>
      <c r="E103" s="20" t="s">
        <v>764</v>
      </c>
      <c r="F103" s="20" t="s">
        <v>765</v>
      </c>
      <c r="G103" s="8" t="str">
        <f t="shared" si="1"/>
        <v>THOMPSON LESTER</v>
      </c>
    </row>
    <row r="104" spans="1:7" x14ac:dyDescent="0.25">
      <c r="A104" s="8">
        <v>42946.484178240738</v>
      </c>
      <c r="B104" s="20" t="s">
        <v>622</v>
      </c>
      <c r="C104" s="20" t="s">
        <v>766</v>
      </c>
      <c r="D104" s="138">
        <v>2600000</v>
      </c>
      <c r="E104" s="20" t="s">
        <v>701</v>
      </c>
      <c r="F104" s="20" t="s">
        <v>702</v>
      </c>
      <c r="G104" s="8" t="str">
        <f t="shared" si="1"/>
        <v>DAVIDSON DAVID</v>
      </c>
    </row>
    <row r="105" spans="1:7" x14ac:dyDescent="0.25">
      <c r="A105" s="8">
        <v>42946.484502314815</v>
      </c>
      <c r="B105" s="20" t="s">
        <v>528</v>
      </c>
      <c r="C105" s="20" t="s">
        <v>679</v>
      </c>
      <c r="D105" s="138">
        <v>1800000</v>
      </c>
      <c r="E105" s="20" t="s">
        <v>680</v>
      </c>
      <c r="F105" s="20" t="s">
        <v>681</v>
      </c>
      <c r="G105" s="8" t="str">
        <f t="shared" si="1"/>
        <v>CHANDLER KELVIN</v>
      </c>
    </row>
    <row r="106" spans="1:7" x14ac:dyDescent="0.25">
      <c r="A106" s="8">
        <v>42946.488229166665</v>
      </c>
      <c r="B106" s="20" t="s">
        <v>637</v>
      </c>
      <c r="C106" s="20" t="s">
        <v>767</v>
      </c>
      <c r="D106" s="138">
        <v>2610000</v>
      </c>
      <c r="E106" s="20" t="s">
        <v>380</v>
      </c>
      <c r="F106" s="20" t="s">
        <v>381</v>
      </c>
      <c r="G106" s="8" t="str">
        <f t="shared" si="1"/>
        <v>MAGEE KENYA</v>
      </c>
    </row>
    <row r="107" spans="1:7" x14ac:dyDescent="0.25">
      <c r="A107" s="8">
        <v>42946.496006944442</v>
      </c>
      <c r="B107" s="20" t="s">
        <v>538</v>
      </c>
      <c r="C107" s="20" t="s">
        <v>631</v>
      </c>
      <c r="D107" s="138">
        <v>2450000</v>
      </c>
      <c r="E107" s="20" t="s">
        <v>542</v>
      </c>
      <c r="F107" s="20" t="s">
        <v>543</v>
      </c>
      <c r="G107" s="8" t="str">
        <f t="shared" si="1"/>
        <v>NELSON ARIANE</v>
      </c>
    </row>
    <row r="108" spans="1:7" x14ac:dyDescent="0.25">
      <c r="A108" s="8">
        <v>42946.499374999999</v>
      </c>
      <c r="B108" s="20" t="s">
        <v>533</v>
      </c>
      <c r="C108" s="20" t="s">
        <v>768</v>
      </c>
      <c r="D108" s="138">
        <v>3010000</v>
      </c>
      <c r="E108" s="20" t="s">
        <v>747</v>
      </c>
      <c r="F108" s="20" t="s">
        <v>453</v>
      </c>
      <c r="G108" s="8" t="str">
        <f t="shared" si="1"/>
        <v>SULLIVAN BRANDON</v>
      </c>
    </row>
    <row r="109" spans="1:7" x14ac:dyDescent="0.25">
      <c r="A109" s="8">
        <v>42946.500324074077</v>
      </c>
      <c r="B109" s="20" t="s">
        <v>335</v>
      </c>
      <c r="C109" s="20" t="s">
        <v>769</v>
      </c>
      <c r="D109" s="138">
        <v>2600000</v>
      </c>
      <c r="E109" s="20" t="s">
        <v>701</v>
      </c>
      <c r="F109" s="20" t="s">
        <v>702</v>
      </c>
      <c r="G109" s="8" t="str">
        <f t="shared" si="1"/>
        <v>DAVIDSON DAVID</v>
      </c>
    </row>
    <row r="110" spans="1:7" x14ac:dyDescent="0.25">
      <c r="A110" s="8">
        <v>42946.506921296299</v>
      </c>
      <c r="B110" s="20" t="s">
        <v>444</v>
      </c>
      <c r="C110" s="20" t="s">
        <v>632</v>
      </c>
      <c r="D110" s="138">
        <v>920000</v>
      </c>
      <c r="E110" s="20" t="s">
        <v>379</v>
      </c>
      <c r="F110" s="20" t="s">
        <v>192</v>
      </c>
      <c r="G110" s="8" t="str">
        <f t="shared" si="1"/>
        <v>DAVIS MICHAEL</v>
      </c>
    </row>
    <row r="111" spans="1:7" x14ac:dyDescent="0.25">
      <c r="A111" s="8">
        <v>42946.509062500001</v>
      </c>
      <c r="B111" s="20" t="s">
        <v>645</v>
      </c>
      <c r="C111" s="20" t="s">
        <v>770</v>
      </c>
      <c r="D111" s="138">
        <v>2370000</v>
      </c>
      <c r="E111" s="20" t="s">
        <v>771</v>
      </c>
      <c r="F111" s="20" t="s">
        <v>772</v>
      </c>
      <c r="G111" s="8" t="str">
        <f t="shared" si="1"/>
        <v>DELGADO DIANAH</v>
      </c>
    </row>
    <row r="112" spans="1:7" x14ac:dyDescent="0.25">
      <c r="A112" s="8">
        <v>42946.517905092594</v>
      </c>
      <c r="B112" s="20" t="s">
        <v>674</v>
      </c>
      <c r="C112" s="20" t="s">
        <v>773</v>
      </c>
      <c r="D112" s="138">
        <v>3120000</v>
      </c>
      <c r="E112" s="20" t="s">
        <v>764</v>
      </c>
      <c r="F112" s="20" t="s">
        <v>765</v>
      </c>
      <c r="G112" s="8" t="str">
        <f t="shared" si="1"/>
        <v>THOMPSON LESTER</v>
      </c>
    </row>
    <row r="113" spans="1:7" x14ac:dyDescent="0.25">
      <c r="A113" s="8">
        <v>42946.52034722222</v>
      </c>
      <c r="B113" s="20" t="s">
        <v>532</v>
      </c>
      <c r="C113" s="20" t="s">
        <v>633</v>
      </c>
      <c r="D113" s="138">
        <v>2470000</v>
      </c>
      <c r="E113" s="20" t="s">
        <v>455</v>
      </c>
      <c r="F113" s="20" t="s">
        <v>456</v>
      </c>
      <c r="G113" s="8" t="str">
        <f t="shared" si="1"/>
        <v>ROMERO CHAD</v>
      </c>
    </row>
    <row r="114" spans="1:7" x14ac:dyDescent="0.25">
      <c r="A114" s="8">
        <v>42946.524884259263</v>
      </c>
      <c r="B114" s="20" t="s">
        <v>388</v>
      </c>
      <c r="C114" s="20" t="s">
        <v>774</v>
      </c>
      <c r="D114" s="138">
        <v>2440000</v>
      </c>
      <c r="E114" s="20" t="s">
        <v>540</v>
      </c>
      <c r="F114" s="20" t="s">
        <v>541</v>
      </c>
      <c r="G114" s="8" t="str">
        <f t="shared" si="1"/>
        <v>LOPES KIMBERLY</v>
      </c>
    </row>
    <row r="115" spans="1:7" x14ac:dyDescent="0.25">
      <c r="A115" s="8">
        <v>42946.525833333333</v>
      </c>
      <c r="B115" s="20" t="s">
        <v>622</v>
      </c>
      <c r="C115" s="20" t="s">
        <v>775</v>
      </c>
      <c r="D115" s="138">
        <v>2600000</v>
      </c>
      <c r="E115" s="20" t="s">
        <v>701</v>
      </c>
      <c r="F115" s="20" t="s">
        <v>702</v>
      </c>
      <c r="G115" s="8" t="str">
        <f t="shared" si="1"/>
        <v>DAVIDSON DAVID</v>
      </c>
    </row>
    <row r="116" spans="1:7" x14ac:dyDescent="0.25">
      <c r="A116" s="8">
        <v>42946.527638888889</v>
      </c>
      <c r="B116" s="20" t="s">
        <v>635</v>
      </c>
      <c r="C116" s="20" t="s">
        <v>636</v>
      </c>
      <c r="D116" s="138">
        <v>2610000</v>
      </c>
      <c r="E116" s="20" t="s">
        <v>380</v>
      </c>
      <c r="F116" s="20" t="s">
        <v>381</v>
      </c>
      <c r="G116" s="8" t="str">
        <f t="shared" si="1"/>
        <v>MAGEE KENYA</v>
      </c>
    </row>
    <row r="117" spans="1:7" x14ac:dyDescent="0.25">
      <c r="A117" s="8">
        <v>42946.53162037037</v>
      </c>
      <c r="B117" s="20" t="s">
        <v>539</v>
      </c>
      <c r="C117" s="20" t="s">
        <v>776</v>
      </c>
      <c r="D117" s="138">
        <v>2540000</v>
      </c>
      <c r="E117" s="20" t="s">
        <v>777</v>
      </c>
      <c r="F117" s="20" t="s">
        <v>778</v>
      </c>
      <c r="G117" s="8" t="str">
        <f t="shared" si="1"/>
        <v>MCREYNOLDS KYLE</v>
      </c>
    </row>
    <row r="118" spans="1:7" x14ac:dyDescent="0.25">
      <c r="A118" s="8">
        <v>42946.531805555554</v>
      </c>
      <c r="B118" s="20" t="s">
        <v>389</v>
      </c>
      <c r="C118" s="20" t="s">
        <v>774</v>
      </c>
      <c r="D118" s="138">
        <v>2440000</v>
      </c>
      <c r="E118" s="20" t="s">
        <v>540</v>
      </c>
      <c r="F118" s="20" t="s">
        <v>541</v>
      </c>
      <c r="G118" s="8" t="str">
        <f t="shared" si="1"/>
        <v>LOPES KIMBERLY</v>
      </c>
    </row>
    <row r="119" spans="1:7" x14ac:dyDescent="0.25">
      <c r="A119" s="8">
        <v>42946.533136574071</v>
      </c>
      <c r="B119" s="20" t="s">
        <v>526</v>
      </c>
      <c r="C119" s="20" t="s">
        <v>779</v>
      </c>
      <c r="D119" s="138">
        <v>3010000</v>
      </c>
      <c r="E119" s="20" t="s">
        <v>747</v>
      </c>
      <c r="F119" s="20" t="s">
        <v>453</v>
      </c>
      <c r="G119" s="8" t="str">
        <f t="shared" si="1"/>
        <v>SULLIVAN BRANDON</v>
      </c>
    </row>
    <row r="120" spans="1:7" x14ac:dyDescent="0.25">
      <c r="A120" s="8">
        <v>42946.540567129632</v>
      </c>
      <c r="B120" s="20" t="s">
        <v>335</v>
      </c>
      <c r="C120" s="20" t="s">
        <v>780</v>
      </c>
      <c r="D120" s="138">
        <v>2600000</v>
      </c>
      <c r="E120" s="20" t="s">
        <v>701</v>
      </c>
      <c r="F120" s="20" t="s">
        <v>702</v>
      </c>
      <c r="G120" s="8" t="str">
        <f t="shared" si="1"/>
        <v>DAVIDSON DAVID</v>
      </c>
    </row>
    <row r="121" spans="1:7" x14ac:dyDescent="0.25">
      <c r="A121" s="8">
        <v>42946.540972222225</v>
      </c>
      <c r="B121" s="20" t="s">
        <v>658</v>
      </c>
      <c r="C121" s="20" t="s">
        <v>781</v>
      </c>
      <c r="D121" s="138">
        <v>920000</v>
      </c>
      <c r="E121" s="20" t="s">
        <v>379</v>
      </c>
      <c r="F121" s="20" t="s">
        <v>192</v>
      </c>
      <c r="G121" s="8" t="str">
        <f t="shared" si="1"/>
        <v>DAVIS MICHAEL</v>
      </c>
    </row>
    <row r="122" spans="1:7" x14ac:dyDescent="0.25">
      <c r="A122" s="8">
        <v>42946.544618055559</v>
      </c>
      <c r="B122" s="25" t="s">
        <v>620</v>
      </c>
      <c r="C122" s="20" t="s">
        <v>634</v>
      </c>
      <c r="D122" s="138">
        <v>2370000</v>
      </c>
      <c r="E122" s="20" t="s">
        <v>771</v>
      </c>
      <c r="F122" s="20" t="s">
        <v>772</v>
      </c>
      <c r="G122" s="8" t="str">
        <f t="shared" si="1"/>
        <v>DELGADO DIANAH</v>
      </c>
    </row>
    <row r="123" spans="1:7" x14ac:dyDescent="0.25">
      <c r="A123" s="8">
        <v>42946.55096064815</v>
      </c>
      <c r="B123" s="20" t="s">
        <v>678</v>
      </c>
      <c r="C123" s="20" t="s">
        <v>782</v>
      </c>
      <c r="D123" s="138">
        <v>3120000</v>
      </c>
      <c r="E123" s="20" t="s">
        <v>764</v>
      </c>
      <c r="F123" s="20" t="s">
        <v>765</v>
      </c>
      <c r="G123" s="8" t="str">
        <f t="shared" si="1"/>
        <v>THOMPSON LESTER</v>
      </c>
    </row>
    <row r="124" spans="1:7" x14ac:dyDescent="0.25">
      <c r="A124" s="8">
        <v>42946.552430555559</v>
      </c>
      <c r="B124" s="20" t="s">
        <v>531</v>
      </c>
      <c r="C124" s="20" t="s">
        <v>783</v>
      </c>
      <c r="D124" s="138">
        <v>2470000</v>
      </c>
      <c r="E124" s="20" t="s">
        <v>455</v>
      </c>
      <c r="F124" s="20" t="s">
        <v>456</v>
      </c>
      <c r="G124" s="8" t="str">
        <f t="shared" si="1"/>
        <v>ROMERO CHAD</v>
      </c>
    </row>
    <row r="125" spans="1:7" x14ac:dyDescent="0.25">
      <c r="A125" s="8">
        <v>42946.557881944442</v>
      </c>
      <c r="B125" s="20" t="s">
        <v>637</v>
      </c>
      <c r="C125" s="20" t="s">
        <v>638</v>
      </c>
      <c r="D125" s="138">
        <v>2610000</v>
      </c>
      <c r="E125" s="20" t="s">
        <v>380</v>
      </c>
      <c r="F125" s="20" t="s">
        <v>381</v>
      </c>
      <c r="G125" s="8" t="str">
        <f t="shared" si="1"/>
        <v>MAGEE KENYA</v>
      </c>
    </row>
    <row r="126" spans="1:7" x14ac:dyDescent="0.25">
      <c r="A126" s="8">
        <v>42946.561226851853</v>
      </c>
      <c r="B126" s="20" t="s">
        <v>538</v>
      </c>
      <c r="C126" s="20" t="s">
        <v>784</v>
      </c>
      <c r="D126" s="138">
        <v>2540000</v>
      </c>
      <c r="E126" s="20" t="s">
        <v>777</v>
      </c>
      <c r="F126" s="20" t="s">
        <v>778</v>
      </c>
      <c r="G126" s="8" t="str">
        <f t="shared" si="1"/>
        <v>MCREYNOLDS KYLE</v>
      </c>
    </row>
    <row r="127" spans="1:7" x14ac:dyDescent="0.25">
      <c r="A127" s="8">
        <v>42946.567430555559</v>
      </c>
      <c r="B127" s="20" t="s">
        <v>622</v>
      </c>
      <c r="C127" s="20" t="s">
        <v>785</v>
      </c>
      <c r="D127" s="138">
        <v>2600000</v>
      </c>
      <c r="E127" s="20" t="s">
        <v>701</v>
      </c>
      <c r="F127" s="20" t="s">
        <v>702</v>
      </c>
      <c r="G127" s="8" t="str">
        <f t="shared" si="1"/>
        <v>DAVIDSON DAVID</v>
      </c>
    </row>
    <row r="128" spans="1:7" x14ac:dyDescent="0.25">
      <c r="A128" s="8">
        <v>42946.569016203706</v>
      </c>
      <c r="B128" s="20" t="s">
        <v>533</v>
      </c>
      <c r="C128" s="20" t="s">
        <v>786</v>
      </c>
      <c r="D128" s="138">
        <v>3010000</v>
      </c>
      <c r="E128" s="20" t="s">
        <v>747</v>
      </c>
      <c r="F128" s="20" t="s">
        <v>453</v>
      </c>
      <c r="G128" s="8" t="str">
        <f t="shared" si="1"/>
        <v>SULLIVAN BRANDON</v>
      </c>
    </row>
    <row r="129" spans="1:7" x14ac:dyDescent="0.25">
      <c r="A129" s="8">
        <v>42946.57880787037</v>
      </c>
      <c r="B129" s="20" t="s">
        <v>645</v>
      </c>
      <c r="C129" s="20" t="s">
        <v>787</v>
      </c>
      <c r="D129" s="138">
        <v>2370000</v>
      </c>
      <c r="E129" s="20" t="s">
        <v>771</v>
      </c>
      <c r="F129" s="20" t="s">
        <v>772</v>
      </c>
      <c r="G129" s="8" t="str">
        <f t="shared" si="1"/>
        <v>DELGADO DIANAH</v>
      </c>
    </row>
    <row r="130" spans="1:7" x14ac:dyDescent="0.25">
      <c r="A130" s="8">
        <v>42946.58021990741</v>
      </c>
      <c r="B130" s="20" t="s">
        <v>444</v>
      </c>
      <c r="C130" s="20" t="s">
        <v>788</v>
      </c>
      <c r="D130" s="138">
        <v>920000</v>
      </c>
      <c r="E130" s="20" t="s">
        <v>379</v>
      </c>
      <c r="F130" s="20" t="s">
        <v>192</v>
      </c>
      <c r="G130" s="8" t="str">
        <f t="shared" si="1"/>
        <v>DAVIS MICHAEL</v>
      </c>
    </row>
    <row r="131" spans="1:7" x14ac:dyDescent="0.25">
      <c r="A131" s="8">
        <v>42946.587048611109</v>
      </c>
      <c r="B131" s="20" t="s">
        <v>335</v>
      </c>
      <c r="C131" s="20" t="s">
        <v>789</v>
      </c>
      <c r="D131" s="138">
        <v>2440000</v>
      </c>
      <c r="E131" s="20" t="s">
        <v>540</v>
      </c>
      <c r="F131" s="20" t="s">
        <v>541</v>
      </c>
      <c r="G131" s="8" t="str">
        <f t="shared" ref="G131:G194" si="2">E131&amp;" "&amp;F131</f>
        <v>LOPES KIMBERLY</v>
      </c>
    </row>
    <row r="132" spans="1:7" x14ac:dyDescent="0.25">
      <c r="A132" s="8">
        <v>42946.589768518519</v>
      </c>
      <c r="B132" s="20" t="s">
        <v>532</v>
      </c>
      <c r="C132" s="20" t="s">
        <v>639</v>
      </c>
      <c r="D132" s="138">
        <v>2470000</v>
      </c>
      <c r="E132" s="20" t="s">
        <v>455</v>
      </c>
      <c r="F132" s="20" t="s">
        <v>456</v>
      </c>
      <c r="G132" s="8" t="str">
        <f t="shared" si="2"/>
        <v>ROMERO CHAD</v>
      </c>
    </row>
    <row r="133" spans="1:7" x14ac:dyDescent="0.25">
      <c r="A133" s="8">
        <v>42946.590104166666</v>
      </c>
      <c r="B133" s="20" t="s">
        <v>674</v>
      </c>
      <c r="C133" s="20" t="s">
        <v>790</v>
      </c>
      <c r="D133" s="138">
        <v>3120000</v>
      </c>
      <c r="E133" s="20" t="s">
        <v>764</v>
      </c>
      <c r="F133" s="20" t="s">
        <v>765</v>
      </c>
      <c r="G133" s="8" t="str">
        <f t="shared" si="2"/>
        <v>THOMPSON LESTER</v>
      </c>
    </row>
    <row r="134" spans="1:7" x14ac:dyDescent="0.25">
      <c r="A134" s="8">
        <v>42946.599652777775</v>
      </c>
      <c r="B134" s="20" t="s">
        <v>539</v>
      </c>
      <c r="C134" s="20" t="s">
        <v>791</v>
      </c>
      <c r="D134" s="138">
        <v>2540000</v>
      </c>
      <c r="E134" s="20" t="s">
        <v>777</v>
      </c>
      <c r="F134" s="20" t="s">
        <v>778</v>
      </c>
      <c r="G134" s="8" t="str">
        <f t="shared" si="2"/>
        <v>MCREYNOLDS KYLE</v>
      </c>
    </row>
    <row r="135" spans="1:7" x14ac:dyDescent="0.25">
      <c r="A135" s="8">
        <v>42946.601041666669</v>
      </c>
      <c r="B135" s="20" t="s">
        <v>635</v>
      </c>
      <c r="C135" s="20" t="s">
        <v>638</v>
      </c>
      <c r="D135" s="138">
        <v>2610000</v>
      </c>
      <c r="E135" s="20" t="s">
        <v>380</v>
      </c>
      <c r="F135" s="20" t="s">
        <v>381</v>
      </c>
      <c r="G135" s="8" t="str">
        <f t="shared" si="2"/>
        <v>MAGEE KENYA</v>
      </c>
    </row>
    <row r="136" spans="1:7" x14ac:dyDescent="0.25">
      <c r="A136" s="8">
        <v>42946.6016087963</v>
      </c>
      <c r="B136" s="20" t="s">
        <v>635</v>
      </c>
      <c r="C136" s="20" t="s">
        <v>792</v>
      </c>
      <c r="D136" s="138">
        <v>2610000</v>
      </c>
      <c r="E136" s="20" t="s">
        <v>380</v>
      </c>
      <c r="F136" s="20" t="s">
        <v>381</v>
      </c>
      <c r="G136" s="8" t="str">
        <f t="shared" si="2"/>
        <v>MAGEE KENYA</v>
      </c>
    </row>
    <row r="137" spans="1:7" x14ac:dyDescent="0.25">
      <c r="A137" s="8">
        <v>42946.606631944444</v>
      </c>
      <c r="B137" s="20" t="s">
        <v>526</v>
      </c>
      <c r="C137" s="20" t="s">
        <v>793</v>
      </c>
      <c r="D137" s="138">
        <v>3010000</v>
      </c>
      <c r="E137" s="20" t="s">
        <v>747</v>
      </c>
      <c r="F137" s="20" t="s">
        <v>453</v>
      </c>
      <c r="G137" s="8" t="str">
        <f t="shared" si="2"/>
        <v>SULLIVAN BRANDON</v>
      </c>
    </row>
    <row r="138" spans="1:7" x14ac:dyDescent="0.25">
      <c r="A138" s="8">
        <v>42946.608530092592</v>
      </c>
      <c r="B138" s="20" t="s">
        <v>622</v>
      </c>
      <c r="C138" s="20" t="s">
        <v>794</v>
      </c>
      <c r="D138" s="138">
        <v>2440000</v>
      </c>
      <c r="E138" s="20" t="s">
        <v>540</v>
      </c>
      <c r="F138" s="20" t="s">
        <v>541</v>
      </c>
      <c r="G138" s="8" t="str">
        <f t="shared" si="2"/>
        <v>LOPES KIMBERLY</v>
      </c>
    </row>
    <row r="139" spans="1:7" x14ac:dyDescent="0.25">
      <c r="A139" s="8">
        <v>42946.610219907408</v>
      </c>
      <c r="B139" s="20" t="s">
        <v>388</v>
      </c>
      <c r="C139" s="20" t="s">
        <v>640</v>
      </c>
      <c r="D139" s="138">
        <v>2450000</v>
      </c>
      <c r="E139" s="20" t="s">
        <v>542</v>
      </c>
      <c r="F139" s="20" t="s">
        <v>543</v>
      </c>
      <c r="G139" s="8" t="str">
        <f t="shared" si="2"/>
        <v>NELSON ARIANE</v>
      </c>
    </row>
    <row r="140" spans="1:7" x14ac:dyDescent="0.25">
      <c r="A140" s="8">
        <v>42946.611238425925</v>
      </c>
      <c r="B140" s="20" t="s">
        <v>620</v>
      </c>
      <c r="C140" s="20" t="s">
        <v>795</v>
      </c>
      <c r="D140" s="138">
        <v>2370000</v>
      </c>
      <c r="E140" s="20" t="s">
        <v>771</v>
      </c>
      <c r="F140" s="20" t="s">
        <v>772</v>
      </c>
      <c r="G140" s="8" t="str">
        <f t="shared" si="2"/>
        <v>DELGADO DIANAH</v>
      </c>
    </row>
    <row r="141" spans="1:7" x14ac:dyDescent="0.25">
      <c r="A141" s="8">
        <v>42946.611655092594</v>
      </c>
      <c r="B141" s="20" t="s">
        <v>658</v>
      </c>
      <c r="C141" s="20" t="s">
        <v>796</v>
      </c>
      <c r="D141" s="138">
        <v>920000</v>
      </c>
      <c r="E141" s="20" t="s">
        <v>379</v>
      </c>
      <c r="F141" s="20" t="s">
        <v>192</v>
      </c>
      <c r="G141" s="8" t="str">
        <f t="shared" si="2"/>
        <v>DAVIS MICHAEL</v>
      </c>
    </row>
    <row r="142" spans="1:7" x14ac:dyDescent="0.25">
      <c r="A142" s="8">
        <v>42946.614872685182</v>
      </c>
      <c r="B142" s="20" t="s">
        <v>389</v>
      </c>
      <c r="C142" s="20" t="s">
        <v>640</v>
      </c>
      <c r="D142" s="138">
        <v>2450000</v>
      </c>
      <c r="E142" s="20" t="s">
        <v>542</v>
      </c>
      <c r="F142" s="20" t="s">
        <v>543</v>
      </c>
      <c r="G142" s="8" t="str">
        <f t="shared" si="2"/>
        <v>NELSON ARIANE</v>
      </c>
    </row>
    <row r="143" spans="1:7" x14ac:dyDescent="0.25">
      <c r="A143" s="8">
        <v>42946.623182870368</v>
      </c>
      <c r="B143" s="20" t="s">
        <v>388</v>
      </c>
      <c r="C143" s="20" t="s">
        <v>641</v>
      </c>
      <c r="D143" s="138">
        <v>3120000</v>
      </c>
      <c r="E143" s="20" t="s">
        <v>764</v>
      </c>
      <c r="F143" s="20" t="s">
        <v>765</v>
      </c>
      <c r="G143" s="8" t="str">
        <f t="shared" si="2"/>
        <v>THOMPSON LESTER</v>
      </c>
    </row>
    <row r="144" spans="1:7" x14ac:dyDescent="0.25">
      <c r="A144" s="8">
        <v>42946.623761574076</v>
      </c>
      <c r="B144" s="20" t="s">
        <v>531</v>
      </c>
      <c r="C144" s="20" t="s">
        <v>642</v>
      </c>
      <c r="D144" s="138">
        <v>2470000</v>
      </c>
      <c r="E144" s="20" t="s">
        <v>455</v>
      </c>
      <c r="F144" s="20" t="s">
        <v>456</v>
      </c>
      <c r="G144" s="8" t="str">
        <f t="shared" si="2"/>
        <v>ROMERO CHAD</v>
      </c>
    </row>
    <row r="145" spans="1:7" x14ac:dyDescent="0.25">
      <c r="A145" s="8">
        <v>42946.631736111114</v>
      </c>
      <c r="B145" s="20" t="s">
        <v>538</v>
      </c>
      <c r="C145" s="20" t="s">
        <v>797</v>
      </c>
      <c r="D145" s="138">
        <v>2540000</v>
      </c>
      <c r="E145" s="20" t="s">
        <v>777</v>
      </c>
      <c r="F145" s="20" t="s">
        <v>778</v>
      </c>
      <c r="G145" s="8" t="str">
        <f t="shared" si="2"/>
        <v>MCREYNOLDS KYLE</v>
      </c>
    </row>
    <row r="146" spans="1:7" x14ac:dyDescent="0.25">
      <c r="A146" s="8">
        <v>42946.633645833332</v>
      </c>
      <c r="B146" s="20" t="s">
        <v>637</v>
      </c>
      <c r="C146" s="20" t="s">
        <v>798</v>
      </c>
      <c r="D146" s="138">
        <v>2610000</v>
      </c>
      <c r="E146" s="20" t="s">
        <v>380</v>
      </c>
      <c r="F146" s="20" t="s">
        <v>381</v>
      </c>
      <c r="G146" s="8" t="str">
        <f t="shared" si="2"/>
        <v>MAGEE KENYA</v>
      </c>
    </row>
    <row r="147" spans="1:7" x14ac:dyDescent="0.25">
      <c r="A147" s="8">
        <v>42946.635046296295</v>
      </c>
      <c r="B147" s="20" t="s">
        <v>335</v>
      </c>
      <c r="C147" s="20" t="s">
        <v>799</v>
      </c>
      <c r="D147" s="138">
        <v>2420000</v>
      </c>
      <c r="E147" s="20" t="s">
        <v>800</v>
      </c>
      <c r="F147" s="20" t="s">
        <v>801</v>
      </c>
      <c r="G147" s="8" t="str">
        <f t="shared" si="2"/>
        <v>HOLCOMB KAMDEN</v>
      </c>
    </row>
    <row r="148" spans="1:7" x14ac:dyDescent="0.25">
      <c r="A148" s="8">
        <v>42946.641215277778</v>
      </c>
      <c r="B148" s="20" t="s">
        <v>533</v>
      </c>
      <c r="C148" s="20" t="s">
        <v>802</v>
      </c>
      <c r="D148" s="138">
        <v>3010000</v>
      </c>
      <c r="E148" s="20" t="s">
        <v>747</v>
      </c>
      <c r="F148" s="20" t="s">
        <v>453</v>
      </c>
      <c r="G148" s="8" t="str">
        <f t="shared" si="2"/>
        <v>SULLIVAN BRANDON</v>
      </c>
    </row>
    <row r="149" spans="1:7" x14ac:dyDescent="0.25">
      <c r="A149" s="8">
        <v>42946.650960648149</v>
      </c>
      <c r="B149" s="20" t="s">
        <v>645</v>
      </c>
      <c r="C149" s="20" t="s">
        <v>646</v>
      </c>
      <c r="D149" s="138">
        <v>2370000</v>
      </c>
      <c r="E149" s="20" t="s">
        <v>771</v>
      </c>
      <c r="F149" s="20" t="s">
        <v>772</v>
      </c>
      <c r="G149" s="8" t="str">
        <f t="shared" si="2"/>
        <v>DELGADO DIANAH</v>
      </c>
    </row>
    <row r="150" spans="1:7" x14ac:dyDescent="0.25">
      <c r="A150" s="8">
        <v>42946.652083333334</v>
      </c>
      <c r="B150" s="20" t="s">
        <v>622</v>
      </c>
      <c r="C150" s="20" t="s">
        <v>643</v>
      </c>
      <c r="D150" s="138">
        <v>2420000</v>
      </c>
      <c r="E150" s="20" t="s">
        <v>800</v>
      </c>
      <c r="F150" s="20" t="s">
        <v>801</v>
      </c>
      <c r="G150" s="8" t="str">
        <f t="shared" si="2"/>
        <v>HOLCOMB KAMDEN</v>
      </c>
    </row>
    <row r="151" spans="1:7" x14ac:dyDescent="0.25">
      <c r="A151" s="8">
        <v>42946.652986111112</v>
      </c>
      <c r="B151" s="20" t="s">
        <v>444</v>
      </c>
      <c r="C151" s="20" t="s">
        <v>803</v>
      </c>
      <c r="D151" s="138">
        <v>920000</v>
      </c>
      <c r="E151" s="20" t="s">
        <v>379</v>
      </c>
      <c r="F151" s="20" t="s">
        <v>192</v>
      </c>
      <c r="G151" s="8" t="str">
        <f t="shared" si="2"/>
        <v>DAVIS MICHAEL</v>
      </c>
    </row>
    <row r="152" spans="1:7" x14ac:dyDescent="0.25">
      <c r="A152" s="8">
        <v>42946.663171296299</v>
      </c>
      <c r="B152" s="20" t="s">
        <v>532</v>
      </c>
      <c r="C152" s="20" t="s">
        <v>804</v>
      </c>
      <c r="D152" s="138">
        <v>2470000</v>
      </c>
      <c r="E152" s="20" t="s">
        <v>455</v>
      </c>
      <c r="F152" s="20" t="s">
        <v>456</v>
      </c>
      <c r="G152" s="8" t="str">
        <f t="shared" si="2"/>
        <v>ROMERO CHAD</v>
      </c>
    </row>
    <row r="153" spans="1:7" x14ac:dyDescent="0.25">
      <c r="A153" s="8">
        <v>42946.66333333333</v>
      </c>
      <c r="B153" s="20" t="s">
        <v>389</v>
      </c>
      <c r="C153" s="20" t="s">
        <v>644</v>
      </c>
      <c r="D153" s="138">
        <v>3120000</v>
      </c>
      <c r="E153" s="20" t="s">
        <v>764</v>
      </c>
      <c r="F153" s="20" t="s">
        <v>765</v>
      </c>
      <c r="G153" s="8" t="str">
        <f t="shared" si="2"/>
        <v>THOMPSON LESTER</v>
      </c>
    </row>
    <row r="154" spans="1:7" x14ac:dyDescent="0.25">
      <c r="A154" s="8">
        <v>42946.673321759263</v>
      </c>
      <c r="B154" s="20" t="s">
        <v>635</v>
      </c>
      <c r="C154" s="20" t="s">
        <v>805</v>
      </c>
      <c r="D154" s="138">
        <v>2610000</v>
      </c>
      <c r="E154" s="20" t="s">
        <v>380</v>
      </c>
      <c r="F154" s="20" t="s">
        <v>381</v>
      </c>
      <c r="G154" s="8" t="str">
        <f t="shared" si="2"/>
        <v>MAGEE KENYA</v>
      </c>
    </row>
    <row r="155" spans="1:7" x14ac:dyDescent="0.25">
      <c r="A155" s="8">
        <v>42946.673715277779</v>
      </c>
      <c r="B155" s="20" t="s">
        <v>539</v>
      </c>
      <c r="C155" s="20" t="s">
        <v>806</v>
      </c>
      <c r="D155" s="138">
        <v>2540000</v>
      </c>
      <c r="E155" s="20" t="s">
        <v>777</v>
      </c>
      <c r="F155" s="20" t="s">
        <v>778</v>
      </c>
      <c r="G155" s="8" t="str">
        <f t="shared" si="2"/>
        <v>MCREYNOLDS KYLE</v>
      </c>
    </row>
    <row r="156" spans="1:7" x14ac:dyDescent="0.25">
      <c r="A156" s="8">
        <v>42946.680081018516</v>
      </c>
      <c r="B156" s="20" t="s">
        <v>335</v>
      </c>
      <c r="C156" s="20" t="s">
        <v>807</v>
      </c>
      <c r="D156" s="138">
        <v>2420000</v>
      </c>
      <c r="E156" s="20" t="s">
        <v>800</v>
      </c>
      <c r="F156" s="20" t="s">
        <v>801</v>
      </c>
      <c r="G156" s="8" t="str">
        <f t="shared" si="2"/>
        <v>HOLCOMB KAMDEN</v>
      </c>
    </row>
    <row r="157" spans="1:7" x14ac:dyDescent="0.25">
      <c r="A157" s="8">
        <v>42946.680162037039</v>
      </c>
      <c r="B157" s="20" t="s">
        <v>526</v>
      </c>
      <c r="C157" s="20" t="s">
        <v>808</v>
      </c>
      <c r="D157" s="138">
        <v>3010000</v>
      </c>
      <c r="E157" s="20" t="s">
        <v>747</v>
      </c>
      <c r="F157" s="20" t="s">
        <v>453</v>
      </c>
      <c r="G157" s="8" t="str">
        <f t="shared" si="2"/>
        <v>SULLIVAN BRANDON</v>
      </c>
    </row>
    <row r="158" spans="1:7" x14ac:dyDescent="0.25">
      <c r="A158" s="8">
        <v>42946.685648148145</v>
      </c>
      <c r="B158" s="20" t="s">
        <v>658</v>
      </c>
      <c r="C158" s="20" t="s">
        <v>809</v>
      </c>
      <c r="D158" s="138">
        <v>920000</v>
      </c>
      <c r="E158" s="20" t="s">
        <v>379</v>
      </c>
      <c r="F158" s="20" t="s">
        <v>192</v>
      </c>
      <c r="G158" s="8" t="str">
        <f t="shared" si="2"/>
        <v>DAVIS MICHAEL</v>
      </c>
    </row>
    <row r="159" spans="1:7" x14ac:dyDescent="0.25">
      <c r="A159" s="8">
        <v>42946.68849537037</v>
      </c>
      <c r="B159" s="20" t="s">
        <v>678</v>
      </c>
      <c r="C159" s="20" t="s">
        <v>810</v>
      </c>
      <c r="D159" s="138">
        <v>2440000</v>
      </c>
      <c r="E159" s="20" t="s">
        <v>540</v>
      </c>
      <c r="F159" s="20" t="s">
        <v>541</v>
      </c>
      <c r="G159" s="8" t="str">
        <f t="shared" si="2"/>
        <v>LOPES KIMBERLY</v>
      </c>
    </row>
    <row r="160" spans="1:7" x14ac:dyDescent="0.25">
      <c r="A160" s="8">
        <v>42946.691990740743</v>
      </c>
      <c r="B160" s="20" t="s">
        <v>622</v>
      </c>
      <c r="C160" s="20" t="s">
        <v>811</v>
      </c>
      <c r="D160" s="138">
        <v>2420000</v>
      </c>
      <c r="E160" s="20" t="s">
        <v>800</v>
      </c>
      <c r="F160" s="20" t="s">
        <v>801</v>
      </c>
      <c r="G160" s="8" t="str">
        <f t="shared" si="2"/>
        <v>HOLCOMB KAMDEN</v>
      </c>
    </row>
    <row r="161" spans="1:7" x14ac:dyDescent="0.25">
      <c r="A161" s="8">
        <v>42946.692118055558</v>
      </c>
      <c r="B161" s="20" t="s">
        <v>620</v>
      </c>
      <c r="C161" s="20" t="s">
        <v>812</v>
      </c>
      <c r="D161" s="138">
        <v>2370000</v>
      </c>
      <c r="E161" s="20" t="s">
        <v>771</v>
      </c>
      <c r="F161" s="20" t="s">
        <v>772</v>
      </c>
      <c r="G161" s="8" t="str">
        <f t="shared" si="2"/>
        <v>DELGADO DIANAH</v>
      </c>
    </row>
    <row r="162" spans="1:7" x14ac:dyDescent="0.25">
      <c r="A162" s="8">
        <v>42946.696770833332</v>
      </c>
      <c r="B162" s="20" t="s">
        <v>531</v>
      </c>
      <c r="C162" s="20" t="s">
        <v>648</v>
      </c>
      <c r="D162" s="138">
        <v>2470000</v>
      </c>
      <c r="E162" s="20" t="s">
        <v>455</v>
      </c>
      <c r="F162" s="20" t="s">
        <v>456</v>
      </c>
      <c r="G162" s="8" t="str">
        <f t="shared" si="2"/>
        <v>ROMERO CHAD</v>
      </c>
    </row>
    <row r="163" spans="1:7" x14ac:dyDescent="0.25">
      <c r="A163" s="8">
        <v>42946.696805555555</v>
      </c>
      <c r="B163" s="20" t="s">
        <v>388</v>
      </c>
      <c r="C163" s="20" t="s">
        <v>647</v>
      </c>
      <c r="D163" s="138">
        <v>3120000</v>
      </c>
      <c r="E163" s="20" t="s">
        <v>764</v>
      </c>
      <c r="F163" s="20" t="s">
        <v>765</v>
      </c>
      <c r="G163" s="8" t="str">
        <f t="shared" si="2"/>
        <v>THOMPSON LESTER</v>
      </c>
    </row>
    <row r="164" spans="1:7" x14ac:dyDescent="0.25">
      <c r="A164" s="8">
        <v>42946.704884259256</v>
      </c>
      <c r="B164" s="20" t="s">
        <v>538</v>
      </c>
      <c r="C164" s="20" t="s">
        <v>813</v>
      </c>
      <c r="D164" s="138">
        <v>2540000</v>
      </c>
      <c r="E164" s="20" t="s">
        <v>777</v>
      </c>
      <c r="F164" s="20" t="s">
        <v>778</v>
      </c>
      <c r="G164" s="8" t="str">
        <f t="shared" si="2"/>
        <v>MCREYNOLDS KYLE</v>
      </c>
    </row>
    <row r="165" spans="1:7" x14ac:dyDescent="0.25">
      <c r="A165" s="8">
        <v>42946.705196759256</v>
      </c>
      <c r="B165" s="20" t="s">
        <v>637</v>
      </c>
      <c r="C165" s="20" t="s">
        <v>814</v>
      </c>
      <c r="D165" s="138">
        <v>2610000</v>
      </c>
      <c r="E165" s="20" t="s">
        <v>380</v>
      </c>
      <c r="F165" s="20" t="s">
        <v>381</v>
      </c>
      <c r="G165" s="8" t="str">
        <f t="shared" si="2"/>
        <v>MAGEE KENYA</v>
      </c>
    </row>
    <row r="166" spans="1:7" x14ac:dyDescent="0.25">
      <c r="A166" s="8">
        <v>42946.714965277781</v>
      </c>
      <c r="B166" s="20" t="s">
        <v>533</v>
      </c>
      <c r="C166" s="20" t="s">
        <v>649</v>
      </c>
      <c r="D166" s="138">
        <v>2000000</v>
      </c>
      <c r="E166" s="20" t="s">
        <v>392</v>
      </c>
      <c r="F166" s="20" t="s">
        <v>189</v>
      </c>
      <c r="G166" s="8" t="str">
        <f t="shared" si="2"/>
        <v>STAMBAUGH JAMES</v>
      </c>
    </row>
    <row r="167" spans="1:7" x14ac:dyDescent="0.25">
      <c r="A167" s="8">
        <v>42946.721365740741</v>
      </c>
      <c r="B167" s="20" t="s">
        <v>335</v>
      </c>
      <c r="C167" s="20" t="s">
        <v>815</v>
      </c>
      <c r="D167" s="138">
        <v>2420000</v>
      </c>
      <c r="E167" s="20" t="s">
        <v>800</v>
      </c>
      <c r="F167" s="20" t="s">
        <v>801</v>
      </c>
      <c r="G167" s="8" t="str">
        <f t="shared" si="2"/>
        <v>HOLCOMB KAMDEN</v>
      </c>
    </row>
    <row r="168" spans="1:7" x14ac:dyDescent="0.25">
      <c r="A168" s="8">
        <v>42946.723402777781</v>
      </c>
      <c r="B168" s="20" t="s">
        <v>533</v>
      </c>
      <c r="C168" s="20" t="s">
        <v>649</v>
      </c>
      <c r="D168" s="138">
        <v>2000000</v>
      </c>
      <c r="E168" s="20" t="s">
        <v>392</v>
      </c>
      <c r="F168" s="20" t="s">
        <v>189</v>
      </c>
      <c r="G168" s="8" t="str">
        <f t="shared" si="2"/>
        <v>STAMBAUGH JAMES</v>
      </c>
    </row>
    <row r="169" spans="1:7" x14ac:dyDescent="0.25">
      <c r="A169" s="8">
        <v>42946.724953703706</v>
      </c>
      <c r="B169" s="20" t="s">
        <v>645</v>
      </c>
      <c r="C169" s="20" t="s">
        <v>651</v>
      </c>
      <c r="D169" s="138">
        <v>2370000</v>
      </c>
      <c r="E169" s="20" t="s">
        <v>771</v>
      </c>
      <c r="F169" s="20" t="s">
        <v>772</v>
      </c>
      <c r="G169" s="8" t="str">
        <f t="shared" si="2"/>
        <v>DELGADO DIANAH</v>
      </c>
    </row>
    <row r="170" spans="1:7" x14ac:dyDescent="0.25">
      <c r="A170" s="8">
        <v>42946.725763888891</v>
      </c>
      <c r="B170" s="20" t="s">
        <v>444</v>
      </c>
      <c r="C170" s="20" t="s">
        <v>816</v>
      </c>
      <c r="D170" s="138">
        <v>920000</v>
      </c>
      <c r="E170" s="20" t="s">
        <v>379</v>
      </c>
      <c r="F170" s="20" t="s">
        <v>192</v>
      </c>
      <c r="G170" s="8" t="str">
        <f t="shared" si="2"/>
        <v>DAVIS MICHAEL</v>
      </c>
    </row>
    <row r="171" spans="1:7" x14ac:dyDescent="0.25">
      <c r="A171" s="8">
        <v>42946.73332175926</v>
      </c>
      <c r="B171" s="20" t="s">
        <v>389</v>
      </c>
      <c r="C171" s="20" t="s">
        <v>817</v>
      </c>
      <c r="D171" s="138">
        <v>3120000</v>
      </c>
      <c r="E171" s="20" t="s">
        <v>764</v>
      </c>
      <c r="F171" s="20" t="s">
        <v>765</v>
      </c>
      <c r="G171" s="8" t="str">
        <f t="shared" si="2"/>
        <v>THOMPSON LESTER</v>
      </c>
    </row>
    <row r="172" spans="1:7" x14ac:dyDescent="0.25">
      <c r="A172" s="8">
        <v>42946.734166666669</v>
      </c>
      <c r="B172" s="20" t="s">
        <v>622</v>
      </c>
      <c r="C172" s="20" t="s">
        <v>650</v>
      </c>
      <c r="D172" s="138">
        <v>2420000</v>
      </c>
      <c r="E172" s="20" t="s">
        <v>800</v>
      </c>
      <c r="F172" s="20" t="s">
        <v>801</v>
      </c>
      <c r="G172" s="8" t="str">
        <f t="shared" si="2"/>
        <v>HOLCOMB KAMDEN</v>
      </c>
    </row>
    <row r="173" spans="1:7" x14ac:dyDescent="0.25">
      <c r="A173" s="8">
        <v>42946.735856481479</v>
      </c>
      <c r="B173" s="20" t="s">
        <v>532</v>
      </c>
      <c r="C173" s="20" t="s">
        <v>818</v>
      </c>
      <c r="D173" s="138">
        <v>2230000</v>
      </c>
      <c r="E173" s="20" t="s">
        <v>336</v>
      </c>
      <c r="F173" s="20" t="s">
        <v>192</v>
      </c>
      <c r="G173" s="8" t="str">
        <f t="shared" si="2"/>
        <v>SMITH MICHAEL</v>
      </c>
    </row>
    <row r="174" spans="1:7" x14ac:dyDescent="0.25">
      <c r="A174" s="8">
        <v>42946.744976851849</v>
      </c>
      <c r="B174" s="20" t="s">
        <v>635</v>
      </c>
      <c r="C174" s="20" t="s">
        <v>819</v>
      </c>
      <c r="D174" s="138">
        <v>2610000</v>
      </c>
      <c r="E174" s="20" t="s">
        <v>380</v>
      </c>
      <c r="F174" s="20" t="s">
        <v>381</v>
      </c>
      <c r="G174" s="8" t="str">
        <f t="shared" si="2"/>
        <v>MAGEE KENYA</v>
      </c>
    </row>
    <row r="175" spans="1:7" x14ac:dyDescent="0.25">
      <c r="A175" s="8">
        <v>42946.74559027778</v>
      </c>
      <c r="B175" s="20" t="s">
        <v>539</v>
      </c>
      <c r="C175" s="20" t="s">
        <v>820</v>
      </c>
      <c r="D175" s="138">
        <v>2540000</v>
      </c>
      <c r="E175" s="20" t="s">
        <v>777</v>
      </c>
      <c r="F175" s="20" t="s">
        <v>778</v>
      </c>
      <c r="G175" s="8" t="str">
        <f t="shared" si="2"/>
        <v>MCREYNOLDS KYLE</v>
      </c>
    </row>
    <row r="176" spans="1:7" x14ac:dyDescent="0.25">
      <c r="A176" s="8">
        <v>42946.75613425926</v>
      </c>
      <c r="B176" s="20" t="s">
        <v>526</v>
      </c>
      <c r="C176" s="20" t="s">
        <v>821</v>
      </c>
      <c r="D176" s="138">
        <v>2000000</v>
      </c>
      <c r="E176" s="20" t="s">
        <v>392</v>
      </c>
      <c r="F176" s="20" t="s">
        <v>189</v>
      </c>
      <c r="G176" s="8" t="str">
        <f t="shared" si="2"/>
        <v>STAMBAUGH JAMES</v>
      </c>
    </row>
    <row r="177" spans="1:7" x14ac:dyDescent="0.25">
      <c r="A177" s="8">
        <v>42946.756967592592</v>
      </c>
      <c r="B177" s="20" t="s">
        <v>620</v>
      </c>
      <c r="C177" s="20" t="s">
        <v>822</v>
      </c>
      <c r="D177" s="138">
        <v>2370000</v>
      </c>
      <c r="E177" s="20" t="s">
        <v>771</v>
      </c>
      <c r="F177" s="20" t="s">
        <v>772</v>
      </c>
      <c r="G177" s="8" t="str">
        <f t="shared" si="2"/>
        <v>DELGADO DIANAH</v>
      </c>
    </row>
    <row r="178" spans="1:7" x14ac:dyDescent="0.25">
      <c r="A178" s="8">
        <v>42946.764421296299</v>
      </c>
      <c r="B178" s="20" t="s">
        <v>335</v>
      </c>
      <c r="C178" s="20" t="s">
        <v>652</v>
      </c>
      <c r="D178" s="138">
        <v>2420000</v>
      </c>
      <c r="E178" s="20" t="s">
        <v>800</v>
      </c>
      <c r="F178" s="20" t="s">
        <v>801</v>
      </c>
      <c r="G178" s="8" t="str">
        <f t="shared" si="2"/>
        <v>HOLCOMB KAMDEN</v>
      </c>
    </row>
    <row r="179" spans="1:7" x14ac:dyDescent="0.25">
      <c r="A179" s="8">
        <v>42946.769421296296</v>
      </c>
      <c r="B179" s="20" t="s">
        <v>388</v>
      </c>
      <c r="C179" s="20" t="s">
        <v>823</v>
      </c>
      <c r="D179" s="138">
        <v>2090000</v>
      </c>
      <c r="E179" s="20" t="s">
        <v>391</v>
      </c>
      <c r="F179" s="20" t="s">
        <v>192</v>
      </c>
      <c r="G179" s="8" t="str">
        <f t="shared" si="2"/>
        <v>HAITHCOX MICHAEL</v>
      </c>
    </row>
    <row r="180" spans="1:7" x14ac:dyDescent="0.25">
      <c r="A180" s="8">
        <v>42946.772511574076</v>
      </c>
      <c r="B180" s="20" t="s">
        <v>531</v>
      </c>
      <c r="C180" s="20" t="s">
        <v>824</v>
      </c>
      <c r="D180" s="138">
        <v>2230000</v>
      </c>
      <c r="E180" s="20" t="s">
        <v>336</v>
      </c>
      <c r="F180" s="20" t="s">
        <v>192</v>
      </c>
      <c r="G180" s="8" t="str">
        <f t="shared" si="2"/>
        <v>SMITH MICHAEL</v>
      </c>
    </row>
    <row r="181" spans="1:7" x14ac:dyDescent="0.25">
      <c r="A181" s="8">
        <v>42946.776180555556</v>
      </c>
      <c r="B181" s="20" t="s">
        <v>622</v>
      </c>
      <c r="C181" s="20" t="s">
        <v>825</v>
      </c>
      <c r="D181" s="138">
        <v>2420000</v>
      </c>
      <c r="E181" s="20" t="s">
        <v>800</v>
      </c>
      <c r="F181" s="20" t="s">
        <v>801</v>
      </c>
      <c r="G181" s="8" t="str">
        <f t="shared" si="2"/>
        <v>HOLCOMB KAMDEN</v>
      </c>
    </row>
    <row r="182" spans="1:7" x14ac:dyDescent="0.25">
      <c r="A182" s="8">
        <v>42946.776504629626</v>
      </c>
      <c r="B182" s="20" t="s">
        <v>637</v>
      </c>
      <c r="C182" s="20" t="s">
        <v>826</v>
      </c>
      <c r="D182" s="138">
        <v>2610000</v>
      </c>
      <c r="E182" s="20" t="s">
        <v>380</v>
      </c>
      <c r="F182" s="20" t="s">
        <v>381</v>
      </c>
      <c r="G182" s="8" t="str">
        <f t="shared" si="2"/>
        <v>MAGEE KENYA</v>
      </c>
    </row>
    <row r="183" spans="1:7" x14ac:dyDescent="0.25">
      <c r="A183" s="8">
        <v>42946.783136574071</v>
      </c>
      <c r="B183" s="20" t="s">
        <v>538</v>
      </c>
      <c r="C183" s="20" t="s">
        <v>827</v>
      </c>
      <c r="D183" s="138">
        <v>2540000</v>
      </c>
      <c r="E183" s="20" t="s">
        <v>777</v>
      </c>
      <c r="F183" s="20" t="s">
        <v>778</v>
      </c>
      <c r="G183" s="8" t="str">
        <f t="shared" si="2"/>
        <v>MCREYNOLDS KYLE</v>
      </c>
    </row>
    <row r="184" spans="1:7" x14ac:dyDescent="0.25">
      <c r="A184" s="8">
        <v>42946.785995370374</v>
      </c>
      <c r="B184" s="20" t="s">
        <v>533</v>
      </c>
      <c r="C184" s="20" t="s">
        <v>654</v>
      </c>
      <c r="D184" s="138">
        <v>2000000</v>
      </c>
      <c r="E184" s="20" t="s">
        <v>392</v>
      </c>
      <c r="F184" s="20" t="s">
        <v>189</v>
      </c>
      <c r="G184" s="8" t="str">
        <f t="shared" si="2"/>
        <v>STAMBAUGH JAMES</v>
      </c>
    </row>
    <row r="185" spans="1:7" x14ac:dyDescent="0.25">
      <c r="A185" s="8">
        <v>42946.795416666668</v>
      </c>
      <c r="B185" s="20" t="s">
        <v>444</v>
      </c>
      <c r="C185" s="20" t="s">
        <v>828</v>
      </c>
      <c r="D185" s="138">
        <v>2620000</v>
      </c>
      <c r="E185" s="20" t="s">
        <v>665</v>
      </c>
      <c r="F185" s="20" t="s">
        <v>666</v>
      </c>
      <c r="G185" s="8" t="str">
        <f t="shared" si="2"/>
        <v>PERKINS DARREN</v>
      </c>
    </row>
    <row r="186" spans="1:7" x14ac:dyDescent="0.25">
      <c r="A186" s="8">
        <v>42946.798113425924</v>
      </c>
      <c r="B186" s="20" t="s">
        <v>645</v>
      </c>
      <c r="C186" s="20" t="s">
        <v>829</v>
      </c>
      <c r="D186" s="138">
        <v>2370000</v>
      </c>
      <c r="E186" s="20" t="s">
        <v>771</v>
      </c>
      <c r="F186" s="20" t="s">
        <v>772</v>
      </c>
      <c r="G186" s="8" t="str">
        <f t="shared" si="2"/>
        <v>DELGADO DIANAH</v>
      </c>
    </row>
    <row r="187" spans="1:7" x14ac:dyDescent="0.25">
      <c r="A187" s="8">
        <v>42946.798819444448</v>
      </c>
      <c r="B187" s="20" t="s">
        <v>389</v>
      </c>
      <c r="C187" s="20" t="s">
        <v>655</v>
      </c>
      <c r="D187" s="138">
        <v>2090000</v>
      </c>
      <c r="E187" s="20" t="s">
        <v>391</v>
      </c>
      <c r="F187" s="20" t="s">
        <v>192</v>
      </c>
      <c r="G187" s="8" t="str">
        <f t="shared" si="2"/>
        <v>HAITHCOX MICHAEL</v>
      </c>
    </row>
    <row r="188" spans="1:7" x14ac:dyDescent="0.25">
      <c r="A188" s="8">
        <v>42946.805509259262</v>
      </c>
      <c r="B188" s="20" t="s">
        <v>335</v>
      </c>
      <c r="C188" s="20" t="s">
        <v>653</v>
      </c>
      <c r="D188" s="138">
        <v>2420000</v>
      </c>
      <c r="E188" s="20" t="s">
        <v>800</v>
      </c>
      <c r="F188" s="20" t="s">
        <v>801</v>
      </c>
      <c r="G188" s="8" t="str">
        <f t="shared" si="2"/>
        <v>HOLCOMB KAMDEN</v>
      </c>
    </row>
    <row r="189" spans="1:7" x14ac:dyDescent="0.25">
      <c r="A189" s="8">
        <v>42946.807974537034</v>
      </c>
      <c r="B189" s="20" t="s">
        <v>532</v>
      </c>
      <c r="C189" s="20" t="s">
        <v>830</v>
      </c>
      <c r="D189" s="138">
        <v>2230000</v>
      </c>
      <c r="E189" s="20" t="s">
        <v>336</v>
      </c>
      <c r="F189" s="20" t="s">
        <v>192</v>
      </c>
      <c r="G189" s="8" t="str">
        <f t="shared" si="2"/>
        <v>SMITH MICHAEL</v>
      </c>
    </row>
    <row r="190" spans="1:7" x14ac:dyDescent="0.25">
      <c r="A190" s="8">
        <v>42946.816921296297</v>
      </c>
      <c r="B190" s="20" t="s">
        <v>622</v>
      </c>
      <c r="C190" s="20" t="s">
        <v>831</v>
      </c>
      <c r="D190" s="138">
        <v>2420000</v>
      </c>
      <c r="E190" s="20" t="s">
        <v>800</v>
      </c>
      <c r="F190" s="20" t="s">
        <v>801</v>
      </c>
      <c r="G190" s="8" t="str">
        <f t="shared" si="2"/>
        <v>HOLCOMB KAMDEN</v>
      </c>
    </row>
    <row r="191" spans="1:7" x14ac:dyDescent="0.25">
      <c r="A191" s="8">
        <v>42946.818564814814</v>
      </c>
      <c r="B191" s="20" t="s">
        <v>539</v>
      </c>
      <c r="C191" s="20" t="s">
        <v>832</v>
      </c>
      <c r="D191" s="138">
        <v>2540000</v>
      </c>
      <c r="E191" s="20" t="s">
        <v>777</v>
      </c>
      <c r="F191" s="20" t="s">
        <v>778</v>
      </c>
      <c r="G191" s="8" t="str">
        <f t="shared" si="2"/>
        <v>MCREYNOLDS KYLE</v>
      </c>
    </row>
    <row r="192" spans="1:7" x14ac:dyDescent="0.25">
      <c r="A192" s="8">
        <v>42946.829710648148</v>
      </c>
      <c r="B192" s="20" t="s">
        <v>526</v>
      </c>
      <c r="C192" s="20" t="s">
        <v>833</v>
      </c>
      <c r="D192" s="138">
        <v>2000000</v>
      </c>
      <c r="E192" s="20" t="s">
        <v>392</v>
      </c>
      <c r="F192" s="20" t="s">
        <v>189</v>
      </c>
      <c r="G192" s="8" t="str">
        <f t="shared" si="2"/>
        <v>STAMBAUGH JAMES</v>
      </c>
    </row>
    <row r="193" spans="1:7" x14ac:dyDescent="0.25">
      <c r="A193" s="8">
        <v>42946.831342592595</v>
      </c>
      <c r="B193" s="20" t="s">
        <v>658</v>
      </c>
      <c r="C193" s="20" t="s">
        <v>834</v>
      </c>
      <c r="D193" s="138">
        <v>2620000</v>
      </c>
      <c r="E193" s="20" t="s">
        <v>665</v>
      </c>
      <c r="F193" s="20" t="s">
        <v>666</v>
      </c>
      <c r="G193" s="8" t="str">
        <f t="shared" si="2"/>
        <v>PERKINS DARREN</v>
      </c>
    </row>
    <row r="194" spans="1:7" x14ac:dyDescent="0.25">
      <c r="A194" s="8">
        <v>42946.843402777777</v>
      </c>
      <c r="B194" s="20" t="s">
        <v>531</v>
      </c>
      <c r="C194" s="20" t="s">
        <v>835</v>
      </c>
      <c r="D194" s="138">
        <v>2230000</v>
      </c>
      <c r="E194" s="20" t="s">
        <v>336</v>
      </c>
      <c r="F194" s="20" t="s">
        <v>192</v>
      </c>
      <c r="G194" s="8" t="str">
        <f t="shared" si="2"/>
        <v>SMITH MICHAEL</v>
      </c>
    </row>
    <row r="195" spans="1:7" x14ac:dyDescent="0.25">
      <c r="A195" s="8">
        <v>42946.846250000002</v>
      </c>
      <c r="B195" s="20" t="s">
        <v>756</v>
      </c>
      <c r="C195" s="20" t="s">
        <v>836</v>
      </c>
      <c r="D195" s="138">
        <v>3200000</v>
      </c>
      <c r="E195" s="20" t="s">
        <v>837</v>
      </c>
      <c r="F195" s="20" t="s">
        <v>838</v>
      </c>
      <c r="G195" s="8" t="str">
        <f t="shared" ref="G195:G258" si="3">E195&amp;" "&amp;F195</f>
        <v>MILLER KEVIN</v>
      </c>
    </row>
    <row r="196" spans="1:7" x14ac:dyDescent="0.25">
      <c r="A196" s="8">
        <v>42946.847673611112</v>
      </c>
      <c r="B196" s="20" t="s">
        <v>335</v>
      </c>
      <c r="C196" s="20" t="s">
        <v>839</v>
      </c>
      <c r="D196" s="138">
        <v>2420000</v>
      </c>
      <c r="E196" s="20" t="s">
        <v>800</v>
      </c>
      <c r="F196" s="20" t="s">
        <v>801</v>
      </c>
      <c r="G196" s="8" t="str">
        <f t="shared" si="3"/>
        <v>HOLCOMB KAMDEN</v>
      </c>
    </row>
    <row r="197" spans="1:7" x14ac:dyDescent="0.25">
      <c r="A197" s="8">
        <v>42946.850254629629</v>
      </c>
      <c r="B197" s="20" t="s">
        <v>388</v>
      </c>
      <c r="C197" s="20" t="s">
        <v>656</v>
      </c>
      <c r="D197" s="138">
        <v>2090000</v>
      </c>
      <c r="E197" s="20" t="s">
        <v>391</v>
      </c>
      <c r="F197" s="20" t="s">
        <v>192</v>
      </c>
      <c r="G197" s="8" t="str">
        <f t="shared" si="3"/>
        <v>HAITHCOX MICHAEL</v>
      </c>
    </row>
    <row r="198" spans="1:7" x14ac:dyDescent="0.25">
      <c r="A198" s="8">
        <v>42946.859699074077</v>
      </c>
      <c r="B198" s="20" t="s">
        <v>622</v>
      </c>
      <c r="C198" s="20" t="s">
        <v>840</v>
      </c>
      <c r="D198" s="138">
        <v>2420000</v>
      </c>
      <c r="E198" s="20" t="s">
        <v>800</v>
      </c>
      <c r="F198" s="20" t="s">
        <v>801</v>
      </c>
      <c r="G198" s="8" t="str">
        <f t="shared" si="3"/>
        <v>HOLCOMB KAMDEN</v>
      </c>
    </row>
    <row r="199" spans="1:7" x14ac:dyDescent="0.25">
      <c r="A199" s="8">
        <v>42946.859849537039</v>
      </c>
      <c r="B199" s="20" t="s">
        <v>389</v>
      </c>
      <c r="C199" s="20" t="s">
        <v>656</v>
      </c>
      <c r="D199" s="138">
        <v>2090000</v>
      </c>
      <c r="E199" s="20" t="s">
        <v>391</v>
      </c>
      <c r="F199" s="20" t="s">
        <v>192</v>
      </c>
      <c r="G199" s="8" t="str">
        <f t="shared" si="3"/>
        <v>HAITHCOX MICHAEL</v>
      </c>
    </row>
    <row r="200" spans="1:7" x14ac:dyDescent="0.25">
      <c r="A200" s="8">
        <v>42946.860601851855</v>
      </c>
      <c r="B200" s="20" t="s">
        <v>389</v>
      </c>
      <c r="C200" s="20" t="s">
        <v>656</v>
      </c>
      <c r="D200" s="138">
        <v>2090000</v>
      </c>
      <c r="E200" s="20" t="s">
        <v>391</v>
      </c>
      <c r="F200" s="20" t="s">
        <v>192</v>
      </c>
      <c r="G200" s="8" t="str">
        <f t="shared" si="3"/>
        <v>HAITHCOX MICHAEL</v>
      </c>
    </row>
    <row r="201" spans="1:7" x14ac:dyDescent="0.25">
      <c r="A201" s="8">
        <v>42946.860925925925</v>
      </c>
      <c r="B201" s="20" t="s">
        <v>533</v>
      </c>
      <c r="C201" s="20" t="s">
        <v>841</v>
      </c>
      <c r="D201" s="138">
        <v>2000000</v>
      </c>
      <c r="E201" s="20" t="s">
        <v>392</v>
      </c>
      <c r="F201" s="20" t="s">
        <v>189</v>
      </c>
      <c r="G201" s="8" t="str">
        <f t="shared" si="3"/>
        <v>STAMBAUGH JAMES</v>
      </c>
    </row>
    <row r="202" spans="1:7" x14ac:dyDescent="0.25">
      <c r="A202" s="26">
        <v>42946.865497685183</v>
      </c>
      <c r="B202" s="20" t="s">
        <v>444</v>
      </c>
      <c r="C202" s="20" t="s">
        <v>842</v>
      </c>
      <c r="D202" s="138">
        <v>2620000</v>
      </c>
      <c r="E202" s="20" t="s">
        <v>665</v>
      </c>
      <c r="F202" s="20" t="s">
        <v>666</v>
      </c>
      <c r="G202" s="8" t="str">
        <f t="shared" si="3"/>
        <v>PERKINS DARREN</v>
      </c>
    </row>
    <row r="203" spans="1:7" x14ac:dyDescent="0.25">
      <c r="A203" s="8">
        <v>42946.882430555554</v>
      </c>
      <c r="B203" s="20" t="s">
        <v>335</v>
      </c>
      <c r="C203" s="20" t="s">
        <v>657</v>
      </c>
      <c r="D203" s="138">
        <v>2420000</v>
      </c>
      <c r="E203" s="20" t="s">
        <v>800</v>
      </c>
      <c r="F203" s="20" t="s">
        <v>801</v>
      </c>
      <c r="G203" s="8" t="str">
        <f t="shared" si="3"/>
        <v>HOLCOMB KAMDEN</v>
      </c>
    </row>
    <row r="204" spans="1:7" x14ac:dyDescent="0.25">
      <c r="A204" s="8">
        <v>42946.883125</v>
      </c>
      <c r="B204" s="20" t="s">
        <v>532</v>
      </c>
      <c r="C204" s="20" t="s">
        <v>843</v>
      </c>
      <c r="D204" s="138">
        <v>2230000</v>
      </c>
      <c r="E204" s="20" t="s">
        <v>336</v>
      </c>
      <c r="F204" s="20" t="s">
        <v>192</v>
      </c>
      <c r="G204" s="8" t="str">
        <f t="shared" si="3"/>
        <v>SMITH MICHAEL</v>
      </c>
    </row>
    <row r="205" spans="1:7" x14ac:dyDescent="0.25">
      <c r="A205" s="8">
        <v>42946.889618055553</v>
      </c>
      <c r="B205" s="20" t="s">
        <v>662</v>
      </c>
      <c r="C205" s="20" t="s">
        <v>844</v>
      </c>
      <c r="D205" s="138">
        <v>3200000</v>
      </c>
      <c r="E205" s="20" t="s">
        <v>837</v>
      </c>
      <c r="F205" s="20" t="s">
        <v>838</v>
      </c>
      <c r="G205" s="8" t="str">
        <f t="shared" si="3"/>
        <v>MILLER KEVIN</v>
      </c>
    </row>
    <row r="206" spans="1:7" x14ac:dyDescent="0.25">
      <c r="A206" s="8">
        <v>42946.891736111109</v>
      </c>
      <c r="B206" s="20" t="s">
        <v>662</v>
      </c>
      <c r="C206" s="20" t="s">
        <v>844</v>
      </c>
      <c r="D206" s="138">
        <v>3200000</v>
      </c>
      <c r="E206" s="20" t="s">
        <v>837</v>
      </c>
      <c r="F206" s="20" t="s">
        <v>838</v>
      </c>
      <c r="G206" s="8" t="str">
        <f t="shared" si="3"/>
        <v>MILLER KEVIN</v>
      </c>
    </row>
    <row r="207" spans="1:7" x14ac:dyDescent="0.25">
      <c r="A207" s="8">
        <v>42946.893333333333</v>
      </c>
      <c r="B207" s="20" t="s">
        <v>662</v>
      </c>
      <c r="C207" s="20" t="s">
        <v>844</v>
      </c>
      <c r="D207" s="138">
        <v>3200000</v>
      </c>
      <c r="E207" s="20" t="s">
        <v>837</v>
      </c>
      <c r="F207" s="20" t="s">
        <v>838</v>
      </c>
      <c r="G207" s="8" t="str">
        <f t="shared" si="3"/>
        <v>MILLER KEVIN</v>
      </c>
    </row>
    <row r="208" spans="1:7" x14ac:dyDescent="0.25">
      <c r="A208" s="8">
        <v>42946.901574074072</v>
      </c>
      <c r="B208" s="20" t="s">
        <v>622</v>
      </c>
      <c r="C208" s="20" t="s">
        <v>845</v>
      </c>
      <c r="D208" s="138">
        <v>2420000</v>
      </c>
      <c r="E208" s="20" t="s">
        <v>800</v>
      </c>
      <c r="F208" s="20" t="s">
        <v>801</v>
      </c>
      <c r="G208" s="8" t="str">
        <f t="shared" si="3"/>
        <v>HOLCOMB KAMDEN</v>
      </c>
    </row>
    <row r="209" spans="1:7" x14ac:dyDescent="0.25">
      <c r="A209" s="8">
        <v>42946.902245370373</v>
      </c>
      <c r="B209" s="20" t="s">
        <v>658</v>
      </c>
      <c r="C209" s="20" t="s">
        <v>659</v>
      </c>
      <c r="D209" s="138">
        <v>2620000</v>
      </c>
      <c r="E209" s="20" t="s">
        <v>665</v>
      </c>
      <c r="F209" s="20" t="s">
        <v>666</v>
      </c>
      <c r="G209" s="8" t="str">
        <f t="shared" si="3"/>
        <v>PERKINS DARREN</v>
      </c>
    </row>
    <row r="210" spans="1:7" x14ac:dyDescent="0.25">
      <c r="A210" s="8">
        <v>42946.911458333336</v>
      </c>
      <c r="B210" s="20" t="s">
        <v>526</v>
      </c>
      <c r="C210" s="20" t="s">
        <v>846</v>
      </c>
      <c r="D210" s="138">
        <v>2000000</v>
      </c>
      <c r="E210" s="20" t="s">
        <v>392</v>
      </c>
      <c r="F210" s="20" t="s">
        <v>189</v>
      </c>
      <c r="G210" s="8" t="str">
        <f t="shared" si="3"/>
        <v>STAMBAUGH JAMES</v>
      </c>
    </row>
    <row r="211" spans="1:7" x14ac:dyDescent="0.25">
      <c r="A211" s="8">
        <v>42946.923125000001</v>
      </c>
      <c r="B211" s="20" t="s">
        <v>756</v>
      </c>
      <c r="C211" s="20" t="s">
        <v>847</v>
      </c>
      <c r="D211" s="138">
        <v>2090000</v>
      </c>
      <c r="E211" s="20" t="s">
        <v>391</v>
      </c>
      <c r="F211" s="20" t="s">
        <v>192</v>
      </c>
      <c r="G211" s="8" t="str">
        <f t="shared" si="3"/>
        <v>HAITHCOX MICHAEL</v>
      </c>
    </row>
    <row r="212" spans="1:7" x14ac:dyDescent="0.25">
      <c r="A212" s="8">
        <v>42946.925787037035</v>
      </c>
      <c r="B212" s="20" t="s">
        <v>531</v>
      </c>
      <c r="C212" s="20" t="s">
        <v>848</v>
      </c>
      <c r="D212" s="138">
        <v>2230000</v>
      </c>
      <c r="E212" s="20" t="s">
        <v>336</v>
      </c>
      <c r="F212" s="20" t="s">
        <v>192</v>
      </c>
      <c r="G212" s="8" t="str">
        <f t="shared" si="3"/>
        <v>SMITH MICHAEL</v>
      </c>
    </row>
    <row r="213" spans="1:7" x14ac:dyDescent="0.25">
      <c r="A213" s="8">
        <v>42946.930520833332</v>
      </c>
      <c r="B213" s="20" t="s">
        <v>335</v>
      </c>
      <c r="C213" s="20" t="s">
        <v>849</v>
      </c>
      <c r="D213" s="138">
        <v>2420000</v>
      </c>
      <c r="E213" s="20" t="s">
        <v>800</v>
      </c>
      <c r="F213" s="20" t="s">
        <v>801</v>
      </c>
      <c r="G213" s="8" t="str">
        <f t="shared" si="3"/>
        <v>HOLCOMB KAMDEN</v>
      </c>
    </row>
    <row r="214" spans="1:7" x14ac:dyDescent="0.25">
      <c r="A214" s="8">
        <v>42946.94259259259</v>
      </c>
      <c r="B214" s="20" t="s">
        <v>622</v>
      </c>
      <c r="C214" s="20" t="s">
        <v>850</v>
      </c>
      <c r="D214" s="138">
        <v>2420000</v>
      </c>
      <c r="E214" s="20" t="s">
        <v>800</v>
      </c>
      <c r="F214" s="20" t="s">
        <v>801</v>
      </c>
      <c r="G214" s="8" t="str">
        <f t="shared" si="3"/>
        <v>HOLCOMB KAMDEN</v>
      </c>
    </row>
    <row r="215" spans="1:7" x14ac:dyDescent="0.25">
      <c r="A215" s="8">
        <v>42946.942627314813</v>
      </c>
      <c r="B215" s="20" t="s">
        <v>533</v>
      </c>
      <c r="C215" s="20" t="s">
        <v>660</v>
      </c>
      <c r="D215" s="138">
        <v>2000000</v>
      </c>
      <c r="E215" s="20" t="s">
        <v>392</v>
      </c>
      <c r="F215" s="20" t="s">
        <v>189</v>
      </c>
      <c r="G215" s="8" t="str">
        <f t="shared" si="3"/>
        <v>STAMBAUGH JAMES</v>
      </c>
    </row>
    <row r="216" spans="1:7" x14ac:dyDescent="0.25">
      <c r="A216" s="8">
        <v>42946.950312499997</v>
      </c>
      <c r="B216" s="20" t="s">
        <v>335</v>
      </c>
      <c r="C216" s="20" t="s">
        <v>850</v>
      </c>
      <c r="D216" s="138">
        <v>2420000</v>
      </c>
      <c r="E216" s="20" t="s">
        <v>800</v>
      </c>
      <c r="F216" s="20" t="s">
        <v>801</v>
      </c>
      <c r="G216" s="8" t="str">
        <f t="shared" si="3"/>
        <v>HOLCOMB KAMDEN</v>
      </c>
    </row>
    <row r="217" spans="1:7" x14ac:dyDescent="0.25">
      <c r="A217" s="8">
        <v>42946.951666666668</v>
      </c>
      <c r="B217" s="20" t="s">
        <v>444</v>
      </c>
      <c r="C217" s="20" t="s">
        <v>851</v>
      </c>
      <c r="D217" s="138">
        <v>2620000</v>
      </c>
      <c r="E217" s="20" t="s">
        <v>665</v>
      </c>
      <c r="F217" s="20" t="s">
        <v>666</v>
      </c>
      <c r="G217" s="8" t="str">
        <f t="shared" si="3"/>
        <v>PERKINS DARREN</v>
      </c>
    </row>
    <row r="218" spans="1:7" x14ac:dyDescent="0.25">
      <c r="A218" s="8">
        <v>42946.964143518519</v>
      </c>
      <c r="B218" s="20" t="s">
        <v>532</v>
      </c>
      <c r="C218" s="20" t="s">
        <v>852</v>
      </c>
      <c r="D218" s="138">
        <v>2230000</v>
      </c>
      <c r="E218" s="20" t="s">
        <v>336</v>
      </c>
      <c r="F218" s="20" t="s">
        <v>192</v>
      </c>
      <c r="G218" s="8" t="str">
        <f t="shared" si="3"/>
        <v>SMITH MICHAEL</v>
      </c>
    </row>
    <row r="219" spans="1:7" x14ac:dyDescent="0.25">
      <c r="A219" s="8">
        <v>42946.965462962966</v>
      </c>
      <c r="B219" s="20" t="s">
        <v>662</v>
      </c>
      <c r="C219" s="20" t="s">
        <v>853</v>
      </c>
      <c r="D219" s="138">
        <v>2090000</v>
      </c>
      <c r="E219" s="20" t="s">
        <v>391</v>
      </c>
      <c r="F219" s="20" t="s">
        <v>192</v>
      </c>
      <c r="G219" s="8" t="str">
        <f t="shared" si="3"/>
        <v>HAITHCOX MICHAEL</v>
      </c>
    </row>
    <row r="220" spans="1:7" x14ac:dyDescent="0.25">
      <c r="A220" s="8">
        <v>42946.98636574074</v>
      </c>
      <c r="B220" s="20" t="s">
        <v>658</v>
      </c>
      <c r="C220" s="20" t="s">
        <v>854</v>
      </c>
      <c r="D220" s="138">
        <v>2620000</v>
      </c>
      <c r="E220" s="20" t="s">
        <v>665</v>
      </c>
      <c r="F220" s="20" t="s">
        <v>666</v>
      </c>
      <c r="G220" s="8" t="str">
        <f t="shared" si="3"/>
        <v>PERKINS DARREN</v>
      </c>
    </row>
    <row r="221" spans="1:7" x14ac:dyDescent="0.25">
      <c r="A221" s="8">
        <v>42946.995856481481</v>
      </c>
      <c r="B221" s="20" t="s">
        <v>526</v>
      </c>
      <c r="C221" s="20" t="s">
        <v>661</v>
      </c>
      <c r="D221" s="138">
        <v>2000000</v>
      </c>
      <c r="E221" s="20" t="s">
        <v>392</v>
      </c>
      <c r="F221" s="20" t="s">
        <v>189</v>
      </c>
      <c r="G221" s="8" t="str">
        <f t="shared" si="3"/>
        <v>STAMBAUGH JAMES</v>
      </c>
    </row>
    <row r="222" spans="1:7" x14ac:dyDescent="0.25">
      <c r="A222" s="8">
        <v>42947.006238425929</v>
      </c>
      <c r="B222" s="20" t="s">
        <v>756</v>
      </c>
      <c r="C222" s="20" t="s">
        <v>855</v>
      </c>
      <c r="D222" s="138">
        <v>2090000</v>
      </c>
      <c r="E222" s="20" t="s">
        <v>391</v>
      </c>
      <c r="F222" s="20" t="s">
        <v>192</v>
      </c>
      <c r="G222" s="8" t="str">
        <f t="shared" si="3"/>
        <v>HAITHCOX MICHAEL</v>
      </c>
    </row>
    <row r="223" spans="1:7" x14ac:dyDescent="0.25">
      <c r="A223" s="8">
        <v>42947.006631944445</v>
      </c>
      <c r="B223" s="20" t="s">
        <v>531</v>
      </c>
      <c r="C223" s="20" t="s">
        <v>856</v>
      </c>
      <c r="D223" s="138">
        <v>2230000</v>
      </c>
      <c r="E223" s="20" t="s">
        <v>336</v>
      </c>
      <c r="F223" s="20" t="s">
        <v>192</v>
      </c>
      <c r="G223" s="8" t="str">
        <f t="shared" si="3"/>
        <v>SMITH MICHAEL</v>
      </c>
    </row>
    <row r="224" spans="1:7" x14ac:dyDescent="0.25">
      <c r="A224" s="8">
        <v>42947.027361111112</v>
      </c>
      <c r="B224" t="s">
        <v>533</v>
      </c>
      <c r="C224" t="s">
        <v>857</v>
      </c>
      <c r="D224" s="138">
        <v>2000000</v>
      </c>
      <c r="E224" t="s">
        <v>392</v>
      </c>
      <c r="F224" s="20" t="s">
        <v>189</v>
      </c>
      <c r="G224" s="8" t="str">
        <f t="shared" si="3"/>
        <v>STAMBAUGH JAMES</v>
      </c>
    </row>
    <row r="225" spans="1:7" x14ac:dyDescent="0.25">
      <c r="A225" s="8">
        <v>42947.03696759259</v>
      </c>
      <c r="B225" t="s">
        <v>444</v>
      </c>
      <c r="C225" t="s">
        <v>858</v>
      </c>
      <c r="D225" s="138">
        <v>2620000</v>
      </c>
      <c r="E225" t="s">
        <v>665</v>
      </c>
      <c r="F225" s="20" t="s">
        <v>666</v>
      </c>
      <c r="G225" s="8" t="str">
        <f t="shared" si="3"/>
        <v>PERKINS DARREN</v>
      </c>
    </row>
    <row r="226" spans="1:7" x14ac:dyDescent="0.25">
      <c r="A226" s="8">
        <v>42947.047824074078</v>
      </c>
      <c r="B226" t="s">
        <v>532</v>
      </c>
      <c r="C226" t="s">
        <v>859</v>
      </c>
      <c r="D226" s="138">
        <v>2230000</v>
      </c>
      <c r="E226" t="s">
        <v>336</v>
      </c>
      <c r="F226" s="20" t="s">
        <v>192</v>
      </c>
      <c r="G226" s="8" t="str">
        <f t="shared" si="3"/>
        <v>SMITH MICHAEL</v>
      </c>
    </row>
    <row r="227" spans="1:7" x14ac:dyDescent="0.25">
      <c r="A227" s="8">
        <v>42947.059340277781</v>
      </c>
      <c r="B227" t="s">
        <v>662</v>
      </c>
      <c r="C227" t="s">
        <v>663</v>
      </c>
      <c r="D227" s="138">
        <v>2090000</v>
      </c>
      <c r="E227" t="s">
        <v>391</v>
      </c>
      <c r="F227" s="20" t="s">
        <v>192</v>
      </c>
      <c r="G227" s="8" t="str">
        <f t="shared" si="3"/>
        <v>HAITHCOX MICHAEL</v>
      </c>
    </row>
    <row r="228" spans="1:7" x14ac:dyDescent="0.25">
      <c r="A228" s="8">
        <v>42947.071493055555</v>
      </c>
      <c r="B228" t="s">
        <v>658</v>
      </c>
      <c r="C228" t="s">
        <v>860</v>
      </c>
      <c r="D228" s="138">
        <v>2620000</v>
      </c>
      <c r="E228" t="s">
        <v>665</v>
      </c>
      <c r="F228" s="20" t="s">
        <v>666</v>
      </c>
      <c r="G228" s="8" t="str">
        <f t="shared" si="3"/>
        <v>PERKINS DARREN</v>
      </c>
    </row>
    <row r="229" spans="1:7" x14ac:dyDescent="0.25">
      <c r="A229" s="8">
        <v>42947.075648148151</v>
      </c>
      <c r="B229" t="s">
        <v>662</v>
      </c>
      <c r="C229" t="s">
        <v>663</v>
      </c>
      <c r="D229" s="138">
        <v>2090000</v>
      </c>
      <c r="E229" t="s">
        <v>391</v>
      </c>
      <c r="F229" s="20" t="s">
        <v>192</v>
      </c>
      <c r="G229" s="8" t="str">
        <f t="shared" si="3"/>
        <v>HAITHCOX MICHAEL</v>
      </c>
    </row>
    <row r="230" spans="1:7" x14ac:dyDescent="0.25">
      <c r="A230" s="8">
        <v>42947.093831018516</v>
      </c>
      <c r="B230" t="s">
        <v>388</v>
      </c>
      <c r="C230" t="s">
        <v>861</v>
      </c>
      <c r="D230" s="138">
        <v>2090000</v>
      </c>
      <c r="E230" t="s">
        <v>391</v>
      </c>
      <c r="F230" s="20" t="s">
        <v>192</v>
      </c>
      <c r="G230" s="8" t="str">
        <f t="shared" si="3"/>
        <v>HAITHCOX MICHAEL</v>
      </c>
    </row>
    <row r="231" spans="1:7" x14ac:dyDescent="0.25">
      <c r="A231" s="8">
        <v>42942.841956018521</v>
      </c>
      <c r="B231" t="s">
        <v>408</v>
      </c>
      <c r="C231" t="s">
        <v>544</v>
      </c>
      <c r="D231" s="138">
        <v>2090000</v>
      </c>
      <c r="E231" t="s">
        <v>391</v>
      </c>
      <c r="F231" s="20" t="s">
        <v>192</v>
      </c>
      <c r="G231" s="8" t="str">
        <f t="shared" si="3"/>
        <v>HAITHCOX MICHAEL</v>
      </c>
    </row>
    <row r="232" spans="1:7" x14ac:dyDescent="0.25">
      <c r="A232" s="8">
        <v>42942.843969907408</v>
      </c>
      <c r="B232" t="s">
        <v>363</v>
      </c>
      <c r="C232" t="s">
        <v>545</v>
      </c>
      <c r="D232" s="138">
        <v>3330000</v>
      </c>
      <c r="E232" t="s">
        <v>481</v>
      </c>
      <c r="F232" s="20" t="s">
        <v>482</v>
      </c>
      <c r="G232" s="8" t="str">
        <f t="shared" si="3"/>
        <v>GONZALEZ ARMANDO</v>
      </c>
    </row>
    <row r="233" spans="1:7" x14ac:dyDescent="0.25">
      <c r="A233" s="8">
        <v>42942.849444444444</v>
      </c>
      <c r="B233" t="s">
        <v>454</v>
      </c>
      <c r="C233" t="s">
        <v>546</v>
      </c>
      <c r="D233" s="138">
        <v>3090000</v>
      </c>
      <c r="E233" t="s">
        <v>364</v>
      </c>
      <c r="F233" s="20" t="s">
        <v>365</v>
      </c>
      <c r="G233" s="8" t="str">
        <f t="shared" si="3"/>
        <v>LAMAR NEKESHA</v>
      </c>
    </row>
    <row r="234" spans="1:7" x14ac:dyDescent="0.25">
      <c r="A234" s="8">
        <v>42942.859895833331</v>
      </c>
      <c r="B234" t="s">
        <v>357</v>
      </c>
      <c r="C234" t="s">
        <v>547</v>
      </c>
      <c r="D234" s="138">
        <v>3330000</v>
      </c>
      <c r="E234" t="s">
        <v>481</v>
      </c>
      <c r="F234" s="20" t="s">
        <v>482</v>
      </c>
      <c r="G234" s="8" t="str">
        <f t="shared" si="3"/>
        <v>GONZALEZ ARMANDO</v>
      </c>
    </row>
    <row r="235" spans="1:7" x14ac:dyDescent="0.25">
      <c r="A235" s="8">
        <v>42942.861875000002</v>
      </c>
      <c r="B235" t="s">
        <v>477</v>
      </c>
      <c r="C235" t="s">
        <v>548</v>
      </c>
      <c r="D235" s="138">
        <v>3260000</v>
      </c>
      <c r="E235" t="s">
        <v>497</v>
      </c>
      <c r="F235" s="20" t="s">
        <v>498</v>
      </c>
      <c r="G235" s="8" t="str">
        <f t="shared" si="3"/>
        <v>PAGE MARCUS</v>
      </c>
    </row>
    <row r="236" spans="1:7" x14ac:dyDescent="0.25">
      <c r="A236" s="8">
        <v>42942.869131944448</v>
      </c>
      <c r="B236" t="s">
        <v>387</v>
      </c>
      <c r="C236" t="s">
        <v>549</v>
      </c>
      <c r="D236" s="138">
        <v>3000000</v>
      </c>
      <c r="E236" t="s">
        <v>382</v>
      </c>
      <c r="F236" s="20" t="s">
        <v>383</v>
      </c>
      <c r="G236" s="8" t="str">
        <f t="shared" si="3"/>
        <v>FORTUNATO FRANK</v>
      </c>
    </row>
    <row r="237" spans="1:7" x14ac:dyDescent="0.25">
      <c r="A237" s="8">
        <v>42942.875347222223</v>
      </c>
      <c r="B237" t="s">
        <v>363</v>
      </c>
      <c r="C237" t="s">
        <v>550</v>
      </c>
      <c r="D237" s="138">
        <v>3290000</v>
      </c>
      <c r="E237" t="s">
        <v>483</v>
      </c>
      <c r="F237" s="20" t="s">
        <v>453</v>
      </c>
      <c r="G237" s="8" t="str">
        <f t="shared" si="3"/>
        <v>CASSIDY BRANDON</v>
      </c>
    </row>
    <row r="238" spans="1:7" x14ac:dyDescent="0.25">
      <c r="A238" s="8">
        <v>42942.890868055554</v>
      </c>
      <c r="B238" t="s">
        <v>471</v>
      </c>
      <c r="C238" t="s">
        <v>534</v>
      </c>
      <c r="D238" s="138">
        <v>3090000</v>
      </c>
      <c r="E238" t="s">
        <v>364</v>
      </c>
      <c r="F238" s="20" t="s">
        <v>365</v>
      </c>
      <c r="G238" s="8" t="str">
        <f t="shared" si="3"/>
        <v>LAMAR NEKESHA</v>
      </c>
    </row>
    <row r="239" spans="1:7" x14ac:dyDescent="0.25">
      <c r="A239" s="8">
        <v>42942.891631944447</v>
      </c>
      <c r="B239" t="s">
        <v>378</v>
      </c>
      <c r="C239" t="s">
        <v>551</v>
      </c>
      <c r="D239" s="138">
        <v>3220000</v>
      </c>
      <c r="E239" t="s">
        <v>552</v>
      </c>
      <c r="F239" s="20" t="s">
        <v>553</v>
      </c>
      <c r="G239" s="8" t="str">
        <f t="shared" si="3"/>
        <v>RESPASS AARON</v>
      </c>
    </row>
    <row r="240" spans="1:7" x14ac:dyDescent="0.25">
      <c r="A240" s="8">
        <v>42942.900370370371</v>
      </c>
      <c r="B240" t="s">
        <v>357</v>
      </c>
      <c r="C240" t="s">
        <v>554</v>
      </c>
      <c r="D240" s="138">
        <v>3290000</v>
      </c>
      <c r="E240" t="s">
        <v>483</v>
      </c>
      <c r="F240" s="20" t="s">
        <v>453</v>
      </c>
      <c r="G240" s="8" t="str">
        <f t="shared" si="3"/>
        <v>CASSIDY BRANDON</v>
      </c>
    </row>
    <row r="241" spans="1:7" x14ac:dyDescent="0.25">
      <c r="A241" s="8">
        <v>42942.903703703705</v>
      </c>
      <c r="B241" t="s">
        <v>480</v>
      </c>
      <c r="C241" t="s">
        <v>555</v>
      </c>
      <c r="D241" s="138">
        <v>3260000</v>
      </c>
      <c r="E241" t="s">
        <v>497</v>
      </c>
      <c r="F241" s="20" t="s">
        <v>498</v>
      </c>
      <c r="G241" s="8" t="str">
        <f t="shared" si="3"/>
        <v>PAGE MARCUS</v>
      </c>
    </row>
    <row r="242" spans="1:7" x14ac:dyDescent="0.25">
      <c r="A242" s="8">
        <v>42942.904004629629</v>
      </c>
      <c r="B242" t="s">
        <v>386</v>
      </c>
      <c r="C242" t="s">
        <v>556</v>
      </c>
      <c r="D242" s="138">
        <v>3000000</v>
      </c>
      <c r="E242" t="s">
        <v>382</v>
      </c>
      <c r="F242" s="20" t="s">
        <v>383</v>
      </c>
      <c r="G242" s="8" t="str">
        <f t="shared" si="3"/>
        <v>FORTUNATO FRANK</v>
      </c>
    </row>
    <row r="243" spans="1:7" x14ac:dyDescent="0.25">
      <c r="A243" s="8">
        <v>42942.919050925928</v>
      </c>
      <c r="B243" t="s">
        <v>363</v>
      </c>
      <c r="C243" t="s">
        <v>557</v>
      </c>
      <c r="D243" s="138">
        <v>3290000</v>
      </c>
      <c r="E243" t="s">
        <v>483</v>
      </c>
      <c r="F243" s="20" t="s">
        <v>453</v>
      </c>
      <c r="G243" s="8" t="str">
        <f t="shared" si="3"/>
        <v>CASSIDY BRANDON</v>
      </c>
    </row>
    <row r="244" spans="1:7" x14ac:dyDescent="0.25">
      <c r="A244" s="8">
        <v>42942.925011574072</v>
      </c>
      <c r="B244" t="s">
        <v>408</v>
      </c>
      <c r="C244" t="s">
        <v>558</v>
      </c>
      <c r="D244" s="138">
        <v>3220000</v>
      </c>
      <c r="E244" t="s">
        <v>552</v>
      </c>
      <c r="F244" s="20" t="s">
        <v>553</v>
      </c>
      <c r="G244" s="8" t="str">
        <f t="shared" si="3"/>
        <v>RESPASS AARON</v>
      </c>
    </row>
    <row r="245" spans="1:7" x14ac:dyDescent="0.25">
      <c r="A245" s="8">
        <v>42942.933912037035</v>
      </c>
      <c r="B245" t="s">
        <v>454</v>
      </c>
      <c r="C245" t="s">
        <v>559</v>
      </c>
      <c r="D245" s="138">
        <v>3090000</v>
      </c>
      <c r="E245" t="s">
        <v>364</v>
      </c>
      <c r="F245" s="20" t="s">
        <v>365</v>
      </c>
      <c r="G245" s="8" t="str">
        <f t="shared" si="3"/>
        <v>LAMAR NEKESHA</v>
      </c>
    </row>
    <row r="246" spans="1:7" x14ac:dyDescent="0.25">
      <c r="A246" s="8">
        <v>42942.942812499998</v>
      </c>
      <c r="B246" t="s">
        <v>357</v>
      </c>
      <c r="C246" t="s">
        <v>535</v>
      </c>
      <c r="D246" s="138">
        <v>3290000</v>
      </c>
      <c r="E246" t="s">
        <v>483</v>
      </c>
      <c r="F246" s="20" t="s">
        <v>453</v>
      </c>
      <c r="G246" s="8" t="str">
        <f t="shared" si="3"/>
        <v>CASSIDY BRANDON</v>
      </c>
    </row>
    <row r="247" spans="1:7" x14ac:dyDescent="0.25">
      <c r="A247" s="8">
        <v>42942.943622685183</v>
      </c>
      <c r="B247" t="s">
        <v>533</v>
      </c>
      <c r="C247" t="s">
        <v>560</v>
      </c>
      <c r="D247" s="138">
        <v>2610000</v>
      </c>
      <c r="E247" t="s">
        <v>380</v>
      </c>
      <c r="F247" s="20" t="s">
        <v>381</v>
      </c>
      <c r="G247" s="8" t="str">
        <f t="shared" si="3"/>
        <v>MAGEE KENYA</v>
      </c>
    </row>
    <row r="248" spans="1:7" x14ac:dyDescent="0.25">
      <c r="A248" s="8">
        <v>42942.947523148148</v>
      </c>
      <c r="B248" t="s">
        <v>526</v>
      </c>
      <c r="C248" t="s">
        <v>561</v>
      </c>
      <c r="D248" s="138">
        <v>2610000</v>
      </c>
      <c r="E248" t="s">
        <v>380</v>
      </c>
      <c r="F248" s="20" t="s">
        <v>381</v>
      </c>
      <c r="G248" s="8" t="str">
        <f t="shared" si="3"/>
        <v>MAGEE KENYA</v>
      </c>
    </row>
    <row r="249" spans="1:7" x14ac:dyDescent="0.25">
      <c r="A249" s="8">
        <v>42942.948587962965</v>
      </c>
      <c r="B249" t="s">
        <v>477</v>
      </c>
      <c r="C249" t="s">
        <v>536</v>
      </c>
      <c r="D249" s="138">
        <v>3260000</v>
      </c>
      <c r="E249" t="s">
        <v>497</v>
      </c>
      <c r="F249" s="20" t="s">
        <v>498</v>
      </c>
      <c r="G249" s="8" t="str">
        <f t="shared" si="3"/>
        <v>PAGE MARCUS</v>
      </c>
    </row>
    <row r="250" spans="1:7" x14ac:dyDescent="0.25">
      <c r="A250" s="8">
        <v>42942.94903935185</v>
      </c>
      <c r="B250" t="s">
        <v>387</v>
      </c>
      <c r="C250" t="s">
        <v>562</v>
      </c>
      <c r="D250" s="138">
        <v>3000000</v>
      </c>
      <c r="E250" t="s">
        <v>382</v>
      </c>
      <c r="F250" s="20" t="s">
        <v>383</v>
      </c>
      <c r="G250" s="8" t="str">
        <f t="shared" si="3"/>
        <v>FORTUNATO FRANK</v>
      </c>
    </row>
    <row r="251" spans="1:7" x14ac:dyDescent="0.25">
      <c r="A251" s="8">
        <v>42942.966666666667</v>
      </c>
      <c r="B251" t="s">
        <v>378</v>
      </c>
      <c r="C251" t="s">
        <v>563</v>
      </c>
      <c r="D251" s="138">
        <v>2090000</v>
      </c>
      <c r="E251" t="s">
        <v>391</v>
      </c>
      <c r="F251" s="20" t="s">
        <v>192</v>
      </c>
      <c r="G251" s="8" t="str">
        <f t="shared" si="3"/>
        <v>HAITHCOX MICHAEL</v>
      </c>
    </row>
    <row r="252" spans="1:7" x14ac:dyDescent="0.25">
      <c r="A252" s="8">
        <v>42942.973877314813</v>
      </c>
      <c r="B252" t="s">
        <v>471</v>
      </c>
      <c r="C252" t="s">
        <v>564</v>
      </c>
      <c r="D252" s="138">
        <v>3090000</v>
      </c>
      <c r="E252" t="s">
        <v>364</v>
      </c>
      <c r="F252" s="20" t="s">
        <v>365</v>
      </c>
      <c r="G252" s="8" t="str">
        <f t="shared" si="3"/>
        <v>LAMAR NEKESHA</v>
      </c>
    </row>
    <row r="253" spans="1:7" x14ac:dyDescent="0.25">
      <c r="A253" s="8">
        <v>42942.985856481479</v>
      </c>
      <c r="B253" t="s">
        <v>386</v>
      </c>
      <c r="C253" t="s">
        <v>565</v>
      </c>
      <c r="D253" s="138">
        <v>3000000</v>
      </c>
      <c r="E253" t="s">
        <v>382</v>
      </c>
      <c r="F253" s="20" t="s">
        <v>383</v>
      </c>
      <c r="G253" s="8" t="str">
        <f t="shared" si="3"/>
        <v>FORTUNATO FRANK</v>
      </c>
    </row>
    <row r="254" spans="1:7" x14ac:dyDescent="0.25">
      <c r="A254" s="8">
        <v>42942.990185185183</v>
      </c>
      <c r="B254" t="s">
        <v>533</v>
      </c>
      <c r="C254" t="s">
        <v>566</v>
      </c>
      <c r="D254" s="138">
        <v>3260000</v>
      </c>
      <c r="E254" t="s">
        <v>497</v>
      </c>
      <c r="F254" s="20" t="s">
        <v>498</v>
      </c>
      <c r="G254" s="8" t="str">
        <f t="shared" si="3"/>
        <v>PAGE MARCUS</v>
      </c>
    </row>
    <row r="255" spans="1:7" x14ac:dyDescent="0.25">
      <c r="A255" s="8">
        <v>42942.990972222222</v>
      </c>
      <c r="B255" t="s">
        <v>533</v>
      </c>
      <c r="C255" t="s">
        <v>566</v>
      </c>
      <c r="D255" s="138">
        <v>3260000</v>
      </c>
      <c r="E255" t="s">
        <v>497</v>
      </c>
      <c r="F255" s="20" t="s">
        <v>498</v>
      </c>
      <c r="G255" s="8" t="str">
        <f t="shared" si="3"/>
        <v>PAGE MARCUS</v>
      </c>
    </row>
    <row r="256" spans="1:7" x14ac:dyDescent="0.25">
      <c r="A256" s="8">
        <v>42942.992465277777</v>
      </c>
      <c r="B256" t="s">
        <v>533</v>
      </c>
      <c r="C256" t="s">
        <v>566</v>
      </c>
      <c r="D256" s="138">
        <v>3260000</v>
      </c>
      <c r="E256" t="s">
        <v>497</v>
      </c>
      <c r="F256" s="20" t="s">
        <v>498</v>
      </c>
      <c r="G256" s="8" t="str">
        <f t="shared" si="3"/>
        <v>PAGE MARCUS</v>
      </c>
    </row>
    <row r="257" spans="1:7" x14ac:dyDescent="0.25">
      <c r="A257" s="8">
        <v>42943.009895833333</v>
      </c>
      <c r="B257" t="s">
        <v>408</v>
      </c>
      <c r="C257" t="s">
        <v>567</v>
      </c>
      <c r="D257" s="138">
        <v>2090000</v>
      </c>
      <c r="E257" t="s">
        <v>391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42943.016562500001</v>
      </c>
      <c r="B258" t="s">
        <v>454</v>
      </c>
      <c r="C258" t="s">
        <v>568</v>
      </c>
      <c r="D258" s="138">
        <v>3090000</v>
      </c>
      <c r="E258" t="s">
        <v>364</v>
      </c>
      <c r="F258" s="20" t="s">
        <v>365</v>
      </c>
      <c r="G258" s="8" t="str">
        <f t="shared" si="3"/>
        <v>LAMAR NEKESHA</v>
      </c>
    </row>
    <row r="259" spans="1:7" x14ac:dyDescent="0.25">
      <c r="A259" s="8">
        <v>42943.028587962966</v>
      </c>
      <c r="B259" t="s">
        <v>387</v>
      </c>
      <c r="C259" t="s">
        <v>569</v>
      </c>
      <c r="D259" s="138">
        <v>3000000</v>
      </c>
      <c r="E259" t="s">
        <v>382</v>
      </c>
      <c r="F259" s="20" t="s">
        <v>383</v>
      </c>
      <c r="G259" s="8" t="str">
        <f t="shared" ref="G259:G322" si="4">E259&amp;" "&amp;F259</f>
        <v>FORTUNATO FRANK</v>
      </c>
    </row>
    <row r="260" spans="1:7" x14ac:dyDescent="0.25">
      <c r="A260" s="8">
        <v>42943.035162037035</v>
      </c>
      <c r="B260" t="s">
        <v>526</v>
      </c>
      <c r="C260" t="s">
        <v>570</v>
      </c>
      <c r="D260" s="138">
        <v>3260000</v>
      </c>
      <c r="E260" t="s">
        <v>497</v>
      </c>
      <c r="F260" s="20" t="s">
        <v>498</v>
      </c>
      <c r="G260" s="8" t="str">
        <f t="shared" si="4"/>
        <v>PAGE MARCUS</v>
      </c>
    </row>
    <row r="261" spans="1:7" x14ac:dyDescent="0.25">
      <c r="A261" s="8">
        <v>42943.047881944447</v>
      </c>
      <c r="B261" t="s">
        <v>378</v>
      </c>
      <c r="C261" t="s">
        <v>571</v>
      </c>
      <c r="D261" s="138">
        <v>2090000</v>
      </c>
      <c r="E261" t="s">
        <v>391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42943.049120370371</v>
      </c>
      <c r="B262" t="s">
        <v>378</v>
      </c>
      <c r="C262" t="s">
        <v>571</v>
      </c>
      <c r="D262" s="138">
        <v>2090000</v>
      </c>
      <c r="E262" t="s">
        <v>391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42943.057337962964</v>
      </c>
      <c r="B263" t="s">
        <v>471</v>
      </c>
      <c r="C263" t="s">
        <v>572</v>
      </c>
      <c r="D263" s="138">
        <v>3090000</v>
      </c>
      <c r="E263" t="s">
        <v>364</v>
      </c>
      <c r="F263" s="20" t="s">
        <v>365</v>
      </c>
      <c r="G263" s="8" t="str">
        <f t="shared" si="4"/>
        <v>LAMAR NEKESHA</v>
      </c>
    </row>
    <row r="264" spans="1:7" x14ac:dyDescent="0.25">
      <c r="A264" s="8">
        <v>42943.067928240744</v>
      </c>
      <c r="B264" t="s">
        <v>533</v>
      </c>
      <c r="C264" t="s">
        <v>573</v>
      </c>
      <c r="D264" s="138">
        <v>3260000</v>
      </c>
      <c r="E264" t="s">
        <v>497</v>
      </c>
      <c r="F264" s="20" t="s">
        <v>498</v>
      </c>
      <c r="G264" s="8" t="str">
        <f t="shared" si="4"/>
        <v>PAGE MARCUS</v>
      </c>
    </row>
    <row r="265" spans="1:7" x14ac:dyDescent="0.25">
      <c r="A265" s="8">
        <v>42943.089375000003</v>
      </c>
      <c r="B265" t="s">
        <v>454</v>
      </c>
      <c r="C265" t="s">
        <v>574</v>
      </c>
      <c r="D265" s="138">
        <v>3090000</v>
      </c>
      <c r="E265" t="s">
        <v>364</v>
      </c>
      <c r="F265" s="20" t="s">
        <v>365</v>
      </c>
      <c r="G265" s="8" t="str">
        <f t="shared" si="4"/>
        <v>LAMAR NEKESHA</v>
      </c>
    </row>
    <row r="266" spans="1:7" x14ac:dyDescent="0.25">
      <c r="A266" s="8">
        <v>42923.113321759258</v>
      </c>
      <c r="B266" t="s">
        <v>444</v>
      </c>
      <c r="C266" t="s">
        <v>445</v>
      </c>
      <c r="D266" s="138">
        <v>1110000</v>
      </c>
      <c r="E266" t="s">
        <v>411</v>
      </c>
      <c r="F266" s="20" t="s">
        <v>412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404</v>
      </c>
      <c r="C267" t="s">
        <v>419</v>
      </c>
      <c r="D267" s="138">
        <v>2090000</v>
      </c>
      <c r="E267" t="s">
        <v>391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387</v>
      </c>
      <c r="C268" t="s">
        <v>420</v>
      </c>
      <c r="D268" s="138">
        <v>2000000</v>
      </c>
      <c r="E268" t="s">
        <v>392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408</v>
      </c>
      <c r="C269" t="s">
        <v>421</v>
      </c>
      <c r="D269" s="138">
        <v>3090000</v>
      </c>
      <c r="E269" t="s">
        <v>364</v>
      </c>
      <c r="F269" s="20" t="s">
        <v>365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388</v>
      </c>
      <c r="C270" t="s">
        <v>422</v>
      </c>
      <c r="D270" s="138">
        <v>2610000</v>
      </c>
      <c r="E270" t="s">
        <v>380</v>
      </c>
      <c r="F270" s="20" t="s">
        <v>381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404</v>
      </c>
      <c r="C271" t="s">
        <v>419</v>
      </c>
      <c r="D271" s="138">
        <v>2090000</v>
      </c>
      <c r="E271" t="s">
        <v>391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386</v>
      </c>
      <c r="C272" t="s">
        <v>423</v>
      </c>
      <c r="D272" s="138">
        <v>2000000</v>
      </c>
      <c r="E272" t="s">
        <v>392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389</v>
      </c>
      <c r="C273" t="s">
        <v>422</v>
      </c>
      <c r="D273" s="138">
        <v>2610000</v>
      </c>
      <c r="E273" t="s">
        <v>380</v>
      </c>
      <c r="F273" s="20" t="s">
        <v>381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417</v>
      </c>
      <c r="C274" t="s">
        <v>424</v>
      </c>
      <c r="D274" s="138">
        <v>3000000</v>
      </c>
      <c r="E274" t="s">
        <v>382</v>
      </c>
      <c r="F274" s="20" t="s">
        <v>383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388</v>
      </c>
      <c r="C275" t="s">
        <v>425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387</v>
      </c>
      <c r="C276" t="s">
        <v>426</v>
      </c>
      <c r="D276" s="138">
        <v>2000000</v>
      </c>
      <c r="E276" t="s">
        <v>392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406</v>
      </c>
      <c r="C277" t="s">
        <v>427</v>
      </c>
      <c r="D277" s="138">
        <v>2090000</v>
      </c>
      <c r="E277" t="s">
        <v>391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378</v>
      </c>
      <c r="C278" t="s">
        <v>428</v>
      </c>
      <c r="D278" s="138">
        <v>3090000</v>
      </c>
      <c r="E278" t="s">
        <v>364</v>
      </c>
      <c r="F278" s="20" t="s">
        <v>365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386</v>
      </c>
      <c r="C279" t="s">
        <v>429</v>
      </c>
      <c r="D279" s="138">
        <v>2000000</v>
      </c>
      <c r="E279" t="s">
        <v>392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416</v>
      </c>
      <c r="C280" t="s">
        <v>430</v>
      </c>
      <c r="D280" s="138">
        <v>3000000</v>
      </c>
      <c r="E280" t="s">
        <v>382</v>
      </c>
      <c r="F280" s="20" t="s">
        <v>383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389</v>
      </c>
      <c r="C281" t="s">
        <v>431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387</v>
      </c>
      <c r="C282" t="s">
        <v>429</v>
      </c>
      <c r="D282" s="138">
        <v>2000000</v>
      </c>
      <c r="E282" t="s">
        <v>392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404</v>
      </c>
      <c r="C283" t="s">
        <v>432</v>
      </c>
      <c r="D283" s="138">
        <v>2090000</v>
      </c>
      <c r="E283" t="s">
        <v>391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350</v>
      </c>
      <c r="C284" t="s">
        <v>433</v>
      </c>
      <c r="D284" s="138">
        <v>2610000</v>
      </c>
      <c r="E284" t="s">
        <v>380</v>
      </c>
      <c r="F284" s="20" t="s">
        <v>381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415</v>
      </c>
      <c r="C285" t="s">
        <v>434</v>
      </c>
      <c r="D285" s="138">
        <v>2610000</v>
      </c>
      <c r="E285" t="s">
        <v>380</v>
      </c>
      <c r="F285" s="20" t="s">
        <v>381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408</v>
      </c>
      <c r="C286" t="s">
        <v>435</v>
      </c>
      <c r="D286" s="138">
        <v>3090000</v>
      </c>
      <c r="E286" t="s">
        <v>364</v>
      </c>
      <c r="F286" s="20" t="s">
        <v>365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417</v>
      </c>
      <c r="C287" t="s">
        <v>436</v>
      </c>
      <c r="D287" s="138">
        <v>3000000</v>
      </c>
      <c r="E287" t="s">
        <v>382</v>
      </c>
      <c r="F287" s="20" t="s">
        <v>383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350</v>
      </c>
      <c r="C288" t="s">
        <v>437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406</v>
      </c>
      <c r="C289" t="s">
        <v>418</v>
      </c>
      <c r="D289" s="138">
        <v>2090000</v>
      </c>
      <c r="E289" t="s">
        <v>391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378</v>
      </c>
      <c r="C290" t="s">
        <v>438</v>
      </c>
      <c r="D290" s="138">
        <v>3090000</v>
      </c>
      <c r="E290" t="s">
        <v>364</v>
      </c>
      <c r="F290" s="20" t="s">
        <v>365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416</v>
      </c>
      <c r="C291" t="s">
        <v>439</v>
      </c>
      <c r="D291" s="138">
        <v>3000000</v>
      </c>
      <c r="E291" t="s">
        <v>382</v>
      </c>
      <c r="F291" s="20" t="s">
        <v>383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404</v>
      </c>
      <c r="C292" t="s">
        <v>440</v>
      </c>
      <c r="D292" s="138">
        <v>2090000</v>
      </c>
      <c r="E292" t="s">
        <v>391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408</v>
      </c>
      <c r="C293" t="s">
        <v>441</v>
      </c>
      <c r="D293" s="138">
        <v>3090000</v>
      </c>
      <c r="E293" t="s">
        <v>364</v>
      </c>
      <c r="F293" s="20" t="s">
        <v>365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350</v>
      </c>
      <c r="C294" t="s">
        <v>442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378</v>
      </c>
      <c r="C295" t="s">
        <v>443</v>
      </c>
      <c r="D295" s="138">
        <v>3090000</v>
      </c>
      <c r="E295" t="s">
        <v>364</v>
      </c>
      <c r="F295" s="20" t="s">
        <v>365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378</v>
      </c>
      <c r="C296" t="s">
        <v>443</v>
      </c>
      <c r="D296" s="138">
        <v>3090000</v>
      </c>
      <c r="E296" t="s">
        <v>364</v>
      </c>
      <c r="F296" s="20" t="s">
        <v>365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378</v>
      </c>
      <c r="C297" t="s">
        <v>443</v>
      </c>
      <c r="D297" s="138">
        <v>3090000</v>
      </c>
      <c r="E297" t="s">
        <v>364</v>
      </c>
      <c r="F297" s="20" t="s">
        <v>365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350</v>
      </c>
      <c r="C298" t="s">
        <v>373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357</v>
      </c>
      <c r="C299" t="s">
        <v>359</v>
      </c>
      <c r="D299" s="138">
        <v>2970000</v>
      </c>
      <c r="E299" t="s">
        <v>366</v>
      </c>
      <c r="F299" s="20" t="s">
        <v>367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358</v>
      </c>
      <c r="C300" t="s">
        <v>362</v>
      </c>
      <c r="D300" s="138">
        <v>3130000</v>
      </c>
      <c r="E300" t="s">
        <v>371</v>
      </c>
      <c r="F300" s="20" t="s">
        <v>372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357</v>
      </c>
      <c r="C301" t="s">
        <v>359</v>
      </c>
      <c r="D301" s="138">
        <v>2970000</v>
      </c>
      <c r="E301" t="s">
        <v>366</v>
      </c>
      <c r="F301" s="20" t="s">
        <v>367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354</v>
      </c>
      <c r="C302" t="s">
        <v>360</v>
      </c>
      <c r="D302" s="138">
        <v>3040000</v>
      </c>
      <c r="E302" t="s">
        <v>369</v>
      </c>
      <c r="F302" s="20" t="s">
        <v>370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354</v>
      </c>
      <c r="C303" t="s">
        <v>360</v>
      </c>
      <c r="D303" s="138">
        <v>3040000</v>
      </c>
      <c r="E303" t="s">
        <v>369</v>
      </c>
      <c r="F303" s="20" t="s">
        <v>370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374</v>
      </c>
      <c r="D304" s="138">
        <v>3030000</v>
      </c>
      <c r="E304" t="s">
        <v>368</v>
      </c>
      <c r="F304" s="20" t="s">
        <v>356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363</v>
      </c>
      <c r="C305" t="s">
        <v>359</v>
      </c>
      <c r="D305" s="138">
        <v>2970000</v>
      </c>
      <c r="E305" t="s">
        <v>366</v>
      </c>
      <c r="F305" s="20" t="s">
        <v>367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357</v>
      </c>
      <c r="C306" t="s">
        <v>359</v>
      </c>
      <c r="D306" s="138">
        <v>2970000</v>
      </c>
      <c r="E306" t="s">
        <v>366</v>
      </c>
      <c r="F306" s="20" t="s">
        <v>367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355</v>
      </c>
      <c r="C307" t="s">
        <v>360</v>
      </c>
      <c r="D307" s="138">
        <v>3040000</v>
      </c>
      <c r="E307" t="s">
        <v>369</v>
      </c>
      <c r="F307" s="20" t="s">
        <v>370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361</v>
      </c>
      <c r="C308" t="s">
        <v>375</v>
      </c>
      <c r="D308" s="138">
        <v>3130000</v>
      </c>
      <c r="E308" t="s">
        <v>371</v>
      </c>
      <c r="F308" s="20" t="s">
        <v>372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354</v>
      </c>
      <c r="C309" t="s">
        <v>360</v>
      </c>
      <c r="D309" s="138">
        <v>3040000</v>
      </c>
      <c r="E309" t="s">
        <v>369</v>
      </c>
      <c r="F309" s="20" t="s">
        <v>370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363</v>
      </c>
      <c r="C310" t="s">
        <v>359</v>
      </c>
      <c r="D310" s="138">
        <v>2970000</v>
      </c>
      <c r="E310" t="s">
        <v>366</v>
      </c>
      <c r="F310" s="20" t="s">
        <v>367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357</v>
      </c>
      <c r="C311" t="s">
        <v>359</v>
      </c>
      <c r="D311" s="138">
        <v>2970000</v>
      </c>
      <c r="E311" t="s">
        <v>366</v>
      </c>
      <c r="F311" s="20" t="s">
        <v>367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499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393</v>
      </c>
      <c r="P1" s="171" t="s">
        <v>156</v>
      </c>
      <c r="Q1" s="171" t="s">
        <v>163</v>
      </c>
      <c r="R1" s="171" t="s">
        <v>394</v>
      </c>
      <c r="S1" s="171" t="s">
        <v>160</v>
      </c>
    </row>
    <row r="2" spans="1:19" x14ac:dyDescent="0.25">
      <c r="A2" s="172">
        <v>67.02</v>
      </c>
      <c r="B2" s="172">
        <v>0.68</v>
      </c>
      <c r="C2" s="172">
        <v>57.09</v>
      </c>
      <c r="D2" s="8">
        <v>42946</v>
      </c>
      <c r="E2" s="172">
        <v>0.7</v>
      </c>
      <c r="F2" s="172" t="s">
        <v>459</v>
      </c>
      <c r="G2" s="172">
        <v>285</v>
      </c>
      <c r="H2" s="172">
        <v>1.8E-3</v>
      </c>
      <c r="I2" s="172">
        <v>0.01</v>
      </c>
      <c r="J2" s="172" t="s">
        <v>501</v>
      </c>
      <c r="K2" s="172">
        <v>1018.19</v>
      </c>
      <c r="L2" s="172" t="s">
        <v>500</v>
      </c>
      <c r="M2" s="172">
        <v>67.02</v>
      </c>
      <c r="N2" s="172">
        <v>1501394400</v>
      </c>
      <c r="O2" s="172">
        <v>0</v>
      </c>
      <c r="P2" s="172">
        <v>10</v>
      </c>
      <c r="Q2" s="172">
        <v>228</v>
      </c>
      <c r="R2" s="172">
        <v>2.87</v>
      </c>
      <c r="S2" s="172">
        <v>2.78</v>
      </c>
    </row>
    <row r="3" spans="1:19" x14ac:dyDescent="0.25">
      <c r="A3" s="172">
        <v>65.61</v>
      </c>
      <c r="B3" s="172">
        <v>0.7</v>
      </c>
      <c r="C3" s="172">
        <v>57.33</v>
      </c>
      <c r="D3" s="8">
        <v>42946.041666666664</v>
      </c>
      <c r="E3" s="172">
        <v>0.75</v>
      </c>
      <c r="F3" s="172" t="s">
        <v>459</v>
      </c>
      <c r="G3" s="172">
        <v>285.35000000000002</v>
      </c>
      <c r="H3" s="172">
        <v>2.8E-3</v>
      </c>
      <c r="I3" s="172">
        <v>0.03</v>
      </c>
      <c r="J3" s="172" t="s">
        <v>501</v>
      </c>
      <c r="K3" s="172">
        <v>1018.23</v>
      </c>
      <c r="L3" s="172" t="s">
        <v>500</v>
      </c>
      <c r="M3" s="172">
        <v>65.61</v>
      </c>
      <c r="N3" s="172">
        <v>1501398000</v>
      </c>
      <c r="O3" s="172">
        <v>0</v>
      </c>
      <c r="P3" s="172">
        <v>10</v>
      </c>
      <c r="Q3" s="172">
        <v>117</v>
      </c>
      <c r="R3" s="172">
        <v>3.28</v>
      </c>
      <c r="S3" s="172">
        <v>3.08</v>
      </c>
    </row>
    <row r="4" spans="1:19" x14ac:dyDescent="0.25">
      <c r="A4" s="172">
        <v>65.37</v>
      </c>
      <c r="B4" s="172">
        <v>0.56999999999999995</v>
      </c>
      <c r="C4" s="172">
        <v>57.11</v>
      </c>
      <c r="D4" s="8">
        <v>42946.083333333336</v>
      </c>
      <c r="E4" s="172">
        <v>0.75</v>
      </c>
      <c r="F4" s="172" t="s">
        <v>459</v>
      </c>
      <c r="G4" s="172">
        <v>285.45999999999998</v>
      </c>
      <c r="H4" s="172">
        <v>0</v>
      </c>
      <c r="I4" s="172">
        <v>0</v>
      </c>
      <c r="J4" s="172"/>
      <c r="K4" s="172">
        <v>1018.08</v>
      </c>
      <c r="L4" s="172" t="s">
        <v>458</v>
      </c>
      <c r="M4" s="172">
        <v>65.37</v>
      </c>
      <c r="N4" s="172">
        <v>1501401600</v>
      </c>
      <c r="O4" s="172">
        <v>0</v>
      </c>
      <c r="P4" s="172">
        <v>10</v>
      </c>
      <c r="Q4" s="172">
        <v>186</v>
      </c>
      <c r="R4" s="172">
        <v>3.5</v>
      </c>
      <c r="S4" s="172">
        <v>3.48</v>
      </c>
    </row>
    <row r="5" spans="1:19" x14ac:dyDescent="0.25">
      <c r="A5" s="172">
        <v>65.36</v>
      </c>
      <c r="B5" s="172">
        <v>0.6</v>
      </c>
      <c r="C5" s="172">
        <v>56.98</v>
      </c>
      <c r="D5" s="8">
        <v>42946.125</v>
      </c>
      <c r="E5" s="172">
        <v>0.74</v>
      </c>
      <c r="F5" s="172" t="s">
        <v>459</v>
      </c>
      <c r="G5" s="172">
        <v>285.81</v>
      </c>
      <c r="H5" s="172">
        <v>0</v>
      </c>
      <c r="I5" s="172">
        <v>0</v>
      </c>
      <c r="J5" s="172"/>
      <c r="K5" s="172">
        <v>1017.97</v>
      </c>
      <c r="L5" s="172" t="s">
        <v>500</v>
      </c>
      <c r="M5" s="172">
        <v>65.36</v>
      </c>
      <c r="N5" s="172">
        <v>1501405200</v>
      </c>
      <c r="O5" s="172">
        <v>0</v>
      </c>
      <c r="P5" s="172">
        <v>10</v>
      </c>
      <c r="Q5" s="172">
        <v>217</v>
      </c>
      <c r="R5" s="172">
        <v>3.98</v>
      </c>
      <c r="S5" s="172">
        <v>3.33</v>
      </c>
    </row>
    <row r="6" spans="1:19" x14ac:dyDescent="0.25">
      <c r="A6" s="172">
        <v>65.38</v>
      </c>
      <c r="B6" s="172">
        <v>0.52</v>
      </c>
      <c r="C6" s="172">
        <v>56.77</v>
      </c>
      <c r="D6" s="8">
        <v>42946.166666666664</v>
      </c>
      <c r="E6" s="172">
        <v>0.74</v>
      </c>
      <c r="F6" s="172" t="s">
        <v>459</v>
      </c>
      <c r="G6" s="172">
        <v>286.38</v>
      </c>
      <c r="H6" s="172">
        <v>0</v>
      </c>
      <c r="I6" s="172">
        <v>0</v>
      </c>
      <c r="J6" s="172"/>
      <c r="K6" s="172">
        <v>1018.08</v>
      </c>
      <c r="L6" s="172" t="s">
        <v>458</v>
      </c>
      <c r="M6" s="172">
        <v>65.38</v>
      </c>
      <c r="N6" s="172">
        <v>1501408800</v>
      </c>
      <c r="O6" s="172">
        <v>0</v>
      </c>
      <c r="P6" s="172">
        <v>10</v>
      </c>
      <c r="Q6" s="172">
        <v>273</v>
      </c>
      <c r="R6" s="172">
        <v>3.43</v>
      </c>
      <c r="S6" s="172">
        <v>2.78</v>
      </c>
    </row>
    <row r="7" spans="1:19" x14ac:dyDescent="0.25">
      <c r="A7" s="172">
        <v>64.34</v>
      </c>
      <c r="B7" s="172">
        <v>0.47</v>
      </c>
      <c r="C7" s="172">
        <v>56.4</v>
      </c>
      <c r="D7" s="8">
        <v>42946.208333333336</v>
      </c>
      <c r="E7" s="172">
        <v>0.75</v>
      </c>
      <c r="F7" s="172" t="s">
        <v>459</v>
      </c>
      <c r="G7" s="172">
        <v>287.07</v>
      </c>
      <c r="H7" s="172">
        <v>0</v>
      </c>
      <c r="I7" s="172">
        <v>0</v>
      </c>
      <c r="J7" s="172"/>
      <c r="K7" s="172">
        <v>1018.31</v>
      </c>
      <c r="L7" s="172" t="s">
        <v>458</v>
      </c>
      <c r="M7" s="172">
        <v>64.34</v>
      </c>
      <c r="N7" s="172">
        <v>1501412400</v>
      </c>
      <c r="O7" s="172">
        <v>0</v>
      </c>
      <c r="P7" s="172">
        <v>9.84</v>
      </c>
      <c r="Q7" s="172">
        <v>278</v>
      </c>
      <c r="R7" s="172">
        <v>3.22</v>
      </c>
      <c r="S7" s="172">
        <v>2.69</v>
      </c>
    </row>
    <row r="8" spans="1:19" x14ac:dyDescent="0.25">
      <c r="A8" s="172">
        <v>63.01</v>
      </c>
      <c r="B8" s="172">
        <v>0.46</v>
      </c>
      <c r="C8" s="172">
        <v>56.26</v>
      </c>
      <c r="D8" s="8">
        <v>42946.25</v>
      </c>
      <c r="E8" s="172">
        <v>0.79</v>
      </c>
      <c r="F8" s="172" t="s">
        <v>459</v>
      </c>
      <c r="G8" s="172">
        <v>290.16000000000003</v>
      </c>
      <c r="H8" s="172">
        <v>0</v>
      </c>
      <c r="I8" s="172">
        <v>0</v>
      </c>
      <c r="J8" s="172"/>
      <c r="K8" s="172">
        <v>1018.38</v>
      </c>
      <c r="L8" s="172" t="s">
        <v>458</v>
      </c>
      <c r="M8" s="172">
        <v>63.01</v>
      </c>
      <c r="N8" s="172">
        <v>1501416000</v>
      </c>
      <c r="O8" s="172">
        <v>0</v>
      </c>
      <c r="P8" s="172">
        <v>8.84</v>
      </c>
      <c r="Q8" s="172">
        <v>313</v>
      </c>
      <c r="R8" s="172">
        <v>4.5599999999999996</v>
      </c>
      <c r="S8" s="172">
        <v>2.93</v>
      </c>
    </row>
    <row r="9" spans="1:19" x14ac:dyDescent="0.25">
      <c r="A9" s="172">
        <v>64.3</v>
      </c>
      <c r="B9" s="172">
        <v>0.33</v>
      </c>
      <c r="C9" s="172">
        <v>55.93</v>
      </c>
      <c r="D9" s="8">
        <v>42946.291666666664</v>
      </c>
      <c r="E9" s="172">
        <v>0.74</v>
      </c>
      <c r="F9" s="172" t="s">
        <v>457</v>
      </c>
      <c r="G9" s="172">
        <v>290.5</v>
      </c>
      <c r="H9" s="172">
        <v>0</v>
      </c>
      <c r="I9" s="172">
        <v>0</v>
      </c>
      <c r="J9" s="172"/>
      <c r="K9" s="172">
        <v>1018.53</v>
      </c>
      <c r="L9" s="172" t="s">
        <v>458</v>
      </c>
      <c r="M9" s="172">
        <v>64.3</v>
      </c>
      <c r="N9" s="172">
        <v>1501419600</v>
      </c>
      <c r="O9" s="172">
        <v>0</v>
      </c>
      <c r="P9" s="172">
        <v>9.44</v>
      </c>
      <c r="Q9" s="172">
        <v>301</v>
      </c>
      <c r="R9" s="172">
        <v>5.28</v>
      </c>
      <c r="S9" s="172">
        <v>3.22</v>
      </c>
    </row>
    <row r="10" spans="1:19" x14ac:dyDescent="0.25">
      <c r="A10" s="172">
        <v>67.27</v>
      </c>
      <c r="B10" s="172">
        <v>0.25</v>
      </c>
      <c r="C10" s="172">
        <v>56.26</v>
      </c>
      <c r="D10" s="8">
        <v>42946.333333333336</v>
      </c>
      <c r="E10" s="172">
        <v>0.68</v>
      </c>
      <c r="F10" s="172" t="s">
        <v>457</v>
      </c>
      <c r="G10" s="172">
        <v>290.27999999999997</v>
      </c>
      <c r="H10" s="172">
        <v>0</v>
      </c>
      <c r="I10" s="172">
        <v>0</v>
      </c>
      <c r="J10" s="172"/>
      <c r="K10" s="172">
        <v>1018.49</v>
      </c>
      <c r="L10" s="172" t="s">
        <v>458</v>
      </c>
      <c r="M10" s="172">
        <v>67.27</v>
      </c>
      <c r="N10" s="172">
        <v>1501423200</v>
      </c>
      <c r="O10" s="172">
        <v>1</v>
      </c>
      <c r="P10" s="172">
        <v>10</v>
      </c>
      <c r="Q10" s="172">
        <v>341</v>
      </c>
      <c r="R10" s="172">
        <v>3.72</v>
      </c>
      <c r="S10" s="172">
        <v>3.32</v>
      </c>
    </row>
    <row r="11" spans="1:19" x14ac:dyDescent="0.25">
      <c r="A11" s="172">
        <v>71.87</v>
      </c>
      <c r="B11" s="172">
        <v>0.19</v>
      </c>
      <c r="C11" s="172">
        <v>56.07</v>
      </c>
      <c r="D11" s="8">
        <v>42946.375</v>
      </c>
      <c r="E11" s="172">
        <v>0.57999999999999996</v>
      </c>
      <c r="F11" s="172" t="s">
        <v>862</v>
      </c>
      <c r="G11" s="172">
        <v>290.05</v>
      </c>
      <c r="H11" s="172">
        <v>0</v>
      </c>
      <c r="I11" s="172">
        <v>0</v>
      </c>
      <c r="J11" s="172"/>
      <c r="K11" s="172">
        <v>1017.96</v>
      </c>
      <c r="L11" s="172" t="s">
        <v>863</v>
      </c>
      <c r="M11" s="172">
        <v>71.87</v>
      </c>
      <c r="N11" s="172">
        <v>1501426800</v>
      </c>
      <c r="O11" s="172">
        <v>2</v>
      </c>
      <c r="P11" s="172">
        <v>10</v>
      </c>
      <c r="Q11" s="172">
        <v>10</v>
      </c>
      <c r="R11" s="172">
        <v>5.07</v>
      </c>
      <c r="S11" s="172">
        <v>3.53</v>
      </c>
    </row>
    <row r="12" spans="1:19" x14ac:dyDescent="0.25">
      <c r="A12" s="172">
        <v>74.75</v>
      </c>
      <c r="B12" s="172">
        <v>0.16</v>
      </c>
      <c r="C12" s="172">
        <v>55.62</v>
      </c>
      <c r="D12" s="8">
        <v>42946.416666666664</v>
      </c>
      <c r="E12" s="172">
        <v>0.51</v>
      </c>
      <c r="F12" s="172" t="s">
        <v>862</v>
      </c>
      <c r="G12" s="172">
        <v>289.82</v>
      </c>
      <c r="H12" s="172">
        <v>0</v>
      </c>
      <c r="I12" s="172">
        <v>0</v>
      </c>
      <c r="J12" s="172"/>
      <c r="K12" s="172">
        <v>1017.56</v>
      </c>
      <c r="L12" s="172" t="s">
        <v>863</v>
      </c>
      <c r="M12" s="172">
        <v>74.75</v>
      </c>
      <c r="N12" s="172">
        <v>1501430400</v>
      </c>
      <c r="O12" s="172">
        <v>4</v>
      </c>
      <c r="P12" s="172">
        <v>10</v>
      </c>
      <c r="Q12" s="172">
        <v>28</v>
      </c>
      <c r="R12" s="172">
        <v>4.79</v>
      </c>
      <c r="S12" s="172">
        <v>3.84</v>
      </c>
    </row>
    <row r="13" spans="1:19" x14ac:dyDescent="0.25">
      <c r="A13" s="172">
        <v>78.260000000000005</v>
      </c>
      <c r="B13" s="172">
        <v>0.24</v>
      </c>
      <c r="C13" s="172">
        <v>55.31</v>
      </c>
      <c r="D13" s="8">
        <v>42946.458333333336</v>
      </c>
      <c r="E13" s="172">
        <v>0.45</v>
      </c>
      <c r="F13" s="172" t="s">
        <v>862</v>
      </c>
      <c r="G13" s="172">
        <v>289.48</v>
      </c>
      <c r="H13" s="172">
        <v>0</v>
      </c>
      <c r="I13" s="172">
        <v>0</v>
      </c>
      <c r="J13" s="172"/>
      <c r="K13" s="172">
        <v>1017.2</v>
      </c>
      <c r="L13" s="172" t="s">
        <v>863</v>
      </c>
      <c r="M13" s="172">
        <v>78.260000000000005</v>
      </c>
      <c r="N13" s="172">
        <v>1501434000</v>
      </c>
      <c r="O13" s="172">
        <v>7</v>
      </c>
      <c r="P13" s="172">
        <v>10</v>
      </c>
      <c r="Q13" s="172">
        <v>42</v>
      </c>
      <c r="R13" s="172">
        <v>5.55</v>
      </c>
      <c r="S13" s="172">
        <v>4.6100000000000003</v>
      </c>
    </row>
    <row r="14" spans="1:19" x14ac:dyDescent="0.25">
      <c r="A14" s="172">
        <v>82.48</v>
      </c>
      <c r="B14" s="172">
        <v>0.44</v>
      </c>
      <c r="C14" s="172">
        <v>56.43</v>
      </c>
      <c r="D14" s="8">
        <v>42946.5</v>
      </c>
      <c r="E14" s="172">
        <v>0.41</v>
      </c>
      <c r="F14" s="172" t="s">
        <v>457</v>
      </c>
      <c r="G14" s="172">
        <v>290.95</v>
      </c>
      <c r="H14" s="172">
        <v>0</v>
      </c>
      <c r="I14" s="172">
        <v>0</v>
      </c>
      <c r="J14" s="172"/>
      <c r="K14" s="172">
        <v>1016.77</v>
      </c>
      <c r="L14" s="172" t="s">
        <v>458</v>
      </c>
      <c r="M14" s="172">
        <v>82.48</v>
      </c>
      <c r="N14" s="172">
        <v>1501437600</v>
      </c>
      <c r="O14" s="172">
        <v>8</v>
      </c>
      <c r="P14" s="172">
        <v>10</v>
      </c>
      <c r="Q14" s="172">
        <v>68</v>
      </c>
      <c r="R14" s="172">
        <v>4.09</v>
      </c>
      <c r="S14" s="172">
        <v>3.94</v>
      </c>
    </row>
    <row r="15" spans="1:19" x14ac:dyDescent="0.25">
      <c r="A15" s="172">
        <v>84.27</v>
      </c>
      <c r="B15" s="172">
        <v>0.41</v>
      </c>
      <c r="C15" s="172">
        <v>55.73</v>
      </c>
      <c r="D15" s="8">
        <v>42946.541666666664</v>
      </c>
      <c r="E15" s="172">
        <v>0.38</v>
      </c>
      <c r="F15" s="172" t="s">
        <v>457</v>
      </c>
      <c r="G15" s="172">
        <v>290.95</v>
      </c>
      <c r="H15" s="172">
        <v>0</v>
      </c>
      <c r="I15" s="172">
        <v>0</v>
      </c>
      <c r="J15" s="172"/>
      <c r="K15" s="172">
        <v>1016.15</v>
      </c>
      <c r="L15" s="172" t="s">
        <v>458</v>
      </c>
      <c r="M15" s="172">
        <v>84.27</v>
      </c>
      <c r="N15" s="172">
        <v>1501441200</v>
      </c>
      <c r="O15" s="172">
        <v>9</v>
      </c>
      <c r="P15" s="172">
        <v>10</v>
      </c>
      <c r="Q15" s="172">
        <v>71</v>
      </c>
      <c r="R15" s="172">
        <v>4.6399999999999997</v>
      </c>
      <c r="S15" s="172">
        <v>3.9</v>
      </c>
    </row>
    <row r="16" spans="1:19" x14ac:dyDescent="0.25">
      <c r="A16" s="172">
        <v>84.72</v>
      </c>
      <c r="B16" s="172">
        <v>0.54</v>
      </c>
      <c r="C16" s="172">
        <v>55.07</v>
      </c>
      <c r="D16" s="8">
        <v>42946.583333333336</v>
      </c>
      <c r="E16" s="172">
        <v>0.36</v>
      </c>
      <c r="F16" s="172" t="s">
        <v>457</v>
      </c>
      <c r="G16" s="172">
        <v>290.83999999999997</v>
      </c>
      <c r="H16" s="172">
        <v>4.1000000000000003E-3</v>
      </c>
      <c r="I16" s="172">
        <v>0.01</v>
      </c>
      <c r="J16" s="172" t="s">
        <v>501</v>
      </c>
      <c r="K16" s="172">
        <v>1015.61</v>
      </c>
      <c r="L16" s="172" t="s">
        <v>458</v>
      </c>
      <c r="M16" s="172">
        <v>84.72</v>
      </c>
      <c r="N16" s="172">
        <v>1501444800</v>
      </c>
      <c r="O16" s="172">
        <v>8</v>
      </c>
      <c r="P16" s="172">
        <v>10</v>
      </c>
      <c r="Q16" s="172">
        <v>31</v>
      </c>
      <c r="R16" s="172">
        <v>4.75</v>
      </c>
      <c r="S16" s="172">
        <v>3.5</v>
      </c>
    </row>
    <row r="17" spans="1:19" x14ac:dyDescent="0.25">
      <c r="A17" s="172">
        <v>83.56</v>
      </c>
      <c r="B17" s="172">
        <v>0.68</v>
      </c>
      <c r="C17" s="172">
        <v>54.66</v>
      </c>
      <c r="D17" s="8">
        <v>42946.625</v>
      </c>
      <c r="E17" s="172">
        <v>0.37</v>
      </c>
      <c r="F17" s="172" t="s">
        <v>501</v>
      </c>
      <c r="G17" s="172">
        <v>290.5</v>
      </c>
      <c r="H17" s="172">
        <v>8.6999999999999994E-3</v>
      </c>
      <c r="I17" s="172">
        <v>0.03</v>
      </c>
      <c r="J17" s="172" t="s">
        <v>501</v>
      </c>
      <c r="K17" s="172">
        <v>1015.34</v>
      </c>
      <c r="L17" s="172" t="s">
        <v>502</v>
      </c>
      <c r="M17" s="172">
        <v>83.56</v>
      </c>
      <c r="N17" s="172">
        <v>1501448400</v>
      </c>
      <c r="O17" s="172">
        <v>6</v>
      </c>
      <c r="P17" s="172">
        <v>10</v>
      </c>
      <c r="Q17" s="172">
        <v>31</v>
      </c>
      <c r="R17" s="172">
        <v>5.79</v>
      </c>
      <c r="S17" s="172">
        <v>3.78</v>
      </c>
    </row>
    <row r="18" spans="1:19" x14ac:dyDescent="0.25">
      <c r="A18" s="172">
        <v>82.12</v>
      </c>
      <c r="B18" s="172">
        <v>0.68</v>
      </c>
      <c r="C18" s="172">
        <v>54.67</v>
      </c>
      <c r="D18" s="8">
        <v>42946.666666666664</v>
      </c>
      <c r="E18" s="172">
        <v>0.39</v>
      </c>
      <c r="F18" s="172" t="s">
        <v>501</v>
      </c>
      <c r="G18" s="172">
        <v>290.05</v>
      </c>
      <c r="H18" s="172">
        <v>1.3899999999999999E-2</v>
      </c>
      <c r="I18" s="172">
        <v>0.06</v>
      </c>
      <c r="J18" s="172" t="s">
        <v>501</v>
      </c>
      <c r="K18" s="172">
        <v>1015.31</v>
      </c>
      <c r="L18" s="172" t="s">
        <v>503</v>
      </c>
      <c r="M18" s="172">
        <v>82.12</v>
      </c>
      <c r="N18" s="172">
        <v>1501452000</v>
      </c>
      <c r="O18" s="172">
        <v>3</v>
      </c>
      <c r="P18" s="172">
        <v>10</v>
      </c>
      <c r="Q18" s="172">
        <v>64</v>
      </c>
      <c r="R18" s="172">
        <v>3.95</v>
      </c>
      <c r="S18" s="172">
        <v>3.53</v>
      </c>
    </row>
    <row r="19" spans="1:19" x14ac:dyDescent="0.25">
      <c r="A19" s="172">
        <v>80.44</v>
      </c>
      <c r="B19" s="172">
        <v>0.72</v>
      </c>
      <c r="C19" s="172">
        <v>55.03</v>
      </c>
      <c r="D19" s="8">
        <v>42946.708333333336</v>
      </c>
      <c r="E19" s="172">
        <v>0.42</v>
      </c>
      <c r="F19" s="172" t="s">
        <v>457</v>
      </c>
      <c r="G19" s="172">
        <v>289.37</v>
      </c>
      <c r="H19" s="172">
        <v>4.0000000000000001E-3</v>
      </c>
      <c r="I19" s="172">
        <v>0.01</v>
      </c>
      <c r="J19" s="172" t="s">
        <v>501</v>
      </c>
      <c r="K19" s="172">
        <v>1015.67</v>
      </c>
      <c r="L19" s="172" t="s">
        <v>500</v>
      </c>
      <c r="M19" s="172">
        <v>80.44</v>
      </c>
      <c r="N19" s="172">
        <v>1501455600</v>
      </c>
      <c r="O19" s="172">
        <v>2</v>
      </c>
      <c r="P19" s="172">
        <v>10</v>
      </c>
      <c r="Q19" s="172">
        <v>69</v>
      </c>
      <c r="R19" s="172">
        <v>6.03</v>
      </c>
      <c r="S19" s="172">
        <v>4.43</v>
      </c>
    </row>
    <row r="20" spans="1:19" x14ac:dyDescent="0.25">
      <c r="A20" s="172">
        <v>80.349999999999994</v>
      </c>
      <c r="B20" s="172">
        <v>0.62</v>
      </c>
      <c r="C20" s="172">
        <v>54.91</v>
      </c>
      <c r="D20" s="8">
        <v>42946.75</v>
      </c>
      <c r="E20" s="172">
        <v>0.42</v>
      </c>
      <c r="F20" s="172" t="s">
        <v>501</v>
      </c>
      <c r="G20" s="172">
        <v>288.69</v>
      </c>
      <c r="H20" s="172">
        <v>5.1999999999999998E-3</v>
      </c>
      <c r="I20" s="172">
        <v>0.02</v>
      </c>
      <c r="J20" s="172" t="s">
        <v>501</v>
      </c>
      <c r="K20" s="172">
        <v>1015.64</v>
      </c>
      <c r="L20" s="172" t="s">
        <v>502</v>
      </c>
      <c r="M20" s="172">
        <v>80.349999999999994</v>
      </c>
      <c r="N20" s="172">
        <v>1501459200</v>
      </c>
      <c r="O20" s="172">
        <v>1</v>
      </c>
      <c r="P20" s="172">
        <v>10</v>
      </c>
      <c r="Q20" s="172">
        <v>49</v>
      </c>
      <c r="R20" s="172">
        <v>7.16</v>
      </c>
      <c r="S20" s="172">
        <v>5.25</v>
      </c>
    </row>
    <row r="21" spans="1:19" x14ac:dyDescent="0.25">
      <c r="A21" s="172">
        <v>78.06</v>
      </c>
      <c r="B21" s="172">
        <v>0.71</v>
      </c>
      <c r="C21" s="172">
        <v>55.42</v>
      </c>
      <c r="D21" s="8">
        <v>42946.791666666664</v>
      </c>
      <c r="E21" s="172">
        <v>0.46</v>
      </c>
      <c r="F21" s="172" t="s">
        <v>501</v>
      </c>
      <c r="G21" s="172">
        <v>287.88</v>
      </c>
      <c r="H21" s="172">
        <v>8.8999999999999999E-3</v>
      </c>
      <c r="I21" s="172">
        <v>7.0000000000000007E-2</v>
      </c>
      <c r="J21" s="172" t="s">
        <v>501</v>
      </c>
      <c r="K21" s="172">
        <v>1016.08</v>
      </c>
      <c r="L21" s="172" t="s">
        <v>502</v>
      </c>
      <c r="M21" s="172">
        <v>78.06</v>
      </c>
      <c r="N21" s="172">
        <v>1501462800</v>
      </c>
      <c r="O21" s="172">
        <v>0</v>
      </c>
      <c r="P21" s="172">
        <v>10</v>
      </c>
      <c r="Q21" s="172">
        <v>51</v>
      </c>
      <c r="R21" s="172">
        <v>8.74</v>
      </c>
      <c r="S21" s="172">
        <v>5.55</v>
      </c>
    </row>
    <row r="22" spans="1:19" x14ac:dyDescent="0.25">
      <c r="A22" s="172">
        <v>75.010000000000005</v>
      </c>
      <c r="B22" s="172">
        <v>0.66</v>
      </c>
      <c r="C22" s="172">
        <v>56</v>
      </c>
      <c r="D22" s="8">
        <v>42946.833333333336</v>
      </c>
      <c r="E22" s="172">
        <v>0.52</v>
      </c>
      <c r="F22" s="172" t="s">
        <v>501</v>
      </c>
      <c r="G22" s="172">
        <v>286.95999999999998</v>
      </c>
      <c r="H22" s="172">
        <v>1.43E-2</v>
      </c>
      <c r="I22" s="172">
        <v>0.13</v>
      </c>
      <c r="J22" s="172" t="s">
        <v>501</v>
      </c>
      <c r="K22" s="172">
        <v>1016.6</v>
      </c>
      <c r="L22" s="172" t="s">
        <v>503</v>
      </c>
      <c r="M22" s="172">
        <v>75.010000000000005</v>
      </c>
      <c r="N22" s="172">
        <v>1501466400</v>
      </c>
      <c r="O22" s="172">
        <v>0</v>
      </c>
      <c r="P22" s="172">
        <v>9.4700000000000006</v>
      </c>
      <c r="Q22" s="172">
        <v>73</v>
      </c>
      <c r="R22" s="172">
        <v>4.37</v>
      </c>
      <c r="S22" s="172">
        <v>3.26</v>
      </c>
    </row>
    <row r="23" spans="1:19" x14ac:dyDescent="0.25">
      <c r="A23" s="172">
        <v>72.62</v>
      </c>
      <c r="B23" s="172">
        <v>0.68</v>
      </c>
      <c r="C23" s="172">
        <v>56.27</v>
      </c>
      <c r="D23" s="8">
        <v>42946.875</v>
      </c>
      <c r="E23" s="172">
        <v>0.56999999999999995</v>
      </c>
      <c r="F23" s="172" t="s">
        <v>501</v>
      </c>
      <c r="G23" s="172">
        <v>286.27</v>
      </c>
      <c r="H23" s="172">
        <v>1.6500000000000001E-2</v>
      </c>
      <c r="I23" s="172">
        <v>0.15</v>
      </c>
      <c r="J23" s="172" t="s">
        <v>501</v>
      </c>
      <c r="K23" s="172">
        <v>1016.88</v>
      </c>
      <c r="L23" s="172" t="s">
        <v>503</v>
      </c>
      <c r="M23" s="172">
        <v>72.62</v>
      </c>
      <c r="N23" s="172">
        <v>1501470000</v>
      </c>
      <c r="O23" s="172">
        <v>0</v>
      </c>
      <c r="P23" s="172">
        <v>9.27</v>
      </c>
      <c r="Q23" s="172">
        <v>149</v>
      </c>
      <c r="R23" s="172">
        <v>4.5</v>
      </c>
      <c r="S23" s="172">
        <v>2.83</v>
      </c>
    </row>
    <row r="24" spans="1:19" x14ac:dyDescent="0.25">
      <c r="A24" s="172">
        <v>70.239999999999995</v>
      </c>
      <c r="B24" s="172">
        <v>0.71</v>
      </c>
      <c r="C24" s="172">
        <v>56.57</v>
      </c>
      <c r="D24" s="8">
        <v>42946.916666666664</v>
      </c>
      <c r="E24" s="172">
        <v>0.62</v>
      </c>
      <c r="F24" s="172" t="s">
        <v>501</v>
      </c>
      <c r="G24" s="172">
        <v>285.81</v>
      </c>
      <c r="H24" s="172">
        <v>1.17E-2</v>
      </c>
      <c r="I24" s="172">
        <v>0.14000000000000001</v>
      </c>
      <c r="J24" s="172" t="s">
        <v>501</v>
      </c>
      <c r="K24" s="172">
        <v>1017.06</v>
      </c>
      <c r="L24" s="172" t="s">
        <v>503</v>
      </c>
      <c r="M24" s="172">
        <v>70.239999999999995</v>
      </c>
      <c r="N24" s="172">
        <v>1501473600</v>
      </c>
      <c r="O24" s="172">
        <v>0</v>
      </c>
      <c r="P24" s="172">
        <v>9.69</v>
      </c>
      <c r="Q24" s="172">
        <v>174</v>
      </c>
      <c r="R24" s="172">
        <v>4.4000000000000004</v>
      </c>
      <c r="S24" s="172">
        <v>2.59</v>
      </c>
    </row>
    <row r="25" spans="1:19" x14ac:dyDescent="0.25">
      <c r="A25" s="172">
        <v>68.400000000000006</v>
      </c>
      <c r="B25" s="172">
        <v>0.65</v>
      </c>
      <c r="C25" s="172">
        <v>56.88</v>
      </c>
      <c r="D25" s="8">
        <v>42946.958333333336</v>
      </c>
      <c r="E25" s="172">
        <v>0.67</v>
      </c>
      <c r="F25" s="172" t="s">
        <v>501</v>
      </c>
      <c r="G25" s="172">
        <v>285.45999999999998</v>
      </c>
      <c r="H25" s="172">
        <v>8.6E-3</v>
      </c>
      <c r="I25" s="172">
        <v>0.11</v>
      </c>
      <c r="J25" s="172" t="s">
        <v>501</v>
      </c>
      <c r="K25" s="172">
        <v>1017.27</v>
      </c>
      <c r="L25" s="172" t="s">
        <v>502</v>
      </c>
      <c r="M25" s="172">
        <v>68.400000000000006</v>
      </c>
      <c r="N25" s="172">
        <v>1501477200</v>
      </c>
      <c r="O25" s="172">
        <v>0</v>
      </c>
      <c r="P25" s="172">
        <v>10</v>
      </c>
      <c r="Q25" s="172">
        <v>190</v>
      </c>
      <c r="R25" s="172">
        <v>4.51</v>
      </c>
      <c r="S25" s="172">
        <v>2.81</v>
      </c>
    </row>
    <row r="26" spans="1:19" x14ac:dyDescent="0.25">
      <c r="A26" s="172">
        <v>67.19</v>
      </c>
      <c r="B26" s="172">
        <v>0.6</v>
      </c>
      <c r="C26" s="172">
        <v>56.77</v>
      </c>
      <c r="D26" s="8">
        <v>42947</v>
      </c>
      <c r="E26" s="172">
        <v>0.69</v>
      </c>
      <c r="F26" s="172" t="s">
        <v>501</v>
      </c>
      <c r="G26" s="172">
        <v>285.23</v>
      </c>
      <c r="H26" s="172">
        <v>9.4000000000000004E-3</v>
      </c>
      <c r="I26" s="172">
        <v>0.12</v>
      </c>
      <c r="J26" s="172" t="s">
        <v>501</v>
      </c>
      <c r="K26" s="172">
        <v>1017.67</v>
      </c>
      <c r="L26" s="172" t="s">
        <v>503</v>
      </c>
      <c r="M26" s="172">
        <v>67.19</v>
      </c>
      <c r="N26" s="172">
        <v>1501480800</v>
      </c>
      <c r="O26" s="172">
        <v>0</v>
      </c>
      <c r="P26" s="172">
        <v>10</v>
      </c>
      <c r="Q26" s="172">
        <v>202</v>
      </c>
      <c r="R26" s="172">
        <v>6.11</v>
      </c>
      <c r="S26" s="172">
        <v>3.14</v>
      </c>
    </row>
    <row r="27" spans="1:19" x14ac:dyDescent="0.25">
      <c r="A27" s="172">
        <v>66.400000000000006</v>
      </c>
      <c r="B27" s="172">
        <v>0.51</v>
      </c>
      <c r="C27" s="172">
        <v>56.41</v>
      </c>
      <c r="D27" s="8">
        <v>42947.041666666664</v>
      </c>
      <c r="E27" s="172">
        <v>0.7</v>
      </c>
      <c r="F27" s="172" t="s">
        <v>501</v>
      </c>
      <c r="G27" s="172">
        <v>285.01</v>
      </c>
      <c r="H27" s="172">
        <v>6.4000000000000003E-3</v>
      </c>
      <c r="I27" s="172">
        <v>0.06</v>
      </c>
      <c r="J27" s="172" t="s">
        <v>501</v>
      </c>
      <c r="K27" s="172">
        <v>1018.04</v>
      </c>
      <c r="L27" s="172" t="s">
        <v>502</v>
      </c>
      <c r="M27" s="172">
        <v>66.400000000000006</v>
      </c>
      <c r="N27" s="172">
        <v>1501484400</v>
      </c>
      <c r="O27" s="172">
        <v>0</v>
      </c>
      <c r="P27" s="172">
        <v>10</v>
      </c>
      <c r="Q27" s="172">
        <v>207</v>
      </c>
      <c r="R27" s="172">
        <v>6.94</v>
      </c>
      <c r="S27" s="172">
        <v>3.11</v>
      </c>
    </row>
    <row r="28" spans="1:19" x14ac:dyDescent="0.25">
      <c r="A28" s="172">
        <v>65.83</v>
      </c>
      <c r="B28" s="172">
        <v>0.38</v>
      </c>
      <c r="C28" s="172">
        <v>55.9</v>
      </c>
      <c r="D28" s="8">
        <v>42947.083333333336</v>
      </c>
      <c r="E28" s="172">
        <v>0.7</v>
      </c>
      <c r="F28" s="172" t="s">
        <v>459</v>
      </c>
      <c r="G28" s="172">
        <v>284.89999999999998</v>
      </c>
      <c r="H28" s="172">
        <v>3.3999999999999998E-3</v>
      </c>
      <c r="I28" s="172">
        <v>0.02</v>
      </c>
      <c r="J28" s="172" t="s">
        <v>501</v>
      </c>
      <c r="K28" s="172">
        <v>1018.15</v>
      </c>
      <c r="L28" s="172" t="s">
        <v>458</v>
      </c>
      <c r="M28" s="172">
        <v>65.83</v>
      </c>
      <c r="N28" s="172">
        <v>1501488000</v>
      </c>
      <c r="O28" s="172">
        <v>0</v>
      </c>
      <c r="P28" s="172">
        <v>10</v>
      </c>
      <c r="Q28" s="172">
        <v>282</v>
      </c>
      <c r="R28" s="172">
        <v>6.37</v>
      </c>
      <c r="S28" s="172">
        <v>3.55</v>
      </c>
    </row>
    <row r="29" spans="1:19" x14ac:dyDescent="0.25">
      <c r="A29" s="172">
        <v>66.180000000000007</v>
      </c>
      <c r="B29" s="172">
        <v>0.28999999999999998</v>
      </c>
      <c r="C29" s="172">
        <v>55.51</v>
      </c>
      <c r="D29" s="8">
        <v>42947.125</v>
      </c>
      <c r="E29" s="172">
        <v>0.69</v>
      </c>
      <c r="F29" s="172" t="s">
        <v>459</v>
      </c>
      <c r="G29" s="172">
        <v>285.02999999999997</v>
      </c>
      <c r="H29" s="172">
        <v>1.8E-3</v>
      </c>
      <c r="I29" s="172">
        <v>0.01</v>
      </c>
      <c r="J29" s="172" t="s">
        <v>501</v>
      </c>
      <c r="K29" s="172">
        <v>1018.38</v>
      </c>
      <c r="L29" s="172" t="s">
        <v>458</v>
      </c>
      <c r="M29" s="172">
        <v>66.180000000000007</v>
      </c>
      <c r="N29" s="172">
        <v>1501491600</v>
      </c>
      <c r="O29" s="172">
        <v>0</v>
      </c>
      <c r="P29" s="172">
        <v>9.98</v>
      </c>
      <c r="Q29" s="172">
        <v>299</v>
      </c>
      <c r="R29" s="172">
        <v>8.02</v>
      </c>
      <c r="S29" s="172">
        <v>3.6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9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42946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397</v>
      </c>
      <c r="AE2" s="56" t="s">
        <v>400</v>
      </c>
      <c r="AF2" s="56" t="s">
        <v>401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398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384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399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385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402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1022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1023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1024</v>
      </c>
      <c r="J20" s="140" t="s">
        <v>87</v>
      </c>
      <c r="M20" s="154" t="s">
        <v>353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1025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1026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1027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1028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1029</v>
      </c>
      <c r="J25" s="140" t="s">
        <v>146</v>
      </c>
      <c r="M25" s="154" t="b">
        <v>1</v>
      </c>
    </row>
    <row r="26" spans="3:24" x14ac:dyDescent="0.25">
      <c r="C26" t="s">
        <v>1030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C:\Users\stu\Documents\GitHub\eaglep3-reporting\EC\2017-07-30-refined-times.txt</v>
      </c>
    </row>
    <row r="27" spans="3:24" x14ac:dyDescent="0.25">
      <c r="C27" t="s">
        <v>1031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C:\Users\stu\Documents\GitHub\eaglep3-reporting\EC\2017-07-30-Enforcements.txt</v>
      </c>
    </row>
    <row r="28" spans="3:24" x14ac:dyDescent="0.25">
      <c r="C28" t="s">
        <v>1032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C:\Users\stu\Documents\GitHub\eaglep3-reporting\EC\2017-07-30-Runs-refined.txt</v>
      </c>
    </row>
    <row r="29" spans="3:24" x14ac:dyDescent="0.25">
      <c r="C29" t="s">
        <v>1033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C:\Users\stu\Documents\GitHub\eaglep3-reporting\EC\2017-07-30-Trips.txt</v>
      </c>
    </row>
    <row r="30" spans="3:24" x14ac:dyDescent="0.25">
      <c r="C30" t="s">
        <v>1034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C:\Users\stu\Documents\GitHub\eaglep3-reporting\EC\2017-07-30-Weather.txt</v>
      </c>
    </row>
    <row r="31" spans="3:24" x14ac:dyDescent="0.25">
      <c r="C31" t="s">
        <v>1035</v>
      </c>
      <c r="J31" s="140" t="s">
        <v>194</v>
      </c>
      <c r="M31" s="154" t="s">
        <v>195</v>
      </c>
    </row>
    <row r="32" spans="3:24" x14ac:dyDescent="0.25">
      <c r="C32" t="s">
        <v>1036</v>
      </c>
    </row>
    <row r="33" spans="3:3" x14ac:dyDescent="0.25">
      <c r="C33" t="s">
        <v>1037</v>
      </c>
    </row>
    <row r="34" spans="3:3" x14ac:dyDescent="0.25">
      <c r="C34" t="s">
        <v>1038</v>
      </c>
    </row>
    <row r="35" spans="3:3" x14ac:dyDescent="0.25">
      <c r="C35" t="s">
        <v>1039</v>
      </c>
    </row>
    <row r="36" spans="3:3" x14ac:dyDescent="0.25">
      <c r="C36" t="s">
        <v>1040</v>
      </c>
    </row>
    <row r="37" spans="3:3" x14ac:dyDescent="0.25">
      <c r="C37" t="s">
        <v>1041</v>
      </c>
    </row>
    <row r="38" spans="3:3" x14ac:dyDescent="0.25">
      <c r="C38" t="s">
        <v>1042</v>
      </c>
    </row>
    <row r="39" spans="3:3" x14ac:dyDescent="0.25">
      <c r="C39" t="s">
        <v>1043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2017-08-01T15:38:23Z</dcterms:modified>
</cp:coreProperties>
</file>