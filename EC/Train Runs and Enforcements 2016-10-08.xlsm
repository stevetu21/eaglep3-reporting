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2" i="1" l="1"/>
  <c r="L32" i="1"/>
  <c r="M32" i="1"/>
  <c r="V32" i="1"/>
  <c r="AA32" i="1"/>
  <c r="AB32" i="1"/>
  <c r="AC32" i="1"/>
  <c r="AD32" i="1"/>
  <c r="AG32" i="1" s="1"/>
  <c r="AE32" i="1"/>
  <c r="AF32" i="1"/>
  <c r="AH32" i="1"/>
  <c r="T32" i="1" l="1"/>
  <c r="U32" i="1" s="1"/>
  <c r="S32" i="1" s="1"/>
  <c r="X32" i="1"/>
  <c r="AI32" i="1"/>
  <c r="W32" i="1"/>
  <c r="M8" i="3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M32" i="3"/>
  <c r="N32" i="3"/>
  <c r="M33" i="3"/>
  <c r="N33" i="3"/>
  <c r="M34" i="3"/>
  <c r="N34" i="3"/>
  <c r="M35" i="3"/>
  <c r="N35" i="3"/>
  <c r="M36" i="3"/>
  <c r="N36" i="3"/>
  <c r="M37" i="3"/>
  <c r="N37" i="3"/>
  <c r="M38" i="3"/>
  <c r="N38" i="3"/>
  <c r="M39" i="3"/>
  <c r="N39" i="3"/>
  <c r="M40" i="3"/>
  <c r="N40" i="3"/>
  <c r="M41" i="3"/>
  <c r="N41" i="3"/>
  <c r="M42" i="3"/>
  <c r="N42" i="3"/>
  <c r="M43" i="3"/>
  <c r="N43" i="3"/>
  <c r="N7" i="3"/>
  <c r="M7" i="3"/>
  <c r="K150" i="1"/>
  <c r="L150" i="1"/>
  <c r="M150" i="1"/>
  <c r="V150" i="1"/>
  <c r="AA150" i="1"/>
  <c r="AB150" i="1"/>
  <c r="AC150" i="1"/>
  <c r="AD150" i="1"/>
  <c r="AG150" i="1" s="1"/>
  <c r="AE150" i="1"/>
  <c r="AF150" i="1"/>
  <c r="AH150" i="1"/>
  <c r="K142" i="1"/>
  <c r="L142" i="1"/>
  <c r="M142" i="1"/>
  <c r="V142" i="1"/>
  <c r="AA142" i="1"/>
  <c r="AB142" i="1"/>
  <c r="AC142" i="1"/>
  <c r="AD142" i="1"/>
  <c r="AG142" i="1" s="1"/>
  <c r="AE142" i="1"/>
  <c r="AF142" i="1"/>
  <c r="AH142" i="1"/>
  <c r="K33" i="1"/>
  <c r="L33" i="1"/>
  <c r="M33" i="1"/>
  <c r="V33" i="1"/>
  <c r="AA33" i="1"/>
  <c r="AB33" i="1"/>
  <c r="AC33" i="1"/>
  <c r="AD33" i="1"/>
  <c r="AG33" i="1" s="1"/>
  <c r="AE33" i="1"/>
  <c r="AF33" i="1"/>
  <c r="AH33" i="1"/>
  <c r="K17" i="1"/>
  <c r="L17" i="1"/>
  <c r="M17" i="1"/>
  <c r="V17" i="1"/>
  <c r="AA17" i="1"/>
  <c r="AB17" i="1"/>
  <c r="AC17" i="1"/>
  <c r="AD17" i="1"/>
  <c r="T17" i="1" s="1"/>
  <c r="AE17" i="1"/>
  <c r="AF17" i="1"/>
  <c r="AH17" i="1"/>
  <c r="U8" i="3"/>
  <c r="AC8" i="3" s="1"/>
  <c r="V8" i="3"/>
  <c r="W8" i="3"/>
  <c r="X8" i="3"/>
  <c r="U9" i="3"/>
  <c r="T9" i="3" s="1"/>
  <c r="V9" i="3"/>
  <c r="W9" i="3"/>
  <c r="X9" i="3"/>
  <c r="AC9" i="3"/>
  <c r="U10" i="3"/>
  <c r="T10" i="3" s="1"/>
  <c r="V10" i="3"/>
  <c r="W10" i="3"/>
  <c r="X10" i="3"/>
  <c r="AC10" i="3"/>
  <c r="U11" i="3"/>
  <c r="T11" i="3" s="1"/>
  <c r="V11" i="3"/>
  <c r="W11" i="3"/>
  <c r="X11" i="3"/>
  <c r="U12" i="3"/>
  <c r="AC12" i="3" s="1"/>
  <c r="V12" i="3"/>
  <c r="W12" i="3"/>
  <c r="X12" i="3"/>
  <c r="U13" i="3"/>
  <c r="T13" i="3" s="1"/>
  <c r="V13" i="3"/>
  <c r="W13" i="3"/>
  <c r="X13" i="3"/>
  <c r="AC13" i="3"/>
  <c r="U14" i="3"/>
  <c r="T14" i="3" s="1"/>
  <c r="V14" i="3"/>
  <c r="W14" i="3"/>
  <c r="Y14" i="3" s="1"/>
  <c r="X14" i="3"/>
  <c r="AC14" i="3"/>
  <c r="U15" i="3"/>
  <c r="T15" i="3" s="1"/>
  <c r="V15" i="3"/>
  <c r="W15" i="3"/>
  <c r="X15" i="3"/>
  <c r="U16" i="3"/>
  <c r="AC16" i="3" s="1"/>
  <c r="V16" i="3"/>
  <c r="W16" i="3"/>
  <c r="Y16" i="3" s="1"/>
  <c r="X16" i="3"/>
  <c r="U17" i="3"/>
  <c r="T17" i="3" s="1"/>
  <c r="V17" i="3"/>
  <c r="W17" i="3"/>
  <c r="X17" i="3"/>
  <c r="AC17" i="3"/>
  <c r="U18" i="3"/>
  <c r="T18" i="3" s="1"/>
  <c r="V18" i="3"/>
  <c r="W18" i="3"/>
  <c r="X18" i="3"/>
  <c r="AC18" i="3"/>
  <c r="U19" i="3"/>
  <c r="T19" i="3" s="1"/>
  <c r="V19" i="3"/>
  <c r="W19" i="3"/>
  <c r="Y19" i="3" s="1"/>
  <c r="X19" i="3"/>
  <c r="U20" i="3"/>
  <c r="AC20" i="3" s="1"/>
  <c r="V20" i="3"/>
  <c r="W20" i="3"/>
  <c r="X20" i="3"/>
  <c r="U21" i="3"/>
  <c r="T21" i="3" s="1"/>
  <c r="V21" i="3"/>
  <c r="W21" i="3"/>
  <c r="Y21" i="3" s="1"/>
  <c r="X21" i="3"/>
  <c r="AC21" i="3"/>
  <c r="U22" i="3"/>
  <c r="T22" i="3" s="1"/>
  <c r="V22" i="3"/>
  <c r="W22" i="3"/>
  <c r="X22" i="3"/>
  <c r="U23" i="3"/>
  <c r="T23" i="3" s="1"/>
  <c r="V23" i="3"/>
  <c r="W23" i="3"/>
  <c r="X23" i="3"/>
  <c r="U24" i="3"/>
  <c r="AC24" i="3" s="1"/>
  <c r="V24" i="3"/>
  <c r="W24" i="3"/>
  <c r="X24" i="3"/>
  <c r="U25" i="3"/>
  <c r="T25" i="3" s="1"/>
  <c r="V25" i="3"/>
  <c r="W25" i="3"/>
  <c r="X25" i="3"/>
  <c r="AC25" i="3"/>
  <c r="U26" i="3"/>
  <c r="T26" i="3" s="1"/>
  <c r="V26" i="3"/>
  <c r="W26" i="3"/>
  <c r="X26" i="3"/>
  <c r="AC26" i="3"/>
  <c r="U27" i="3"/>
  <c r="T27" i="3" s="1"/>
  <c r="V27" i="3"/>
  <c r="W27" i="3"/>
  <c r="X27" i="3"/>
  <c r="U28" i="3"/>
  <c r="AC28" i="3" s="1"/>
  <c r="V28" i="3"/>
  <c r="W28" i="3"/>
  <c r="X28" i="3"/>
  <c r="U29" i="3"/>
  <c r="T29" i="3" s="1"/>
  <c r="V29" i="3"/>
  <c r="W29" i="3"/>
  <c r="X29" i="3"/>
  <c r="AC29" i="3"/>
  <c r="U30" i="3"/>
  <c r="T30" i="3" s="1"/>
  <c r="V30" i="3"/>
  <c r="W30" i="3"/>
  <c r="X30" i="3"/>
  <c r="AC30" i="3"/>
  <c r="U31" i="3"/>
  <c r="T31" i="3" s="1"/>
  <c r="V31" i="3"/>
  <c r="W31" i="3"/>
  <c r="X31" i="3"/>
  <c r="U32" i="3"/>
  <c r="AC32" i="3" s="1"/>
  <c r="V32" i="3"/>
  <c r="W32" i="3"/>
  <c r="Y32" i="3" s="1"/>
  <c r="X32" i="3"/>
  <c r="U33" i="3"/>
  <c r="T33" i="3" s="1"/>
  <c r="V33" i="3"/>
  <c r="W33" i="3"/>
  <c r="X33" i="3"/>
  <c r="AC33" i="3"/>
  <c r="U34" i="3"/>
  <c r="T34" i="3" s="1"/>
  <c r="V34" i="3"/>
  <c r="W34" i="3"/>
  <c r="X34" i="3"/>
  <c r="AC34" i="3"/>
  <c r="U35" i="3"/>
  <c r="T35" i="3" s="1"/>
  <c r="V35" i="3"/>
  <c r="W35" i="3"/>
  <c r="X35" i="3"/>
  <c r="U36" i="3"/>
  <c r="AC36" i="3" s="1"/>
  <c r="V36" i="3"/>
  <c r="W36" i="3"/>
  <c r="X36" i="3"/>
  <c r="U37" i="3"/>
  <c r="T37" i="3" s="1"/>
  <c r="V37" i="3"/>
  <c r="W37" i="3"/>
  <c r="X37" i="3"/>
  <c r="AC37" i="3"/>
  <c r="U38" i="3"/>
  <c r="T38" i="3" s="1"/>
  <c r="V38" i="3"/>
  <c r="W38" i="3"/>
  <c r="X38" i="3"/>
  <c r="AC38" i="3"/>
  <c r="U39" i="3"/>
  <c r="T39" i="3" s="1"/>
  <c r="V39" i="3"/>
  <c r="W39" i="3"/>
  <c r="X39" i="3"/>
  <c r="U40" i="3"/>
  <c r="AC40" i="3" s="1"/>
  <c r="V40" i="3"/>
  <c r="W40" i="3"/>
  <c r="X40" i="3"/>
  <c r="U41" i="3"/>
  <c r="T41" i="3" s="1"/>
  <c r="V41" i="3"/>
  <c r="W41" i="3"/>
  <c r="X41" i="3"/>
  <c r="AC41" i="3"/>
  <c r="U42" i="3"/>
  <c r="T42" i="3" s="1"/>
  <c r="V42" i="3"/>
  <c r="W42" i="3"/>
  <c r="X42" i="3"/>
  <c r="AC42" i="3"/>
  <c r="U43" i="3"/>
  <c r="T43" i="3" s="1"/>
  <c r="V43" i="3"/>
  <c r="W43" i="3"/>
  <c r="X43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8" i="1"/>
  <c r="L18" i="1"/>
  <c r="M18" i="1"/>
  <c r="V18" i="1"/>
  <c r="S22" i="3" s="1"/>
  <c r="Y18" i="1"/>
  <c r="Z18" i="1"/>
  <c r="AB18" i="1"/>
  <c r="AC18" i="1"/>
  <c r="AD18" i="1"/>
  <c r="X18" i="1" s="1"/>
  <c r="AE18" i="1"/>
  <c r="R22" i="3" s="1"/>
  <c r="AF18" i="1"/>
  <c r="K19" i="1"/>
  <c r="L19" i="1"/>
  <c r="M19" i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S28" i="3" s="1"/>
  <c r="Y28" i="1"/>
  <c r="Z28" i="1"/>
  <c r="AB28" i="1"/>
  <c r="AC28" i="1"/>
  <c r="AD28" i="1"/>
  <c r="X28" i="1" s="1"/>
  <c r="AE28" i="1"/>
  <c r="R28" i="3" s="1"/>
  <c r="AF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K36" i="1"/>
  <c r="L36" i="1"/>
  <c r="M36" i="1"/>
  <c r="N36" i="1" s="1"/>
  <c r="V36" i="1"/>
  <c r="S21" i="3" s="1"/>
  <c r="Y36" i="1"/>
  <c r="Z36" i="1"/>
  <c r="AB36" i="1"/>
  <c r="AC36" i="1"/>
  <c r="AD36" i="1"/>
  <c r="AE36" i="1"/>
  <c r="R21" i="3" s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S19" i="3" s="1"/>
  <c r="Y43" i="1"/>
  <c r="Z43" i="1"/>
  <c r="AB43" i="1"/>
  <c r="AC43" i="1"/>
  <c r="AD43" i="1"/>
  <c r="AG43" i="1" s="1"/>
  <c r="AE43" i="1"/>
  <c r="R19" i="3" s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S30" i="3" s="1"/>
  <c r="Y46" i="1"/>
  <c r="Z46" i="1"/>
  <c r="AB46" i="1"/>
  <c r="AC46" i="1"/>
  <c r="AD46" i="1"/>
  <c r="T46" i="1" s="1"/>
  <c r="AE46" i="1"/>
  <c r="R29" i="3" s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S23" i="3" s="1"/>
  <c r="Y49" i="1"/>
  <c r="Z49" i="1"/>
  <c r="AB49" i="1"/>
  <c r="AC49" i="1"/>
  <c r="AD49" i="1"/>
  <c r="AG49" i="1" s="1"/>
  <c r="AE49" i="1"/>
  <c r="R23" i="3" s="1"/>
  <c r="AF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S11" i="3" s="1"/>
  <c r="Y52" i="1"/>
  <c r="Z52" i="1"/>
  <c r="AB52" i="1"/>
  <c r="AC52" i="1"/>
  <c r="AD52" i="1"/>
  <c r="AE52" i="1"/>
  <c r="R11" i="3" s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S16" i="3" s="1"/>
  <c r="Y56" i="1"/>
  <c r="Z56" i="1"/>
  <c r="AB56" i="1"/>
  <c r="AC56" i="1"/>
  <c r="AD56" i="1"/>
  <c r="AG56" i="1" s="1"/>
  <c r="AE56" i="1"/>
  <c r="R16" i="3" s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S15" i="3" s="1"/>
  <c r="Y58" i="1"/>
  <c r="Z58" i="1"/>
  <c r="AB58" i="1"/>
  <c r="AC58" i="1"/>
  <c r="AD58" i="1"/>
  <c r="T58" i="1" s="1"/>
  <c r="AE58" i="1"/>
  <c r="R15" i="3" s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S12" i="3" s="1"/>
  <c r="Y71" i="1"/>
  <c r="Z71" i="1"/>
  <c r="AB71" i="1"/>
  <c r="AC71" i="1"/>
  <c r="AD71" i="1"/>
  <c r="AE71" i="1"/>
  <c r="R8" i="3" s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I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S24" i="3" s="1"/>
  <c r="Y83" i="1"/>
  <c r="Z83" i="1"/>
  <c r="AB83" i="1"/>
  <c r="AC83" i="1"/>
  <c r="AD83" i="1"/>
  <c r="T83" i="1" s="1"/>
  <c r="AE83" i="1"/>
  <c r="R24" i="3" s="1"/>
  <c r="AF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S9" i="3" s="1"/>
  <c r="Y85" i="1"/>
  <c r="Z85" i="1"/>
  <c r="AB85" i="1"/>
  <c r="AC85" i="1"/>
  <c r="AD85" i="1"/>
  <c r="AE85" i="1"/>
  <c r="R9" i="3" s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S13" i="3" s="1"/>
  <c r="Y87" i="1"/>
  <c r="Z87" i="1"/>
  <c r="AB87" i="1"/>
  <c r="AC87" i="1"/>
  <c r="AD87" i="1"/>
  <c r="AG87" i="1" s="1"/>
  <c r="AE87" i="1"/>
  <c r="R13" i="3" s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S34" i="3" s="1"/>
  <c r="Y169" i="1"/>
  <c r="AA169" i="1" s="1"/>
  <c r="Z169" i="1"/>
  <c r="AB169" i="1"/>
  <c r="AC169" i="1"/>
  <c r="AD169" i="1"/>
  <c r="T169" i="1" s="1"/>
  <c r="AE169" i="1"/>
  <c r="R34" i="3" s="1"/>
  <c r="AF16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S36" i="3" s="1"/>
  <c r="Y171" i="1"/>
  <c r="Z171" i="1"/>
  <c r="AB171" i="1"/>
  <c r="AC171" i="1"/>
  <c r="AD171" i="1"/>
  <c r="AE171" i="1"/>
  <c r="R36" i="3" s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I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K181" i="1"/>
  <c r="L181" i="1"/>
  <c r="M181" i="1"/>
  <c r="N181" i="1" s="1"/>
  <c r="V181" i="1"/>
  <c r="S39" i="3" s="1"/>
  <c r="Y181" i="1"/>
  <c r="Z181" i="1"/>
  <c r="AB181" i="1"/>
  <c r="AC181" i="1"/>
  <c r="AD181" i="1"/>
  <c r="T181" i="1" s="1"/>
  <c r="AE181" i="1"/>
  <c r="R39" i="3" s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X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S37" i="3" s="1"/>
  <c r="Y189" i="1"/>
  <c r="Z189" i="1"/>
  <c r="AB189" i="1"/>
  <c r="AC189" i="1"/>
  <c r="AD189" i="1"/>
  <c r="T189" i="1" s="1"/>
  <c r="AE189" i="1"/>
  <c r="R37" i="3" s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T191" i="1"/>
  <c r="V191" i="1"/>
  <c r="S32" i="3" s="1"/>
  <c r="Y191" i="1"/>
  <c r="Z191" i="1"/>
  <c r="AB191" i="1"/>
  <c r="AC191" i="1"/>
  <c r="AD191" i="1"/>
  <c r="X191" i="1" s="1"/>
  <c r="AE191" i="1"/>
  <c r="R32" i="3" s="1"/>
  <c r="AF191" i="1"/>
  <c r="K192" i="1"/>
  <c r="L192" i="1"/>
  <c r="M192" i="1"/>
  <c r="N192" i="1" s="1"/>
  <c r="V192" i="1"/>
  <c r="S33" i="3" s="1"/>
  <c r="Y192" i="1"/>
  <c r="Z192" i="1"/>
  <c r="AB192" i="1"/>
  <c r="AC192" i="1"/>
  <c r="AD192" i="1"/>
  <c r="AG192" i="1" s="1"/>
  <c r="AE192" i="1"/>
  <c r="R38" i="3" s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K194" i="1"/>
  <c r="L194" i="1"/>
  <c r="M194" i="1"/>
  <c r="N194" i="1" s="1"/>
  <c r="V194" i="1"/>
  <c r="S35" i="3" s="1"/>
  <c r="Y194" i="1"/>
  <c r="Z194" i="1"/>
  <c r="AB194" i="1"/>
  <c r="AC194" i="1"/>
  <c r="AD194" i="1"/>
  <c r="AE194" i="1"/>
  <c r="R35" i="3" s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S31" i="3" s="1"/>
  <c r="Y98" i="1"/>
  <c r="Z98" i="1"/>
  <c r="AB98" i="1"/>
  <c r="AC98" i="1"/>
  <c r="AD98" i="1"/>
  <c r="T98" i="1" s="1"/>
  <c r="AE98" i="1"/>
  <c r="R31" i="3" s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S17" i="3" s="1"/>
  <c r="Y100" i="1"/>
  <c r="Z100" i="1"/>
  <c r="AB100" i="1"/>
  <c r="AC100" i="1"/>
  <c r="AD100" i="1"/>
  <c r="T100" i="1" s="1"/>
  <c r="AE100" i="1"/>
  <c r="R17" i="3" s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S10" i="3" s="1"/>
  <c r="Y103" i="1"/>
  <c r="Z103" i="1"/>
  <c r="AB103" i="1"/>
  <c r="AC103" i="1"/>
  <c r="AD103" i="1"/>
  <c r="T103" i="1" s="1"/>
  <c r="AE103" i="1"/>
  <c r="R10" i="3" s="1"/>
  <c r="AF10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N113" i="1" s="1"/>
  <c r="V113" i="1"/>
  <c r="S25" i="3" s="1"/>
  <c r="Y113" i="1"/>
  <c r="Z113" i="1"/>
  <c r="AB113" i="1"/>
  <c r="AC113" i="1"/>
  <c r="AD113" i="1"/>
  <c r="T113" i="1" s="1"/>
  <c r="AE113" i="1"/>
  <c r="R25" i="3" s="1"/>
  <c r="AF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S26" i="3" s="1"/>
  <c r="Y117" i="1"/>
  <c r="Z117" i="1"/>
  <c r="AB117" i="1"/>
  <c r="AC117" i="1"/>
  <c r="AD117" i="1"/>
  <c r="T117" i="1" s="1"/>
  <c r="AE117" i="1"/>
  <c r="R26" i="3" s="1"/>
  <c r="AF117" i="1"/>
  <c r="K118" i="1"/>
  <c r="L118" i="1"/>
  <c r="M118" i="1"/>
  <c r="N118" i="1" s="1"/>
  <c r="V118" i="1"/>
  <c r="Y118" i="1"/>
  <c r="Z118" i="1"/>
  <c r="AA118" i="1" s="1"/>
  <c r="W118" i="1" s="1"/>
  <c r="AB118" i="1"/>
  <c r="AC118" i="1"/>
  <c r="AD118" i="1"/>
  <c r="AG118" i="1" s="1"/>
  <c r="AE118" i="1"/>
  <c r="AF118" i="1"/>
  <c r="K119" i="1"/>
  <c r="L119" i="1"/>
  <c r="M119" i="1"/>
  <c r="N119" i="1" s="1"/>
  <c r="V119" i="1"/>
  <c r="S27" i="3" s="1"/>
  <c r="Y119" i="1"/>
  <c r="Z119" i="1"/>
  <c r="AB119" i="1"/>
  <c r="AC119" i="1"/>
  <c r="AD119" i="1"/>
  <c r="T119" i="1" s="1"/>
  <c r="AE119" i="1"/>
  <c r="R27" i="3" s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K122" i="1"/>
  <c r="L122" i="1"/>
  <c r="M122" i="1"/>
  <c r="N122" i="1" s="1"/>
  <c r="V122" i="1"/>
  <c r="S20" i="3" s="1"/>
  <c r="Y122" i="1"/>
  <c r="Z122" i="1"/>
  <c r="AB122" i="1"/>
  <c r="AC122" i="1"/>
  <c r="AD122" i="1"/>
  <c r="AG122" i="1" s="1"/>
  <c r="AE122" i="1"/>
  <c r="R20" i="3" s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S18" i="3" s="1"/>
  <c r="Y128" i="1"/>
  <c r="Z128" i="1"/>
  <c r="AB128" i="1"/>
  <c r="AC128" i="1"/>
  <c r="AD128" i="1"/>
  <c r="AG128" i="1" s="1"/>
  <c r="AI128" i="1" s="1"/>
  <c r="AE128" i="1"/>
  <c r="R18" i="3" s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K131" i="1"/>
  <c r="L131" i="1"/>
  <c r="M131" i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V133" i="1"/>
  <c r="Y133" i="1"/>
  <c r="Z133" i="1"/>
  <c r="AB133" i="1"/>
  <c r="AC133" i="1"/>
  <c r="AD133" i="1"/>
  <c r="AE133" i="1"/>
  <c r="AF133" i="1"/>
  <c r="K134" i="1"/>
  <c r="L134" i="1"/>
  <c r="M134" i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P141" i="1" s="1"/>
  <c r="V141" i="1"/>
  <c r="AB141" i="1"/>
  <c r="AC141" i="1"/>
  <c r="AD141" i="1"/>
  <c r="AE141" i="1"/>
  <c r="AF141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S41" i="3" s="1"/>
  <c r="Y200" i="1"/>
  <c r="Z200" i="1"/>
  <c r="AB200" i="1"/>
  <c r="AC200" i="1"/>
  <c r="AD200" i="1"/>
  <c r="AG200" i="1" s="1"/>
  <c r="AE200" i="1"/>
  <c r="R42" i="3" s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S43" i="3" s="1"/>
  <c r="Y216" i="1"/>
  <c r="Z216" i="1"/>
  <c r="AB216" i="1"/>
  <c r="AC216" i="1"/>
  <c r="AD216" i="1"/>
  <c r="T216" i="1" s="1"/>
  <c r="AE216" i="1"/>
  <c r="R43" i="3" s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223" i="1"/>
  <c r="L223" i="1"/>
  <c r="M223" i="1"/>
  <c r="N223" i="1" s="1"/>
  <c r="V223" i="1"/>
  <c r="S40" i="3" s="1"/>
  <c r="Y223" i="1"/>
  <c r="Z223" i="1"/>
  <c r="AB223" i="1"/>
  <c r="AC223" i="1"/>
  <c r="AD223" i="1"/>
  <c r="T223" i="1" s="1"/>
  <c r="AE223" i="1"/>
  <c r="R40" i="3" s="1"/>
  <c r="AF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U7" i="3"/>
  <c r="T7" i="3" s="1"/>
  <c r="V7" i="3"/>
  <c r="W7" i="3"/>
  <c r="X7" i="3"/>
  <c r="AC7" i="3"/>
  <c r="AA15" i="1" l="1"/>
  <c r="P131" i="1"/>
  <c r="X95" i="1"/>
  <c r="T124" i="1"/>
  <c r="AA122" i="1"/>
  <c r="X121" i="1"/>
  <c r="AA116" i="1"/>
  <c r="AG113" i="1"/>
  <c r="AA111" i="1"/>
  <c r="AA175" i="1"/>
  <c r="AG165" i="1"/>
  <c r="AI165" i="1" s="1"/>
  <c r="AI92" i="1"/>
  <c r="AA92" i="1"/>
  <c r="AA89" i="1"/>
  <c r="X33" i="1"/>
  <c r="T136" i="1"/>
  <c r="AA35" i="1"/>
  <c r="AA29" i="1"/>
  <c r="W29" i="1" s="1"/>
  <c r="P18" i="1"/>
  <c r="X74" i="1"/>
  <c r="X198" i="1"/>
  <c r="X21" i="1"/>
  <c r="X17" i="1"/>
  <c r="X143" i="1"/>
  <c r="X152" i="1"/>
  <c r="X76" i="1"/>
  <c r="X72" i="1"/>
  <c r="X200" i="1"/>
  <c r="X145" i="1"/>
  <c r="AA217" i="1"/>
  <c r="AA213" i="1"/>
  <c r="X202" i="1"/>
  <c r="AA161" i="1"/>
  <c r="AA157" i="1"/>
  <c r="AA140" i="1"/>
  <c r="AA192" i="1"/>
  <c r="AA187" i="1"/>
  <c r="T187" i="1"/>
  <c r="AA185" i="1"/>
  <c r="AA95" i="1"/>
  <c r="T95" i="1"/>
  <c r="AI43" i="1"/>
  <c r="X165" i="1"/>
  <c r="X201" i="1"/>
  <c r="X34" i="1"/>
  <c r="X151" i="1"/>
  <c r="X19" i="1"/>
  <c r="AA104" i="1"/>
  <c r="AA102" i="1"/>
  <c r="AG187" i="1"/>
  <c r="W187" i="1" s="1"/>
  <c r="AG184" i="1"/>
  <c r="AG95" i="1"/>
  <c r="X75" i="1"/>
  <c r="X163" i="1"/>
  <c r="X199" i="1"/>
  <c r="X144" i="1"/>
  <c r="X150" i="1"/>
  <c r="T150" i="1"/>
  <c r="U150" i="1" s="1"/>
  <c r="S150" i="1" s="1"/>
  <c r="W150" i="1"/>
  <c r="AI150" i="1"/>
  <c r="T142" i="1"/>
  <c r="X142" i="1"/>
  <c r="W142" i="1"/>
  <c r="AI142" i="1"/>
  <c r="U142" i="1"/>
  <c r="S142" i="1" s="1"/>
  <c r="W33" i="1"/>
  <c r="T33" i="1"/>
  <c r="U33" i="1" s="1"/>
  <c r="S33" i="1" s="1"/>
  <c r="AI33" i="1"/>
  <c r="Y34" i="3"/>
  <c r="Y18" i="3"/>
  <c r="Y12" i="3"/>
  <c r="Y15" i="3"/>
  <c r="AG17" i="1"/>
  <c r="Y10" i="3"/>
  <c r="Y31" i="3"/>
  <c r="Y23" i="3"/>
  <c r="AA133" i="1"/>
  <c r="X194" i="1"/>
  <c r="S42" i="3"/>
  <c r="R41" i="3"/>
  <c r="R33" i="3"/>
  <c r="R30" i="3"/>
  <c r="R12" i="3"/>
  <c r="AA160" i="1"/>
  <c r="AA156" i="1"/>
  <c r="T153" i="1"/>
  <c r="AA151" i="1"/>
  <c r="W151" i="1" s="1"/>
  <c r="X149" i="1"/>
  <c r="T111" i="1"/>
  <c r="U111" i="1" s="1"/>
  <c r="S111" i="1" s="1"/>
  <c r="AA176" i="1"/>
  <c r="AA81" i="1"/>
  <c r="AA77" i="1"/>
  <c r="AG58" i="1"/>
  <c r="U58" i="1" s="1"/>
  <c r="S58" i="1" s="1"/>
  <c r="AG57" i="1"/>
  <c r="AI57" i="1" s="1"/>
  <c r="X57" i="1"/>
  <c r="S8" i="3"/>
  <c r="X65" i="1"/>
  <c r="X39" i="1"/>
  <c r="Y40" i="3"/>
  <c r="S38" i="3"/>
  <c r="S29" i="3"/>
  <c r="AA226" i="1"/>
  <c r="AA162" i="1"/>
  <c r="AA158" i="1"/>
  <c r="AA154" i="1"/>
  <c r="AA148" i="1"/>
  <c r="AA139" i="1"/>
  <c r="AA119" i="1"/>
  <c r="AA112" i="1"/>
  <c r="AI88" i="1"/>
  <c r="AA57" i="1"/>
  <c r="AI51" i="1"/>
  <c r="AG38" i="1"/>
  <c r="AI38" i="1" s="1"/>
  <c r="X24" i="1"/>
  <c r="Y24" i="3"/>
  <c r="Y28" i="3"/>
  <c r="Y39" i="3"/>
  <c r="Y30" i="3"/>
  <c r="Y42" i="3"/>
  <c r="AC22" i="3"/>
  <c r="Y37" i="3"/>
  <c r="Y35" i="3"/>
  <c r="Y26" i="3"/>
  <c r="Y22" i="3"/>
  <c r="T8" i="3"/>
  <c r="Y43" i="3"/>
  <c r="Y36" i="3"/>
  <c r="Y29" i="3"/>
  <c r="Y27" i="3"/>
  <c r="Y20" i="3"/>
  <c r="Y13" i="3"/>
  <c r="Y11" i="3"/>
  <c r="Y8" i="3"/>
  <c r="AC39" i="3"/>
  <c r="AC31" i="3"/>
  <c r="T28" i="3"/>
  <c r="T20" i="3"/>
  <c r="T12" i="3"/>
  <c r="AC43" i="3"/>
  <c r="Y38" i="3"/>
  <c r="AC35" i="3"/>
  <c r="T24" i="3"/>
  <c r="T16" i="3"/>
  <c r="Y41" i="3"/>
  <c r="Y33" i="3"/>
  <c r="Y25" i="3"/>
  <c r="Y17" i="3"/>
  <c r="Y9" i="3"/>
  <c r="AC27" i="3"/>
  <c r="AC23" i="3"/>
  <c r="AC19" i="3"/>
  <c r="AC15" i="3"/>
  <c r="AC11" i="3"/>
  <c r="T40" i="3"/>
  <c r="T36" i="3"/>
  <c r="T32" i="3"/>
  <c r="Y7" i="3"/>
  <c r="U187" i="1"/>
  <c r="S187" i="1" s="1"/>
  <c r="X203" i="1"/>
  <c r="AG201" i="1"/>
  <c r="X141" i="1"/>
  <c r="AA138" i="1"/>
  <c r="W138" i="1" s="1"/>
  <c r="AA132" i="1"/>
  <c r="AA114" i="1"/>
  <c r="W114" i="1" s="1"/>
  <c r="AI75" i="1"/>
  <c r="AA75" i="1"/>
  <c r="W75" i="1" s="1"/>
  <c r="AA64" i="1"/>
  <c r="W64" i="1" s="1"/>
  <c r="AI47" i="1"/>
  <c r="AA47" i="1"/>
  <c r="W47" i="1" s="1"/>
  <c r="X25" i="1"/>
  <c r="AA180" i="1"/>
  <c r="T180" i="1"/>
  <c r="AA170" i="1"/>
  <c r="W170" i="1" s="1"/>
  <c r="AA48" i="1"/>
  <c r="AA20" i="1"/>
  <c r="AA19" i="1"/>
  <c r="T15" i="1"/>
  <c r="AG107" i="1"/>
  <c r="U107" i="1" s="1"/>
  <c r="S107" i="1" s="1"/>
  <c r="AG197" i="1"/>
  <c r="AI197" i="1" s="1"/>
  <c r="AG181" i="1"/>
  <c r="AI181" i="1" s="1"/>
  <c r="X181" i="1"/>
  <c r="W92" i="1"/>
  <c r="AG226" i="1"/>
  <c r="AI226" i="1" s="1"/>
  <c r="X221" i="1"/>
  <c r="AG215" i="1"/>
  <c r="U215" i="1" s="1"/>
  <c r="S215" i="1" s="1"/>
  <c r="AG154" i="1"/>
  <c r="AI154" i="1" s="1"/>
  <c r="X154" i="1"/>
  <c r="AA134" i="1"/>
  <c r="X133" i="1"/>
  <c r="T128" i="1"/>
  <c r="U128" i="1" s="1"/>
  <c r="S128" i="1" s="1"/>
  <c r="AI124" i="1"/>
  <c r="AG102" i="1"/>
  <c r="W102" i="1" s="1"/>
  <c r="W95" i="1"/>
  <c r="AG180" i="1"/>
  <c r="AI180" i="1" s="1"/>
  <c r="AA88" i="1"/>
  <c r="W88" i="1" s="1"/>
  <c r="AA80" i="1"/>
  <c r="W80" i="1" s="1"/>
  <c r="AG62" i="1"/>
  <c r="AI62" i="1" s="1"/>
  <c r="AA59" i="1"/>
  <c r="X50" i="1"/>
  <c r="AA44" i="1"/>
  <c r="AA39" i="1"/>
  <c r="AA36" i="1"/>
  <c r="AA30" i="1"/>
  <c r="AG21" i="1"/>
  <c r="U21" i="1" s="1"/>
  <c r="S21" i="1" s="1"/>
  <c r="AA16" i="1"/>
  <c r="AG225" i="1"/>
  <c r="U225" i="1" s="1"/>
  <c r="S225" i="1" s="1"/>
  <c r="AA214" i="1"/>
  <c r="W214" i="1" s="1"/>
  <c r="X213" i="1"/>
  <c r="AG209" i="1"/>
  <c r="U209" i="1" s="1"/>
  <c r="S209" i="1" s="1"/>
  <c r="AA159" i="1"/>
  <c r="W159" i="1" s="1"/>
  <c r="X158" i="1"/>
  <c r="AA149" i="1"/>
  <c r="AA141" i="1"/>
  <c r="AI136" i="1"/>
  <c r="AA131" i="1"/>
  <c r="AA130" i="1"/>
  <c r="W130" i="1" s="1"/>
  <c r="AA128" i="1"/>
  <c r="W128" i="1" s="1"/>
  <c r="AA126" i="1"/>
  <c r="AA125" i="1"/>
  <c r="AA115" i="1"/>
  <c r="AA107" i="1"/>
  <c r="AG210" i="1"/>
  <c r="U210" i="1" s="1"/>
  <c r="S210" i="1" s="1"/>
  <c r="AA101" i="1"/>
  <c r="AG188" i="1"/>
  <c r="U188" i="1" s="1"/>
  <c r="S188" i="1" s="1"/>
  <c r="X188" i="1"/>
  <c r="AA186" i="1"/>
  <c r="AA184" i="1"/>
  <c r="W184" i="1" s="1"/>
  <c r="AA177" i="1"/>
  <c r="W177" i="1" s="1"/>
  <c r="AA168" i="1"/>
  <c r="W168" i="1" s="1"/>
  <c r="AA84" i="1"/>
  <c r="W84" i="1" s="1"/>
  <c r="AA78" i="1"/>
  <c r="X66" i="1"/>
  <c r="AA58" i="1"/>
  <c r="AA56" i="1"/>
  <c r="W56" i="1" s="1"/>
  <c r="AA40" i="1"/>
  <c r="AA38" i="1"/>
  <c r="T28" i="1"/>
  <c r="T20" i="1"/>
  <c r="U20" i="1" s="1"/>
  <c r="S20" i="1" s="1"/>
  <c r="AG16" i="1"/>
  <c r="AI16" i="1" s="1"/>
  <c r="X16" i="1"/>
  <c r="AA117" i="1"/>
  <c r="AA171" i="1"/>
  <c r="AA166" i="1"/>
  <c r="W166" i="1" s="1"/>
  <c r="T87" i="1"/>
  <c r="U87" i="1" s="1"/>
  <c r="S87" i="1" s="1"/>
  <c r="X207" i="1"/>
  <c r="AG205" i="1"/>
  <c r="AI205" i="1" s="1"/>
  <c r="AA199" i="1"/>
  <c r="AG198" i="1"/>
  <c r="U198" i="1" s="1"/>
  <c r="S198" i="1" s="1"/>
  <c r="AA163" i="1"/>
  <c r="AA145" i="1"/>
  <c r="AG144" i="1"/>
  <c r="AI144" i="1" s="1"/>
  <c r="AG137" i="1"/>
  <c r="U137" i="1" s="1"/>
  <c r="S137" i="1" s="1"/>
  <c r="X137" i="1"/>
  <c r="AA129" i="1"/>
  <c r="AG106" i="1"/>
  <c r="U106" i="1" s="1"/>
  <c r="S106" i="1" s="1"/>
  <c r="AG211" i="1"/>
  <c r="U211" i="1" s="1"/>
  <c r="S211" i="1" s="1"/>
  <c r="X211" i="1"/>
  <c r="AA100" i="1"/>
  <c r="AG195" i="1"/>
  <c r="U195" i="1" s="1"/>
  <c r="S195" i="1" s="1"/>
  <c r="X195" i="1"/>
  <c r="AA194" i="1"/>
  <c r="T194" i="1"/>
  <c r="AA191" i="1"/>
  <c r="AA188" i="1"/>
  <c r="AA181" i="1"/>
  <c r="AA76" i="1"/>
  <c r="W76" i="1" s="1"/>
  <c r="T73" i="1"/>
  <c r="AA70" i="1"/>
  <c r="AG69" i="1"/>
  <c r="U69" i="1" s="1"/>
  <c r="S69" i="1" s="1"/>
  <c r="U57" i="1"/>
  <c r="S57" i="1" s="1"/>
  <c r="AA51" i="1"/>
  <c r="W51" i="1" s="1"/>
  <c r="AA46" i="1"/>
  <c r="AA43" i="1"/>
  <c r="W43" i="1" s="1"/>
  <c r="AG42" i="1"/>
  <c r="U42" i="1" s="1"/>
  <c r="S42" i="1" s="1"/>
  <c r="X42" i="1"/>
  <c r="T24" i="1"/>
  <c r="AG20" i="1"/>
  <c r="W20" i="1" s="1"/>
  <c r="AA18" i="1"/>
  <c r="AG15" i="1"/>
  <c r="X226" i="1"/>
  <c r="AA225" i="1"/>
  <c r="AG220" i="1"/>
  <c r="U220" i="1" s="1"/>
  <c r="S220" i="1" s="1"/>
  <c r="AG217" i="1"/>
  <c r="AI217" i="1" s="1"/>
  <c r="U201" i="1"/>
  <c r="S201" i="1" s="1"/>
  <c r="AG129" i="1"/>
  <c r="U129" i="1" s="1"/>
  <c r="S129" i="1" s="1"/>
  <c r="X129" i="1"/>
  <c r="AG117" i="1"/>
  <c r="W111" i="1"/>
  <c r="X107" i="1"/>
  <c r="AG173" i="1"/>
  <c r="AI173" i="1" s="1"/>
  <c r="U165" i="1"/>
  <c r="S165" i="1" s="1"/>
  <c r="AA93" i="1"/>
  <c r="AA91" i="1"/>
  <c r="AA87" i="1"/>
  <c r="W87" i="1" s="1"/>
  <c r="AA83" i="1"/>
  <c r="AA26" i="1"/>
  <c r="AA25" i="1"/>
  <c r="AA21" i="1"/>
  <c r="U14" i="1"/>
  <c r="S14" i="1" s="1"/>
  <c r="AA222" i="1"/>
  <c r="AA221" i="1"/>
  <c r="AA209" i="1"/>
  <c r="W209" i="1" s="1"/>
  <c r="AA208" i="1"/>
  <c r="AA207" i="1"/>
  <c r="AG206" i="1"/>
  <c r="AI206" i="1" s="1"/>
  <c r="X206" i="1"/>
  <c r="AA205" i="1"/>
  <c r="AA204" i="1"/>
  <c r="W204" i="1" s="1"/>
  <c r="AA203" i="1"/>
  <c r="AG199" i="1"/>
  <c r="U199" i="1" s="1"/>
  <c r="S199" i="1" s="1"/>
  <c r="AG163" i="1"/>
  <c r="U163" i="1" s="1"/>
  <c r="S163" i="1" s="1"/>
  <c r="AA155" i="1"/>
  <c r="W155" i="1" s="1"/>
  <c r="AA146" i="1"/>
  <c r="W146" i="1" s="1"/>
  <c r="AG145" i="1"/>
  <c r="U145" i="1" s="1"/>
  <c r="S145" i="1" s="1"/>
  <c r="AA137" i="1"/>
  <c r="W137" i="1" s="1"/>
  <c r="T121" i="1"/>
  <c r="AA109" i="1"/>
  <c r="AA108" i="1"/>
  <c r="AA106" i="1"/>
  <c r="AA105" i="1"/>
  <c r="AG104" i="1"/>
  <c r="W104" i="1" s="1"/>
  <c r="AA211" i="1"/>
  <c r="AG100" i="1"/>
  <c r="AI100" i="1" s="1"/>
  <c r="AA195" i="1"/>
  <c r="AG194" i="1"/>
  <c r="AA96" i="1"/>
  <c r="AA193" i="1"/>
  <c r="X176" i="1"/>
  <c r="AA94" i="1"/>
  <c r="W94" i="1" s="1"/>
  <c r="AA85" i="1"/>
  <c r="AG73" i="1"/>
  <c r="U73" i="1" s="1"/>
  <c r="S73" i="1" s="1"/>
  <c r="AG70" i="1"/>
  <c r="U70" i="1" s="1"/>
  <c r="S70" i="1" s="1"/>
  <c r="X70" i="1"/>
  <c r="AA67" i="1"/>
  <c r="AA66" i="1"/>
  <c r="AA62" i="1"/>
  <c r="AA52" i="1"/>
  <c r="X43" i="1"/>
  <c r="AG39" i="1"/>
  <c r="AI39" i="1" s="1"/>
  <c r="AA224" i="1"/>
  <c r="X217" i="1"/>
  <c r="AG216" i="1"/>
  <c r="U216" i="1" s="1"/>
  <c r="S216" i="1" s="1"/>
  <c r="X216" i="1"/>
  <c r="AA212" i="1"/>
  <c r="T212" i="1"/>
  <c r="AG207" i="1"/>
  <c r="U207" i="1" s="1"/>
  <c r="S207" i="1" s="1"/>
  <c r="AA202" i="1"/>
  <c r="T202" i="1"/>
  <c r="U154" i="1"/>
  <c r="S154" i="1" s="1"/>
  <c r="X97" i="1"/>
  <c r="AG97" i="1"/>
  <c r="AI29" i="1"/>
  <c r="T213" i="1"/>
  <c r="T203" i="1"/>
  <c r="T162" i="1"/>
  <c r="T158" i="1"/>
  <c r="T149" i="1"/>
  <c r="T141" i="1"/>
  <c r="T133" i="1"/>
  <c r="AG125" i="1"/>
  <c r="W125" i="1" s="1"/>
  <c r="X125" i="1"/>
  <c r="AA121" i="1"/>
  <c r="AG120" i="1"/>
  <c r="AI120" i="1" s="1"/>
  <c r="AG110" i="1"/>
  <c r="U110" i="1" s="1"/>
  <c r="S110" i="1" s="1"/>
  <c r="AG108" i="1"/>
  <c r="AI108" i="1" s="1"/>
  <c r="AA210" i="1"/>
  <c r="AA103" i="1"/>
  <c r="X101" i="1"/>
  <c r="AG101" i="1"/>
  <c r="AG98" i="1"/>
  <c r="U98" i="1" s="1"/>
  <c r="S98" i="1" s="1"/>
  <c r="T221" i="1"/>
  <c r="AA227" i="1"/>
  <c r="AG224" i="1"/>
  <c r="AI224" i="1" s="1"/>
  <c r="AG221" i="1"/>
  <c r="AA218" i="1"/>
  <c r="AG213" i="1"/>
  <c r="AG212" i="1"/>
  <c r="U212" i="1" s="1"/>
  <c r="S212" i="1" s="1"/>
  <c r="AA206" i="1"/>
  <c r="AG203" i="1"/>
  <c r="AG202" i="1"/>
  <c r="AI202" i="1" s="1"/>
  <c r="AI201" i="1"/>
  <c r="AA198" i="1"/>
  <c r="AG162" i="1"/>
  <c r="AG161" i="1"/>
  <c r="AG158" i="1"/>
  <c r="W158" i="1" s="1"/>
  <c r="AG157" i="1"/>
  <c r="AA153" i="1"/>
  <c r="W153" i="1" s="1"/>
  <c r="AG149" i="1"/>
  <c r="AG148" i="1"/>
  <c r="AA144" i="1"/>
  <c r="AG141" i="1"/>
  <c r="AG140" i="1"/>
  <c r="AI140" i="1" s="1"/>
  <c r="AA136" i="1"/>
  <c r="W136" i="1" s="1"/>
  <c r="AG133" i="1"/>
  <c r="AG132" i="1"/>
  <c r="AI132" i="1" s="1"/>
  <c r="AA127" i="1"/>
  <c r="AA124" i="1"/>
  <c r="W124" i="1" s="1"/>
  <c r="AG121" i="1"/>
  <c r="AG116" i="1"/>
  <c r="AI116" i="1" s="1"/>
  <c r="X113" i="1"/>
  <c r="X111" i="1"/>
  <c r="U104" i="1"/>
  <c r="S104" i="1" s="1"/>
  <c r="AI104" i="1"/>
  <c r="AA99" i="1"/>
  <c r="T97" i="1"/>
  <c r="X225" i="1"/>
  <c r="U217" i="1"/>
  <c r="S217" i="1" s="1"/>
  <c r="AA201" i="1"/>
  <c r="W201" i="1" s="1"/>
  <c r="AA200" i="1"/>
  <c r="W200" i="1" s="1"/>
  <c r="AA152" i="1"/>
  <c r="AA143" i="1"/>
  <c r="AA135" i="1"/>
  <c r="AA123" i="1"/>
  <c r="AA120" i="1"/>
  <c r="X117" i="1"/>
  <c r="T101" i="1"/>
  <c r="AA98" i="1"/>
  <c r="AA97" i="1"/>
  <c r="AA197" i="1"/>
  <c r="W197" i="1" s="1"/>
  <c r="AA196" i="1"/>
  <c r="AG96" i="1"/>
  <c r="AI96" i="1" s="1"/>
  <c r="X192" i="1"/>
  <c r="AA190" i="1"/>
  <c r="AA189" i="1"/>
  <c r="AG186" i="1"/>
  <c r="X184" i="1"/>
  <c r="AA183" i="1"/>
  <c r="AA182" i="1"/>
  <c r="AG179" i="1"/>
  <c r="U179" i="1" s="1"/>
  <c r="S179" i="1" s="1"/>
  <c r="X179" i="1"/>
  <c r="AA178" i="1"/>
  <c r="W178" i="1" s="1"/>
  <c r="X177" i="1"/>
  <c r="AG176" i="1"/>
  <c r="U176" i="1" s="1"/>
  <c r="S176" i="1" s="1"/>
  <c r="X170" i="1"/>
  <c r="AG169" i="1"/>
  <c r="X169" i="1"/>
  <c r="X92" i="1"/>
  <c r="AG91" i="1"/>
  <c r="U91" i="1" s="1"/>
  <c r="S91" i="1" s="1"/>
  <c r="X91" i="1"/>
  <c r="X88" i="1"/>
  <c r="X84" i="1"/>
  <c r="AG83" i="1"/>
  <c r="U83" i="1" s="1"/>
  <c r="S83" i="1" s="1"/>
  <c r="AA82" i="1"/>
  <c r="W82" i="1" s="1"/>
  <c r="T80" i="1"/>
  <c r="U80" i="1" s="1"/>
  <c r="S80" i="1" s="1"/>
  <c r="AA79" i="1"/>
  <c r="AA74" i="1"/>
  <c r="W74" i="1" s="1"/>
  <c r="AA73" i="1"/>
  <c r="W73" i="1" s="1"/>
  <c r="AG72" i="1"/>
  <c r="AI72" i="1" s="1"/>
  <c r="AA65" i="1"/>
  <c r="T65" i="1"/>
  <c r="AA63" i="1"/>
  <c r="X58" i="1"/>
  <c r="T51" i="1"/>
  <c r="U51" i="1" s="1"/>
  <c r="S51" i="1" s="1"/>
  <c r="AA50" i="1"/>
  <c r="AA49" i="1"/>
  <c r="W49" i="1" s="1"/>
  <c r="T47" i="1"/>
  <c r="U47" i="1" s="1"/>
  <c r="S47" i="1" s="1"/>
  <c r="T43" i="1"/>
  <c r="U39" i="1"/>
  <c r="S39" i="1" s="1"/>
  <c r="AA37" i="1"/>
  <c r="T34" i="1"/>
  <c r="U34" i="1" s="1"/>
  <c r="S34" i="1" s="1"/>
  <c r="X29" i="1"/>
  <c r="AG28" i="1"/>
  <c r="AI28" i="1" s="1"/>
  <c r="AA22" i="1"/>
  <c r="AG19" i="1"/>
  <c r="U19" i="1" s="1"/>
  <c r="U16" i="1"/>
  <c r="S16" i="1" s="1"/>
  <c r="W192" i="1"/>
  <c r="U181" i="1"/>
  <c r="S181" i="1" s="1"/>
  <c r="T94" i="1"/>
  <c r="U94" i="1" s="1"/>
  <c r="S94" i="1" s="1"/>
  <c r="T166" i="1"/>
  <c r="U166" i="1" s="1"/>
  <c r="S166" i="1" s="1"/>
  <c r="T76" i="1"/>
  <c r="T66" i="1"/>
  <c r="U62" i="1"/>
  <c r="S62" i="1" s="1"/>
  <c r="T50" i="1"/>
  <c r="T35" i="1"/>
  <c r="T25" i="1"/>
  <c r="T192" i="1"/>
  <c r="U192" i="1" s="1"/>
  <c r="S192" i="1" s="1"/>
  <c r="AG190" i="1"/>
  <c r="U190" i="1" s="1"/>
  <c r="S190" i="1" s="1"/>
  <c r="AG183" i="1"/>
  <c r="U183" i="1" s="1"/>
  <c r="S183" i="1" s="1"/>
  <c r="AA179" i="1"/>
  <c r="AA174" i="1"/>
  <c r="AA173" i="1"/>
  <c r="T170" i="1"/>
  <c r="AA167" i="1"/>
  <c r="AA165" i="1"/>
  <c r="W165" i="1" s="1"/>
  <c r="AA164" i="1"/>
  <c r="T92" i="1"/>
  <c r="U92" i="1" s="1"/>
  <c r="S92" i="1" s="1"/>
  <c r="AA90" i="1"/>
  <c r="W90" i="1" s="1"/>
  <c r="T88" i="1"/>
  <c r="U88" i="1" s="1"/>
  <c r="S88" i="1" s="1"/>
  <c r="T84" i="1"/>
  <c r="X80" i="1"/>
  <c r="AG79" i="1"/>
  <c r="U79" i="1" s="1"/>
  <c r="S79" i="1" s="1"/>
  <c r="AA72" i="1"/>
  <c r="AG66" i="1"/>
  <c r="AG65" i="1"/>
  <c r="AI65" i="1" s="1"/>
  <c r="X62" i="1"/>
  <c r="AG61" i="1"/>
  <c r="AI61" i="1" s="1"/>
  <c r="AA55" i="1"/>
  <c r="X51" i="1"/>
  <c r="AG50" i="1"/>
  <c r="AI50" i="1" s="1"/>
  <c r="X47" i="1"/>
  <c r="AG46" i="1"/>
  <c r="W46" i="1" s="1"/>
  <c r="AG35" i="1"/>
  <c r="T29" i="1"/>
  <c r="U29" i="1" s="1"/>
  <c r="S29" i="1" s="1"/>
  <c r="AG25" i="1"/>
  <c r="W15" i="1"/>
  <c r="W194" i="1"/>
  <c r="AG191" i="1"/>
  <c r="U191" i="1" s="1"/>
  <c r="S191" i="1" s="1"/>
  <c r="U184" i="1"/>
  <c r="S184" i="1" s="1"/>
  <c r="X94" i="1"/>
  <c r="X166" i="1"/>
  <c r="AA71" i="1"/>
  <c r="AG24" i="1"/>
  <c r="U24" i="1" s="1"/>
  <c r="S24" i="1" s="1"/>
  <c r="AA223" i="1"/>
  <c r="AA220" i="1"/>
  <c r="AA219" i="1"/>
  <c r="AG218" i="1"/>
  <c r="W218" i="1" s="1"/>
  <c r="T218" i="1"/>
  <c r="X218" i="1"/>
  <c r="AI178" i="1"/>
  <c r="AI170" i="1"/>
  <c r="AI159" i="1"/>
  <c r="AG222" i="1"/>
  <c r="T222" i="1"/>
  <c r="X222" i="1"/>
  <c r="T219" i="1"/>
  <c r="X219" i="1"/>
  <c r="AI215" i="1"/>
  <c r="AI214" i="1"/>
  <c r="AI194" i="1"/>
  <c r="AI155" i="1"/>
  <c r="AI151" i="1"/>
  <c r="AG227" i="1"/>
  <c r="X224" i="1"/>
  <c r="AG223" i="1"/>
  <c r="X223" i="1"/>
  <c r="X220" i="1"/>
  <c r="AG219" i="1"/>
  <c r="W208" i="1"/>
  <c r="AI190" i="1"/>
  <c r="AI166" i="1"/>
  <c r="W126" i="1"/>
  <c r="X227" i="1"/>
  <c r="AA216" i="1"/>
  <c r="AA215" i="1"/>
  <c r="W215" i="1" s="1"/>
  <c r="AI210" i="1"/>
  <c r="W134" i="1"/>
  <c r="W122" i="1"/>
  <c r="X214" i="1"/>
  <c r="T214" i="1"/>
  <c r="U214" i="1" s="1"/>
  <c r="S214" i="1" s="1"/>
  <c r="AI211" i="1"/>
  <c r="X208" i="1"/>
  <c r="T208" i="1"/>
  <c r="U208" i="1" s="1"/>
  <c r="S208" i="1" s="1"/>
  <c r="X204" i="1"/>
  <c r="T204" i="1"/>
  <c r="U204" i="1" s="1"/>
  <c r="S204" i="1" s="1"/>
  <c r="T200" i="1"/>
  <c r="U200" i="1" s="1"/>
  <c r="S200" i="1" s="1"/>
  <c r="X159" i="1"/>
  <c r="T159" i="1"/>
  <c r="U159" i="1" s="1"/>
  <c r="S159" i="1" s="1"/>
  <c r="X155" i="1"/>
  <c r="T155" i="1"/>
  <c r="U155" i="1" s="1"/>
  <c r="S155" i="1" s="1"/>
  <c r="T151" i="1"/>
  <c r="U151" i="1" s="1"/>
  <c r="S151" i="1" s="1"/>
  <c r="X146" i="1"/>
  <c r="T146" i="1"/>
  <c r="U146" i="1" s="1"/>
  <c r="S146" i="1" s="1"/>
  <c r="X138" i="1"/>
  <c r="T138" i="1"/>
  <c r="U138" i="1" s="1"/>
  <c r="S138" i="1" s="1"/>
  <c r="X134" i="1"/>
  <c r="T134" i="1"/>
  <c r="U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X118" i="1"/>
  <c r="T118" i="1"/>
  <c r="U118" i="1" s="1"/>
  <c r="S118" i="1" s="1"/>
  <c r="U117" i="1"/>
  <c r="S117" i="1" s="1"/>
  <c r="X114" i="1"/>
  <c r="T114" i="1"/>
  <c r="U114" i="1" s="1"/>
  <c r="S114" i="1" s="1"/>
  <c r="AI146" i="1"/>
  <c r="T109" i="1"/>
  <c r="X109" i="1"/>
  <c r="AG109" i="1"/>
  <c r="AI109" i="1" s="1"/>
  <c r="U108" i="1"/>
  <c r="S108" i="1" s="1"/>
  <c r="AI86" i="1"/>
  <c r="U157" i="1"/>
  <c r="S157" i="1" s="1"/>
  <c r="U153" i="1"/>
  <c r="S153" i="1" s="1"/>
  <c r="U136" i="1"/>
  <c r="S136" i="1" s="1"/>
  <c r="U124" i="1"/>
  <c r="S124" i="1" s="1"/>
  <c r="T112" i="1"/>
  <c r="X112" i="1"/>
  <c r="X161" i="1"/>
  <c r="AG160" i="1"/>
  <c r="X157" i="1"/>
  <c r="AG156" i="1"/>
  <c r="X153" i="1"/>
  <c r="AG152" i="1"/>
  <c r="X148" i="1"/>
  <c r="AG147" i="1"/>
  <c r="AI147" i="1" s="1"/>
  <c r="AG143" i="1"/>
  <c r="X140" i="1"/>
  <c r="AG139" i="1"/>
  <c r="AI139" i="1" s="1"/>
  <c r="X136" i="1"/>
  <c r="AG135" i="1"/>
  <c r="X132" i="1"/>
  <c r="AG131" i="1"/>
  <c r="AI131" i="1" s="1"/>
  <c r="X128" i="1"/>
  <c r="AG127" i="1"/>
  <c r="AI127" i="1" s="1"/>
  <c r="X124" i="1"/>
  <c r="AG123" i="1"/>
  <c r="AI123" i="1" s="1"/>
  <c r="X120" i="1"/>
  <c r="AG119" i="1"/>
  <c r="W119" i="1" s="1"/>
  <c r="X116" i="1"/>
  <c r="AG115" i="1"/>
  <c r="AI115" i="1" s="1"/>
  <c r="AA113" i="1"/>
  <c r="W113" i="1" s="1"/>
  <c r="U113" i="1"/>
  <c r="S113" i="1" s="1"/>
  <c r="AG112" i="1"/>
  <c r="AA110" i="1"/>
  <c r="X215" i="1"/>
  <c r="X209" i="1"/>
  <c r="AI208" i="1"/>
  <c r="X205" i="1"/>
  <c r="AI204" i="1"/>
  <c r="AI200" i="1"/>
  <c r="X160" i="1"/>
  <c r="AI192" i="1"/>
  <c r="X156" i="1"/>
  <c r="AI184" i="1"/>
  <c r="X147" i="1"/>
  <c r="AI176" i="1"/>
  <c r="X139" i="1"/>
  <c r="AI172" i="1"/>
  <c r="X135" i="1"/>
  <c r="AI168" i="1"/>
  <c r="X131" i="1"/>
  <c r="X127" i="1"/>
  <c r="X123" i="1"/>
  <c r="AI157" i="1"/>
  <c r="X119" i="1"/>
  <c r="AI153" i="1"/>
  <c r="X115" i="1"/>
  <c r="W109" i="1"/>
  <c r="U100" i="1"/>
  <c r="S100" i="1" s="1"/>
  <c r="U96" i="1"/>
  <c r="S96" i="1" s="1"/>
  <c r="U186" i="1"/>
  <c r="S186" i="1" s="1"/>
  <c r="T175" i="1"/>
  <c r="X175" i="1"/>
  <c r="X173" i="1"/>
  <c r="T93" i="1"/>
  <c r="X93" i="1"/>
  <c r="AG93" i="1"/>
  <c r="T90" i="1"/>
  <c r="U90" i="1" s="1"/>
  <c r="S90" i="1" s="1"/>
  <c r="X90" i="1"/>
  <c r="AI87" i="1"/>
  <c r="X87" i="1"/>
  <c r="AI80" i="1"/>
  <c r="U72" i="1"/>
  <c r="S72" i="1" s="1"/>
  <c r="X110" i="1"/>
  <c r="X106" i="1"/>
  <c r="AG105" i="1"/>
  <c r="X210" i="1"/>
  <c r="AG103" i="1"/>
  <c r="AI103" i="1" s="1"/>
  <c r="X100" i="1"/>
  <c r="AG99" i="1"/>
  <c r="AI99" i="1" s="1"/>
  <c r="X197" i="1"/>
  <c r="AG196" i="1"/>
  <c r="AI196" i="1" s="1"/>
  <c r="X96" i="1"/>
  <c r="AG193" i="1"/>
  <c r="AI193" i="1" s="1"/>
  <c r="X190" i="1"/>
  <c r="AG189" i="1"/>
  <c r="AI189" i="1" s="1"/>
  <c r="X186" i="1"/>
  <c r="AG185" i="1"/>
  <c r="AI185" i="1" s="1"/>
  <c r="X183" i="1"/>
  <c r="AG182" i="1"/>
  <c r="AI182" i="1" s="1"/>
  <c r="AI111" i="1"/>
  <c r="AG175" i="1"/>
  <c r="T167" i="1"/>
  <c r="X167" i="1"/>
  <c r="AG167" i="1"/>
  <c r="T164" i="1"/>
  <c r="AI90" i="1"/>
  <c r="AI82" i="1"/>
  <c r="W78" i="1"/>
  <c r="AI76" i="1"/>
  <c r="U76" i="1"/>
  <c r="S76" i="1" s="1"/>
  <c r="X105" i="1"/>
  <c r="AI138" i="1"/>
  <c r="X103" i="1"/>
  <c r="AI134" i="1"/>
  <c r="X99" i="1"/>
  <c r="AI130" i="1"/>
  <c r="X196" i="1"/>
  <c r="AI126" i="1"/>
  <c r="X193" i="1"/>
  <c r="AI122" i="1"/>
  <c r="X189" i="1"/>
  <c r="AI118" i="1"/>
  <c r="X185" i="1"/>
  <c r="AI114" i="1"/>
  <c r="X182" i="1"/>
  <c r="T177" i="1"/>
  <c r="U177" i="1" s="1"/>
  <c r="S177" i="1" s="1"/>
  <c r="AA172" i="1"/>
  <c r="W172" i="1" s="1"/>
  <c r="T171" i="1"/>
  <c r="X171" i="1"/>
  <c r="AG171" i="1"/>
  <c r="W169" i="1"/>
  <c r="T168" i="1"/>
  <c r="U168" i="1" s="1"/>
  <c r="S168" i="1" s="1"/>
  <c r="X168" i="1"/>
  <c r="AI95" i="1"/>
  <c r="AG164" i="1"/>
  <c r="AI164" i="1" s="1"/>
  <c r="AA86" i="1"/>
  <c r="W86" i="1" s="1"/>
  <c r="T85" i="1"/>
  <c r="X85" i="1"/>
  <c r="AG85" i="1"/>
  <c r="AI84" i="1"/>
  <c r="U84" i="1"/>
  <c r="S84" i="1" s="1"/>
  <c r="AI78" i="1"/>
  <c r="X108" i="1"/>
  <c r="X104" i="1"/>
  <c r="X102" i="1"/>
  <c r="X98" i="1"/>
  <c r="T178" i="1"/>
  <c r="U178" i="1" s="1"/>
  <c r="S178" i="1" s="1"/>
  <c r="X178" i="1"/>
  <c r="T174" i="1"/>
  <c r="X174" i="1"/>
  <c r="AG174" i="1"/>
  <c r="AI174" i="1" s="1"/>
  <c r="T172" i="1"/>
  <c r="U172" i="1" s="1"/>
  <c r="S172" i="1" s="1"/>
  <c r="X172" i="1"/>
  <c r="U170" i="1"/>
  <c r="S170" i="1" s="1"/>
  <c r="AI98" i="1"/>
  <c r="T89" i="1"/>
  <c r="X89" i="1"/>
  <c r="AG89" i="1"/>
  <c r="T86" i="1"/>
  <c r="U86" i="1" s="1"/>
  <c r="S86" i="1" s="1"/>
  <c r="X86" i="1"/>
  <c r="X82" i="1"/>
  <c r="T82" i="1"/>
  <c r="U82" i="1" s="1"/>
  <c r="S82" i="1" s="1"/>
  <c r="AG81" i="1"/>
  <c r="X78" i="1"/>
  <c r="T78" i="1"/>
  <c r="U78" i="1" s="1"/>
  <c r="S78" i="1" s="1"/>
  <c r="AG77" i="1"/>
  <c r="T75" i="1"/>
  <c r="U75" i="1" s="1"/>
  <c r="S75" i="1" s="1"/>
  <c r="T63" i="1"/>
  <c r="X63" i="1"/>
  <c r="AG63" i="1"/>
  <c r="W63" i="1" s="1"/>
  <c r="T60" i="1"/>
  <c r="X60" i="1"/>
  <c r="AI56" i="1"/>
  <c r="U46" i="1"/>
  <c r="S46" i="1" s="1"/>
  <c r="AI27" i="1"/>
  <c r="X81" i="1"/>
  <c r="X77" i="1"/>
  <c r="AA69" i="1"/>
  <c r="AA68" i="1"/>
  <c r="T67" i="1"/>
  <c r="X67" i="1"/>
  <c r="AG67" i="1"/>
  <c r="T64" i="1"/>
  <c r="U64" i="1" s="1"/>
  <c r="S64" i="1" s="1"/>
  <c r="X64" i="1"/>
  <c r="X61" i="1"/>
  <c r="AG60" i="1"/>
  <c r="AA54" i="1"/>
  <c r="T48" i="1"/>
  <c r="X48" i="1"/>
  <c r="AG48" i="1"/>
  <c r="U43" i="1"/>
  <c r="S43" i="1" s="1"/>
  <c r="T36" i="1"/>
  <c r="X36" i="1"/>
  <c r="AG36" i="1"/>
  <c r="T71" i="1"/>
  <c r="X71" i="1"/>
  <c r="AG71" i="1"/>
  <c r="T68" i="1"/>
  <c r="X68" i="1"/>
  <c r="AI64" i="1"/>
  <c r="T55" i="1"/>
  <c r="X55" i="1"/>
  <c r="AG55" i="1"/>
  <c r="X54" i="1"/>
  <c r="AG54" i="1"/>
  <c r="AI53" i="1"/>
  <c r="X83" i="1"/>
  <c r="X79" i="1"/>
  <c r="T74" i="1"/>
  <c r="U74" i="1" s="1"/>
  <c r="S74" i="1" s="1"/>
  <c r="X69" i="1"/>
  <c r="AG68" i="1"/>
  <c r="AA61" i="1"/>
  <c r="U61" i="1"/>
  <c r="S61" i="1" s="1"/>
  <c r="AA60" i="1"/>
  <c r="T59" i="1"/>
  <c r="X59" i="1"/>
  <c r="AG59" i="1"/>
  <c r="T56" i="1"/>
  <c r="U56" i="1" s="1"/>
  <c r="S56" i="1" s="1"/>
  <c r="X56" i="1"/>
  <c r="T45" i="1"/>
  <c r="X45" i="1"/>
  <c r="AG45" i="1"/>
  <c r="X46" i="1"/>
  <c r="T31" i="1"/>
  <c r="X31" i="1"/>
  <c r="AG31" i="1"/>
  <c r="AA53" i="1"/>
  <c r="W53" i="1" s="1"/>
  <c r="T52" i="1"/>
  <c r="X52" i="1"/>
  <c r="AG52" i="1"/>
  <c r="W52" i="1" s="1"/>
  <c r="T49" i="1"/>
  <c r="U49" i="1" s="1"/>
  <c r="S49" i="1" s="1"/>
  <c r="X49" i="1"/>
  <c r="AA42" i="1"/>
  <c r="AA41" i="1"/>
  <c r="W41" i="1" s="1"/>
  <c r="T40" i="1"/>
  <c r="X40" i="1"/>
  <c r="AG40" i="1"/>
  <c r="T37" i="1"/>
  <c r="X37" i="1"/>
  <c r="AI34" i="1"/>
  <c r="AA24" i="1"/>
  <c r="AA23" i="1"/>
  <c r="W23" i="1" s="1"/>
  <c r="T22" i="1"/>
  <c r="X22" i="1"/>
  <c r="AG22" i="1"/>
  <c r="W22" i="1" s="1"/>
  <c r="AA14" i="1"/>
  <c r="W14" i="1" s="1"/>
  <c r="T53" i="1"/>
  <c r="U53" i="1" s="1"/>
  <c r="S53" i="1" s="1"/>
  <c r="X53" i="1"/>
  <c r="AI49" i="1"/>
  <c r="T41" i="1"/>
  <c r="U41" i="1" s="1"/>
  <c r="S41" i="1" s="1"/>
  <c r="X41" i="1"/>
  <c r="X38" i="1"/>
  <c r="AG37" i="1"/>
  <c r="AA28" i="1"/>
  <c r="AA27" i="1"/>
  <c r="W27" i="1" s="1"/>
  <c r="T26" i="1"/>
  <c r="X26" i="1"/>
  <c r="AG26" i="1"/>
  <c r="T23" i="1"/>
  <c r="U23" i="1" s="1"/>
  <c r="S23" i="1" s="1"/>
  <c r="X23" i="1"/>
  <c r="AI19" i="1"/>
  <c r="T18" i="1"/>
  <c r="AG18" i="1"/>
  <c r="AA45" i="1"/>
  <c r="T44" i="1"/>
  <c r="X44" i="1"/>
  <c r="AG44" i="1"/>
  <c r="AI41" i="1"/>
  <c r="AA34" i="1"/>
  <c r="W34" i="1" s="1"/>
  <c r="AA31" i="1"/>
  <c r="T30" i="1"/>
  <c r="X30" i="1"/>
  <c r="AG30" i="1"/>
  <c r="W30" i="1" s="1"/>
  <c r="T27" i="1"/>
  <c r="U27" i="1" s="1"/>
  <c r="S27" i="1" s="1"/>
  <c r="X27" i="1"/>
  <c r="AI24" i="1"/>
  <c r="AI23" i="1"/>
  <c r="AI14" i="1"/>
  <c r="U15" i="1"/>
  <c r="S15" i="1" s="1"/>
  <c r="AI15" i="1"/>
  <c r="W36" i="1" l="1"/>
  <c r="W157" i="1"/>
  <c r="W210" i="1"/>
  <c r="U205" i="1"/>
  <c r="S205" i="1" s="1"/>
  <c r="W72" i="1"/>
  <c r="W186" i="1"/>
  <c r="AI107" i="1"/>
  <c r="W175" i="1"/>
  <c r="U141" i="1"/>
  <c r="S141" i="1" s="1"/>
  <c r="U203" i="1"/>
  <c r="S203" i="1" s="1"/>
  <c r="W181" i="1"/>
  <c r="W107" i="1"/>
  <c r="U95" i="1"/>
  <c r="S95" i="1" s="1"/>
  <c r="U116" i="1"/>
  <c r="S116" i="1" s="1"/>
  <c r="AI186" i="1"/>
  <c r="W148" i="1"/>
  <c r="AI209" i="1"/>
  <c r="W62" i="1"/>
  <c r="W195" i="1"/>
  <c r="U121" i="1"/>
  <c r="S121" i="1" s="1"/>
  <c r="U38" i="1"/>
  <c r="S38" i="1" s="1"/>
  <c r="W57" i="1"/>
  <c r="U125" i="1"/>
  <c r="S125" i="1" s="1"/>
  <c r="AI110" i="1"/>
  <c r="AI102" i="1"/>
  <c r="AI188" i="1"/>
  <c r="AI203" i="1"/>
  <c r="U102" i="1"/>
  <c r="S102" i="1" s="1"/>
  <c r="W149" i="1"/>
  <c r="W161" i="1"/>
  <c r="W58" i="1"/>
  <c r="W61" i="1"/>
  <c r="U173" i="1"/>
  <c r="S173" i="1" s="1"/>
  <c r="W110" i="1"/>
  <c r="U132" i="1"/>
  <c r="AI17" i="1"/>
  <c r="U17" i="1"/>
  <c r="S17" i="1" s="1"/>
  <c r="W17" i="1"/>
  <c r="AI46" i="1"/>
  <c r="W81" i="1"/>
  <c r="AI91" i="1"/>
  <c r="U144" i="1"/>
  <c r="S144" i="1" s="1"/>
  <c r="AI199" i="1"/>
  <c r="AI220" i="1"/>
  <c r="W180" i="1"/>
  <c r="W48" i="1"/>
  <c r="AI70" i="1"/>
  <c r="W173" i="1"/>
  <c r="W106" i="1"/>
  <c r="W225" i="1"/>
  <c r="W129" i="1"/>
  <c r="AI42" i="1"/>
  <c r="W24" i="1"/>
  <c r="W42" i="1"/>
  <c r="W152" i="1"/>
  <c r="U202" i="1"/>
  <c r="S202" i="1" s="1"/>
  <c r="W220" i="1"/>
  <c r="W144" i="1"/>
  <c r="W154" i="1"/>
  <c r="U28" i="1"/>
  <c r="S28" i="1" s="1"/>
  <c r="AI79" i="1"/>
  <c r="U206" i="1"/>
  <c r="S206" i="1" s="1"/>
  <c r="AI225" i="1"/>
  <c r="AI21" i="1"/>
  <c r="W66" i="1"/>
  <c r="W97" i="1"/>
  <c r="W211" i="1"/>
  <c r="W38" i="1"/>
  <c r="AI58" i="1"/>
  <c r="AI161" i="1"/>
  <c r="AI212" i="1"/>
  <c r="U224" i="1"/>
  <c r="S224" i="1" s="1"/>
  <c r="AI73" i="1"/>
  <c r="W59" i="1"/>
  <c r="AI69" i="1"/>
  <c r="U197" i="1"/>
  <c r="S197" i="1" s="1"/>
  <c r="U140" i="1"/>
  <c r="S140" i="1" s="1"/>
  <c r="U161" i="1"/>
  <c r="S161" i="1" s="1"/>
  <c r="W135" i="1"/>
  <c r="W65" i="1"/>
  <c r="U133" i="1"/>
  <c r="W206" i="1"/>
  <c r="U180" i="1"/>
  <c r="S180" i="1" s="1"/>
  <c r="W83" i="1"/>
  <c r="W188" i="1"/>
  <c r="W96" i="1"/>
  <c r="W91" i="1"/>
  <c r="W100" i="1"/>
  <c r="AI20" i="1"/>
  <c r="W28" i="1"/>
  <c r="AI119" i="1"/>
  <c r="AI83" i="1"/>
  <c r="AI198" i="1"/>
  <c r="AI216" i="1"/>
  <c r="W19" i="1"/>
  <c r="W179" i="1"/>
  <c r="U226" i="1"/>
  <c r="S226" i="1" s="1"/>
  <c r="U194" i="1"/>
  <c r="S194" i="1" s="1"/>
  <c r="W205" i="1"/>
  <c r="W226" i="1"/>
  <c r="U148" i="1"/>
  <c r="S148" i="1" s="1"/>
  <c r="W21" i="1"/>
  <c r="W16" i="1"/>
  <c r="W71" i="1"/>
  <c r="W69" i="1"/>
  <c r="AI135" i="1"/>
  <c r="U120" i="1"/>
  <c r="S120" i="1" s="1"/>
  <c r="AI207" i="1"/>
  <c r="W216" i="1"/>
  <c r="U50" i="1"/>
  <c r="S50" i="1" s="1"/>
  <c r="W198" i="1"/>
  <c r="W60" i="1"/>
  <c r="W98" i="1"/>
  <c r="W70" i="1"/>
  <c r="W199" i="1"/>
  <c r="W117" i="1"/>
  <c r="W163" i="1"/>
  <c r="W217" i="1"/>
  <c r="U65" i="1"/>
  <c r="S65" i="1" s="1"/>
  <c r="W120" i="1"/>
  <c r="W145" i="1"/>
  <c r="W39" i="1"/>
  <c r="U25" i="1"/>
  <c r="S25" i="1" s="1"/>
  <c r="AI25" i="1"/>
  <c r="W191" i="1"/>
  <c r="U162" i="1"/>
  <c r="S162" i="1" s="1"/>
  <c r="AI162" i="1"/>
  <c r="U213" i="1"/>
  <c r="S213" i="1" s="1"/>
  <c r="AI213" i="1"/>
  <c r="W116" i="1"/>
  <c r="W213" i="1"/>
  <c r="W50" i="1"/>
  <c r="W79" i="1"/>
  <c r="U101" i="1"/>
  <c r="S101" i="1" s="1"/>
  <c r="W121" i="1"/>
  <c r="W101" i="1"/>
  <c r="W140" i="1"/>
  <c r="W202" i="1"/>
  <c r="W212" i="1"/>
  <c r="W203" i="1"/>
  <c r="W54" i="1"/>
  <c r="W112" i="1"/>
  <c r="AI112" i="1"/>
  <c r="U35" i="1"/>
  <c r="S35" i="1" s="1"/>
  <c r="AI35" i="1"/>
  <c r="W25" i="1"/>
  <c r="U158" i="1"/>
  <c r="S158" i="1" s="1"/>
  <c r="AI158" i="1"/>
  <c r="U221" i="1"/>
  <c r="S221" i="1" s="1"/>
  <c r="AI221" i="1"/>
  <c r="W176" i="1"/>
  <c r="W132" i="1"/>
  <c r="W141" i="1"/>
  <c r="W162" i="1"/>
  <c r="W224" i="1"/>
  <c r="W207" i="1"/>
  <c r="W68" i="1"/>
  <c r="W193" i="1"/>
  <c r="W143" i="1"/>
  <c r="AI143" i="1"/>
  <c r="U66" i="1"/>
  <c r="S66" i="1" s="1"/>
  <c r="AI66" i="1"/>
  <c r="U169" i="1"/>
  <c r="S169" i="1" s="1"/>
  <c r="AI169" i="1"/>
  <c r="W183" i="1"/>
  <c r="W190" i="1"/>
  <c r="W35" i="1"/>
  <c r="U149" i="1"/>
  <c r="S149" i="1" s="1"/>
  <c r="AI149" i="1"/>
  <c r="U97" i="1"/>
  <c r="S97" i="1" s="1"/>
  <c r="W133" i="1"/>
  <c r="W108" i="1"/>
  <c r="W221" i="1"/>
  <c r="U44" i="1"/>
  <c r="S44" i="1" s="1"/>
  <c r="AI44" i="1"/>
  <c r="U18" i="1"/>
  <c r="S18" i="1" s="1"/>
  <c r="AI18" i="1"/>
  <c r="AI37" i="1"/>
  <c r="U37" i="1"/>
  <c r="S37" i="1" s="1"/>
  <c r="AI31" i="1"/>
  <c r="U31" i="1"/>
  <c r="S31" i="1" s="1"/>
  <c r="AI68" i="1"/>
  <c r="U68" i="1"/>
  <c r="S68" i="1" s="1"/>
  <c r="U55" i="1"/>
  <c r="S55" i="1" s="1"/>
  <c r="AI55" i="1"/>
  <c r="AI94" i="1"/>
  <c r="U164" i="1"/>
  <c r="S164" i="1" s="1"/>
  <c r="U171" i="1"/>
  <c r="S171" i="1" s="1"/>
  <c r="AI101" i="1"/>
  <c r="W171" i="1"/>
  <c r="U167" i="1"/>
  <c r="S167" i="1" s="1"/>
  <c r="AI97" i="1"/>
  <c r="AI106" i="1"/>
  <c r="U175" i="1"/>
  <c r="S175" i="1" s="1"/>
  <c r="AI113" i="1"/>
  <c r="U182" i="1"/>
  <c r="S182" i="1" s="1"/>
  <c r="AI117" i="1"/>
  <c r="U185" i="1"/>
  <c r="S185" i="1" s="1"/>
  <c r="AI121" i="1"/>
  <c r="U189" i="1"/>
  <c r="S189" i="1" s="1"/>
  <c r="AI125" i="1"/>
  <c r="U193" i="1"/>
  <c r="S193" i="1" s="1"/>
  <c r="AI129" i="1"/>
  <c r="U196" i="1"/>
  <c r="S196" i="1" s="1"/>
  <c r="AI133" i="1"/>
  <c r="U99" i="1"/>
  <c r="S99" i="1" s="1"/>
  <c r="AI137" i="1"/>
  <c r="U103" i="1"/>
  <c r="S103" i="1" s="1"/>
  <c r="AI141" i="1"/>
  <c r="U105" i="1"/>
  <c r="S105" i="1" s="1"/>
  <c r="W167" i="1"/>
  <c r="U115" i="1"/>
  <c r="S115" i="1" s="1"/>
  <c r="AI152" i="1"/>
  <c r="U123" i="1"/>
  <c r="S123" i="1" s="1"/>
  <c r="AI160" i="1"/>
  <c r="U131" i="1"/>
  <c r="AI167" i="1"/>
  <c r="U139" i="1"/>
  <c r="S139" i="1" s="1"/>
  <c r="AI175" i="1"/>
  <c r="U147" i="1"/>
  <c r="S147" i="1" s="1"/>
  <c r="AI183" i="1"/>
  <c r="U156" i="1"/>
  <c r="S156" i="1" s="1"/>
  <c r="AI191" i="1"/>
  <c r="W105" i="1"/>
  <c r="U40" i="1"/>
  <c r="S40" i="1" s="1"/>
  <c r="AI40" i="1"/>
  <c r="U174" i="1"/>
  <c r="S174" i="1" s="1"/>
  <c r="AI105" i="1"/>
  <c r="W31" i="1"/>
  <c r="W18" i="1"/>
  <c r="U52" i="1"/>
  <c r="S52" i="1" s="1"/>
  <c r="AI52" i="1"/>
  <c r="U59" i="1"/>
  <c r="S59" i="1" s="1"/>
  <c r="AI59" i="1"/>
  <c r="U71" i="1"/>
  <c r="S71" i="1" s="1"/>
  <c r="AI71" i="1"/>
  <c r="AI60" i="1"/>
  <c r="U60" i="1"/>
  <c r="S60" i="1" s="1"/>
  <c r="U89" i="1"/>
  <c r="S89" i="1" s="1"/>
  <c r="AI89" i="1"/>
  <c r="W55" i="1"/>
  <c r="U85" i="1"/>
  <c r="S85" i="1" s="1"/>
  <c r="AI85" i="1"/>
  <c r="W85" i="1"/>
  <c r="W164" i="1"/>
  <c r="W89" i="1"/>
  <c r="W185" i="1"/>
  <c r="U112" i="1"/>
  <c r="S112" i="1" s="1"/>
  <c r="AI148" i="1"/>
  <c r="W182" i="1"/>
  <c r="W196" i="1"/>
  <c r="AI219" i="1"/>
  <c r="U219" i="1"/>
  <c r="S219" i="1" s="1"/>
  <c r="AI227" i="1"/>
  <c r="U227" i="1"/>
  <c r="S227" i="1" s="1"/>
  <c r="W223" i="1"/>
  <c r="U67" i="1"/>
  <c r="S67" i="1" s="1"/>
  <c r="AI67" i="1"/>
  <c r="U63" i="1"/>
  <c r="S63" i="1" s="1"/>
  <c r="AI63" i="1"/>
  <c r="AI81" i="1"/>
  <c r="U81" i="1"/>
  <c r="S81" i="1" s="1"/>
  <c r="U30" i="1"/>
  <c r="S30" i="1" s="1"/>
  <c r="AI30" i="1"/>
  <c r="W45" i="1"/>
  <c r="U26" i="1"/>
  <c r="S26" i="1" s="1"/>
  <c r="AI26" i="1"/>
  <c r="U22" i="1"/>
  <c r="S22" i="1" s="1"/>
  <c r="AI22" i="1"/>
  <c r="W37" i="1"/>
  <c r="AI54" i="1"/>
  <c r="U54" i="1"/>
  <c r="S54" i="1" s="1"/>
  <c r="U36" i="1"/>
  <c r="S36" i="1" s="1"/>
  <c r="AI36" i="1"/>
  <c r="W40" i="1"/>
  <c r="AI77" i="1"/>
  <c r="U77" i="1"/>
  <c r="S77" i="1" s="1"/>
  <c r="W77" i="1"/>
  <c r="W26" i="1"/>
  <c r="W67" i="1"/>
  <c r="U93" i="1"/>
  <c r="S93" i="1" s="1"/>
  <c r="AI93" i="1"/>
  <c r="W93" i="1"/>
  <c r="W174" i="1"/>
  <c r="U119" i="1"/>
  <c r="S119" i="1" s="1"/>
  <c r="AI156" i="1"/>
  <c r="U127" i="1"/>
  <c r="S127" i="1" s="1"/>
  <c r="AI163" i="1"/>
  <c r="U135" i="1"/>
  <c r="AI171" i="1"/>
  <c r="U143" i="1"/>
  <c r="S143" i="1" s="1"/>
  <c r="AI179" i="1"/>
  <c r="U152" i="1"/>
  <c r="S152" i="1" s="1"/>
  <c r="AI187" i="1"/>
  <c r="U160" i="1"/>
  <c r="S160" i="1" s="1"/>
  <c r="AI195" i="1"/>
  <c r="W99" i="1"/>
  <c r="AI145" i="1"/>
  <c r="U109" i="1"/>
  <c r="S109" i="1" s="1"/>
  <c r="W115" i="1"/>
  <c r="W123" i="1"/>
  <c r="U223" i="1"/>
  <c r="S223" i="1" s="1"/>
  <c r="AI223" i="1"/>
  <c r="W127" i="1"/>
  <c r="U222" i="1"/>
  <c r="S222" i="1" s="1"/>
  <c r="AI222" i="1"/>
  <c r="W131" i="1"/>
  <c r="W139" i="1"/>
  <c r="W147" i="1"/>
  <c r="W156" i="1"/>
  <c r="U218" i="1"/>
  <c r="S218" i="1" s="1"/>
  <c r="AI218" i="1"/>
  <c r="W227" i="1"/>
  <c r="AI45" i="1"/>
  <c r="U45" i="1"/>
  <c r="S45" i="1" s="1"/>
  <c r="W44" i="1"/>
  <c r="U48" i="1"/>
  <c r="S48" i="1" s="1"/>
  <c r="AI48" i="1"/>
  <c r="W189" i="1"/>
  <c r="W103" i="1"/>
  <c r="W160" i="1"/>
  <c r="W219" i="1"/>
  <c r="W222" i="1"/>
  <c r="S7" i="3"/>
  <c r="R7" i="3"/>
  <c r="S131" i="1" l="1"/>
  <c r="B14" i="6"/>
  <c r="F14" i="6" s="1"/>
  <c r="V13" i="1"/>
  <c r="S14" i="3" s="1"/>
  <c r="H14" i="6" l="1"/>
  <c r="G14" i="6"/>
  <c r="B5" i="6"/>
  <c r="F5" i="6" s="1"/>
  <c r="I14" i="6"/>
  <c r="G5" i="6" l="1"/>
  <c r="I5" i="6"/>
  <c r="H5" i="6"/>
  <c r="B6" i="6"/>
  <c r="B7" i="6" l="1"/>
  <c r="H6" i="6"/>
  <c r="I6" i="6"/>
  <c r="F6" i="6"/>
  <c r="G6" i="6"/>
  <c r="AE13" i="1"/>
  <c r="R14" i="3" s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14" i="1" l="1"/>
  <c r="AH21" i="1"/>
  <c r="AH22" i="1"/>
  <c r="AH23" i="1"/>
  <c r="AH24" i="1"/>
  <c r="AH25" i="1"/>
  <c r="AH26" i="1"/>
  <c r="AH38" i="1"/>
  <c r="AH48" i="1"/>
  <c r="AH57" i="1"/>
  <c r="AH64" i="1"/>
  <c r="AH65" i="1"/>
  <c r="AH66" i="1"/>
  <c r="AH67" i="1"/>
  <c r="AH68" i="1"/>
  <c r="AH69" i="1"/>
  <c r="AH70" i="1"/>
  <c r="AH71" i="1"/>
  <c r="AH75" i="1"/>
  <c r="AH76" i="1"/>
  <c r="AH77" i="1"/>
  <c r="AH78" i="1"/>
  <c r="AH79" i="1"/>
  <c r="AH80" i="1"/>
  <c r="AH89" i="1"/>
  <c r="AH90" i="1"/>
  <c r="AH91" i="1"/>
  <c r="AH97" i="1"/>
  <c r="AH113" i="1"/>
  <c r="AH114" i="1"/>
  <c r="AH116" i="1"/>
  <c r="AH117" i="1"/>
  <c r="AH118" i="1"/>
  <c r="AH125" i="1"/>
  <c r="AH126" i="1"/>
  <c r="AH127" i="1"/>
  <c r="AH128" i="1"/>
  <c r="AH129" i="1"/>
  <c r="AH141" i="1"/>
  <c r="AH147" i="1"/>
  <c r="AH148" i="1"/>
  <c r="AH161" i="1"/>
  <c r="AH162" i="1"/>
  <c r="AH166" i="1"/>
  <c r="AH191" i="1"/>
  <c r="AH192" i="1"/>
  <c r="AH193" i="1"/>
  <c r="AH194" i="1"/>
  <c r="AH195" i="1"/>
  <c r="AH196" i="1"/>
  <c r="AH197" i="1"/>
  <c r="AH211" i="1"/>
  <c r="AH212" i="1"/>
  <c r="AH213" i="1"/>
  <c r="AH214" i="1"/>
  <c r="AH226" i="1"/>
  <c r="AH15" i="1"/>
  <c r="AH18" i="1"/>
  <c r="AH19" i="1"/>
  <c r="AH27" i="1"/>
  <c r="AH39" i="1"/>
  <c r="AH40" i="1"/>
  <c r="AH41" i="1"/>
  <c r="AH42" i="1"/>
  <c r="AH43" i="1"/>
  <c r="AH49" i="1"/>
  <c r="AH50" i="1"/>
  <c r="AH51" i="1"/>
  <c r="AH52" i="1"/>
  <c r="AH53" i="1"/>
  <c r="AH54" i="1"/>
  <c r="AH55" i="1"/>
  <c r="AH58" i="1"/>
  <c r="AH72" i="1"/>
  <c r="AH73" i="1"/>
  <c r="AH92" i="1"/>
  <c r="AH98" i="1"/>
  <c r="AH99" i="1"/>
  <c r="AH100" i="1"/>
  <c r="AH101" i="1"/>
  <c r="AH102" i="1"/>
  <c r="AH103" i="1"/>
  <c r="AH104" i="1"/>
  <c r="AH111" i="1"/>
  <c r="AH120" i="1"/>
  <c r="AH121" i="1"/>
  <c r="AH122" i="1"/>
  <c r="AH130" i="1"/>
  <c r="AH131" i="1"/>
  <c r="AH132" i="1"/>
  <c r="AH133" i="1"/>
  <c r="AH134" i="1"/>
  <c r="AH135" i="1"/>
  <c r="AH149" i="1"/>
  <c r="AH151" i="1"/>
  <c r="AH152" i="1"/>
  <c r="AH153" i="1"/>
  <c r="AH154" i="1"/>
  <c r="AH163" i="1"/>
  <c r="AH167" i="1"/>
  <c r="AH168" i="1"/>
  <c r="AH169" i="1"/>
  <c r="AH188" i="1"/>
  <c r="AH215" i="1"/>
  <c r="AH216" i="1"/>
  <c r="AH217" i="1"/>
  <c r="AH218" i="1"/>
  <c r="AH219" i="1"/>
  <c r="AH220" i="1"/>
  <c r="AH221" i="1"/>
  <c r="AH222" i="1"/>
  <c r="AH223" i="1"/>
  <c r="AH224" i="1"/>
  <c r="AH206" i="1"/>
  <c r="AH209" i="1"/>
  <c r="AH227" i="1"/>
  <c r="AH20" i="1"/>
  <c r="AH28" i="1"/>
  <c r="AH29" i="1"/>
  <c r="AH30" i="1"/>
  <c r="AH31" i="1"/>
  <c r="AH34" i="1"/>
  <c r="AH35" i="1"/>
  <c r="AH36" i="1"/>
  <c r="AH37" i="1"/>
  <c r="AH44" i="1"/>
  <c r="AH45" i="1"/>
  <c r="AH46" i="1"/>
  <c r="AH56" i="1"/>
  <c r="AH59" i="1"/>
  <c r="AH60" i="1"/>
  <c r="AH61" i="1"/>
  <c r="AH74" i="1"/>
  <c r="AH81" i="1"/>
  <c r="AH82" i="1"/>
  <c r="AH83" i="1"/>
  <c r="AH84" i="1"/>
  <c r="AH93" i="1"/>
  <c r="AH94" i="1"/>
  <c r="AH105" i="1"/>
  <c r="AH106" i="1"/>
  <c r="AH107" i="1"/>
  <c r="AH108" i="1"/>
  <c r="AH109" i="1"/>
  <c r="AH110" i="1"/>
  <c r="AH123" i="1"/>
  <c r="AH136" i="1"/>
  <c r="AH137" i="1"/>
  <c r="AH143" i="1"/>
  <c r="AH144" i="1"/>
  <c r="AH145" i="1"/>
  <c r="AH146" i="1"/>
  <c r="AH170" i="1"/>
  <c r="AH171" i="1"/>
  <c r="AH178" i="1"/>
  <c r="AH179" i="1"/>
  <c r="AH180" i="1"/>
  <c r="AH181" i="1"/>
  <c r="AH198" i="1"/>
  <c r="AH199" i="1"/>
  <c r="AH200" i="1"/>
  <c r="AH201" i="1"/>
  <c r="AH202" i="1"/>
  <c r="AH176" i="1"/>
  <c r="AH182" i="1"/>
  <c r="AH184" i="1"/>
  <c r="AH186" i="1"/>
  <c r="AH189" i="1"/>
  <c r="AH203" i="1"/>
  <c r="AH204" i="1"/>
  <c r="AH207" i="1"/>
  <c r="AH210" i="1"/>
  <c r="AH16" i="1"/>
  <c r="AH47" i="1"/>
  <c r="AH62" i="1"/>
  <c r="AH63" i="1"/>
  <c r="AH85" i="1"/>
  <c r="AH86" i="1"/>
  <c r="AH87" i="1"/>
  <c r="AH88" i="1"/>
  <c r="AH95" i="1"/>
  <c r="AH96" i="1"/>
  <c r="AH112" i="1"/>
  <c r="AH115" i="1"/>
  <c r="AH119" i="1"/>
  <c r="AH124" i="1"/>
  <c r="AH138" i="1"/>
  <c r="AH139" i="1"/>
  <c r="AH140" i="1"/>
  <c r="AH155" i="1"/>
  <c r="AH156" i="1"/>
  <c r="AH157" i="1"/>
  <c r="AH158" i="1"/>
  <c r="AH159" i="1"/>
  <c r="AH160" i="1"/>
  <c r="AH164" i="1"/>
  <c r="AH165" i="1"/>
  <c r="AH172" i="1"/>
  <c r="AH173" i="1"/>
  <c r="AH174" i="1"/>
  <c r="AH175" i="1"/>
  <c r="AH177" i="1"/>
  <c r="AH183" i="1"/>
  <c r="AH185" i="1"/>
  <c r="AH187" i="1"/>
  <c r="AH190" i="1"/>
  <c r="AH205" i="1"/>
  <c r="AH208" i="1"/>
  <c r="AH225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<sst xmlns="http://schemas.openxmlformats.org/spreadsheetml/2006/main" count="2212" uniqueCount="766">
  <si>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</si>
  <si>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</si>
  <si>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</si>
  <si>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</si>
  <si>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</si>
  <si>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</si>
  <si>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</si>
  <si>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</si>
  <si>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</si>
  <si>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</si>
  <si>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</si>
  <si>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</si>
  <si>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</si>
  <si>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</si>
  <si>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</si>
  <si>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</si>
  <si>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</si>
  <si>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</si>
  <si>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</si>
  <si>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</si>
  <si>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</si>
  <si>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</si>
  <si>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</si>
  <si>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</si>
  <si>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</si>
  <si>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</si>
  <si>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</si>
  <si>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</si>
  <si>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</si>
  <si>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</si>
  <si>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</si>
  <si>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</si>
  <si>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</si>
  <si>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</si>
  <si>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</si>
  <si>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</si>
  <si>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</si>
  <si>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</si>
  <si>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</si>
  <si>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</si>
  <si>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</si>
  <si>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</si>
  <si>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</si>
  <si>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</si>
  <si>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</si>
  <si>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</si>
  <si>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</si>
  <si>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</si>
  <si>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</si>
  <si>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</si>
  <si>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</si>
  <si>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</si>
  <si>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</si>
  <si>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</si>
  <si>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</si>
  <si>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</si>
  <si>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</si>
  <si>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</si>
  <si>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</si>
  <si>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</si>
  <si>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</si>
  <si>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</si>
  <si>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</si>
  <si>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</si>
  <si>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</si>
  <si>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</si>
  <si>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</si>
  <si>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</si>
  <si>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</si>
  <si>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</si>
  <si>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</si>
  <si>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</si>
  <si>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</si>
  <si>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</si>
  <si>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</si>
  <si>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</si>
  <si>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</si>
  <si>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</si>
  <si>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</si>
  <si>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</si>
  <si>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</si>
  <si>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</si>
  <si>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</si>
  <si>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</si>
  <si>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</si>
  <si>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</si>
  <si>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</si>
  <si>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</si>
  <si>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</si>
  <si>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</si>
  <si>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</si>
  <si>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</si>
  <si>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</si>
  <si>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</si>
  <si>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</si>
  <si>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</si>
  <si>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</si>
  <si>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</si>
  <si>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</si>
  <si>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</si>
  <si>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</si>
  <si>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</si>
  <si>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</si>
  <si>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</si>
  <si>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</si>
  <si>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</si>
  <si>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</si>
  <si>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</si>
  <si>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</si>
  <si>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</si>
  <si>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</si>
  <si>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</si>
  <si>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</si>
  <si>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</si>
  <si>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</si>
  <si>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</si>
  <si>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</si>
  <si>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</si>
  <si>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</si>
  <si>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</si>
  <si>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</si>
  <si>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</si>
  <si>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</si>
  <si>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</si>
  <si>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</si>
  <si>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</si>
  <si>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</si>
  <si>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</si>
  <si>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</si>
  <si>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</si>
  <si>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</si>
  <si>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</si>
  <si>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</si>
  <si>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</si>
  <si>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</si>
  <si>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</si>
  <si>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</si>
  <si>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</si>
  <si>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</si>
  <si>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</si>
  <si>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</si>
  <si>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</si>
  <si>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</si>
  <si>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</si>
  <si>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</si>
  <si>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</si>
  <si>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</si>
  <si>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</si>
  <si>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</si>
  <si>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</si>
  <si>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</si>
  <si>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</si>
  <si>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</si>
  <si>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</si>
  <si>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</si>
  <si>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</si>
  <si>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</si>
  <si>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</si>
  <si>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</si>
  <si>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</si>
  <si>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</si>
  <si>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</si>
  <si>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</si>
  <si>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</si>
  <si>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</si>
  <si>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</si>
  <si>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</si>
  <si>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rtdc.l.rtdc.4051:itc</t>
  </si>
  <si>
    <t>rtdc.l.rtdc.4052:itc</t>
  </si>
  <si>
    <t>rtdc.l.rtdc.4041:itc</t>
  </si>
  <si>
    <t>rtdc.l.rtdc.4042:itc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</si>
  <si>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</si>
  <si>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</si>
  <si>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</si>
  <si>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</si>
  <si>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</si>
  <si>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</si>
  <si>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</si>
  <si>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</si>
  <si>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</si>
  <si>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</si>
  <si>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</si>
  <si>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</si>
  <si>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</si>
  <si>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</si>
  <si>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</si>
  <si>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</si>
  <si>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</si>
  <si>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204:149</t>
  </si>
  <si>
    <t>204:160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</si>
  <si>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</si>
  <si>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</si>
  <si>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</si>
  <si>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</si>
  <si>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</si>
  <si>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</si>
  <si>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</si>
  <si>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</si>
  <si>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</si>
  <si>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</si>
  <si>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</si>
  <si>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</si>
  <si>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204:138</t>
  </si>
  <si>
    <t>204:462</t>
  </si>
  <si>
    <t>Loco - PTC</t>
  </si>
  <si>
    <t>Power</t>
  </si>
  <si>
    <t>204:156</t>
  </si>
  <si>
    <t>204:233314</t>
  </si>
  <si>
    <t>CLI Grep</t>
  </si>
  <si>
    <t>204:145</t>
  </si>
  <si>
    <t>204:141</t>
  </si>
  <si>
    <t>204:233312</t>
  </si>
  <si>
    <t>Time (US/Mountain)</t>
  </si>
  <si>
    <t>Source</t>
  </si>
  <si>
    <t>Employee Identifier</t>
  </si>
  <si>
    <t>Employee Last Name</t>
  </si>
  <si>
    <t>204:464</t>
  </si>
  <si>
    <t>204:232977</t>
  </si>
  <si>
    <t>Clear</t>
  </si>
  <si>
    <t>rtdc.l.rtdc.4017:itc</t>
  </si>
  <si>
    <t>rtdc.l.rtdc.4018:itc</t>
  </si>
  <si>
    <t>Reactive Warning (1)</t>
  </si>
  <si>
    <t>LEVERE</t>
  </si>
  <si>
    <t>204:233293</t>
  </si>
  <si>
    <t>:.+((SYSTEM_STATE.+slice.+state.+changed )|(ment ac)|(system.+state.+changed )|(\[timeout)|(PRM\|1\|D)|(kpr)|(kdp)|(\|lc)|(penalty))</t>
  </si>
  <si>
    <t>STURGEON</t>
  </si>
  <si>
    <t>204:232986</t>
  </si>
  <si>
    <t>204:161</t>
  </si>
  <si>
    <t>204:477</t>
  </si>
  <si>
    <t>s3://rtdc.mdm.uploadarchive.raw</t>
  </si>
  <si>
    <t>204:449</t>
  </si>
  <si>
    <t>204:232980</t>
  </si>
  <si>
    <t>204:232996</t>
  </si>
  <si>
    <t>204:165</t>
  </si>
  <si>
    <t>204:232969</t>
  </si>
  <si>
    <t>rtdc.l.rtdc.4010:itc</t>
  </si>
  <si>
    <t>rtdc.l.rtdc.4032:itc</t>
  </si>
  <si>
    <t>rtdc.l.rtdc.4031:itc</t>
  </si>
  <si>
    <t>rtdc.l.rtdc.4053:itc</t>
  </si>
  <si>
    <t>rtdc.l.rtdc.4009:itc</t>
  </si>
  <si>
    <t>204:233308</t>
  </si>
  <si>
    <t>204:467</t>
  </si>
  <si>
    <t>204:447</t>
  </si>
  <si>
    <t>204:233321</t>
  </si>
  <si>
    <t>rtdc.l.rtdc.4003:itc</t>
  </si>
  <si>
    <t>rtdc.l.rtdc.4004:itc</t>
  </si>
  <si>
    <t>204:232998</t>
  </si>
  <si>
    <t>204:233297</t>
  </si>
  <si>
    <t>204:233304</t>
  </si>
  <si>
    <t>204:469</t>
  </si>
  <si>
    <t>204:233276</t>
  </si>
  <si>
    <t>204:233299</t>
  </si>
  <si>
    <t>204:232985</t>
  </si>
  <si>
    <t>204:446</t>
  </si>
  <si>
    <t>204:233319</t>
  </si>
  <si>
    <t>204:480</t>
  </si>
  <si>
    <t>rtdc.l.rtdc.4001:itc</t>
  </si>
  <si>
    <t>rtdc.l.rtdc.4002:itc</t>
  </si>
  <si>
    <t>rtdc.l.rtdc.4008:itc</t>
  </si>
  <si>
    <t>rtdc.l.rtdc.4044:itc</t>
  </si>
  <si>
    <t>GEBRETEKLE</t>
  </si>
  <si>
    <t>rtdc.l.rtdc.4007:itc</t>
  </si>
  <si>
    <t>204:712</t>
  </si>
  <si>
    <t>204:233002</t>
  </si>
  <si>
    <t>204:232993</t>
  </si>
  <si>
    <t>204:233325</t>
  </si>
  <si>
    <t>204:232974</t>
  </si>
  <si>
    <t>204:460</t>
  </si>
  <si>
    <t>DE.1.0.8.0</t>
  </si>
  <si>
    <t>300:58931</t>
  </si>
  <si>
    <t>Early arrival</t>
  </si>
  <si>
    <t>MAELZER</t>
  </si>
  <si>
    <t>STRICKLAND</t>
  </si>
  <si>
    <t>MOSES</t>
  </si>
  <si>
    <t>YOUNG</t>
  </si>
  <si>
    <t>204:232976</t>
  </si>
  <si>
    <t>204:232990</t>
  </si>
  <si>
    <t>204:233286</t>
  </si>
  <si>
    <t>204:232961</t>
  </si>
  <si>
    <t>204:232989</t>
  </si>
  <si>
    <t>204:233270</t>
  </si>
  <si>
    <t>204:233000</t>
  </si>
  <si>
    <t>300:58952</t>
  </si>
  <si>
    <t>Did not init</t>
  </si>
  <si>
    <t>rtdc.l.rtdc.4046:itc</t>
  </si>
  <si>
    <t>rtdc.l.rtdc.4054:itc</t>
  </si>
  <si>
    <t>rtdc.l.rtdc.4045:itc</t>
  </si>
  <si>
    <t>SHOOK</t>
  </si>
  <si>
    <t>NEWELL</t>
  </si>
  <si>
    <t>56-06</t>
  </si>
  <si>
    <t>309-06</t>
  </si>
  <si>
    <t>244-06</t>
  </si>
  <si>
    <t>311-06</t>
  </si>
  <si>
    <t>315-06</t>
  </si>
  <si>
    <t>Y</t>
  </si>
  <si>
    <t>204:754</t>
  </si>
  <si>
    <t>204:475</t>
  </si>
  <si>
    <t>204:444</t>
  </si>
  <si>
    <t>204:440</t>
  </si>
  <si>
    <t>204:437</t>
  </si>
  <si>
    <t>204:233311</t>
  </si>
  <si>
    <t>204:482</t>
  </si>
  <si>
    <t>204:233282</t>
  </si>
  <si>
    <t>204:139</t>
  </si>
  <si>
    <t>204:233280</t>
  </si>
  <si>
    <t>204:143</t>
  </si>
  <si>
    <t>204:435</t>
  </si>
  <si>
    <t>300:23308</t>
  </si>
  <si>
    <t>204:1023</t>
  </si>
  <si>
    <t>204:724</t>
  </si>
  <si>
    <t>204:738</t>
  </si>
  <si>
    <t>clear-night</t>
  </si>
  <si>
    <t>204:232660</t>
  </si>
  <si>
    <t>204:172</t>
  </si>
  <si>
    <t>204:779</t>
  </si>
  <si>
    <t>204:232991</t>
  </si>
  <si>
    <t>204:232994</t>
  </si>
  <si>
    <t>204:233274</t>
  </si>
  <si>
    <t>204:232981</t>
  </si>
  <si>
    <t>204:233284</t>
  </si>
  <si>
    <t>204:167</t>
  </si>
  <si>
    <t>204:232988</t>
  </si>
  <si>
    <t>204:233295</t>
  </si>
  <si>
    <t>204:233322</t>
  </si>
  <si>
    <t>204:233017</t>
  </si>
  <si>
    <t>204:129</t>
  </si>
  <si>
    <t>204:233281</t>
  </si>
  <si>
    <t>204:232962</t>
  </si>
  <si>
    <t>204:233302</t>
  </si>
  <si>
    <t>204:233324</t>
  </si>
  <si>
    <t>204:232984</t>
  </si>
  <si>
    <t>204:233288</t>
  </si>
  <si>
    <t>204:232982</t>
  </si>
  <si>
    <t>204:232672</t>
  </si>
  <si>
    <t>204:233316</t>
  </si>
  <si>
    <t>204:233028</t>
  </si>
  <si>
    <t>232-07</t>
  </si>
  <si>
    <t>234-07</t>
  </si>
  <si>
    <t>235-07</t>
  </si>
  <si>
    <t>236-07</t>
  </si>
  <si>
    <t>237-07</t>
  </si>
  <si>
    <t>238-07</t>
  </si>
  <si>
    <t>239-07</t>
  </si>
  <si>
    <t>240-07</t>
  </si>
  <si>
    <t>241-07</t>
  </si>
  <si>
    <t>242-07</t>
  </si>
  <si>
    <t>243-07</t>
  </si>
  <si>
    <t>244-07</t>
  </si>
  <si>
    <t>204:232953</t>
  </si>
  <si>
    <t>245-07</t>
  </si>
  <si>
    <t>246-07</t>
  </si>
  <si>
    <t>204:1192</t>
  </si>
  <si>
    <t>309-07</t>
  </si>
  <si>
    <t>204:183</t>
  </si>
  <si>
    <t>311-07</t>
  </si>
  <si>
    <t>313-07</t>
  </si>
  <si>
    <t>300:23304</t>
  </si>
  <si>
    <t>315-07</t>
  </si>
  <si>
    <t>300:24248</t>
  </si>
  <si>
    <t>56-08</t>
  </si>
  <si>
    <t>204:10608</t>
  </si>
  <si>
    <t>204:128028</t>
  </si>
  <si>
    <t>60-07</t>
  </si>
  <si>
    <t>204:748</t>
  </si>
  <si>
    <t>62-07</t>
  </si>
  <si>
    <t>300:58961</t>
  </si>
  <si>
    <t>300:58643</t>
  </si>
  <si>
    <t>300:58609</t>
  </si>
  <si>
    <t>300:58634</t>
  </si>
  <si>
    <t>300:58926</t>
  </si>
  <si>
    <t>300:58920</t>
  </si>
  <si>
    <t>300:58611</t>
  </si>
  <si>
    <t>300:58630</t>
  </si>
  <si>
    <t>204:733</t>
  </si>
  <si>
    <t>204:997</t>
  </si>
  <si>
    <t>300:58619</t>
  </si>
  <si>
    <t>847-07</t>
  </si>
  <si>
    <t>908-07</t>
  </si>
  <si>
    <t>rtdc.l.rtdc.4037:itc</t>
  </si>
  <si>
    <t>rtdc.l.rtdc.4020:itc</t>
  </si>
  <si>
    <t>rtdc.l.rtdc.4019:itc</t>
  </si>
  <si>
    <t>rtdc.l.rtdc.4013:itc</t>
  </si>
  <si>
    <t>DAVIS</t>
  </si>
  <si>
    <t>MALAVE</t>
  </si>
  <si>
    <t>rtdc.l.rtdc.4038:itc</t>
  </si>
  <si>
    <t>STEWART</t>
  </si>
  <si>
    <t>CLARK</t>
  </si>
  <si>
    <t>ARVIDSON</t>
  </si>
  <si>
    <t>rtdc.l.rtdc.4014:itc</t>
  </si>
  <si>
    <t>SWANSON</t>
  </si>
  <si>
    <t>CHANDLER</t>
  </si>
  <si>
    <t>clear-day</t>
  </si>
  <si>
    <t>Powered by darksky [darksky.net]</t>
  </si>
  <si>
    <t>rtdc.l.rtdc.4028:itc</t>
  </si>
  <si>
    <t>302-08</t>
  </si>
  <si>
    <t>101-08</t>
  </si>
  <si>
    <t>103-08</t>
  </si>
  <si>
    <t>304-08</t>
  </si>
  <si>
    <t>rtdc.l.rtdc.4043:itc</t>
  </si>
  <si>
    <t>306-08</t>
  </si>
  <si>
    <t>ACKERMAN</t>
  </si>
  <si>
    <t>102-08</t>
  </si>
  <si>
    <t>107-08</t>
  </si>
  <si>
    <t>109-08</t>
  </si>
  <si>
    <t>KILLION</t>
  </si>
  <si>
    <t>104-08</t>
  </si>
  <si>
    <t>111-08</t>
  </si>
  <si>
    <t>106-08</t>
  </si>
  <si>
    <t>rtdc.l.rtdc.4027:itc</t>
  </si>
  <si>
    <t>113-08</t>
  </si>
  <si>
    <t>108-08</t>
  </si>
  <si>
    <t>1901-08</t>
  </si>
  <si>
    <t>YORK</t>
  </si>
  <si>
    <t>115-08</t>
  </si>
  <si>
    <t>1800-08</t>
  </si>
  <si>
    <t>110-08</t>
  </si>
  <si>
    <t>117-08</t>
  </si>
  <si>
    <t>112-08</t>
  </si>
  <si>
    <t>1801-08</t>
  </si>
  <si>
    <t>114-08</t>
  </si>
  <si>
    <t>121-08</t>
  </si>
  <si>
    <t>116-08</t>
  </si>
  <si>
    <t>123-08</t>
  </si>
  <si>
    <t>1802-08</t>
  </si>
  <si>
    <t>118-08</t>
  </si>
  <si>
    <t>125-08</t>
  </si>
  <si>
    <t>127-08</t>
  </si>
  <si>
    <t>1803-08</t>
  </si>
  <si>
    <t>122-08</t>
  </si>
  <si>
    <t>129-08</t>
  </si>
  <si>
    <t>124-08</t>
  </si>
  <si>
    <t>131-08</t>
  </si>
  <si>
    <t>1804-08</t>
  </si>
  <si>
    <t>126-08</t>
  </si>
  <si>
    <t>133-08</t>
  </si>
  <si>
    <t>128-08</t>
  </si>
  <si>
    <t>50-08</t>
  </si>
  <si>
    <t>MADLOM</t>
  </si>
  <si>
    <t>135-08</t>
  </si>
  <si>
    <t>1805-08</t>
  </si>
  <si>
    <t>130-08</t>
  </si>
  <si>
    <t>137-08</t>
  </si>
  <si>
    <t>132-08</t>
  </si>
  <si>
    <t>139-08</t>
  </si>
  <si>
    <t>134-08</t>
  </si>
  <si>
    <t>1806-08</t>
  </si>
  <si>
    <t>141-08</t>
  </si>
  <si>
    <t>136-08</t>
  </si>
  <si>
    <t>143-08</t>
  </si>
  <si>
    <t>138-08</t>
  </si>
  <si>
    <t>1807-08</t>
  </si>
  <si>
    <t>145-08</t>
  </si>
  <si>
    <t>140-08</t>
  </si>
  <si>
    <t>147-08</t>
  </si>
  <si>
    <t>142-08</t>
  </si>
  <si>
    <t>1808-08</t>
  </si>
  <si>
    <t>149-08</t>
  </si>
  <si>
    <t>144-08</t>
  </si>
  <si>
    <t>151-08</t>
  </si>
  <si>
    <t>1809-08</t>
  </si>
  <si>
    <t>146-08</t>
  </si>
  <si>
    <t>153-08</t>
  </si>
  <si>
    <t>148-08</t>
  </si>
  <si>
    <t>155-08</t>
  </si>
  <si>
    <t>150-08</t>
  </si>
  <si>
    <t>1810-08</t>
  </si>
  <si>
    <t>157-08</t>
  </si>
  <si>
    <t>152-08</t>
  </si>
  <si>
    <t>159-08</t>
  </si>
  <si>
    <t>52-08</t>
  </si>
  <si>
    <t>154-08</t>
  </si>
  <si>
    <t>161-08</t>
  </si>
  <si>
    <t>BARTLETT</t>
  </si>
  <si>
    <t>1811-08</t>
  </si>
  <si>
    <t>156-08</t>
  </si>
  <si>
    <t>163-08</t>
  </si>
  <si>
    <t>1812-08</t>
  </si>
  <si>
    <t>158-08</t>
  </si>
  <si>
    <t>165-08</t>
  </si>
  <si>
    <t>51-08</t>
  </si>
  <si>
    <t>167-08</t>
  </si>
  <si>
    <t>160-08</t>
  </si>
  <si>
    <t>162-08</t>
  </si>
  <si>
    <t>1813-08</t>
  </si>
  <si>
    <t>169-08</t>
  </si>
  <si>
    <t>164-08</t>
  </si>
  <si>
    <t>171-08</t>
  </si>
  <si>
    <t>OUN</t>
  </si>
  <si>
    <t>1814-08</t>
  </si>
  <si>
    <t>166-08</t>
  </si>
  <si>
    <t>173-08</t>
  </si>
  <si>
    <t>168-08</t>
  </si>
  <si>
    <t>175-08</t>
  </si>
  <si>
    <t>1815-08</t>
  </si>
  <si>
    <t>170-08</t>
  </si>
  <si>
    <t>177-08</t>
  </si>
  <si>
    <t>172-08</t>
  </si>
  <si>
    <t>179-08</t>
  </si>
  <si>
    <t>1816-08</t>
  </si>
  <si>
    <t>174-08</t>
  </si>
  <si>
    <t>181-08</t>
  </si>
  <si>
    <t>176-08</t>
  </si>
  <si>
    <t>183-08</t>
  </si>
  <si>
    <t>1817-08</t>
  </si>
  <si>
    <t>BROWN</t>
  </si>
  <si>
    <t>178-08</t>
  </si>
  <si>
    <t>185-08</t>
  </si>
  <si>
    <t>180-08</t>
  </si>
  <si>
    <t>187-08</t>
  </si>
  <si>
    <t>182-08</t>
  </si>
  <si>
    <t>1818-08</t>
  </si>
  <si>
    <t>189-08</t>
  </si>
  <si>
    <t>184-08</t>
  </si>
  <si>
    <t>191-08</t>
  </si>
  <si>
    <t>1819-08</t>
  </si>
  <si>
    <t>186-08</t>
  </si>
  <si>
    <t>193-08</t>
  </si>
  <si>
    <t>188-08</t>
  </si>
  <si>
    <t>195-08</t>
  </si>
  <si>
    <t>190-08</t>
  </si>
  <si>
    <t>1820-08</t>
  </si>
  <si>
    <t>197-08</t>
  </si>
  <si>
    <t>HOMIK</t>
  </si>
  <si>
    <t>192-08</t>
  </si>
  <si>
    <t>199-08</t>
  </si>
  <si>
    <t>1821-08</t>
  </si>
  <si>
    <t>194-08</t>
  </si>
  <si>
    <t>rtdc.l.rtdc.4040:itc</t>
  </si>
  <si>
    <t>HILLS-08</t>
  </si>
  <si>
    <t>HAUSER</t>
  </si>
  <si>
    <t>196-08</t>
  </si>
  <si>
    <t>201-08</t>
  </si>
  <si>
    <t>198-08</t>
  </si>
  <si>
    <t>203-08</t>
  </si>
  <si>
    <t>1822-08</t>
  </si>
  <si>
    <t>205-08</t>
  </si>
  <si>
    <t>200-08</t>
  </si>
  <si>
    <t>207-08</t>
  </si>
  <si>
    <t>202-08</t>
  </si>
  <si>
    <t>209-08</t>
  </si>
  <si>
    <t>1823-08</t>
  </si>
  <si>
    <t>204-08</t>
  </si>
  <si>
    <t>58-08</t>
  </si>
  <si>
    <t>211-08</t>
  </si>
  <si>
    <t>206-08</t>
  </si>
  <si>
    <t>1824-08</t>
  </si>
  <si>
    <t>213-08</t>
  </si>
  <si>
    <t>63-08</t>
  </si>
  <si>
    <t>ROBINSON</t>
  </si>
  <si>
    <t>208-08</t>
  </si>
  <si>
    <t>215-08</t>
  </si>
  <si>
    <t>210-08</t>
  </si>
  <si>
    <t>1825-08</t>
  </si>
  <si>
    <t>64-08</t>
  </si>
  <si>
    <t>65-08</t>
  </si>
  <si>
    <t>217-08</t>
  </si>
  <si>
    <t>212-08</t>
  </si>
  <si>
    <t>214-08</t>
  </si>
  <si>
    <t>219-08</t>
  </si>
  <si>
    <t>1826-08</t>
  </si>
  <si>
    <t>303-08</t>
  </si>
  <si>
    <t>216-08</t>
  </si>
  <si>
    <t>67-08</t>
  </si>
  <si>
    <t>221-08</t>
  </si>
  <si>
    <t>218-08</t>
  </si>
  <si>
    <t>305-08</t>
  </si>
  <si>
    <t>1827-08</t>
  </si>
  <si>
    <t>220-08</t>
  </si>
  <si>
    <t>223-08</t>
  </si>
  <si>
    <t>307-08</t>
  </si>
  <si>
    <t>1828-08</t>
  </si>
  <si>
    <t>222-08</t>
  </si>
  <si>
    <t>1829-08</t>
  </si>
  <si>
    <t>224-08</t>
  </si>
  <si>
    <t>227-08</t>
  </si>
  <si>
    <t>1830-08</t>
  </si>
  <si>
    <t>229-08</t>
  </si>
  <si>
    <t>226-08</t>
  </si>
  <si>
    <t>1831-08</t>
  </si>
  <si>
    <t>231-08</t>
  </si>
  <si>
    <t>228-08</t>
  </si>
  <si>
    <t>1832-08</t>
  </si>
  <si>
    <t>230-08</t>
  </si>
  <si>
    <t>232-08</t>
  </si>
  <si>
    <t>1833-08</t>
  </si>
  <si>
    <t>235-08</t>
  </si>
  <si>
    <t>1902-08</t>
  </si>
  <si>
    <t>234-08</t>
  </si>
  <si>
    <t>237-08</t>
  </si>
  <si>
    <t>239-08</t>
  </si>
  <si>
    <t>236-08</t>
  </si>
  <si>
    <t>241-08</t>
  </si>
  <si>
    <t>238-08</t>
  </si>
  <si>
    <t>240-08</t>
  </si>
  <si>
    <t>243-08</t>
  </si>
  <si>
    <t>245-08</t>
  </si>
  <si>
    <t>242-08</t>
  </si>
  <si>
    <t>309-08</t>
  </si>
  <si>
    <t>244-08</t>
  </si>
  <si>
    <t>311-08</t>
  </si>
  <si>
    <t>246-08</t>
  </si>
  <si>
    <t>313-08</t>
  </si>
  <si>
    <t>315-08</t>
  </si>
  <si>
    <t>SWITCH UNKNOWN</t>
  </si>
  <si>
    <t>Track device (7)</t>
  </si>
  <si>
    <t>204:735</t>
  </si>
  <si>
    <t>204:232679</t>
  </si>
  <si>
    <t>204:868</t>
  </si>
  <si>
    <t>204:127784</t>
  </si>
  <si>
    <t>204:169</t>
  </si>
  <si>
    <t>204:232773</t>
  </si>
  <si>
    <t>204:224599</t>
  </si>
  <si>
    <t>204:422</t>
  </si>
  <si>
    <t>204:233301</t>
  </si>
  <si>
    <t>204:233306</t>
  </si>
  <si>
    <t>204:232963</t>
  </si>
  <si>
    <t>204:232964</t>
  </si>
  <si>
    <t>204:233006</t>
  </si>
  <si>
    <t>204:233383</t>
  </si>
  <si>
    <t>204:232921</t>
  </si>
  <si>
    <t>204:420</t>
  </si>
  <si>
    <t>204:238</t>
  </si>
  <si>
    <t>204:236</t>
  </si>
  <si>
    <t>204:233334</t>
  </si>
  <si>
    <t>204:232987</t>
  </si>
  <si>
    <t>204:232968</t>
  </si>
  <si>
    <t>204:537</t>
  </si>
  <si>
    <t>204:233004</t>
  </si>
  <si>
    <t>204:542</t>
  </si>
  <si>
    <t>204:232973</t>
  </si>
  <si>
    <t>204:438</t>
  </si>
  <si>
    <t>204:232955</t>
  </si>
  <si>
    <t>204:232235</t>
  </si>
  <si>
    <t>204:233340</t>
  </si>
  <si>
    <t>204:233047</t>
  </si>
  <si>
    <t>204:233341</t>
  </si>
  <si>
    <t>204:232965</t>
  </si>
  <si>
    <t>204:233317</t>
  </si>
  <si>
    <t>204:233368</t>
  </si>
  <si>
    <t>204:741</t>
  </si>
  <si>
    <t>204:1025</t>
  </si>
  <si>
    <t>300:58924</t>
  </si>
  <si>
    <t>300:58621</t>
  </si>
  <si>
    <t>204:726</t>
  </si>
  <si>
    <t>204:1028</t>
  </si>
  <si>
    <t>300:58935</t>
  </si>
  <si>
    <t>204:734</t>
  </si>
  <si>
    <t>204:1018</t>
  </si>
  <si>
    <t>300:58928</t>
  </si>
  <si>
    <t>300:58613</t>
  </si>
  <si>
    <t>204:1011</t>
  </si>
  <si>
    <t>204:727</t>
  </si>
  <si>
    <t>300:58929</t>
  </si>
  <si>
    <t>300:58623</t>
  </si>
  <si>
    <t>204:743</t>
  </si>
  <si>
    <t>204:1030</t>
  </si>
  <si>
    <t>204:729</t>
  </si>
  <si>
    <t>204:731</t>
  </si>
  <si>
    <t>204:1016</t>
  </si>
  <si>
    <t>300:58943</t>
  </si>
  <si>
    <t>204:1020</t>
  </si>
  <si>
    <t>300:58948</t>
  </si>
  <si>
    <t>300:58626</t>
  </si>
  <si>
    <t>204:1009</t>
  </si>
  <si>
    <t>300:58960</t>
  </si>
  <si>
    <t>300:58636</t>
  </si>
  <si>
    <t>300:58649</t>
  </si>
  <si>
    <t>300:58944</t>
  </si>
  <si>
    <t>300:58632</t>
  </si>
  <si>
    <t>300:58965</t>
  </si>
  <si>
    <t>300:58638</t>
  </si>
  <si>
    <t>204:1014</t>
  </si>
  <si>
    <t>300:58645</t>
  </si>
  <si>
    <t>204:720</t>
  </si>
  <si>
    <t>204:442</t>
  </si>
  <si>
    <t>204:233344</t>
  </si>
  <si>
    <t>204:233023</t>
  </si>
  <si>
    <t>300:29942</t>
  </si>
  <si>
    <t>300:21774</t>
  </si>
  <si>
    <t>204:471</t>
  </si>
  <si>
    <t>204:233336</t>
  </si>
  <si>
    <t>204:233353</t>
  </si>
  <si>
    <t>204:233055</t>
  </si>
  <si>
    <t>204:486</t>
  </si>
  <si>
    <t>204:233315</t>
  </si>
  <si>
    <t>204:233343</t>
  </si>
  <si>
    <t>204:233298</t>
  </si>
  <si>
    <t>204:252</t>
  </si>
  <si>
    <t>204:209</t>
  </si>
  <si>
    <t>204:533</t>
  </si>
  <si>
    <t>204:233327</t>
  </si>
  <si>
    <t>204:232992</t>
  </si>
  <si>
    <t>204:557</t>
  </si>
  <si>
    <t>204:100223</t>
  </si>
  <si>
    <t>204:86352</t>
  </si>
  <si>
    <t>204:115650</t>
  </si>
  <si>
    <t>204:64174</t>
  </si>
  <si>
    <t>204:181</t>
  </si>
  <si>
    <t>204:73778</t>
  </si>
  <si>
    <t>204:99764</t>
  </si>
  <si>
    <t>204:931</t>
  </si>
  <si>
    <t>204:232971</t>
  </si>
  <si>
    <t>204:233285</t>
  </si>
  <si>
    <t>204:232970</t>
  </si>
  <si>
    <t>204:163</t>
  </si>
  <si>
    <t>204:233289</t>
  </si>
  <si>
    <t>204:233300</t>
  </si>
  <si>
    <t>204:123</t>
  </si>
  <si>
    <t>204:232952</t>
  </si>
  <si>
    <t>204:531</t>
  </si>
  <si>
    <t>204:233251</t>
  </si>
  <si>
    <t>300:23122</t>
  </si>
  <si>
    <t>204:830</t>
  </si>
  <si>
    <t>300:23652</t>
  </si>
  <si>
    <t>204:229</t>
  </si>
  <si>
    <t>300:22846</t>
  </si>
  <si>
    <t>300:22402</t>
  </si>
  <si>
    <t>300:18845</t>
  </si>
  <si>
    <t>300:23310</t>
  </si>
  <si>
    <t>300:23297</t>
  </si>
  <si>
    <t>204:484</t>
  </si>
  <si>
    <t>300:23306</t>
  </si>
  <si>
    <t>300:22253</t>
  </si>
  <si>
    <t>204:1182</t>
  </si>
  <si>
    <t>204:1190</t>
  </si>
  <si>
    <t>204:1488</t>
  </si>
  <si>
    <t>204:1311</t>
  </si>
  <si>
    <t>300:25340</t>
  </si>
  <si>
    <t>300:23394</t>
  </si>
  <si>
    <t>300:23392</t>
  </si>
  <si>
    <t>204:164</t>
  </si>
  <si>
    <t>204:10456</t>
  </si>
  <si>
    <t>204:128015</t>
  </si>
  <si>
    <t>300:23341</t>
  </si>
  <si>
    <t>204:157</t>
  </si>
  <si>
    <t>204:127755</t>
  </si>
  <si>
    <t>204:10217</t>
  </si>
  <si>
    <t>204:127761</t>
  </si>
  <si>
    <t>204:650</t>
  </si>
  <si>
    <t>204:1494</t>
  </si>
  <si>
    <t>204:1814</t>
  </si>
  <si>
    <t>204:1498</t>
  </si>
  <si>
    <t>300:22056</t>
  </si>
  <si>
    <t>300:24222</t>
  </si>
  <si>
    <t>partly-cloudy-day</t>
  </si>
  <si>
    <t>Partly Cloudy</t>
  </si>
  <si>
    <t>Mostly Cloudy</t>
  </si>
  <si>
    <t>partly-cloudy-night</t>
  </si>
  <si>
    <t>Summary for DUS 2016-10-08: Mostly cloudy starting in the afternoon.</t>
  </si>
  <si>
    <t>Wi-MAX outage</t>
  </si>
  <si>
    <t>http://stevetu21.github.io/eaglep3/load_kml.html?kml=http://rtdc.gmaps-snips.s3.amazonaws.com/f04b1b74-f191-4952-8331-11a0c2e19604.kml</t>
  </si>
  <si>
    <t>Chambers 2S received several clear requests starting at 19:27:55.636, didn't clear until 20:03:37.894. Any issues here, or was the dispatcher being too antsy?</t>
  </si>
  <si>
    <t>Chambers 2S stuck at STOP - bad wiring</t>
  </si>
  <si>
    <t>Delayed sitting at 40th due to Chambers 2S bad wiring</t>
  </si>
  <si>
    <t>Delayed sitting at Chambers 2N due to Chambers 2S bad wiring</t>
  </si>
  <si>
    <t>Onboard in-route failure</t>
  </si>
  <si>
    <t>Multiple CPU Faults at 2016-10-08 20:29:31</t>
  </si>
  <si>
    <t>105-08</t>
  </si>
  <si>
    <t>119-08</t>
  </si>
  <si>
    <t>120-08</t>
  </si>
  <si>
    <t>225-08</t>
  </si>
  <si>
    <t>233-08</t>
  </si>
  <si>
    <t>Aspect for EC0286RH 21-1T 1N dropped from 270 to STOP &amp; PROCEED just as train was approaching the signal. Did this look intended, or did anything wrong happen?</t>
  </si>
  <si>
    <t>EC0286RH 21-1T 1N premature downgrade</t>
  </si>
  <si>
    <t>http://stevetu21.github.io/eaglep3/load_kml.html?kml=http://rtdc.gmaps-snips.s3.amazonaws.com/0ef30779-7ed3-4f1f-b9fe-9ef04f294768.kml</t>
  </si>
  <si>
    <t>Did not init - Wi-MAX outage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</si>
</sst>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0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7" fillId="0" borderId="0"/>
    <xf numFmtId="9" fontId="10" fillId="0" borderId="0" applyFont="0" applyFill="0" applyBorder="0" applyAlignment="0" applyProtection="0"/>
    <xf numFmtId="0" fontId="10" fillId="0" borderId="0"/>
    <xf numFmtId="0" fontId="2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0" fontId="0" fillId="0" borderId="5" xfId="0" applyFill="1" applyBorder="1" applyAlignment="1"/>
    <xf numFmtId="0" fontId="0" fillId="0" borderId="5" xfId="0" applyFill="1" applyBorder="1" applyAlignment="1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0" fontId="1" fillId="0" borderId="5" xfId="0" applyFont="1" applyFill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0" fontId="1" fillId="0" borderId="5" xfId="0" applyFont="1" applyBorder="1" applyAlignment="1">
      <alignment horizontal="center" vertical="center" wrapText="1"/>
    </xf>
    <xf numFmtId="0" fontId="5" fillId="0" borderId="0" xfId="0" applyFont="1"/>
    <xf numFmtId="0" fontId="0" fillId="0" borderId="0" xfId="0"/>
    <xf numFmtId="0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0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0" fontId="0" fillId="0" borderId="0" xfId="0" applyAlignment="1">
      <alignment horizontal="left"/>
    </xf>
    <xf numFmtId="0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0" fontId="0" fillId="0" borderId="5" xfId="0" applyBorder="1"/>
    <xf numFmtId="0" fontId="8" fillId="4" borderId="9" xfId="1" applyFont="1" applyFill="1" applyBorder="1" applyAlignment="1">
      <alignment horizontal="center"/>
    </xf>
    <xf numFmtId="0" fontId="8" fillId="0" borderId="10" xfId="1" applyFont="1" applyFill="1" applyBorder="1" applyAlignment="1">
      <alignment wrapText="1"/>
    </xf>
    <xf numFmtId="0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0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5" xfId="0" applyFill="1" applyBorder="1"/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Fill="1" applyBorder="1"/>
    <xf numFmtId="0" fontId="9" fillId="0" borderId="0" xfId="0" applyFont="1" applyFill="1"/>
    <xf numFmtId="0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0" fontId="0" fillId="0" borderId="0" xfId="0" applyNumberFormat="1"/>
    <xf numFmtId="2" fontId="0" fillId="0" borderId="0" xfId="0" applyNumberFormat="1"/>
    <xf numFmtId="0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0" fontId="1" fillId="0" borderId="1" xfId="0" applyFont="1" applyBorder="1" applyAlignment="1"/>
    <xf numFmtId="0" fontId="1" fillId="0" borderId="4" xfId="0" applyFont="1" applyBorder="1" applyAlignment="1"/>
    <xf numFmtId="0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0" fontId="0" fillId="0" borderId="17" xfId="0" applyFill="1" applyBorder="1" applyAlignment="1">
      <alignment horizontal="left" vertical="center"/>
    </xf>
    <xf numFmtId="0" fontId="1" fillId="0" borderId="17" xfId="0" applyFont="1" applyBorder="1" applyAlignment="1">
      <alignment horizontal="left" vertical="center" wrapText="1"/>
    </xf>
    <xf numFmtId="0" fontId="0" fillId="5" borderId="0" xfId="0" applyFill="1"/>
    <xf numFmtId="0" fontId="9" fillId="5" borderId="0" xfId="0" applyFont="1" applyFill="1" applyBorder="1" applyAlignment="1">
      <alignment horizontal="center" vertical="center" wrapText="1"/>
    </xf>
    <xf numFmtId="0" fontId="9" fillId="5" borderId="0" xfId="0" applyFont="1" applyFill="1"/>
    <xf numFmtId="0" fontId="0" fillId="6" borderId="0" xfId="0" applyFill="1"/>
    <xf numFmtId="0" fontId="9" fillId="6" borderId="0" xfId="0" applyFont="1" applyFill="1" applyBorder="1" applyAlignment="1">
      <alignment horizontal="center" vertical="center" wrapText="1"/>
    </xf>
    <xf numFmtId="0" fontId="9" fillId="6" borderId="0" xfId="0" applyFont="1" applyFill="1"/>
    <xf numFmtId="0" fontId="9" fillId="7" borderId="0" xfId="0" applyFont="1" applyFill="1"/>
    <xf numFmtId="0" fontId="9" fillId="7" borderId="0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/>
    <xf numFmtId="0" fontId="5" fillId="0" borderId="0" xfId="0" applyFont="1" applyFill="1"/>
    <xf numFmtId="0" fontId="5" fillId="8" borderId="0" xfId="0" applyFont="1" applyFill="1"/>
    <xf numFmtId="0" fontId="9" fillId="8" borderId="0" xfId="0" applyFont="1" applyFill="1" applyBorder="1" applyAlignment="1">
      <alignment horizontal="center" vertical="center" wrapText="1"/>
    </xf>
    <xf numFmtId="0" fontId="9" fillId="8" borderId="0" xfId="0" applyFont="1" applyFill="1" applyBorder="1"/>
    <xf numFmtId="0" fontId="0" fillId="6" borderId="0" xfId="0" applyFill="1" applyAlignment="1">
      <alignment horizontal="center" vertical="center"/>
    </xf>
    <xf numFmtId="0" fontId="9" fillId="6" borderId="5" xfId="0" applyFont="1" applyFill="1" applyBorder="1"/>
    <xf numFmtId="0" fontId="6" fillId="8" borderId="0" xfId="0" applyFont="1" applyFill="1"/>
    <xf numFmtId="0" fontId="6" fillId="8" borderId="0" xfId="0" applyFont="1" applyFill="1" applyAlignment="1">
      <alignment horizontal="center" vertical="center"/>
    </xf>
    <xf numFmtId="0" fontId="9" fillId="8" borderId="5" xfId="0" applyFont="1" applyFill="1" applyBorder="1" applyAlignment="1"/>
    <xf numFmtId="0" fontId="0" fillId="5" borderId="0" xfId="0" applyFill="1" applyAlignment="1">
      <alignment horizontal="center" vertical="center"/>
    </xf>
    <xf numFmtId="0" fontId="9" fillId="5" borderId="5" xfId="0" applyFont="1" applyFill="1" applyBorder="1"/>
    <xf numFmtId="0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17" xfId="0" applyFill="1" applyBorder="1" applyAlignment="1">
      <alignment horizontal="left"/>
    </xf>
    <xf numFmtId="0" fontId="0" fillId="2" borderId="12" xfId="0" applyFill="1" applyBorder="1" applyAlignment="1">
      <alignment horizontal="left" vertical="center"/>
    </xf>
    <xf numFmtId="0" fontId="0" fillId="0" borderId="0" xfId="0" applyAlignment="1"/>
    <xf numFmtId="0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0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0" fontId="9" fillId="9" borderId="0" xfId="0" applyFont="1" applyFill="1" applyBorder="1" applyAlignment="1">
      <alignment horizontal="center" vertical="center" wrapText="1"/>
    </xf>
    <xf numFmtId="0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left" vertical="center" wrapText="1"/>
    </xf>
    <xf numFmtId="0" fontId="14" fillId="0" borderId="5" xfId="0" applyFont="1" applyFill="1" applyBorder="1"/>
    <xf numFmtId="0" fontId="15" fillId="6" borderId="5" xfId="0" applyFont="1" applyFill="1" applyBorder="1" applyAlignment="1">
      <alignment horizontal="center" vertical="center" wrapText="1"/>
    </xf>
    <xf numFmtId="0" fontId="15" fillId="8" borderId="5" xfId="0" applyFont="1" applyFill="1" applyBorder="1" applyAlignment="1">
      <alignment horizontal="center" vertical="center" wrapText="1"/>
    </xf>
    <xf numFmtId="0" fontId="15" fillId="5" borderId="5" xfId="0" applyFont="1" applyFill="1" applyBorder="1"/>
    <xf numFmtId="0" fontId="13" fillId="0" borderId="5" xfId="0" applyNumberFormat="1" applyFont="1" applyFill="1" applyBorder="1" applyAlignment="1">
      <alignment horizontal="center" vertical="center" wrapText="1"/>
    </xf>
    <xf numFmtId="0" fontId="16" fillId="9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17" fillId="6" borderId="0" xfId="0" applyFont="1" applyFill="1"/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0" fontId="0" fillId="0" borderId="18" xfId="0" applyNumberFormat="1" applyBorder="1"/>
    <xf numFmtId="0" fontId="0" fillId="0" borderId="18" xfId="0" applyBorder="1"/>
    <xf numFmtId="0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0" fontId="0" fillId="0" borderId="18" xfId="0" applyFill="1" applyBorder="1"/>
    <xf numFmtId="0" fontId="0" fillId="0" borderId="0" xfId="0" applyNumberFormat="1" applyFill="1" applyBorder="1"/>
    <xf numFmtId="0" fontId="20" fillId="0" borderId="0" xfId="4" applyFill="1"/>
    <xf numFmtId="9" fontId="0" fillId="0" borderId="0" xfId="2" applyNumberFormat="1" applyFont="1" applyAlignment="1">
      <alignment horizontal="left"/>
    </xf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2"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f04b1b74-f191-4952-8331-11a0c2e19604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0ef30779-7ed3-4f1f-b9fe-9ef04f294768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7"/>
  <sheetViews>
    <sheetView tabSelected="1" topLeftCell="A124" workbookViewId="0">
      <selection activeCell="R143" sqref="R143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3.7109375" style="2" customWidth="1"/>
    <col min="16" max="16" width="2.85546875" style="2" customWidth="1"/>
    <col min="17" max="17" width="0.85546875" hidden="1" customWidth="1"/>
    <col min="18" max="18" width="41" bestFit="1" customWidth="1"/>
    <col min="19" max="19" width="6" style="23" customWidth="1"/>
    <col min="20" max="20" width="3.85546875" customWidth="1"/>
    <col min="21" max="21" width="5" style="156" customWidth="1"/>
    <col min="22" max="22" width="5.7109375" style="99" customWidth="1"/>
    <col min="23" max="23" width="3.85546875" style="22" customWidth="1"/>
    <col min="24" max="24" width="6.140625" style="161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2" customWidth="1"/>
    <col min="32" max="32" width="6.28515625" style="89" customWidth="1"/>
    <col min="33" max="33" width="5.42578125" customWidth="1"/>
    <col min="34" max="34" width="5" style="95" customWidth="1"/>
    <col min="35" max="35" width="5.7109375" style="12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2"/>
      <c r="V1" s="42"/>
      <c r="W1" s="43"/>
      <c r="X1" s="156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3">
        <f>Variables!$A$2</f>
        <v>42651</v>
      </c>
      <c r="J2" s="74"/>
      <c r="K2" s="75"/>
      <c r="L2" s="75"/>
      <c r="M2" s="76" t="s">
        <v>8</v>
      </c>
      <c r="N2" s="77"/>
      <c r="O2" s="78"/>
      <c r="P2" s="2"/>
      <c r="R2" s="73">
        <f>Variables!$A$2</f>
        <v>42651</v>
      </c>
      <c r="S2" s="74"/>
      <c r="T2" s="75"/>
      <c r="U2" s="153"/>
      <c r="V2" s="97" t="s">
        <v>8</v>
      </c>
      <c r="W2" s="77"/>
      <c r="X2" s="159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79" t="s">
        <v>10</v>
      </c>
      <c r="J3" s="80"/>
      <c r="K3" s="81"/>
      <c r="L3" s="81"/>
      <c r="M3" s="44" t="s">
        <v>11</v>
      </c>
      <c r="N3" s="45" t="s">
        <v>12</v>
      </c>
      <c r="O3" s="3" t="s">
        <v>13</v>
      </c>
      <c r="P3" s="2"/>
      <c r="R3" s="79" t="s">
        <v>10</v>
      </c>
      <c r="S3" s="80"/>
      <c r="T3" s="81"/>
      <c r="U3" s="154"/>
      <c r="V3" s="44" t="s">
        <v>11</v>
      </c>
      <c r="W3" s="45" t="s">
        <v>12</v>
      </c>
      <c r="X3" s="160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2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2" t="s">
        <v>14</v>
      </c>
      <c r="S4" s="57">
        <f>SUM(S5:S7)</f>
        <v>34</v>
      </c>
      <c r="T4" s="46"/>
      <c r="U4" s="155"/>
      <c r="V4" s="47" t="s">
        <v>15</v>
      </c>
      <c r="W4" s="45" t="s">
        <v>15</v>
      </c>
      <c r="X4" s="160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2" t="s">
        <v>17</v>
      </c>
      <c r="J5" s="57">
        <f>COUNTIFS($N$13:$N$9390,"&gt;0",$AG$13:$AG$9390,I1)</f>
        <v>138</v>
      </c>
      <c r="K5" s="46"/>
      <c r="L5" s="46"/>
      <c r="M5" s="47">
        <f>AVERAGEIFS($N$13:$N$9390,$AG$13:$AG$9390,I1)</f>
        <v>38.60857487992768</v>
      </c>
      <c r="N5" s="45">
        <f t="array" ref="N5">MIN(IF($AG$13:$AG$9390=I1,IF(ISNUMBER($N$13:$N$9390),IF($N$13:$N$9390&gt;0,$N$13:$N$9390))))</f>
        <v>34.949999997625127</v>
      </c>
      <c r="O5" s="3">
        <f t="array" ref="O5">MAX(IF($AG$13:$AG$9390=I1,IF(ISNUMBER($N$13:$N$9390),IF($N$13:$N$9390&gt;0,$N$13:$N$9390))))</f>
        <v>62.466666663531214</v>
      </c>
      <c r="P5" s="2"/>
      <c r="R5" s="82" t="s">
        <v>17</v>
      </c>
      <c r="S5" s="57">
        <f>COUNTIFS($N$13:$N$9390,"&gt;0",$AG$13:$AG$9390,R1)</f>
        <v>34</v>
      </c>
      <c r="T5" s="46"/>
      <c r="U5" s="155"/>
      <c r="V5" s="47">
        <f>AVERAGEIFS($N$13:$N$9390,$AG$13:$AG$9390,R1)</f>
        <v>14.065196078291217</v>
      </c>
      <c r="W5" s="45">
        <f t="array" ref="W5">MIN(IF($AG$13:$AG$9390=R1,IF(ISNUMBER($N$13:$N$9390),IF($N$13:$N$9390&gt;0,$N$13:$N$9390))))</f>
        <v>12.16666667140089</v>
      </c>
      <c r="X5" s="160">
        <f t="array" ref="X5">MAX(IF($AG$13:$AG$9390=R1,IF(ISNUMBER($N$13:$N$9390),IF($N$13:$N$9390&gt;0,$N$13:$N$9390))))</f>
        <v>16.766666667535901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3" t="s">
        <v>43</v>
      </c>
      <c r="J6" s="57">
        <f>COUNT($O$13:$O$168)</f>
        <v>0</v>
      </c>
      <c r="K6" s="46"/>
      <c r="L6" s="46"/>
      <c r="M6" s="47">
        <f>IFERROR(AVERAGE($O$13:$O$168),0)</f>
        <v>0</v>
      </c>
      <c r="N6" s="45">
        <f>MIN($O$13:$O$168)</f>
        <v>0</v>
      </c>
      <c r="O6" s="3">
        <f>MAX($O$13:$O$168)</f>
        <v>0</v>
      </c>
      <c r="P6" s="2"/>
      <c r="R6" s="83" t="s">
        <v>43</v>
      </c>
      <c r="S6" s="57">
        <f>COUNT($O$13:$O$168)</f>
        <v>0</v>
      </c>
      <c r="T6" s="46"/>
      <c r="U6" s="155"/>
      <c r="V6" s="47">
        <f>IFERROR(AVERAGE($O$13:$O$168),0)</f>
        <v>0</v>
      </c>
      <c r="W6" s="45">
        <f>MIN($O$13:$O$168)</f>
        <v>0</v>
      </c>
      <c r="X6" s="160">
        <f>MAX($O$13:$O$168)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4" t="s">
        <v>9</v>
      </c>
      <c r="J7" s="57">
        <f>COUNTIFS($P$13:$P$9390,"&gt;0",$AG$13:$AG$9390,I1)</f>
        <v>8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4" t="s">
        <v>9</v>
      </c>
      <c r="S7" s="57">
        <f>COUNTIFS($P$13:$P$9390,"&gt;0",$AG$13:$AG$9390,R1)</f>
        <v>0</v>
      </c>
      <c r="T7" s="46"/>
      <c r="U7" s="155"/>
      <c r="V7" s="47" t="s">
        <v>15</v>
      </c>
      <c r="W7" s="45" t="s">
        <v>15</v>
      </c>
      <c r="X7" s="160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2" t="s">
        <v>16</v>
      </c>
      <c r="J8" s="57">
        <f>J5</f>
        <v>138</v>
      </c>
      <c r="K8" s="46"/>
      <c r="L8" s="46"/>
      <c r="M8" s="47">
        <f>M5</f>
        <v>38.60857487992768</v>
      </c>
      <c r="N8" s="45">
        <f>N5</f>
        <v>34.949999997625127</v>
      </c>
      <c r="O8" s="3">
        <f>O5</f>
        <v>62.466666663531214</v>
      </c>
      <c r="P8" s="2"/>
      <c r="R8" s="82" t="s">
        <v>16</v>
      </c>
      <c r="S8" s="57">
        <f>S5</f>
        <v>34</v>
      </c>
      <c r="T8" s="46"/>
      <c r="U8" s="155"/>
      <c r="V8" s="47">
        <f>V5</f>
        <v>14.065196078291217</v>
      </c>
      <c r="W8" s="45">
        <f>W5</f>
        <v>12.16666667140089</v>
      </c>
      <c r="X8" s="160">
        <f>X5</f>
        <v>16.766666667535901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2" t="s">
        <v>19</v>
      </c>
      <c r="J9" s="185">
        <f>J8/J4</f>
        <v>0.9452054794520548</v>
      </c>
      <c r="K9" s="48"/>
      <c r="L9" s="48"/>
      <c r="M9" s="85"/>
      <c r="N9" s="43"/>
      <c r="O9" s="86"/>
      <c r="P9" s="2"/>
      <c r="R9" s="82" t="s">
        <v>19</v>
      </c>
      <c r="S9" s="185">
        <f>S8/S4</f>
        <v>1</v>
      </c>
      <c r="T9" s="48"/>
      <c r="U9" s="152"/>
      <c r="V9" s="85"/>
      <c r="W9" s="43"/>
      <c r="X9" s="149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6"/>
      <c r="V10" s="98"/>
      <c r="W10" s="22"/>
      <c r="X10" s="161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- 2016-10-08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71">
        <f>AVERAGE(S13:S114)</f>
        <v>0.97029702970297027</v>
      </c>
      <c r="V11" s="98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8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7" t="s">
        <v>71</v>
      </c>
      <c r="V12" s="100" t="s">
        <v>45</v>
      </c>
      <c r="W12" s="53" t="s">
        <v>23</v>
      </c>
      <c r="X12" s="162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3" t="s">
        <v>96</v>
      </c>
      <c r="AF12" s="90" t="s">
        <v>101</v>
      </c>
      <c r="AG12" s="4" t="s">
        <v>115</v>
      </c>
      <c r="AH12" s="96" t="s">
        <v>117</v>
      </c>
      <c r="AI12" s="128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395</v>
      </c>
      <c r="B13" s="7">
        <v>4053</v>
      </c>
      <c r="C13" s="24" t="s">
        <v>106</v>
      </c>
      <c r="D13" s="24" t="s">
        <v>605</v>
      </c>
      <c r="E13" s="15">
        <v>42651.133935185186</v>
      </c>
      <c r="F13" s="15">
        <v>42651.135729166665</v>
      </c>
      <c r="G13" s="7">
        <v>1</v>
      </c>
      <c r="H13" s="15" t="s">
        <v>243</v>
      </c>
      <c r="I13" s="15">
        <v>42651.162708333337</v>
      </c>
      <c r="J13" s="7">
        <v>1</v>
      </c>
      <c r="K13" s="116" t="str">
        <f t="shared" ref="K13:K31" si="0">IF(ISEVEN(B13),(B13-1)&amp;"/"&amp;B13,B13&amp;"/"&amp;(B13+1))</f>
        <v>4053/4054</v>
      </c>
      <c r="L13" s="24" t="str">
        <f>VLOOKUP(A13,'Trips&amp;Operators'!$C$1:$E$10000,3,FALSE)</f>
        <v>MAELZER</v>
      </c>
      <c r="M13" s="6">
        <f t="shared" ref="M13:M31" si="1">I13-F13</f>
        <v>2.697916667239042E-2</v>
      </c>
      <c r="N13" s="7">
        <f>24*60*SUM($M13:$M13)</f>
        <v>38.850000008242205</v>
      </c>
      <c r="O13" s="7"/>
      <c r="P13" s="7"/>
      <c r="Q13" s="25"/>
      <c r="R13" s="25"/>
      <c r="S13" s="37">
        <f t="shared" ref="S13:S18" si="2">SUM(U13:U13)/IF(AG13="EC",12,1)</f>
        <v>1</v>
      </c>
      <c r="T13" s="52" t="str">
        <f t="shared" ref="T13:T31" si="3">IF(ISEVEN(LEFT(AD13,4)),"Southbound","NorthBound")</f>
        <v>NorthBound</v>
      </c>
      <c r="U13" s="15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1" t="str">
        <f t="shared" ref="V13:V31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https://search-rtdc-monitor-bjffxe2xuh6vdkpspy63sjmuny.us-east-1.es.amazonaws.com/_plugin/kibana/#/discover/Steve-Slow-Train-Analysis-(2080s-and-2083s)?_g=(refreshInterval:(display:Off,section:0,value:0),time:(from:'2016-10-08 02:12:52-0600',mode:absolute,to:'2016-10-08 04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" s="54" t="str">
        <f t="shared" ref="W13:W31" si="5">IF(AA13&lt;IF(AG13="EC",23,5.65),"Y","N")</f>
        <v>N</v>
      </c>
      <c r="X13" s="163" t="e">
        <f>VALUE(LEFT(AD13,4))-VALUE(LEFT(AD12,4))</f>
        <v>#VALUE!</v>
      </c>
      <c r="Y13" s="69">
        <f>RIGHT(D13,LEN(D13)-4)/10000</f>
        <v>7.3499999999999996E-2</v>
      </c>
      <c r="Z13" s="69">
        <f>RIGHT(H13,LEN(H13)-4)/10000</f>
        <v>23.332100000000001</v>
      </c>
      <c r="AA13" s="69">
        <f t="shared" ref="AA13:AA31" si="6">ABS(Z13-Y13)</f>
        <v>23.258600000000001</v>
      </c>
      <c r="AB13" s="66" t="str">
        <f>VLOOKUP(A13,Enforcements!$C$7:$K$21,8,0)</f>
        <v>Speed (6)</v>
      </c>
      <c r="AC13" s="62" t="str">
        <f>VLOOKUP(A13,Enforcements!$C$7:$E$21,3,0)</f>
        <v>PERMANENT SPEED RESTRICTION</v>
      </c>
      <c r="AD13" s="63" t="str">
        <f t="shared" ref="AD13:AD31" si="7">IF(LEN(A13)=6,"0"&amp;A13,A13)</f>
        <v>0101-08</v>
      </c>
      <c r="AE13" s="94" t="str">
        <f t="shared" ref="AE13:AE76" si="8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3" s="91" t="str">
        <f t="shared" ref="AF13:AF76" si="9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/stypes="app*4053*20161008*" /stext=" 09:.+((SYSTEM_STATE.+slice.+state.+changed )|(ment ac)|(system.+state.+changed )|(\[timeout)|(PRM\|1\|D)|(kpr)|(kdp)|(\|lc)|(penalty))" /e /r /s</v>
      </c>
      <c r="AG13" s="1" t="str">
        <f t="shared" ref="AG13:AG31" si="10">IFERROR(IF(VALUE(LEFT(AD13,2))&lt;=2,"EC",IF(OR(VALUE(LEFT(AD13,2))=8,VALUE(LEFT(AD13,2))=18),"NW","Other")),"Other")</f>
        <v>EC</v>
      </c>
      <c r="AH13" s="95" t="str">
        <f t="shared" ref="AH13" si="11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4053 --swversion DE.1.0.7.0 --startMP 204:735 --initTime 2016-10-08T03:12:52 --startdatetime 2016-10-08T03:15:27 --delay 1 --endMP 204:233321 --enddatetime 2016-10-08T03:54:18 --enforcementcount 1 &gt;&gt;C:\Users\stu\Documents\GitHub\eaglep3-reporting\EC\2016-10-08-refined-times.txt</v>
      </c>
      <c r="AI13" s="129" t="str">
        <f t="shared" ref="AI13" si="12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{"issue":{"subject":"","project_id":79,"tracker_id":40,"status_id":1,"priority_id":2,"assigned_to_id":23,"start_date":"2016-10-08","description":"","custom_fields":[{"id":1,"name":"Subdivision","value":"EC"},{"id":4,"name":"Milepost","value":"23.3321"},{"id":17,"name":"Train ID","value":"101-08"},{"id":16,"name":"Locomotive ID","value":"4053"},{"id":130,"name":"Impact","value":""},{"id":150,"name":"Time of Event (Mountain Time)","value":"03:54:18"},{"id":151,"name":"Denver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401</v>
      </c>
      <c r="B14" s="7">
        <v>4028</v>
      </c>
      <c r="C14" s="24" t="s">
        <v>106</v>
      </c>
      <c r="D14" s="24" t="s">
        <v>606</v>
      </c>
      <c r="E14" s="15">
        <v>42651.16988425926</v>
      </c>
      <c r="F14" s="15">
        <v>42651.174780092595</v>
      </c>
      <c r="G14" s="7">
        <v>0</v>
      </c>
      <c r="H14" s="15" t="s">
        <v>190</v>
      </c>
      <c r="I14" s="15">
        <v>42651.201921296299</v>
      </c>
      <c r="J14" s="7">
        <v>1</v>
      </c>
      <c r="K14" s="116" t="str">
        <f t="shared" si="0"/>
        <v>4027/4028</v>
      </c>
      <c r="L14" s="24" t="str">
        <f>VLOOKUP(A14,'Trips&amp;Operators'!$C$1:$E$10000,3,FALSE)</f>
        <v>MAELZER</v>
      </c>
      <c r="M14" s="6">
        <f t="shared" si="1"/>
        <v>2.7141203703649808E-2</v>
      </c>
      <c r="N14" s="7">
        <f>24*60*SUM($M14:$M14)</f>
        <v>39.083333333255723</v>
      </c>
      <c r="O14" s="7"/>
      <c r="P14" s="7"/>
      <c r="Q14" s="25"/>
      <c r="R14" s="25"/>
      <c r="S14" s="37">
        <f t="shared" si="2"/>
        <v>1</v>
      </c>
      <c r="T14" s="52" t="str">
        <f t="shared" si="3"/>
        <v>Southbound</v>
      </c>
      <c r="U14" s="15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03:04:38-0600',mode:absolute,to:'2016-10-08 05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" s="54" t="str">
        <f t="shared" si="5"/>
        <v>N</v>
      </c>
      <c r="X14" s="163">
        <f>VALUE(LEFT(AD14,4))-VALUE(LEFT(AD13,4))</f>
        <v>1</v>
      </c>
      <c r="Y14" s="69">
        <f>RIGHT(D14,LEN(D14)-4)/10000</f>
        <v>23.267900000000001</v>
      </c>
      <c r="Z14" s="69">
        <f>RIGHT(H14,LEN(H14)-4)/10000</f>
        <v>1.5800000000000002E-2</v>
      </c>
      <c r="AA14" s="69">
        <f t="shared" si="6"/>
        <v>23.252100000000002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7"/>
        <v>0102-08</v>
      </c>
      <c r="AE14" s="94" t="str">
        <f t="shared" si="8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14" s="91" t="str">
        <f t="shared" si="9"/>
        <v>"C:\Program Files (x86)\AstroGrep\AstroGrep.exe" /spath="%USERPROFILE%\AppData\Local\Temp\OnboardLogs" /stypes="app*4028*20161008*" /stext=" 10:.+((SYSTEM_STATE.+slice.+state.+changed )|(ment ac)|(system.+state.+changed )|(\[timeout)|(PRM\|1\|D)|(kpr)|(kdp)|(\|lc)|(penalty))" /e /r /s</v>
      </c>
      <c r="AG14" s="1" t="str">
        <f t="shared" si="10"/>
        <v>EC</v>
      </c>
      <c r="AH14" s="95" t="str">
        <f t="shared" ref="AH14:AH79" si="1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4028 --swversion DE.1.0.7.0 --startMP 204:232679 --initTime 2016-10-08T04:04:38 --startdatetime 2016-10-08T04:11:41 --delay 0 --endMP 204:158 --enddatetime 2016-10-08T04:50:46 --enforcementcount 1 &gt;&gt;C:\Users\stu\Documents\GitHub\eaglep3-reporting\EC\2016-10-08-refined-times.txt</v>
      </c>
      <c r="AI14" s="129" t="str">
        <f t="shared" ref="AI14:AI79" si="1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ID","value":"102-08"},{"id":16,"name":"Locomotive ID","value":"4028"},{"id":130,"name":"Impact","value":""},{"id":150,"name":"Time of Event (Mountain Time)","value":"04:50:46"},{"id":151,"name":"Denver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396</v>
      </c>
      <c r="B15" s="7">
        <v>4038</v>
      </c>
      <c r="C15" s="24" t="s">
        <v>106</v>
      </c>
      <c r="D15" s="24" t="s">
        <v>607</v>
      </c>
      <c r="E15" s="15">
        <v>42651.156064814815</v>
      </c>
      <c r="F15" s="15">
        <v>42651.15730324074</v>
      </c>
      <c r="G15" s="7">
        <v>1</v>
      </c>
      <c r="H15" s="15" t="s">
        <v>247</v>
      </c>
      <c r="I15" s="15">
        <v>42651.18277777778</v>
      </c>
      <c r="J15" s="7">
        <v>1</v>
      </c>
      <c r="K15" s="116" t="str">
        <f t="shared" si="0"/>
        <v>4037/4038</v>
      </c>
      <c r="L15" s="24" t="str">
        <f>VLOOKUP(A15,'Trips&amp;Operators'!$C$1:$E$10000,3,FALSE)</f>
        <v>MALAVE</v>
      </c>
      <c r="M15" s="6">
        <f t="shared" si="1"/>
        <v>2.5474537040281575E-2</v>
      </c>
      <c r="N15" s="7">
        <f>24*60*SUM($M15:$M15)</f>
        <v>36.683333338005468</v>
      </c>
      <c r="O15" s="7"/>
      <c r="P15" s="7"/>
      <c r="Q15" s="25"/>
      <c r="R15" s="25"/>
      <c r="S15" s="37">
        <f t="shared" si="2"/>
        <v>1</v>
      </c>
      <c r="T15" s="52" t="str">
        <f t="shared" si="3"/>
        <v>NorthBound</v>
      </c>
      <c r="U15" s="15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02:44:44-0600',mode:absolute,to:'2016-10-08 05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" s="54" t="str">
        <f t="shared" si="5"/>
        <v>N</v>
      </c>
      <c r="X15" s="163">
        <f>VALUE(LEFT(AD15,4))-VALUE(LEFT(AD14,4))</f>
        <v>1</v>
      </c>
      <c r="Y15" s="69">
        <f>RIGHT(D15,LEN(D15)-4)/10000</f>
        <v>8.6800000000000002E-2</v>
      </c>
      <c r="Z15" s="69">
        <f>RIGHT(H15,LEN(H15)-4)/10000</f>
        <v>23.329699999999999</v>
      </c>
      <c r="AA15" s="69">
        <f t="shared" si="6"/>
        <v>23.242899999999999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7"/>
        <v>0103-08</v>
      </c>
      <c r="AE15" s="94" t="str">
        <f t="shared" si="8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5" s="91" t="str">
        <f t="shared" si="9"/>
        <v>"C:\Program Files (x86)\AstroGrep\AstroGrep.exe" /spath="%USERPROFILE%\AppData\Local\Temp\OnboardLogs" /stypes="app*4038*20161008*" /stext=" 10:.+((SYSTEM_STATE.+slice.+state.+changed )|(ment ac)|(system.+state.+changed )|(\[timeout)|(PRM\|1\|D)|(kpr)|(kdp)|(\|lc)|(penalty))" /e /r /s</v>
      </c>
      <c r="AG15" s="1" t="str">
        <f t="shared" si="10"/>
        <v>EC</v>
      </c>
      <c r="AH15" s="95" t="str">
        <f t="shared" si="13"/>
        <v>"%USERPROFILE%\Documents\GitHub\eaglep3\Utilities\RefineRTDCRunTimes.py" --tripid 103-08 --locoid 4038 --swversion DE.1.0.7.0 --startMP 204:868 --initTime 2016-10-08T03:44:44 --startdatetime 2016-10-08T03:46:31 --delay 1 --endMP 204:233297 --enddatetime 2016-10-08T04:23:12 --enforcementcount 1 &gt;&gt;C:\Users\stu\Documents\GitHub\eaglep3-reporting\EC\2016-10-08-refined-times.txt</v>
      </c>
      <c r="AI1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{"issue":{"subject":"","project_id":79,"tracker_id":40,"status_id":1,"priority_id":2,"assigned_to_id":23,"start_date":"2016-10-08","description":"","custom_fields":[{"id":1,"name":"Subdivision","value":"EC"},{"id":4,"name":"Milepost","value":"23.3297"},{"id":17,"name":"Train ID","value":"103-08"},{"id":16,"name":"Locomotive ID","value":"4038"},{"id":130,"name":"Impact","value":""},{"id":150,"name":"Time of Event (Mountain Time)","value":"04:23:12"},{"id":151,"name":"Denver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405</v>
      </c>
      <c r="B16" s="7">
        <v>4013</v>
      </c>
      <c r="C16" s="24" t="s">
        <v>106</v>
      </c>
      <c r="D16" s="24" t="s">
        <v>333</v>
      </c>
      <c r="E16" s="15">
        <v>42651.192719907405</v>
      </c>
      <c r="F16" s="15">
        <v>42651.195439814815</v>
      </c>
      <c r="G16" s="7">
        <v>1</v>
      </c>
      <c r="H16" s="15" t="s">
        <v>353</v>
      </c>
      <c r="I16" s="15">
        <v>42651.224131944444</v>
      </c>
      <c r="J16" s="7">
        <v>1</v>
      </c>
      <c r="K16" s="116" t="str">
        <f t="shared" si="0"/>
        <v>4013/4014</v>
      </c>
      <c r="L16" s="24" t="str">
        <f>VLOOKUP(A16,'Trips&amp;Operators'!$C$1:$E$10000,3,FALSE)</f>
        <v>MALAVE</v>
      </c>
      <c r="M16" s="6">
        <f t="shared" si="1"/>
        <v>2.8692129628325347E-2</v>
      </c>
      <c r="N16" s="7">
        <f>24*60*SUM($M16:$M16)</f>
        <v>41.316666664788499</v>
      </c>
      <c r="O16" s="7"/>
      <c r="P16" s="7"/>
      <c r="Q16" s="25"/>
      <c r="R16" s="25"/>
      <c r="S16" s="37">
        <f t="shared" si="2"/>
        <v>1</v>
      </c>
      <c r="T16" s="52" t="str">
        <f t="shared" si="3"/>
        <v>Southbound</v>
      </c>
      <c r="U16" s="15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03:37:31-0600',mode:absolute,to:'2016-10-08 06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" s="54" t="str">
        <f t="shared" si="5"/>
        <v>N</v>
      </c>
      <c r="X16" s="163">
        <f>VALUE(LEFT(AD16,4))-VALUE(LEFT(AD15,4))</f>
        <v>1</v>
      </c>
      <c r="Y16" s="69">
        <f>RIGHT(D16,LEN(D16)-4)/10000</f>
        <v>23.267199999999999</v>
      </c>
      <c r="Z16" s="69">
        <f>RIGHT(H16,LEN(H16)-4)/10000</f>
        <v>1.83E-2</v>
      </c>
      <c r="AA16" s="69">
        <f t="shared" si="6"/>
        <v>23.248899999999999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7"/>
        <v>0104-08</v>
      </c>
      <c r="AE16" s="94" t="str">
        <f t="shared" si="8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16" s="91" t="str">
        <f t="shared" si="9"/>
        <v>"C:\Program Files (x86)\AstroGrep\AstroGrep.exe" /spath="%USERPROFILE%\AppData\Local\Temp\OnboardLogs" /stypes="app*4013*20161008*" /stext=" 11:.+((SYSTEM_STATE.+slice.+state.+changed )|(ment ac)|(system.+state.+changed )|(\[timeout)|(PRM\|1\|D)|(kpr)|(kdp)|(\|lc)|(penalty))" /e /r /s</v>
      </c>
      <c r="AG16" s="1" t="str">
        <f t="shared" si="10"/>
        <v>EC</v>
      </c>
      <c r="AH16" s="95" t="str">
        <f t="shared" si="13"/>
        <v>"%USERPROFILE%\Documents\GitHub\eaglep3\Utilities\RefineRTDCRunTimes.py" --tripid 104-08 --locoid 4013 --swversion DE.1.0.7.0 --startMP 204:232672 --initTime 2016-10-08T04:37:31 --startdatetime 2016-10-08T04:41:26 --delay 1 --endMP 204:183 --enddatetime 2016-10-08T05:22:45 --enforcementcount 1 &gt;&gt;C:\Users\stu\Documents\GitHub\eaglep3-reporting\EC\2016-10-08-refined-times.txt</v>
      </c>
      <c r="AI1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{"issue":{"subject":"","project_id":79,"tracker_id":40,"status_id":1,"priority_id":2,"assigned_to_id":23,"start_date":"2016-10-08","description":"","custom_fields":[{"id":1,"name":"Subdivision","value":"EC"},{"id":4,"name":"Milepost","value":"0.0183"},{"id":17,"name":"Train ID","value":"104-08"},{"id":16,"name":"Locomotive ID","value":"4013"},{"id":130,"name":"Impact","value":""},{"id":150,"name":"Time of Event (Mountain Time)","value":"05:22:45"},{"id":151,"name":"Denver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757</v>
      </c>
      <c r="B17" s="7"/>
      <c r="C17" s="24" t="s">
        <v>106</v>
      </c>
      <c r="D17" s="24" t="s">
        <v>333</v>
      </c>
      <c r="E17" s="15">
        <v>42651.192719907405</v>
      </c>
      <c r="F17" s="15"/>
      <c r="G17" s="7">
        <v>1</v>
      </c>
      <c r="H17" s="15" t="s">
        <v>353</v>
      </c>
      <c r="I17" s="15"/>
      <c r="J17" s="7">
        <v>1</v>
      </c>
      <c r="K17" s="116" t="str">
        <f t="shared" si="0"/>
        <v>-1/</v>
      </c>
      <c r="L17" s="24" t="e">
        <f>VLOOKUP(A17,'Trips&amp;Operators'!$C$1:$E$10000,3,FALSE)</f>
        <v>#N/A</v>
      </c>
      <c r="M17" s="6">
        <f t="shared" si="1"/>
        <v>0</v>
      </c>
      <c r="N17" s="7"/>
      <c r="O17" s="7"/>
      <c r="P17" s="7">
        <v>1</v>
      </c>
      <c r="Q17" s="25"/>
      <c r="R17" s="25" t="s">
        <v>283</v>
      </c>
      <c r="S17" s="37">
        <f t="shared" si="2"/>
        <v>0</v>
      </c>
      <c r="T17" s="52" t="str">
        <f t="shared" si="3"/>
        <v>NorthBound</v>
      </c>
      <c r="U17" s="15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03:37:31-0600',mode:absolute,to:'1900-01-00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7" s="54" t="str">
        <f t="shared" si="5"/>
        <v>Y</v>
      </c>
      <c r="X17" s="163">
        <f t="shared" ref="X17:X21" si="15">VALUE(LEFT(AD17,4))-VALUE(LEFT(AD16,4))</f>
        <v>1</v>
      </c>
      <c r="Y17" s="69">
        <v>0</v>
      </c>
      <c r="Z17" s="69">
        <v>0</v>
      </c>
      <c r="AA17" s="69">
        <f t="shared" si="6"/>
        <v>0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7"/>
        <v>0105-08</v>
      </c>
      <c r="AE17" s="94" t="str">
        <f t="shared" si="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7" s="91" t="str">
        <f t="shared" si="9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7" s="1" t="str">
        <f t="shared" si="10"/>
        <v>EC</v>
      </c>
      <c r="AH17" s="95" t="str">
        <f t="shared" ref="AH17" si="16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105-08 --locoid  --swversion DE.1.0.7.0 --startMP 204:232672 --initTime 2016-10-08T04:37:31 --startdatetime 1900-01-00T00:00:00 --delay 1 --endMP 204:183 --enddatetime 1900-01-00T00:00:00 --enforcementcount 1 &gt;&gt;C:\Users\stu\Documents\GitHub\eaglep3-reporting\EC\2016-10-08-refined-times.txt</v>
      </c>
      <c r="AI17" s="129" t="str">
        <f t="shared" ref="AI17" si="17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init","project_id":79,"tracker_id":40,"status_id":1,"priority_id":2,"assigned_to_id":23,"start_date":"1900-01-00","description":"","custom_fields":[{"id":1,"name":"Subdivision","value":"EC"},{"id":4,"name":"Milepost","value":"0"},{"id":17,"name":"Train ID","value":"105-08"},{"id":16,"name":"Locomotive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407</v>
      </c>
      <c r="B18" s="7">
        <v>4043</v>
      </c>
      <c r="C18" s="24" t="s">
        <v>106</v>
      </c>
      <c r="D18" s="24" t="s">
        <v>608</v>
      </c>
      <c r="E18" s="15">
        <v>42651.230428240742</v>
      </c>
      <c r="F18" s="15">
        <v>42651.231157407405</v>
      </c>
      <c r="G18" s="7">
        <v>1</v>
      </c>
      <c r="H18" s="15" t="s">
        <v>609</v>
      </c>
      <c r="I18" s="15">
        <v>42651.249479166669</v>
      </c>
      <c r="J18" s="7">
        <v>0</v>
      </c>
      <c r="K18" s="116" t="str">
        <f t="shared" si="0"/>
        <v>4043/4044</v>
      </c>
      <c r="L18" s="24" t="str">
        <f>VLOOKUP(A18,'Trips&amp;Operators'!$C$1:$E$10000,3,FALSE)</f>
        <v>ACKERMAN</v>
      </c>
      <c r="M18" s="6">
        <f t="shared" si="1"/>
        <v>1.8321759263926651E-2</v>
      </c>
      <c r="N18" s="7"/>
      <c r="O18" s="7"/>
      <c r="P18" s="7">
        <f>24*60*SUM($M18:$M19)</f>
        <v>35.100000001257285</v>
      </c>
      <c r="Q18" s="25"/>
      <c r="R18" s="25" t="s">
        <v>749</v>
      </c>
      <c r="S18" s="37">
        <f t="shared" si="2"/>
        <v>1</v>
      </c>
      <c r="T18" s="52" t="str">
        <f t="shared" si="3"/>
        <v>Southbound</v>
      </c>
      <c r="U18" s="15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04:31:49-0600',mode:absolute,to:'2016-10-08 06:59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" s="54" t="str">
        <f t="shared" si="5"/>
        <v>Y</v>
      </c>
      <c r="X18" s="163">
        <f t="shared" si="15"/>
        <v>1</v>
      </c>
      <c r="Y18" s="69">
        <f t="shared" ref="Y18:Y31" si="18">RIGHT(D18,LEN(D18)-4)/10000</f>
        <v>12.7784</v>
      </c>
      <c r="Z18" s="69">
        <f t="shared" ref="Z18:Z31" si="19">RIGHT(H18,LEN(H18)-4)/10000</f>
        <v>1.6899999999999998E-2</v>
      </c>
      <c r="AA18" s="69">
        <f t="shared" si="6"/>
        <v>12.7615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7"/>
        <v>0106-08</v>
      </c>
      <c r="AE18" s="94" t="str">
        <f t="shared" si="8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8" s="91" t="str">
        <f t="shared" si="9"/>
        <v>"C:\Program Files (x86)\AstroGrep\AstroGrep.exe" /spath="%USERPROFILE%\AppData\Local\Temp\OnboardLogs" /stypes="app*4043*20161008*" /stext=" 11:.+((SYSTEM_STATE.+slice.+state.+changed )|(ment ac)|(system.+state.+changed )|(\[timeout)|(PRM\|1\|D)|(kpr)|(kdp)|(\|lc)|(penalty))" /e /r /s</v>
      </c>
      <c r="AG18" s="1" t="str">
        <f t="shared" si="10"/>
        <v>EC</v>
      </c>
      <c r="AH18" s="95" t="str">
        <f t="shared" si="13"/>
        <v>"%USERPROFILE%\Documents\GitHub\eaglep3\Utilities\RefineRTDCRunTimes.py" --tripid 106-08 --locoid 4043 --swversion DE.1.0.7.0 --startMP 204:127784 --initTime 2016-10-08T05:31:49 --startdatetime 2016-10-08T05:32:52 --delay 1 --endMP 204:169 --enddatetime 2016-10-08T05:59:15 --enforcementcount 0 &gt;&gt;C:\Users\stu\Documents\GitHub\eaglep3-reporting\EC\2016-10-08-refined-times.txt</v>
      </c>
      <c r="AI18" s="129" t="str">
        <f t="shared" si="14"/>
        <v>echo {"issue":{"subject":"Wi-MAX outage","project_id":79,"tracker_id":40,"status_id":1,"priority_id":2,"assigned_to_id":23,"start_date":"2016-10-08","description":"http://stevetu21.github.io/eaglep3/load_kml.html?kml=http://rtdc.gmaps-snips.s3.amazonaws.com/f04b1b74-f191-4952-8331-11a0c2e19604.kml","custom_fields":[{"id":1,"name":"Subdivision","value":"EC"},{"id":4,"name":"Milepost","value":"0.0169"},{"id":17,"name":"Train ID","value":"106-08"},{"id":16,"name":"Locomotive ID","value":"4043"},{"id":130,"name":"Impact","value":"Unexpected Cut-Out or Disengaged"},{"id":150,"name":"Time of Event (Mountain Time)","value":"05:59:15"},{"id":151,"name":"Denver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8" s="184" t="s">
        <v>750</v>
      </c>
      <c r="AK18" s="55" t="s">
        <v>140</v>
      </c>
      <c r="AL18" s="55" t="s">
        <v>147</v>
      </c>
    </row>
    <row r="19" spans="1:38" s="1" customFormat="1" x14ac:dyDescent="0.25">
      <c r="A19" s="39" t="s">
        <v>407</v>
      </c>
      <c r="B19" s="7">
        <v>4043</v>
      </c>
      <c r="C19" s="24" t="s">
        <v>106</v>
      </c>
      <c r="D19" s="24" t="s">
        <v>610</v>
      </c>
      <c r="E19" s="15">
        <v>42651.215590277781</v>
      </c>
      <c r="F19" s="15">
        <v>42651.217986111114</v>
      </c>
      <c r="G19" s="7">
        <v>3</v>
      </c>
      <c r="H19" s="15" t="s">
        <v>611</v>
      </c>
      <c r="I19" s="15">
        <v>42651.224039351851</v>
      </c>
      <c r="J19" s="7">
        <v>0</v>
      </c>
      <c r="K19" s="116" t="str">
        <f t="shared" si="0"/>
        <v>4043/4044</v>
      </c>
      <c r="L19" s="24" t="str">
        <f>VLOOKUP(A19,'Trips&amp;Operators'!$C$1:$E$10000,3,FALSE)</f>
        <v>ACKERMAN</v>
      </c>
      <c r="M19" s="6">
        <f t="shared" si="1"/>
        <v>6.0532407369464636E-3</v>
      </c>
      <c r="N19" s="7"/>
      <c r="O19" s="7"/>
      <c r="P19" s="7"/>
      <c r="Q19" s="25"/>
      <c r="R19" s="25"/>
      <c r="S19" s="37"/>
      <c r="T19" s="52" t="str">
        <f t="shared" si="3"/>
        <v>Southbound</v>
      </c>
      <c r="U19" s="15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04:10:27-0600',mode:absolute,to:'2016-10-08 06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" s="54" t="str">
        <f t="shared" si="5"/>
        <v>Y</v>
      </c>
      <c r="X19" s="163">
        <f t="shared" si="15"/>
        <v>0</v>
      </c>
      <c r="Y19" s="69">
        <f t="shared" si="18"/>
        <v>23.2773</v>
      </c>
      <c r="Z19" s="69">
        <f t="shared" si="19"/>
        <v>22.459900000000001</v>
      </c>
      <c r="AA19" s="69">
        <f t="shared" si="6"/>
        <v>0.81739999999999924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7"/>
        <v>0106-08</v>
      </c>
      <c r="AE19" s="94" t="str">
        <f t="shared" si="8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9" s="91" t="str">
        <f t="shared" si="9"/>
        <v>"C:\Program Files (x86)\AstroGrep\AstroGrep.exe" /spath="%USERPROFILE%\AppData\Local\Temp\OnboardLogs" /stypes="app*4043*20161008*" /stext=" 11:.+((SYSTEM_STATE.+slice.+state.+changed )|(ment ac)|(system.+state.+changed )|(\[timeout)|(PRM\|1\|D)|(kpr)|(kdp)|(\|lc)|(penalty))" /e /r /s</v>
      </c>
      <c r="AG19" s="1" t="str">
        <f t="shared" si="10"/>
        <v>EC</v>
      </c>
      <c r="AH19" s="95" t="str">
        <f t="shared" si="13"/>
        <v>"%USERPROFILE%\Documents\GitHub\eaglep3\Utilities\RefineRTDCRunTimes.py" --tripid 106-08 --locoid 4043 --swversion DE.1.0.7.0 --startMP 204:232773 --initTime 2016-10-08T05:10:27 --startdatetime 2016-10-08T05:13:54 --delay 3 --endMP 204:224599 --enddatetime 2016-10-08T05:22:37 --enforcementcount 0 &gt;&gt;C:\Users\stu\Documents\GitHub\eaglep3-reporting\EC\2016-10-08-refined-times.txt</v>
      </c>
      <c r="AI1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{"issue":{"subject":"","project_id":79,"tracker_id":40,"status_id":1,"priority_id":2,"assigned_to_id":23,"start_date":"2016-10-08","description":"","custom_fields":[{"id":1,"name":"Subdivision","value":"EC"},{"id":4,"name":"Milepost","value":"22.4599"},{"id":17,"name":"Train ID","value":"106-08"},{"id":16,"name":"Locomotive ID","value":"4043"},{"id":130,"name":"Impact","value":""},{"id":150,"name":"Time of Event (Mountain Time)","value":"05:22:37"},{"id":151,"name":"Denver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402</v>
      </c>
      <c r="B20" s="7">
        <v>4042</v>
      </c>
      <c r="C20" s="24" t="s">
        <v>106</v>
      </c>
      <c r="D20" s="24" t="s">
        <v>612</v>
      </c>
      <c r="E20" s="15">
        <v>42651.183842592596</v>
      </c>
      <c r="F20" s="15">
        <v>42651.187708333331</v>
      </c>
      <c r="G20" s="7">
        <v>1</v>
      </c>
      <c r="H20" s="15" t="s">
        <v>329</v>
      </c>
      <c r="I20" s="15">
        <v>42651.21371527778</v>
      </c>
      <c r="J20" s="7">
        <v>1</v>
      </c>
      <c r="K20" s="116" t="str">
        <f t="shared" si="0"/>
        <v>4041/4042</v>
      </c>
      <c r="L20" s="24" t="str">
        <f>VLOOKUP(A20,'Trips&amp;Operators'!$C$1:$E$10000,3,FALSE)</f>
        <v>DAVIS</v>
      </c>
      <c r="M20" s="6">
        <f t="shared" si="1"/>
        <v>2.6006944448454306E-2</v>
      </c>
      <c r="N20" s="7">
        <f t="shared" ref="N20:N31" si="20">24*60*SUM($M20:$M20)</f>
        <v>37.4500000057742</v>
      </c>
      <c r="O20" s="7"/>
      <c r="P20" s="7"/>
      <c r="Q20" s="25"/>
      <c r="R20" s="25"/>
      <c r="S20" s="37">
        <f t="shared" ref="S20:S31" si="21">SUM(U20:U20)/IF(AG20="EC",12,1)</f>
        <v>1</v>
      </c>
      <c r="T20" s="52" t="str">
        <f t="shared" si="3"/>
        <v>NorthBound</v>
      </c>
      <c r="U20" s="15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03:24:44-0600',mode:absolute,to:'2016-10-08 06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" s="54" t="str">
        <f t="shared" si="5"/>
        <v>N</v>
      </c>
      <c r="X20" s="163">
        <f t="shared" si="15"/>
        <v>1</v>
      </c>
      <c r="Y20" s="69">
        <f t="shared" si="18"/>
        <v>4.2200000000000001E-2</v>
      </c>
      <c r="Z20" s="69">
        <f t="shared" si="19"/>
        <v>23.3324</v>
      </c>
      <c r="AA20" s="69">
        <f t="shared" si="6"/>
        <v>23.290199999999999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7"/>
        <v>0107-08</v>
      </c>
      <c r="AE20" s="94" t="str">
        <f t="shared" si="8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20" s="91" t="str">
        <f t="shared" si="9"/>
        <v>"C:\Program Files (x86)\AstroGrep\AstroGrep.exe" /spath="%USERPROFILE%\AppData\Local\Temp\OnboardLogs" /stypes="app*4042*20161008*" /stext=" 11:.+((SYSTEM_STATE.+slice.+state.+changed )|(ment ac)|(system.+state.+changed )|(\[timeout)|(PRM\|1\|D)|(kpr)|(kdp)|(\|lc)|(penalty))" /e /r /s</v>
      </c>
      <c r="AG20" s="1" t="str">
        <f t="shared" si="10"/>
        <v>EC</v>
      </c>
      <c r="AH20" s="95" t="str">
        <f t="shared" si="13"/>
        <v>"%USERPROFILE%\Documents\GitHub\eaglep3\Utilities\RefineRTDCRunTimes.py" --tripid 107-08 --locoid 4042 --swversion DE.1.0.7.0 --startMP 204:422 --initTime 2016-10-08T04:24:44 --startdatetime 2016-10-08T04:30:18 --delay 1 --endMP 204:233324 --enddatetime 2016-10-08T05:07:45 --enforcementcount 1 &gt;&gt;C:\Users\stu\Documents\GitHub\eaglep3-reporting\EC\2016-10-08-refined-times.txt</v>
      </c>
      <c r="AI20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{"issue":{"subject":"","project_id":79,"tracker_id":40,"status_id":1,"priority_id":2,"assigned_to_id":23,"start_date":"2016-10-08","description":"","custom_fields":[{"id":1,"name":"Subdivision","value":"EC"},{"id":4,"name":"Milepost","value":"23.3324"},{"id":17,"name":"Train ID","value":"107-08"},{"id":16,"name":"Locomotive ID","value":"4042"},{"id":130,"name":"Impact","value":""},{"id":150,"name":"Time of Event (Mountain Time)","value":"05:07:45"},{"id":151,"name":"Denver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410</v>
      </c>
      <c r="B21" s="7">
        <v>4041</v>
      </c>
      <c r="C21" s="24" t="s">
        <v>106</v>
      </c>
      <c r="D21" s="24" t="s">
        <v>316</v>
      </c>
      <c r="E21" s="15">
        <v>42651.221261574072</v>
      </c>
      <c r="F21" s="15">
        <v>42651.2265625</v>
      </c>
      <c r="G21" s="7">
        <v>1</v>
      </c>
      <c r="H21" s="15" t="s">
        <v>209</v>
      </c>
      <c r="I21" s="15">
        <v>42651.255486111113</v>
      </c>
      <c r="J21" s="7">
        <v>1</v>
      </c>
      <c r="K21" s="116" t="str">
        <f t="shared" si="0"/>
        <v>4041/4042</v>
      </c>
      <c r="L21" s="24" t="str">
        <f>VLOOKUP(A21,'Trips&amp;Operators'!$C$1:$E$10000,3,FALSE)</f>
        <v>DAVIS</v>
      </c>
      <c r="M21" s="6">
        <f t="shared" si="1"/>
        <v>2.8923611112986691E-2</v>
      </c>
      <c r="N21" s="7">
        <f t="shared" si="20"/>
        <v>41.650000002700835</v>
      </c>
      <c r="O21" s="7"/>
      <c r="P21" s="7"/>
      <c r="Q21" s="25"/>
      <c r="R21" s="25"/>
      <c r="S21" s="37">
        <f t="shared" si="21"/>
        <v>1</v>
      </c>
      <c r="T21" s="52" t="str">
        <f t="shared" si="3"/>
        <v>Southbound</v>
      </c>
      <c r="U21" s="15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04:18:37-0600',mode:absolute,to:'2016-10-08 07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" s="54" t="str">
        <f t="shared" si="5"/>
        <v>N</v>
      </c>
      <c r="X21" s="163">
        <f t="shared" si="15"/>
        <v>1</v>
      </c>
      <c r="Y21" s="69">
        <f t="shared" si="18"/>
        <v>23.299399999999999</v>
      </c>
      <c r="Z21" s="69">
        <f t="shared" si="19"/>
        <v>1.4500000000000001E-2</v>
      </c>
      <c r="AA21" s="69">
        <f t="shared" si="6"/>
        <v>23.284899999999997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7"/>
        <v>0108-08</v>
      </c>
      <c r="AE21" s="94" t="str">
        <f t="shared" si="8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21" s="91" t="str">
        <f t="shared" si="9"/>
        <v>"C:\Program Files (x86)\AstroGrep\AstroGrep.exe" /spath="%USERPROFILE%\AppData\Local\Temp\OnboardLogs" /stypes="app*4041*20161008*" /stext=" 12:.+((SYSTEM_STATE.+slice.+state.+changed )|(ment ac)|(system.+state.+changed )|(\[timeout)|(PRM\|1\|D)|(kpr)|(kdp)|(\|lc)|(penalty))" /e /r /s</v>
      </c>
      <c r="AG21" s="1" t="str">
        <f t="shared" si="10"/>
        <v>EC</v>
      </c>
      <c r="AH21" s="95" t="str">
        <f t="shared" si="13"/>
        <v>"%USERPROFILE%\Documents\GitHub\eaglep3\Utilities\RefineRTDCRunTimes.py" --tripid 108-08 --locoid 4041 --swversion DE.1.0.7.0 --startMP 204:232994 --initTime 2016-10-08T05:18:37 --startdatetime 2016-10-08T05:26:15 --delay 1 --endMP 204:145 --enddatetime 2016-10-08T06:07:54 --enforcementcount 1 &gt;&gt;C:\Users\stu\Documents\GitHub\eaglep3-reporting\EC\2016-10-08-refined-times.txt</v>
      </c>
      <c r="AI21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ID","value":"108-08"},{"id":16,"name":"Locomotive ID","value":"4041"},{"id":130,"name":"Impact","value":""},{"id":150,"name":"Time of Event (Mountain Time)","value":"06:07:54"},{"id":151,"name":"Denver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403</v>
      </c>
      <c r="B22" s="7">
        <v>4025</v>
      </c>
      <c r="C22" s="24" t="s">
        <v>106</v>
      </c>
      <c r="D22" s="24" t="s">
        <v>216</v>
      </c>
      <c r="E22" s="15">
        <v>42651.189525462964</v>
      </c>
      <c r="F22" s="15">
        <v>42651.198113425926</v>
      </c>
      <c r="G22" s="7">
        <v>2</v>
      </c>
      <c r="H22" s="15" t="s">
        <v>328</v>
      </c>
      <c r="I22" s="15">
        <v>42651.223587962966</v>
      </c>
      <c r="J22" s="7">
        <v>1</v>
      </c>
      <c r="K22" s="116" t="str">
        <f t="shared" si="0"/>
        <v>4025/4026</v>
      </c>
      <c r="L22" s="24" t="str">
        <f>VLOOKUP(A22,'Trips&amp;Operators'!$C$1:$E$10000,3,FALSE)</f>
        <v>KILLION</v>
      </c>
      <c r="M22" s="6">
        <f t="shared" si="1"/>
        <v>2.5474537040281575E-2</v>
      </c>
      <c r="N22" s="7">
        <f t="shared" si="20"/>
        <v>36.683333338005468</v>
      </c>
      <c r="O22" s="7"/>
      <c r="P22" s="7"/>
      <c r="Q22" s="25"/>
      <c r="R22" s="25"/>
      <c r="S22" s="37">
        <f t="shared" si="21"/>
        <v>1</v>
      </c>
      <c r="T22" s="52" t="str">
        <f t="shared" si="3"/>
        <v>NorthBound</v>
      </c>
      <c r="U22" s="15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03:32:55-0600',mode:absolute,to:'2016-10-08 06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2" s="54" t="str">
        <f t="shared" si="5"/>
        <v>N</v>
      </c>
      <c r="X22" s="163">
        <f t="shared" ref="X22:X31" si="22">VALUE(LEFT(AD22,4))-VALUE(LEFT(AD21,4))</f>
        <v>1</v>
      </c>
      <c r="Y22" s="69">
        <f t="shared" si="18"/>
        <v>4.6399999999999997E-2</v>
      </c>
      <c r="Z22" s="69">
        <f t="shared" si="19"/>
        <v>23.330200000000001</v>
      </c>
      <c r="AA22" s="69">
        <f t="shared" si="6"/>
        <v>23.283800000000003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7"/>
        <v>0109-08</v>
      </c>
      <c r="AE22" s="94" t="str">
        <f t="shared" si="8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22" s="91" t="str">
        <f t="shared" si="9"/>
        <v>"C:\Program Files (x86)\AstroGrep\AstroGrep.exe" /spath="%USERPROFILE%\AppData\Local\Temp\OnboardLogs" /stypes="app*4025*20161008*" /stext=" 11:.+((SYSTEM_STATE.+slice.+state.+changed )|(ment ac)|(system.+state.+changed )|(\[timeout)|(PRM\|1\|D)|(kpr)|(kdp)|(\|lc)|(penalty))" /e /r /s</v>
      </c>
      <c r="AG22" s="1" t="str">
        <f t="shared" si="10"/>
        <v>EC</v>
      </c>
      <c r="AH22" s="95" t="str">
        <f t="shared" si="13"/>
        <v>"%USERPROFILE%\Documents\GitHub\eaglep3\Utilities\RefineRTDCRunTimes.py" --tripid 109-08 --locoid 4025 --swversion DE.1.0.7.0 --startMP 204:464 --initTime 2016-10-08T04:32:55 --startdatetime 2016-10-08T04:45:17 --delay 2 --endMP 204:233302 --enddatetime 2016-10-08T05:21:58 --enforcementcount 1 &gt;&gt;C:\Users\stu\Documents\GitHub\eaglep3-reporting\EC\2016-10-08-refined-times.txt</v>
      </c>
      <c r="AI22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{"issue":{"subject":"","project_id":79,"tracker_id":40,"status_id":1,"priority_id":2,"assigned_to_id":23,"start_date":"2016-10-08","description":"","custom_fields":[{"id":1,"name":"Subdivision","value":"EC"},{"id":4,"name":"Milepost","value":"23.3302"},{"id":17,"name":"Train ID","value":"109-08"},{"id":16,"name":"Locomotive ID","value":"4025"},{"id":130,"name":"Impact","value":""},{"id":150,"name":"Time of Event (Mountain Time)","value":"05:21:58"},{"id":151,"name":"Denver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415</v>
      </c>
      <c r="B23" s="7">
        <v>4026</v>
      </c>
      <c r="C23" s="24" t="s">
        <v>106</v>
      </c>
      <c r="D23" s="24" t="s">
        <v>252</v>
      </c>
      <c r="E23" s="15">
        <v>42651.235347222224</v>
      </c>
      <c r="F23" s="15">
        <v>42651.237037037034</v>
      </c>
      <c r="G23" s="7">
        <v>1</v>
      </c>
      <c r="H23" s="15" t="s">
        <v>126</v>
      </c>
      <c r="I23" s="15">
        <v>42651.264594907407</v>
      </c>
      <c r="J23" s="7">
        <v>1</v>
      </c>
      <c r="K23" s="116" t="str">
        <f t="shared" si="0"/>
        <v>4025/4026</v>
      </c>
      <c r="L23" s="24" t="str">
        <f>VLOOKUP(A23,'Trips&amp;Operators'!$C$1:$E$10000,3,FALSE)</f>
        <v>KILLION</v>
      </c>
      <c r="M23" s="6">
        <f t="shared" si="1"/>
        <v>2.7557870373129845E-2</v>
      </c>
      <c r="N23" s="7">
        <f t="shared" si="20"/>
        <v>39.683333337306976</v>
      </c>
      <c r="O23" s="7"/>
      <c r="P23" s="7"/>
      <c r="Q23" s="25"/>
      <c r="R23" s="25"/>
      <c r="S23" s="37">
        <f t="shared" si="21"/>
        <v>1</v>
      </c>
      <c r="T23" s="52" t="str">
        <f t="shared" si="3"/>
        <v>Southbound</v>
      </c>
      <c r="U23" s="15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04:38:54-0600',mode:absolute,to:'2016-10-08 07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3" s="54" t="str">
        <f t="shared" si="5"/>
        <v>N</v>
      </c>
      <c r="X23" s="163">
        <f t="shared" si="22"/>
        <v>1</v>
      </c>
      <c r="Y23" s="69">
        <f t="shared" si="18"/>
        <v>23.298500000000001</v>
      </c>
      <c r="Z23" s="69">
        <f t="shared" si="19"/>
        <v>1.54E-2</v>
      </c>
      <c r="AA23" s="69">
        <f t="shared" si="6"/>
        <v>23.283100000000001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7"/>
        <v>0110-08</v>
      </c>
      <c r="AE23" s="94" t="str">
        <f t="shared" si="8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23" s="91" t="str">
        <f t="shared" si="9"/>
        <v>"C:\Program Files (x86)\AstroGrep\AstroGrep.exe" /spath="%USERPROFILE%\AppData\Local\Temp\OnboardLogs" /stypes="app*4026*20161008*" /stext=" 12:.+((SYSTEM_STATE.+slice.+state.+changed )|(ment ac)|(system.+state.+changed )|(\[timeout)|(PRM\|1\|D)|(kpr)|(kdp)|(\|lc)|(penalty))" /e /r /s</v>
      </c>
      <c r="AG23" s="1" t="str">
        <f t="shared" si="10"/>
        <v>EC</v>
      </c>
      <c r="AH23" s="95" t="str">
        <f t="shared" si="13"/>
        <v>"%USERPROFILE%\Documents\GitHub\eaglep3\Utilities\RefineRTDCRunTimes.py" --tripid 110-08 --locoid 4026 --swversion DE.1.0.7.0 --startMP 204:232985 --initTime 2016-10-08T05:38:54 --startdatetime 2016-10-08T05:41:20 --delay 1 --endMP 204:154 --enddatetime 2016-10-08T06:21:01 --enforcementcount 1 &gt;&gt;C:\Users\stu\Documents\GitHub\eaglep3-reporting\EC\2016-10-08-refined-times.txt</v>
      </c>
      <c r="AI23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ID","value":"110-08"},{"id":16,"name":"Locomotive ID","value":"4026"},{"id":130,"name":"Impact","value":""},{"id":150,"name":"Time of Event (Mountain Time)","value":"06:21:01"},{"id":151,"name":"Denver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406</v>
      </c>
      <c r="B24" s="7">
        <v>4053</v>
      </c>
      <c r="C24" s="24" t="s">
        <v>106</v>
      </c>
      <c r="D24" s="24" t="s">
        <v>295</v>
      </c>
      <c r="E24" s="15">
        <v>42651.20553240741</v>
      </c>
      <c r="F24" s="15">
        <v>42651.208657407406</v>
      </c>
      <c r="G24" s="7">
        <v>4</v>
      </c>
      <c r="H24" s="15" t="s">
        <v>613</v>
      </c>
      <c r="I24" s="15">
        <v>42651.233900462961</v>
      </c>
      <c r="J24" s="7">
        <v>1</v>
      </c>
      <c r="K24" s="116" t="str">
        <f t="shared" si="0"/>
        <v>4053/4054</v>
      </c>
      <c r="L24" s="24" t="str">
        <f>VLOOKUP(A24,'Trips&amp;Operators'!$C$1:$E$10000,3,FALSE)</f>
        <v>GEBRETEKLE</v>
      </c>
      <c r="M24" s="6">
        <f t="shared" si="1"/>
        <v>2.5243055555620231E-2</v>
      </c>
      <c r="N24" s="7">
        <f t="shared" si="20"/>
        <v>36.350000000093132</v>
      </c>
      <c r="O24" s="7"/>
      <c r="P24" s="7"/>
      <c r="Q24" s="25"/>
      <c r="R24" s="25"/>
      <c r="S24" s="37">
        <f t="shared" si="21"/>
        <v>1</v>
      </c>
      <c r="T24" s="52" t="str">
        <f t="shared" si="3"/>
        <v>NorthBound</v>
      </c>
      <c r="U24" s="15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03:55:58-0600',mode:absolute,to:'2016-10-08 06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4" s="54" t="str">
        <f t="shared" si="5"/>
        <v>N</v>
      </c>
      <c r="X24" s="163">
        <f t="shared" si="22"/>
        <v>1</v>
      </c>
      <c r="Y24" s="69">
        <f t="shared" si="18"/>
        <v>7.5399999999999995E-2</v>
      </c>
      <c r="Z24" s="69">
        <f t="shared" si="19"/>
        <v>23.330100000000002</v>
      </c>
      <c r="AA24" s="69">
        <f t="shared" si="6"/>
        <v>23.254700000000003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7"/>
        <v>0111-08</v>
      </c>
      <c r="AE24" s="94" t="str">
        <f t="shared" si="8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24" s="91" t="str">
        <f t="shared" si="9"/>
        <v>"C:\Program Files (x86)\AstroGrep\AstroGrep.exe" /spath="%USERPROFILE%\AppData\Local\Temp\OnboardLogs" /stypes="app*4053*20161008*" /stext=" 11:.+((SYSTEM_STATE.+slice.+state.+changed )|(ment ac)|(system.+state.+changed )|(\[timeout)|(PRM\|1\|D)|(kpr)|(kdp)|(\|lc)|(penalty))" /e /r /s</v>
      </c>
      <c r="AG24" s="1" t="str">
        <f t="shared" si="10"/>
        <v>EC</v>
      </c>
      <c r="AH24" s="95" t="str">
        <f t="shared" si="13"/>
        <v>"%USERPROFILE%\Documents\GitHub\eaglep3\Utilities\RefineRTDCRunTimes.py" --tripid 111-08 --locoid 4053 --swversion DE.1.0.7.0 --startMP 204:754 --initTime 2016-10-08T04:55:58 --startdatetime 2016-10-08T05:00:28 --delay 4 --endMP 204:233301 --enddatetime 2016-10-08T05:36:49 --enforcementcount 1 &gt;&gt;C:\Users\stu\Documents\GitHub\eaglep3-reporting\EC\2016-10-08-refined-times.txt</v>
      </c>
      <c r="AI24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{"issue":{"subject":"","project_id":79,"tracker_id":40,"status_id":1,"priority_id":2,"assigned_to_id":23,"start_date":"2016-10-08","description":"","custom_fields":[{"id":1,"name":"Subdivision","value":"EC"},{"id":4,"name":"Milepost","value":"23.3301"},{"id":17,"name":"Train ID","value":"111-08"},{"id":16,"name":"Locomotive ID","value":"4053"},{"id":130,"name":"Impact","value":""},{"id":150,"name":"Time of Event (Mountain Time)","value":"05:36:49"},{"id":151,"name":"Denver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417</v>
      </c>
      <c r="B25" s="7">
        <v>4054</v>
      </c>
      <c r="C25" s="24" t="s">
        <v>106</v>
      </c>
      <c r="D25" s="24" t="s">
        <v>234</v>
      </c>
      <c r="E25" s="15">
        <v>42651.243935185186</v>
      </c>
      <c r="F25" s="15">
        <v>42651.247418981482</v>
      </c>
      <c r="G25" s="7">
        <v>1</v>
      </c>
      <c r="H25" s="15" t="s">
        <v>195</v>
      </c>
      <c r="I25" s="15">
        <v>42651.274745370371</v>
      </c>
      <c r="J25" s="7">
        <v>1</v>
      </c>
      <c r="K25" s="116" t="str">
        <f t="shared" si="0"/>
        <v>4053/4054</v>
      </c>
      <c r="L25" s="24" t="str">
        <f>VLOOKUP(A25,'Trips&amp;Operators'!$C$1:$E$10000,3,FALSE)</f>
        <v>GEBRETEKLE</v>
      </c>
      <c r="M25" s="6">
        <f t="shared" si="1"/>
        <v>2.73263888884685E-2</v>
      </c>
      <c r="N25" s="7">
        <f t="shared" si="20"/>
        <v>39.34999999939464</v>
      </c>
      <c r="O25" s="7"/>
      <c r="P25" s="7"/>
      <c r="Q25" s="25"/>
      <c r="R25" s="25"/>
      <c r="S25" s="37">
        <f t="shared" si="21"/>
        <v>1</v>
      </c>
      <c r="T25" s="52" t="str">
        <f t="shared" si="3"/>
        <v>Southbound</v>
      </c>
      <c r="U25" s="15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04:51:16-0600',mode:absolute,to:'2016-10-08 07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5" s="54" t="str">
        <f t="shared" si="5"/>
        <v>N</v>
      </c>
      <c r="X25" s="163">
        <f t="shared" si="22"/>
        <v>1</v>
      </c>
      <c r="Y25" s="69">
        <f t="shared" si="18"/>
        <v>23.296900000000001</v>
      </c>
      <c r="Z25" s="69">
        <f t="shared" si="19"/>
        <v>1.52E-2</v>
      </c>
      <c r="AA25" s="69">
        <f t="shared" si="6"/>
        <v>23.281700000000001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7"/>
        <v>0112-08</v>
      </c>
      <c r="AE25" s="94" t="str">
        <f t="shared" si="8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25" s="91" t="str">
        <f t="shared" si="9"/>
        <v>"C:\Program Files (x86)\AstroGrep\AstroGrep.exe" /spath="%USERPROFILE%\AppData\Local\Temp\OnboardLogs" /stypes="app*4054*20161008*" /stext=" 12:.+((SYSTEM_STATE.+slice.+state.+changed )|(ment ac)|(system.+state.+changed )|(\[timeout)|(PRM\|1\|D)|(kpr)|(kdp)|(\|lc)|(penalty))" /e /r /s</v>
      </c>
      <c r="AG25" s="1" t="str">
        <f t="shared" si="10"/>
        <v>EC</v>
      </c>
      <c r="AH25" s="95" t="str">
        <f t="shared" si="13"/>
        <v>"%USERPROFILE%\Documents\GitHub\eaglep3\Utilities\RefineRTDCRunTimes.py" --tripid 112-08 --locoid 4054 --swversion DE.1.0.7.0 --startMP 204:232969 --initTime 2016-10-08T05:51:16 --startdatetime 2016-10-08T05:56:17 --delay 1 --endMP 204:152 --enddatetime 2016-10-08T06:35:38 --enforcementcount 1 &gt;&gt;C:\Users\stu\Documents\GitHub\eaglep3-reporting\EC\2016-10-08-refined-times.txt</v>
      </c>
      <c r="AI2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{"issue":{"subject":"","project_id":79,"tracker_id":40,"status_id":1,"priority_id":2,"assigned_to_id":23,"start_date":"2016-10-08","description":"","custom_fields":[{"id":1,"name":"Subdivision","value":"EC"},{"id":4,"name":"Milepost","value":"0.0152"},{"id":17,"name":"Train ID","value":"112-08"},{"id":16,"name":"Locomotive ID","value":"4054"},{"id":130,"name":"Impact","value":""},{"id":150,"name":"Time of Event (Mountain Time)","value":"06:35:38"},{"id":151,"name":"Denver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409</v>
      </c>
      <c r="B26" s="7">
        <v>4027</v>
      </c>
      <c r="C26" s="24" t="s">
        <v>106</v>
      </c>
      <c r="D26" s="24" t="s">
        <v>192</v>
      </c>
      <c r="E26" s="15">
        <v>42651.214375000003</v>
      </c>
      <c r="F26" s="15">
        <v>42651.21912037037</v>
      </c>
      <c r="G26" s="7">
        <v>1</v>
      </c>
      <c r="H26" s="15" t="s">
        <v>614</v>
      </c>
      <c r="I26" s="15">
        <v>42651.245706018519</v>
      </c>
      <c r="J26" s="7">
        <v>1</v>
      </c>
      <c r="K26" s="116" t="str">
        <f t="shared" si="0"/>
        <v>4027/4028</v>
      </c>
      <c r="L26" s="24" t="str">
        <f>VLOOKUP(A26,'Trips&amp;Operators'!$C$1:$E$10000,3,FALSE)</f>
        <v>MAELZER</v>
      </c>
      <c r="M26" s="6">
        <f t="shared" si="1"/>
        <v>2.658564814919373E-2</v>
      </c>
      <c r="N26" s="7">
        <f t="shared" si="20"/>
        <v>38.283333334838971</v>
      </c>
      <c r="O26" s="7"/>
      <c r="P26" s="7"/>
      <c r="Q26" s="25"/>
      <c r="R26" s="25"/>
      <c r="S26" s="37">
        <f t="shared" si="21"/>
        <v>1</v>
      </c>
      <c r="T26" s="52" t="str">
        <f t="shared" si="3"/>
        <v>NorthBound</v>
      </c>
      <c r="U26" s="15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04:08:42-0600',mode:absolute,to:'2016-10-08 06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6" s="54" t="str">
        <f t="shared" si="5"/>
        <v>N</v>
      </c>
      <c r="X26" s="163">
        <f t="shared" si="22"/>
        <v>1</v>
      </c>
      <c r="Y26" s="69">
        <f t="shared" si="18"/>
        <v>4.53E-2</v>
      </c>
      <c r="Z26" s="69">
        <f t="shared" si="19"/>
        <v>23.3306</v>
      </c>
      <c r="AA26" s="69">
        <f t="shared" si="6"/>
        <v>23.285299999999999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7"/>
        <v>0113-08</v>
      </c>
      <c r="AE26" s="94" t="str">
        <f t="shared" si="8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26" s="91" t="str">
        <f t="shared" si="9"/>
        <v>"C:\Program Files (x86)\AstroGrep\AstroGrep.exe" /spath="%USERPROFILE%\AppData\Local\Temp\OnboardLogs" /stypes="app*4027*20161008*" /stext=" 11:.+((SYSTEM_STATE.+slice.+state.+changed )|(ment ac)|(system.+state.+changed )|(\[timeout)|(PRM\|1\|D)|(kpr)|(kdp)|(\|lc)|(penalty))" /e /r /s</v>
      </c>
      <c r="AG26" s="1" t="str">
        <f t="shared" si="10"/>
        <v>EC</v>
      </c>
      <c r="AH26" s="95" t="str">
        <f t="shared" si="13"/>
        <v>"%USERPROFILE%\Documents\GitHub\eaglep3\Utilities\RefineRTDCRunTimes.py" --tripid 113-08 --locoid 4027 --swversion DE.1.0.7.0 --startMP 204:453 --initTime 2016-10-08T05:08:42 --startdatetime 2016-10-08T05:15:32 --delay 1 --endMP 204:233306 --enddatetime 2016-10-08T05:53:49 --enforcementcount 1 &gt;&gt;C:\Users\stu\Documents\GitHub\eaglep3-reporting\EC\2016-10-08-refined-times.txt</v>
      </c>
      <c r="AI2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{"issue":{"subject":"","project_id":79,"tracker_id":40,"status_id":1,"priority_id":2,"assigned_to_id":23,"start_date":"2016-10-08","description":"","custom_fields":[{"id":1,"name":"Subdivision","value":"EC"},{"id":4,"name":"Milepost","value":"23.3306"},{"id":17,"name":"Train ID","value":"113-08"},{"id":16,"name":"Locomotive ID","value":"4027"},{"id":130,"name":"Impact","value":""},{"id":150,"name":"Time of Event (Mountain Time)","value":"05:53:49"},{"id":151,"name":"Denver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419</v>
      </c>
      <c r="B27" s="7">
        <v>4028</v>
      </c>
      <c r="C27" s="24" t="s">
        <v>106</v>
      </c>
      <c r="D27" s="24" t="s">
        <v>279</v>
      </c>
      <c r="E27" s="15">
        <v>42651.251099537039</v>
      </c>
      <c r="F27" s="15">
        <v>42651.257893518516</v>
      </c>
      <c r="G27" s="7">
        <v>1</v>
      </c>
      <c r="H27" s="15" t="s">
        <v>209</v>
      </c>
      <c r="I27" s="15">
        <v>42651.286134259259</v>
      </c>
      <c r="J27" s="7">
        <v>1</v>
      </c>
      <c r="K27" s="116" t="str">
        <f t="shared" si="0"/>
        <v>4027/4028</v>
      </c>
      <c r="L27" s="24" t="str">
        <f>VLOOKUP(A27,'Trips&amp;Operators'!$C$1:$E$10000,3,FALSE)</f>
        <v>MAELZER</v>
      </c>
      <c r="M27" s="6">
        <f t="shared" si="1"/>
        <v>2.8240740743058268E-2</v>
      </c>
      <c r="N27" s="7">
        <f t="shared" si="20"/>
        <v>40.666666670003906</v>
      </c>
      <c r="O27" s="7"/>
      <c r="P27" s="7"/>
      <c r="Q27" s="25"/>
      <c r="R27" s="25"/>
      <c r="S27" s="37">
        <f t="shared" si="21"/>
        <v>1</v>
      </c>
      <c r="T27" s="52" t="str">
        <f t="shared" si="3"/>
        <v>Southbound</v>
      </c>
      <c r="U27" s="15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05:01:35-0600',mode:absolute,to:'2016-10-08 07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7" s="54" t="str">
        <f t="shared" si="5"/>
        <v>N</v>
      </c>
      <c r="X27" s="163">
        <f t="shared" si="22"/>
        <v>1</v>
      </c>
      <c r="Y27" s="69">
        <f t="shared" si="18"/>
        <v>23.2989</v>
      </c>
      <c r="Z27" s="69">
        <f t="shared" si="19"/>
        <v>1.4500000000000001E-2</v>
      </c>
      <c r="AA27" s="69">
        <f t="shared" si="6"/>
        <v>23.284399999999998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7"/>
        <v>0114-08</v>
      </c>
      <c r="AE27" s="94" t="str">
        <f t="shared" si="8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27" s="91" t="str">
        <f t="shared" si="9"/>
        <v>"C:\Program Files (x86)\AstroGrep\AstroGrep.exe" /spath="%USERPROFILE%\AppData\Local\Temp\OnboardLogs" /stypes="app*4028*20161008*" /stext=" 12:.+((SYSTEM_STATE.+slice.+state.+changed )|(ment ac)|(system.+state.+changed )|(\[timeout)|(PRM\|1\|D)|(kpr)|(kdp)|(\|lc)|(penalty))" /e /r /s</v>
      </c>
      <c r="AG27" s="1" t="str">
        <f t="shared" si="10"/>
        <v>EC</v>
      </c>
      <c r="AH27" s="95" t="str">
        <f t="shared" si="13"/>
        <v>"%USERPROFILE%\Documents\GitHub\eaglep3\Utilities\RefineRTDCRunTimes.py" --tripid 114-08 --locoid 4028 --swversion DE.1.0.7.0 --startMP 204:232989 --initTime 2016-10-08T06:01:35 --startdatetime 2016-10-08T06:11:22 --delay 1 --endMP 204:145 --enddatetime 2016-10-08T06:52:02 --enforcementcount 1 &gt;&gt;C:\Users\stu\Documents\GitHub\eaglep3-reporting\EC\2016-10-08-refined-times.txt</v>
      </c>
      <c r="AI27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ID","value":"114-08"},{"id":16,"name":"Locomotive ID","value":"4028"},{"id":130,"name":"Impact","value":""},{"id":150,"name":"Time of Event (Mountain Time)","value":"06:52:02"},{"id":151,"name":"Denver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413</v>
      </c>
      <c r="B28" s="7">
        <v>4038</v>
      </c>
      <c r="C28" s="24" t="s">
        <v>106</v>
      </c>
      <c r="D28" s="24" t="s">
        <v>314</v>
      </c>
      <c r="E28" s="15">
        <v>42651.225324074076</v>
      </c>
      <c r="F28" s="15">
        <v>42651.229571759257</v>
      </c>
      <c r="G28" s="7">
        <v>2</v>
      </c>
      <c r="H28" s="15" t="s">
        <v>323</v>
      </c>
      <c r="I28" s="15">
        <v>42651.256493055553</v>
      </c>
      <c r="J28" s="7">
        <v>1</v>
      </c>
      <c r="K28" s="116" t="str">
        <f t="shared" si="0"/>
        <v>4037/4038</v>
      </c>
      <c r="L28" s="24" t="str">
        <f>VLOOKUP(A28,'Trips&amp;Operators'!$C$1:$E$10000,3,FALSE)</f>
        <v>STRICKLAND</v>
      </c>
      <c r="M28" s="6">
        <f t="shared" si="1"/>
        <v>2.6921296295768116E-2</v>
      </c>
      <c r="N28" s="7">
        <f t="shared" si="20"/>
        <v>38.766666665906087</v>
      </c>
      <c r="O28" s="7"/>
      <c r="P28" s="7"/>
      <c r="Q28" s="25"/>
      <c r="R28" s="25"/>
      <c r="S28" s="37">
        <f t="shared" si="21"/>
        <v>1</v>
      </c>
      <c r="T28" s="52" t="str">
        <f t="shared" si="3"/>
        <v>NorthBound</v>
      </c>
      <c r="U28" s="15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04:24:28-0600',mode:absolute,to:'2016-10-08 07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8" s="54" t="str">
        <f t="shared" si="5"/>
        <v>N</v>
      </c>
      <c r="X28" s="163">
        <f t="shared" si="22"/>
        <v>1</v>
      </c>
      <c r="Y28" s="69">
        <f t="shared" si="18"/>
        <v>7.7899999999999997E-2</v>
      </c>
      <c r="Z28" s="69">
        <f t="shared" si="19"/>
        <v>23.3322</v>
      </c>
      <c r="AA28" s="69">
        <f t="shared" si="6"/>
        <v>23.254300000000001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7"/>
        <v>0115-08</v>
      </c>
      <c r="AE28" s="94" t="str">
        <f t="shared" si="8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28" s="91" t="str">
        <f t="shared" si="9"/>
        <v>"C:\Program Files (x86)\AstroGrep\AstroGrep.exe" /spath="%USERPROFILE%\AppData\Local\Temp\OnboardLogs" /stypes="app*4038*20161008*" /stext=" 12:.+((SYSTEM_STATE.+slice.+state.+changed )|(ment ac)|(system.+state.+changed )|(\[timeout)|(PRM\|1\|D)|(kpr)|(kdp)|(\|lc)|(penalty))" /e /r /s</v>
      </c>
      <c r="AG28" s="1" t="str">
        <f t="shared" si="10"/>
        <v>EC</v>
      </c>
      <c r="AH28" s="95" t="str">
        <f t="shared" si="13"/>
        <v>"%USERPROFILE%\Documents\GitHub\eaglep3\Utilities\RefineRTDCRunTimes.py" --tripid 115-08 --locoid 4038 --swversion DE.1.0.7.0 --startMP 204:779 --initTime 2016-10-08T05:24:28 --startdatetime 2016-10-08T05:30:35 --delay 2 --endMP 204:233322 --enddatetime 2016-10-08T06:09:21 --enforcementcount 1 &gt;&gt;C:\Users\stu\Documents\GitHub\eaglep3-reporting\EC\2016-10-08-refined-times.txt</v>
      </c>
      <c r="AI28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{"issue":{"subject":"","project_id":79,"tracker_id":40,"status_id":1,"priority_id":2,"assigned_to_id":23,"start_date":"2016-10-08","description":"","custom_fields":[{"id":1,"name":"Subdivision","value":"EC"},{"id":4,"name":"Milepost","value":"23.3322"},{"id":17,"name":"Train ID","value":"115-08"},{"id":16,"name":"Locomotive ID","value":"4038"},{"id":130,"name":"Impact","value":""},{"id":150,"name":"Time of Event (Mountain Time)","value":"06:09:21"},{"id":151,"name":"Denver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421</v>
      </c>
      <c r="B29" s="7">
        <v>4037</v>
      </c>
      <c r="C29" s="24" t="s">
        <v>106</v>
      </c>
      <c r="D29" s="24" t="s">
        <v>615</v>
      </c>
      <c r="E29" s="15">
        <v>42651.265960648147</v>
      </c>
      <c r="F29" s="15">
        <v>42651.268460648149</v>
      </c>
      <c r="G29" s="7">
        <v>1</v>
      </c>
      <c r="H29" s="15" t="s">
        <v>209</v>
      </c>
      <c r="I29" s="15">
        <v>42651.29855324074</v>
      </c>
      <c r="J29" s="7">
        <v>1</v>
      </c>
      <c r="K29" s="116" t="str">
        <f t="shared" si="0"/>
        <v>4037/4038</v>
      </c>
      <c r="L29" s="24" t="str">
        <f>VLOOKUP(A29,'Trips&amp;Operators'!$C$1:$E$10000,3,FALSE)</f>
        <v>STRICKLAND</v>
      </c>
      <c r="M29" s="6">
        <f t="shared" si="1"/>
        <v>3.0092592591245193E-2</v>
      </c>
      <c r="N29" s="7">
        <f t="shared" si="20"/>
        <v>43.333333331393078</v>
      </c>
      <c r="O29" s="7"/>
      <c r="P29" s="7"/>
      <c r="Q29" s="25"/>
      <c r="R29" s="25"/>
      <c r="S29" s="37">
        <f t="shared" si="21"/>
        <v>1</v>
      </c>
      <c r="T29" s="52" t="str">
        <f t="shared" si="3"/>
        <v>Southbound</v>
      </c>
      <c r="U29" s="15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05:22:59-0600',mode:absolute,to:'2016-10-08 08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9" s="54" t="str">
        <f t="shared" si="5"/>
        <v>N</v>
      </c>
      <c r="X29" s="163">
        <f t="shared" si="22"/>
        <v>1</v>
      </c>
      <c r="Y29" s="69">
        <f t="shared" si="18"/>
        <v>23.296299999999999</v>
      </c>
      <c r="Z29" s="69">
        <f t="shared" si="19"/>
        <v>1.4500000000000001E-2</v>
      </c>
      <c r="AA29" s="69">
        <f t="shared" si="6"/>
        <v>23.281799999999997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7"/>
        <v>0116-08</v>
      </c>
      <c r="AE29" s="94" t="str">
        <f t="shared" si="8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29" s="91" t="str">
        <f t="shared" si="9"/>
        <v>"C:\Program Files (x86)\AstroGrep\AstroGrep.exe" /spath="%USERPROFILE%\AppData\Local\Temp\OnboardLogs" /stypes="app*4037*20161008*" /stext=" 13:.+((SYSTEM_STATE.+slice.+state.+changed )|(ment ac)|(system.+state.+changed )|(\[timeout)|(PRM\|1\|D)|(kpr)|(kdp)|(\|lc)|(penalty))" /e /r /s</v>
      </c>
      <c r="AG29" s="1" t="str">
        <f t="shared" si="10"/>
        <v>EC</v>
      </c>
      <c r="AH29" s="95" t="str">
        <f t="shared" si="13"/>
        <v>"%USERPROFILE%\Documents\GitHub\eaglep3\Utilities\RefineRTDCRunTimes.py" --tripid 116-08 --locoid 4037 --swversion DE.1.0.7.0 --startMP 204:232963 --initTime 2016-10-08T06:22:59 --startdatetime 2016-10-08T06:26:35 --delay 1 --endMP 204:145 --enddatetime 2016-10-08T07:09:55 --enforcementcount 1 &gt;&gt;C:\Users\stu\Documents\GitHub\eaglep3-reporting\EC\2016-10-08-refined-times.txt</v>
      </c>
      <c r="AI2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ID","value":"116-08"},{"id":16,"name":"Locomotive ID","value":"4037"},{"id":130,"name":"Impact","value":""},{"id":150,"name":"Time of Event (Mountain Time)","value":"07:09:55"},{"id":151,"name":"Denver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416</v>
      </c>
      <c r="B30" s="7">
        <v>4014</v>
      </c>
      <c r="C30" s="24" t="s">
        <v>106</v>
      </c>
      <c r="D30" s="24" t="s">
        <v>255</v>
      </c>
      <c r="E30" s="15">
        <v>42651.237534722219</v>
      </c>
      <c r="F30" s="15">
        <v>42651.239907407406</v>
      </c>
      <c r="G30" s="7">
        <v>1</v>
      </c>
      <c r="H30" s="15" t="s">
        <v>326</v>
      </c>
      <c r="I30" s="15">
        <v>42651.265266203707</v>
      </c>
      <c r="J30" s="7">
        <v>1</v>
      </c>
      <c r="K30" s="116" t="str">
        <f t="shared" si="0"/>
        <v>4013/4014</v>
      </c>
      <c r="L30" s="24" t="str">
        <f>VLOOKUP(A30,'Trips&amp;Operators'!$C$1:$E$10000,3,FALSE)</f>
        <v>MALAVE</v>
      </c>
      <c r="M30" s="6">
        <f t="shared" si="1"/>
        <v>2.5358796301588882E-2</v>
      </c>
      <c r="N30" s="7">
        <f t="shared" si="20"/>
        <v>36.51666667428799</v>
      </c>
      <c r="O30" s="7"/>
      <c r="P30" s="7"/>
      <c r="Q30" s="25"/>
      <c r="R30" s="25"/>
      <c r="S30" s="37">
        <f t="shared" si="21"/>
        <v>1</v>
      </c>
      <c r="T30" s="52" t="str">
        <f t="shared" si="3"/>
        <v>NorthBound</v>
      </c>
      <c r="U30" s="15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04:42:03-0600',mode:absolute,to:'2016-10-08 07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0" s="54" t="str">
        <f t="shared" si="5"/>
        <v>N</v>
      </c>
      <c r="X30" s="163">
        <f t="shared" si="22"/>
        <v>1</v>
      </c>
      <c r="Y30" s="69">
        <f t="shared" si="18"/>
        <v>4.8000000000000001E-2</v>
      </c>
      <c r="Z30" s="69">
        <f t="shared" si="19"/>
        <v>23.328099999999999</v>
      </c>
      <c r="AA30" s="69">
        <f t="shared" si="6"/>
        <v>23.280100000000001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7"/>
        <v>0117-08</v>
      </c>
      <c r="AE30" s="94" t="str">
        <f t="shared" si="8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30" s="91" t="str">
        <f t="shared" si="9"/>
        <v>"C:\Program Files (x86)\AstroGrep\AstroGrep.exe" /spath="%USERPROFILE%\AppData\Local\Temp\OnboardLogs" /stypes="app*4014*20161008*" /stext=" 12:.+((SYSTEM_STATE.+slice.+state.+changed )|(ment ac)|(system.+state.+changed )|(\[timeout)|(PRM\|1\|D)|(kpr)|(kdp)|(\|lc)|(penalty))" /e /r /s</v>
      </c>
      <c r="AG30" s="1" t="str">
        <f t="shared" si="10"/>
        <v>EC</v>
      </c>
      <c r="AH30" s="95" t="str">
        <f t="shared" si="13"/>
        <v>"%USERPROFILE%\Documents\GitHub\eaglep3\Utilities\RefineRTDCRunTimes.py" --tripid 117-08 --locoid 4014 --swversion DE.1.0.7.0 --startMP 204:480 --initTime 2016-10-08T05:42:03 --startdatetime 2016-10-08T05:45:28 --delay 1 --endMP 204:233281 --enddatetime 2016-10-08T06:21:59 --enforcementcount 1 &gt;&gt;C:\Users\stu\Documents\GitHub\eaglep3-reporting\EC\2016-10-08-refined-times.txt</v>
      </c>
      <c r="AI30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{"issue":{"subject":"","project_id":79,"tracker_id":40,"status_id":1,"priority_id":2,"assigned_to_id":23,"start_date":"2016-10-08","description":"","custom_fields":[{"id":1,"name":"Subdivision","value":"EC"},{"id":4,"name":"Milepost","value":"23.3281"},{"id":17,"name":"Train ID","value":"117-08"},{"id":16,"name":"Locomotive ID","value":"4014"},{"id":130,"name":"Impact","value":""},{"id":150,"name":"Time of Event (Mountain Time)","value":"06:21:59"},{"id":151,"name":"Denver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424</v>
      </c>
      <c r="B31" s="7">
        <v>4013</v>
      </c>
      <c r="C31" s="24" t="s">
        <v>106</v>
      </c>
      <c r="D31" s="24" t="s">
        <v>616</v>
      </c>
      <c r="E31" s="15">
        <v>42651.276342592595</v>
      </c>
      <c r="F31" s="15">
        <v>42651.278749999998</v>
      </c>
      <c r="G31" s="7">
        <v>3</v>
      </c>
      <c r="H31" s="15" t="s">
        <v>126</v>
      </c>
      <c r="I31" s="15">
        <v>42651.305891203701</v>
      </c>
      <c r="J31" s="7">
        <v>1</v>
      </c>
      <c r="K31" s="116" t="str">
        <f t="shared" si="0"/>
        <v>4013/4014</v>
      </c>
      <c r="L31" s="24" t="str">
        <f>VLOOKUP(A31,'Trips&amp;Operators'!$C$1:$E$10000,3,FALSE)</f>
        <v>MALAVE</v>
      </c>
      <c r="M31" s="6">
        <f t="shared" si="1"/>
        <v>2.7141203703649808E-2</v>
      </c>
      <c r="N31" s="7">
        <f t="shared" si="20"/>
        <v>39.083333333255723</v>
      </c>
      <c r="O31" s="7"/>
      <c r="P31" s="7"/>
      <c r="Q31" s="25"/>
      <c r="R31" s="25"/>
      <c r="S31" s="37">
        <f t="shared" si="21"/>
        <v>1</v>
      </c>
      <c r="T31" s="52" t="str">
        <f t="shared" si="3"/>
        <v>Southbound</v>
      </c>
      <c r="U31" s="15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1" t="str">
        <f t="shared" si="4"/>
        <v>https://search-rtdc-monitor-bjffxe2xuh6vdkpspy63sjmuny.us-east-1.es.amazonaws.com/_plugin/kibana/#/discover/Steve-Slow-Train-Analysis-(2080s-and-2083s)?_g=(refreshInterval:(display:Off,section:0,value:0),time:(from:'2016-10-08 05:37:56-0600',mode:absolute,to:'2016-10-08 08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1" s="54" t="str">
        <f t="shared" si="5"/>
        <v>N</v>
      </c>
      <c r="X31" s="163">
        <f t="shared" si="22"/>
        <v>1</v>
      </c>
      <c r="Y31" s="69">
        <f t="shared" si="18"/>
        <v>23.296399999999998</v>
      </c>
      <c r="Z31" s="69">
        <f t="shared" si="19"/>
        <v>1.54E-2</v>
      </c>
      <c r="AA31" s="69">
        <f t="shared" si="6"/>
        <v>23.280999999999999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7"/>
        <v>0118-08</v>
      </c>
      <c r="AE31" s="94" t="str">
        <f t="shared" si="8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31" s="91" t="str">
        <f t="shared" si="9"/>
        <v>"C:\Program Files (x86)\AstroGrep\AstroGrep.exe" /spath="%USERPROFILE%\AppData\Local\Temp\OnboardLogs" /stypes="app*4013*20161008*" /stext=" 13:.+((SYSTEM_STATE.+slice.+state.+changed )|(ment ac)|(system.+state.+changed )|(\[timeout)|(PRM\|1\|D)|(kpr)|(kdp)|(\|lc)|(penalty))" /e /r /s</v>
      </c>
      <c r="AG31" s="1" t="str">
        <f t="shared" si="10"/>
        <v>EC</v>
      </c>
      <c r="AH31" s="95" t="str">
        <f t="shared" si="13"/>
        <v>"%USERPROFILE%\Documents\GitHub\eaglep3\Utilities\RefineRTDCRunTimes.py" --tripid 118-08 --locoid 4013 --swversion DE.1.0.7.0 --startMP 204:232964 --initTime 2016-10-08T06:37:56 --startdatetime 2016-10-08T06:41:24 --delay 3 --endMP 204:154 --enddatetime 2016-10-08T07:20:29 --enforcementcount 1 &gt;&gt;C:\Users\stu\Documents\GitHub\eaglep3-reporting\EC\2016-10-08-refined-times.txt</v>
      </c>
      <c r="AI31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ID","value":"118-08"},{"id":16,"name":"Locomotive ID","value":"4013"},{"id":130,"name":"Impact","value":""},{"id":150,"name":"Time of Event (Mountain Time)","value":"07:20:29"},{"id":151,"name":"Denver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758</v>
      </c>
      <c r="B32" s="7">
        <v>4001</v>
      </c>
      <c r="C32" s="24" t="s">
        <v>106</v>
      </c>
      <c r="D32" s="24" t="s">
        <v>616</v>
      </c>
      <c r="E32" s="15">
        <v>42651.276342592595</v>
      </c>
      <c r="F32" s="15">
        <v>42651.278749999998</v>
      </c>
      <c r="G32" s="7">
        <v>3</v>
      </c>
      <c r="H32" s="15" t="s">
        <v>126</v>
      </c>
      <c r="I32" s="15">
        <v>42651.305891203701</v>
      </c>
      <c r="J32" s="7">
        <v>1</v>
      </c>
      <c r="K32" s="116" t="str">
        <f t="shared" ref="K32" si="23">IF(ISEVEN(B32),(B32-1)&amp;"/"&amp;B32,B32&amp;"/"&amp;(B32+1))</f>
        <v>4001/4002</v>
      </c>
      <c r="L32" s="24" t="e">
        <f>VLOOKUP(A32,'Trips&amp;Operators'!$C$1:$E$10000,3,FALSE)</f>
        <v>#N/A</v>
      </c>
      <c r="M32" s="6">
        <f t="shared" ref="M32" si="24">I32-F32</f>
        <v>2.7141203703649808E-2</v>
      </c>
      <c r="N32" s="7"/>
      <c r="O32" s="7"/>
      <c r="P32" s="7">
        <v>1</v>
      </c>
      <c r="Q32" s="25"/>
      <c r="R32" s="25" t="s">
        <v>765</v>
      </c>
      <c r="S32" s="37">
        <f t="shared" ref="S32" si="25">SUM(U32:U32)/IF(AG32="EC",12,1)</f>
        <v>0</v>
      </c>
      <c r="T32" s="52" t="str">
        <f t="shared" ref="T32" si="26">IF(ISEVEN(LEFT(AD32,4)),"Southbound","NorthBound")</f>
        <v>NorthBound</v>
      </c>
      <c r="U32" s="15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101" t="str">
        <f t="shared" ref="V32" si="27"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https://search-rtdc-monitor-bjffxe2xuh6vdkpspy63sjmuny.us-east-1.es.amazonaws.com/_plugin/kibana/#/discover/Steve-Slow-Train-Analysis-(2080s-and-2083s)?_g=(refreshInterval:(display:Off,section:0,value:0),time:(from:'2016-10-08 05:37:56-0600',mode:absolute,to:'2016-10-08 08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2" s="54" t="str">
        <f t="shared" ref="W32" si="28">IF(AA32&lt;IF(AG32="EC",23,5.65),"Y","N")</f>
        <v>Y</v>
      </c>
      <c r="X32" s="163">
        <f t="shared" ref="X32" si="29">VALUE(LEFT(AD32,4))-VALUE(LEFT(AD31,4))</f>
        <v>1</v>
      </c>
      <c r="Y32" s="69">
        <v>0</v>
      </c>
      <c r="Z32" s="69">
        <v>0</v>
      </c>
      <c r="AA32" s="69">
        <f t="shared" ref="AA32" si="30">ABS(Z32-Y32)</f>
        <v>0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ref="AD32" si="31">IF(LEN(A32)=6,"0"&amp;A32,A32)</f>
        <v>0119-08</v>
      </c>
      <c r="AE32" s="94" t="str">
        <f t="shared" ref="AE32" si="32"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s3://rtdc.mdm.uploadarchive.raw/RTDC4001/ "%USERPROFILE%\AppData\Local\Temp\OnboardLogs"\RTDC4001\2016-10-08 --exclude "*" --recursive --include "*20161008*" &amp; "%USERPROFILE%\Documents\GitHub\mrs-test-scripts\Headless Mode &amp; Sideloading\WalkAndUnGZ.bat" "%USERPROFILE%\AppData\Local\Temp\OnboardLogs"\RTDC4001\2016-10-08 &amp; 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</v>
      </c>
      <c r="AF32" s="91" t="str">
        <f t="shared" ref="AF32" si="33"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/stypes="app*4001*20161008*" /stext=" 13:.+((SYSTEM_STATE.+slice.+state.+changed )|(ment ac)|(system.+state.+changed )|(\[timeout)|(PRM\|1\|D)|(kpr)|(kdp)|(\|lc)|(penalty))" /e /r /s</v>
      </c>
      <c r="AG32" s="1" t="str">
        <f t="shared" ref="AG32" si="34">IFERROR(IF(VALUE(LEFT(AD32,2))&lt;=2,"EC",IF(OR(VALUE(LEFT(AD32,2))=8,VALUE(LEFT(AD32,2))=18),"NW","Other")),"Other")</f>
        <v>EC</v>
      </c>
      <c r="AH32" s="95" t="str">
        <f t="shared" ref="AH32" si="35">refinertdcruntimes&amp;" --tripid "&amp;A32&amp;" --locoid "&amp;B32&amp;" --swversion "&amp;C32&amp;" --startMP "&amp;D32&amp;" --initTime "&amp;TEXT(E32,"yyyy-mm-ddTHH:MM:SS")&amp;" --startdatetime "&amp;TEXT(F32,"yyyy-mm-ddTHH:MM:SS")&amp;" --delay "&amp;G32&amp;" --endMP "&amp;H32&amp;" --enddatetime "&amp;TEXT(I32,"yyyy-mm-ddTHH:MM:SS")&amp;" --enforcementcount "&amp;J32&amp;IF(outputrefinedruntimes," &gt;&gt;"&amp;RefinedRTDCRunTimesOutputFile,"")</f>
        <v>"%USERPROFILE%\Documents\GitHub\eaglep3\Utilities\RefineRTDCRunTimes.py" --tripid 119-08 --locoid 4001 --swversion DE.1.0.7.0 --startMP 204:232964 --initTime 2016-10-08T06:37:56 --startdatetime 2016-10-08T06:41:24 --delay 3 --endMP 204:154 --enddatetime 2016-10-08T07:20:29 --enforcementcount 1 &gt;&gt;C:\Users\stu\Documents\GitHub\eaglep3-reporting\EC\2016-10-08-refined-times.txt</v>
      </c>
      <c r="AI32" s="129" t="str">
        <f t="shared" ref="AI32" si="36">"echo {""issue"":{""subject"":"""&amp;R32&amp;""",""project_id"":79,""tracker_id"":40,""status_id"":"&amp;redmine_status&amp;",""priority_id"":"&amp;redmine_priority&amp;",""assigned_to_id"":"&amp;redmine_assignee&amp;",""start_date"":"""&amp;TEXT(I32,"YYYY-mm-dd")&amp;""",""description"":"""&amp;AJ32&amp;""",""custom_fields"":[{""id"":1,""name"":""Subdivision"",""value"":"""&amp;AG32&amp;"""},{""id"":4,""name"":""Milepost"",""value"":"""&amp;Z32&amp;"""},{""id"":17,""name"":""Train ID"",""value"":"""&amp;A32&amp;"""},{""id"":16,""name"":""Locomotive ID"",""value"":"""&amp;B32&amp;"""},{""id"":130,""name"":""Impact"",""value"":"""&amp;AK32&amp;"""},{""id"":150,""name"":""Time of Event (Mountain Time)"",""value"":"""&amp;TEXT(I32,"hh:mm:ss")&amp;"""},{""id"":151,""name"":""Denver Issue ID"",""value"":"""&amp;"""},{""id"":178,""name"":""Operational Impact"",""value"":"""&amp;redmine_op_impact&amp;"""},{""id"":179,""name"":""Denver Segment Assigned"",""value"":"""&amp;AL32&amp;"""}]}}"&amp;" | curl -X POST -H ""Content-Type: application/json"" -H ""X-Redmine-API-Key: "&amp;redm_api_key&amp;""" "&amp;redm_url&amp;" --data @-"</f>
        <v>echo {"issue":{"subject":"Did not init - Wi-MAX outage","project_id":79,"tracker_id":40,"status_id":1,"priority_id":2,"assigned_to_id":23,"start_date":"2016-10-08","description":"","custom_fields":[{"id":1,"name":"Subdivision","value":"EC"},{"id":4,"name":"Milepost","value":"0"},{"id":17,"name":"Train ID","value":"119-08"},{"id":16,"name":"Locomotive ID","value":"4001"},{"id":130,"name":"Impact","value":""},{"id":150,"name":"Time of Event (Mountain Time)","value":"07:20:29"},{"id":151,"name":"Denver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759</v>
      </c>
      <c r="B33" s="7"/>
      <c r="C33" s="24" t="s">
        <v>106</v>
      </c>
      <c r="D33" s="24" t="s">
        <v>616</v>
      </c>
      <c r="E33" s="15">
        <v>42651.276342592595</v>
      </c>
      <c r="F33" s="15"/>
      <c r="G33" s="7">
        <v>3</v>
      </c>
      <c r="H33" s="15" t="s">
        <v>126</v>
      </c>
      <c r="I33" s="15"/>
      <c r="J33" s="7">
        <v>1</v>
      </c>
      <c r="K33" s="116" t="str">
        <f t="shared" ref="K33" si="37">IF(ISEVEN(B33),(B33-1)&amp;"/"&amp;B33,B33&amp;"/"&amp;(B33+1))</f>
        <v>-1/</v>
      </c>
      <c r="L33" s="24" t="e">
        <f>VLOOKUP(A33,'Trips&amp;Operators'!$C$1:$E$10000,3,FALSE)</f>
        <v>#N/A</v>
      </c>
      <c r="M33" s="6">
        <f t="shared" ref="M33" si="38">I33-F33</f>
        <v>0</v>
      </c>
      <c r="N33" s="7"/>
      <c r="O33" s="7"/>
      <c r="P33" s="7">
        <v>1</v>
      </c>
      <c r="Q33" s="25"/>
      <c r="R33" s="25" t="s">
        <v>765</v>
      </c>
      <c r="S33" s="37">
        <f t="shared" ref="S33" si="39">SUM(U33:U33)/IF(AG33="EC",12,1)</f>
        <v>0</v>
      </c>
      <c r="T33" s="52" t="str">
        <f t="shared" ref="T33" si="40">IF(ISEVEN(LEFT(AD33,4)),"Southbound","NorthBound")</f>
        <v>Southbound</v>
      </c>
      <c r="U33" s="15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0</v>
      </c>
      <c r="V33" s="101" t="str">
        <f t="shared" ref="V33" si="41"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https://search-rtdc-monitor-bjffxe2xuh6vdkpspy63sjmuny.us-east-1.es.amazonaws.com/_plugin/kibana/#/discover/Steve-Slow-Train-Analysis-(2080s-and-2083s)?_g=(refreshInterval:(display:Off,section:0,value:0),time:(from:'2016-10-08 05:37:56-0600',mode:absolute,to:'1900-01-00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33" s="54" t="str">
        <f t="shared" ref="W33" si="42">IF(AA33&lt;IF(AG33="EC",23,5.65),"Y","N")</f>
        <v>Y</v>
      </c>
      <c r="X33" s="163">
        <f t="shared" ref="X33:X35" si="43">VALUE(LEFT(AD33,4))-VALUE(LEFT(AD32,4))</f>
        <v>1</v>
      </c>
      <c r="Y33" s="69">
        <v>0</v>
      </c>
      <c r="Z33" s="69">
        <v>0</v>
      </c>
      <c r="AA33" s="69">
        <f t="shared" ref="AA33" si="44">ABS(Z33-Y33)</f>
        <v>0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ref="AD33" si="45">IF(LEN(A33)=6,"0"&amp;A33,A33)</f>
        <v>0120-08</v>
      </c>
      <c r="AE33" s="94" t="str">
        <f t="shared" si="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3" s="91" t="str">
        <f t="shared" si="9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33" s="1" t="str">
        <f t="shared" ref="AG33" si="46">IFERROR(IF(VALUE(LEFT(AD33,2))&lt;=2,"EC",IF(OR(VALUE(LEFT(AD33,2))=8,VALUE(LEFT(AD33,2))=18),"NW","Other")),"Other")</f>
        <v>EC</v>
      </c>
      <c r="AH33" s="95" t="str">
        <f t="shared" ref="AH33" si="47">refinertdcruntimes&amp;" --tripid "&amp;A33&amp;" --locoid "&amp;B33&amp;" --swversion "&amp;C33&amp;" --startMP "&amp;D33&amp;" --initTime "&amp;TEXT(E33,"yyyy-mm-ddTHH:MM:SS")&amp;" --startdatetime "&amp;TEXT(F33,"yyyy-mm-ddTHH:MM:SS")&amp;" --delay "&amp;G33&amp;" --endMP "&amp;H33&amp;" --enddatetime "&amp;TEXT(I33,"yyyy-mm-ddTHH:MM:SS")&amp;" --enforcementcount "&amp;J33&amp;IF(outputrefinedruntimes," &gt;&gt;"&amp;RefinedRTDCRunTimesOutputFile,"")</f>
        <v>"%USERPROFILE%\Documents\GitHub\eaglep3\Utilities\RefineRTDCRunTimes.py" --tripid 120-08 --locoid  --swversion DE.1.0.7.0 --startMP 204:232964 --initTime 2016-10-08T06:37:56 --startdatetime 1900-01-00T00:00:00 --delay 3 --endMP 204:154 --enddatetime 1900-01-00T00:00:00 --enforcementcount 1 &gt;&gt;C:\Users\stu\Documents\GitHub\eaglep3-reporting\EC\2016-10-08-refined-times.txt</v>
      </c>
      <c r="AI33" s="129" t="str">
        <f t="shared" ref="AI33" si="48">"echo {""issue"":{""subject"":"""&amp;R33&amp;""",""project_id"":79,""tracker_id"":40,""status_id"":"&amp;redmine_status&amp;",""priority_id"":"&amp;redmine_priority&amp;",""assigned_to_id"":"&amp;redmine_assignee&amp;",""start_date"":"""&amp;TEXT(I33,"YYYY-mm-dd")&amp;""",""description"":"""&amp;AJ33&amp;""",""custom_fields"":[{""id"":1,""name"":""Subdivision"",""value"":"""&amp;AG33&amp;"""},{""id"":4,""name"":""Milepost"",""value"":"""&amp;Z33&amp;"""},{""id"":17,""name"":""Train ID"",""value"":"""&amp;A33&amp;"""},{""id"":16,""name"":""Locomotive ID"",""value"":"""&amp;B33&amp;"""},{""id"":130,""name"":""Impact"",""value"":"""&amp;AK33&amp;"""},{""id"":150,""name"":""Time of Event (Mountain Time)"",""value"":"""&amp;TEXT(I33,"hh:mm:ss")&amp;"""},{""id"":151,""name"":""Denver Issue ID"",""value"":"""&amp;"""},{""id"":178,""name"":""Operational Impact"",""value"":"""&amp;redmine_op_impact&amp;"""},{""id"":179,""name"":""Denver Segment Assigned"",""value"":"""&amp;AL33&amp;"""}]}}"&amp;" | curl -X POST -H ""Content-Type: application/json"" -H ""X-Redmine-API-Key: "&amp;redm_api_key&amp;""" "&amp;redm_url&amp;" --data @-"</f>
        <v>echo {"issue":{"subject":"Did not init - Wi-MAX outage","project_id":79,"tracker_id":40,"status_id":1,"priority_id":2,"assigned_to_id":23,"start_date":"1900-01-00","description":"","custom_fields":[{"id":1,"name":"Subdivision","value":"EC"},{"id":4,"name":"Milepost","value":"0"},{"id":17,"name":"Train ID","value":"120-08"},{"id":16,"name":"Locomotive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420</v>
      </c>
      <c r="B34" s="7">
        <v>4042</v>
      </c>
      <c r="C34" s="24" t="s">
        <v>106</v>
      </c>
      <c r="D34" s="24" t="s">
        <v>192</v>
      </c>
      <c r="E34" s="15">
        <v>42651.25712962963</v>
      </c>
      <c r="F34" s="15">
        <v>42651.260567129626</v>
      </c>
      <c r="G34" s="7">
        <v>1</v>
      </c>
      <c r="H34" s="15" t="s">
        <v>322</v>
      </c>
      <c r="I34" s="15">
        <v>42651.286932870367</v>
      </c>
      <c r="J34" s="7">
        <v>1</v>
      </c>
      <c r="K34" s="116" t="str">
        <f t="shared" ref="K34:K65" si="49">IF(ISEVEN(B34),(B34-1)&amp;"/"&amp;B34,B34&amp;"/"&amp;(B34+1))</f>
        <v>4041/4042</v>
      </c>
      <c r="L34" s="24" t="str">
        <f>VLOOKUP(A34,'Trips&amp;Operators'!$C$1:$E$10000,3,FALSE)</f>
        <v>DAVIS</v>
      </c>
      <c r="M34" s="6">
        <f t="shared" ref="M34:M65" si="50">I34-F34</f>
        <v>2.6365740741312038E-2</v>
      </c>
      <c r="N34" s="7">
        <f t="shared" ref="N34:N65" si="51">24*60*SUM($M34:$M34)</f>
        <v>37.966666667489335</v>
      </c>
      <c r="O34" s="7"/>
      <c r="P34" s="7"/>
      <c r="Q34" s="25"/>
      <c r="R34" s="25"/>
      <c r="S34" s="37">
        <f t="shared" ref="S34:S65" si="52">SUM(U34:U34)/IF(AG34="EC",12,1)</f>
        <v>1</v>
      </c>
      <c r="T34" s="52" t="str">
        <f t="shared" ref="T34:T65" si="53">IF(ISEVEN(LEFT(AD34,4)),"Southbound","NorthBound")</f>
        <v>NorthBound</v>
      </c>
      <c r="U34" s="15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1" t="str">
        <f t="shared" ref="V34:V65" si="54"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https://search-rtdc-monitor-bjffxe2xuh6vdkpspy63sjmuny.us-east-1.es.amazonaws.com/_plugin/kibana/#/discover/Steve-Slow-Train-Analysis-(2080s-and-2083s)?_g=(refreshInterval:(display:Off,section:0,value:0),time:(from:'2016-10-08 05:10:16-0600',mode:absolute,to:'2016-10-08 07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4" s="54" t="str">
        <f t="shared" ref="W34:W65" si="55">IF(AA34&lt;IF(AG34="EC",23,5.65),"Y","N")</f>
        <v>N</v>
      </c>
      <c r="X34" s="163">
        <f t="shared" si="43"/>
        <v>1</v>
      </c>
      <c r="Y34" s="69">
        <f t="shared" ref="Y34:Y65" si="56">RIGHT(D34,LEN(D34)-4)/10000</f>
        <v>4.53E-2</v>
      </c>
      <c r="Z34" s="69">
        <f t="shared" ref="Z34:Z65" si="57">RIGHT(H34,LEN(H34)-4)/10000</f>
        <v>23.329499999999999</v>
      </c>
      <c r="AA34" s="69">
        <f t="shared" ref="AA34:AA65" si="58">ABS(Z34-Y34)</f>
        <v>23.284199999999998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ref="AD34:AD65" si="59">IF(LEN(A34)=6,"0"&amp;A34,A34)</f>
        <v>0121-08</v>
      </c>
      <c r="AE34" s="94" t="str">
        <f t="shared" si="8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34" s="91" t="str">
        <f t="shared" si="9"/>
        <v>"C:\Program Files (x86)\AstroGrep\AstroGrep.exe" /spath="%USERPROFILE%\AppData\Local\Temp\OnboardLogs" /stypes="app*4042*20161008*" /stext=" 12:.+((SYSTEM_STATE.+slice.+state.+changed )|(ment ac)|(system.+state.+changed )|(\[timeout)|(PRM\|1\|D)|(kpr)|(kdp)|(\|lc)|(penalty))" /e /r /s</v>
      </c>
      <c r="AG34" s="1" t="str">
        <f t="shared" ref="AG34:AG65" si="60">IFERROR(IF(VALUE(LEFT(AD34,2))&lt;=2,"EC",IF(OR(VALUE(LEFT(AD34,2))=8,VALUE(LEFT(AD34,2))=18),"NW","Other")),"Other")</f>
        <v>EC</v>
      </c>
      <c r="AH34" s="95" t="str">
        <f t="shared" si="13"/>
        <v>"%USERPROFILE%\Documents\GitHub\eaglep3\Utilities\RefineRTDCRunTimes.py" --tripid 121-08 --locoid 4042 --swversion DE.1.0.7.0 --startMP 204:453 --initTime 2016-10-08T06:10:16 --startdatetime 2016-10-08T06:15:13 --delay 1 --endMP 204:233295 --enddatetime 2016-10-08T06:53:11 --enforcementcount 1 &gt;&gt;C:\Users\stu\Documents\GitHub\eaglep3-reporting\EC\2016-10-08-refined-times.txt</v>
      </c>
      <c r="AI34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{"issue":{"subject":"","project_id":79,"tracker_id":40,"status_id":1,"priority_id":2,"assigned_to_id":23,"start_date":"2016-10-08","description":"","custom_fields":[{"id":1,"name":"Subdivision","value":"EC"},{"id":4,"name":"Milepost","value":"23.3295"},{"id":17,"name":"Train ID","value":"121-08"},{"id":16,"name":"Locomotive ID","value":"4042"},{"id":130,"name":"Impact","value":""},{"id":150,"name":"Time of Event (Mountain Time)","value":"06:53:11"},{"id":151,"name":"Denver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428</v>
      </c>
      <c r="B35" s="7">
        <v>4041</v>
      </c>
      <c r="C35" s="24" t="s">
        <v>106</v>
      </c>
      <c r="D35" s="24" t="s">
        <v>252</v>
      </c>
      <c r="E35" s="15">
        <v>42651.294363425928</v>
      </c>
      <c r="F35" s="15">
        <v>42651.299421296295</v>
      </c>
      <c r="G35" s="7">
        <v>1</v>
      </c>
      <c r="H35" s="15" t="s">
        <v>305</v>
      </c>
      <c r="I35" s="15">
        <v>42651.326874999999</v>
      </c>
      <c r="J35" s="7">
        <v>1</v>
      </c>
      <c r="K35" s="116" t="str">
        <f t="shared" si="49"/>
        <v>4041/4042</v>
      </c>
      <c r="L35" s="24" t="str">
        <f>VLOOKUP(A35,'Trips&amp;Operators'!$C$1:$E$10000,3,FALSE)</f>
        <v>DAVIS</v>
      </c>
      <c r="M35" s="6">
        <f t="shared" si="50"/>
        <v>2.7453703703940846E-2</v>
      </c>
      <c r="N35" s="7">
        <f t="shared" si="51"/>
        <v>39.533333333674818</v>
      </c>
      <c r="O35" s="7"/>
      <c r="P35" s="7"/>
      <c r="Q35" s="25"/>
      <c r="R35" s="25"/>
      <c r="S35" s="37">
        <f t="shared" si="52"/>
        <v>1</v>
      </c>
      <c r="T35" s="52" t="str">
        <f t="shared" si="53"/>
        <v>Southbound</v>
      </c>
      <c r="U35" s="15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06:03:53-0600',mode:absolute,to:'2016-10-08 08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5" s="54" t="str">
        <f t="shared" si="55"/>
        <v>N</v>
      </c>
      <c r="X35" s="163">
        <f t="shared" si="43"/>
        <v>1</v>
      </c>
      <c r="Y35" s="69">
        <f t="shared" si="56"/>
        <v>23.298500000000001</v>
      </c>
      <c r="Z35" s="69">
        <f t="shared" si="57"/>
        <v>1.43E-2</v>
      </c>
      <c r="AA35" s="69">
        <f t="shared" si="58"/>
        <v>23.284200000000002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59"/>
        <v>0122-08</v>
      </c>
      <c r="AE35" s="94" t="str">
        <f t="shared" si="8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35" s="91" t="str">
        <f t="shared" si="9"/>
        <v>"C:\Program Files (x86)\AstroGrep\AstroGrep.exe" /spath="%USERPROFILE%\AppData\Local\Temp\OnboardLogs" /stypes="app*4041*20161008*" /stext=" 13:.+((SYSTEM_STATE.+slice.+state.+changed )|(ment ac)|(system.+state.+changed )|(\[timeout)|(PRM\|1\|D)|(kpr)|(kdp)|(\|lc)|(penalty))" /e /r /s</v>
      </c>
      <c r="AG35" s="1" t="str">
        <f t="shared" si="60"/>
        <v>EC</v>
      </c>
      <c r="AH35" s="95" t="str">
        <f t="shared" si="13"/>
        <v>"%USERPROFILE%\Documents\GitHub\eaglep3\Utilities\RefineRTDCRunTimes.py" --tripid 122-08 --locoid 4041 --swversion DE.1.0.7.0 --startMP 204:232985 --initTime 2016-10-08T07:03:53 --startdatetime 2016-10-08T07:11:10 --delay 1 --endMP 204:143 --enddatetime 2016-10-08T07:50:42 --enforcementcount 1 &gt;&gt;C:\Users\stu\Documents\GitHub\eaglep3-reporting\EC\2016-10-08-refined-times.txt</v>
      </c>
      <c r="AI3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{"issue":{"subject":"","project_id":79,"tracker_id":40,"status_id":1,"priority_id":2,"assigned_to_id":23,"start_date":"2016-10-08","description":"","custom_fields":[{"id":1,"name":"Subdivision","value":"EC"},{"id":4,"name":"Milepost","value":"0.0143"},{"id":17,"name":"Train ID","value":"122-08"},{"id":16,"name":"Locomotive ID","value":"4041"},{"id":130,"name":"Impact","value":""},{"id":150,"name":"Time of Event (Mountain Time)","value":"07:50:42"},{"id":151,"name":"Denver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422</v>
      </c>
      <c r="B36" s="7">
        <v>4025</v>
      </c>
      <c r="C36" s="24" t="s">
        <v>106</v>
      </c>
      <c r="D36" s="24" t="s">
        <v>198</v>
      </c>
      <c r="E36" s="15">
        <v>42651.266180555554</v>
      </c>
      <c r="F36" s="15">
        <v>42651.271018518521</v>
      </c>
      <c r="G36" s="7">
        <v>1</v>
      </c>
      <c r="H36" s="15" t="s">
        <v>250</v>
      </c>
      <c r="I36" s="15">
        <v>42651.296643518515</v>
      </c>
      <c r="J36" s="7">
        <v>1</v>
      </c>
      <c r="K36" s="116" t="str">
        <f t="shared" si="49"/>
        <v>4025/4026</v>
      </c>
      <c r="L36" s="24" t="str">
        <f>VLOOKUP(A36,'Trips&amp;Operators'!$C$1:$E$10000,3,FALSE)</f>
        <v>KILLION</v>
      </c>
      <c r="M36" s="6">
        <f t="shared" si="50"/>
        <v>2.5624999994761311E-2</v>
      </c>
      <c r="N36" s="7">
        <f t="shared" si="51"/>
        <v>36.899999992456287</v>
      </c>
      <c r="O36" s="7"/>
      <c r="P36" s="7"/>
      <c r="Q36" s="25"/>
      <c r="R36" s="25"/>
      <c r="S36" s="37">
        <f t="shared" si="52"/>
        <v>1</v>
      </c>
      <c r="T36" s="52" t="str">
        <f t="shared" si="53"/>
        <v>NorthBound</v>
      </c>
      <c r="U36" s="15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05:23:18-0600',mode:absolute,to:'2016-10-08 08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6" s="54" t="str">
        <f t="shared" si="55"/>
        <v>N</v>
      </c>
      <c r="X36" s="163">
        <f t="shared" ref="X36:X71" si="61">VALUE(LEFT(AD36,4))-VALUE(LEFT(AD35,4))</f>
        <v>1</v>
      </c>
      <c r="Y36" s="69">
        <f t="shared" si="56"/>
        <v>4.5100000000000001E-2</v>
      </c>
      <c r="Z36" s="69">
        <f t="shared" si="57"/>
        <v>23.3276</v>
      </c>
      <c r="AA36" s="69">
        <f t="shared" si="58"/>
        <v>23.282499999999999</v>
      </c>
      <c r="AB36" s="66" t="str">
        <f>VLOOKUP(A36,Enforcements!$C$7:$K$21,8,0)</f>
        <v>Track device (7)</v>
      </c>
      <c r="AC36" s="62" t="str">
        <f>VLOOKUP(A36,Enforcements!$C$7:$E$21,3,0)</f>
        <v>SWITCH UNKNOWN</v>
      </c>
      <c r="AD36" s="63" t="str">
        <f t="shared" si="59"/>
        <v>0123-08</v>
      </c>
      <c r="AE36" s="94" t="str">
        <f t="shared" si="8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36" s="91" t="str">
        <f t="shared" si="9"/>
        <v>"C:\Program Files (x86)\AstroGrep\AstroGrep.exe" /spath="%USERPROFILE%\AppData\Local\Temp\OnboardLogs" /stypes="app*4025*20161008*" /stext=" 13:.+((SYSTEM_STATE.+slice.+state.+changed )|(ment ac)|(system.+state.+changed )|(\[timeout)|(PRM\|1\|D)|(kpr)|(kdp)|(\|lc)|(penalty))" /e /r /s</v>
      </c>
      <c r="AG36" s="1" t="str">
        <f t="shared" si="60"/>
        <v>EC</v>
      </c>
      <c r="AH36" s="95" t="str">
        <f t="shared" si="13"/>
        <v>"%USERPROFILE%\Documents\GitHub\eaglep3\Utilities\RefineRTDCRunTimes.py" --tripid 123-08 --locoid 4025 --swversion DE.1.0.7.0 --startMP 204:451 --initTime 2016-10-08T06:23:18 --startdatetime 2016-10-08T06:30:16 --delay 1 --endMP 204:233276 --enddatetime 2016-10-08T07:07:10 --enforcementcount 1 &gt;&gt;C:\Users\stu\Documents\GitHub\eaglep3-reporting\EC\2016-10-08-refined-times.txt</v>
      </c>
      <c r="AI3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{"issue":{"subject":"","project_id":79,"tracker_id":40,"status_id":1,"priority_id":2,"assigned_to_id":23,"start_date":"2016-10-08","description":"","custom_fields":[{"id":1,"name":"Subdivision","value":"EC"},{"id":4,"name":"Milepost","value":"23.3276"},{"id":17,"name":"Train ID","value":"123-08"},{"id":16,"name":"Locomotive ID","value":"4025"},{"id":130,"name":"Impact","value":""},{"id":150,"name":"Time of Event (Mountain Time)","value":"07:07:10"},{"id":151,"name":"Denver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430</v>
      </c>
      <c r="B37" s="7">
        <v>4026</v>
      </c>
      <c r="C37" s="24" t="s">
        <v>106</v>
      </c>
      <c r="D37" s="24" t="s">
        <v>278</v>
      </c>
      <c r="E37" s="15">
        <v>42651.308657407404</v>
      </c>
      <c r="F37" s="15">
        <v>42651.310057870367</v>
      </c>
      <c r="G37" s="7">
        <v>1</v>
      </c>
      <c r="H37" s="15" t="s">
        <v>195</v>
      </c>
      <c r="I37" s="15">
        <v>42651.337685185186</v>
      </c>
      <c r="J37" s="7">
        <v>1</v>
      </c>
      <c r="K37" s="116" t="str">
        <f t="shared" si="49"/>
        <v>4025/4026</v>
      </c>
      <c r="L37" s="24" t="str">
        <f>VLOOKUP(A37,'Trips&amp;Operators'!$C$1:$E$10000,3,FALSE)</f>
        <v>KILLION</v>
      </c>
      <c r="M37" s="6">
        <f t="shared" si="50"/>
        <v>2.7627314819255844E-2</v>
      </c>
      <c r="N37" s="7">
        <f t="shared" si="51"/>
        <v>39.783333339728415</v>
      </c>
      <c r="O37" s="7"/>
      <c r="P37" s="7"/>
      <c r="Q37" s="25"/>
      <c r="R37" s="25"/>
      <c r="S37" s="37">
        <f t="shared" si="52"/>
        <v>1</v>
      </c>
      <c r="T37" s="52" t="str">
        <f t="shared" si="53"/>
        <v>Southbound</v>
      </c>
      <c r="U37" s="15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06:24:28-0600',mode:absolute,to:'2016-10-08 09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7" s="54" t="str">
        <f t="shared" si="55"/>
        <v>N</v>
      </c>
      <c r="X37" s="163">
        <f t="shared" si="61"/>
        <v>1</v>
      </c>
      <c r="Y37" s="69">
        <f t="shared" si="56"/>
        <v>23.296099999999999</v>
      </c>
      <c r="Z37" s="69">
        <f t="shared" si="57"/>
        <v>1.52E-2</v>
      </c>
      <c r="AA37" s="69">
        <f t="shared" si="58"/>
        <v>23.280899999999999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59"/>
        <v>0124-08</v>
      </c>
      <c r="AE37" s="94" t="str">
        <f t="shared" si="8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37" s="91" t="str">
        <f t="shared" si="9"/>
        <v>"C:\Program Files (x86)\AstroGrep\AstroGrep.exe" /spath="%USERPROFILE%\AppData\Local\Temp\OnboardLogs" /stypes="app*4026*20161008*" /stext=" 14:.+((SYSTEM_STATE.+slice.+state.+changed )|(ment ac)|(system.+state.+changed )|(\[timeout)|(PRM\|1\|D)|(kpr)|(kdp)|(\|lc)|(penalty))" /e /r /s</v>
      </c>
      <c r="AG37" s="1" t="str">
        <f t="shared" si="60"/>
        <v>EC</v>
      </c>
      <c r="AH37" s="95" t="str">
        <f t="shared" si="13"/>
        <v>"%USERPROFILE%\Documents\GitHub\eaglep3\Utilities\RefineRTDCRunTimes.py" --tripid 124-08 --locoid 4026 --swversion DE.1.0.7.0 --startMP 204:232961 --initTime 2016-10-08T07:24:28 --startdatetime 2016-10-08T07:26:29 --delay 1 --endMP 204:152 --enddatetime 2016-10-08T08:06:16 --enforcementcount 1 &gt;&gt;C:\Users\stu\Documents\GitHub\eaglep3-reporting\EC\2016-10-08-refined-times.txt</v>
      </c>
      <c r="AI37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{"issue":{"subject":"","project_id":79,"tracker_id":40,"status_id":1,"priority_id":2,"assigned_to_id":23,"start_date":"2016-10-08","description":"","custom_fields":[{"id":1,"name":"Subdivision","value":"EC"},{"id":4,"name":"Milepost","value":"0.0152"},{"id":17,"name":"Train ID","value":"124-08"},{"id":16,"name":"Locomotive ID","value":"4026"},{"id":130,"name":"Impact","value":""},{"id":150,"name":"Time of Event (Mountain Time)","value":"08:06:16"},{"id":151,"name":"Denver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425</v>
      </c>
      <c r="B38" s="7">
        <v>4053</v>
      </c>
      <c r="C38" s="24" t="s">
        <v>106</v>
      </c>
      <c r="D38" s="24" t="s">
        <v>216</v>
      </c>
      <c r="E38" s="15">
        <v>42651.277685185189</v>
      </c>
      <c r="F38" s="15">
        <v>42651.281446759262</v>
      </c>
      <c r="G38" s="7">
        <v>1</v>
      </c>
      <c r="H38" s="15" t="s">
        <v>211</v>
      </c>
      <c r="I38" s="15">
        <v>42651.305925925924</v>
      </c>
      <c r="J38" s="7">
        <v>1</v>
      </c>
      <c r="K38" s="116" t="str">
        <f t="shared" si="49"/>
        <v>4053/4054</v>
      </c>
      <c r="L38" s="24" t="str">
        <f>VLOOKUP(A38,'Trips&amp;Operators'!$C$1:$E$10000,3,FALSE)</f>
        <v>GEBRETEKLE</v>
      </c>
      <c r="M38" s="6">
        <f t="shared" si="50"/>
        <v>2.4479166662786156E-2</v>
      </c>
      <c r="N38" s="7">
        <f t="shared" si="51"/>
        <v>35.249999994412065</v>
      </c>
      <c r="O38" s="7"/>
      <c r="P38" s="7"/>
      <c r="Q38" s="25"/>
      <c r="R38" s="25"/>
      <c r="S38" s="37">
        <f t="shared" si="52"/>
        <v>1</v>
      </c>
      <c r="T38" s="52" t="str">
        <f t="shared" si="53"/>
        <v>NorthBound</v>
      </c>
      <c r="U38" s="15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05:39:52-0600',mode:absolute,to:'2016-10-08 08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8" s="54" t="str">
        <f t="shared" si="55"/>
        <v>N</v>
      </c>
      <c r="X38" s="163">
        <f t="shared" si="61"/>
        <v>1</v>
      </c>
      <c r="Y38" s="69">
        <f t="shared" si="56"/>
        <v>4.6399999999999997E-2</v>
      </c>
      <c r="Z38" s="69">
        <f t="shared" si="57"/>
        <v>23.331199999999999</v>
      </c>
      <c r="AA38" s="69">
        <f t="shared" si="58"/>
        <v>23.284800000000001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59"/>
        <v>0125-08</v>
      </c>
      <c r="AE38" s="94" t="str">
        <f t="shared" si="8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38" s="91" t="str">
        <f t="shared" si="9"/>
        <v>"C:\Program Files (x86)\AstroGrep\AstroGrep.exe" /spath="%USERPROFILE%\AppData\Local\Temp\OnboardLogs" /stypes="app*4053*20161008*" /stext=" 13:.+((SYSTEM_STATE.+slice.+state.+changed )|(ment ac)|(system.+state.+changed )|(\[timeout)|(PRM\|1\|D)|(kpr)|(kdp)|(\|lc)|(penalty))" /e /r /s</v>
      </c>
      <c r="AG38" s="1" t="str">
        <f t="shared" si="60"/>
        <v>EC</v>
      </c>
      <c r="AH38" s="95" t="str">
        <f t="shared" si="13"/>
        <v>"%USERPROFILE%\Documents\GitHub\eaglep3\Utilities\RefineRTDCRunTimes.py" --tripid 125-08 --locoid 4053 --swversion DE.1.0.7.0 --startMP 204:464 --initTime 2016-10-08T06:39:52 --startdatetime 2016-10-08T06:45:17 --delay 1 --endMP 204:233312 --enddatetime 2016-10-08T07:20:32 --enforcementcount 1 &gt;&gt;C:\Users\stu\Documents\GitHub\eaglep3-reporting\EC\2016-10-08-refined-times.txt</v>
      </c>
      <c r="AI38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{"issue":{"subject":"","project_id":79,"tracker_id":40,"status_id":1,"priority_id":2,"assigned_to_id":23,"start_date":"2016-10-08","description":"","custom_fields":[{"id":1,"name":"Subdivision","value":"EC"},{"id":4,"name":"Milepost","value":"23.3312"},{"id":17,"name":"Train ID","value":"125-08"},{"id":16,"name":"Locomotive ID","value":"4053"},{"id":130,"name":"Impact","value":""},{"id":150,"name":"Time of Event (Mountain Time)","value":"07:20:32"},{"id":151,"name":"Denver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433</v>
      </c>
      <c r="B39" s="7">
        <v>4054</v>
      </c>
      <c r="C39" s="24" t="s">
        <v>106</v>
      </c>
      <c r="D39" s="24" t="s">
        <v>315</v>
      </c>
      <c r="E39" s="15">
        <v>42651.31753472222</v>
      </c>
      <c r="F39" s="15">
        <v>42651.320324074077</v>
      </c>
      <c r="G39" s="7">
        <v>1</v>
      </c>
      <c r="H39" s="15" t="s">
        <v>303</v>
      </c>
      <c r="I39" s="15">
        <v>42651.349594907406</v>
      </c>
      <c r="J39" s="7">
        <v>1</v>
      </c>
      <c r="K39" s="116" t="str">
        <f t="shared" si="49"/>
        <v>4053/4054</v>
      </c>
      <c r="L39" s="24" t="str">
        <f>VLOOKUP(A39,'Trips&amp;Operators'!$C$1:$E$10000,3,FALSE)</f>
        <v>GEBRETEKLE</v>
      </c>
      <c r="M39" s="6">
        <f t="shared" si="50"/>
        <v>2.9270833329064772E-2</v>
      </c>
      <c r="N39" s="7">
        <f t="shared" si="51"/>
        <v>42.149999993853271</v>
      </c>
      <c r="O39" s="7"/>
      <c r="P39" s="7"/>
      <c r="Q39" s="25"/>
      <c r="R39" s="25"/>
      <c r="S39" s="37">
        <f t="shared" si="52"/>
        <v>1</v>
      </c>
      <c r="T39" s="52" t="str">
        <f t="shared" si="53"/>
        <v>Southbound</v>
      </c>
      <c r="U39" s="15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06:37:15-0600',mode:absolute,to:'2016-10-08 09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9" s="54" t="str">
        <f t="shared" si="55"/>
        <v>N</v>
      </c>
      <c r="X39" s="163">
        <f t="shared" si="61"/>
        <v>1</v>
      </c>
      <c r="Y39" s="69">
        <f t="shared" si="56"/>
        <v>23.299099999999999</v>
      </c>
      <c r="Z39" s="69">
        <f t="shared" si="57"/>
        <v>1.3899999999999999E-2</v>
      </c>
      <c r="AA39" s="69">
        <f t="shared" si="58"/>
        <v>23.2852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59"/>
        <v>0126-08</v>
      </c>
      <c r="AE39" s="94" t="str">
        <f t="shared" si="8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39" s="91" t="str">
        <f t="shared" si="9"/>
        <v>"C:\Program Files (x86)\AstroGrep\AstroGrep.exe" /spath="%USERPROFILE%\AppData\Local\Temp\OnboardLogs" /stypes="app*4054*20161008*" /stext=" 14:.+((SYSTEM_STATE.+slice.+state.+changed )|(ment ac)|(system.+state.+changed )|(\[timeout)|(PRM\|1\|D)|(kpr)|(kdp)|(\|lc)|(penalty))" /e /r /s</v>
      </c>
      <c r="AG39" s="1" t="str">
        <f t="shared" si="60"/>
        <v>EC</v>
      </c>
      <c r="AH39" s="95" t="str">
        <f t="shared" si="13"/>
        <v>"%USERPROFILE%\Documents\GitHub\eaglep3\Utilities\RefineRTDCRunTimes.py" --tripid 126-08 --locoid 4054 --swversion DE.1.0.7.0 --startMP 204:232991 --initTime 2016-10-08T07:37:15 --startdatetime 2016-10-08T07:41:16 --delay 1 --endMP 204:139 --enddatetime 2016-10-08T08:23:25 --enforcementcount 1 &gt;&gt;C:\Users\stu\Documents\GitHub\eaglep3-reporting\EC\2016-10-08-refined-times.txt</v>
      </c>
      <c r="AI3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{"issue":{"subject":"","project_id":79,"tracker_id":40,"status_id":1,"priority_id":2,"assigned_to_id":23,"start_date":"2016-10-08","description":"","custom_fields":[{"id":1,"name":"Subdivision","value":"EC"},{"id":4,"name":"Milepost","value":"0.0139"},{"id":17,"name":"Train ID","value":"126-08"},{"id":16,"name":"Locomotive ID","value":"4054"},{"id":130,"name":"Impact","value":""},{"id":150,"name":"Time of Event (Mountain Time)","value":"08:23:25"},{"id":151,"name":"Denver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426</v>
      </c>
      <c r="B40" s="7">
        <v>4027</v>
      </c>
      <c r="C40" s="24" t="s">
        <v>106</v>
      </c>
      <c r="D40" s="24" t="s">
        <v>253</v>
      </c>
      <c r="E40" s="15">
        <v>42651.288472222222</v>
      </c>
      <c r="F40" s="15">
        <v>42651.291932870372</v>
      </c>
      <c r="G40" s="7">
        <v>1</v>
      </c>
      <c r="H40" s="15" t="s">
        <v>334</v>
      </c>
      <c r="I40" s="15">
        <v>42651.317187499997</v>
      </c>
      <c r="J40" s="7">
        <v>1</v>
      </c>
      <c r="K40" s="116" t="str">
        <f t="shared" si="49"/>
        <v>4027/4028</v>
      </c>
      <c r="L40" s="24" t="str">
        <f>VLOOKUP(A40,'Trips&amp;Operators'!$C$1:$E$10000,3,FALSE)</f>
        <v>MAELZER</v>
      </c>
      <c r="M40" s="6">
        <f t="shared" si="50"/>
        <v>2.5254629625123926E-2</v>
      </c>
      <c r="N40" s="7">
        <f t="shared" si="51"/>
        <v>36.366666660178453</v>
      </c>
      <c r="O40" s="7"/>
      <c r="P40" s="7"/>
      <c r="Q40" s="25"/>
      <c r="R40" s="25"/>
      <c r="S40" s="37">
        <f t="shared" si="52"/>
        <v>1</v>
      </c>
      <c r="T40" s="52" t="str">
        <f t="shared" si="53"/>
        <v>NorthBound</v>
      </c>
      <c r="U40" s="15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05:55:24-0600',mode:absolute,to:'2016-10-08 08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0" s="54" t="str">
        <f t="shared" si="55"/>
        <v>N</v>
      </c>
      <c r="X40" s="163">
        <f t="shared" si="61"/>
        <v>1</v>
      </c>
      <c r="Y40" s="69">
        <f t="shared" si="56"/>
        <v>4.4600000000000001E-2</v>
      </c>
      <c r="Z40" s="69">
        <f t="shared" si="57"/>
        <v>23.331600000000002</v>
      </c>
      <c r="AA40" s="69">
        <f t="shared" si="58"/>
        <v>23.287000000000003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59"/>
        <v>0127-08</v>
      </c>
      <c r="AE40" s="94" t="str">
        <f t="shared" si="8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40" s="91" t="str">
        <f t="shared" si="9"/>
        <v>"C:\Program Files (x86)\AstroGrep\AstroGrep.exe" /spath="%USERPROFILE%\AppData\Local\Temp\OnboardLogs" /stypes="app*4027*20161008*" /stext=" 13:.+((SYSTEM_STATE.+slice.+state.+changed )|(ment ac)|(system.+state.+changed )|(\[timeout)|(PRM\|1\|D)|(kpr)|(kdp)|(\|lc)|(penalty))" /e /r /s</v>
      </c>
      <c r="AG40" s="1" t="str">
        <f t="shared" si="60"/>
        <v>EC</v>
      </c>
      <c r="AH40" s="95" t="str">
        <f t="shared" si="13"/>
        <v>"%USERPROFILE%\Documents\GitHub\eaglep3\Utilities\RefineRTDCRunTimes.py" --tripid 127-08 --locoid 4027 --swversion DE.1.0.7.0 --startMP 204:446 --initTime 2016-10-08T06:55:24 --startdatetime 2016-10-08T07:00:23 --delay 1 --endMP 204:233316 --enddatetime 2016-10-08T07:36:45 --enforcementcount 1 &gt;&gt;C:\Users\stu\Documents\GitHub\eaglep3-reporting\EC\2016-10-08-refined-times.txt</v>
      </c>
      <c r="AI40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{"issue":{"subject":"","project_id":79,"tracker_id":40,"status_id":1,"priority_id":2,"assigned_to_id":23,"start_date":"2016-10-08","description":"","custom_fields":[{"id":1,"name":"Subdivision","value":"EC"},{"id":4,"name":"Milepost","value":"23.3316"},{"id":17,"name":"Train ID","value":"127-08"},{"id":16,"name":"Locomotive ID","value":"4027"},{"id":130,"name":"Impact","value":""},{"id":150,"name":"Time of Event (Mountain Time)","value":"07:36:45"},{"id":151,"name":"Denver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435</v>
      </c>
      <c r="B41" s="7">
        <v>4028</v>
      </c>
      <c r="C41" s="24" t="s">
        <v>106</v>
      </c>
      <c r="D41" s="24" t="s">
        <v>330</v>
      </c>
      <c r="E41" s="15">
        <v>42651.322743055556</v>
      </c>
      <c r="F41" s="15">
        <v>42651.330879629626</v>
      </c>
      <c r="G41" s="7">
        <v>1</v>
      </c>
      <c r="H41" s="15" t="s">
        <v>190</v>
      </c>
      <c r="I41" s="15">
        <v>42651.357268518521</v>
      </c>
      <c r="J41" s="7">
        <v>1</v>
      </c>
      <c r="K41" s="116" t="str">
        <f t="shared" si="49"/>
        <v>4027/4028</v>
      </c>
      <c r="L41" s="24" t="str">
        <f>VLOOKUP(A41,'Trips&amp;Operators'!$C$1:$E$10000,3,FALSE)</f>
        <v>MAELZER</v>
      </c>
      <c r="M41" s="6">
        <f t="shared" si="50"/>
        <v>2.6388888894871343E-2</v>
      </c>
      <c r="N41" s="7">
        <f t="shared" si="51"/>
        <v>38.000000008614734</v>
      </c>
      <c r="O41" s="7"/>
      <c r="P41" s="7"/>
      <c r="Q41" s="25"/>
      <c r="R41" s="25"/>
      <c r="S41" s="37">
        <f t="shared" si="52"/>
        <v>1</v>
      </c>
      <c r="T41" s="52" t="str">
        <f t="shared" si="53"/>
        <v>Southbound</v>
      </c>
      <c r="U41" s="15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06:44:45-0600',mode:absolute,to:'2016-10-08 09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1" s="54" t="str">
        <f t="shared" si="55"/>
        <v>N</v>
      </c>
      <c r="X41" s="163">
        <f t="shared" si="61"/>
        <v>1</v>
      </c>
      <c r="Y41" s="69">
        <f t="shared" si="56"/>
        <v>23.298400000000001</v>
      </c>
      <c r="Z41" s="69">
        <f t="shared" si="57"/>
        <v>1.5800000000000002E-2</v>
      </c>
      <c r="AA41" s="69">
        <f t="shared" si="58"/>
        <v>23.282600000000002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59"/>
        <v>0128-08</v>
      </c>
      <c r="AE41" s="94" t="str">
        <f t="shared" si="8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41" s="91" t="str">
        <f t="shared" si="9"/>
        <v>"C:\Program Files (x86)\AstroGrep\AstroGrep.exe" /spath="%USERPROFILE%\AppData\Local\Temp\OnboardLogs" /stypes="app*4028*20161008*" /stext=" 14:.+((SYSTEM_STATE.+slice.+state.+changed )|(ment ac)|(system.+state.+changed )|(\[timeout)|(PRM\|1\|D)|(kpr)|(kdp)|(\|lc)|(penalty))" /e /r /s</v>
      </c>
      <c r="AG41" s="1" t="str">
        <f t="shared" si="60"/>
        <v>EC</v>
      </c>
      <c r="AH41" s="95" t="str">
        <f t="shared" si="13"/>
        <v>"%USERPROFILE%\Documents\GitHub\eaglep3\Utilities\RefineRTDCRunTimes.py" --tripid 128-08 --locoid 4028 --swversion DE.1.0.7.0 --startMP 204:232984 --initTime 2016-10-08T07:44:45 --startdatetime 2016-10-08T07:56:28 --delay 1 --endMP 204:158 --enddatetime 2016-10-08T08:34:28 --enforcementcount 1 &gt;&gt;C:\Users\stu\Documents\GitHub\eaglep3-reporting\EC\2016-10-08-refined-times.txt</v>
      </c>
      <c r="AI41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ID","value":"128-08"},{"id":16,"name":"Locomotive ID","value":"4028"},{"id":130,"name":"Impact","value":""},{"id":150,"name":"Time of Event (Mountain Time)","value":"08:34:28"},{"id":151,"name":"Denver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429</v>
      </c>
      <c r="B42" s="7">
        <v>4038</v>
      </c>
      <c r="C42" s="24" t="s">
        <v>106</v>
      </c>
      <c r="D42" s="24" t="s">
        <v>230</v>
      </c>
      <c r="E42" s="15">
        <v>42651.299849537034</v>
      </c>
      <c r="F42" s="15">
        <v>42651.302384259259</v>
      </c>
      <c r="G42" s="7">
        <v>1</v>
      </c>
      <c r="H42" s="15" t="s">
        <v>254</v>
      </c>
      <c r="I42" s="15">
        <v>42651.329432870371</v>
      </c>
      <c r="J42" s="7">
        <v>1</v>
      </c>
      <c r="K42" s="116" t="str">
        <f t="shared" si="49"/>
        <v>4037/4038</v>
      </c>
      <c r="L42" s="24" t="str">
        <f>VLOOKUP(A42,'Trips&amp;Operators'!$C$1:$E$10000,3,FALSE)</f>
        <v>STRICKLAND</v>
      </c>
      <c r="M42" s="6">
        <f t="shared" si="50"/>
        <v>2.7048611111240461E-2</v>
      </c>
      <c r="N42" s="7">
        <f t="shared" si="51"/>
        <v>38.950000000186265</v>
      </c>
      <c r="O42" s="7"/>
      <c r="P42" s="7"/>
      <c r="Q42" s="25"/>
      <c r="R42" s="25"/>
      <c r="S42" s="37">
        <f t="shared" si="52"/>
        <v>1</v>
      </c>
      <c r="T42" s="52" t="str">
        <f t="shared" si="53"/>
        <v>NorthBound</v>
      </c>
      <c r="U42" s="15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06:11:47-0600',mode:absolute,to:'2016-10-08 08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2" s="54" t="str">
        <f t="shared" si="55"/>
        <v>N</v>
      </c>
      <c r="X42" s="163">
        <f t="shared" si="61"/>
        <v>1</v>
      </c>
      <c r="Y42" s="69">
        <f t="shared" si="56"/>
        <v>4.4900000000000002E-2</v>
      </c>
      <c r="Z42" s="69">
        <f t="shared" si="57"/>
        <v>23.331900000000001</v>
      </c>
      <c r="AA42" s="69">
        <f t="shared" si="58"/>
        <v>23.287000000000003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59"/>
        <v>0129-08</v>
      </c>
      <c r="AE42" s="94" t="str">
        <f t="shared" si="8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42" s="91" t="str">
        <f t="shared" si="9"/>
        <v>"C:\Program Files (x86)\AstroGrep\AstroGrep.exe" /spath="%USERPROFILE%\AppData\Local\Temp\OnboardLogs" /stypes="app*4038*20161008*" /stext=" 13:.+((SYSTEM_STATE.+slice.+state.+changed )|(ment ac)|(system.+state.+changed )|(\[timeout)|(PRM\|1\|D)|(kpr)|(kdp)|(\|lc)|(penalty))" /e /r /s</v>
      </c>
      <c r="AG42" s="1" t="str">
        <f t="shared" si="60"/>
        <v>EC</v>
      </c>
      <c r="AH42" s="95" t="str">
        <f t="shared" si="13"/>
        <v>"%USERPROFILE%\Documents\GitHub\eaglep3\Utilities\RefineRTDCRunTimes.py" --tripid 129-08 --locoid 4038 --swversion DE.1.0.7.0 --startMP 204:449 --initTime 2016-10-08T07:11:47 --startdatetime 2016-10-08T07:15:26 --delay 1 --endMP 204:233319 --enddatetime 2016-10-08T07:54:23 --enforcementcount 1 &gt;&gt;C:\Users\stu\Documents\GitHub\eaglep3-reporting\EC\2016-10-08-refined-times.txt</v>
      </c>
      <c r="AI42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{"issue":{"subject":"","project_id":79,"tracker_id":40,"status_id":1,"priority_id":2,"assigned_to_id":23,"start_date":"2016-10-08","description":"","custom_fields":[{"id":1,"name":"Subdivision","value":"EC"},{"id":4,"name":"Milepost","value":"23.3319"},{"id":17,"name":"Train ID","value":"129-08"},{"id":16,"name":"Locomotive ID","value":"4038"},{"id":130,"name":"Impact","value":""},{"id":150,"name":"Time of Event (Mountain Time)","value":"07:54:23"},{"id":151,"name":"Denver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440</v>
      </c>
      <c r="B43" s="7">
        <v>4037</v>
      </c>
      <c r="C43" s="24" t="s">
        <v>106</v>
      </c>
      <c r="D43" s="24" t="s">
        <v>617</v>
      </c>
      <c r="E43" s="15">
        <v>42651.33666666667</v>
      </c>
      <c r="F43" s="15">
        <v>42651.341157407405</v>
      </c>
      <c r="G43" s="7">
        <v>1</v>
      </c>
      <c r="H43" s="15" t="s">
        <v>206</v>
      </c>
      <c r="I43" s="15">
        <v>42651.368564814817</v>
      </c>
      <c r="J43" s="7">
        <v>1</v>
      </c>
      <c r="K43" s="116" t="str">
        <f t="shared" si="49"/>
        <v>4037/4038</v>
      </c>
      <c r="L43" s="24" t="str">
        <f>VLOOKUP(A43,'Trips&amp;Operators'!$C$1:$E$10000,3,FALSE)</f>
        <v>STRICKLAND</v>
      </c>
      <c r="M43" s="6">
        <f t="shared" si="50"/>
        <v>2.7407407411374152E-2</v>
      </c>
      <c r="N43" s="7">
        <f t="shared" si="51"/>
        <v>39.466666672378778</v>
      </c>
      <c r="O43" s="7"/>
      <c r="P43" s="7"/>
      <c r="Q43" s="25"/>
      <c r="R43" s="25"/>
      <c r="S43" s="37">
        <f t="shared" si="52"/>
        <v>1</v>
      </c>
      <c r="T43" s="52" t="str">
        <f t="shared" si="53"/>
        <v>Southbound</v>
      </c>
      <c r="U43" s="15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07:04:48-0600',mode:absolute,to:'2016-10-08 09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3" s="54" t="str">
        <f t="shared" si="55"/>
        <v>N</v>
      </c>
      <c r="X43" s="163">
        <f t="shared" si="61"/>
        <v>1</v>
      </c>
      <c r="Y43" s="69">
        <f t="shared" si="56"/>
        <v>23.300599999999999</v>
      </c>
      <c r="Z43" s="69">
        <f t="shared" si="57"/>
        <v>1.5599999999999999E-2</v>
      </c>
      <c r="AA43" s="69">
        <f t="shared" si="58"/>
        <v>23.285</v>
      </c>
      <c r="AB43" s="66" t="str">
        <f>VLOOKUP(A43,Enforcements!$C$7:$K$21,8,0)</f>
        <v>Speed (6)</v>
      </c>
      <c r="AC43" s="62" t="str">
        <f>VLOOKUP(A43,Enforcements!$C$7:$E$21,3,0)</f>
        <v>PERMANENT SPEED RESTRICTION</v>
      </c>
      <c r="AD43" s="63" t="str">
        <f t="shared" si="59"/>
        <v>0130-08</v>
      </c>
      <c r="AE43" s="94" t="str">
        <f t="shared" si="8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43" s="91" t="str">
        <f t="shared" si="9"/>
        <v>"C:\Program Files (x86)\AstroGrep\AstroGrep.exe" /spath="%USERPROFILE%\AppData\Local\Temp\OnboardLogs" /stypes="app*4037*20161008*" /stext=" 14:.+((SYSTEM_STATE.+slice.+state.+changed )|(ment ac)|(system.+state.+changed )|(\[timeout)|(PRM\|1\|D)|(kpr)|(kdp)|(\|lc)|(penalty))" /e /r /s</v>
      </c>
      <c r="AG43" s="1" t="str">
        <f t="shared" si="60"/>
        <v>EC</v>
      </c>
      <c r="AH43" s="95" t="str">
        <f t="shared" si="13"/>
        <v>"%USERPROFILE%\Documents\GitHub\eaglep3\Utilities\RefineRTDCRunTimes.py" --tripid 130-08 --locoid 4037 --swversion DE.1.0.7.0 --startMP 204:233006 --initTime 2016-10-08T08:04:48 --startdatetime 2016-10-08T08:11:16 --delay 1 --endMP 204:156 --enddatetime 2016-10-08T08:50:44 --enforcementcount 1 &gt;&gt;C:\Users\stu\Documents\GitHub\eaglep3-reporting\EC\2016-10-08-refined-times.txt</v>
      </c>
      <c r="AI43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{"issue":{"subject":"","project_id":79,"tracker_id":40,"status_id":1,"priority_id":2,"assigned_to_id":23,"start_date":"2016-10-08","description":"","custom_fields":[{"id":1,"name":"Subdivision","value":"EC"},{"id":4,"name":"Milepost","value":"0.0156"},{"id":17,"name":"Train ID","value":"130-08"},{"id":16,"name":"Locomotive ID","value":"4037"},{"id":130,"name":"Impact","value":""},{"id":150,"name":"Time of Event (Mountain Time)","value":"08:50:44"},{"id":151,"name":"Denver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431</v>
      </c>
      <c r="B44" s="7">
        <v>4014</v>
      </c>
      <c r="C44" s="24" t="s">
        <v>106</v>
      </c>
      <c r="D44" s="24" t="s">
        <v>192</v>
      </c>
      <c r="E44" s="15">
        <v>42651.311053240737</v>
      </c>
      <c r="F44" s="15">
        <v>42651.316990740743</v>
      </c>
      <c r="G44" s="7">
        <v>1</v>
      </c>
      <c r="H44" s="15" t="s">
        <v>319</v>
      </c>
      <c r="I44" s="15">
        <v>42651.34443287037</v>
      </c>
      <c r="J44" s="7">
        <v>1</v>
      </c>
      <c r="K44" s="116" t="str">
        <f t="shared" si="49"/>
        <v>4013/4014</v>
      </c>
      <c r="L44" s="24" t="str">
        <f>VLOOKUP(A44,'Trips&amp;Operators'!$C$1:$E$10000,3,FALSE)</f>
        <v>MALAVE</v>
      </c>
      <c r="M44" s="6">
        <f t="shared" si="50"/>
        <v>2.7442129627161194E-2</v>
      </c>
      <c r="N44" s="7">
        <f t="shared" si="51"/>
        <v>39.516666663112119</v>
      </c>
      <c r="O44" s="7"/>
      <c r="P44" s="7"/>
      <c r="Q44" s="25"/>
      <c r="R44" s="25"/>
      <c r="S44" s="37">
        <f t="shared" si="52"/>
        <v>1</v>
      </c>
      <c r="T44" s="52" t="str">
        <f t="shared" si="53"/>
        <v>NorthBound</v>
      </c>
      <c r="U44" s="15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06:27:55-0600',mode:absolute,to:'2016-10-08 09:15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4" s="54" t="str">
        <f t="shared" si="55"/>
        <v>N</v>
      </c>
      <c r="X44" s="163">
        <f t="shared" si="61"/>
        <v>1</v>
      </c>
      <c r="Y44" s="69">
        <f t="shared" si="56"/>
        <v>4.53E-2</v>
      </c>
      <c r="Z44" s="69">
        <f t="shared" si="57"/>
        <v>23.328399999999998</v>
      </c>
      <c r="AA44" s="69">
        <f t="shared" si="58"/>
        <v>23.283099999999997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59"/>
        <v>0131-08</v>
      </c>
      <c r="AE44" s="94" t="str">
        <f t="shared" si="8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44" s="91" t="str">
        <f t="shared" si="9"/>
        <v>"C:\Program Files (x86)\AstroGrep\AstroGrep.exe" /spath="%USERPROFILE%\AppData\Local\Temp\OnboardLogs" /stypes="app*4014*20161008*" /stext=" 14:.+((SYSTEM_STATE.+slice.+state.+changed )|(ment ac)|(system.+state.+changed )|(\[timeout)|(PRM\|1\|D)|(kpr)|(kdp)|(\|lc)|(penalty))" /e /r /s</v>
      </c>
      <c r="AG44" s="1" t="str">
        <f t="shared" si="60"/>
        <v>EC</v>
      </c>
      <c r="AH44" s="95" t="str">
        <f t="shared" si="13"/>
        <v>"%USERPROFILE%\Documents\GitHub\eaglep3\Utilities\RefineRTDCRunTimes.py" --tripid 131-08 --locoid 4014 --swversion DE.1.0.7.0 --startMP 204:453 --initTime 2016-10-08T07:27:55 --startdatetime 2016-10-08T07:36:28 --delay 1 --endMP 204:233284 --enddatetime 2016-10-08T08:15:59 --enforcementcount 1 &gt;&gt;C:\Users\stu\Documents\GitHub\eaglep3-reporting\EC\2016-10-08-refined-times.txt</v>
      </c>
      <c r="AI44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{"issue":{"subject":"","project_id":79,"tracker_id":40,"status_id":1,"priority_id":2,"assigned_to_id":23,"start_date":"2016-10-08","description":"","custom_fields":[{"id":1,"name":"Subdivision","value":"EC"},{"id":4,"name":"Milepost","value":"23.3284"},{"id":17,"name":"Train ID","value":"131-08"},{"id":16,"name":"Locomotive ID","value":"4014"},{"id":130,"name":"Impact","value":""},{"id":150,"name":"Time of Event (Mountain Time)","value":"08:15:59"},{"id":151,"name":"Denver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442</v>
      </c>
      <c r="B45" s="7">
        <v>4013</v>
      </c>
      <c r="C45" s="24" t="s">
        <v>106</v>
      </c>
      <c r="D45" s="24" t="s">
        <v>312</v>
      </c>
      <c r="E45" s="15">
        <v>42651.349953703706</v>
      </c>
      <c r="F45" s="15">
        <v>42651.3516087963</v>
      </c>
      <c r="G45" s="7">
        <v>2</v>
      </c>
      <c r="H45" s="15" t="s">
        <v>193</v>
      </c>
      <c r="I45" s="15">
        <v>42651.378622685188</v>
      </c>
      <c r="J45" s="7">
        <v>1</v>
      </c>
      <c r="K45" s="116" t="str">
        <f t="shared" si="49"/>
        <v>4013/4014</v>
      </c>
      <c r="L45" s="24" t="str">
        <f>VLOOKUP(A45,'Trips&amp;Operators'!$C$1:$E$10000,3,FALSE)</f>
        <v>MALAVE</v>
      </c>
      <c r="M45" s="6">
        <f t="shared" si="50"/>
        <v>2.7013888888177462E-2</v>
      </c>
      <c r="N45" s="7">
        <f t="shared" si="51"/>
        <v>38.899999998975545</v>
      </c>
      <c r="O45" s="7"/>
      <c r="P45" s="7"/>
      <c r="Q45" s="25"/>
      <c r="R45" s="25"/>
      <c r="S45" s="37">
        <f t="shared" si="52"/>
        <v>1</v>
      </c>
      <c r="T45" s="52" t="str">
        <f t="shared" si="53"/>
        <v>Southbound</v>
      </c>
      <c r="U45" s="15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07:23:56-0600',mode:absolute,to:'2016-10-08 10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5" s="54" t="str">
        <f t="shared" si="55"/>
        <v>N</v>
      </c>
      <c r="X45" s="163">
        <f t="shared" si="61"/>
        <v>1</v>
      </c>
      <c r="Y45" s="69">
        <f t="shared" si="56"/>
        <v>23.265999999999998</v>
      </c>
      <c r="Z45" s="69">
        <f t="shared" si="57"/>
        <v>1.4999999999999999E-2</v>
      </c>
      <c r="AA45" s="69">
        <f t="shared" si="58"/>
        <v>23.250999999999998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59"/>
        <v>0132-08</v>
      </c>
      <c r="AE45" s="94" t="str">
        <f t="shared" si="8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45" s="91" t="str">
        <f t="shared" si="9"/>
        <v>"C:\Program Files (x86)\AstroGrep\AstroGrep.exe" /spath="%USERPROFILE%\AppData\Local\Temp\OnboardLogs" /stypes="app*4013*20161008*" /stext=" 15:.+((SYSTEM_STATE.+slice.+state.+changed )|(ment ac)|(system.+state.+changed )|(\[timeout)|(PRM\|1\|D)|(kpr)|(kdp)|(\|lc)|(penalty))" /e /r /s</v>
      </c>
      <c r="AG45" s="1" t="str">
        <f t="shared" si="60"/>
        <v>EC</v>
      </c>
      <c r="AH45" s="95" t="str">
        <f t="shared" si="13"/>
        <v>"%USERPROFILE%\Documents\GitHub\eaglep3\Utilities\RefineRTDCRunTimes.py" --tripid 132-08 --locoid 4013 --swversion DE.1.0.7.0 --startMP 204:232660 --initTime 2016-10-08T08:23:56 --startdatetime 2016-10-08T08:26:19 --delay 2 --endMP 204:150 --enddatetime 2016-10-08T09:05:13 --enforcementcount 1 &gt;&gt;C:\Users\stu\Documents\GitHub\eaglep3-reporting\EC\2016-10-08-refined-times.txt</v>
      </c>
      <c r="AI4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{"issue":{"subject":"","project_id":79,"tracker_id":40,"status_id":1,"priority_id":2,"assigned_to_id":23,"start_date":"2016-10-08","description":"","custom_fields":[{"id":1,"name":"Subdivision","value":"EC"},{"id":4,"name":"Milepost","value":"0.015"},{"id":17,"name":"Train ID","value":"132-08"},{"id":16,"name":"Locomotive ID","value":"4013"},{"id":130,"name":"Impact","value":""},{"id":150,"name":"Time of Event (Mountain Time)","value":"09:05:13"},{"id":151,"name":"Denver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434</v>
      </c>
      <c r="B46" s="7">
        <v>4044</v>
      </c>
      <c r="C46" s="24" t="s">
        <v>106</v>
      </c>
      <c r="D46" s="24" t="s">
        <v>297</v>
      </c>
      <c r="E46" s="15">
        <v>42651.321967592594</v>
      </c>
      <c r="F46" s="15">
        <v>42651.323784722219</v>
      </c>
      <c r="G46" s="7">
        <v>1</v>
      </c>
      <c r="H46" s="15" t="s">
        <v>618</v>
      </c>
      <c r="I46" s="15">
        <v>42651.348171296297</v>
      </c>
      <c r="J46" s="7">
        <v>1</v>
      </c>
      <c r="K46" s="116" t="str">
        <f t="shared" si="49"/>
        <v>4043/4044</v>
      </c>
      <c r="L46" s="24" t="str">
        <f>VLOOKUP(A46,'Trips&amp;Operators'!$C$1:$E$10000,3,FALSE)</f>
        <v>ACKERMAN</v>
      </c>
      <c r="M46" s="6">
        <f t="shared" si="50"/>
        <v>2.4386574077652767E-2</v>
      </c>
      <c r="N46" s="7">
        <f t="shared" si="51"/>
        <v>35.116666671819985</v>
      </c>
      <c r="O46" s="7"/>
      <c r="P46" s="7"/>
      <c r="Q46" s="25"/>
      <c r="R46" s="25"/>
      <c r="S46" s="37">
        <f t="shared" si="52"/>
        <v>1</v>
      </c>
      <c r="T46" s="52" t="str">
        <f t="shared" si="53"/>
        <v>NorthBound</v>
      </c>
      <c r="U46" s="15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06:43:38-0600',mode:absolute,to:'2016-10-08 09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6" s="54" t="str">
        <f t="shared" si="55"/>
        <v>N</v>
      </c>
      <c r="X46" s="163">
        <f t="shared" si="61"/>
        <v>1</v>
      </c>
      <c r="Y46" s="69">
        <f t="shared" si="56"/>
        <v>4.4400000000000002E-2</v>
      </c>
      <c r="Z46" s="69">
        <f t="shared" si="57"/>
        <v>23.3383</v>
      </c>
      <c r="AA46" s="69">
        <f t="shared" si="58"/>
        <v>23.293900000000001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59"/>
        <v>0133-08</v>
      </c>
      <c r="AE46" s="94" t="str">
        <f t="shared" si="8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46" s="91" t="str">
        <f t="shared" si="9"/>
        <v>"C:\Program Files (x86)\AstroGrep\AstroGrep.exe" /spath="%USERPROFILE%\AppData\Local\Temp\OnboardLogs" /stypes="app*4044*20161008*" /stext=" 14:.+((SYSTEM_STATE.+slice.+state.+changed )|(ment ac)|(system.+state.+changed )|(\[timeout)|(PRM\|1\|D)|(kpr)|(kdp)|(\|lc)|(penalty))" /e /r /s</v>
      </c>
      <c r="AG46" s="1" t="str">
        <f t="shared" si="60"/>
        <v>EC</v>
      </c>
      <c r="AH46" s="95" t="str">
        <f t="shared" si="13"/>
        <v>"%USERPROFILE%\Documents\GitHub\eaglep3\Utilities\RefineRTDCRunTimes.py" --tripid 133-08 --locoid 4044 --swversion DE.1.0.7.0 --startMP 204:444 --initTime 2016-10-08T07:43:38 --startdatetime 2016-10-08T07:46:15 --delay 1 --endMP 204:233383 --enddatetime 2016-10-08T08:21:22 --enforcementcount 1 &gt;&gt;C:\Users\stu\Documents\GitHub\eaglep3-reporting\EC\2016-10-08-refined-times.txt</v>
      </c>
      <c r="AI4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{"issue":{"subject":"","project_id":79,"tracker_id":40,"status_id":1,"priority_id":2,"assigned_to_id":23,"start_date":"2016-10-08","description":"","custom_fields":[{"id":1,"name":"Subdivision","value":"EC"},{"id":4,"name":"Milepost","value":"23.3383"},{"id":17,"name":"Train ID","value":"133-08"},{"id":16,"name":"Locomotive ID","value":"4044"},{"id":130,"name":"Impact","value":""},{"id":150,"name":"Time of Event (Mountain Time)","value":"08:21:22"},{"id":151,"name":"Denver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444</v>
      </c>
      <c r="B47" s="7">
        <v>4043</v>
      </c>
      <c r="C47" s="24" t="s">
        <v>106</v>
      </c>
      <c r="D47" s="24" t="s">
        <v>619</v>
      </c>
      <c r="E47" s="15">
        <v>42651.356805555559</v>
      </c>
      <c r="F47" s="15">
        <v>42651.362037037034</v>
      </c>
      <c r="G47" s="7">
        <v>1</v>
      </c>
      <c r="H47" s="15" t="s">
        <v>210</v>
      </c>
      <c r="I47" s="15">
        <v>42651.389039351852</v>
      </c>
      <c r="J47" s="7">
        <v>1</v>
      </c>
      <c r="K47" s="116" t="str">
        <f t="shared" si="49"/>
        <v>4043/4044</v>
      </c>
      <c r="L47" s="24" t="str">
        <f>VLOOKUP(A47,'Trips&amp;Operators'!$C$1:$E$10000,3,FALSE)</f>
        <v>ACKERMAN</v>
      </c>
      <c r="M47" s="6">
        <f t="shared" si="50"/>
        <v>2.7002314818673767E-2</v>
      </c>
      <c r="N47" s="7">
        <f t="shared" si="51"/>
        <v>38.883333338890225</v>
      </c>
      <c r="O47" s="7"/>
      <c r="P47" s="7"/>
      <c r="Q47" s="25"/>
      <c r="R47" s="25"/>
      <c r="S47" s="37">
        <f t="shared" si="52"/>
        <v>1</v>
      </c>
      <c r="T47" s="52" t="str">
        <f t="shared" si="53"/>
        <v>Southbound</v>
      </c>
      <c r="U47" s="15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07:33:48-0600',mode:absolute,to:'2016-10-08 10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7" s="54" t="str">
        <f t="shared" si="55"/>
        <v>N</v>
      </c>
      <c r="X47" s="163">
        <f t="shared" si="61"/>
        <v>1</v>
      </c>
      <c r="Y47" s="69">
        <f t="shared" si="56"/>
        <v>23.292100000000001</v>
      </c>
      <c r="Z47" s="69">
        <f t="shared" si="57"/>
        <v>1.41E-2</v>
      </c>
      <c r="AA47" s="69">
        <f t="shared" si="58"/>
        <v>23.278000000000002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59"/>
        <v>0134-08</v>
      </c>
      <c r="AE47" s="94" t="str">
        <f t="shared" si="8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47" s="91" t="str">
        <f t="shared" si="9"/>
        <v>"C:\Program Files (x86)\AstroGrep\AstroGrep.exe" /spath="%USERPROFILE%\AppData\Local\Temp\OnboardLogs" /stypes="app*4043*20161008*" /stext=" 15:.+((SYSTEM_STATE.+slice.+state.+changed )|(ment ac)|(system.+state.+changed )|(\[timeout)|(PRM\|1\|D)|(kpr)|(kdp)|(\|lc)|(penalty))" /e /r /s</v>
      </c>
      <c r="AG47" s="1" t="str">
        <f t="shared" si="60"/>
        <v>EC</v>
      </c>
      <c r="AH47" s="95" t="str">
        <f t="shared" si="13"/>
        <v>"%USERPROFILE%\Documents\GitHub\eaglep3\Utilities\RefineRTDCRunTimes.py" --tripid 134-08 --locoid 4043 --swversion DE.1.0.7.0 --startMP 204:232921 --initTime 2016-10-08T08:33:48 --startdatetime 2016-10-08T08:41:20 --delay 1 --endMP 204:141 --enddatetime 2016-10-08T09:20:13 --enforcementcount 1 &gt;&gt;C:\Users\stu\Documents\GitHub\eaglep3-reporting\EC\2016-10-08-refined-times.txt</v>
      </c>
      <c r="AI47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ID","value":"134-08"},{"id":16,"name":"Locomotive ID","value":"4043"},{"id":130,"name":"Impact","value":""},{"id":150,"name":"Time of Event (Mountain Time)","value":"09:20:13"},{"id":151,"name":"Denver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31" customFormat="1" x14ac:dyDescent="0.25">
      <c r="A48" s="39" t="s">
        <v>438</v>
      </c>
      <c r="B48" s="7">
        <v>4042</v>
      </c>
      <c r="C48" s="24" t="s">
        <v>106</v>
      </c>
      <c r="D48" s="24" t="s">
        <v>620</v>
      </c>
      <c r="E48" s="15">
        <v>42651.329097222224</v>
      </c>
      <c r="F48" s="15">
        <v>42651.333495370367</v>
      </c>
      <c r="G48" s="7">
        <v>1</v>
      </c>
      <c r="H48" s="15" t="s">
        <v>207</v>
      </c>
      <c r="I48" s="15">
        <v>42651.359479166669</v>
      </c>
      <c r="J48" s="7">
        <v>1</v>
      </c>
      <c r="K48" s="116" t="str">
        <f t="shared" si="49"/>
        <v>4041/4042</v>
      </c>
      <c r="L48" s="24" t="str">
        <f>VLOOKUP(A48,'Trips&amp;Operators'!$C$1:$E$10000,3,FALSE)</f>
        <v>DAVIS</v>
      </c>
      <c r="M48" s="6">
        <f t="shared" si="50"/>
        <v>2.5983796302170958E-2</v>
      </c>
      <c r="N48" s="7">
        <f t="shared" si="51"/>
        <v>37.41666667512618</v>
      </c>
      <c r="O48" s="7"/>
      <c r="P48" s="7"/>
      <c r="Q48" s="25"/>
      <c r="R48" s="25"/>
      <c r="S48" s="37">
        <f t="shared" si="52"/>
        <v>1</v>
      </c>
      <c r="T48" s="52" t="str">
        <f t="shared" si="53"/>
        <v>NorthBound</v>
      </c>
      <c r="U48" s="15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06:53:54-0600',mode:absolute,to:'2016-10-08 09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8" s="54" t="str">
        <f t="shared" si="55"/>
        <v>N</v>
      </c>
      <c r="X48" s="163">
        <f t="shared" si="61"/>
        <v>1</v>
      </c>
      <c r="Y48" s="69">
        <f t="shared" si="56"/>
        <v>4.2000000000000003E-2</v>
      </c>
      <c r="Z48" s="69">
        <f t="shared" si="57"/>
        <v>23.331399999999999</v>
      </c>
      <c r="AA48" s="69">
        <f t="shared" si="58"/>
        <v>23.289399999999997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59"/>
        <v>0135-08</v>
      </c>
      <c r="AE48" s="94" t="str">
        <f t="shared" si="8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48" s="91" t="str">
        <f t="shared" si="9"/>
        <v>"C:\Program Files (x86)\AstroGrep\AstroGrep.exe" /spath="%USERPROFILE%\AppData\Local\Temp\OnboardLogs" /stypes="app*4042*20161008*" /stext=" 14:.+((SYSTEM_STATE.+slice.+state.+changed )|(ment ac)|(system.+state.+changed )|(\[timeout)|(PRM\|1\|D)|(kpr)|(kdp)|(\|lc)|(penalty))" /e /r /s</v>
      </c>
      <c r="AG48" s="1" t="str">
        <f t="shared" si="60"/>
        <v>EC</v>
      </c>
      <c r="AH48" s="95" t="str">
        <f t="shared" si="13"/>
        <v>"%USERPROFILE%\Documents\GitHub\eaglep3\Utilities\RefineRTDCRunTimes.py" --tripid 135-08 --locoid 4042 --swversion DE.1.0.7.0 --startMP 204:420 --initTime 2016-10-08T07:53:54 --startdatetime 2016-10-08T08:00:14 --delay 1 --endMP 204:233314 --enddatetime 2016-10-08T08:37:39 --enforcementcount 1 &gt;&gt;C:\Users\stu\Documents\GitHub\eaglep3-reporting\EC\2016-10-08-refined-times.txt</v>
      </c>
      <c r="AI48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{"issue":{"subject":"","project_id":79,"tracker_id":40,"status_id":1,"priority_id":2,"assigned_to_id":23,"start_date":"2016-10-08","description":"","custom_fields":[{"id":1,"name":"Subdivision","value":"EC"},{"id":4,"name":"Milepost","value":"23.3314"},{"id":17,"name":"Train ID","value":"135-08"},{"id":16,"name":"Locomotive ID","value":"4042"},{"id":130,"name":"Impact","value":""},{"id":150,"name":"Time of Event (Mountain Time)","value":"08:37:39"},{"id":151,"name":"Denver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447</v>
      </c>
      <c r="B49" s="7">
        <v>4041</v>
      </c>
      <c r="C49" s="24" t="s">
        <v>106</v>
      </c>
      <c r="D49" s="24" t="s">
        <v>276</v>
      </c>
      <c r="E49" s="15">
        <v>42651.367662037039</v>
      </c>
      <c r="F49" s="15">
        <v>42651.372395833336</v>
      </c>
      <c r="G49" s="7">
        <v>1</v>
      </c>
      <c r="H49" s="15" t="s">
        <v>621</v>
      </c>
      <c r="I49" s="15">
        <v>42651.399664351855</v>
      </c>
      <c r="J49" s="7">
        <v>1</v>
      </c>
      <c r="K49" s="116" t="str">
        <f t="shared" si="49"/>
        <v>4041/4042</v>
      </c>
      <c r="L49" s="24" t="str">
        <f>VLOOKUP(A49,'Trips&amp;Operators'!$C$1:$E$10000,3,FALSE)</f>
        <v>DAVIS</v>
      </c>
      <c r="M49" s="6">
        <f t="shared" si="50"/>
        <v>2.7268518519122154E-2</v>
      </c>
      <c r="N49" s="7">
        <f t="shared" si="51"/>
        <v>39.266666667535901</v>
      </c>
      <c r="O49" s="7"/>
      <c r="P49" s="7"/>
      <c r="Q49" s="25"/>
      <c r="R49" s="25"/>
      <c r="S49" s="37">
        <f t="shared" si="52"/>
        <v>1</v>
      </c>
      <c r="T49" s="52" t="str">
        <f t="shared" si="53"/>
        <v>Southbound</v>
      </c>
      <c r="U49" s="15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07:49:26-0600',mode:absolute,to:'2016-10-08 10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9" s="54" t="str">
        <f t="shared" si="55"/>
        <v>N</v>
      </c>
      <c r="X49" s="163">
        <f t="shared" si="61"/>
        <v>1</v>
      </c>
      <c r="Y49" s="69">
        <f t="shared" si="56"/>
        <v>23.298999999999999</v>
      </c>
      <c r="Z49" s="69">
        <f t="shared" si="57"/>
        <v>2.3800000000000002E-2</v>
      </c>
      <c r="AA49" s="69">
        <f t="shared" si="58"/>
        <v>23.275199999999998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59"/>
        <v>0136-08</v>
      </c>
      <c r="AE49" s="94" t="str">
        <f t="shared" si="8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49" s="91" t="str">
        <f t="shared" si="9"/>
        <v>"C:\Program Files (x86)\AstroGrep\AstroGrep.exe" /spath="%USERPROFILE%\AppData\Local\Temp\OnboardLogs" /stypes="app*4041*20161008*" /stext=" 15:.+((SYSTEM_STATE.+slice.+state.+changed )|(ment ac)|(system.+state.+changed )|(\[timeout)|(PRM\|1\|D)|(kpr)|(kdp)|(\|lc)|(penalty))" /e /r /s</v>
      </c>
      <c r="AG49" s="1" t="str">
        <f t="shared" si="60"/>
        <v>EC</v>
      </c>
      <c r="AH49" s="95" t="str">
        <f t="shared" si="13"/>
        <v>"%USERPROFILE%\Documents\GitHub\eaglep3\Utilities\RefineRTDCRunTimes.py" --tripid 136-08 --locoid 4041 --swversion DE.1.0.7.0 --startMP 204:232990 --initTime 2016-10-08T08:49:26 --startdatetime 2016-10-08T08:56:15 --delay 1 --endMP 204:238 --enddatetime 2016-10-08T09:35:31 --enforcementcount 1 &gt;&gt;C:\Users\stu\Documents\GitHub\eaglep3-reporting\EC\2016-10-08-refined-times.txt</v>
      </c>
      <c r="AI4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{"issue":{"subject":"","project_id":79,"tracker_id":40,"status_id":1,"priority_id":2,"assigned_to_id":23,"start_date":"2016-10-08","description":"","custom_fields":[{"id":1,"name":"Subdivision","value":"EC"},{"id":4,"name":"Milepost","value":"0.0238"},{"id":17,"name":"Train ID","value":"136-08"},{"id":16,"name":"Locomotive ID","value":"4041"},{"id":130,"name":"Impact","value":""},{"id":150,"name":"Time of Event (Mountain Time)","value":"09:35:31"},{"id":151,"name":"Denver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441</v>
      </c>
      <c r="B50" s="7">
        <v>4025</v>
      </c>
      <c r="C50" s="24" t="s">
        <v>106</v>
      </c>
      <c r="D50" s="24" t="s">
        <v>241</v>
      </c>
      <c r="E50" s="15">
        <v>42651.341354166667</v>
      </c>
      <c r="F50" s="15">
        <v>42651.343935185185</v>
      </c>
      <c r="G50" s="7">
        <v>1</v>
      </c>
      <c r="H50" s="15" t="s">
        <v>304</v>
      </c>
      <c r="I50" s="15">
        <v>42651.368993055556</v>
      </c>
      <c r="J50" s="7">
        <v>1</v>
      </c>
      <c r="K50" s="116" t="str">
        <f t="shared" si="49"/>
        <v>4025/4026</v>
      </c>
      <c r="L50" s="24" t="str">
        <f>VLOOKUP(A50,'Trips&amp;Operators'!$C$1:$E$10000,3,FALSE)</f>
        <v>KILLION</v>
      </c>
      <c r="M50" s="6">
        <f t="shared" si="50"/>
        <v>2.5057870370801538E-2</v>
      </c>
      <c r="N50" s="7">
        <f t="shared" si="51"/>
        <v>36.083333333954215</v>
      </c>
      <c r="O50" s="7"/>
      <c r="P50" s="7"/>
      <c r="Q50" s="25"/>
      <c r="R50" s="25"/>
      <c r="S50" s="37">
        <f t="shared" si="52"/>
        <v>1</v>
      </c>
      <c r="T50" s="52" t="str">
        <f t="shared" si="53"/>
        <v>NorthBound</v>
      </c>
      <c r="U50" s="15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07:11:33-0600',mode:absolute,to:'2016-10-08 09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0" s="54" t="str">
        <f t="shared" si="55"/>
        <v>N</v>
      </c>
      <c r="X50" s="163">
        <f t="shared" si="61"/>
        <v>1</v>
      </c>
      <c r="Y50" s="69">
        <f t="shared" si="56"/>
        <v>4.6699999999999998E-2</v>
      </c>
      <c r="Z50" s="69">
        <f t="shared" si="57"/>
        <v>23.327999999999999</v>
      </c>
      <c r="AA50" s="69">
        <f t="shared" si="58"/>
        <v>23.281299999999998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59"/>
        <v>0137-08</v>
      </c>
      <c r="AE50" s="94" t="str">
        <f t="shared" si="8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50" s="91" t="str">
        <f t="shared" si="9"/>
        <v>"C:\Program Files (x86)\AstroGrep\AstroGrep.exe" /spath="%USERPROFILE%\AppData\Local\Temp\OnboardLogs" /stypes="app*4025*20161008*" /stext=" 14:.+((SYSTEM_STATE.+slice.+state.+changed )|(ment ac)|(system.+state.+changed )|(\[timeout)|(PRM\|1\|D)|(kpr)|(kdp)|(\|lc)|(penalty))" /e /r /s</v>
      </c>
      <c r="AG50" s="1" t="str">
        <f t="shared" si="60"/>
        <v>EC</v>
      </c>
      <c r="AH50" s="95" t="str">
        <f t="shared" si="13"/>
        <v>"%USERPROFILE%\Documents\GitHub\eaglep3\Utilities\RefineRTDCRunTimes.py" --tripid 137-08 --locoid 4025 --swversion DE.1.0.7.0 --startMP 204:467 --initTime 2016-10-08T08:11:33 --startdatetime 2016-10-08T08:15:16 --delay 1 --endMP 204:233280 --enddatetime 2016-10-08T08:51:21 --enforcementcount 1 &gt;&gt;C:\Users\stu\Documents\GitHub\eaglep3-reporting\EC\2016-10-08-refined-times.txt</v>
      </c>
      <c r="AI50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{"issue":{"subject":"","project_id":79,"tracker_id":40,"status_id":1,"priority_id":2,"assigned_to_id":23,"start_date":"2016-10-08","description":"","custom_fields":[{"id":1,"name":"Subdivision","value":"EC"},{"id":4,"name":"Milepost","value":"23.328"},{"id":17,"name":"Train ID","value":"137-08"},{"id":16,"name":"Locomotive ID","value":"4025"},{"id":130,"name":"Impact","value":""},{"id":150,"name":"Time of Event (Mountain Time)","value":"08:51:21"},{"id":151,"name":"Denver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449</v>
      </c>
      <c r="B51" s="7">
        <v>4026</v>
      </c>
      <c r="C51" s="24" t="s">
        <v>106</v>
      </c>
      <c r="D51" s="24" t="s">
        <v>266</v>
      </c>
      <c r="E51" s="15">
        <v>42651.371712962966</v>
      </c>
      <c r="F51" s="15">
        <v>42651.382962962962</v>
      </c>
      <c r="G51" s="7">
        <v>1</v>
      </c>
      <c r="H51" s="15" t="s">
        <v>622</v>
      </c>
      <c r="I51" s="15">
        <v>42651.409375000003</v>
      </c>
      <c r="J51" s="7">
        <v>1</v>
      </c>
      <c r="K51" s="116" t="str">
        <f t="shared" si="49"/>
        <v>4025/4026</v>
      </c>
      <c r="L51" s="24" t="str">
        <f>VLOOKUP(A51,'Trips&amp;Operators'!$C$1:$E$10000,3,FALSE)</f>
        <v>KILLION</v>
      </c>
      <c r="M51" s="6">
        <f t="shared" si="50"/>
        <v>2.641203704115469E-2</v>
      </c>
      <c r="N51" s="7">
        <f t="shared" si="51"/>
        <v>38.033333339262754</v>
      </c>
      <c r="O51" s="7"/>
      <c r="P51" s="7"/>
      <c r="Q51" s="25"/>
      <c r="R51" s="25"/>
      <c r="S51" s="37">
        <f t="shared" si="52"/>
        <v>1</v>
      </c>
      <c r="T51" s="52" t="str">
        <f t="shared" si="53"/>
        <v>Southbound</v>
      </c>
      <c r="U51" s="15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07:55:16-0600',mode:absolute,to:'2016-10-08 10:49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1" s="54" t="str">
        <f t="shared" si="55"/>
        <v>N</v>
      </c>
      <c r="X51" s="163">
        <f t="shared" si="61"/>
        <v>1</v>
      </c>
      <c r="Y51" s="69">
        <f t="shared" si="56"/>
        <v>23.2974</v>
      </c>
      <c r="Z51" s="69">
        <f t="shared" si="57"/>
        <v>2.3599999999999999E-2</v>
      </c>
      <c r="AA51" s="69">
        <f t="shared" si="58"/>
        <v>23.273800000000001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59"/>
        <v>0138-08</v>
      </c>
      <c r="AE51" s="94" t="str">
        <f t="shared" si="8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51" s="91" t="str">
        <f t="shared" si="9"/>
        <v>"C:\Program Files (x86)\AstroGrep\AstroGrep.exe" /spath="%USERPROFILE%\AppData\Local\Temp\OnboardLogs" /stypes="app*4026*20161008*" /stext=" 15:.+((SYSTEM_STATE.+slice.+state.+changed )|(ment ac)|(system.+state.+changed )|(\[timeout)|(PRM\|1\|D)|(kpr)|(kdp)|(\|lc)|(penalty))" /e /r /s</v>
      </c>
      <c r="AG51" s="1" t="str">
        <f t="shared" si="60"/>
        <v>EC</v>
      </c>
      <c r="AH51" s="95" t="str">
        <f t="shared" si="13"/>
        <v>"%USERPROFILE%\Documents\GitHub\eaglep3\Utilities\RefineRTDCRunTimes.py" --tripid 138-08 --locoid 4026 --swversion DE.1.0.7.0 --startMP 204:232974 --initTime 2016-10-08T08:55:16 --startdatetime 2016-10-08T09:11:28 --delay 1 --endMP 204:236 --enddatetime 2016-10-08T09:49:30 --enforcementcount 1 &gt;&gt;C:\Users\stu\Documents\GitHub\eaglep3-reporting\EC\2016-10-08-refined-times.txt</v>
      </c>
      <c r="AI51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{"issue":{"subject":"","project_id":79,"tracker_id":40,"status_id":1,"priority_id":2,"assigned_to_id":23,"start_date":"2016-10-08","description":"","custom_fields":[{"id":1,"name":"Subdivision","value":"EC"},{"id":4,"name":"Milepost","value":"0.0236"},{"id":17,"name":"Train ID","value":"138-08"},{"id":16,"name":"Locomotive ID","value":"4026"},{"id":130,"name":"Impact","value":""},{"id":150,"name":"Time of Event (Mountain Time)","value":"09:49:30"},{"id":151,"name":"Denver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443</v>
      </c>
      <c r="B52" s="7">
        <v>4053</v>
      </c>
      <c r="C52" s="24" t="s">
        <v>106</v>
      </c>
      <c r="D52" s="24" t="s">
        <v>196</v>
      </c>
      <c r="E52" s="15">
        <v>42651.351851851854</v>
      </c>
      <c r="F52" s="15">
        <v>42651.354398148149</v>
      </c>
      <c r="G52" s="7">
        <v>1</v>
      </c>
      <c r="H52" s="15" t="s">
        <v>251</v>
      </c>
      <c r="I52" s="15">
        <v>42651.38008101852</v>
      </c>
      <c r="J52" s="7">
        <v>1</v>
      </c>
      <c r="K52" s="116" t="str">
        <f t="shared" si="49"/>
        <v>4053/4054</v>
      </c>
      <c r="L52" s="24" t="str">
        <f>VLOOKUP(A52,'Trips&amp;Operators'!$C$1:$E$10000,3,FALSE)</f>
        <v>GEBRETEKLE</v>
      </c>
      <c r="M52" s="6">
        <f t="shared" si="50"/>
        <v>2.5682870371383615E-2</v>
      </c>
      <c r="N52" s="7">
        <f t="shared" si="51"/>
        <v>36.983333334792405</v>
      </c>
      <c r="O52" s="7"/>
      <c r="P52" s="7"/>
      <c r="Q52" s="25"/>
      <c r="R52" s="25"/>
      <c r="S52" s="37">
        <f t="shared" si="52"/>
        <v>1</v>
      </c>
      <c r="T52" s="52" t="str">
        <f t="shared" si="53"/>
        <v>NorthBound</v>
      </c>
      <c r="U52" s="15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07:26:40-0600',mode:absolute,to:'2016-10-08 10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2" s="54" t="str">
        <f t="shared" si="55"/>
        <v>N</v>
      </c>
      <c r="X52" s="163">
        <f t="shared" si="61"/>
        <v>1</v>
      </c>
      <c r="Y52" s="69">
        <f t="shared" si="56"/>
        <v>4.5699999999999998E-2</v>
      </c>
      <c r="Z52" s="69">
        <f t="shared" si="57"/>
        <v>23.329899999999999</v>
      </c>
      <c r="AA52" s="69">
        <f t="shared" si="58"/>
        <v>23.284199999999998</v>
      </c>
      <c r="AB52" s="66" t="str">
        <f>VLOOKUP(A52,Enforcements!$C$7:$K$21,8,0)</f>
        <v>Bulletin (2)</v>
      </c>
      <c r="AC52" s="62" t="str">
        <f>VLOOKUP(A52,Enforcements!$C$7:$E$21,3,0)</f>
        <v>GRADE CROSSING</v>
      </c>
      <c r="AD52" s="63" t="str">
        <f t="shared" si="59"/>
        <v>0139-08</v>
      </c>
      <c r="AE52" s="94" t="str">
        <f t="shared" si="8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52" s="91" t="str">
        <f t="shared" si="9"/>
        <v>"C:\Program Files (x86)\AstroGrep\AstroGrep.exe" /spath="%USERPROFILE%\AppData\Local\Temp\OnboardLogs" /stypes="app*4053*20161008*" /stext=" 15:.+((SYSTEM_STATE.+slice.+state.+changed )|(ment ac)|(system.+state.+changed )|(\[timeout)|(PRM\|1\|D)|(kpr)|(kdp)|(\|lc)|(penalty))" /e /r /s</v>
      </c>
      <c r="AG52" s="1" t="str">
        <f t="shared" si="60"/>
        <v>EC</v>
      </c>
      <c r="AH52" s="95" t="str">
        <f t="shared" si="13"/>
        <v>"%USERPROFILE%\Documents\GitHub\eaglep3\Utilities\RefineRTDCRunTimes.py" --tripid 139-08 --locoid 4053 --swversion DE.1.0.7.0 --startMP 204:457 --initTime 2016-10-08T08:26:40 --startdatetime 2016-10-08T08:30:20 --delay 1 --endMP 204:233299 --enddatetime 2016-10-08T09:07:19 --enforcementcount 1 &gt;&gt;C:\Users\stu\Documents\GitHub\eaglep3-reporting\EC\2016-10-08-refined-times.txt</v>
      </c>
      <c r="AI52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{"issue":{"subject":"","project_id":79,"tracker_id":40,"status_id":1,"priority_id":2,"assigned_to_id":23,"start_date":"2016-10-08","description":"","custom_fields":[{"id":1,"name":"Subdivision","value":"EC"},{"id":4,"name":"Milepost","value":"23.3299"},{"id":17,"name":"Train ID","value":"139-08"},{"id":16,"name":"Locomotive ID","value":"4053"},{"id":130,"name":"Impact","value":""},{"id":150,"name":"Time of Event (Mountain Time)","value":"09:07:19"},{"id":151,"name":"Denver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452</v>
      </c>
      <c r="B53" s="7">
        <v>4054</v>
      </c>
      <c r="C53" s="24" t="s">
        <v>106</v>
      </c>
      <c r="D53" s="24" t="s">
        <v>332</v>
      </c>
      <c r="E53" s="15">
        <v>42651.388020833336</v>
      </c>
      <c r="F53" s="15">
        <v>42651.393252314818</v>
      </c>
      <c r="G53" s="7">
        <v>1</v>
      </c>
      <c r="H53" s="15" t="s">
        <v>206</v>
      </c>
      <c r="I53" s="15">
        <v>42651.420960648145</v>
      </c>
      <c r="J53" s="7">
        <v>1</v>
      </c>
      <c r="K53" s="116" t="str">
        <f t="shared" si="49"/>
        <v>4053/4054</v>
      </c>
      <c r="L53" s="24" t="str">
        <f>VLOOKUP(A53,'Trips&amp;Operators'!$C$1:$E$10000,3,FALSE)</f>
        <v>GEBRETEKLE</v>
      </c>
      <c r="M53" s="6">
        <f t="shared" si="50"/>
        <v>2.770833332760958E-2</v>
      </c>
      <c r="N53" s="7">
        <f t="shared" si="51"/>
        <v>39.899999991757795</v>
      </c>
      <c r="O53" s="7"/>
      <c r="P53" s="7"/>
      <c r="Q53" s="25"/>
      <c r="R53" s="25"/>
      <c r="S53" s="37">
        <f t="shared" si="52"/>
        <v>1</v>
      </c>
      <c r="T53" s="52" t="str">
        <f t="shared" si="53"/>
        <v>Southbound</v>
      </c>
      <c r="U53" s="15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08:18:45-0600',mode:absolute,to:'2016-10-08 11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3" s="54" t="str">
        <f t="shared" si="55"/>
        <v>N</v>
      </c>
      <c r="X53" s="163">
        <f t="shared" si="61"/>
        <v>1</v>
      </c>
      <c r="Y53" s="69">
        <f t="shared" si="56"/>
        <v>23.298200000000001</v>
      </c>
      <c r="Z53" s="69">
        <f t="shared" si="57"/>
        <v>1.5599999999999999E-2</v>
      </c>
      <c r="AA53" s="69">
        <f t="shared" si="58"/>
        <v>23.282600000000002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59"/>
        <v>0140-08</v>
      </c>
      <c r="AE53" s="94" t="str">
        <f t="shared" si="8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53" s="91" t="str">
        <f t="shared" si="9"/>
        <v>"C:\Program Files (x86)\AstroGrep\AstroGrep.exe" /spath="%USERPROFILE%\AppData\Local\Temp\OnboardLogs" /stypes="app*4054*20161008*" /stext=" 16:.+((SYSTEM_STATE.+slice.+state.+changed )|(ment ac)|(system.+state.+changed )|(\[timeout)|(PRM\|1\|D)|(kpr)|(kdp)|(\|lc)|(penalty))" /e /r /s</v>
      </c>
      <c r="AG53" s="1" t="str">
        <f t="shared" si="60"/>
        <v>EC</v>
      </c>
      <c r="AH53" s="95" t="str">
        <f t="shared" si="13"/>
        <v>"%USERPROFILE%\Documents\GitHub\eaglep3\Utilities\RefineRTDCRunTimes.py" --tripid 140-08 --locoid 4054 --swversion DE.1.0.7.0 --startMP 204:232982 --initTime 2016-10-08T09:18:45 --startdatetime 2016-10-08T09:26:17 --delay 1 --endMP 204:156 --enddatetime 2016-10-08T10:06:11 --enforcementcount 1 &gt;&gt;C:\Users\stu\Documents\GitHub\eaglep3-reporting\EC\2016-10-08-refined-times.txt</v>
      </c>
      <c r="AI53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{"issue":{"subject":"","project_id":79,"tracker_id":40,"status_id":1,"priority_id":2,"assigned_to_id":23,"start_date":"2016-10-08","description":"","custom_fields":[{"id":1,"name":"Subdivision","value":"EC"},{"id":4,"name":"Milepost","value":"0.0156"},{"id":17,"name":"Train ID","value":"140-08"},{"id":16,"name":"Locomotive ID","value":"4054"},{"id":130,"name":"Impact","value":""},{"id":150,"name":"Time of Event (Mountain Time)","value":"10:06:11"},{"id":151,"name":"Denver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446</v>
      </c>
      <c r="B54" s="7">
        <v>4027</v>
      </c>
      <c r="C54" s="24" t="s">
        <v>106</v>
      </c>
      <c r="D54" s="24" t="s">
        <v>216</v>
      </c>
      <c r="E54" s="15">
        <v>42651.359351851854</v>
      </c>
      <c r="F54" s="15">
        <v>42651.364918981482</v>
      </c>
      <c r="G54" s="7">
        <v>1</v>
      </c>
      <c r="H54" s="15" t="s">
        <v>623</v>
      </c>
      <c r="I54" s="15">
        <v>42651.389803240738</v>
      </c>
      <c r="J54" s="7">
        <v>1</v>
      </c>
      <c r="K54" s="116" t="str">
        <f t="shared" si="49"/>
        <v>4027/4028</v>
      </c>
      <c r="L54" s="24" t="str">
        <f>VLOOKUP(A54,'Trips&amp;Operators'!$C$1:$E$10000,3,FALSE)</f>
        <v>MAELZER</v>
      </c>
      <c r="M54" s="6">
        <f t="shared" si="50"/>
        <v>2.488425925548654E-2</v>
      </c>
      <c r="N54" s="7">
        <f t="shared" si="51"/>
        <v>35.833333327900618</v>
      </c>
      <c r="O54" s="7"/>
      <c r="P54" s="7"/>
      <c r="Q54" s="25"/>
      <c r="R54" s="25"/>
      <c r="S54" s="37">
        <f t="shared" si="52"/>
        <v>1</v>
      </c>
      <c r="T54" s="52" t="str">
        <f t="shared" si="53"/>
        <v>NorthBound</v>
      </c>
      <c r="U54" s="15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07:37:28-0600',mode:absolute,to:'2016-10-08 10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4" s="54" t="str">
        <f t="shared" si="55"/>
        <v>N</v>
      </c>
      <c r="X54" s="163">
        <f t="shared" si="61"/>
        <v>1</v>
      </c>
      <c r="Y54" s="69">
        <f t="shared" si="56"/>
        <v>4.6399999999999997E-2</v>
      </c>
      <c r="Z54" s="69">
        <f t="shared" si="57"/>
        <v>23.333400000000001</v>
      </c>
      <c r="AA54" s="69">
        <f t="shared" si="58"/>
        <v>23.287000000000003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59"/>
        <v>0141-08</v>
      </c>
      <c r="AE54" s="94" t="str">
        <f t="shared" si="8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54" s="91" t="str">
        <f t="shared" si="9"/>
        <v>"C:\Program Files (x86)\AstroGrep\AstroGrep.exe" /spath="%USERPROFILE%\AppData\Local\Temp\OnboardLogs" /stypes="app*4027*20161008*" /stext=" 15:.+((SYSTEM_STATE.+slice.+state.+changed )|(ment ac)|(system.+state.+changed )|(\[timeout)|(PRM\|1\|D)|(kpr)|(kdp)|(\|lc)|(penalty))" /e /r /s</v>
      </c>
      <c r="AG54" s="1" t="str">
        <f t="shared" si="60"/>
        <v>EC</v>
      </c>
      <c r="AH54" s="95" t="str">
        <f t="shared" si="13"/>
        <v>"%USERPROFILE%\Documents\GitHub\eaglep3\Utilities\RefineRTDCRunTimes.py" --tripid 141-08 --locoid 4027 --swversion DE.1.0.7.0 --startMP 204:464 --initTime 2016-10-08T08:37:28 --startdatetime 2016-10-08T08:45:29 --delay 1 --endMP 204:233334 --enddatetime 2016-10-08T09:21:19 --enforcementcount 1 &gt;&gt;C:\Users\stu\Documents\GitHub\eaglep3-reporting\EC\2016-10-08-refined-times.txt</v>
      </c>
      <c r="AI54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{"issue":{"subject":"","project_id":79,"tracker_id":40,"status_id":1,"priority_id":2,"assigned_to_id":23,"start_date":"2016-10-08","description":"","custom_fields":[{"id":1,"name":"Subdivision","value":"EC"},{"id":4,"name":"Milepost","value":"23.3334"},{"id":17,"name":"Train ID","value":"141-08"},{"id":16,"name":"Locomotive ID","value":"4027"},{"id":130,"name":"Impact","value":""},{"id":150,"name":"Time of Event (Mountain Time)","value":"09:21:19"},{"id":151,"name":"Denver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454</v>
      </c>
      <c r="B55" s="7">
        <v>4028</v>
      </c>
      <c r="C55" s="24" t="s">
        <v>106</v>
      </c>
      <c r="D55" s="24" t="s">
        <v>624</v>
      </c>
      <c r="E55" s="15">
        <v>42651.398657407408</v>
      </c>
      <c r="F55" s="15">
        <v>42651.403749999998</v>
      </c>
      <c r="G55" s="7">
        <v>1</v>
      </c>
      <c r="H55" s="15" t="s">
        <v>210</v>
      </c>
      <c r="I55" s="15">
        <v>42651.430196759262</v>
      </c>
      <c r="J55" s="7">
        <v>1</v>
      </c>
      <c r="K55" s="116" t="str">
        <f t="shared" si="49"/>
        <v>4027/4028</v>
      </c>
      <c r="L55" s="24" t="str">
        <f>VLOOKUP(A55,'Trips&amp;Operators'!$C$1:$E$10000,3,FALSE)</f>
        <v>MAELZER</v>
      </c>
      <c r="M55" s="6">
        <f t="shared" si="50"/>
        <v>2.644675926421769E-2</v>
      </c>
      <c r="N55" s="7">
        <f t="shared" si="51"/>
        <v>38.083333340473473</v>
      </c>
      <c r="O55" s="7"/>
      <c r="P55" s="7"/>
      <c r="Q55" s="25"/>
      <c r="R55" s="25"/>
      <c r="S55" s="37">
        <f t="shared" si="52"/>
        <v>1</v>
      </c>
      <c r="T55" s="52" t="str">
        <f t="shared" si="53"/>
        <v>Southbound</v>
      </c>
      <c r="U55" s="15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08:34:04-0600',mode:absolute,to:'2016-10-08 11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5" s="54" t="str">
        <f t="shared" si="55"/>
        <v>N</v>
      </c>
      <c r="X55" s="163">
        <f t="shared" si="61"/>
        <v>1</v>
      </c>
      <c r="Y55" s="69">
        <f t="shared" si="56"/>
        <v>23.2987</v>
      </c>
      <c r="Z55" s="69">
        <f t="shared" si="57"/>
        <v>1.41E-2</v>
      </c>
      <c r="AA55" s="69">
        <f t="shared" si="58"/>
        <v>23.284600000000001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59"/>
        <v>0142-08</v>
      </c>
      <c r="AE55" s="94" t="str">
        <f t="shared" si="8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55" s="91" t="str">
        <f t="shared" si="9"/>
        <v>"C:\Program Files (x86)\AstroGrep\AstroGrep.exe" /spath="%USERPROFILE%\AppData\Local\Temp\OnboardLogs" /stypes="app*4028*20161008*" /stext=" 16:.+((SYSTEM_STATE.+slice.+state.+changed )|(ment ac)|(system.+state.+changed )|(\[timeout)|(PRM\|1\|D)|(kpr)|(kdp)|(\|lc)|(penalty))" /e /r /s</v>
      </c>
      <c r="AG55" s="1" t="str">
        <f t="shared" si="60"/>
        <v>EC</v>
      </c>
      <c r="AH55" s="95" t="str">
        <f t="shared" si="13"/>
        <v>"%USERPROFILE%\Documents\GitHub\eaglep3\Utilities\RefineRTDCRunTimes.py" --tripid 142-08 --locoid 4028 --swversion DE.1.0.7.0 --startMP 204:232987 --initTime 2016-10-08T09:34:04 --startdatetime 2016-10-08T09:41:24 --delay 1 --endMP 204:141 --enddatetime 2016-10-08T10:19:29 --enforcementcount 1 &gt;&gt;C:\Users\stu\Documents\GitHub\eaglep3-reporting\EC\2016-10-08-refined-times.txt</v>
      </c>
      <c r="AI5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ID","value":"142-08"},{"id":16,"name":"Locomotive ID","value":"4028"},{"id":130,"name":"Impact","value":""},{"id":150,"name":"Time of Event (Mountain Time)","value":"10:19:29"},{"id":151,"name":"Denver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448</v>
      </c>
      <c r="B56" s="7">
        <v>4038</v>
      </c>
      <c r="C56" s="24" t="s">
        <v>106</v>
      </c>
      <c r="D56" s="24" t="s">
        <v>197</v>
      </c>
      <c r="E56" s="15">
        <v>42651.370844907404</v>
      </c>
      <c r="F56" s="15">
        <v>42651.375347222223</v>
      </c>
      <c r="G56" s="7">
        <v>1</v>
      </c>
      <c r="H56" s="15" t="s">
        <v>194</v>
      </c>
      <c r="I56" s="15">
        <v>42651.402766203704</v>
      </c>
      <c r="J56" s="7">
        <v>1</v>
      </c>
      <c r="K56" s="116" t="str">
        <f t="shared" si="49"/>
        <v>4037/4038</v>
      </c>
      <c r="L56" s="24" t="str">
        <f>VLOOKUP(A56,'Trips&amp;Operators'!$C$1:$E$10000,3,FALSE)</f>
        <v>STRICKLAND</v>
      </c>
      <c r="M56" s="6">
        <f t="shared" si="50"/>
        <v>2.7418981480877846E-2</v>
      </c>
      <c r="N56" s="7">
        <f t="shared" si="51"/>
        <v>39.483333332464099</v>
      </c>
      <c r="O56" s="7"/>
      <c r="P56" s="7"/>
      <c r="Q56" s="25"/>
      <c r="R56" s="25"/>
      <c r="S56" s="37">
        <f t="shared" si="52"/>
        <v>1</v>
      </c>
      <c r="T56" s="52" t="str">
        <f t="shared" si="53"/>
        <v>NorthBound</v>
      </c>
      <c r="U56" s="15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07:54:01-0600',mode:absolute,to:'2016-10-08 10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6" s="54" t="str">
        <f t="shared" si="55"/>
        <v>N</v>
      </c>
      <c r="X56" s="163">
        <f t="shared" si="61"/>
        <v>1</v>
      </c>
      <c r="Y56" s="69">
        <f t="shared" si="56"/>
        <v>4.6600000000000003E-2</v>
      </c>
      <c r="Z56" s="69">
        <f t="shared" si="57"/>
        <v>23.3291</v>
      </c>
      <c r="AA56" s="69">
        <f t="shared" si="58"/>
        <v>23.282499999999999</v>
      </c>
      <c r="AB56" s="66" t="str">
        <f>VLOOKUP(A56,Enforcements!$C$7:$K$21,8,0)</f>
        <v>Speed (6)</v>
      </c>
      <c r="AC56" s="62" t="str">
        <f>VLOOKUP(A56,Enforcements!$C$7:$E$21,3,0)</f>
        <v>PERMANENT SPEED RESTRICTION</v>
      </c>
      <c r="AD56" s="63" t="str">
        <f t="shared" si="59"/>
        <v>0143-08</v>
      </c>
      <c r="AE56" s="94" t="str">
        <f t="shared" si="8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56" s="91" t="str">
        <f t="shared" si="9"/>
        <v>"C:\Program Files (x86)\AstroGrep\AstroGrep.exe" /spath="%USERPROFILE%\AppData\Local\Temp\OnboardLogs" /stypes="app*4038*20161008*" /stext=" 15:.+((SYSTEM_STATE.+slice.+state.+changed )|(ment ac)|(system.+state.+changed )|(\[timeout)|(PRM\|1\|D)|(kpr)|(kdp)|(\|lc)|(penalty))" /e /r /s</v>
      </c>
      <c r="AG56" s="1" t="str">
        <f t="shared" si="60"/>
        <v>EC</v>
      </c>
      <c r="AH56" s="95" t="str">
        <f t="shared" si="13"/>
        <v>"%USERPROFILE%\Documents\GitHub\eaglep3\Utilities\RefineRTDCRunTimes.py" --tripid 143-08 --locoid 4038 --swversion DE.1.0.7.0 --startMP 204:466 --initTime 2016-10-08T08:54:01 --startdatetime 2016-10-08T09:00:30 --delay 1 --endMP 204:233291 --enddatetime 2016-10-08T09:39:59 --enforcementcount 1 &gt;&gt;C:\Users\stu\Documents\GitHub\eaglep3-reporting\EC\2016-10-08-refined-times.txt</v>
      </c>
      <c r="AI5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{"issue":{"subject":"","project_id":79,"tracker_id":40,"status_id":1,"priority_id":2,"assigned_to_id":23,"start_date":"2016-10-08","description":"","custom_fields":[{"id":1,"name":"Subdivision","value":"EC"},{"id":4,"name":"Milepost","value":"23.3291"},{"id":17,"name":"Train ID","value":"143-08"},{"id":16,"name":"Locomotive ID","value":"4038"},{"id":130,"name":"Impact","value":""},{"id":150,"name":"Time of Event (Mountain Time)","value":"09:39:59"},{"id":151,"name":"Denver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457</v>
      </c>
      <c r="B57" s="7">
        <v>4037</v>
      </c>
      <c r="C57" s="24" t="s">
        <v>106</v>
      </c>
      <c r="D57" s="24" t="s">
        <v>226</v>
      </c>
      <c r="E57" s="15">
        <v>42651.409317129626</v>
      </c>
      <c r="F57" s="15">
        <v>42651.414085648146</v>
      </c>
      <c r="G57" s="7">
        <v>1</v>
      </c>
      <c r="H57" s="15" t="s">
        <v>193</v>
      </c>
      <c r="I57" s="15">
        <v>42651.441435185188</v>
      </c>
      <c r="J57" s="7">
        <v>1</v>
      </c>
      <c r="K57" s="116" t="str">
        <f t="shared" si="49"/>
        <v>4037/4038</v>
      </c>
      <c r="L57" s="24" t="str">
        <f>VLOOKUP(A57,'Trips&amp;Operators'!$C$1:$E$10000,3,FALSE)</f>
        <v>STRICKLAND</v>
      </c>
      <c r="M57" s="6">
        <f t="shared" si="50"/>
        <v>2.7349537042027805E-2</v>
      </c>
      <c r="N57" s="7">
        <f t="shared" si="51"/>
        <v>39.383333340520039</v>
      </c>
      <c r="O57" s="7"/>
      <c r="P57" s="7"/>
      <c r="Q57" s="25"/>
      <c r="R57" s="25"/>
      <c r="S57" s="37">
        <f t="shared" si="52"/>
        <v>1</v>
      </c>
      <c r="T57" s="52" t="str">
        <f t="shared" si="53"/>
        <v>Southbound</v>
      </c>
      <c r="U57" s="15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08:49:25-0600',mode:absolute,to:'2016-10-08 11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7" s="54" t="str">
        <f t="shared" si="55"/>
        <v>N</v>
      </c>
      <c r="X57" s="163">
        <f t="shared" si="61"/>
        <v>1</v>
      </c>
      <c r="Y57" s="69">
        <f t="shared" si="56"/>
        <v>23.2986</v>
      </c>
      <c r="Z57" s="69">
        <f t="shared" si="57"/>
        <v>1.4999999999999999E-2</v>
      </c>
      <c r="AA57" s="69">
        <f t="shared" si="58"/>
        <v>23.2836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59"/>
        <v>0144-08</v>
      </c>
      <c r="AE57" s="94" t="str">
        <f t="shared" si="8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57" s="91" t="str">
        <f t="shared" si="9"/>
        <v>"C:\Program Files (x86)\AstroGrep\AstroGrep.exe" /spath="%USERPROFILE%\AppData\Local\Temp\OnboardLogs" /stypes="app*4037*20161008*" /stext=" 16:.+((SYSTEM_STATE.+slice.+state.+changed )|(ment ac)|(system.+state.+changed )|(\[timeout)|(PRM\|1\|D)|(kpr)|(kdp)|(\|lc)|(penalty))" /e /r /s</v>
      </c>
      <c r="AG57" s="1" t="str">
        <f t="shared" si="60"/>
        <v>EC</v>
      </c>
      <c r="AH57" s="95" t="str">
        <f t="shared" si="13"/>
        <v>"%USERPROFILE%\Documents\GitHub\eaglep3\Utilities\RefineRTDCRunTimes.py" --tripid 144-08 --locoid 4037 --swversion DE.1.0.7.0 --startMP 204:232986 --initTime 2016-10-08T09:49:25 --startdatetime 2016-10-08T09:56:17 --delay 1 --endMP 204:150 --enddatetime 2016-10-08T10:35:40 --enforcementcount 1 &gt;&gt;C:\Users\stu\Documents\GitHub\eaglep3-reporting\EC\2016-10-08-refined-times.txt</v>
      </c>
      <c r="AI57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{"issue":{"subject":"","project_id":79,"tracker_id":40,"status_id":1,"priority_id":2,"assigned_to_id":23,"start_date":"2016-10-08","description":"","custom_fields":[{"id":1,"name":"Subdivision","value":"EC"},{"id":4,"name":"Milepost","value":"0.015"},{"id":17,"name":"Train ID","value":"144-08"},{"id":16,"name":"Locomotive ID","value":"4037"},{"id":130,"name":"Impact","value":""},{"id":150,"name":"Time of Event (Mountain Time)","value":"10:35:40"},{"id":151,"name":"Denver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451</v>
      </c>
      <c r="B58" s="7">
        <v>4014</v>
      </c>
      <c r="C58" s="24" t="s">
        <v>106</v>
      </c>
      <c r="D58" s="24" t="s">
        <v>197</v>
      </c>
      <c r="E58" s="15">
        <v>42651.384062500001</v>
      </c>
      <c r="F58" s="15">
        <v>42651.385613425926</v>
      </c>
      <c r="G58" s="7">
        <v>1</v>
      </c>
      <c r="H58" s="15" t="s">
        <v>223</v>
      </c>
      <c r="I58" s="15">
        <v>42651.411354166667</v>
      </c>
      <c r="J58" s="7">
        <v>1</v>
      </c>
      <c r="K58" s="116" t="str">
        <f t="shared" si="49"/>
        <v>4013/4014</v>
      </c>
      <c r="L58" s="24" t="str">
        <f>VLOOKUP(A58,'Trips&amp;Operators'!$C$1:$E$10000,3,FALSE)</f>
        <v>MALAVE</v>
      </c>
      <c r="M58" s="6">
        <f t="shared" si="50"/>
        <v>2.5740740740729962E-2</v>
      </c>
      <c r="N58" s="7">
        <f t="shared" si="51"/>
        <v>37.066666666651145</v>
      </c>
      <c r="O58" s="7"/>
      <c r="P58" s="7"/>
      <c r="Q58" s="25"/>
      <c r="R58" s="25"/>
      <c r="S58" s="37">
        <f t="shared" si="52"/>
        <v>1</v>
      </c>
      <c r="T58" s="52" t="str">
        <f t="shared" si="53"/>
        <v>NorthBound</v>
      </c>
      <c r="U58" s="15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08:13:03-0600',mode:absolute,to:'2016-10-08 10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8" s="54" t="str">
        <f t="shared" si="55"/>
        <v>N</v>
      </c>
      <c r="X58" s="163">
        <f t="shared" si="61"/>
        <v>1</v>
      </c>
      <c r="Y58" s="69">
        <f t="shared" si="56"/>
        <v>4.6600000000000003E-2</v>
      </c>
      <c r="Z58" s="69">
        <f t="shared" si="57"/>
        <v>23.3293</v>
      </c>
      <c r="AA58" s="69">
        <f t="shared" si="58"/>
        <v>23.282699999999998</v>
      </c>
      <c r="AB58" s="66" t="str">
        <f>VLOOKUP(A58,Enforcements!$C$7:$K$21,8,0)</f>
        <v>Speed (6)</v>
      </c>
      <c r="AC58" s="62" t="str">
        <f>VLOOKUP(A58,Enforcements!$C$7:$E$21,3,0)</f>
        <v>PERMANENT SPEED RESTRICTION</v>
      </c>
      <c r="AD58" s="63" t="str">
        <f t="shared" si="59"/>
        <v>0145-08</v>
      </c>
      <c r="AE58" s="94" t="str">
        <f t="shared" si="8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58" s="91" t="str">
        <f t="shared" si="9"/>
        <v>"C:\Program Files (x86)\AstroGrep\AstroGrep.exe" /spath="%USERPROFILE%\AppData\Local\Temp\OnboardLogs" /stypes="app*4014*20161008*" /stext=" 15:.+((SYSTEM_STATE.+slice.+state.+changed )|(ment ac)|(system.+state.+changed )|(\[timeout)|(PRM\|1\|D)|(kpr)|(kdp)|(\|lc)|(penalty))" /e /r /s</v>
      </c>
      <c r="AG58" s="1" t="str">
        <f t="shared" si="60"/>
        <v>EC</v>
      </c>
      <c r="AH58" s="95" t="str">
        <f t="shared" si="13"/>
        <v>"%USERPROFILE%\Documents\GitHub\eaglep3\Utilities\RefineRTDCRunTimes.py" --tripid 145-08 --locoid 4014 --swversion DE.1.0.7.0 --startMP 204:466 --initTime 2016-10-08T09:13:03 --startdatetime 2016-10-08T09:15:17 --delay 1 --endMP 204:233293 --enddatetime 2016-10-08T09:52:21 --enforcementcount 1 &gt;&gt;C:\Users\stu\Documents\GitHub\eaglep3-reporting\EC\2016-10-08-refined-times.txt</v>
      </c>
      <c r="AI58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ID","value":"145-08"},{"id":16,"name":"Locomotive ID","value":"4014"},{"id":130,"name":"Impact","value":""},{"id":150,"name":"Time of Event (Mountain Time)","value":"09:52:21"},{"id":151,"name":"Denver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460</v>
      </c>
      <c r="B59" s="7">
        <v>4013</v>
      </c>
      <c r="C59" s="24" t="s">
        <v>106</v>
      </c>
      <c r="D59" s="24" t="s">
        <v>625</v>
      </c>
      <c r="E59" s="15">
        <v>42651.422152777777</v>
      </c>
      <c r="F59" s="15">
        <v>42651.424571759257</v>
      </c>
      <c r="G59" s="7">
        <v>3</v>
      </c>
      <c r="H59" s="15" t="s">
        <v>209</v>
      </c>
      <c r="I59" s="15">
        <v>42651.451469907406</v>
      </c>
      <c r="J59" s="7">
        <v>1</v>
      </c>
      <c r="K59" s="116" t="str">
        <f t="shared" si="49"/>
        <v>4013/4014</v>
      </c>
      <c r="L59" s="24" t="str">
        <f>VLOOKUP(A59,'Trips&amp;Operators'!$C$1:$E$10000,3,FALSE)</f>
        <v>MALAVE</v>
      </c>
      <c r="M59" s="6">
        <f t="shared" si="50"/>
        <v>2.6898148149484769E-2</v>
      </c>
      <c r="N59" s="7">
        <f t="shared" si="51"/>
        <v>38.733333335258067</v>
      </c>
      <c r="O59" s="7"/>
      <c r="P59" s="7"/>
      <c r="Q59" s="25"/>
      <c r="R59" s="25"/>
      <c r="S59" s="37">
        <f t="shared" si="52"/>
        <v>1</v>
      </c>
      <c r="T59" s="52" t="str">
        <f t="shared" si="53"/>
        <v>Southbound</v>
      </c>
      <c r="U59" s="15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09:07:54-0600',mode:absolute,to:'2016-10-08 11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9" s="54" t="str">
        <f t="shared" si="55"/>
        <v>N</v>
      </c>
      <c r="X59" s="163">
        <f t="shared" si="61"/>
        <v>1</v>
      </c>
      <c r="Y59" s="69">
        <f t="shared" si="56"/>
        <v>23.296800000000001</v>
      </c>
      <c r="Z59" s="69">
        <f t="shared" si="57"/>
        <v>1.4500000000000001E-2</v>
      </c>
      <c r="AA59" s="69">
        <f t="shared" si="58"/>
        <v>23.282299999999999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59"/>
        <v>0146-08</v>
      </c>
      <c r="AE59" s="94" t="str">
        <f t="shared" si="8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59" s="91" t="str">
        <f t="shared" si="9"/>
        <v>"C:\Program Files (x86)\AstroGrep\AstroGrep.exe" /spath="%USERPROFILE%\AppData\Local\Temp\OnboardLogs" /stypes="app*4013*20161008*" /stext=" 16:.+((SYSTEM_STATE.+slice.+state.+changed )|(ment ac)|(system.+state.+changed )|(\[timeout)|(PRM\|1\|D)|(kpr)|(kdp)|(\|lc)|(penalty))" /e /r /s</v>
      </c>
      <c r="AG59" s="1" t="str">
        <f t="shared" si="60"/>
        <v>EC</v>
      </c>
      <c r="AH59" s="95" t="str">
        <f t="shared" si="13"/>
        <v>"%USERPROFILE%\Documents\GitHub\eaglep3\Utilities\RefineRTDCRunTimes.py" --tripid 146-08 --locoid 4013 --swversion DE.1.0.7.0 --startMP 204:232968 --initTime 2016-10-08T10:07:54 --startdatetime 2016-10-08T10:11:23 --delay 3 --endMP 204:145 --enddatetime 2016-10-08T10:50:07 --enforcementcount 1 &gt;&gt;C:\Users\stu\Documents\GitHub\eaglep3-reporting\EC\2016-10-08-refined-times.txt</v>
      </c>
      <c r="AI5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ID","value":"146-08"},{"id":16,"name":"Locomotive ID","value":"4013"},{"id":130,"name":"Impact","value":""},{"id":150,"name":"Time of Event (Mountain Time)","value":"10:50:07"},{"id":151,"name":"Denver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453</v>
      </c>
      <c r="B60" s="7">
        <v>4044</v>
      </c>
      <c r="C60" s="24" t="s">
        <v>106</v>
      </c>
      <c r="D60" s="24" t="s">
        <v>299</v>
      </c>
      <c r="E60" s="15">
        <v>42651.390509259261</v>
      </c>
      <c r="F60" s="15">
        <v>42651.396064814813</v>
      </c>
      <c r="G60" s="7">
        <v>1</v>
      </c>
      <c r="H60" s="15" t="s">
        <v>194</v>
      </c>
      <c r="I60" s="15">
        <v>42651.420914351853</v>
      </c>
      <c r="J60" s="7">
        <v>1</v>
      </c>
      <c r="K60" s="116" t="str">
        <f t="shared" si="49"/>
        <v>4043/4044</v>
      </c>
      <c r="L60" s="24" t="str">
        <f>VLOOKUP(A60,'Trips&amp;Operators'!$C$1:$E$10000,3,FALSE)</f>
        <v>ACKERMAN</v>
      </c>
      <c r="M60" s="6">
        <f t="shared" si="50"/>
        <v>2.4849537039699499E-2</v>
      </c>
      <c r="N60" s="7">
        <f t="shared" si="51"/>
        <v>35.783333337167278</v>
      </c>
      <c r="O60" s="7"/>
      <c r="P60" s="7"/>
      <c r="Q60" s="25"/>
      <c r="R60" s="25"/>
      <c r="S60" s="37">
        <f t="shared" si="52"/>
        <v>1</v>
      </c>
      <c r="T60" s="52" t="str">
        <f t="shared" si="53"/>
        <v>NorthBound</v>
      </c>
      <c r="U60" s="15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08:22:20-0600',mode:absolute,to:'2016-10-08 11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0" s="54" t="str">
        <f t="shared" si="55"/>
        <v>N</v>
      </c>
      <c r="X60" s="163">
        <f t="shared" si="61"/>
        <v>1</v>
      </c>
      <c r="Y60" s="69">
        <f t="shared" si="56"/>
        <v>4.3700000000000003E-2</v>
      </c>
      <c r="Z60" s="69">
        <f t="shared" si="57"/>
        <v>23.3291</v>
      </c>
      <c r="AA60" s="69">
        <f t="shared" si="58"/>
        <v>23.285399999999999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59"/>
        <v>0147-08</v>
      </c>
      <c r="AE60" s="94" t="str">
        <f t="shared" si="8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60" s="91" t="str">
        <f t="shared" si="9"/>
        <v>"C:\Program Files (x86)\AstroGrep\AstroGrep.exe" /spath="%USERPROFILE%\AppData\Local\Temp\OnboardLogs" /stypes="app*4044*20161008*" /stext=" 16:.+((SYSTEM_STATE.+slice.+state.+changed )|(ment ac)|(system.+state.+changed )|(\[timeout)|(PRM\|1\|D)|(kpr)|(kdp)|(\|lc)|(penalty))" /e /r /s</v>
      </c>
      <c r="AG60" s="1" t="str">
        <f t="shared" si="60"/>
        <v>EC</v>
      </c>
      <c r="AH60" s="95" t="str">
        <f t="shared" si="13"/>
        <v>"%USERPROFILE%\Documents\GitHub\eaglep3\Utilities\RefineRTDCRunTimes.py" --tripid 147-08 --locoid 4044 --swversion DE.1.0.7.0 --startMP 204:437 --initTime 2016-10-08T09:22:20 --startdatetime 2016-10-08T09:30:20 --delay 1 --endMP 204:233291 --enddatetime 2016-10-08T10:06:07 --enforcementcount 1 &gt;&gt;C:\Users\stu\Documents\GitHub\eaglep3-reporting\EC\2016-10-08-refined-times.txt</v>
      </c>
      <c r="AI60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{"issue":{"subject":"","project_id":79,"tracker_id":40,"status_id":1,"priority_id":2,"assigned_to_id":23,"start_date":"2016-10-08","description":"","custom_fields":[{"id":1,"name":"Subdivision","value":"EC"},{"id":4,"name":"Milepost","value":"23.3291"},{"id":17,"name":"Train ID","value":"147-08"},{"id":16,"name":"Locomotive ID","value":"4044"},{"id":130,"name":"Impact","value":""},{"id":150,"name":"Time of Event (Mountain Time)","value":"10:06:07"},{"id":151,"name":"Denver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462</v>
      </c>
      <c r="B61" s="7">
        <v>4043</v>
      </c>
      <c r="C61" s="24" t="s">
        <v>106</v>
      </c>
      <c r="D61" s="24" t="s">
        <v>234</v>
      </c>
      <c r="E61" s="15">
        <v>42651.428553240738</v>
      </c>
      <c r="F61" s="15">
        <v>42651.434918981482</v>
      </c>
      <c r="G61" s="7">
        <v>1</v>
      </c>
      <c r="H61" s="15" t="s">
        <v>202</v>
      </c>
      <c r="I61" s="15">
        <v>42651.462314814817</v>
      </c>
      <c r="J61" s="7">
        <v>1</v>
      </c>
      <c r="K61" s="116" t="str">
        <f t="shared" si="49"/>
        <v>4043/4044</v>
      </c>
      <c r="L61" s="24" t="str">
        <f>VLOOKUP(A61,'Trips&amp;Operators'!$C$1:$E$10000,3,FALSE)</f>
        <v>ACKERMAN</v>
      </c>
      <c r="M61" s="6">
        <f t="shared" si="50"/>
        <v>2.7395833334594499E-2</v>
      </c>
      <c r="N61" s="7">
        <f t="shared" si="51"/>
        <v>39.450000001816079</v>
      </c>
      <c r="O61" s="7"/>
      <c r="P61" s="7"/>
      <c r="Q61" s="25"/>
      <c r="R61" s="25"/>
      <c r="S61" s="37">
        <f t="shared" si="52"/>
        <v>1</v>
      </c>
      <c r="T61" s="52" t="str">
        <f t="shared" si="53"/>
        <v>Southbound</v>
      </c>
      <c r="U61" s="15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09:17:07-0600',mode:absolute,to:'2016-10-08 12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1" s="54" t="str">
        <f t="shared" si="55"/>
        <v>N</v>
      </c>
      <c r="X61" s="163">
        <f t="shared" si="61"/>
        <v>1</v>
      </c>
      <c r="Y61" s="69">
        <f t="shared" si="56"/>
        <v>23.296900000000001</v>
      </c>
      <c r="Z61" s="69">
        <f t="shared" si="57"/>
        <v>1.38E-2</v>
      </c>
      <c r="AA61" s="69">
        <f t="shared" si="58"/>
        <v>23.283100000000001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59"/>
        <v>0148-08</v>
      </c>
      <c r="AE61" s="94" t="str">
        <f t="shared" si="8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61" s="91" t="str">
        <f t="shared" si="9"/>
        <v>"C:\Program Files (x86)\AstroGrep\AstroGrep.exe" /spath="%USERPROFILE%\AppData\Local\Temp\OnboardLogs" /stypes="app*4043*20161008*" /stext=" 17:.+((SYSTEM_STATE.+slice.+state.+changed )|(ment ac)|(system.+state.+changed )|(\[timeout)|(PRM\|1\|D)|(kpr)|(kdp)|(\|lc)|(penalty))" /e /r /s</v>
      </c>
      <c r="AG61" s="1" t="str">
        <f t="shared" si="60"/>
        <v>EC</v>
      </c>
      <c r="AH61" s="95" t="str">
        <f t="shared" si="13"/>
        <v>"%USERPROFILE%\Documents\GitHub\eaglep3\Utilities\RefineRTDCRunTimes.py" --tripid 148-08 --locoid 4043 --swversion DE.1.0.7.0 --startMP 204:232969 --initTime 2016-10-08T10:17:07 --startdatetime 2016-10-08T10:26:17 --delay 1 --endMP 204:138 --enddatetime 2016-10-08T11:05:44 --enforcementcount 1 &gt;&gt;C:\Users\stu\Documents\GitHub\eaglep3-reporting\EC\2016-10-08-refined-times.txt</v>
      </c>
      <c r="AI61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{"issue":{"subject":"","project_id":79,"tracker_id":40,"status_id":1,"priority_id":2,"assigned_to_id":23,"start_date":"2016-10-08","description":"","custom_fields":[{"id":1,"name":"Subdivision","value":"EC"},{"id":4,"name":"Milepost","value":"0.0138"},{"id":17,"name":"Train ID","value":"148-08"},{"id":16,"name":"Locomotive ID","value":"4043"},{"id":130,"name":"Impact","value":""},{"id":150,"name":"Time of Event (Mountain Time)","value":"11:05:44"},{"id":151,"name":"Denver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456</v>
      </c>
      <c r="B62" s="7">
        <v>4042</v>
      </c>
      <c r="C62" s="24" t="s">
        <v>106</v>
      </c>
      <c r="D62" s="24" t="s">
        <v>626</v>
      </c>
      <c r="E62" s="15">
        <v>42651.400983796295</v>
      </c>
      <c r="F62" s="15">
        <v>42651.406423611108</v>
      </c>
      <c r="G62" s="7">
        <v>1</v>
      </c>
      <c r="H62" s="15" t="s">
        <v>254</v>
      </c>
      <c r="I62" s="15">
        <v>42651.431840277779</v>
      </c>
      <c r="J62" s="7">
        <v>1</v>
      </c>
      <c r="K62" s="116" t="str">
        <f t="shared" si="49"/>
        <v>4041/4042</v>
      </c>
      <c r="L62" s="24" t="str">
        <f>VLOOKUP(A62,'Trips&amp;Operators'!$C$1:$E$10000,3,FALSE)</f>
        <v>DAVIS</v>
      </c>
      <c r="M62" s="6">
        <f t="shared" si="50"/>
        <v>2.5416666670935228E-2</v>
      </c>
      <c r="N62" s="7">
        <f t="shared" si="51"/>
        <v>36.600000006146729</v>
      </c>
      <c r="O62" s="7"/>
      <c r="P62" s="7"/>
      <c r="Q62" s="25"/>
      <c r="R62" s="25"/>
      <c r="S62" s="37">
        <f t="shared" si="52"/>
        <v>1</v>
      </c>
      <c r="T62" s="52" t="str">
        <f t="shared" si="53"/>
        <v>NorthBound</v>
      </c>
      <c r="U62" s="15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08:37:25-0600',mode:absolute,to:'2016-10-08 11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2" s="54" t="str">
        <f t="shared" si="55"/>
        <v>N</v>
      </c>
      <c r="X62" s="163">
        <f t="shared" si="61"/>
        <v>1</v>
      </c>
      <c r="Y62" s="69">
        <f t="shared" si="56"/>
        <v>5.3699999999999998E-2</v>
      </c>
      <c r="Z62" s="69">
        <f t="shared" si="57"/>
        <v>23.331900000000001</v>
      </c>
      <c r="AA62" s="69">
        <f t="shared" si="58"/>
        <v>23.278200000000002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59"/>
        <v>0149-08</v>
      </c>
      <c r="AE62" s="94" t="str">
        <f t="shared" si="8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62" s="91" t="str">
        <f t="shared" si="9"/>
        <v>"C:\Program Files (x86)\AstroGrep\AstroGrep.exe" /spath="%USERPROFILE%\AppData\Local\Temp\OnboardLogs" /stypes="app*4042*20161008*" /stext=" 16:.+((SYSTEM_STATE.+slice.+state.+changed )|(ment ac)|(system.+state.+changed )|(\[timeout)|(PRM\|1\|D)|(kpr)|(kdp)|(\|lc)|(penalty))" /e /r /s</v>
      </c>
      <c r="AG62" s="1" t="str">
        <f t="shared" si="60"/>
        <v>EC</v>
      </c>
      <c r="AH62" s="95" t="str">
        <f t="shared" si="13"/>
        <v>"%USERPROFILE%\Documents\GitHub\eaglep3\Utilities\RefineRTDCRunTimes.py" --tripid 149-08 --locoid 4042 --swversion DE.1.0.7.0 --startMP 204:537 --initTime 2016-10-08T09:37:25 --startdatetime 2016-10-08T09:45:15 --delay 1 --endMP 204:233319 --enddatetime 2016-10-08T10:21:51 --enforcementcount 1 &gt;&gt;C:\Users\stu\Documents\GitHub\eaglep3-reporting\EC\2016-10-08-refined-times.txt</v>
      </c>
      <c r="AI62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{"issue":{"subject":"","project_id":79,"tracker_id":40,"status_id":1,"priority_id":2,"assigned_to_id":23,"start_date":"2016-10-08","description":"","custom_fields":[{"id":1,"name":"Subdivision","value":"EC"},{"id":4,"name":"Milepost","value":"23.3319"},{"id":17,"name":"Train ID","value":"149-08"},{"id":16,"name":"Locomotive ID","value":"4042"},{"id":130,"name":"Impact","value":""},{"id":150,"name":"Time of Event (Mountain Time)","value":"10:21:51"},{"id":151,"name":"Denver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464</v>
      </c>
      <c r="B63" s="7">
        <v>4041</v>
      </c>
      <c r="C63" s="24" t="s">
        <v>106</v>
      </c>
      <c r="D63" s="24" t="s">
        <v>627</v>
      </c>
      <c r="E63" s="15">
        <v>42651.438101851854</v>
      </c>
      <c r="F63" s="15">
        <v>42651.445289351854</v>
      </c>
      <c r="G63" s="7">
        <v>1</v>
      </c>
      <c r="H63" s="15" t="s">
        <v>325</v>
      </c>
      <c r="I63" s="15">
        <v>42651.473229166666</v>
      </c>
      <c r="J63" s="7">
        <v>1</v>
      </c>
      <c r="K63" s="116" t="str">
        <f t="shared" si="49"/>
        <v>4041/4042</v>
      </c>
      <c r="L63" s="24" t="str">
        <f>VLOOKUP(A63,'Trips&amp;Operators'!$C$1:$E$10000,3,FALSE)</f>
        <v>DAVIS</v>
      </c>
      <c r="M63" s="6">
        <f t="shared" si="50"/>
        <v>2.7939814812270924E-2</v>
      </c>
      <c r="N63" s="7">
        <f t="shared" si="51"/>
        <v>40.233333329670131</v>
      </c>
      <c r="O63" s="7"/>
      <c r="P63" s="7"/>
      <c r="Q63" s="25"/>
      <c r="R63" s="25"/>
      <c r="S63" s="37">
        <f t="shared" si="52"/>
        <v>1</v>
      </c>
      <c r="T63" s="52" t="str">
        <f t="shared" si="53"/>
        <v>Southbound</v>
      </c>
      <c r="U63" s="15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09:30:52-0600',mode:absolute,to:'2016-10-08 12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3" s="54" t="str">
        <f t="shared" si="55"/>
        <v>N</v>
      </c>
      <c r="X63" s="163">
        <f t="shared" si="61"/>
        <v>1</v>
      </c>
      <c r="Y63" s="69">
        <f t="shared" si="56"/>
        <v>23.3004</v>
      </c>
      <c r="Z63" s="69">
        <f t="shared" si="57"/>
        <v>1.29E-2</v>
      </c>
      <c r="AA63" s="69">
        <f t="shared" si="58"/>
        <v>23.287500000000001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59"/>
        <v>0150-08</v>
      </c>
      <c r="AE63" s="94" t="str">
        <f t="shared" si="8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63" s="91" t="str">
        <f t="shared" si="9"/>
        <v>"C:\Program Files (x86)\AstroGrep\AstroGrep.exe" /spath="%USERPROFILE%\AppData\Local\Temp\OnboardLogs" /stypes="app*4041*20161008*" /stext=" 17:.+((SYSTEM_STATE.+slice.+state.+changed )|(ment ac)|(system.+state.+changed )|(\[timeout)|(PRM\|1\|D)|(kpr)|(kdp)|(\|lc)|(penalty))" /e /r /s</v>
      </c>
      <c r="AG63" s="1" t="str">
        <f t="shared" si="60"/>
        <v>EC</v>
      </c>
      <c r="AH63" s="95" t="str">
        <f t="shared" si="13"/>
        <v>"%USERPROFILE%\Documents\GitHub\eaglep3\Utilities\RefineRTDCRunTimes.py" --tripid 150-08 --locoid 4041 --swversion DE.1.0.7.0 --startMP 204:233004 --initTime 2016-10-08T10:30:52 --startdatetime 2016-10-08T10:41:13 --delay 1 --endMP 204:129 --enddatetime 2016-10-08T11:21:27 --enforcementcount 1 &gt;&gt;C:\Users\stu\Documents\GitHub\eaglep3-reporting\EC\2016-10-08-refined-times.txt</v>
      </c>
      <c r="AI63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{"issue":{"subject":"","project_id":79,"tracker_id":40,"status_id":1,"priority_id":2,"assigned_to_id":23,"start_date":"2016-10-08","description":"","custom_fields":[{"id":1,"name":"Subdivision","value":"EC"},{"id":4,"name":"Milepost","value":"0.0129"},{"id":17,"name":"Train ID","value":"150-08"},{"id":16,"name":"Locomotive ID","value":"4041"},{"id":130,"name":"Impact","value":""},{"id":150,"name":"Time of Event (Mountain Time)","value":"11:21:27"},{"id":151,"name":"Denver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458</v>
      </c>
      <c r="B64" s="7">
        <v>4025</v>
      </c>
      <c r="C64" s="24" t="s">
        <v>106</v>
      </c>
      <c r="D64" s="24" t="s">
        <v>628</v>
      </c>
      <c r="E64" s="15">
        <v>42651.411898148152</v>
      </c>
      <c r="F64" s="15">
        <v>42651.416863425926</v>
      </c>
      <c r="G64" s="7">
        <v>1</v>
      </c>
      <c r="H64" s="15" t="s">
        <v>300</v>
      </c>
      <c r="I64" s="15">
        <v>42651.442847222221</v>
      </c>
      <c r="J64" s="7">
        <v>1</v>
      </c>
      <c r="K64" s="116" t="str">
        <f t="shared" si="49"/>
        <v>4025/4026</v>
      </c>
      <c r="L64" s="24" t="str">
        <f>VLOOKUP(A64,'Trips&amp;Operators'!$C$1:$E$10000,3,FALSE)</f>
        <v>KILLION</v>
      </c>
      <c r="M64" s="6">
        <f t="shared" si="50"/>
        <v>2.5983796294895001E-2</v>
      </c>
      <c r="N64" s="7">
        <f t="shared" si="51"/>
        <v>37.416666664648801</v>
      </c>
      <c r="O64" s="7"/>
      <c r="P64" s="7"/>
      <c r="Q64" s="25"/>
      <c r="R64" s="25"/>
      <c r="S64" s="37">
        <f t="shared" si="52"/>
        <v>1</v>
      </c>
      <c r="T64" s="52" t="str">
        <f t="shared" si="53"/>
        <v>NorthBound</v>
      </c>
      <c r="U64" s="15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08:53:08-0600',mode:absolute,to:'2016-10-08 11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4" s="54" t="str">
        <f t="shared" si="55"/>
        <v>N</v>
      </c>
      <c r="X64" s="163">
        <f t="shared" si="61"/>
        <v>1</v>
      </c>
      <c r="Y64" s="69">
        <f t="shared" si="56"/>
        <v>5.4199999999999998E-2</v>
      </c>
      <c r="Z64" s="69">
        <f t="shared" si="57"/>
        <v>23.331099999999999</v>
      </c>
      <c r="AA64" s="69">
        <f t="shared" si="58"/>
        <v>23.276899999999998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59"/>
        <v>0151-08</v>
      </c>
      <c r="AE64" s="94" t="str">
        <f t="shared" si="8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64" s="91" t="str">
        <f t="shared" si="9"/>
        <v>"C:\Program Files (x86)\AstroGrep\AstroGrep.exe" /spath="%USERPROFILE%\AppData\Local\Temp\OnboardLogs" /stypes="app*4025*20161008*" /stext=" 16:.+((SYSTEM_STATE.+slice.+state.+changed )|(ment ac)|(system.+state.+changed )|(\[timeout)|(PRM\|1\|D)|(kpr)|(kdp)|(\|lc)|(penalty))" /e /r /s</v>
      </c>
      <c r="AG64" s="1" t="str">
        <f t="shared" si="60"/>
        <v>EC</v>
      </c>
      <c r="AH64" s="95" t="str">
        <f t="shared" si="13"/>
        <v>"%USERPROFILE%\Documents\GitHub\eaglep3\Utilities\RefineRTDCRunTimes.py" --tripid 151-08 --locoid 4025 --swversion DE.1.0.7.0 --startMP 204:542 --initTime 2016-10-08T09:53:08 --startdatetime 2016-10-08T10:00:17 --delay 1 --endMP 204:233311 --enddatetime 2016-10-08T10:37:42 --enforcementcount 1 &gt;&gt;C:\Users\stu\Documents\GitHub\eaglep3-reporting\EC\2016-10-08-refined-times.txt</v>
      </c>
      <c r="AI64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{"issue":{"subject":"","project_id":79,"tracker_id":40,"status_id":1,"priority_id":2,"assigned_to_id":23,"start_date":"2016-10-08","description":"","custom_fields":[{"id":1,"name":"Subdivision","value":"EC"},{"id":4,"name":"Milepost","value":"23.3311"},{"id":17,"name":"Train ID","value":"151-08"},{"id":16,"name":"Locomotive ID","value":"4025"},{"id":130,"name":"Impact","value":""},{"id":150,"name":"Time of Event (Mountain Time)","value":"10:37:42"},{"id":151,"name":"Denver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467</v>
      </c>
      <c r="B65" s="7">
        <v>4026</v>
      </c>
      <c r="C65" s="24" t="s">
        <v>106</v>
      </c>
      <c r="D65" s="24" t="s">
        <v>629</v>
      </c>
      <c r="E65" s="15">
        <v>42651.448912037034</v>
      </c>
      <c r="F65" s="15">
        <v>42651.455752314818</v>
      </c>
      <c r="G65" s="7">
        <v>1</v>
      </c>
      <c r="H65" s="15" t="s">
        <v>191</v>
      </c>
      <c r="I65" s="15">
        <v>42651.482916666668</v>
      </c>
      <c r="J65" s="7">
        <v>1</v>
      </c>
      <c r="K65" s="116" t="str">
        <f t="shared" si="49"/>
        <v>4025/4026</v>
      </c>
      <c r="L65" s="24" t="str">
        <f>VLOOKUP(A65,'Trips&amp;Operators'!$C$1:$E$10000,3,FALSE)</f>
        <v>KILLION</v>
      </c>
      <c r="M65" s="6">
        <f t="shared" si="50"/>
        <v>2.7164351849933155E-2</v>
      </c>
      <c r="N65" s="7">
        <f t="shared" si="51"/>
        <v>39.116666663903743</v>
      </c>
      <c r="O65" s="7"/>
      <c r="P65" s="7"/>
      <c r="Q65" s="25"/>
      <c r="R65" s="25"/>
      <c r="S65" s="37">
        <f t="shared" si="52"/>
        <v>1</v>
      </c>
      <c r="T65" s="52" t="str">
        <f t="shared" si="53"/>
        <v>Southbound</v>
      </c>
      <c r="U65" s="15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1" t="str">
        <f t="shared" si="54"/>
        <v>https://search-rtdc-monitor-bjffxe2xuh6vdkpspy63sjmuny.us-east-1.es.amazonaws.com/_plugin/kibana/#/discover/Steve-Slow-Train-Analysis-(2080s-and-2083s)?_g=(refreshInterval:(display:Off,section:0,value:0),time:(from:'2016-10-08 09:46:26-0600',mode:absolute,to:'2016-10-08 12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5" s="54" t="str">
        <f t="shared" si="55"/>
        <v>N</v>
      </c>
      <c r="X65" s="163">
        <f t="shared" si="61"/>
        <v>1</v>
      </c>
      <c r="Y65" s="69">
        <f t="shared" si="56"/>
        <v>23.2973</v>
      </c>
      <c r="Z65" s="69">
        <f t="shared" si="57"/>
        <v>1.47E-2</v>
      </c>
      <c r="AA65" s="69">
        <f t="shared" si="58"/>
        <v>23.282599999999999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59"/>
        <v>0152-08</v>
      </c>
      <c r="AE65" s="94" t="str">
        <f t="shared" si="8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65" s="91" t="str">
        <f t="shared" si="9"/>
        <v>"C:\Program Files (x86)\AstroGrep\AstroGrep.exe" /spath="%USERPROFILE%\AppData\Local\Temp\OnboardLogs" /stypes="app*4026*20161008*" /stext=" 17:.+((SYSTEM_STATE.+slice.+state.+changed )|(ment ac)|(system.+state.+changed )|(\[timeout)|(PRM\|1\|D)|(kpr)|(kdp)|(\|lc)|(penalty))" /e /r /s</v>
      </c>
      <c r="AG65" s="1" t="str">
        <f t="shared" si="60"/>
        <v>EC</v>
      </c>
      <c r="AH65" s="95" t="str">
        <f t="shared" si="13"/>
        <v>"%USERPROFILE%\Documents\GitHub\eaglep3\Utilities\RefineRTDCRunTimes.py" --tripid 152-08 --locoid 4026 --swversion DE.1.0.7.0 --startMP 204:232973 --initTime 2016-10-08T10:46:26 --startdatetime 2016-10-08T10:56:17 --delay 1 --endMP 204:147 --enddatetime 2016-10-08T11:35:24 --enforcementcount 1 &gt;&gt;C:\Users\stu\Documents\GitHub\eaglep3-reporting\EC\2016-10-08-refined-times.txt</v>
      </c>
      <c r="AI6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ID","value":"152-08"},{"id":16,"name":"Locomotive ID","value":"4026"},{"id":130,"name":"Impact","value":""},{"id":150,"name":"Time of Event (Mountain Time)","value":"11:35:24"},{"id":151,"name":"Denver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461</v>
      </c>
      <c r="B66" s="7">
        <v>4053</v>
      </c>
      <c r="C66" s="24" t="s">
        <v>106</v>
      </c>
      <c r="D66" s="24" t="s">
        <v>297</v>
      </c>
      <c r="E66" s="15">
        <v>42651.423402777778</v>
      </c>
      <c r="F66" s="15">
        <v>42651.427268518521</v>
      </c>
      <c r="G66" s="7">
        <v>1</v>
      </c>
      <c r="H66" s="15" t="s">
        <v>248</v>
      </c>
      <c r="I66" s="15">
        <v>42651.451909722222</v>
      </c>
      <c r="J66" s="7">
        <v>1</v>
      </c>
      <c r="K66" s="116" t="str">
        <f t="shared" ref="K66:K97" si="62">IF(ISEVEN(B66),(B66-1)&amp;"/"&amp;B66,B66&amp;"/"&amp;(B66+1))</f>
        <v>4053/4054</v>
      </c>
      <c r="L66" s="24" t="str">
        <f>VLOOKUP(A66,'Trips&amp;Operators'!$C$1:$E$10000,3,FALSE)</f>
        <v>GEBRETEKLE</v>
      </c>
      <c r="M66" s="6">
        <f t="shared" ref="M66:M97" si="63">I66-F66</f>
        <v>2.4641203701321501E-2</v>
      </c>
      <c r="N66" s="7">
        <f t="shared" ref="N66:N97" si="64">24*60*SUM($M66:$M66)</f>
        <v>35.483333329902962</v>
      </c>
      <c r="O66" s="7"/>
      <c r="P66" s="7"/>
      <c r="Q66" s="25"/>
      <c r="R66" s="25"/>
      <c r="S66" s="37">
        <f t="shared" ref="S66:S97" si="65">SUM(U66:U66)/IF(AG66="EC",12,1)</f>
        <v>1</v>
      </c>
      <c r="T66" s="52" t="str">
        <f t="shared" ref="T66:T97" si="66">IF(ISEVEN(LEFT(AD66,4)),"Southbound","NorthBound")</f>
        <v>NorthBound</v>
      </c>
      <c r="U66" s="15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1" t="str">
        <f t="shared" ref="V66:V97" si="67"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https://search-rtdc-monitor-bjffxe2xuh6vdkpspy63sjmuny.us-east-1.es.amazonaws.com/_plugin/kibana/#/discover/Steve-Slow-Train-Analysis-(2080s-and-2083s)?_g=(refreshInterval:(display:Off,section:0,value:0),time:(from:'2016-10-08 09:09:42-0600',mode:absolute,to:'2016-10-08 11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6" s="54" t="str">
        <f t="shared" ref="W66:W97" si="68">IF(AA66&lt;IF(AG66="EC",23,5.65),"Y","N")</f>
        <v>N</v>
      </c>
      <c r="X66" s="163">
        <f t="shared" si="61"/>
        <v>1</v>
      </c>
      <c r="Y66" s="69">
        <f t="shared" ref="Y66:Y97" si="69">RIGHT(D66,LEN(D66)-4)/10000</f>
        <v>4.4400000000000002E-2</v>
      </c>
      <c r="Z66" s="69">
        <f t="shared" ref="Z66:Z97" si="70">RIGHT(H66,LEN(H66)-4)/10000</f>
        <v>23.330400000000001</v>
      </c>
      <c r="AA66" s="69">
        <f t="shared" ref="AA66:AA97" si="71">ABS(Z66-Y66)</f>
        <v>23.286000000000001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ref="AD66:AD97" si="72">IF(LEN(A66)=6,"0"&amp;A66,A66)</f>
        <v>0153-08</v>
      </c>
      <c r="AE66" s="94" t="str">
        <f t="shared" si="8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66" s="91" t="str">
        <f t="shared" si="9"/>
        <v>"C:\Program Files (x86)\AstroGrep\AstroGrep.exe" /spath="%USERPROFILE%\AppData\Local\Temp\OnboardLogs" /stypes="app*4053*20161008*" /stext=" 16:.+((SYSTEM_STATE.+slice.+state.+changed )|(ment ac)|(system.+state.+changed )|(\[timeout)|(PRM\|1\|D)|(kpr)|(kdp)|(\|lc)|(penalty))" /e /r /s</v>
      </c>
      <c r="AG66" s="1" t="str">
        <f t="shared" ref="AG66:AG97" si="73">IFERROR(IF(VALUE(LEFT(AD66,2))&lt;=2,"EC",IF(OR(VALUE(LEFT(AD66,2))=8,VALUE(LEFT(AD66,2))=18),"NW","Other")),"Other")</f>
        <v>EC</v>
      </c>
      <c r="AH66" s="95" t="str">
        <f t="shared" si="13"/>
        <v>"%USERPROFILE%\Documents\GitHub\eaglep3\Utilities\RefineRTDCRunTimes.py" --tripid 153-08 --locoid 4053 --swversion DE.1.0.7.0 --startMP 204:444 --initTime 2016-10-08T10:09:42 --startdatetime 2016-10-08T10:15:16 --delay 1 --endMP 204:233304 --enddatetime 2016-10-08T10:50:45 --enforcementcount 1 &gt;&gt;C:\Users\stu\Documents\GitHub\eaglep3-reporting\EC\2016-10-08-refined-times.txt</v>
      </c>
      <c r="AI6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{"issue":{"subject":"","project_id":79,"tracker_id":40,"status_id":1,"priority_id":2,"assigned_to_id":23,"start_date":"2016-10-08","description":"","custom_fields":[{"id":1,"name":"Subdivision","value":"EC"},{"id":4,"name":"Milepost","value":"23.3304"},{"id":17,"name":"Train ID","value":"153-08"},{"id":16,"name":"Locomotive ID","value":"4053"},{"id":130,"name":"Impact","value":""},{"id":150,"name":"Time of Event (Mountain Time)","value":"10:50:45"},{"id":151,"name":"Denver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470</v>
      </c>
      <c r="B67" s="7">
        <v>4054</v>
      </c>
      <c r="C67" s="24" t="s">
        <v>106</v>
      </c>
      <c r="D67" s="24" t="s">
        <v>281</v>
      </c>
      <c r="E67" s="15">
        <v>42651.461643518516</v>
      </c>
      <c r="F67" s="15">
        <v>42651.466192129628</v>
      </c>
      <c r="G67" s="7">
        <v>2</v>
      </c>
      <c r="H67" s="15" t="s">
        <v>190</v>
      </c>
      <c r="I67" s="15">
        <v>42651.49318287037</v>
      </c>
      <c r="J67" s="7">
        <v>1</v>
      </c>
      <c r="K67" s="116" t="str">
        <f t="shared" si="62"/>
        <v>4053/4054</v>
      </c>
      <c r="L67" s="24" t="str">
        <f>VLOOKUP(A67,'Trips&amp;Operators'!$C$1:$E$10000,3,FALSE)</f>
        <v>GEBRETEKLE</v>
      </c>
      <c r="M67" s="6">
        <f t="shared" si="63"/>
        <v>2.6990740741894115E-2</v>
      </c>
      <c r="N67" s="7">
        <f t="shared" si="64"/>
        <v>38.866666668327525</v>
      </c>
      <c r="O67" s="7"/>
      <c r="P67" s="7"/>
      <c r="Q67" s="25"/>
      <c r="R67" s="25"/>
      <c r="S67" s="37">
        <f t="shared" si="65"/>
        <v>1</v>
      </c>
      <c r="T67" s="52" t="str">
        <f t="shared" si="66"/>
        <v>Southbound</v>
      </c>
      <c r="U67" s="15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10:04:46-0600',mode:absolute,to:'2016-10-08 12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7" s="54" t="str">
        <f t="shared" si="68"/>
        <v>N</v>
      </c>
      <c r="X67" s="163">
        <f t="shared" si="61"/>
        <v>1</v>
      </c>
      <c r="Y67" s="69">
        <f t="shared" si="69"/>
        <v>23.3</v>
      </c>
      <c r="Z67" s="69">
        <f t="shared" si="70"/>
        <v>1.5800000000000002E-2</v>
      </c>
      <c r="AA67" s="69">
        <f t="shared" si="71"/>
        <v>23.284200000000002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72"/>
        <v>0154-08</v>
      </c>
      <c r="AE67" s="94" t="str">
        <f t="shared" si="8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67" s="91" t="str">
        <f t="shared" si="9"/>
        <v>"C:\Program Files (x86)\AstroGrep\AstroGrep.exe" /spath="%USERPROFILE%\AppData\Local\Temp\OnboardLogs" /stypes="app*4054*20161008*" /stext=" 17:.+((SYSTEM_STATE.+slice.+state.+changed )|(ment ac)|(system.+state.+changed )|(\[timeout)|(PRM\|1\|D)|(kpr)|(kdp)|(\|lc)|(penalty))" /e /r /s</v>
      </c>
      <c r="AG67" s="1" t="str">
        <f t="shared" si="73"/>
        <v>EC</v>
      </c>
      <c r="AH67" s="95" t="str">
        <f t="shared" si="13"/>
        <v>"%USERPROFILE%\Documents\GitHub\eaglep3\Utilities\RefineRTDCRunTimes.py" --tripid 154-08 --locoid 4054 --swversion DE.1.0.7.0 --startMP 204:233000 --initTime 2016-10-08T11:04:46 --startdatetime 2016-10-08T11:11:19 --delay 2 --endMP 204:158 --enddatetime 2016-10-08T11:50:11 --enforcementcount 1 &gt;&gt;C:\Users\stu\Documents\GitHub\eaglep3-reporting\EC\2016-10-08-refined-times.txt</v>
      </c>
      <c r="AI67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ID","value":"154-08"},{"id":16,"name":"Locomotive ID","value":"4054"},{"id":130,"name":"Impact","value":""},{"id":150,"name":"Time of Event (Mountain Time)","value":"11:50:11"},{"id":151,"name":"Denver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463</v>
      </c>
      <c r="B68" s="7">
        <v>4027</v>
      </c>
      <c r="C68" s="24" t="s">
        <v>106</v>
      </c>
      <c r="D68" s="24" t="s">
        <v>630</v>
      </c>
      <c r="E68" s="15">
        <v>42651.43236111111</v>
      </c>
      <c r="F68" s="15">
        <v>42651.437685185185</v>
      </c>
      <c r="G68" s="7">
        <v>1</v>
      </c>
      <c r="H68" s="15" t="s">
        <v>280</v>
      </c>
      <c r="I68" s="15">
        <v>42651.463738425926</v>
      </c>
      <c r="J68" s="7">
        <v>1</v>
      </c>
      <c r="K68" s="116" t="str">
        <f t="shared" si="62"/>
        <v>4027/4028</v>
      </c>
      <c r="L68" s="24" t="str">
        <f>VLOOKUP(A68,'Trips&amp;Operators'!$C$1:$E$10000,3,FALSE)</f>
        <v>CLARK</v>
      </c>
      <c r="M68" s="6">
        <f t="shared" si="63"/>
        <v>2.6053240741021E-2</v>
      </c>
      <c r="N68" s="7">
        <f t="shared" si="64"/>
        <v>37.51666666707024</v>
      </c>
      <c r="O68" s="7"/>
      <c r="P68" s="7"/>
      <c r="Q68" s="25"/>
      <c r="R68" s="25"/>
      <c r="S68" s="37">
        <f t="shared" si="65"/>
        <v>1</v>
      </c>
      <c r="T68" s="52" t="str">
        <f t="shared" si="66"/>
        <v>NorthBound</v>
      </c>
      <c r="U68" s="15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09:22:36-0600',mode:absolute,to:'2016-10-08 12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8" s="54" t="str">
        <f t="shared" si="68"/>
        <v>N</v>
      </c>
      <c r="X68" s="163">
        <f t="shared" si="61"/>
        <v>1</v>
      </c>
      <c r="Y68" s="69">
        <f t="shared" si="69"/>
        <v>4.3799999999999999E-2</v>
      </c>
      <c r="Z68" s="69">
        <f t="shared" si="70"/>
        <v>23.327000000000002</v>
      </c>
      <c r="AA68" s="69">
        <f t="shared" si="71"/>
        <v>23.283200000000001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72"/>
        <v>0155-08</v>
      </c>
      <c r="AE68" s="94" t="str">
        <f t="shared" si="8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68" s="91" t="str">
        <f t="shared" si="9"/>
        <v>"C:\Program Files (x86)\AstroGrep\AstroGrep.exe" /spath="%USERPROFILE%\AppData\Local\Temp\OnboardLogs" /stypes="app*4027*20161008*" /stext=" 17:.+((SYSTEM_STATE.+slice.+state.+changed )|(ment ac)|(system.+state.+changed )|(\[timeout)|(PRM\|1\|D)|(kpr)|(kdp)|(\|lc)|(penalty))" /e /r /s</v>
      </c>
      <c r="AG68" s="1" t="str">
        <f t="shared" si="73"/>
        <v>EC</v>
      </c>
      <c r="AH68" s="95" t="str">
        <f t="shared" si="13"/>
        <v>"%USERPROFILE%\Documents\GitHub\eaglep3\Utilities\RefineRTDCRunTimes.py" --tripid 155-08 --locoid 4027 --swversion DE.1.0.7.0 --startMP 204:438 --initTime 2016-10-08T10:22:36 --startdatetime 2016-10-08T10:30:16 --delay 1 --endMP 204:233270 --enddatetime 2016-10-08T11:07:47 --enforcementcount 1 &gt;&gt;C:\Users\stu\Documents\GitHub\eaglep3-reporting\EC\2016-10-08-refined-times.txt</v>
      </c>
      <c r="AI68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{"issue":{"subject":"","project_id":79,"tracker_id":40,"status_id":1,"priority_id":2,"assigned_to_id":23,"start_date":"2016-10-08","description":"","custom_fields":[{"id":1,"name":"Subdivision","value":"EC"},{"id":4,"name":"Milepost","value":"23.327"},{"id":17,"name":"Train ID","value":"155-08"},{"id":16,"name":"Locomotive ID","value":"4027"},{"id":130,"name":"Impact","value":""},{"id":150,"name":"Time of Event (Mountain Time)","value":"11:07:47"},{"id":151,"name":"Denver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474</v>
      </c>
      <c r="B69" s="7">
        <v>4028</v>
      </c>
      <c r="C69" s="24" t="s">
        <v>106</v>
      </c>
      <c r="D69" s="24" t="s">
        <v>631</v>
      </c>
      <c r="E69" s="15">
        <v>42651.473668981482</v>
      </c>
      <c r="F69" s="15">
        <v>42651.476550925923</v>
      </c>
      <c r="G69" s="7">
        <v>1</v>
      </c>
      <c r="H69" s="15" t="s">
        <v>189</v>
      </c>
      <c r="I69" s="15">
        <v>42651.505057870374</v>
      </c>
      <c r="J69" s="7">
        <v>1</v>
      </c>
      <c r="K69" s="116" t="str">
        <f t="shared" si="62"/>
        <v>4027/4028</v>
      </c>
      <c r="L69" s="24" t="str">
        <f>VLOOKUP(A69,'Trips&amp;Operators'!$C$1:$E$10000,3,FALSE)</f>
        <v>CLARK</v>
      </c>
      <c r="M69" s="6">
        <f t="shared" si="63"/>
        <v>2.8506944450782612E-2</v>
      </c>
      <c r="N69" s="7">
        <f t="shared" si="64"/>
        <v>41.050000009126961</v>
      </c>
      <c r="O69" s="7"/>
      <c r="P69" s="7"/>
      <c r="Q69" s="25"/>
      <c r="R69" s="25"/>
      <c r="S69" s="37">
        <f t="shared" si="65"/>
        <v>1</v>
      </c>
      <c r="T69" s="52" t="str">
        <f t="shared" si="66"/>
        <v>Southbound</v>
      </c>
      <c r="U69" s="15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10:22:05-0600',mode:absolute,to:'2016-10-08 13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9" s="54" t="str">
        <f t="shared" si="68"/>
        <v>N</v>
      </c>
      <c r="X69" s="163">
        <f t="shared" si="61"/>
        <v>1</v>
      </c>
      <c r="Y69" s="69">
        <f t="shared" si="69"/>
        <v>23.295500000000001</v>
      </c>
      <c r="Z69" s="69">
        <f t="shared" si="70"/>
        <v>1.6E-2</v>
      </c>
      <c r="AA69" s="69">
        <f t="shared" si="71"/>
        <v>23.279500000000002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72"/>
        <v>0156-08</v>
      </c>
      <c r="AE69" s="94" t="str">
        <f t="shared" si="8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69" s="91" t="str">
        <f t="shared" si="9"/>
        <v>"C:\Program Files (x86)\AstroGrep\AstroGrep.exe" /spath="%USERPROFILE%\AppData\Local\Temp\OnboardLogs" /stypes="app*4028*20161008*" /stext=" 18:.+((SYSTEM_STATE.+slice.+state.+changed )|(ment ac)|(system.+state.+changed )|(\[timeout)|(PRM\|1\|D)|(kpr)|(kdp)|(\|lc)|(penalty))" /e /r /s</v>
      </c>
      <c r="AG69" s="1" t="str">
        <f t="shared" si="73"/>
        <v>EC</v>
      </c>
      <c r="AH69" s="95" t="str">
        <f t="shared" si="13"/>
        <v>"%USERPROFILE%\Documents\GitHub\eaglep3\Utilities\RefineRTDCRunTimes.py" --tripid 156-08 --locoid 4028 --swversion DE.1.0.7.0 --startMP 204:232955 --initTime 2016-10-08T11:22:05 --startdatetime 2016-10-08T11:26:14 --delay 1 --endMP 204:160 --enddatetime 2016-10-08T12:07:17 --enforcementcount 1 &gt;&gt;C:\Users\stu\Documents\GitHub\eaglep3-reporting\EC\2016-10-08-refined-times.txt</v>
      </c>
      <c r="AI6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{"issue":{"subject":"","project_id":79,"tracker_id":40,"status_id":1,"priority_id":2,"assigned_to_id":23,"start_date":"2016-10-08","description":"","custom_fields":[{"id":1,"name":"Subdivision","value":"EC"},{"id":4,"name":"Milepost","value":"0.016"},{"id":17,"name":"Train ID","value":"156-08"},{"id":16,"name":"Locomotive ID","value":"4028"},{"id":130,"name":"Impact","value":""},{"id":150,"name":"Time of Event (Mountain Time)","value":"12:07:17"},{"id":151,"name":"Denver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466</v>
      </c>
      <c r="B70" s="7">
        <v>4038</v>
      </c>
      <c r="C70" s="24" t="s">
        <v>106</v>
      </c>
      <c r="D70" s="24" t="s">
        <v>230</v>
      </c>
      <c r="E70" s="15">
        <v>42651.442858796298</v>
      </c>
      <c r="F70" s="15">
        <v>42651.448171296295</v>
      </c>
      <c r="G70" s="7">
        <v>1</v>
      </c>
      <c r="H70" s="15" t="s">
        <v>194</v>
      </c>
      <c r="I70" s="15">
        <v>42651.474733796298</v>
      </c>
      <c r="J70" s="7">
        <v>1</v>
      </c>
      <c r="K70" s="116" t="str">
        <f t="shared" si="62"/>
        <v>4037/4038</v>
      </c>
      <c r="L70" s="24" t="str">
        <f>VLOOKUP(A70,'Trips&amp;Operators'!$C$1:$E$10000,3,FALSE)</f>
        <v>STRICKLAND</v>
      </c>
      <c r="M70" s="6">
        <f t="shared" si="63"/>
        <v>2.6562500002910383E-2</v>
      </c>
      <c r="N70" s="7">
        <f t="shared" si="64"/>
        <v>38.250000004190952</v>
      </c>
      <c r="O70" s="7"/>
      <c r="P70" s="7"/>
      <c r="Q70" s="25"/>
      <c r="R70" s="25"/>
      <c r="S70" s="37">
        <f t="shared" si="65"/>
        <v>1</v>
      </c>
      <c r="T70" s="52" t="str">
        <f t="shared" si="66"/>
        <v>NorthBound</v>
      </c>
      <c r="U70" s="15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09:37:43-0600',mode:absolute,to:'2016-10-08 12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0" s="54" t="str">
        <f t="shared" si="68"/>
        <v>N</v>
      </c>
      <c r="X70" s="163">
        <f t="shared" si="61"/>
        <v>1</v>
      </c>
      <c r="Y70" s="69">
        <f t="shared" si="69"/>
        <v>4.4900000000000002E-2</v>
      </c>
      <c r="Z70" s="69">
        <f t="shared" si="70"/>
        <v>23.3291</v>
      </c>
      <c r="AA70" s="69">
        <f t="shared" si="71"/>
        <v>23.284200000000002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72"/>
        <v>0157-08</v>
      </c>
      <c r="AE70" s="94" t="str">
        <f t="shared" si="8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70" s="91" t="str">
        <f t="shared" si="9"/>
        <v>"C:\Program Files (x86)\AstroGrep\AstroGrep.exe" /spath="%USERPROFILE%\AppData\Local\Temp\OnboardLogs" /stypes="app*4038*20161008*" /stext=" 17:.+((SYSTEM_STATE.+slice.+state.+changed )|(ment ac)|(system.+state.+changed )|(\[timeout)|(PRM\|1\|D)|(kpr)|(kdp)|(\|lc)|(penalty))" /e /r /s</v>
      </c>
      <c r="AG70" s="1" t="str">
        <f t="shared" si="73"/>
        <v>EC</v>
      </c>
      <c r="AH70" s="95" t="str">
        <f t="shared" si="13"/>
        <v>"%USERPROFILE%\Documents\GitHub\eaglep3\Utilities\RefineRTDCRunTimes.py" --tripid 157-08 --locoid 4038 --swversion DE.1.0.7.0 --startMP 204:449 --initTime 2016-10-08T10:37:43 --startdatetime 2016-10-08T10:45:22 --delay 1 --endMP 204:233291 --enddatetime 2016-10-08T11:23:37 --enforcementcount 1 &gt;&gt;C:\Users\stu\Documents\GitHub\eaglep3-reporting\EC\2016-10-08-refined-times.txt</v>
      </c>
      <c r="AI70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{"issue":{"subject":"","project_id":79,"tracker_id":40,"status_id":1,"priority_id":2,"assigned_to_id":23,"start_date":"2016-10-08","description":"","custom_fields":[{"id":1,"name":"Subdivision","value":"EC"},{"id":4,"name":"Milepost","value":"23.3291"},{"id":17,"name":"Train ID","value":"157-08"},{"id":16,"name":"Locomotive ID","value":"4038"},{"id":130,"name":"Impact","value":""},{"id":150,"name":"Time of Event (Mountain Time)","value":"11:23:37"},{"id":151,"name":"Denver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477</v>
      </c>
      <c r="B71" s="7">
        <v>4037</v>
      </c>
      <c r="C71" s="24" t="s">
        <v>106</v>
      </c>
      <c r="D71" s="24" t="s">
        <v>632</v>
      </c>
      <c r="E71" s="15">
        <v>42651.487407407411</v>
      </c>
      <c r="F71" s="15">
        <v>42651.488553240742</v>
      </c>
      <c r="G71" s="7">
        <v>1</v>
      </c>
      <c r="H71" s="15" t="s">
        <v>189</v>
      </c>
      <c r="I71" s="15">
        <v>42651.515636574077</v>
      </c>
      <c r="J71" s="7">
        <v>1</v>
      </c>
      <c r="K71" s="116" t="str">
        <f t="shared" si="62"/>
        <v>4037/4038</v>
      </c>
      <c r="L71" s="24" t="str">
        <f>VLOOKUP(A71,'Trips&amp;Operators'!$C$1:$E$10000,3,FALSE)</f>
        <v>STRICKLAND</v>
      </c>
      <c r="M71" s="6">
        <f t="shared" si="63"/>
        <v>2.7083333334303461E-2</v>
      </c>
      <c r="N71" s="7">
        <f t="shared" si="64"/>
        <v>39.000000001396984</v>
      </c>
      <c r="O71" s="7"/>
      <c r="P71" s="7"/>
      <c r="Q71" s="25"/>
      <c r="R71" s="25"/>
      <c r="S71" s="37">
        <f t="shared" si="65"/>
        <v>1</v>
      </c>
      <c r="T71" s="52" t="str">
        <f t="shared" si="66"/>
        <v>Southbound</v>
      </c>
      <c r="U71" s="15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10:41:52-0600',mode:absolute,to:'2016-10-08 13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1" s="54" t="str">
        <f t="shared" si="68"/>
        <v>N</v>
      </c>
      <c r="X71" s="163">
        <f t="shared" si="61"/>
        <v>1</v>
      </c>
      <c r="Y71" s="69">
        <f t="shared" si="69"/>
        <v>23.223500000000001</v>
      </c>
      <c r="Z71" s="69">
        <f t="shared" si="70"/>
        <v>1.6E-2</v>
      </c>
      <c r="AA71" s="69">
        <f t="shared" si="71"/>
        <v>23.207500000000003</v>
      </c>
      <c r="AB71" s="66" t="str">
        <f>VLOOKUP(A71,Enforcements!$C$7:$K$21,8,0)</f>
        <v>Bulletin (2)</v>
      </c>
      <c r="AC71" s="62" t="str">
        <f>VLOOKUP(A71,Enforcements!$C$7:$E$21,3,0)</f>
        <v>GRADE CROSSING</v>
      </c>
      <c r="AD71" s="63" t="str">
        <f t="shared" si="72"/>
        <v>0158-08</v>
      </c>
      <c r="AE71" s="94" t="str">
        <f t="shared" si="8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71" s="91" t="str">
        <f t="shared" si="9"/>
        <v>"C:\Program Files (x86)\AstroGrep\AstroGrep.exe" /spath="%USERPROFILE%\AppData\Local\Temp\OnboardLogs" /stypes="app*4037*20161008*" /stext=" 18:.+((SYSTEM_STATE.+slice.+state.+changed )|(ment ac)|(system.+state.+changed )|(\[timeout)|(PRM\|1\|D)|(kpr)|(kdp)|(\|lc)|(penalty))" /e /r /s</v>
      </c>
      <c r="AG71" s="1" t="str">
        <f t="shared" si="73"/>
        <v>EC</v>
      </c>
      <c r="AH71" s="95" t="str">
        <f t="shared" si="13"/>
        <v>"%USERPROFILE%\Documents\GitHub\eaglep3\Utilities\RefineRTDCRunTimes.py" --tripid 158-08 --locoid 4037 --swversion DE.1.0.7.0 --startMP 204:232235 --initTime 2016-10-08T11:41:52 --startdatetime 2016-10-08T11:43:31 --delay 1 --endMP 204:160 --enddatetime 2016-10-08T12:22:31 --enforcementcount 1 &gt;&gt;C:\Users\stu\Documents\GitHub\eaglep3-reporting\EC\2016-10-08-refined-times.txt</v>
      </c>
      <c r="AI71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{"issue":{"subject":"","project_id":79,"tracker_id":40,"status_id":1,"priority_id":2,"assigned_to_id":23,"start_date":"2016-10-08","description":"","custom_fields":[{"id":1,"name":"Subdivision","value":"EC"},{"id":4,"name":"Milepost","value":"0.016"},{"id":17,"name":"Train ID","value":"158-08"},{"id":16,"name":"Locomotive ID","value":"4037"},{"id":130,"name":"Impact","value":""},{"id":150,"name":"Time of Event (Mountain Time)","value":"12:22:31"},{"id":151,"name":"Denver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468</v>
      </c>
      <c r="B72" s="7">
        <v>4014</v>
      </c>
      <c r="C72" s="24" t="s">
        <v>106</v>
      </c>
      <c r="D72" s="24" t="s">
        <v>267</v>
      </c>
      <c r="E72" s="15">
        <v>42651.45349537037</v>
      </c>
      <c r="F72" s="15">
        <v>42651.458703703705</v>
      </c>
      <c r="G72" s="7">
        <v>2</v>
      </c>
      <c r="H72" s="15" t="s">
        <v>331</v>
      </c>
      <c r="I72" s="15">
        <v>42651.484340277777</v>
      </c>
      <c r="J72" s="7">
        <v>1</v>
      </c>
      <c r="K72" s="116" t="str">
        <f t="shared" si="62"/>
        <v>4013/4014</v>
      </c>
      <c r="L72" s="24" t="str">
        <f>VLOOKUP(A72,'Trips&amp;Operators'!$C$1:$E$10000,3,FALSE)</f>
        <v>STEWART</v>
      </c>
      <c r="M72" s="6">
        <f t="shared" si="63"/>
        <v>2.5636574071540963E-2</v>
      </c>
      <c r="N72" s="7">
        <f t="shared" si="64"/>
        <v>36.916666663018987</v>
      </c>
      <c r="O72" s="7"/>
      <c r="P72" s="7"/>
      <c r="Q72" s="25"/>
      <c r="R72" s="25"/>
      <c r="S72" s="37">
        <f t="shared" si="65"/>
        <v>1</v>
      </c>
      <c r="T72" s="52" t="str">
        <f t="shared" si="66"/>
        <v>NorthBound</v>
      </c>
      <c r="U72" s="15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09:53:02-0600',mode:absolute,to:'2016-10-08 12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2" s="54" t="str">
        <f t="shared" si="68"/>
        <v>N</v>
      </c>
      <c r="X72" s="163">
        <f t="shared" ref="X72:X76" si="74">VALUE(LEFT(AD72,4))-VALUE(LEFT(AD71,4))</f>
        <v>1</v>
      </c>
      <c r="Y72" s="69">
        <f t="shared" si="69"/>
        <v>4.5999999999999999E-2</v>
      </c>
      <c r="Z72" s="69">
        <f t="shared" si="70"/>
        <v>23.328800000000001</v>
      </c>
      <c r="AA72" s="69">
        <f t="shared" si="71"/>
        <v>23.282800000000002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72"/>
        <v>0159-08</v>
      </c>
      <c r="AE72" s="94" t="str">
        <f t="shared" si="8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72" s="91" t="str">
        <f t="shared" si="9"/>
        <v>"C:\Program Files (x86)\AstroGrep\AstroGrep.exe" /spath="%USERPROFILE%\AppData\Local\Temp\OnboardLogs" /stypes="app*4014*20161008*" /stext=" 17:.+((SYSTEM_STATE.+slice.+state.+changed )|(ment ac)|(system.+state.+changed )|(\[timeout)|(PRM\|1\|D)|(kpr)|(kdp)|(\|lc)|(penalty))" /e /r /s</v>
      </c>
      <c r="AG72" s="1" t="str">
        <f t="shared" si="73"/>
        <v>EC</v>
      </c>
      <c r="AH72" s="95" t="str">
        <f t="shared" si="13"/>
        <v>"%USERPROFILE%\Documents\GitHub\eaglep3\Utilities\RefineRTDCRunTimes.py" --tripid 159-08 --locoid 4014 --swversion DE.1.0.7.0 --startMP 204:460 --initTime 2016-10-08T10:53:02 --startdatetime 2016-10-08T11:00:32 --delay 2 --endMP 204:233288 --enddatetime 2016-10-08T11:37:27 --enforcementcount 1 &gt;&gt;C:\Users\stu\Documents\GitHub\eaglep3-reporting\EC\2016-10-08-refined-times.txt</v>
      </c>
      <c r="AI72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{"issue":{"subject":"","project_id":79,"tracker_id":40,"status_id":1,"priority_id":2,"assigned_to_id":23,"start_date":"2016-10-08","description":"","custom_fields":[{"id":1,"name":"Subdivision","value":"EC"},{"id":4,"name":"Milepost","value":"23.3288"},{"id":17,"name":"Train ID","value":"159-08"},{"id":16,"name":"Locomotive ID","value":"4014"},{"id":130,"name":"Impact","value":""},{"id":150,"name":"Time of Event (Mountain Time)","value":"11:37:27"},{"id":151,"name":"Denver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481</v>
      </c>
      <c r="B73" s="7">
        <v>4013</v>
      </c>
      <c r="C73" s="24" t="s">
        <v>106</v>
      </c>
      <c r="D73" s="24" t="s">
        <v>231</v>
      </c>
      <c r="E73" s="15">
        <v>42651.495497685188</v>
      </c>
      <c r="F73" s="15">
        <v>42651.497581018521</v>
      </c>
      <c r="G73" s="7">
        <v>1</v>
      </c>
      <c r="H73" s="15" t="s">
        <v>191</v>
      </c>
      <c r="I73" s="15">
        <v>42651.523854166669</v>
      </c>
      <c r="J73" s="7">
        <v>1</v>
      </c>
      <c r="K73" s="116" t="str">
        <f t="shared" si="62"/>
        <v>4013/4014</v>
      </c>
      <c r="L73" s="24" t="str">
        <f>VLOOKUP(A73,'Trips&amp;Operators'!$C$1:$E$10000,3,FALSE)</f>
        <v>STEWART</v>
      </c>
      <c r="M73" s="6">
        <f t="shared" si="63"/>
        <v>2.6273148148902692E-2</v>
      </c>
      <c r="N73" s="7">
        <f t="shared" si="64"/>
        <v>37.833333334419876</v>
      </c>
      <c r="O73" s="7"/>
      <c r="P73" s="7"/>
      <c r="Q73" s="25"/>
      <c r="R73" s="25"/>
      <c r="S73" s="37">
        <f t="shared" si="65"/>
        <v>1</v>
      </c>
      <c r="T73" s="52" t="str">
        <f t="shared" si="66"/>
        <v>Southbound</v>
      </c>
      <c r="U73" s="15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10:53:31-0600',mode:absolute,to:'2016-10-08 13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3" s="54" t="str">
        <f t="shared" si="68"/>
        <v>N</v>
      </c>
      <c r="X73" s="163">
        <f t="shared" si="74"/>
        <v>1</v>
      </c>
      <c r="Y73" s="69">
        <f t="shared" si="69"/>
        <v>23.297999999999998</v>
      </c>
      <c r="Z73" s="69">
        <f t="shared" si="70"/>
        <v>1.47E-2</v>
      </c>
      <c r="AA73" s="69">
        <f t="shared" si="71"/>
        <v>23.283299999999997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72"/>
        <v>0160-08</v>
      </c>
      <c r="AE73" s="94" t="str">
        <f t="shared" si="8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73" s="91" t="str">
        <f t="shared" si="9"/>
        <v>"C:\Program Files (x86)\AstroGrep\AstroGrep.exe" /spath="%USERPROFILE%\AppData\Local\Temp\OnboardLogs" /stypes="app*4013*20161008*" /stext=" 18:.+((SYSTEM_STATE.+slice.+state.+changed )|(ment ac)|(system.+state.+changed )|(\[timeout)|(PRM\|1\|D)|(kpr)|(kdp)|(\|lc)|(penalty))" /e /r /s</v>
      </c>
      <c r="AG73" s="1" t="str">
        <f t="shared" si="73"/>
        <v>EC</v>
      </c>
      <c r="AH73" s="95" t="str">
        <f t="shared" si="13"/>
        <v>"%USERPROFILE%\Documents\GitHub\eaglep3\Utilities\RefineRTDCRunTimes.py" --tripid 160-08 --locoid 4013 --swversion DE.1.0.7.0 --startMP 204:232980 --initTime 2016-10-08T11:53:31 --startdatetime 2016-10-08T11:56:31 --delay 1 --endMP 204:147 --enddatetime 2016-10-08T12:34:21 --enforcementcount 1 &gt;&gt;C:\Users\stu\Documents\GitHub\eaglep3-reporting\EC\2016-10-08-refined-times.txt</v>
      </c>
      <c r="AI73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ID","value":"160-08"},{"id":16,"name":"Locomotive ID","value":"4013"},{"id":130,"name":"Impact","value":""},{"id":150,"name":"Time of Event (Mountain Time)","value":"12:34:21"},{"id":151,"name":"Denver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471</v>
      </c>
      <c r="B74" s="7">
        <v>4044</v>
      </c>
      <c r="C74" s="24" t="s">
        <v>106</v>
      </c>
      <c r="D74" s="24" t="s">
        <v>198</v>
      </c>
      <c r="E74" s="15">
        <v>42651.464861111112</v>
      </c>
      <c r="F74" s="15">
        <v>42651.469166666669</v>
      </c>
      <c r="G74" s="7">
        <v>1</v>
      </c>
      <c r="H74" s="15" t="s">
        <v>614</v>
      </c>
      <c r="I74" s="15">
        <v>42651.494606481479</v>
      </c>
      <c r="J74" s="7">
        <v>1</v>
      </c>
      <c r="K74" s="116" t="str">
        <f t="shared" si="62"/>
        <v>4043/4044</v>
      </c>
      <c r="L74" s="24" t="str">
        <f>VLOOKUP(A74,'Trips&amp;Operators'!$C$1:$E$10000,3,FALSE)</f>
        <v>BARTLETT</v>
      </c>
      <c r="M74" s="6">
        <f t="shared" si="63"/>
        <v>2.5439814809942618E-2</v>
      </c>
      <c r="N74" s="7">
        <f t="shared" si="64"/>
        <v>36.63333332631737</v>
      </c>
      <c r="O74" s="7"/>
      <c r="P74" s="7"/>
      <c r="Q74" s="25"/>
      <c r="R74" s="25"/>
      <c r="S74" s="37">
        <f t="shared" si="65"/>
        <v>1</v>
      </c>
      <c r="T74" s="52" t="str">
        <f t="shared" si="66"/>
        <v>NorthBound</v>
      </c>
      <c r="U74" s="15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10:09:24-0600',mode:absolute,to:'2016-10-08 12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4" s="54" t="str">
        <f t="shared" si="68"/>
        <v>N</v>
      </c>
      <c r="X74" s="163">
        <f t="shared" si="74"/>
        <v>1</v>
      </c>
      <c r="Y74" s="69">
        <f t="shared" si="69"/>
        <v>4.5100000000000001E-2</v>
      </c>
      <c r="Z74" s="69">
        <f t="shared" si="70"/>
        <v>23.3306</v>
      </c>
      <c r="AA74" s="69">
        <f t="shared" si="71"/>
        <v>23.285499999999999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72"/>
        <v>0161-08</v>
      </c>
      <c r="AE74" s="94" t="str">
        <f t="shared" si="8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74" s="91" t="str">
        <f t="shared" si="9"/>
        <v>"C:\Program Files (x86)\AstroGrep\AstroGrep.exe" /spath="%USERPROFILE%\AppData\Local\Temp\OnboardLogs" /stypes="app*4044*20161008*" /stext=" 17:.+((SYSTEM_STATE.+slice.+state.+changed )|(ment ac)|(system.+state.+changed )|(\[timeout)|(PRM\|1\|D)|(kpr)|(kdp)|(\|lc)|(penalty))" /e /r /s</v>
      </c>
      <c r="AG74" s="1" t="str">
        <f t="shared" si="73"/>
        <v>EC</v>
      </c>
      <c r="AH74" s="95" t="str">
        <f t="shared" si="13"/>
        <v>"%USERPROFILE%\Documents\GitHub\eaglep3\Utilities\RefineRTDCRunTimes.py" --tripid 161-08 --locoid 4044 --swversion DE.1.0.7.0 --startMP 204:451 --initTime 2016-10-08T11:09:24 --startdatetime 2016-10-08T11:15:36 --delay 1 --endMP 204:233306 --enddatetime 2016-10-08T11:52:14 --enforcementcount 1 &gt;&gt;C:\Users\stu\Documents\GitHub\eaglep3-reporting\EC\2016-10-08-refined-times.txt</v>
      </c>
      <c r="AI74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{"issue":{"subject":"","project_id":79,"tracker_id":40,"status_id":1,"priority_id":2,"assigned_to_id":23,"start_date":"2016-10-08","description":"","custom_fields":[{"id":1,"name":"Subdivision","value":"EC"},{"id":4,"name":"Milepost","value":"23.3306"},{"id":17,"name":"Train ID","value":"161-08"},{"id":16,"name":"Locomotive ID","value":"4044"},{"id":130,"name":"Impact","value":""},{"id":150,"name":"Time of Event (Mountain Time)","value":"11:52:14"},{"id":151,"name":"Denver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482</v>
      </c>
      <c r="B75" s="7">
        <v>4043</v>
      </c>
      <c r="C75" s="24" t="s">
        <v>106</v>
      </c>
      <c r="D75" s="24" t="s">
        <v>263</v>
      </c>
      <c r="E75" s="15">
        <v>42651.496782407405</v>
      </c>
      <c r="F75" s="15">
        <v>42651.508113425924</v>
      </c>
      <c r="G75" s="7">
        <v>1</v>
      </c>
      <c r="H75" s="15" t="s">
        <v>126</v>
      </c>
      <c r="I75" s="15">
        <v>42651.534930555557</v>
      </c>
      <c r="J75" s="7">
        <v>1</v>
      </c>
      <c r="K75" s="116" t="str">
        <f t="shared" si="62"/>
        <v>4043/4044</v>
      </c>
      <c r="L75" s="24" t="str">
        <f>VLOOKUP(A75,'Trips&amp;Operators'!$C$1:$E$10000,3,FALSE)</f>
        <v>BARTLETT</v>
      </c>
      <c r="M75" s="6">
        <f t="shared" si="63"/>
        <v>2.6817129633855075E-2</v>
      </c>
      <c r="N75" s="7">
        <f t="shared" si="64"/>
        <v>38.616666672751307</v>
      </c>
      <c r="O75" s="7"/>
      <c r="P75" s="7"/>
      <c r="Q75" s="25"/>
      <c r="R75" s="25"/>
      <c r="S75" s="37">
        <f t="shared" si="65"/>
        <v>1</v>
      </c>
      <c r="T75" s="52" t="str">
        <f t="shared" si="66"/>
        <v>Southbound</v>
      </c>
      <c r="U75" s="15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10:55:22-0600',mode:absolute,to:'2016-10-08 13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5" s="54" t="str">
        <f t="shared" si="68"/>
        <v>N</v>
      </c>
      <c r="X75" s="163">
        <f t="shared" si="74"/>
        <v>1</v>
      </c>
      <c r="Y75" s="69">
        <f t="shared" si="69"/>
        <v>23.3002</v>
      </c>
      <c r="Z75" s="69">
        <f t="shared" si="70"/>
        <v>1.54E-2</v>
      </c>
      <c r="AA75" s="69">
        <f t="shared" si="71"/>
        <v>23.284800000000001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72"/>
        <v>0162-08</v>
      </c>
      <c r="AE75" s="94" t="str">
        <f t="shared" si="8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75" s="91" t="str">
        <f t="shared" si="9"/>
        <v>"C:\Program Files (x86)\AstroGrep\AstroGrep.exe" /spath="%USERPROFILE%\AppData\Local\Temp\OnboardLogs" /stypes="app*4043*20161008*" /stext=" 18:.+((SYSTEM_STATE.+slice.+state.+changed )|(ment ac)|(system.+state.+changed )|(\[timeout)|(PRM\|1\|D)|(kpr)|(kdp)|(\|lc)|(penalty))" /e /r /s</v>
      </c>
      <c r="AG75" s="1" t="str">
        <f t="shared" si="73"/>
        <v>EC</v>
      </c>
      <c r="AH75" s="95" t="str">
        <f t="shared" si="13"/>
        <v>"%USERPROFILE%\Documents\GitHub\eaglep3\Utilities\RefineRTDCRunTimes.py" --tripid 162-08 --locoid 4043 --swversion DE.1.0.7.0 --startMP 204:233002 --initTime 2016-10-08T11:55:22 --startdatetime 2016-10-08T12:11:41 --delay 1 --endMP 204:154 --enddatetime 2016-10-08T12:50:18 --enforcementcount 1 &gt;&gt;C:\Users\stu\Documents\GitHub\eaglep3-reporting\EC\2016-10-08-refined-times.txt</v>
      </c>
      <c r="AI75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ID","value":"162-08"},{"id":16,"name":"Locomotive ID","value":"4043"},{"id":130,"name":"Impact","value":""},{"id":150,"name":"Time of Event (Mountain Time)","value":"12:50:18"},{"id":151,"name":"Denver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475</v>
      </c>
      <c r="B76" s="7">
        <v>4042</v>
      </c>
      <c r="C76" s="24" t="s">
        <v>106</v>
      </c>
      <c r="D76" s="24" t="s">
        <v>630</v>
      </c>
      <c r="E76" s="15">
        <v>42651.475775462961</v>
      </c>
      <c r="F76" s="15">
        <v>42651.479479166665</v>
      </c>
      <c r="G76" s="7">
        <v>2</v>
      </c>
      <c r="H76" s="15" t="s">
        <v>223</v>
      </c>
      <c r="I76" s="15">
        <v>42651.504965277774</v>
      </c>
      <c r="J76" s="7">
        <v>1</v>
      </c>
      <c r="K76" s="116" t="str">
        <f t="shared" si="62"/>
        <v>4041/4042</v>
      </c>
      <c r="L76" s="24" t="str">
        <f>VLOOKUP(A76,'Trips&amp;Operators'!$C$1:$E$10000,3,FALSE)</f>
        <v>MOSES</v>
      </c>
      <c r="M76" s="6">
        <f t="shared" si="63"/>
        <v>2.548611110978527E-2</v>
      </c>
      <c r="N76" s="7">
        <f t="shared" si="64"/>
        <v>36.699999998090789</v>
      </c>
      <c r="O76" s="7"/>
      <c r="P76" s="7"/>
      <c r="Q76" s="25"/>
      <c r="R76" s="25"/>
      <c r="S76" s="37">
        <f t="shared" si="65"/>
        <v>1</v>
      </c>
      <c r="T76" s="52" t="str">
        <f t="shared" si="66"/>
        <v>NorthBound</v>
      </c>
      <c r="U76" s="15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10:25:07-0600',mode:absolute,to:'2016-10-08 13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6" s="54" t="str">
        <f t="shared" si="68"/>
        <v>N</v>
      </c>
      <c r="X76" s="163">
        <f t="shared" si="74"/>
        <v>1</v>
      </c>
      <c r="Y76" s="69">
        <f t="shared" si="69"/>
        <v>4.3799999999999999E-2</v>
      </c>
      <c r="Z76" s="69">
        <f t="shared" si="70"/>
        <v>23.3293</v>
      </c>
      <c r="AA76" s="69">
        <f t="shared" si="71"/>
        <v>23.285499999999999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72"/>
        <v>0163-08</v>
      </c>
      <c r="AE76" s="94" t="str">
        <f t="shared" si="8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76" s="91" t="str">
        <f t="shared" si="9"/>
        <v>"C:\Program Files (x86)\AstroGrep\AstroGrep.exe" /spath="%USERPROFILE%\AppData\Local\Temp\OnboardLogs" /stypes="app*4042*20161008*" /stext=" 18:.+((SYSTEM_STATE.+slice.+state.+changed )|(ment ac)|(system.+state.+changed )|(\[timeout)|(PRM\|1\|D)|(kpr)|(kdp)|(\|lc)|(penalty))" /e /r /s</v>
      </c>
      <c r="AG76" s="1" t="str">
        <f t="shared" si="73"/>
        <v>EC</v>
      </c>
      <c r="AH76" s="95" t="str">
        <f t="shared" si="13"/>
        <v>"%USERPROFILE%\Documents\GitHub\eaglep3\Utilities\RefineRTDCRunTimes.py" --tripid 163-08 --locoid 4042 --swversion DE.1.0.7.0 --startMP 204:438 --initTime 2016-10-08T11:25:07 --startdatetime 2016-10-08T11:30:27 --delay 2 --endMP 204:233293 --enddatetime 2016-10-08T12:07:09 --enforcementcount 1 &gt;&gt;C:\Users\stu\Documents\GitHub\eaglep3-reporting\EC\2016-10-08-refined-times.txt</v>
      </c>
      <c r="AI76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ID","value":"163-08"},{"id":16,"name":"Locomotive ID","value":"4042"},{"id":130,"name":"Impact","value":""},{"id":150,"name":"Time of Event (Mountain Time)","value":"12:07:09"},{"id":151,"name":"Denver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485</v>
      </c>
      <c r="B77" s="7">
        <v>4041</v>
      </c>
      <c r="C77" s="24" t="s">
        <v>106</v>
      </c>
      <c r="D77" s="24" t="s">
        <v>629</v>
      </c>
      <c r="E77" s="15">
        <v>42651.515266203707</v>
      </c>
      <c r="F77" s="15">
        <v>42651.518263888887</v>
      </c>
      <c r="G77" s="7">
        <v>2</v>
      </c>
      <c r="H77" s="15" t="s">
        <v>191</v>
      </c>
      <c r="I77" s="15">
        <v>42651.5468287037</v>
      </c>
      <c r="J77" s="7">
        <v>1</v>
      </c>
      <c r="K77" s="116" t="str">
        <f t="shared" si="62"/>
        <v>4041/4042</v>
      </c>
      <c r="L77" s="24" t="str">
        <f>VLOOKUP(A77,'Trips&amp;Operators'!$C$1:$E$10000,3,FALSE)</f>
        <v>MOSES</v>
      </c>
      <c r="M77" s="6">
        <f t="shared" si="63"/>
        <v>2.8564814812853001E-2</v>
      </c>
      <c r="N77" s="7">
        <f t="shared" si="64"/>
        <v>41.133333330508322</v>
      </c>
      <c r="O77" s="7"/>
      <c r="P77" s="7"/>
      <c r="Q77" s="25"/>
      <c r="R77" s="25"/>
      <c r="S77" s="37">
        <f t="shared" si="65"/>
        <v>1</v>
      </c>
      <c r="T77" s="52" t="str">
        <f t="shared" si="66"/>
        <v>Southbound</v>
      </c>
      <c r="U77" s="15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11:21:59-0600',mode:absolute,to:'2016-10-08 14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7" s="54" t="str">
        <f t="shared" si="68"/>
        <v>N</v>
      </c>
      <c r="X77" s="163">
        <f t="shared" ref="X77:X108" si="75">VALUE(LEFT(AD77,4))-VALUE(LEFT(AD76,4))</f>
        <v>1</v>
      </c>
      <c r="Y77" s="69">
        <f t="shared" si="69"/>
        <v>23.2973</v>
      </c>
      <c r="Z77" s="69">
        <f t="shared" si="70"/>
        <v>1.47E-2</v>
      </c>
      <c r="AA77" s="69">
        <f t="shared" si="71"/>
        <v>23.282599999999999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si="72"/>
        <v>0164-08</v>
      </c>
      <c r="AE77" s="94" t="str">
        <f t="shared" ref="AE77:AE140" si="7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77" s="91" t="str">
        <f t="shared" ref="AF77:AF140" si="7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/stypes="app*4041*20161008*" /stext=" 19:.+((SYSTEM_STATE.+slice.+state.+changed )|(ment ac)|(system.+state.+changed )|(\[timeout)|(PRM\|1\|D)|(kpr)|(kdp)|(\|lc)|(penalty))" /e /r /s</v>
      </c>
      <c r="AG77" s="1" t="str">
        <f t="shared" si="73"/>
        <v>EC</v>
      </c>
      <c r="AH77" s="95" t="str">
        <f t="shared" si="13"/>
        <v>"%USERPROFILE%\Documents\GitHub\eaglep3\Utilities\RefineRTDCRunTimes.py" --tripid 164-08 --locoid 4041 --swversion DE.1.0.7.0 --startMP 204:232973 --initTime 2016-10-08T12:21:59 --startdatetime 2016-10-08T12:26:18 --delay 2 --endMP 204:147 --enddatetime 2016-10-08T13:07:26 --enforcementcount 1 &gt;&gt;C:\Users\stu\Documents\GitHub\eaglep3-reporting\EC\2016-10-08-refined-times.txt</v>
      </c>
      <c r="AI77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ID","value":"164-08"},{"id":16,"name":"Locomotive ID","value":"4041"},{"id":130,"name":"Impact","value":""},{"id":150,"name":"Time of Event (Mountain Time)","value":"13:07:26"},{"id":151,"name":"Denver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478</v>
      </c>
      <c r="B78" s="7">
        <v>4025</v>
      </c>
      <c r="C78" s="24" t="s">
        <v>106</v>
      </c>
      <c r="D78" s="24" t="s">
        <v>253</v>
      </c>
      <c r="E78" s="15">
        <v>42651.484907407408</v>
      </c>
      <c r="F78" s="15">
        <v>42651.489895833336</v>
      </c>
      <c r="G78" s="7">
        <v>1</v>
      </c>
      <c r="H78" s="15" t="s">
        <v>633</v>
      </c>
      <c r="I78" s="15">
        <v>42651.515057870369</v>
      </c>
      <c r="J78" s="7">
        <v>1</v>
      </c>
      <c r="K78" s="116" t="str">
        <f t="shared" si="62"/>
        <v>4025/4026</v>
      </c>
      <c r="L78" s="24" t="str">
        <f>VLOOKUP(A78,'Trips&amp;Operators'!$C$1:$E$10000,3,FALSE)</f>
        <v>SHOOK</v>
      </c>
      <c r="M78" s="6">
        <f t="shared" si="63"/>
        <v>2.5162037032714579E-2</v>
      </c>
      <c r="N78" s="7">
        <f t="shared" si="64"/>
        <v>36.233333327108994</v>
      </c>
      <c r="O78" s="7"/>
      <c r="P78" s="7"/>
      <c r="Q78" s="25"/>
      <c r="R78" s="25"/>
      <c r="S78" s="37">
        <f t="shared" si="65"/>
        <v>1</v>
      </c>
      <c r="T78" s="52" t="str">
        <f t="shared" si="66"/>
        <v>NorthBound</v>
      </c>
      <c r="U78" s="15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10:38:16-0600',mode:absolute,to:'2016-10-08 13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8" s="54" t="str">
        <f t="shared" si="68"/>
        <v>N</v>
      </c>
      <c r="X78" s="163">
        <f t="shared" si="75"/>
        <v>1</v>
      </c>
      <c r="Y78" s="69">
        <f t="shared" si="69"/>
        <v>4.4600000000000001E-2</v>
      </c>
      <c r="Z78" s="69">
        <f t="shared" si="70"/>
        <v>23.334</v>
      </c>
      <c r="AA78" s="69">
        <f t="shared" si="71"/>
        <v>23.289400000000001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72"/>
        <v>0165-08</v>
      </c>
      <c r="AE78" s="94" t="str">
        <f t="shared" si="76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78" s="91" t="str">
        <f t="shared" si="77"/>
        <v>"C:\Program Files (x86)\AstroGrep\AstroGrep.exe" /spath="%USERPROFILE%\AppData\Local\Temp\OnboardLogs" /stypes="app*4025*20161008*" /stext=" 18:.+((SYSTEM_STATE.+slice.+state.+changed )|(ment ac)|(system.+state.+changed )|(\[timeout)|(PRM\|1\|D)|(kpr)|(kdp)|(\|lc)|(penalty))" /e /r /s</v>
      </c>
      <c r="AG78" s="1" t="str">
        <f t="shared" si="73"/>
        <v>EC</v>
      </c>
      <c r="AH78" s="95" t="str">
        <f t="shared" si="13"/>
        <v>"%USERPROFILE%\Documents\GitHub\eaglep3\Utilities\RefineRTDCRunTimes.py" --tripid 165-08 --locoid 4025 --swversion DE.1.0.7.0 --startMP 204:446 --initTime 2016-10-08T11:38:16 --startdatetime 2016-10-08T11:45:27 --delay 1 --endMP 204:233340 --enddatetime 2016-10-08T12:21:41 --enforcementcount 1 &gt;&gt;C:\Users\stu\Documents\GitHub\eaglep3-reporting\EC\2016-10-08-refined-times.txt</v>
      </c>
      <c r="AI78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{"issue":{"subject":"","project_id":79,"tracker_id":40,"status_id":1,"priority_id":2,"assigned_to_id":23,"start_date":"2016-10-08","description":"","custom_fields":[{"id":1,"name":"Subdivision","value":"EC"},{"id":4,"name":"Milepost","value":"23.334"},{"id":17,"name":"Train ID","value":"165-08"},{"id":16,"name":"Locomotive ID","value":"4025"},{"id":130,"name":"Impact","value":""},{"id":150,"name":"Time of Event (Mountain Time)","value":"12:21:41"},{"id":151,"name":"Denver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489</v>
      </c>
      <c r="B79" s="7">
        <v>4026</v>
      </c>
      <c r="C79" s="24" t="s">
        <v>106</v>
      </c>
      <c r="D79" s="24" t="s">
        <v>634</v>
      </c>
      <c r="E79" s="15">
        <v>42651.524375000001</v>
      </c>
      <c r="F79" s="15">
        <v>42651.528738425928</v>
      </c>
      <c r="G79" s="7">
        <v>1</v>
      </c>
      <c r="H79" s="15" t="s">
        <v>191</v>
      </c>
      <c r="I79" s="15">
        <v>42651.555601851855</v>
      </c>
      <c r="J79" s="7">
        <v>1</v>
      </c>
      <c r="K79" s="116" t="str">
        <f t="shared" si="62"/>
        <v>4025/4026</v>
      </c>
      <c r="L79" s="24" t="str">
        <f>VLOOKUP(A79,'Trips&amp;Operators'!$C$1:$E$10000,3,FALSE)</f>
        <v>SHOOK</v>
      </c>
      <c r="M79" s="6">
        <f t="shared" si="63"/>
        <v>2.6863425926421769E-2</v>
      </c>
      <c r="N79" s="7">
        <f t="shared" si="64"/>
        <v>38.683333334047347</v>
      </c>
      <c r="O79" s="7"/>
      <c r="P79" s="7"/>
      <c r="Q79" s="25"/>
      <c r="R79" s="25"/>
      <c r="S79" s="37">
        <f t="shared" si="65"/>
        <v>1</v>
      </c>
      <c r="T79" s="52" t="str">
        <f t="shared" si="66"/>
        <v>Southbound</v>
      </c>
      <c r="U79" s="15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11:35:06-0600',mode:absolute,to:'2016-10-08 14:20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9" s="54" t="str">
        <f t="shared" si="68"/>
        <v>N</v>
      </c>
      <c r="X79" s="163">
        <f t="shared" si="75"/>
        <v>1</v>
      </c>
      <c r="Y79" s="69">
        <f t="shared" si="69"/>
        <v>23.3047</v>
      </c>
      <c r="Z79" s="69">
        <f t="shared" si="70"/>
        <v>1.47E-2</v>
      </c>
      <c r="AA79" s="69">
        <f t="shared" si="71"/>
        <v>23.29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72"/>
        <v>0166-08</v>
      </c>
      <c r="AE79" s="94" t="str">
        <f t="shared" si="76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79" s="91" t="str">
        <f t="shared" si="77"/>
        <v>"C:\Program Files (x86)\AstroGrep\AstroGrep.exe" /spath="%USERPROFILE%\AppData\Local\Temp\OnboardLogs" /stypes="app*4026*20161008*" /stext=" 19:.+((SYSTEM_STATE.+slice.+state.+changed )|(ment ac)|(system.+state.+changed )|(\[timeout)|(PRM\|1\|D)|(kpr)|(kdp)|(\|lc)|(penalty))" /e /r /s</v>
      </c>
      <c r="AG79" s="1" t="str">
        <f t="shared" si="73"/>
        <v>EC</v>
      </c>
      <c r="AH79" s="95" t="str">
        <f t="shared" si="13"/>
        <v>"%USERPROFILE%\Documents\GitHub\eaglep3\Utilities\RefineRTDCRunTimes.py" --tripid 166-08 --locoid 4026 --swversion DE.1.0.7.0 --startMP 204:233047 --initTime 2016-10-08T12:35:06 --startdatetime 2016-10-08T12:41:23 --delay 1 --endMP 204:147 --enddatetime 2016-10-08T13:20:04 --enforcementcount 1 &gt;&gt;C:\Users\stu\Documents\GitHub\eaglep3-reporting\EC\2016-10-08-refined-times.txt</v>
      </c>
      <c r="AI79" s="129" t="str">
        <f t="shared" si="14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ID","value":"166-08"},{"id":16,"name":"Locomotive ID","value":"4026"},{"id":130,"name":"Impact","value":""},{"id":150,"name":"Time of Event (Mountain Time)","value":"13:20:04"},{"id":151,"name":"Denver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480</v>
      </c>
      <c r="B80" s="7">
        <v>4053</v>
      </c>
      <c r="C80" s="24" t="s">
        <v>106</v>
      </c>
      <c r="D80" s="24" t="s">
        <v>199</v>
      </c>
      <c r="E80" s="15">
        <v>42651.495416666665</v>
      </c>
      <c r="F80" s="15">
        <v>42651.500462962962</v>
      </c>
      <c r="G80" s="7">
        <v>1</v>
      </c>
      <c r="H80" s="15" t="s">
        <v>635</v>
      </c>
      <c r="I80" s="15">
        <v>42651.527337962965</v>
      </c>
      <c r="J80" s="7">
        <v>1</v>
      </c>
      <c r="K80" s="116" t="str">
        <f t="shared" si="62"/>
        <v>4053/4054</v>
      </c>
      <c r="L80" s="24" t="str">
        <f>VLOOKUP(A80,'Trips&amp;Operators'!$C$1:$E$10000,3,FALSE)</f>
        <v>SWANSON</v>
      </c>
      <c r="M80" s="6">
        <f t="shared" si="63"/>
        <v>2.6875000003201421E-2</v>
      </c>
      <c r="N80" s="7">
        <f t="shared" si="64"/>
        <v>38.700000004610047</v>
      </c>
      <c r="O80" s="7"/>
      <c r="P80" s="7"/>
      <c r="Q80" s="25"/>
      <c r="R80" s="25"/>
      <c r="S80" s="37">
        <f t="shared" si="65"/>
        <v>1</v>
      </c>
      <c r="T80" s="52" t="str">
        <f t="shared" si="66"/>
        <v>NorthBound</v>
      </c>
      <c r="U80" s="15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10:53:24-0600',mode:absolute,to:'2016-10-08 13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0" s="54" t="str">
        <f t="shared" si="68"/>
        <v>N</v>
      </c>
      <c r="X80" s="163">
        <f t="shared" si="75"/>
        <v>1</v>
      </c>
      <c r="Y80" s="69">
        <f t="shared" si="69"/>
        <v>4.5499999999999999E-2</v>
      </c>
      <c r="Z80" s="69">
        <f t="shared" si="70"/>
        <v>23.334099999999999</v>
      </c>
      <c r="AA80" s="69">
        <f t="shared" si="71"/>
        <v>23.288599999999999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72"/>
        <v>0167-08</v>
      </c>
      <c r="AE80" s="94" t="str">
        <f t="shared" si="76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80" s="91" t="str">
        <f t="shared" si="77"/>
        <v>"C:\Program Files (x86)\AstroGrep\AstroGrep.exe" /spath="%USERPROFILE%\AppData\Local\Temp\OnboardLogs" /stypes="app*4053*20161008*" /stext=" 18:.+((SYSTEM_STATE.+slice.+state.+changed )|(ment ac)|(system.+state.+changed )|(\[timeout)|(PRM\|1\|D)|(kpr)|(kdp)|(\|lc)|(penalty))" /e /r /s</v>
      </c>
      <c r="AG80" s="1" t="str">
        <f t="shared" si="73"/>
        <v>EC</v>
      </c>
      <c r="AH80" s="95" t="str">
        <f t="shared" ref="AH80:AH143" si="78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167-08 --locoid 4053 --swversion DE.1.0.7.0 --startMP 204:455 --initTime 2016-10-08T11:53:24 --startdatetime 2016-10-08T12:00:40 --delay 1 --endMP 204:233341 --enddatetime 2016-10-08T12:39:22 --enforcementcount 1 &gt;&gt;C:\Users\stu\Documents\GitHub\eaglep3-reporting\EC\2016-10-08-refined-times.txt</v>
      </c>
      <c r="AI80" s="129" t="str">
        <f t="shared" ref="AI80:AI143" si="79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{"issue":{"subject":"","project_id":79,"tracker_id":40,"status_id":1,"priority_id":2,"assigned_to_id":23,"start_date":"2016-10-08","description":"","custom_fields":[{"id":1,"name":"Subdivision","value":"EC"},{"id":4,"name":"Milepost","value":"23.3341"},{"id":17,"name":"Train ID","value":"167-08"},{"id":16,"name":"Locomotive ID","value":"4053"},{"id":130,"name":"Impact","value":""},{"id":150,"name":"Time of Event (Mountain Time)","value":"12:39:22"},{"id":151,"name":"Denver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491</v>
      </c>
      <c r="B81" s="7">
        <v>4054</v>
      </c>
      <c r="C81" s="24" t="s">
        <v>106</v>
      </c>
      <c r="D81" s="24" t="s">
        <v>281</v>
      </c>
      <c r="E81" s="15">
        <v>42651.529618055552</v>
      </c>
      <c r="F81" s="15">
        <v>42651.539143518516</v>
      </c>
      <c r="G81" s="7">
        <v>1</v>
      </c>
      <c r="H81" s="15" t="s">
        <v>188</v>
      </c>
      <c r="I81" s="15">
        <v>42651.566736111112</v>
      </c>
      <c r="J81" s="7">
        <v>1</v>
      </c>
      <c r="K81" s="116" t="str">
        <f t="shared" si="62"/>
        <v>4053/4054</v>
      </c>
      <c r="L81" s="24" t="str">
        <f>VLOOKUP(A81,'Trips&amp;Operators'!$C$1:$E$10000,3,FALSE)</f>
        <v>SWANSON</v>
      </c>
      <c r="M81" s="6">
        <f t="shared" si="63"/>
        <v>2.7592592596192844E-2</v>
      </c>
      <c r="N81" s="7">
        <f t="shared" si="64"/>
        <v>39.733333338517696</v>
      </c>
      <c r="O81" s="7"/>
      <c r="P81" s="7"/>
      <c r="Q81" s="25"/>
      <c r="R81" s="25"/>
      <c r="S81" s="37">
        <f t="shared" si="65"/>
        <v>1</v>
      </c>
      <c r="T81" s="52" t="str">
        <f t="shared" si="66"/>
        <v>Southbound</v>
      </c>
      <c r="U81" s="15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11:42:39-0600',mode:absolute,to:'2016-10-08 14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1" s="54" t="str">
        <f t="shared" si="68"/>
        <v>N</v>
      </c>
      <c r="X81" s="163">
        <f t="shared" si="75"/>
        <v>1</v>
      </c>
      <c r="Y81" s="69">
        <f t="shared" si="69"/>
        <v>23.3</v>
      </c>
      <c r="Z81" s="69">
        <f t="shared" si="70"/>
        <v>1.49E-2</v>
      </c>
      <c r="AA81" s="69">
        <f t="shared" si="71"/>
        <v>23.2851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72"/>
        <v>0168-08</v>
      </c>
      <c r="AE81" s="94" t="str">
        <f t="shared" si="76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81" s="91" t="str">
        <f t="shared" si="77"/>
        <v>"C:\Program Files (x86)\AstroGrep\AstroGrep.exe" /spath="%USERPROFILE%\AppData\Local\Temp\OnboardLogs" /stypes="app*4054*20161008*" /stext=" 19:.+((SYSTEM_STATE.+slice.+state.+changed )|(ment ac)|(system.+state.+changed )|(\[timeout)|(PRM\|1\|D)|(kpr)|(kdp)|(\|lc)|(penalty))" /e /r /s</v>
      </c>
      <c r="AG81" s="1" t="str">
        <f t="shared" si="73"/>
        <v>EC</v>
      </c>
      <c r="AH81" s="95" t="str">
        <f t="shared" si="78"/>
        <v>"%USERPROFILE%\Documents\GitHub\eaglep3\Utilities\RefineRTDCRunTimes.py" --tripid 168-08 --locoid 4054 --swversion DE.1.0.7.0 --startMP 204:233000 --initTime 2016-10-08T12:42:39 --startdatetime 2016-10-08T12:56:22 --delay 1 --endMP 204:149 --enddatetime 2016-10-08T13:36:06 --enforcementcount 1 &gt;&gt;C:\Users\stu\Documents\GitHub\eaglep3-reporting\EC\2016-10-08-refined-times.txt</v>
      </c>
      <c r="AI81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{"issue":{"subject":"","project_id":79,"tracker_id":40,"status_id":1,"priority_id":2,"assigned_to_id":23,"start_date":"2016-10-08","description":"","custom_fields":[{"id":1,"name":"Subdivision","value":"EC"},{"id":4,"name":"Milepost","value":"0.0149"},{"id":17,"name":"Train ID","value":"168-08"},{"id":16,"name":"Locomotive ID","value":"4054"},{"id":130,"name":"Impact","value":""},{"id":150,"name":"Time of Event (Mountain Time)","value":"13:36:06"},{"id":151,"name":"Denver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484</v>
      </c>
      <c r="B82" s="7">
        <v>4027</v>
      </c>
      <c r="C82" s="24" t="s">
        <v>106</v>
      </c>
      <c r="D82" s="24" t="s">
        <v>216</v>
      </c>
      <c r="E82" s="15">
        <v>42651.506504629629</v>
      </c>
      <c r="F82" s="15">
        <v>42651.510601851849</v>
      </c>
      <c r="G82" s="7">
        <v>1</v>
      </c>
      <c r="H82" s="15" t="s">
        <v>317</v>
      </c>
      <c r="I82" s="15">
        <v>42651.536643518521</v>
      </c>
      <c r="J82" s="7">
        <v>1</v>
      </c>
      <c r="K82" s="116" t="str">
        <f t="shared" si="62"/>
        <v>4027/4028</v>
      </c>
      <c r="L82" s="24" t="str">
        <f>VLOOKUP(A82,'Trips&amp;Operators'!$C$1:$E$10000,3,FALSE)</f>
        <v>CLARK</v>
      </c>
      <c r="M82" s="6">
        <f t="shared" si="63"/>
        <v>2.6041666671517305E-2</v>
      </c>
      <c r="N82" s="7">
        <f t="shared" si="64"/>
        <v>37.500000006984919</v>
      </c>
      <c r="O82" s="7"/>
      <c r="P82" s="7"/>
      <c r="Q82" s="25"/>
      <c r="R82" s="25"/>
      <c r="S82" s="37">
        <f t="shared" si="65"/>
        <v>1</v>
      </c>
      <c r="T82" s="52" t="str">
        <f t="shared" si="66"/>
        <v>NorthBound</v>
      </c>
      <c r="U82" s="15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11:09:22-0600',mode:absolute,to:'2016-10-08 13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2" s="54" t="str">
        <f t="shared" si="68"/>
        <v>N</v>
      </c>
      <c r="X82" s="163">
        <f t="shared" si="75"/>
        <v>1</v>
      </c>
      <c r="Y82" s="69">
        <f t="shared" si="69"/>
        <v>4.6399999999999997E-2</v>
      </c>
      <c r="Z82" s="69">
        <f t="shared" si="70"/>
        <v>23.327400000000001</v>
      </c>
      <c r="AA82" s="69">
        <f t="shared" si="71"/>
        <v>23.281000000000002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72"/>
        <v>0169-08</v>
      </c>
      <c r="AE82" s="94" t="str">
        <f t="shared" si="76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82" s="91" t="str">
        <f t="shared" si="77"/>
        <v>"C:\Program Files (x86)\AstroGrep\AstroGrep.exe" /spath="%USERPROFILE%\AppData\Local\Temp\OnboardLogs" /stypes="app*4027*20161008*" /stext=" 18:.+((SYSTEM_STATE.+slice.+state.+changed )|(ment ac)|(system.+state.+changed )|(\[timeout)|(PRM\|1\|D)|(kpr)|(kdp)|(\|lc)|(penalty))" /e /r /s</v>
      </c>
      <c r="AG82" s="1" t="str">
        <f t="shared" si="73"/>
        <v>EC</v>
      </c>
      <c r="AH82" s="95" t="str">
        <f t="shared" si="78"/>
        <v>"%USERPROFILE%\Documents\GitHub\eaglep3\Utilities\RefineRTDCRunTimes.py" --tripid 169-08 --locoid 4027 --swversion DE.1.0.7.0 --startMP 204:464 --initTime 2016-10-08T12:09:22 --startdatetime 2016-10-08T12:15:16 --delay 1 --endMP 204:233274 --enddatetime 2016-10-08T12:52:46 --enforcementcount 1 &gt;&gt;C:\Users\stu\Documents\GitHub\eaglep3-reporting\EC\2016-10-08-refined-times.txt</v>
      </c>
      <c r="AI82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{"issue":{"subject":"","project_id":79,"tracker_id":40,"status_id":1,"priority_id":2,"assigned_to_id":23,"start_date":"2016-10-08","description":"","custom_fields":[{"id":1,"name":"Subdivision","value":"EC"},{"id":4,"name":"Milepost","value":"23.3274"},{"id":17,"name":"Train ID","value":"169-08"},{"id":16,"name":"Locomotive ID","value":"4027"},{"id":130,"name":"Impact","value":""},{"id":150,"name":"Time of Event (Mountain Time)","value":"12:52:46"},{"id":151,"name":"Denver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494</v>
      </c>
      <c r="B83" s="7">
        <v>4028</v>
      </c>
      <c r="C83" s="24" t="s">
        <v>106</v>
      </c>
      <c r="D83" s="24" t="s">
        <v>327</v>
      </c>
      <c r="E83" s="15">
        <v>42651.543078703704</v>
      </c>
      <c r="F83" s="15">
        <v>42651.549479166664</v>
      </c>
      <c r="G83" s="7">
        <v>1</v>
      </c>
      <c r="H83" s="15" t="s">
        <v>233</v>
      </c>
      <c r="I83" s="15">
        <v>42651.577696759261</v>
      </c>
      <c r="J83" s="7">
        <v>1</v>
      </c>
      <c r="K83" s="116" t="str">
        <f t="shared" si="62"/>
        <v>4027/4028</v>
      </c>
      <c r="L83" s="24" t="str">
        <f>VLOOKUP(A83,'Trips&amp;Operators'!$C$1:$E$10000,3,FALSE)</f>
        <v>CLARK</v>
      </c>
      <c r="M83" s="6">
        <f t="shared" si="63"/>
        <v>2.8217592596774921E-2</v>
      </c>
      <c r="N83" s="7">
        <f t="shared" si="64"/>
        <v>40.633333339355886</v>
      </c>
      <c r="O83" s="7"/>
      <c r="P83" s="7"/>
      <c r="Q83" s="25"/>
      <c r="R83" s="25"/>
      <c r="S83" s="37">
        <f t="shared" si="65"/>
        <v>1</v>
      </c>
      <c r="T83" s="52" t="str">
        <f t="shared" si="66"/>
        <v>Southbound</v>
      </c>
      <c r="U83" s="15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12:02:02-0600',mode:absolute,to:'2016-10-08 14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3" s="54" t="str">
        <f t="shared" si="68"/>
        <v>N</v>
      </c>
      <c r="X83" s="163">
        <f t="shared" si="75"/>
        <v>1</v>
      </c>
      <c r="Y83" s="69">
        <f t="shared" si="69"/>
        <v>23.296199999999999</v>
      </c>
      <c r="Z83" s="69">
        <f t="shared" si="70"/>
        <v>1.6500000000000001E-2</v>
      </c>
      <c r="AA83" s="69">
        <f t="shared" si="71"/>
        <v>23.279699999999998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72"/>
        <v>0170-08</v>
      </c>
      <c r="AE83" s="94" t="str">
        <f t="shared" si="76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83" s="91" t="str">
        <f t="shared" si="77"/>
        <v>"C:\Program Files (x86)\AstroGrep\AstroGrep.exe" /spath="%USERPROFILE%\AppData\Local\Temp\OnboardLogs" /stypes="app*4028*20161008*" /stext=" 19:.+((SYSTEM_STATE.+slice.+state.+changed )|(ment ac)|(system.+state.+changed )|(\[timeout)|(PRM\|1\|D)|(kpr)|(kdp)|(\|lc)|(penalty))" /e /r /s</v>
      </c>
      <c r="AG83" s="1" t="str">
        <f t="shared" si="73"/>
        <v>EC</v>
      </c>
      <c r="AH83" s="95" t="str">
        <f t="shared" si="78"/>
        <v>"%USERPROFILE%\Documents\GitHub\eaglep3\Utilities\RefineRTDCRunTimes.py" --tripid 170-08 --locoid 4028 --swversion DE.1.0.7.0 --startMP 204:232962 --initTime 2016-10-08T13:02:02 --startdatetime 2016-10-08T13:11:15 --delay 1 --endMP 204:165 --enddatetime 2016-10-08T13:51:53 --enforcementcount 1 &gt;&gt;C:\Users\stu\Documents\GitHub\eaglep3-reporting\EC\2016-10-08-refined-times.txt</v>
      </c>
      <c r="AI8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{"issue":{"subject":"","project_id":79,"tracker_id":40,"status_id":1,"priority_id":2,"assigned_to_id":23,"start_date":"2016-10-08","description":"","custom_fields":[{"id":1,"name":"Subdivision","value":"EC"},{"id":4,"name":"Milepost","value":"0.0165"},{"id":17,"name":"Train ID","value":"170-08"},{"id":16,"name":"Locomotive ID","value":"4028"},{"id":130,"name":"Impact","value":""},{"id":150,"name":"Time of Event (Mountain Time)","value":"13:51:53"},{"id":151,"name":"Denver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486</v>
      </c>
      <c r="B84" s="7">
        <v>4038</v>
      </c>
      <c r="C84" s="24" t="s">
        <v>106</v>
      </c>
      <c r="D84" s="24" t="s">
        <v>267</v>
      </c>
      <c r="E84" s="15">
        <v>42651.518229166664</v>
      </c>
      <c r="F84" s="15">
        <v>42651.521122685182</v>
      </c>
      <c r="G84" s="7">
        <v>1</v>
      </c>
      <c r="H84" s="15" t="s">
        <v>334</v>
      </c>
      <c r="I84" s="15">
        <v>42651.546631944446</v>
      </c>
      <c r="J84" s="7">
        <v>1</v>
      </c>
      <c r="K84" s="116" t="str">
        <f t="shared" si="62"/>
        <v>4037/4038</v>
      </c>
      <c r="L84" s="24" t="str">
        <f>VLOOKUP(A84,'Trips&amp;Operators'!$C$1:$E$10000,3,FALSE)</f>
        <v>OUN</v>
      </c>
      <c r="M84" s="6">
        <f t="shared" si="63"/>
        <v>2.5509259263344575E-2</v>
      </c>
      <c r="N84" s="7">
        <f t="shared" si="64"/>
        <v>36.733333339216188</v>
      </c>
      <c r="O84" s="7"/>
      <c r="P84" s="7"/>
      <c r="Q84" s="25"/>
      <c r="R84" s="25"/>
      <c r="S84" s="37">
        <f t="shared" si="65"/>
        <v>1</v>
      </c>
      <c r="T84" s="52" t="str">
        <f t="shared" si="66"/>
        <v>NorthBound</v>
      </c>
      <c r="U84" s="15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11:26:15-0600',mode:absolute,to:'2016-10-08 14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4" s="54" t="str">
        <f t="shared" si="68"/>
        <v>N</v>
      </c>
      <c r="X84" s="163">
        <f t="shared" si="75"/>
        <v>1</v>
      </c>
      <c r="Y84" s="69">
        <f t="shared" si="69"/>
        <v>4.5999999999999999E-2</v>
      </c>
      <c r="Z84" s="69">
        <f t="shared" si="70"/>
        <v>23.331600000000002</v>
      </c>
      <c r="AA84" s="69">
        <f t="shared" si="71"/>
        <v>23.285600000000002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72"/>
        <v>0171-08</v>
      </c>
      <c r="AE84" s="94" t="str">
        <f t="shared" si="76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84" s="91" t="str">
        <f t="shared" si="77"/>
        <v>"C:\Program Files (x86)\AstroGrep\AstroGrep.exe" /spath="%USERPROFILE%\AppData\Local\Temp\OnboardLogs" /stypes="app*4038*20161008*" /stext=" 19:.+((SYSTEM_STATE.+slice.+state.+changed )|(ment ac)|(system.+state.+changed )|(\[timeout)|(PRM\|1\|D)|(kpr)|(kdp)|(\|lc)|(penalty))" /e /r /s</v>
      </c>
      <c r="AG84" s="1" t="str">
        <f t="shared" si="73"/>
        <v>EC</v>
      </c>
      <c r="AH84" s="95" t="str">
        <f t="shared" si="78"/>
        <v>"%USERPROFILE%\Documents\GitHub\eaglep3\Utilities\RefineRTDCRunTimes.py" --tripid 171-08 --locoid 4038 --swversion DE.1.0.7.0 --startMP 204:460 --initTime 2016-10-08T12:26:15 --startdatetime 2016-10-08T12:30:25 --delay 1 --endMP 204:233316 --enddatetime 2016-10-08T13:07:09 --enforcementcount 1 &gt;&gt;C:\Users\stu\Documents\GitHub\eaglep3-reporting\EC\2016-10-08-refined-times.txt</v>
      </c>
      <c r="AI84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{"issue":{"subject":"","project_id":79,"tracker_id":40,"status_id":1,"priority_id":2,"assigned_to_id":23,"start_date":"2016-10-08","description":"","custom_fields":[{"id":1,"name":"Subdivision","value":"EC"},{"id":4,"name":"Milepost","value":"23.3316"},{"id":17,"name":"Train ID","value":"171-08"},{"id":16,"name":"Locomotive ID","value":"4038"},{"id":130,"name":"Impact","value":""},{"id":150,"name":"Time of Event (Mountain Time)","value":"13:07:09"},{"id":151,"name":"Denver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496</v>
      </c>
      <c r="B85" s="7">
        <v>4037</v>
      </c>
      <c r="C85" s="24" t="s">
        <v>106</v>
      </c>
      <c r="D85" s="24" t="s">
        <v>636</v>
      </c>
      <c r="E85" s="15">
        <v>42651.5544212963</v>
      </c>
      <c r="F85" s="15">
        <v>42651.560011574074</v>
      </c>
      <c r="G85" s="7">
        <v>1</v>
      </c>
      <c r="H85" s="15" t="s">
        <v>126</v>
      </c>
      <c r="I85" s="15">
        <v>42651.587789351855</v>
      </c>
      <c r="J85" s="7">
        <v>1</v>
      </c>
      <c r="K85" s="116" t="str">
        <f t="shared" si="62"/>
        <v>4037/4038</v>
      </c>
      <c r="L85" s="24" t="str">
        <f>VLOOKUP(A85,'Trips&amp;Operators'!$C$1:$E$10000,3,FALSE)</f>
        <v>OUN</v>
      </c>
      <c r="M85" s="6">
        <f t="shared" si="63"/>
        <v>2.7777777781011537E-2</v>
      </c>
      <c r="N85" s="7">
        <f t="shared" si="64"/>
        <v>40.000000004656613</v>
      </c>
      <c r="O85" s="7"/>
      <c r="P85" s="7"/>
      <c r="Q85" s="25"/>
      <c r="R85" s="25"/>
      <c r="S85" s="37">
        <f t="shared" si="65"/>
        <v>1</v>
      </c>
      <c r="T85" s="52" t="str">
        <f t="shared" si="66"/>
        <v>Southbound</v>
      </c>
      <c r="U85" s="15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12:18:22-0600',mode:absolute,to:'2016-10-08 15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5" s="54" t="str">
        <f t="shared" si="68"/>
        <v>N</v>
      </c>
      <c r="X85" s="163">
        <f t="shared" si="75"/>
        <v>1</v>
      </c>
      <c r="Y85" s="69">
        <f t="shared" si="69"/>
        <v>23.296500000000002</v>
      </c>
      <c r="Z85" s="69">
        <f t="shared" si="70"/>
        <v>1.54E-2</v>
      </c>
      <c r="AA85" s="69">
        <f t="shared" si="71"/>
        <v>23.281100000000002</v>
      </c>
      <c r="AB85" s="66" t="str">
        <f>VLOOKUP(A85,Enforcements!$C$7:$K$21,8,0)</f>
        <v>Bulletin (2)</v>
      </c>
      <c r="AC85" s="62" t="str">
        <f>VLOOKUP(A85,Enforcements!$C$7:$E$21,3,0)</f>
        <v>GRADE CROSSING</v>
      </c>
      <c r="AD85" s="63" t="str">
        <f t="shared" si="72"/>
        <v>0172-08</v>
      </c>
      <c r="AE85" s="94" t="str">
        <f t="shared" si="76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85" s="91" t="str">
        <f t="shared" si="77"/>
        <v>"C:\Program Files (x86)\AstroGrep\AstroGrep.exe" /spath="%USERPROFILE%\AppData\Local\Temp\OnboardLogs" /stypes="app*4037*20161008*" /stext=" 20:.+((SYSTEM_STATE.+slice.+state.+changed )|(ment ac)|(system.+state.+changed )|(\[timeout)|(PRM\|1\|D)|(kpr)|(kdp)|(\|lc)|(penalty))" /e /r /s</v>
      </c>
      <c r="AG85" s="1" t="str">
        <f t="shared" si="73"/>
        <v>EC</v>
      </c>
      <c r="AH85" s="95" t="str">
        <f t="shared" si="78"/>
        <v>"%USERPROFILE%\Documents\GitHub\eaglep3\Utilities\RefineRTDCRunTimes.py" --tripid 172-08 --locoid 4037 --swversion DE.1.0.7.0 --startMP 204:232965 --initTime 2016-10-08T13:18:22 --startdatetime 2016-10-08T13:26:25 --delay 1 --endMP 204:154 --enddatetime 2016-10-08T14:06:25 --enforcementcount 1 &gt;&gt;C:\Users\stu\Documents\GitHub\eaglep3-reporting\EC\2016-10-08-refined-times.txt</v>
      </c>
      <c r="AI85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ID","value":"172-08"},{"id":16,"name":"Locomotive ID","value":"4037"},{"id":130,"name":"Impact","value":""},{"id":150,"name":"Time of Event (Mountain Time)","value":"14:06:25"},{"id":151,"name":"Denver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490</v>
      </c>
      <c r="B86" s="7">
        <v>4014</v>
      </c>
      <c r="C86" s="24" t="s">
        <v>106</v>
      </c>
      <c r="D86" s="24" t="s">
        <v>249</v>
      </c>
      <c r="E86" s="15">
        <v>42651.526354166665</v>
      </c>
      <c r="F86" s="15">
        <v>42651.5315162037</v>
      </c>
      <c r="G86" s="7">
        <v>1</v>
      </c>
      <c r="H86" s="15" t="s">
        <v>247</v>
      </c>
      <c r="I86" s="15">
        <v>42651.556909722225</v>
      </c>
      <c r="J86" s="7">
        <v>1</v>
      </c>
      <c r="K86" s="116" t="str">
        <f t="shared" si="62"/>
        <v>4013/4014</v>
      </c>
      <c r="L86" s="24" t="str">
        <f>VLOOKUP(A86,'Trips&amp;Operators'!$C$1:$E$10000,3,FALSE)</f>
        <v>STEWART</v>
      </c>
      <c r="M86" s="6">
        <f t="shared" si="63"/>
        <v>2.5393518524651881E-2</v>
      </c>
      <c r="N86" s="7">
        <f t="shared" si="64"/>
        <v>36.566666675498709</v>
      </c>
      <c r="O86" s="7"/>
      <c r="P86" s="7"/>
      <c r="Q86" s="25"/>
      <c r="R86" s="25"/>
      <c r="S86" s="37">
        <f t="shared" si="65"/>
        <v>1</v>
      </c>
      <c r="T86" s="52" t="str">
        <f t="shared" si="66"/>
        <v>NorthBound</v>
      </c>
      <c r="U86" s="15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11:37:57-0600',mode:absolute,to:'2016-10-08 14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6" s="54" t="str">
        <f t="shared" si="68"/>
        <v>N</v>
      </c>
      <c r="X86" s="163">
        <f t="shared" si="75"/>
        <v>1</v>
      </c>
      <c r="Y86" s="69">
        <f t="shared" si="69"/>
        <v>4.6899999999999997E-2</v>
      </c>
      <c r="Z86" s="69">
        <f t="shared" si="70"/>
        <v>23.329699999999999</v>
      </c>
      <c r="AA86" s="69">
        <f t="shared" si="71"/>
        <v>23.282799999999998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72"/>
        <v>0173-08</v>
      </c>
      <c r="AE86" s="94" t="str">
        <f t="shared" si="76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86" s="91" t="str">
        <f t="shared" si="77"/>
        <v>"C:\Program Files (x86)\AstroGrep\AstroGrep.exe" /spath="%USERPROFILE%\AppData\Local\Temp\OnboardLogs" /stypes="app*4014*20161008*" /stext=" 19:.+((SYSTEM_STATE.+slice.+state.+changed )|(ment ac)|(system.+state.+changed )|(\[timeout)|(PRM\|1\|D)|(kpr)|(kdp)|(\|lc)|(penalty))" /e /r /s</v>
      </c>
      <c r="AG86" s="1" t="str">
        <f t="shared" si="73"/>
        <v>EC</v>
      </c>
      <c r="AH86" s="95" t="str">
        <f t="shared" si="78"/>
        <v>"%USERPROFILE%\Documents\GitHub\eaglep3\Utilities\RefineRTDCRunTimes.py" --tripid 173-08 --locoid 4014 --swversion DE.1.0.7.0 --startMP 204:469 --initTime 2016-10-08T12:37:57 --startdatetime 2016-10-08T12:45:23 --delay 1 --endMP 204:233297 --enddatetime 2016-10-08T13:21:57 --enforcementcount 1 &gt;&gt;C:\Users\stu\Documents\GitHub\eaglep3-reporting\EC\2016-10-08-refined-times.txt</v>
      </c>
      <c r="AI86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{"issue":{"subject":"","project_id":79,"tracker_id":40,"status_id":1,"priority_id":2,"assigned_to_id":23,"start_date":"2016-10-08","description":"","custom_fields":[{"id":1,"name":"Subdivision","value":"EC"},{"id":4,"name":"Milepost","value":"23.3297"},{"id":17,"name":"Train ID","value":"173-08"},{"id":16,"name":"Locomotive ID","value":"4014"},{"id":130,"name":"Impact","value":""},{"id":150,"name":"Time of Event (Mountain Time)","value":"13:21:57"},{"id":151,"name":"Denver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499</v>
      </c>
      <c r="B87" s="7">
        <v>4013</v>
      </c>
      <c r="C87" s="24" t="s">
        <v>106</v>
      </c>
      <c r="D87" s="24" t="s">
        <v>252</v>
      </c>
      <c r="E87" s="15">
        <v>42651.568182870367</v>
      </c>
      <c r="F87" s="15">
        <v>42651.570428240739</v>
      </c>
      <c r="G87" s="7">
        <v>1</v>
      </c>
      <c r="H87" s="15" t="s">
        <v>126</v>
      </c>
      <c r="I87" s="15">
        <v>42651.59814814815</v>
      </c>
      <c r="J87" s="7">
        <v>1</v>
      </c>
      <c r="K87" s="116" t="str">
        <f t="shared" si="62"/>
        <v>4013/4014</v>
      </c>
      <c r="L87" s="24" t="str">
        <f>VLOOKUP(A87,'Trips&amp;Operators'!$C$1:$E$10000,3,FALSE)</f>
        <v>STEWART</v>
      </c>
      <c r="M87" s="6">
        <f t="shared" si="63"/>
        <v>2.771990741166519E-2</v>
      </c>
      <c r="N87" s="7">
        <f t="shared" si="64"/>
        <v>39.916666672797874</v>
      </c>
      <c r="O87" s="7"/>
      <c r="P87" s="7"/>
      <c r="Q87" s="25"/>
      <c r="R87" s="25"/>
      <c r="S87" s="37">
        <f t="shared" si="65"/>
        <v>1</v>
      </c>
      <c r="T87" s="52" t="str">
        <f t="shared" si="66"/>
        <v>Southbound</v>
      </c>
      <c r="U87" s="15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12:38:11-0600',mode:absolute,to:'2016-10-08 15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7" s="54" t="str">
        <f t="shared" si="68"/>
        <v>N</v>
      </c>
      <c r="X87" s="163">
        <f t="shared" si="75"/>
        <v>1</v>
      </c>
      <c r="Y87" s="69">
        <f t="shared" si="69"/>
        <v>23.298500000000001</v>
      </c>
      <c r="Z87" s="69">
        <f t="shared" si="70"/>
        <v>1.54E-2</v>
      </c>
      <c r="AA87" s="69">
        <f t="shared" si="71"/>
        <v>23.283100000000001</v>
      </c>
      <c r="AB87" s="66" t="str">
        <f>VLOOKUP(A87,Enforcements!$C$7:$K$21,8,0)</f>
        <v>Speed (6)</v>
      </c>
      <c r="AC87" s="62" t="str">
        <f>VLOOKUP(A87,Enforcements!$C$7:$E$21,3,0)</f>
        <v>PERMANENT SPEED RESTRICTION</v>
      </c>
      <c r="AD87" s="63" t="str">
        <f t="shared" si="72"/>
        <v>0174-08</v>
      </c>
      <c r="AE87" s="94" t="str">
        <f t="shared" si="76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87" s="91" t="str">
        <f t="shared" si="77"/>
        <v>"C:\Program Files (x86)\AstroGrep\AstroGrep.exe" /spath="%USERPROFILE%\AppData\Local\Temp\OnboardLogs" /stypes="app*4013*20161008*" /stext=" 20:.+((SYSTEM_STATE.+slice.+state.+changed )|(ment ac)|(system.+state.+changed )|(\[timeout)|(PRM\|1\|D)|(kpr)|(kdp)|(\|lc)|(penalty))" /e /r /s</v>
      </c>
      <c r="AG87" s="1" t="str">
        <f t="shared" si="73"/>
        <v>EC</v>
      </c>
      <c r="AH87" s="95" t="str">
        <f t="shared" si="78"/>
        <v>"%USERPROFILE%\Documents\GitHub\eaglep3\Utilities\RefineRTDCRunTimes.py" --tripid 174-08 --locoid 4013 --swversion DE.1.0.7.0 --startMP 204:232985 --initTime 2016-10-08T13:38:11 --startdatetime 2016-10-08T13:41:25 --delay 1 --endMP 204:154 --enddatetime 2016-10-08T14:21:20 --enforcementcount 1 &gt;&gt;C:\Users\stu\Documents\GitHub\eaglep3-reporting\EC\2016-10-08-refined-times.txt</v>
      </c>
      <c r="AI87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ID","value":"174-08"},{"id":16,"name":"Locomotive ID","value":"4013"},{"id":130,"name":"Impact","value":""},{"id":150,"name":"Time of Event (Mountain Time)","value":"14:21:20"},{"id":151,"name":"Denver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492</v>
      </c>
      <c r="B88" s="7">
        <v>4044</v>
      </c>
      <c r="C88" s="24" t="s">
        <v>106</v>
      </c>
      <c r="D88" s="24" t="s">
        <v>197</v>
      </c>
      <c r="E88" s="15">
        <v>42651.53802083333</v>
      </c>
      <c r="F88" s="15">
        <v>42651.542048611111</v>
      </c>
      <c r="G88" s="7">
        <v>1</v>
      </c>
      <c r="H88" s="15" t="s">
        <v>223</v>
      </c>
      <c r="I88" s="15">
        <v>42651.567071759258</v>
      </c>
      <c r="J88" s="7">
        <v>1</v>
      </c>
      <c r="K88" s="116" t="str">
        <f t="shared" si="62"/>
        <v>4043/4044</v>
      </c>
      <c r="L88" s="24" t="str">
        <f>VLOOKUP(A88,'Trips&amp;Operators'!$C$1:$E$10000,3,FALSE)</f>
        <v>BARTLETT</v>
      </c>
      <c r="M88" s="6">
        <f t="shared" si="63"/>
        <v>2.5023148147738539E-2</v>
      </c>
      <c r="N88" s="7">
        <f t="shared" si="64"/>
        <v>36.033333332743496</v>
      </c>
      <c r="O88" s="7"/>
      <c r="P88" s="7"/>
      <c r="Q88" s="25"/>
      <c r="R88" s="25"/>
      <c r="S88" s="37">
        <f t="shared" si="65"/>
        <v>1</v>
      </c>
      <c r="T88" s="52" t="str">
        <f t="shared" si="66"/>
        <v>NorthBound</v>
      </c>
      <c r="U88" s="15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11:54:45-0600',mode:absolute,to:'2016-10-08 14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8" s="54" t="str">
        <f t="shared" si="68"/>
        <v>N</v>
      </c>
      <c r="X88" s="163">
        <f t="shared" si="75"/>
        <v>1</v>
      </c>
      <c r="Y88" s="69">
        <f t="shared" si="69"/>
        <v>4.6600000000000003E-2</v>
      </c>
      <c r="Z88" s="69">
        <f t="shared" si="70"/>
        <v>23.3293</v>
      </c>
      <c r="AA88" s="69">
        <f t="shared" si="71"/>
        <v>23.282699999999998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72"/>
        <v>0175-08</v>
      </c>
      <c r="AE88" s="94" t="str">
        <f t="shared" si="76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88" s="91" t="str">
        <f t="shared" si="77"/>
        <v>"C:\Program Files (x86)\AstroGrep\AstroGrep.exe" /spath="%USERPROFILE%\AppData\Local\Temp\OnboardLogs" /stypes="app*4044*20161008*" /stext=" 19:.+((SYSTEM_STATE.+slice.+state.+changed )|(ment ac)|(system.+state.+changed )|(\[timeout)|(PRM\|1\|D)|(kpr)|(kdp)|(\|lc)|(penalty))" /e /r /s</v>
      </c>
      <c r="AG88" s="1" t="str">
        <f t="shared" si="73"/>
        <v>EC</v>
      </c>
      <c r="AH88" s="95" t="str">
        <f t="shared" si="78"/>
        <v>"%USERPROFILE%\Documents\GitHub\eaglep3\Utilities\RefineRTDCRunTimes.py" --tripid 175-08 --locoid 4044 --swversion DE.1.0.7.0 --startMP 204:466 --initTime 2016-10-08T12:54:45 --startdatetime 2016-10-08T13:00:33 --delay 1 --endMP 204:233293 --enddatetime 2016-10-08T13:36:35 --enforcementcount 1 &gt;&gt;C:\Users\stu\Documents\GitHub\eaglep3-reporting\EC\2016-10-08-refined-times.txt</v>
      </c>
      <c r="AI88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ID","value":"175-08"},{"id":16,"name":"Locomotive ID","value":"4044"},{"id":130,"name":"Impact","value":""},{"id":150,"name":"Time of Event (Mountain Time)","value":"13:36:35"},{"id":151,"name":"Denver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501</v>
      </c>
      <c r="B89" s="7">
        <v>4043</v>
      </c>
      <c r="C89" s="24" t="s">
        <v>106</v>
      </c>
      <c r="D89" s="24" t="s">
        <v>246</v>
      </c>
      <c r="E89" s="15">
        <v>42651.569699074076</v>
      </c>
      <c r="F89" s="15">
        <v>42651.580706018518</v>
      </c>
      <c r="G89" s="7">
        <v>1</v>
      </c>
      <c r="H89" s="15" t="s">
        <v>190</v>
      </c>
      <c r="I89" s="15">
        <v>42651.608518518522</v>
      </c>
      <c r="J89" s="7">
        <v>1</v>
      </c>
      <c r="K89" s="116" t="str">
        <f t="shared" si="62"/>
        <v>4043/4044</v>
      </c>
      <c r="L89" s="24" t="str">
        <f>VLOOKUP(A89,'Trips&amp;Operators'!$C$1:$E$10000,3,FALSE)</f>
        <v>BARTLETT</v>
      </c>
      <c r="M89" s="6">
        <f t="shared" si="63"/>
        <v>2.7812500004074536E-2</v>
      </c>
      <c r="N89" s="7">
        <f t="shared" si="64"/>
        <v>40.050000005867332</v>
      </c>
      <c r="O89" s="7"/>
      <c r="P89" s="7"/>
      <c r="Q89" s="25"/>
      <c r="R89" s="25"/>
      <c r="S89" s="37">
        <f t="shared" si="65"/>
        <v>1</v>
      </c>
      <c r="T89" s="52" t="str">
        <f t="shared" si="66"/>
        <v>Southbound</v>
      </c>
      <c r="U89" s="15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12:40:22-0600',mode:absolute,to:'2016-10-08 15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9" s="54" t="str">
        <f t="shared" si="68"/>
        <v>N</v>
      </c>
      <c r="X89" s="163">
        <f t="shared" si="75"/>
        <v>1</v>
      </c>
      <c r="Y89" s="69">
        <f t="shared" si="69"/>
        <v>23.299800000000001</v>
      </c>
      <c r="Z89" s="69">
        <f t="shared" si="70"/>
        <v>1.5800000000000002E-2</v>
      </c>
      <c r="AA89" s="69">
        <f t="shared" si="71"/>
        <v>23.284000000000002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72"/>
        <v>0176-08</v>
      </c>
      <c r="AE89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89" s="91" t="str">
        <f t="shared" si="77"/>
        <v>"C:\Program Files (x86)\AstroGrep\AstroGrep.exe" /spath="%USERPROFILE%\AppData\Local\Temp\OnboardLogs" /stypes="app*4043*20161008*" /stext=" 20:.+((SYSTEM_STATE.+slice.+state.+changed )|(ment ac)|(system.+state.+changed )|(\[timeout)|(PRM\|1\|D)|(kpr)|(kdp)|(\|lc)|(penalty))" /e /r /s</v>
      </c>
      <c r="AG89" s="1" t="str">
        <f t="shared" si="73"/>
        <v>EC</v>
      </c>
      <c r="AH89" s="95" t="str">
        <f t="shared" si="78"/>
        <v>"%USERPROFILE%\Documents\GitHub\eaglep3\Utilities\RefineRTDCRunTimes.py" --tripid 176-08 --locoid 4043 --swversion DE.1.0.7.0 --startMP 204:232998 --initTime 2016-10-08T13:40:22 --startdatetime 2016-10-08T13:56:13 --delay 1 --endMP 204:158 --enddatetime 2016-10-08T14:36:16 --enforcementcount 1 &gt;&gt;C:\Users\stu\Documents\GitHub\eaglep3-reporting\EC\2016-10-08-refined-times.txt</v>
      </c>
      <c r="AI89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ID","value":"176-08"},{"id":16,"name":"Locomotive ID","value":"4043"},{"id":130,"name":"Impact","value":""},{"id":150,"name":"Time of Event (Mountain Time)","value":"14:36:16"},{"id":151,"name":"Denver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495</v>
      </c>
      <c r="B90" s="7">
        <v>4042</v>
      </c>
      <c r="C90" s="24" t="s">
        <v>106</v>
      </c>
      <c r="D90" s="24" t="s">
        <v>242</v>
      </c>
      <c r="E90" s="15">
        <v>42651.549074074072</v>
      </c>
      <c r="F90" s="15">
        <v>42651.552349537036</v>
      </c>
      <c r="G90" s="7">
        <v>2</v>
      </c>
      <c r="H90" s="15" t="s">
        <v>637</v>
      </c>
      <c r="I90" s="15">
        <v>42651.577974537038</v>
      </c>
      <c r="J90" s="7">
        <v>1</v>
      </c>
      <c r="K90" s="116" t="str">
        <f t="shared" si="62"/>
        <v>4041/4042</v>
      </c>
      <c r="L90" s="24" t="str">
        <f>VLOOKUP(A90,'Trips&amp;Operators'!$C$1:$E$10000,3,FALSE)</f>
        <v>MOSES</v>
      </c>
      <c r="M90" s="6">
        <f t="shared" si="63"/>
        <v>2.5625000002037268E-2</v>
      </c>
      <c r="N90" s="7">
        <f t="shared" si="64"/>
        <v>36.900000002933666</v>
      </c>
      <c r="O90" s="7"/>
      <c r="P90" s="7"/>
      <c r="Q90" s="25"/>
      <c r="R90" s="25"/>
      <c r="S90" s="37">
        <f t="shared" si="65"/>
        <v>1</v>
      </c>
      <c r="T90" s="52" t="str">
        <f t="shared" si="66"/>
        <v>NorthBound</v>
      </c>
      <c r="U90" s="15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12:10:40-0600',mode:absolute,to:'2016-10-08 14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0" s="54" t="str">
        <f t="shared" si="68"/>
        <v>N</v>
      </c>
      <c r="X90" s="163">
        <f t="shared" si="75"/>
        <v>1</v>
      </c>
      <c r="Y90" s="69">
        <f t="shared" si="69"/>
        <v>4.4699999999999997E-2</v>
      </c>
      <c r="Z90" s="69">
        <f t="shared" si="70"/>
        <v>23.331700000000001</v>
      </c>
      <c r="AA90" s="69">
        <f t="shared" si="71"/>
        <v>23.287000000000003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72"/>
        <v>0177-08</v>
      </c>
      <c r="AE90" s="94" t="str">
        <f t="shared" si="76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90" s="91" t="str">
        <f t="shared" si="77"/>
        <v>"C:\Program Files (x86)\AstroGrep\AstroGrep.exe" /spath="%USERPROFILE%\AppData\Local\Temp\OnboardLogs" /stypes="app*4042*20161008*" /stext=" 19:.+((SYSTEM_STATE.+slice.+state.+changed )|(ment ac)|(system.+state.+changed )|(\[timeout)|(PRM\|1\|D)|(kpr)|(kdp)|(\|lc)|(penalty))" /e /r /s</v>
      </c>
      <c r="AG90" s="1" t="str">
        <f t="shared" si="73"/>
        <v>EC</v>
      </c>
      <c r="AH90" s="95" t="str">
        <f t="shared" si="78"/>
        <v>"%USERPROFILE%\Documents\GitHub\eaglep3\Utilities\RefineRTDCRunTimes.py" --tripid 177-08 --locoid 4042 --swversion DE.1.0.7.0 --startMP 204:447 --initTime 2016-10-08T13:10:40 --startdatetime 2016-10-08T13:15:23 --delay 2 --endMP 204:233317 --enddatetime 2016-10-08T13:52:17 --enforcementcount 1 &gt;&gt;C:\Users\stu\Documents\GitHub\eaglep3-reporting\EC\2016-10-08-refined-times.txt</v>
      </c>
      <c r="AI90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{"issue":{"subject":"","project_id":79,"tracker_id":40,"status_id":1,"priority_id":2,"assigned_to_id":23,"start_date":"2016-10-08","description":"","custom_fields":[{"id":1,"name":"Subdivision","value":"EC"},{"id":4,"name":"Milepost","value":"23.3317"},{"id":17,"name":"Train ID","value":"177-08"},{"id":16,"name":"Locomotive ID","value":"4042"},{"id":130,"name":"Impact","value":""},{"id":150,"name":"Time of Event (Mountain Time)","value":"13:52:17"},{"id":151,"name":"Denver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505</v>
      </c>
      <c r="B91" s="7">
        <v>4041</v>
      </c>
      <c r="C91" s="24" t="s">
        <v>106</v>
      </c>
      <c r="D91" s="24" t="s">
        <v>281</v>
      </c>
      <c r="E91" s="15">
        <v>42651.586018518516</v>
      </c>
      <c r="F91" s="15">
        <v>42651.591446759259</v>
      </c>
      <c r="G91" s="7">
        <v>2</v>
      </c>
      <c r="H91" s="15" t="s">
        <v>202</v>
      </c>
      <c r="I91" s="15">
        <v>42651.618877314817</v>
      </c>
      <c r="J91" s="7">
        <v>1</v>
      </c>
      <c r="K91" s="116" t="str">
        <f t="shared" si="62"/>
        <v>4041/4042</v>
      </c>
      <c r="L91" s="24" t="str">
        <f>VLOOKUP(A91,'Trips&amp;Operators'!$C$1:$E$10000,3,FALSE)</f>
        <v>MOSES</v>
      </c>
      <c r="M91" s="6">
        <f t="shared" si="63"/>
        <v>2.7430555557657499E-2</v>
      </c>
      <c r="N91" s="7">
        <f t="shared" si="64"/>
        <v>39.500000003026798</v>
      </c>
      <c r="O91" s="7"/>
      <c r="P91" s="7"/>
      <c r="Q91" s="25"/>
      <c r="R91" s="25"/>
      <c r="S91" s="37">
        <f t="shared" si="65"/>
        <v>1</v>
      </c>
      <c r="T91" s="52" t="str">
        <f t="shared" si="66"/>
        <v>Southbound</v>
      </c>
      <c r="U91" s="15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13:03:52-0600',mode:absolute,to:'2016-10-08 15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1" s="54" t="str">
        <f t="shared" si="68"/>
        <v>N</v>
      </c>
      <c r="X91" s="163">
        <f t="shared" si="75"/>
        <v>1</v>
      </c>
      <c r="Y91" s="69">
        <f t="shared" si="69"/>
        <v>23.3</v>
      </c>
      <c r="Z91" s="69">
        <f t="shared" si="70"/>
        <v>1.38E-2</v>
      </c>
      <c r="AA91" s="69">
        <f t="shared" si="71"/>
        <v>23.286200000000001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72"/>
        <v>0178-08</v>
      </c>
      <c r="AE91" s="94" t="str">
        <f t="shared" si="76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91" s="91" t="str">
        <f t="shared" si="77"/>
        <v>"C:\Program Files (x86)\AstroGrep\AstroGrep.exe" /spath="%USERPROFILE%\AppData\Local\Temp\OnboardLogs" /stypes="app*4041*20161008*" /stext=" 20:.+((SYSTEM_STATE.+slice.+state.+changed )|(ment ac)|(system.+state.+changed )|(\[timeout)|(PRM\|1\|D)|(kpr)|(kdp)|(\|lc)|(penalty))" /e /r /s</v>
      </c>
      <c r="AG91" s="1" t="str">
        <f t="shared" si="73"/>
        <v>EC</v>
      </c>
      <c r="AH91" s="95" t="str">
        <f t="shared" si="78"/>
        <v>"%USERPROFILE%\Documents\GitHub\eaglep3\Utilities\RefineRTDCRunTimes.py" --tripid 178-08 --locoid 4041 --swversion DE.1.0.7.0 --startMP 204:233000 --initTime 2016-10-08T14:03:52 --startdatetime 2016-10-08T14:11:41 --delay 2 --endMP 204:138 --enddatetime 2016-10-08T14:51:11 --enforcementcount 1 &gt;&gt;C:\Users\stu\Documents\GitHub\eaglep3-reporting\EC\2016-10-08-refined-times.txt</v>
      </c>
      <c r="AI91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{"issue":{"subject":"","project_id":79,"tracker_id":40,"status_id":1,"priority_id":2,"assigned_to_id":23,"start_date":"2016-10-08","description":"","custom_fields":[{"id":1,"name":"Subdivision","value":"EC"},{"id":4,"name":"Milepost","value":"0.0138"},{"id":17,"name":"Train ID","value":"178-08"},{"id":16,"name":"Locomotive ID","value":"4041"},{"id":130,"name":"Impact","value":""},{"id":150,"name":"Time of Event (Mountain Time)","value":"14:51:11"},{"id":151,"name":"Denver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497</v>
      </c>
      <c r="B92" s="7">
        <v>4025</v>
      </c>
      <c r="C92" s="24" t="s">
        <v>106</v>
      </c>
      <c r="D92" s="24" t="s">
        <v>199</v>
      </c>
      <c r="E92" s="15">
        <v>42651.557500000003</v>
      </c>
      <c r="F92" s="15">
        <v>42651.562743055554</v>
      </c>
      <c r="G92" s="7">
        <v>1</v>
      </c>
      <c r="H92" s="15" t="s">
        <v>638</v>
      </c>
      <c r="I92" s="15">
        <v>42651.588206018518</v>
      </c>
      <c r="J92" s="7">
        <v>1</v>
      </c>
      <c r="K92" s="116" t="str">
        <f t="shared" si="62"/>
        <v>4025/4026</v>
      </c>
      <c r="L92" s="24" t="str">
        <f>VLOOKUP(A92,'Trips&amp;Operators'!$C$1:$E$10000,3,FALSE)</f>
        <v>SHOOK</v>
      </c>
      <c r="M92" s="6">
        <f t="shared" si="63"/>
        <v>2.5462962963501923E-2</v>
      </c>
      <c r="N92" s="7">
        <f t="shared" si="64"/>
        <v>36.666666667442769</v>
      </c>
      <c r="O92" s="7"/>
      <c r="P92" s="7"/>
      <c r="Q92" s="25"/>
      <c r="R92" s="25"/>
      <c r="S92" s="37">
        <f t="shared" si="65"/>
        <v>1</v>
      </c>
      <c r="T92" s="52" t="str">
        <f t="shared" si="66"/>
        <v>NorthBound</v>
      </c>
      <c r="U92" s="15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12:22:48-0600',mode:absolute,to:'2016-10-08 15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2" s="54" t="str">
        <f t="shared" si="68"/>
        <v>N</v>
      </c>
      <c r="X92" s="163">
        <f t="shared" si="75"/>
        <v>1</v>
      </c>
      <c r="Y92" s="69">
        <f t="shared" si="69"/>
        <v>4.5499999999999999E-2</v>
      </c>
      <c r="Z92" s="69">
        <f t="shared" si="70"/>
        <v>23.3368</v>
      </c>
      <c r="AA92" s="69">
        <f t="shared" si="71"/>
        <v>23.2913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72"/>
        <v>0179-08</v>
      </c>
      <c r="AE92" s="94" t="str">
        <f t="shared" si="76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92" s="91" t="str">
        <f t="shared" si="77"/>
        <v>"C:\Program Files (x86)\AstroGrep\AstroGrep.exe" /spath="%USERPROFILE%\AppData\Local\Temp\OnboardLogs" /stypes="app*4025*20161008*" /stext=" 20:.+((SYSTEM_STATE.+slice.+state.+changed )|(ment ac)|(system.+state.+changed )|(\[timeout)|(PRM\|1\|D)|(kpr)|(kdp)|(\|lc)|(penalty))" /e /r /s</v>
      </c>
      <c r="AG92" s="1" t="str">
        <f t="shared" si="73"/>
        <v>EC</v>
      </c>
      <c r="AH92" s="95" t="str">
        <f t="shared" si="78"/>
        <v>"%USERPROFILE%\Documents\GitHub\eaglep3\Utilities\RefineRTDCRunTimes.py" --tripid 179-08 --locoid 4025 --swversion DE.1.0.7.0 --startMP 204:455 --initTime 2016-10-08T13:22:48 --startdatetime 2016-10-08T13:30:21 --delay 1 --endMP 204:233368 --enddatetime 2016-10-08T14:07:01 --enforcementcount 1 &gt;&gt;C:\Users\stu\Documents\GitHub\eaglep3-reporting\EC\2016-10-08-refined-times.txt</v>
      </c>
      <c r="AI92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{"issue":{"subject":"","project_id":79,"tracker_id":40,"status_id":1,"priority_id":2,"assigned_to_id":23,"start_date":"2016-10-08","description":"","custom_fields":[{"id":1,"name":"Subdivision","value":"EC"},{"id":4,"name":"Milepost","value":"23.3368"},{"id":17,"name":"Train ID","value":"179-08"},{"id":16,"name":"Locomotive ID","value":"4025"},{"id":130,"name":"Impact","value":""},{"id":150,"name":"Time of Event (Mountain Time)","value":"14:07:01"},{"id":151,"name":"Denver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507</v>
      </c>
      <c r="B93" s="7">
        <v>4026</v>
      </c>
      <c r="C93" s="24" t="s">
        <v>106</v>
      </c>
      <c r="D93" s="24" t="s">
        <v>335</v>
      </c>
      <c r="E93" s="15">
        <v>42651.595069444447</v>
      </c>
      <c r="F93" s="15">
        <v>42651.601620370369</v>
      </c>
      <c r="G93" s="7">
        <v>1</v>
      </c>
      <c r="H93" s="15" t="s">
        <v>210</v>
      </c>
      <c r="I93" s="15">
        <v>42651.627974537034</v>
      </c>
      <c r="J93" s="7">
        <v>1</v>
      </c>
      <c r="K93" s="116" t="str">
        <f t="shared" si="62"/>
        <v>4025/4026</v>
      </c>
      <c r="L93" s="24" t="str">
        <f>VLOOKUP(A93,'Trips&amp;Operators'!$C$1:$E$10000,3,FALSE)</f>
        <v>SHOOK</v>
      </c>
      <c r="M93" s="6">
        <f t="shared" si="63"/>
        <v>2.6354166664532386E-2</v>
      </c>
      <c r="N93" s="7">
        <f t="shared" si="64"/>
        <v>37.949999996926636</v>
      </c>
      <c r="O93" s="7"/>
      <c r="P93" s="7"/>
      <c r="Q93" s="25"/>
      <c r="R93" s="25"/>
      <c r="S93" s="37">
        <f t="shared" si="65"/>
        <v>1</v>
      </c>
      <c r="T93" s="52" t="str">
        <f t="shared" si="66"/>
        <v>Southbound</v>
      </c>
      <c r="U93" s="15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13:16:54-0600',mode:absolute,to:'2016-10-08 16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3" s="54" t="str">
        <f t="shared" si="68"/>
        <v>N</v>
      </c>
      <c r="X93" s="163">
        <f t="shared" si="75"/>
        <v>1</v>
      </c>
      <c r="Y93" s="69">
        <f t="shared" si="69"/>
        <v>23.302800000000001</v>
      </c>
      <c r="Z93" s="69">
        <f t="shared" si="70"/>
        <v>1.41E-2</v>
      </c>
      <c r="AA93" s="69">
        <f t="shared" si="71"/>
        <v>23.288700000000002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72"/>
        <v>0180-08</v>
      </c>
      <c r="AE93" s="94" t="str">
        <f t="shared" si="76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93" s="91" t="str">
        <f t="shared" si="77"/>
        <v>"C:\Program Files (x86)\AstroGrep\AstroGrep.exe" /spath="%USERPROFILE%\AppData\Local\Temp\OnboardLogs" /stypes="app*4026*20161008*" /stext=" 21:.+((SYSTEM_STATE.+slice.+state.+changed )|(ment ac)|(system.+state.+changed )|(\[timeout)|(PRM\|1\|D)|(kpr)|(kdp)|(\|lc)|(penalty))" /e /r /s</v>
      </c>
      <c r="AG93" s="1" t="str">
        <f t="shared" si="73"/>
        <v>EC</v>
      </c>
      <c r="AH93" s="95" t="str">
        <f t="shared" si="78"/>
        <v>"%USERPROFILE%\Documents\GitHub\eaglep3\Utilities\RefineRTDCRunTimes.py" --tripid 180-08 --locoid 4026 --swversion DE.1.0.7.0 --startMP 204:233028 --initTime 2016-10-08T14:16:54 --startdatetime 2016-10-08T14:26:20 --delay 1 --endMP 204:141 --enddatetime 2016-10-08T15:04:17 --enforcementcount 1 &gt;&gt;C:\Users\stu\Documents\GitHub\eaglep3-reporting\EC\2016-10-08-refined-times.txt</v>
      </c>
      <c r="AI9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ID","value":"180-08"},{"id":16,"name":"Locomotive ID","value":"4026"},{"id":130,"name":"Impact","value":""},{"id":150,"name":"Time of Event (Mountain Time)","value":"15:04:17"},{"id":151,"name":"Denver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500</v>
      </c>
      <c r="B94" s="7">
        <v>4053</v>
      </c>
      <c r="C94" s="24" t="s">
        <v>106</v>
      </c>
      <c r="D94" s="24" t="s">
        <v>203</v>
      </c>
      <c r="E94" s="15">
        <v>42651.56858796296</v>
      </c>
      <c r="F94" s="15">
        <v>42651.573217592595</v>
      </c>
      <c r="G94" s="7">
        <v>1</v>
      </c>
      <c r="H94" s="15" t="s">
        <v>322</v>
      </c>
      <c r="I94" s="15">
        <v>42651.59884259259</v>
      </c>
      <c r="J94" s="7">
        <v>1</v>
      </c>
      <c r="K94" s="116" t="str">
        <f t="shared" si="62"/>
        <v>4053/4054</v>
      </c>
      <c r="L94" s="24" t="str">
        <f>VLOOKUP(A94,'Trips&amp;Operators'!$C$1:$E$10000,3,FALSE)</f>
        <v>SWANSON</v>
      </c>
      <c r="M94" s="6">
        <f t="shared" si="63"/>
        <v>2.5624999994761311E-2</v>
      </c>
      <c r="N94" s="7">
        <f t="shared" si="64"/>
        <v>36.899999992456287</v>
      </c>
      <c r="O94" s="7"/>
      <c r="P94" s="7"/>
      <c r="Q94" s="25"/>
      <c r="R94" s="25"/>
      <c r="S94" s="37">
        <f t="shared" si="65"/>
        <v>1</v>
      </c>
      <c r="T94" s="52" t="str">
        <f t="shared" si="66"/>
        <v>NorthBound</v>
      </c>
      <c r="U94" s="15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12:38:46-0600',mode:absolute,to:'2016-10-08 15:22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4" s="54" t="str">
        <f t="shared" si="68"/>
        <v>N</v>
      </c>
      <c r="X94" s="163">
        <f t="shared" si="75"/>
        <v>1</v>
      </c>
      <c r="Y94" s="69">
        <f t="shared" si="69"/>
        <v>4.6199999999999998E-2</v>
      </c>
      <c r="Z94" s="69">
        <f t="shared" si="70"/>
        <v>23.329499999999999</v>
      </c>
      <c r="AA94" s="69">
        <f t="shared" si="71"/>
        <v>23.283300000000001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72"/>
        <v>0181-08</v>
      </c>
      <c r="AE94" s="94" t="str">
        <f t="shared" si="76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94" s="91" t="str">
        <f t="shared" si="77"/>
        <v>"C:\Program Files (x86)\AstroGrep\AstroGrep.exe" /spath="%USERPROFILE%\AppData\Local\Temp\OnboardLogs" /stypes="app*4053*20161008*" /stext=" 20:.+((SYSTEM_STATE.+slice.+state.+changed )|(ment ac)|(system.+state.+changed )|(\[timeout)|(PRM\|1\|D)|(kpr)|(kdp)|(\|lc)|(penalty))" /e /r /s</v>
      </c>
      <c r="AG94" s="1" t="str">
        <f t="shared" si="73"/>
        <v>EC</v>
      </c>
      <c r="AH94" s="95" t="str">
        <f t="shared" si="78"/>
        <v>"%USERPROFILE%\Documents\GitHub\eaglep3\Utilities\RefineRTDCRunTimes.py" --tripid 181-08 --locoid 4053 --swversion DE.1.0.7.0 --startMP 204:462 --initTime 2016-10-08T13:38:46 --startdatetime 2016-10-08T13:45:26 --delay 1 --endMP 204:233295 --enddatetime 2016-10-08T14:22:20 --enforcementcount 1 &gt;&gt;C:\Users\stu\Documents\GitHub\eaglep3-reporting\EC\2016-10-08-refined-times.txt</v>
      </c>
      <c r="AI94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{"issue":{"subject":"","project_id":79,"tracker_id":40,"status_id":1,"priority_id":2,"assigned_to_id":23,"start_date":"2016-10-08","description":"","custom_fields":[{"id":1,"name":"Subdivision","value":"EC"},{"id":4,"name":"Milepost","value":"23.3295"},{"id":17,"name":"Train ID","value":"181-08"},{"id":16,"name":"Locomotive ID","value":"4053"},{"id":130,"name":"Impact","value":""},{"id":150,"name":"Time of Event (Mountain Time)","value":"14:22:20"},{"id":151,"name":"Denver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509</v>
      </c>
      <c r="B95" s="7">
        <v>4054</v>
      </c>
      <c r="C95" s="24" t="s">
        <v>106</v>
      </c>
      <c r="D95" s="24" t="s">
        <v>264</v>
      </c>
      <c r="E95" s="15">
        <v>42651.601770833331</v>
      </c>
      <c r="F95" s="15">
        <v>42651.612245370372</v>
      </c>
      <c r="G95" s="7">
        <v>1</v>
      </c>
      <c r="H95" s="15" t="s">
        <v>209</v>
      </c>
      <c r="I95" s="15">
        <v>42651.640162037038</v>
      </c>
      <c r="J95" s="7">
        <v>1</v>
      </c>
      <c r="K95" s="116" t="str">
        <f t="shared" si="62"/>
        <v>4053/4054</v>
      </c>
      <c r="L95" s="24" t="str">
        <f>VLOOKUP(A95,'Trips&amp;Operators'!$C$1:$E$10000,3,FALSE)</f>
        <v>SWANSON</v>
      </c>
      <c r="M95" s="6">
        <f t="shared" si="63"/>
        <v>2.7916666665987577E-2</v>
      </c>
      <c r="N95" s="7">
        <f t="shared" si="64"/>
        <v>40.199999999022111</v>
      </c>
      <c r="O95" s="7"/>
      <c r="P95" s="7"/>
      <c r="Q95" s="25"/>
      <c r="R95" s="25"/>
      <c r="S95" s="37">
        <f t="shared" si="65"/>
        <v>1</v>
      </c>
      <c r="T95" s="52" t="str">
        <f t="shared" si="66"/>
        <v>Southbound</v>
      </c>
      <c r="U95" s="15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13:26:33-0600',mode:absolute,to:'2016-10-08 16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5" s="54" t="str">
        <f t="shared" si="68"/>
        <v>N</v>
      </c>
      <c r="X95" s="163">
        <f t="shared" si="75"/>
        <v>1</v>
      </c>
      <c r="Y95" s="69">
        <f t="shared" si="69"/>
        <v>23.299299999999999</v>
      </c>
      <c r="Z95" s="69">
        <f t="shared" si="70"/>
        <v>1.4500000000000001E-2</v>
      </c>
      <c r="AA95" s="69">
        <f t="shared" si="71"/>
        <v>23.284799999999997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72"/>
        <v>0182-08</v>
      </c>
      <c r="AE95" s="94" t="str">
        <f t="shared" si="76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95" s="91" t="str">
        <f t="shared" si="77"/>
        <v>"C:\Program Files (x86)\AstroGrep\AstroGrep.exe" /spath="%USERPROFILE%\AppData\Local\Temp\OnboardLogs" /stypes="app*4054*20161008*" /stext=" 21:.+((SYSTEM_STATE.+slice.+state.+changed )|(ment ac)|(system.+state.+changed )|(\[timeout)|(PRM\|1\|D)|(kpr)|(kdp)|(\|lc)|(penalty))" /e /r /s</v>
      </c>
      <c r="AG95" s="1" t="str">
        <f t="shared" si="73"/>
        <v>EC</v>
      </c>
      <c r="AH95" s="95" t="str">
        <f t="shared" si="78"/>
        <v>"%USERPROFILE%\Documents\GitHub\eaglep3\Utilities\RefineRTDCRunTimes.py" --tripid 182-08 --locoid 4054 --swversion DE.1.0.7.0 --startMP 204:232993 --initTime 2016-10-08T14:26:33 --startdatetime 2016-10-08T14:41:38 --delay 1 --endMP 204:145 --enddatetime 2016-10-08T15:21:50 --enforcementcount 1 &gt;&gt;C:\Users\stu\Documents\GitHub\eaglep3-reporting\EC\2016-10-08-refined-times.txt</v>
      </c>
      <c r="AI95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ID","value":"182-08"},{"id":16,"name":"Locomotive ID","value":"4054"},{"id":130,"name":"Impact","value":""},{"id":150,"name":"Time of Event (Mountain Time)","value":"15:21:50"},{"id":151,"name":"Denver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502</v>
      </c>
      <c r="B96" s="7">
        <v>4027</v>
      </c>
      <c r="C96" s="24" t="s">
        <v>106</v>
      </c>
      <c r="D96" s="24" t="s">
        <v>301</v>
      </c>
      <c r="E96" s="15">
        <v>42651.579687500001</v>
      </c>
      <c r="F96" s="15">
        <v>42651.583506944444</v>
      </c>
      <c r="G96" s="7">
        <v>1</v>
      </c>
      <c r="H96" s="15" t="s">
        <v>277</v>
      </c>
      <c r="I96" s="15">
        <v>42651.608888888892</v>
      </c>
      <c r="J96" s="7">
        <v>1</v>
      </c>
      <c r="K96" s="116" t="str">
        <f t="shared" si="62"/>
        <v>4027/4028</v>
      </c>
      <c r="L96" s="24" t="str">
        <f>VLOOKUP(A96,'Trips&amp;Operators'!$C$1:$E$10000,3,FALSE)</f>
        <v>CLARK</v>
      </c>
      <c r="M96" s="6">
        <f t="shared" si="63"/>
        <v>2.5381944447872229E-2</v>
      </c>
      <c r="N96" s="7">
        <f t="shared" si="64"/>
        <v>36.55000000493601</v>
      </c>
      <c r="O96" s="7"/>
      <c r="P96" s="7"/>
      <c r="Q96" s="25"/>
      <c r="R96" s="25"/>
      <c r="S96" s="37">
        <f t="shared" si="65"/>
        <v>1</v>
      </c>
      <c r="T96" s="52" t="str">
        <f t="shared" si="66"/>
        <v>NorthBound</v>
      </c>
      <c r="U96" s="15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12:54:45-0600',mode:absolute,to:'2016-10-08 15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6" s="54" t="str">
        <f t="shared" si="68"/>
        <v>N</v>
      </c>
      <c r="X96" s="163">
        <f t="shared" si="75"/>
        <v>1</v>
      </c>
      <c r="Y96" s="69">
        <f t="shared" si="69"/>
        <v>4.82E-2</v>
      </c>
      <c r="Z96" s="69">
        <f t="shared" si="70"/>
        <v>23.328600000000002</v>
      </c>
      <c r="AA96" s="69">
        <f t="shared" si="71"/>
        <v>23.2804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72"/>
        <v>0183-08</v>
      </c>
      <c r="AE96" s="94" t="str">
        <f t="shared" si="76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96" s="91" t="str">
        <f t="shared" si="77"/>
        <v>"C:\Program Files (x86)\AstroGrep\AstroGrep.exe" /spath="%USERPROFILE%\AppData\Local\Temp\OnboardLogs" /stypes="app*4027*20161008*" /stext=" 20:.+((SYSTEM_STATE.+slice.+state.+changed )|(ment ac)|(system.+state.+changed )|(\[timeout)|(PRM\|1\|D)|(kpr)|(kdp)|(\|lc)|(penalty))" /e /r /s</v>
      </c>
      <c r="AG96" s="1" t="str">
        <f t="shared" si="73"/>
        <v>EC</v>
      </c>
      <c r="AH96" s="95" t="str">
        <f t="shared" si="78"/>
        <v>"%USERPROFILE%\Documents\GitHub\eaglep3\Utilities\RefineRTDCRunTimes.py" --tripid 183-08 --locoid 4027 --swversion DE.1.0.7.0 --startMP 204:482 --initTime 2016-10-08T13:54:45 --startdatetime 2016-10-08T14:00:15 --delay 1 --endMP 204:233286 --enddatetime 2016-10-08T14:36:48 --enforcementcount 1 &gt;&gt;C:\Users\stu\Documents\GitHub\eaglep3-reporting\EC\2016-10-08-refined-times.txt</v>
      </c>
      <c r="AI96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{"issue":{"subject":"","project_id":79,"tracker_id":40,"status_id":1,"priority_id":2,"assigned_to_id":23,"start_date":"2016-10-08","description":"","custom_fields":[{"id":1,"name":"Subdivision","value":"EC"},{"id":4,"name":"Milepost","value":"23.3286"},{"id":17,"name":"Train ID","value":"183-08"},{"id":16,"name":"Locomotive ID","value":"4027"},{"id":130,"name":"Impact","value":""},{"id":150,"name":"Time of Event (Mountain Time)","value":"14:36:48"},{"id":151,"name":"Denver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512</v>
      </c>
      <c r="B97" s="7">
        <v>4028</v>
      </c>
      <c r="C97" s="24" t="s">
        <v>106</v>
      </c>
      <c r="D97" s="24" t="s">
        <v>278</v>
      </c>
      <c r="E97" s="15">
        <v>42651.616608796299</v>
      </c>
      <c r="F97" s="15">
        <v>42651.622384259259</v>
      </c>
      <c r="G97" s="7">
        <v>0</v>
      </c>
      <c r="H97" s="15" t="s">
        <v>313</v>
      </c>
      <c r="I97" s="15">
        <v>42651.650740740741</v>
      </c>
      <c r="J97" s="7">
        <v>1</v>
      </c>
      <c r="K97" s="116" t="str">
        <f t="shared" si="62"/>
        <v>4027/4028</v>
      </c>
      <c r="L97" s="24" t="str">
        <f>VLOOKUP(A97,'Trips&amp;Operators'!$C$1:$E$10000,3,FALSE)</f>
        <v>CLARK</v>
      </c>
      <c r="M97" s="6">
        <f t="shared" si="63"/>
        <v>2.8356481481750961E-2</v>
      </c>
      <c r="N97" s="7">
        <f t="shared" si="64"/>
        <v>40.833333333721384</v>
      </c>
      <c r="O97" s="7"/>
      <c r="P97" s="7"/>
      <c r="Q97" s="25"/>
      <c r="R97" s="25"/>
      <c r="S97" s="37">
        <f t="shared" si="65"/>
        <v>1</v>
      </c>
      <c r="T97" s="52" t="str">
        <f t="shared" si="66"/>
        <v>Southbound</v>
      </c>
      <c r="U97" s="15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1" t="str">
        <f t="shared" si="67"/>
        <v>https://search-rtdc-monitor-bjffxe2xuh6vdkpspy63sjmuny.us-east-1.es.amazonaws.com/_plugin/kibana/#/discover/Steve-Slow-Train-Analysis-(2080s-and-2083s)?_g=(refreshInterval:(display:Off,section:0,value:0),time:(from:'2016-10-08 13:47:55-0600',mode:absolute,to:'2016-10-08 16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7" s="54" t="str">
        <f t="shared" si="68"/>
        <v>N</v>
      </c>
      <c r="X97" s="163">
        <f t="shared" si="75"/>
        <v>1</v>
      </c>
      <c r="Y97" s="69">
        <f t="shared" si="69"/>
        <v>23.296099999999999</v>
      </c>
      <c r="Z97" s="69">
        <f t="shared" si="70"/>
        <v>1.72E-2</v>
      </c>
      <c r="AA97" s="69">
        <f t="shared" si="71"/>
        <v>23.2789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72"/>
        <v>0184-08</v>
      </c>
      <c r="AE97" s="94" t="str">
        <f t="shared" si="76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97" s="91" t="str">
        <f t="shared" si="77"/>
        <v>"C:\Program Files (x86)\AstroGrep\AstroGrep.exe" /spath="%USERPROFILE%\AppData\Local\Temp\OnboardLogs" /stypes="app*4028*20161008*" /stext=" 21:.+((SYSTEM_STATE.+slice.+state.+changed )|(ment ac)|(system.+state.+changed )|(\[timeout)|(PRM\|1\|D)|(kpr)|(kdp)|(\|lc)|(penalty))" /e /r /s</v>
      </c>
      <c r="AG97" s="1" t="str">
        <f t="shared" si="73"/>
        <v>EC</v>
      </c>
      <c r="AH97" s="95" t="str">
        <f t="shared" si="78"/>
        <v>"%USERPROFILE%\Documents\GitHub\eaglep3\Utilities\RefineRTDCRunTimes.py" --tripid 184-08 --locoid 4028 --swversion DE.1.0.7.0 --startMP 204:232961 --initTime 2016-10-08T14:47:55 --startdatetime 2016-10-08T14:56:14 --delay 0 --endMP 204:172 --enddatetime 2016-10-08T15:37:04 --enforcementcount 1 &gt;&gt;C:\Users\stu\Documents\GitHub\eaglep3-reporting\EC\2016-10-08-refined-times.txt</v>
      </c>
      <c r="AI97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{"issue":{"subject":"","project_id":79,"tracker_id":40,"status_id":1,"priority_id":2,"assigned_to_id":23,"start_date":"2016-10-08","description":"","custom_fields":[{"id":1,"name":"Subdivision","value":"EC"},{"id":4,"name":"Milepost","value":"0.0172"},{"id":17,"name":"Train ID","value":"184-08"},{"id":16,"name":"Locomotive ID","value":"4028"},{"id":130,"name":"Impact","value":""},{"id":150,"name":"Time of Event (Mountain Time)","value":"15:37:04"},{"id":151,"name":"Denver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506</v>
      </c>
      <c r="B98" s="7">
        <v>4038</v>
      </c>
      <c r="C98" s="24" t="s">
        <v>106</v>
      </c>
      <c r="D98" s="24" t="s">
        <v>197</v>
      </c>
      <c r="E98" s="15">
        <v>42651.589479166665</v>
      </c>
      <c r="F98" s="15">
        <v>42651.593969907408</v>
      </c>
      <c r="G98" s="7">
        <v>1</v>
      </c>
      <c r="H98" s="15" t="s">
        <v>265</v>
      </c>
      <c r="I98" s="15">
        <v>42651.61923611111</v>
      </c>
      <c r="J98" s="7">
        <v>1</v>
      </c>
      <c r="K98" s="116" t="str">
        <f t="shared" ref="K98:K129" si="80">IF(ISEVEN(B98),(B98-1)&amp;"/"&amp;B98,B98&amp;"/"&amp;(B98+1))</f>
        <v>4037/4038</v>
      </c>
      <c r="L98" s="24" t="str">
        <f>VLOOKUP(A98,'Trips&amp;Operators'!$C$1:$E$10000,3,FALSE)</f>
        <v>OUN</v>
      </c>
      <c r="M98" s="6">
        <f t="shared" ref="M98:M129" si="81">I98-F98</f>
        <v>2.5266203701903578E-2</v>
      </c>
      <c r="N98" s="7">
        <f t="shared" ref="N98:N130" si="82">24*60*SUM($M98:$M98)</f>
        <v>36.383333330741152</v>
      </c>
      <c r="O98" s="7"/>
      <c r="P98" s="7"/>
      <c r="Q98" s="25"/>
      <c r="R98" s="25"/>
      <c r="S98" s="37">
        <f t="shared" ref="S98:S130" si="83">SUM(U98:U98)/IF(AG98="EC",12,1)</f>
        <v>1</v>
      </c>
      <c r="T98" s="52" t="str">
        <f t="shared" ref="T98:T129" si="84">IF(ISEVEN(LEFT(AD98,4)),"Southbound","NorthBound")</f>
        <v>NorthBound</v>
      </c>
      <c r="U98" s="15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1" t="str">
        <f t="shared" ref="V98:V129" si="85"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https://search-rtdc-monitor-bjffxe2xuh6vdkpspy63sjmuny.us-east-1.es.amazonaws.com/_plugin/kibana/#/discover/Steve-Slow-Train-Analysis-(2080s-and-2083s)?_g=(refreshInterval:(display:Off,section:0,value:0),time:(from:'2016-10-08 13:08:51-0600',mode:absolute,to:'2016-10-08 15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8" s="54" t="str">
        <f t="shared" ref="W98:W129" si="86">IF(AA98&lt;IF(AG98="EC",23,5.65),"Y","N")</f>
        <v>N</v>
      </c>
      <c r="X98" s="163">
        <f t="shared" si="75"/>
        <v>1</v>
      </c>
      <c r="Y98" s="69">
        <f t="shared" ref="Y98:Y129" si="87">RIGHT(D98,LEN(D98)-4)/10000</f>
        <v>4.6600000000000003E-2</v>
      </c>
      <c r="Z98" s="69">
        <f t="shared" ref="Z98:Z129" si="88">RIGHT(H98,LEN(H98)-4)/10000</f>
        <v>23.3325</v>
      </c>
      <c r="AA98" s="69">
        <f t="shared" ref="AA98:AA129" si="89">ABS(Z98-Y98)</f>
        <v>23.285899999999998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ref="AD98:AD129" si="90">IF(LEN(A98)=6,"0"&amp;A98,A98)</f>
        <v>0185-08</v>
      </c>
      <c r="AE98" s="94" t="str">
        <f t="shared" si="76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98" s="91" t="str">
        <f t="shared" si="77"/>
        <v>"C:\Program Files (x86)\AstroGrep\AstroGrep.exe" /spath="%USERPROFILE%\AppData\Local\Temp\OnboardLogs" /stypes="app*4038*20161008*" /stext=" 20:.+((SYSTEM_STATE.+slice.+state.+changed )|(ment ac)|(system.+state.+changed )|(\[timeout)|(PRM\|1\|D)|(kpr)|(kdp)|(\|lc)|(penalty))" /e /r /s</v>
      </c>
      <c r="AG98" s="1" t="str">
        <f t="shared" ref="AG98:AG129" si="91">IFERROR(IF(VALUE(LEFT(AD98,2))&lt;=2,"EC",IF(OR(VALUE(LEFT(AD98,2))=8,VALUE(LEFT(AD98,2))=18),"NW","Other")),"Other")</f>
        <v>EC</v>
      </c>
      <c r="AH98" s="95" t="str">
        <f t="shared" si="78"/>
        <v>"%USERPROFILE%\Documents\GitHub\eaglep3\Utilities\RefineRTDCRunTimes.py" --tripid 185-08 --locoid 4038 --swversion DE.1.0.7.0 --startMP 204:466 --initTime 2016-10-08T14:08:51 --startdatetime 2016-10-08T14:15:19 --delay 1 --endMP 204:233325 --enddatetime 2016-10-08T14:51:42 --enforcementcount 1 &gt;&gt;C:\Users\stu\Documents\GitHub\eaglep3-reporting\EC\2016-10-08-refined-times.txt</v>
      </c>
      <c r="AI98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{"issue":{"subject":"","project_id":79,"tracker_id":40,"status_id":1,"priority_id":2,"assigned_to_id":23,"start_date":"2016-10-08","description":"","custom_fields":[{"id":1,"name":"Subdivision","value":"EC"},{"id":4,"name":"Milepost","value":"23.3325"},{"id":17,"name":"Train ID","value":"185-08"},{"id":16,"name":"Locomotive ID","value":"4038"},{"id":130,"name":"Impact","value":""},{"id":150,"name":"Time of Event (Mountain Time)","value":"14:51:42"},{"id":151,"name":"Denver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515</v>
      </c>
      <c r="B99" s="7">
        <v>4037</v>
      </c>
      <c r="C99" s="24" t="s">
        <v>106</v>
      </c>
      <c r="D99" s="24" t="s">
        <v>217</v>
      </c>
      <c r="E99" s="15">
        <v>42651.628229166665</v>
      </c>
      <c r="F99" s="15">
        <v>42651.632939814815</v>
      </c>
      <c r="G99" s="7">
        <v>1</v>
      </c>
      <c r="H99" s="15" t="s">
        <v>305</v>
      </c>
      <c r="I99" s="15">
        <v>42651.66070601852</v>
      </c>
      <c r="J99" s="7">
        <v>1</v>
      </c>
      <c r="K99" s="116" t="str">
        <f t="shared" si="80"/>
        <v>4037/4038</v>
      </c>
      <c r="L99" s="24" t="str">
        <f>VLOOKUP(A99,'Trips&amp;Operators'!$C$1:$E$10000,3,FALSE)</f>
        <v>OUN</v>
      </c>
      <c r="M99" s="6">
        <f t="shared" si="81"/>
        <v>2.7766203704231884E-2</v>
      </c>
      <c r="N99" s="7">
        <f t="shared" si="82"/>
        <v>39.983333334093913</v>
      </c>
      <c r="O99" s="7"/>
      <c r="P99" s="7"/>
      <c r="Q99" s="25"/>
      <c r="R99" s="25"/>
      <c r="S99" s="37">
        <f t="shared" si="83"/>
        <v>1</v>
      </c>
      <c r="T99" s="52" t="str">
        <f t="shared" si="84"/>
        <v>Southbound</v>
      </c>
      <c r="U99" s="15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14:04:39-0600',mode:absolute,to:'2016-10-08 16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9" s="54" t="str">
        <f t="shared" si="86"/>
        <v>N</v>
      </c>
      <c r="X99" s="163">
        <f t="shared" si="75"/>
        <v>1</v>
      </c>
      <c r="Y99" s="69">
        <f t="shared" si="87"/>
        <v>23.297699999999999</v>
      </c>
      <c r="Z99" s="69">
        <f t="shared" si="88"/>
        <v>1.43E-2</v>
      </c>
      <c r="AA99" s="69">
        <f t="shared" si="89"/>
        <v>23.2834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90"/>
        <v>0186-08</v>
      </c>
      <c r="AE99" s="94" t="str">
        <f t="shared" si="76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99" s="91" t="str">
        <f t="shared" si="77"/>
        <v>"C:\Program Files (x86)\AstroGrep\AstroGrep.exe" /spath="%USERPROFILE%\AppData\Local\Temp\OnboardLogs" /stypes="app*4037*20161008*" /stext=" 21:.+((SYSTEM_STATE.+slice.+state.+changed )|(ment ac)|(system.+state.+changed )|(\[timeout)|(PRM\|1\|D)|(kpr)|(kdp)|(\|lc)|(penalty))" /e /r /s</v>
      </c>
      <c r="AG99" s="1" t="str">
        <f t="shared" si="91"/>
        <v>EC</v>
      </c>
      <c r="AH99" s="95" t="str">
        <f t="shared" si="78"/>
        <v>"%USERPROFILE%\Documents\GitHub\eaglep3\Utilities\RefineRTDCRunTimes.py" --tripid 186-08 --locoid 4037 --swversion DE.1.0.7.0 --startMP 204:232977 --initTime 2016-10-08T15:04:39 --startdatetime 2016-10-08T15:11:26 --delay 1 --endMP 204:143 --enddatetime 2016-10-08T15:51:25 --enforcementcount 1 &gt;&gt;C:\Users\stu\Documents\GitHub\eaglep3-reporting\EC\2016-10-08-refined-times.txt</v>
      </c>
      <c r="AI99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{"issue":{"subject":"","project_id":79,"tracker_id":40,"status_id":1,"priority_id":2,"assigned_to_id":23,"start_date":"2016-10-08","description":"","custom_fields":[{"id":1,"name":"Subdivision","value":"EC"},{"id":4,"name":"Milepost","value":"0.0143"},{"id":17,"name":"Train ID","value":"186-08"},{"id":16,"name":"Locomotive ID","value":"4037"},{"id":130,"name":"Impact","value":""},{"id":150,"name":"Time of Event (Mountain Time)","value":"15:51:25"},{"id":151,"name":"Denver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508</v>
      </c>
      <c r="B100" s="7">
        <v>4014</v>
      </c>
      <c r="C100" s="24" t="s">
        <v>106</v>
      </c>
      <c r="D100" s="24" t="s">
        <v>674</v>
      </c>
      <c r="E100" s="15">
        <v>42651.600856481484</v>
      </c>
      <c r="F100" s="15">
        <v>42651.604421296295</v>
      </c>
      <c r="G100" s="7">
        <v>1</v>
      </c>
      <c r="H100" s="15" t="s">
        <v>194</v>
      </c>
      <c r="I100" s="15">
        <v>42651.630694444444</v>
      </c>
      <c r="J100" s="7">
        <v>1</v>
      </c>
      <c r="K100" s="116" t="str">
        <f t="shared" si="80"/>
        <v>4013/4014</v>
      </c>
      <c r="L100" s="24" t="str">
        <f>VLOOKUP(A100,'Trips&amp;Operators'!$C$1:$E$10000,3,FALSE)</f>
        <v>STEWART</v>
      </c>
      <c r="M100" s="6">
        <f t="shared" si="81"/>
        <v>2.6273148148902692E-2</v>
      </c>
      <c r="N100" s="7">
        <f t="shared" si="82"/>
        <v>37.833333334419876</v>
      </c>
      <c r="O100" s="7"/>
      <c r="P100" s="7"/>
      <c r="Q100" s="25"/>
      <c r="R100" s="25"/>
      <c r="S100" s="37">
        <f t="shared" si="83"/>
        <v>1</v>
      </c>
      <c r="T100" s="52" t="str">
        <f t="shared" si="84"/>
        <v>NorthBound</v>
      </c>
      <c r="U100" s="15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13:25:14-0600',mode:absolute,to:'2016-10-08 16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0" s="54" t="str">
        <f t="shared" si="86"/>
        <v>N</v>
      </c>
      <c r="X100" s="163">
        <f t="shared" si="75"/>
        <v>1</v>
      </c>
      <c r="Y100" s="69">
        <f t="shared" si="87"/>
        <v>4.4200000000000003E-2</v>
      </c>
      <c r="Z100" s="69">
        <f t="shared" si="88"/>
        <v>23.3291</v>
      </c>
      <c r="AA100" s="69">
        <f t="shared" si="89"/>
        <v>23.2849</v>
      </c>
      <c r="AB100" s="66" t="str">
        <f>VLOOKUP(A100,Enforcements!$C$7:$K$21,8,0)</f>
        <v>Speed (6)</v>
      </c>
      <c r="AC100" s="62" t="str">
        <f>VLOOKUP(A100,Enforcements!$C$7:$E$21,3,0)</f>
        <v>PERMANENT SPEED RESTRICTION</v>
      </c>
      <c r="AD100" s="63" t="str">
        <f t="shared" si="90"/>
        <v>0187-08</v>
      </c>
      <c r="AE100" s="94" t="str">
        <f t="shared" si="76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100" s="91" t="str">
        <f t="shared" si="77"/>
        <v>"C:\Program Files (x86)\AstroGrep\AstroGrep.exe" /spath="%USERPROFILE%\AppData\Local\Temp\OnboardLogs" /stypes="app*4014*20161008*" /stext=" 21:.+((SYSTEM_STATE.+slice.+state.+changed )|(ment ac)|(system.+state.+changed )|(\[timeout)|(PRM\|1\|D)|(kpr)|(kdp)|(\|lc)|(penalty))" /e /r /s</v>
      </c>
      <c r="AG100" s="1" t="str">
        <f t="shared" si="91"/>
        <v>EC</v>
      </c>
      <c r="AH100" s="95" t="str">
        <f t="shared" si="78"/>
        <v>"%USERPROFILE%\Documents\GitHub\eaglep3\Utilities\RefineRTDCRunTimes.py" --tripid 187-08 --locoid 4014 --swversion DE.1.0.7.0 --startMP 204:442 --initTime 2016-10-08T14:25:14 --startdatetime 2016-10-08T14:30:22 --delay 1 --endMP 204:233291 --enddatetime 2016-10-08T15:08:12 --enforcementcount 1 &gt;&gt;C:\Users\stu\Documents\GitHub\eaglep3-reporting\EC\2016-10-08-refined-times.txt</v>
      </c>
      <c r="AI100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{"issue":{"subject":"","project_id":79,"tracker_id":40,"status_id":1,"priority_id":2,"assigned_to_id":23,"start_date":"2016-10-08","description":"","custom_fields":[{"id":1,"name":"Subdivision","value":"EC"},{"id":4,"name":"Milepost","value":"23.3291"},{"id":17,"name":"Train ID","value":"187-08"},{"id":16,"name":"Locomotive ID","value":"4014"},{"id":130,"name":"Impact","value":""},{"id":150,"name":"Time of Event (Mountain Time)","value":"15:08:12"},{"id":151,"name":"Denver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517</v>
      </c>
      <c r="B101" s="7">
        <v>4013</v>
      </c>
      <c r="C101" s="24" t="s">
        <v>106</v>
      </c>
      <c r="D101" s="24" t="s">
        <v>615</v>
      </c>
      <c r="E101" s="15">
        <v>42651.638935185183</v>
      </c>
      <c r="F101" s="15">
        <v>42651.643472222226</v>
      </c>
      <c r="G101" s="7">
        <v>1</v>
      </c>
      <c r="H101" s="15" t="s">
        <v>206</v>
      </c>
      <c r="I101" s="15">
        <v>42651.670891203707</v>
      </c>
      <c r="J101" s="7">
        <v>1</v>
      </c>
      <c r="K101" s="116" t="str">
        <f t="shared" si="80"/>
        <v>4013/4014</v>
      </c>
      <c r="L101" s="24" t="str">
        <f>VLOOKUP(A101,'Trips&amp;Operators'!$C$1:$E$10000,3,FALSE)</f>
        <v>STEWART</v>
      </c>
      <c r="M101" s="6">
        <f t="shared" si="81"/>
        <v>2.7418981480877846E-2</v>
      </c>
      <c r="N101" s="7">
        <f t="shared" si="82"/>
        <v>39.483333332464099</v>
      </c>
      <c r="O101" s="7"/>
      <c r="P101" s="7"/>
      <c r="Q101" s="25"/>
      <c r="R101" s="25"/>
      <c r="S101" s="37">
        <f t="shared" si="83"/>
        <v>1</v>
      </c>
      <c r="T101" s="52" t="str">
        <f t="shared" si="84"/>
        <v>Southbound</v>
      </c>
      <c r="U101" s="15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14:20:04-0600',mode:absolute,to:'2016-10-08 17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1" s="54" t="str">
        <f t="shared" si="86"/>
        <v>N</v>
      </c>
      <c r="X101" s="163">
        <f t="shared" si="75"/>
        <v>1</v>
      </c>
      <c r="Y101" s="69">
        <f t="shared" si="87"/>
        <v>23.296299999999999</v>
      </c>
      <c r="Z101" s="69">
        <f t="shared" si="88"/>
        <v>1.5599999999999999E-2</v>
      </c>
      <c r="AA101" s="69">
        <f t="shared" si="89"/>
        <v>23.2807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90"/>
        <v>0188-08</v>
      </c>
      <c r="AE101" s="94" t="str">
        <f t="shared" si="76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101" s="91" t="str">
        <f t="shared" si="77"/>
        <v>"C:\Program Files (x86)\AstroGrep\AstroGrep.exe" /spath="%USERPROFILE%\AppData\Local\Temp\OnboardLogs" /stypes="app*4013*20161008*" /stext=" 22:.+((SYSTEM_STATE.+slice.+state.+changed )|(ment ac)|(system.+state.+changed )|(\[timeout)|(PRM\|1\|D)|(kpr)|(kdp)|(\|lc)|(penalty))" /e /r /s</v>
      </c>
      <c r="AG101" s="1" t="str">
        <f t="shared" si="91"/>
        <v>EC</v>
      </c>
      <c r="AH101" s="95" t="str">
        <f t="shared" si="78"/>
        <v>"%USERPROFILE%\Documents\GitHub\eaglep3\Utilities\RefineRTDCRunTimes.py" --tripid 188-08 --locoid 4013 --swversion DE.1.0.7.0 --startMP 204:232963 --initTime 2016-10-08T15:20:04 --startdatetime 2016-10-08T15:26:36 --delay 1 --endMP 204:156 --enddatetime 2016-10-08T16:06:05 --enforcementcount 1 &gt;&gt;C:\Users\stu\Documents\GitHub\eaglep3-reporting\EC\2016-10-08-refined-times.txt</v>
      </c>
      <c r="AI101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{"issue":{"subject":"","project_id":79,"tracker_id":40,"status_id":1,"priority_id":2,"assigned_to_id":23,"start_date":"2016-10-08","description":"","custom_fields":[{"id":1,"name":"Subdivision","value":"EC"},{"id":4,"name":"Milepost","value":"0.0156"},{"id":17,"name":"Train ID","value":"188-08"},{"id":16,"name":"Locomotive ID","value":"4013"},{"id":130,"name":"Impact","value":""},{"id":150,"name":"Time of Event (Mountain Time)","value":"16:06:05"},{"id":151,"name":"Denver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511</v>
      </c>
      <c r="B102" s="7">
        <v>4044</v>
      </c>
      <c r="C102" s="24" t="s">
        <v>106</v>
      </c>
      <c r="D102" s="24" t="s">
        <v>216</v>
      </c>
      <c r="E102" s="15">
        <v>42651.610324074078</v>
      </c>
      <c r="F102" s="15">
        <v>42651.614999999998</v>
      </c>
      <c r="G102" s="7">
        <v>1</v>
      </c>
      <c r="H102" s="15" t="s">
        <v>675</v>
      </c>
      <c r="I102" s="15">
        <v>42651.641226851854</v>
      </c>
      <c r="J102" s="7">
        <v>1</v>
      </c>
      <c r="K102" s="116" t="str">
        <f t="shared" si="80"/>
        <v>4043/4044</v>
      </c>
      <c r="L102" s="24" t="str">
        <f>VLOOKUP(A102,'Trips&amp;Operators'!$C$1:$E$10000,3,FALSE)</f>
        <v>BARTLETT</v>
      </c>
      <c r="M102" s="6">
        <f t="shared" si="81"/>
        <v>2.6226851856335998E-2</v>
      </c>
      <c r="N102" s="7">
        <f t="shared" si="82"/>
        <v>37.766666673123837</v>
      </c>
      <c r="O102" s="7"/>
      <c r="P102" s="7"/>
      <c r="Q102" s="25"/>
      <c r="R102" s="25"/>
      <c r="S102" s="37">
        <f t="shared" si="83"/>
        <v>1</v>
      </c>
      <c r="T102" s="52" t="str">
        <f t="shared" si="84"/>
        <v>NorthBound</v>
      </c>
      <c r="U102" s="15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13:38:52-0600',mode:absolute,to:'2016-10-08 16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2" s="54" t="str">
        <f t="shared" si="86"/>
        <v>N</v>
      </c>
      <c r="X102" s="163">
        <f t="shared" si="75"/>
        <v>1</v>
      </c>
      <c r="Y102" s="69">
        <f t="shared" si="87"/>
        <v>4.6399999999999997E-2</v>
      </c>
      <c r="Z102" s="69">
        <f t="shared" si="88"/>
        <v>23.334399999999999</v>
      </c>
      <c r="AA102" s="69">
        <f t="shared" si="89"/>
        <v>23.288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90"/>
        <v>0189-08</v>
      </c>
      <c r="AE102" s="94" t="str">
        <f t="shared" si="76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02" s="91" t="str">
        <f t="shared" si="77"/>
        <v>"C:\Program Files (x86)\AstroGrep\AstroGrep.exe" /spath="%USERPROFILE%\AppData\Local\Temp\OnboardLogs" /stypes="app*4044*20161008*" /stext=" 21:.+((SYSTEM_STATE.+slice.+state.+changed )|(ment ac)|(system.+state.+changed )|(\[timeout)|(PRM\|1\|D)|(kpr)|(kdp)|(\|lc)|(penalty))" /e /r /s</v>
      </c>
      <c r="AG102" s="1" t="str">
        <f t="shared" si="91"/>
        <v>EC</v>
      </c>
      <c r="AH102" s="95" t="str">
        <f t="shared" si="78"/>
        <v>"%USERPROFILE%\Documents\GitHub\eaglep3\Utilities\RefineRTDCRunTimes.py" --tripid 189-08 --locoid 4044 --swversion DE.1.0.7.0 --startMP 204:464 --initTime 2016-10-08T14:38:52 --startdatetime 2016-10-08T14:45:36 --delay 1 --endMP 204:233344 --enddatetime 2016-10-08T15:23:22 --enforcementcount 1 &gt;&gt;C:\Users\stu\Documents\GitHub\eaglep3-reporting\EC\2016-10-08-refined-times.txt</v>
      </c>
      <c r="AI102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{"issue":{"subject":"","project_id":79,"tracker_id":40,"status_id":1,"priority_id":2,"assigned_to_id":23,"start_date":"2016-10-08","description":"","custom_fields":[{"id":1,"name":"Subdivision","value":"EC"},{"id":4,"name":"Milepost","value":"23.3344"},{"id":17,"name":"Train ID","value":"189-08"},{"id":16,"name":"Locomotive ID","value":"4044"},{"id":130,"name":"Impact","value":""},{"id":150,"name":"Time of Event (Mountain Time)","value":"15:23:22"},{"id":151,"name":"Denver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519</v>
      </c>
      <c r="B103" s="7">
        <v>4043</v>
      </c>
      <c r="C103" s="24" t="s">
        <v>106</v>
      </c>
      <c r="D103" s="24" t="s">
        <v>676</v>
      </c>
      <c r="E103" s="15">
        <v>42651.642731481479</v>
      </c>
      <c r="F103" s="15">
        <v>42651.65388888889</v>
      </c>
      <c r="G103" s="7">
        <v>1</v>
      </c>
      <c r="H103" s="15" t="s">
        <v>188</v>
      </c>
      <c r="I103" s="15">
        <v>42651.683865740742</v>
      </c>
      <c r="J103" s="7">
        <v>1</v>
      </c>
      <c r="K103" s="116" t="str">
        <f t="shared" si="80"/>
        <v>4043/4044</v>
      </c>
      <c r="L103" s="24" t="str">
        <f>VLOOKUP(A103,'Trips&amp;Operators'!$C$1:$E$10000,3,FALSE)</f>
        <v>BARTLETT</v>
      </c>
      <c r="M103" s="6">
        <f t="shared" si="81"/>
        <v>2.99768518525525E-2</v>
      </c>
      <c r="N103" s="7">
        <f t="shared" si="82"/>
        <v>43.166666667675599</v>
      </c>
      <c r="O103" s="7"/>
      <c r="P103" s="7"/>
      <c r="Q103" s="25"/>
      <c r="R103" s="25"/>
      <c r="S103" s="37">
        <f t="shared" si="83"/>
        <v>1</v>
      </c>
      <c r="T103" s="52" t="str">
        <f t="shared" si="84"/>
        <v>Southbound</v>
      </c>
      <c r="U103" s="15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14:25:32-0600',mode:absolute,to:'2016-10-08 17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3" s="54" t="str">
        <f t="shared" si="86"/>
        <v>N</v>
      </c>
      <c r="X103" s="163">
        <f t="shared" si="75"/>
        <v>1</v>
      </c>
      <c r="Y103" s="69">
        <f t="shared" si="87"/>
        <v>23.302299999999999</v>
      </c>
      <c r="Z103" s="69">
        <f t="shared" si="88"/>
        <v>1.49E-2</v>
      </c>
      <c r="AA103" s="69">
        <f t="shared" si="89"/>
        <v>23.287399999999998</v>
      </c>
      <c r="AB103" s="66" t="str">
        <f>VLOOKUP(A103,Enforcements!$C$7:$K$21,8,0)</f>
        <v>Bulletin (2)</v>
      </c>
      <c r="AC103" s="62" t="str">
        <f>VLOOKUP(A103,Enforcements!$C$7:$E$21,3,0)</f>
        <v>GRADE CROSSING</v>
      </c>
      <c r="AD103" s="63" t="str">
        <f t="shared" si="90"/>
        <v>0190-08</v>
      </c>
      <c r="AE103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03" s="91" t="str">
        <f t="shared" si="77"/>
        <v>"C:\Program Files (x86)\AstroGrep\AstroGrep.exe" /spath="%USERPROFILE%\AppData\Local\Temp\OnboardLogs" /stypes="app*4043*20161008*" /stext=" 22:.+((SYSTEM_STATE.+slice.+state.+changed )|(ment ac)|(system.+state.+changed )|(\[timeout)|(PRM\|1\|D)|(kpr)|(kdp)|(\|lc)|(penalty))" /e /r /s</v>
      </c>
      <c r="AG103" s="1" t="str">
        <f t="shared" si="91"/>
        <v>EC</v>
      </c>
      <c r="AH103" s="95" t="str">
        <f t="shared" si="78"/>
        <v>"%USERPROFILE%\Documents\GitHub\eaglep3\Utilities\RefineRTDCRunTimes.py" --tripid 190-08 --locoid 4043 --swversion DE.1.0.7.0 --startMP 204:233023 --initTime 2016-10-08T15:25:32 --startdatetime 2016-10-08T15:41:36 --delay 1 --endMP 204:149 --enddatetime 2016-10-08T16:24:46 --enforcementcount 1 &gt;&gt;C:\Users\stu\Documents\GitHub\eaglep3-reporting\EC\2016-10-08-refined-times.txt</v>
      </c>
      <c r="AI10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{"issue":{"subject":"","project_id":79,"tracker_id":40,"status_id":1,"priority_id":2,"assigned_to_id":23,"start_date":"2016-10-08","description":"","custom_fields":[{"id":1,"name":"Subdivision","value":"EC"},{"id":4,"name":"Milepost","value":"0.0149"},{"id":17,"name":"Train ID","value":"190-08"},{"id":16,"name":"Locomotive ID","value":"4043"},{"id":130,"name":"Impact","value":""},{"id":150,"name":"Time of Event (Mountain Time)","value":"16:24:46"},{"id":151,"name":"Denver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513</v>
      </c>
      <c r="B104" s="7">
        <v>4042</v>
      </c>
      <c r="C104" s="24" t="s">
        <v>106</v>
      </c>
      <c r="D104" s="24" t="s">
        <v>298</v>
      </c>
      <c r="E104" s="15">
        <v>42651.622314814813</v>
      </c>
      <c r="F104" s="15">
        <v>42651.625196759262</v>
      </c>
      <c r="G104" s="7">
        <v>1</v>
      </c>
      <c r="H104" s="15" t="s">
        <v>334</v>
      </c>
      <c r="I104" s="15">
        <v>42651.651585648149</v>
      </c>
      <c r="J104" s="7">
        <v>1</v>
      </c>
      <c r="K104" s="116" t="str">
        <f t="shared" si="80"/>
        <v>4041/4042</v>
      </c>
      <c r="L104" s="24" t="str">
        <f>VLOOKUP(A104,'Trips&amp;Operators'!$C$1:$E$10000,3,FALSE)</f>
        <v>MOSES</v>
      </c>
      <c r="M104" s="6">
        <f t="shared" si="81"/>
        <v>2.6388888887595385E-2</v>
      </c>
      <c r="N104" s="7">
        <f t="shared" si="82"/>
        <v>37.999999998137355</v>
      </c>
      <c r="O104" s="7"/>
      <c r="P104" s="7"/>
      <c r="Q104" s="25"/>
      <c r="R104" s="25"/>
      <c r="S104" s="37">
        <f t="shared" si="83"/>
        <v>1</v>
      </c>
      <c r="T104" s="52" t="str">
        <f t="shared" si="84"/>
        <v>NorthBound</v>
      </c>
      <c r="U104" s="15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13:56:08-0600',mode:absolute,to:'2016-10-08 16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4" s="54" t="str">
        <f t="shared" si="86"/>
        <v>N</v>
      </c>
      <c r="X104" s="163">
        <f t="shared" si="75"/>
        <v>1</v>
      </c>
      <c r="Y104" s="69">
        <f t="shared" si="87"/>
        <v>4.3999999999999997E-2</v>
      </c>
      <c r="Z104" s="69">
        <f t="shared" si="88"/>
        <v>23.331600000000002</v>
      </c>
      <c r="AA104" s="69">
        <f t="shared" si="89"/>
        <v>23.287600000000001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90"/>
        <v>0191-08</v>
      </c>
      <c r="AE104" s="94" t="str">
        <f t="shared" si="76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104" s="91" t="str">
        <f t="shared" si="77"/>
        <v>"C:\Program Files (x86)\AstroGrep\AstroGrep.exe" /spath="%USERPROFILE%\AppData\Local\Temp\OnboardLogs" /stypes="app*4042*20161008*" /stext=" 21:.+((SYSTEM_STATE.+slice.+state.+changed )|(ment ac)|(system.+state.+changed )|(\[timeout)|(PRM\|1\|D)|(kpr)|(kdp)|(\|lc)|(penalty))" /e /r /s</v>
      </c>
      <c r="AG104" s="1" t="str">
        <f t="shared" si="91"/>
        <v>EC</v>
      </c>
      <c r="AH104" s="95" t="str">
        <f t="shared" si="78"/>
        <v>"%USERPROFILE%\Documents\GitHub\eaglep3\Utilities\RefineRTDCRunTimes.py" --tripid 191-08 --locoid 4042 --swversion DE.1.0.7.0 --startMP 204:440 --initTime 2016-10-08T14:56:08 --startdatetime 2016-10-08T15:00:17 --delay 1 --endMP 204:233316 --enddatetime 2016-10-08T15:38:17 --enforcementcount 1 &gt;&gt;C:\Users\stu\Documents\GitHub\eaglep3-reporting\EC\2016-10-08-refined-times.txt</v>
      </c>
      <c r="AI104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{"issue":{"subject":"","project_id":79,"tracker_id":40,"status_id":1,"priority_id":2,"assigned_to_id":23,"start_date":"2016-10-08","description":"","custom_fields":[{"id":1,"name":"Subdivision","value":"EC"},{"id":4,"name":"Milepost","value":"23.3316"},{"id":17,"name":"Train ID","value":"191-08"},{"id":16,"name":"Locomotive ID","value":"4042"},{"id":130,"name":"Impact","value":""},{"id":150,"name":"Time of Event (Mountain Time)","value":"15:38:17"},{"id":151,"name":"Denver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523</v>
      </c>
      <c r="B105" s="7">
        <v>4041</v>
      </c>
      <c r="C105" s="24" t="s">
        <v>106</v>
      </c>
      <c r="D105" s="24" t="s">
        <v>276</v>
      </c>
      <c r="E105" s="15">
        <v>42651.66</v>
      </c>
      <c r="F105" s="15">
        <v>42651.664085648146</v>
      </c>
      <c r="G105" s="7">
        <v>1</v>
      </c>
      <c r="H105" s="15" t="s">
        <v>209</v>
      </c>
      <c r="I105" s="15">
        <v>42651.69190972222</v>
      </c>
      <c r="J105" s="7">
        <v>1</v>
      </c>
      <c r="K105" s="116" t="str">
        <f t="shared" si="80"/>
        <v>4041/4042</v>
      </c>
      <c r="L105" s="24" t="str">
        <f>VLOOKUP(A105,'Trips&amp;Operators'!$C$1:$E$10000,3,FALSE)</f>
        <v>MOSES</v>
      </c>
      <c r="M105" s="6">
        <f t="shared" si="81"/>
        <v>2.7824074073578231E-2</v>
      </c>
      <c r="N105" s="7">
        <f t="shared" si="82"/>
        <v>40.066666665952653</v>
      </c>
      <c r="O105" s="7"/>
      <c r="P105" s="7"/>
      <c r="Q105" s="25"/>
      <c r="R105" s="25"/>
      <c r="S105" s="37">
        <f t="shared" si="83"/>
        <v>1</v>
      </c>
      <c r="T105" s="52" t="str">
        <f t="shared" si="84"/>
        <v>Southbound</v>
      </c>
      <c r="U105" s="15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14:50:24-0600',mode:absolute,to:'2016-10-08 17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5" s="54" t="str">
        <f t="shared" si="86"/>
        <v>N</v>
      </c>
      <c r="X105" s="163">
        <f t="shared" si="75"/>
        <v>1</v>
      </c>
      <c r="Y105" s="69">
        <f t="shared" si="87"/>
        <v>23.298999999999999</v>
      </c>
      <c r="Z105" s="69">
        <f t="shared" si="88"/>
        <v>1.4500000000000001E-2</v>
      </c>
      <c r="AA105" s="69">
        <f t="shared" si="89"/>
        <v>23.284499999999998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90"/>
        <v>0192-08</v>
      </c>
      <c r="AE105" s="94" t="str">
        <f t="shared" si="76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105" s="91" t="str">
        <f t="shared" si="77"/>
        <v>"C:\Program Files (x86)\AstroGrep\AstroGrep.exe" /spath="%USERPROFILE%\AppData\Local\Temp\OnboardLogs" /stypes="app*4041*20161008*" /stext=" 22:.+((SYSTEM_STATE.+slice.+state.+changed )|(ment ac)|(system.+state.+changed )|(\[timeout)|(PRM\|1\|D)|(kpr)|(kdp)|(\|lc)|(penalty))" /e /r /s</v>
      </c>
      <c r="AG105" s="1" t="str">
        <f t="shared" si="91"/>
        <v>EC</v>
      </c>
      <c r="AH105" s="95" t="str">
        <f t="shared" si="78"/>
        <v>"%USERPROFILE%\Documents\GitHub\eaglep3\Utilities\RefineRTDCRunTimes.py" --tripid 192-08 --locoid 4041 --swversion DE.1.0.7.0 --startMP 204:232990 --initTime 2016-10-08T15:50:24 --startdatetime 2016-10-08T15:56:17 --delay 1 --endMP 204:145 --enddatetime 2016-10-08T16:36:21 --enforcementcount 1 &gt;&gt;C:\Users\stu\Documents\GitHub\eaglep3-reporting\EC\2016-10-08-refined-times.txt</v>
      </c>
      <c r="AI105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{"issue":{"subject":"","project_id":79,"tracker_id":40,"status_id":1,"priority_id":2,"assigned_to_id":23,"start_date":"2016-10-08","description":"","custom_fields":[{"id":1,"name":"Subdivision","value":"EC"},{"id":4,"name":"Milepost","value":"0.0145"},{"id":17,"name":"Train ID","value":"192-08"},{"id":16,"name":"Locomotive ID","value":"4041"},{"id":130,"name":"Impact","value":""},{"id":150,"name":"Time of Event (Mountain Time)","value":"16:36:21"},{"id":151,"name":"Denver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516</v>
      </c>
      <c r="B106" s="7">
        <v>4025</v>
      </c>
      <c r="C106" s="24" t="s">
        <v>106</v>
      </c>
      <c r="D106" s="24" t="s">
        <v>679</v>
      </c>
      <c r="E106" s="15">
        <v>42651.631111111114</v>
      </c>
      <c r="F106" s="15">
        <v>42651.635625000003</v>
      </c>
      <c r="G106" s="7">
        <v>1</v>
      </c>
      <c r="H106" s="15" t="s">
        <v>680</v>
      </c>
      <c r="I106" s="15">
        <v>42651.661805555559</v>
      </c>
      <c r="J106" s="7">
        <v>1</v>
      </c>
      <c r="K106" s="116" t="str">
        <f t="shared" si="80"/>
        <v>4025/4026</v>
      </c>
      <c r="L106" s="24" t="str">
        <f>VLOOKUP(A106,'Trips&amp;Operators'!$C$1:$E$10000,3,FALSE)</f>
        <v>SHOOK</v>
      </c>
      <c r="M106" s="6">
        <f t="shared" si="81"/>
        <v>2.6180555556493346E-2</v>
      </c>
      <c r="N106" s="7">
        <f t="shared" si="82"/>
        <v>37.700000001350418</v>
      </c>
      <c r="O106" s="7"/>
      <c r="P106" s="7"/>
      <c r="Q106" s="25"/>
      <c r="R106" s="25"/>
      <c r="S106" s="37">
        <f t="shared" si="83"/>
        <v>1</v>
      </c>
      <c r="T106" s="52" t="str">
        <f t="shared" si="84"/>
        <v>NorthBound</v>
      </c>
      <c r="U106" s="15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14:08:48-0600',mode:absolute,to:'2016-10-08 16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6" s="54" t="str">
        <f t="shared" si="86"/>
        <v>N</v>
      </c>
      <c r="X106" s="163">
        <f t="shared" si="75"/>
        <v>1</v>
      </c>
      <c r="Y106" s="69">
        <f t="shared" si="87"/>
        <v>4.7100000000000003E-2</v>
      </c>
      <c r="Z106" s="69">
        <f t="shared" si="88"/>
        <v>23.333600000000001</v>
      </c>
      <c r="AA106" s="69">
        <f t="shared" si="89"/>
        <v>23.2865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90"/>
        <v>0193-08</v>
      </c>
      <c r="AE106" s="94" t="str">
        <f t="shared" si="76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106" s="91" t="str">
        <f t="shared" si="77"/>
        <v>"C:\Program Files (x86)\AstroGrep\AstroGrep.exe" /spath="%USERPROFILE%\AppData\Local\Temp\OnboardLogs" /stypes="app*4025*20161008*" /stext=" 21:.+((SYSTEM_STATE.+slice.+state.+changed )|(ment ac)|(system.+state.+changed )|(\[timeout)|(PRM\|1\|D)|(kpr)|(kdp)|(\|lc)|(penalty))" /e /r /s</v>
      </c>
      <c r="AG106" s="1" t="str">
        <f t="shared" si="91"/>
        <v>EC</v>
      </c>
      <c r="AH106" s="95" t="str">
        <f t="shared" si="78"/>
        <v>"%USERPROFILE%\Documents\GitHub\eaglep3\Utilities\RefineRTDCRunTimes.py" --tripid 193-08 --locoid 4025 --swversion DE.1.0.7.0 --startMP 204:471 --initTime 2016-10-08T15:08:48 --startdatetime 2016-10-08T15:15:18 --delay 1 --endMP 204:233336 --enddatetime 2016-10-08T15:53:00 --enforcementcount 1 &gt;&gt;C:\Users\stu\Documents\GitHub\eaglep3-reporting\EC\2016-10-08-refined-times.txt</v>
      </c>
      <c r="AI106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{"issue":{"subject":"","project_id":79,"tracker_id":40,"status_id":1,"priority_id":2,"assigned_to_id":23,"start_date":"2016-10-08","description":"","custom_fields":[{"id":1,"name":"Subdivision","value":"EC"},{"id":4,"name":"Milepost","value":"23.3336"},{"id":17,"name":"Train ID","value":"193-08"},{"id":16,"name":"Locomotive ID","value":"4025"},{"id":130,"name":"Impact","value":""},{"id":150,"name":"Time of Event (Mountain Time)","value":"15:53:00"},{"id":151,"name":"Denver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526</v>
      </c>
      <c r="B107" s="7">
        <v>4026</v>
      </c>
      <c r="C107" s="24" t="s">
        <v>106</v>
      </c>
      <c r="D107" s="24" t="s">
        <v>232</v>
      </c>
      <c r="E107" s="15">
        <v>42651.669895833336</v>
      </c>
      <c r="F107" s="15">
        <v>42651.674571759257</v>
      </c>
      <c r="G107" s="7">
        <v>1</v>
      </c>
      <c r="H107" s="15" t="s">
        <v>320</v>
      </c>
      <c r="I107" s="15">
        <v>42651.702372685184</v>
      </c>
      <c r="J107" s="7">
        <v>1</v>
      </c>
      <c r="K107" s="116" t="str">
        <f t="shared" si="80"/>
        <v>4025/4026</v>
      </c>
      <c r="L107" s="24" t="str">
        <f>VLOOKUP(A107,'Trips&amp;Operators'!$C$1:$E$10000,3,FALSE)</f>
        <v>SHOOK</v>
      </c>
      <c r="M107" s="6">
        <f t="shared" si="81"/>
        <v>2.7800925927294884E-2</v>
      </c>
      <c r="N107" s="7">
        <f t="shared" si="82"/>
        <v>40.033333335304633</v>
      </c>
      <c r="O107" s="7"/>
      <c r="P107" s="7"/>
      <c r="Q107" s="25"/>
      <c r="R107" s="25"/>
      <c r="S107" s="37">
        <f t="shared" si="83"/>
        <v>1</v>
      </c>
      <c r="T107" s="52" t="str">
        <f t="shared" si="84"/>
        <v>Southbound</v>
      </c>
      <c r="U107" s="15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15:04:39-0600',mode:absolute,to:'2016-10-08 17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7" s="54" t="str">
        <f t="shared" si="86"/>
        <v>N</v>
      </c>
      <c r="X107" s="163">
        <f t="shared" si="75"/>
        <v>1</v>
      </c>
      <c r="Y107" s="69">
        <f t="shared" si="87"/>
        <v>23.299600000000002</v>
      </c>
      <c r="Z107" s="69">
        <f t="shared" si="88"/>
        <v>1.67E-2</v>
      </c>
      <c r="AA107" s="69">
        <f t="shared" si="89"/>
        <v>23.282900000000001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90"/>
        <v>0194-08</v>
      </c>
      <c r="AE107" s="94" t="str">
        <f t="shared" si="76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107" s="91" t="str">
        <f t="shared" si="77"/>
        <v>"C:\Program Files (x86)\AstroGrep\AstroGrep.exe" /spath="%USERPROFILE%\AppData\Local\Temp\OnboardLogs" /stypes="app*4026*20161008*" /stext=" 22:.+((SYSTEM_STATE.+slice.+state.+changed )|(ment ac)|(system.+state.+changed )|(\[timeout)|(PRM\|1\|D)|(kpr)|(kdp)|(\|lc)|(penalty))" /e /r /s</v>
      </c>
      <c r="AG107" s="1" t="str">
        <f t="shared" si="91"/>
        <v>EC</v>
      </c>
      <c r="AH107" s="95" t="str">
        <f t="shared" si="78"/>
        <v>"%USERPROFILE%\Documents\GitHub\eaglep3\Utilities\RefineRTDCRunTimes.py" --tripid 194-08 --locoid 4026 --swversion DE.1.0.7.0 --startMP 204:232996 --initTime 2016-10-08T16:04:39 --startdatetime 2016-10-08T16:11:23 --delay 1 --endMP 204:167 --enddatetime 2016-10-08T16:51:25 --enforcementcount 1 &gt;&gt;C:\Users\stu\Documents\GitHub\eaglep3-reporting\EC\2016-10-08-refined-times.txt</v>
      </c>
      <c r="AI107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{"issue":{"subject":"","project_id":79,"tracker_id":40,"status_id":1,"priority_id":2,"assigned_to_id":23,"start_date":"2016-10-08","description":"","custom_fields":[{"id":1,"name":"Subdivision","value":"EC"},{"id":4,"name":"Milepost","value":"0.0167"},{"id":17,"name":"Train ID","value":"194-08"},{"id":16,"name":"Locomotive ID","value":"4026"},{"id":130,"name":"Impact","value":""},{"id":150,"name":"Time of Event (Mountain Time)","value":"16:51:25"},{"id":151,"name":"Denver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518</v>
      </c>
      <c r="B108" s="7">
        <v>4053</v>
      </c>
      <c r="C108" s="24" t="s">
        <v>106</v>
      </c>
      <c r="D108" s="24" t="s">
        <v>228</v>
      </c>
      <c r="E108" s="15">
        <v>42651.642175925925</v>
      </c>
      <c r="F108" s="15">
        <v>42651.646203703705</v>
      </c>
      <c r="G108" s="7">
        <v>1</v>
      </c>
      <c r="H108" s="15" t="s">
        <v>681</v>
      </c>
      <c r="I108" s="15">
        <v>42651.671759259261</v>
      </c>
      <c r="J108" s="7">
        <v>1</v>
      </c>
      <c r="K108" s="116" t="str">
        <f t="shared" si="80"/>
        <v>4053/4054</v>
      </c>
      <c r="L108" s="24" t="str">
        <f>VLOOKUP(A108,'Trips&amp;Operators'!$C$1:$E$10000,3,FALSE)</f>
        <v>SWANSON</v>
      </c>
      <c r="M108" s="6">
        <f t="shared" si="81"/>
        <v>2.5555555555911269E-2</v>
      </c>
      <c r="N108" s="7">
        <f t="shared" si="82"/>
        <v>36.800000000512227</v>
      </c>
      <c r="O108" s="7"/>
      <c r="P108" s="7"/>
      <c r="Q108" s="25"/>
      <c r="R108" s="25"/>
      <c r="S108" s="37">
        <f t="shared" si="83"/>
        <v>1</v>
      </c>
      <c r="T108" s="52" t="str">
        <f t="shared" si="84"/>
        <v>NorthBound</v>
      </c>
      <c r="U108" s="15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14:24:44-0600',mode:absolute,to:'2016-10-08 17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8" s="54" t="str">
        <f t="shared" si="86"/>
        <v>N</v>
      </c>
      <c r="X108" s="163">
        <f t="shared" si="75"/>
        <v>1</v>
      </c>
      <c r="Y108" s="69">
        <f t="shared" si="87"/>
        <v>4.7699999999999999E-2</v>
      </c>
      <c r="Z108" s="69">
        <f t="shared" si="88"/>
        <v>23.3353</v>
      </c>
      <c r="AA108" s="69">
        <f t="shared" si="89"/>
        <v>23.287600000000001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90"/>
        <v>0195-08</v>
      </c>
      <c r="AE108" s="94" t="str">
        <f t="shared" si="76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08" s="91" t="str">
        <f t="shared" si="77"/>
        <v>"C:\Program Files (x86)\AstroGrep\AstroGrep.exe" /spath="%USERPROFILE%\AppData\Local\Temp\OnboardLogs" /stypes="app*4053*20161008*" /stext=" 22:.+((SYSTEM_STATE.+slice.+state.+changed )|(ment ac)|(system.+state.+changed )|(\[timeout)|(PRM\|1\|D)|(kpr)|(kdp)|(\|lc)|(penalty))" /e /r /s</v>
      </c>
      <c r="AG108" s="1" t="str">
        <f t="shared" si="91"/>
        <v>EC</v>
      </c>
      <c r="AH108" s="95" t="str">
        <f t="shared" si="78"/>
        <v>"%USERPROFILE%\Documents\GitHub\eaglep3\Utilities\RefineRTDCRunTimes.py" --tripid 195-08 --locoid 4053 --swversion DE.1.0.7.0 --startMP 204:477 --initTime 2016-10-08T15:24:44 --startdatetime 2016-10-08T15:30:32 --delay 1 --endMP 204:233353 --enddatetime 2016-10-08T16:07:20 --enforcementcount 1 &gt;&gt;C:\Users\stu\Documents\GitHub\eaglep3-reporting\EC\2016-10-08-refined-times.txt</v>
      </c>
      <c r="AI108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{"issue":{"subject":"","project_id":79,"tracker_id":40,"status_id":1,"priority_id":2,"assigned_to_id":23,"start_date":"2016-10-08","description":"","custom_fields":[{"id":1,"name":"Subdivision","value":"EC"},{"id":4,"name":"Milepost","value":"23.3353"},{"id":17,"name":"Train ID","value":"195-08"},{"id":16,"name":"Locomotive ID","value":"4053"},{"id":130,"name":"Impact","value":""},{"id":150,"name":"Time of Event (Mountain Time)","value":"16:07:20"},{"id":151,"name":"Denver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530</v>
      </c>
      <c r="B109" s="7">
        <v>4054</v>
      </c>
      <c r="C109" s="24" t="s">
        <v>106</v>
      </c>
      <c r="D109" s="24" t="s">
        <v>682</v>
      </c>
      <c r="E109" s="15">
        <v>42651.673773148148</v>
      </c>
      <c r="F109" s="15">
        <v>42651.685208333336</v>
      </c>
      <c r="G109" s="7">
        <v>1</v>
      </c>
      <c r="H109" s="15" t="s">
        <v>305</v>
      </c>
      <c r="I109" s="15">
        <v>42651.712488425925</v>
      </c>
      <c r="J109" s="7">
        <v>1</v>
      </c>
      <c r="K109" s="116" t="str">
        <f t="shared" si="80"/>
        <v>4053/4054</v>
      </c>
      <c r="L109" s="24" t="str">
        <f>VLOOKUP(A109,'Trips&amp;Operators'!$C$1:$E$10000,3,FALSE)</f>
        <v>SWANSON</v>
      </c>
      <c r="M109" s="6">
        <f t="shared" si="81"/>
        <v>2.7280092588625848E-2</v>
      </c>
      <c r="N109" s="7">
        <f t="shared" si="82"/>
        <v>39.283333327621222</v>
      </c>
      <c r="O109" s="7"/>
      <c r="P109" s="7"/>
      <c r="Q109" s="25"/>
      <c r="R109" s="25"/>
      <c r="S109" s="37">
        <f t="shared" si="83"/>
        <v>1</v>
      </c>
      <c r="T109" s="52" t="str">
        <f t="shared" si="84"/>
        <v>Southbound</v>
      </c>
      <c r="U109" s="15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15:10:14-0600',mode:absolute,to:'2016-10-08 18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9" s="54" t="str">
        <f t="shared" si="86"/>
        <v>N</v>
      </c>
      <c r="X109" s="163">
        <f t="shared" ref="X109:X142" si="92">VALUE(LEFT(AD109,4))-VALUE(LEFT(AD108,4))</f>
        <v>1</v>
      </c>
      <c r="Y109" s="69">
        <f t="shared" si="87"/>
        <v>23.305499999999999</v>
      </c>
      <c r="Z109" s="69">
        <f t="shared" si="88"/>
        <v>1.43E-2</v>
      </c>
      <c r="AA109" s="69">
        <f t="shared" si="89"/>
        <v>23.2912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90"/>
        <v>0196-08</v>
      </c>
      <c r="AE109" s="94" t="str">
        <f t="shared" si="76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09" s="91" t="str">
        <f t="shared" si="77"/>
        <v>"C:\Program Files (x86)\AstroGrep\AstroGrep.exe" /spath="%USERPROFILE%\AppData\Local\Temp\OnboardLogs" /stypes="app*4054*20161008*" /stext=" 23:.+((SYSTEM_STATE.+slice.+state.+changed )|(ment ac)|(system.+state.+changed )|(\[timeout)|(PRM\|1\|D)|(kpr)|(kdp)|(\|lc)|(penalty))" /e /r /s</v>
      </c>
      <c r="AG109" s="1" t="str">
        <f t="shared" si="91"/>
        <v>EC</v>
      </c>
      <c r="AH109" s="95" t="str">
        <f t="shared" si="78"/>
        <v>"%USERPROFILE%\Documents\GitHub\eaglep3\Utilities\RefineRTDCRunTimes.py" --tripid 196-08 --locoid 4054 --swversion DE.1.0.7.0 --startMP 204:233055 --initTime 2016-10-08T16:10:14 --startdatetime 2016-10-08T16:26:42 --delay 1 --endMP 204:143 --enddatetime 2016-10-08T17:05:59 --enforcementcount 1 &gt;&gt;C:\Users\stu\Documents\GitHub\eaglep3-reporting\EC\2016-10-08-refined-times.txt</v>
      </c>
      <c r="AI109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{"issue":{"subject":"","project_id":79,"tracker_id":40,"status_id":1,"priority_id":2,"assigned_to_id":23,"start_date":"2016-10-08","description":"","custom_fields":[{"id":1,"name":"Subdivision","value":"EC"},{"id":4,"name":"Milepost","value":"0.0143"},{"id":17,"name":"Train ID","value":"196-08"},{"id":16,"name":"Locomotive ID","value":"4054"},{"id":130,"name":"Impact","value":""},{"id":150,"name":"Time of Event (Mountain Time)","value":"17:05:59"},{"id":151,"name":"Denver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521</v>
      </c>
      <c r="B110" s="7">
        <v>4027</v>
      </c>
      <c r="C110" s="24" t="s">
        <v>106</v>
      </c>
      <c r="D110" s="24" t="s">
        <v>683</v>
      </c>
      <c r="E110" s="15">
        <v>42651.652627314812</v>
      </c>
      <c r="F110" s="15">
        <v>42651.656759259262</v>
      </c>
      <c r="G110" s="7">
        <v>1</v>
      </c>
      <c r="H110" s="15" t="s">
        <v>684</v>
      </c>
      <c r="I110" s="15">
        <v>42651.683067129627</v>
      </c>
      <c r="J110" s="7">
        <v>1</v>
      </c>
      <c r="K110" s="116" t="str">
        <f t="shared" si="80"/>
        <v>4027/4028</v>
      </c>
      <c r="L110" s="24" t="str">
        <f>VLOOKUP(A110,'Trips&amp;Operators'!$C$1:$E$10000,3,FALSE)</f>
        <v>HOMIK</v>
      </c>
      <c r="M110" s="6">
        <f t="shared" si="81"/>
        <v>2.6307870364689734E-2</v>
      </c>
      <c r="N110" s="7">
        <f t="shared" si="82"/>
        <v>37.883333325153217</v>
      </c>
      <c r="O110" s="7"/>
      <c r="P110" s="7"/>
      <c r="Q110" s="25"/>
      <c r="R110" s="25"/>
      <c r="S110" s="37">
        <f t="shared" si="83"/>
        <v>1</v>
      </c>
      <c r="T110" s="52" t="str">
        <f t="shared" si="84"/>
        <v>NorthBound</v>
      </c>
      <c r="U110" s="15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14:39:47-0600',mode:absolute,to:'2016-10-08 17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0" s="54" t="str">
        <f t="shared" si="86"/>
        <v>N</v>
      </c>
      <c r="X110" s="163">
        <f t="shared" si="92"/>
        <v>1</v>
      </c>
      <c r="Y110" s="69">
        <f t="shared" si="87"/>
        <v>4.8599999999999997E-2</v>
      </c>
      <c r="Z110" s="69">
        <f t="shared" si="88"/>
        <v>23.331499999999998</v>
      </c>
      <c r="AA110" s="69">
        <f t="shared" si="89"/>
        <v>23.282899999999998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90"/>
        <v>0197-08</v>
      </c>
      <c r="AE110" s="94" t="str">
        <f t="shared" si="76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110" s="91" t="str">
        <f t="shared" si="77"/>
        <v>"C:\Program Files (x86)\AstroGrep\AstroGrep.exe" /spath="%USERPROFILE%\AppData\Local\Temp\OnboardLogs" /stypes="app*4027*20161008*" /stext=" 22:.+((SYSTEM_STATE.+slice.+state.+changed )|(ment ac)|(system.+state.+changed )|(\[timeout)|(PRM\|1\|D)|(kpr)|(kdp)|(\|lc)|(penalty))" /e /r /s</v>
      </c>
      <c r="AG110" s="1" t="str">
        <f t="shared" si="91"/>
        <v>EC</v>
      </c>
      <c r="AH110" s="95" t="str">
        <f t="shared" si="78"/>
        <v>"%USERPROFILE%\Documents\GitHub\eaglep3\Utilities\RefineRTDCRunTimes.py" --tripid 197-08 --locoid 4027 --swversion DE.1.0.7.0 --startMP 204:486 --initTime 2016-10-08T15:39:47 --startdatetime 2016-10-08T15:45:44 --delay 1 --endMP 204:233315 --enddatetime 2016-10-08T16:23:37 --enforcementcount 1 &gt;&gt;C:\Users\stu\Documents\GitHub\eaglep3-reporting\EC\2016-10-08-refined-times.txt</v>
      </c>
      <c r="AI110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{"issue":{"subject":"","project_id":79,"tracker_id":40,"status_id":1,"priority_id":2,"assigned_to_id":23,"start_date":"2016-10-08","description":"","custom_fields":[{"id":1,"name":"Subdivision","value":"EC"},{"id":4,"name":"Milepost","value":"23.3315"},{"id":17,"name":"Train ID","value":"197-08"},{"id":16,"name":"Locomotive ID","value":"4027"},{"id":130,"name":"Impact","value":""},{"id":150,"name":"Time of Event (Mountain Time)","value":"16:23:37"},{"id":151,"name":"Denver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532</v>
      </c>
      <c r="B111" s="7">
        <v>4028</v>
      </c>
      <c r="C111" s="24" t="s">
        <v>106</v>
      </c>
      <c r="D111" s="24" t="s">
        <v>617</v>
      </c>
      <c r="E111" s="15">
        <v>42651.684942129628</v>
      </c>
      <c r="F111" s="15">
        <v>42651.695428240739</v>
      </c>
      <c r="G111" s="7">
        <v>1</v>
      </c>
      <c r="H111" s="15" t="s">
        <v>320</v>
      </c>
      <c r="I111" s="15">
        <v>42651.724039351851</v>
      </c>
      <c r="J111" s="7">
        <v>1</v>
      </c>
      <c r="K111" s="116" t="str">
        <f t="shared" si="80"/>
        <v>4027/4028</v>
      </c>
      <c r="L111" s="24" t="str">
        <f>VLOOKUP(A111,'Trips&amp;Operators'!$C$1:$E$10000,3,FALSE)</f>
        <v>HOMIK</v>
      </c>
      <c r="M111" s="6">
        <f t="shared" si="81"/>
        <v>2.8611111112695653E-2</v>
      </c>
      <c r="N111" s="7">
        <f t="shared" si="82"/>
        <v>41.20000000228174</v>
      </c>
      <c r="O111" s="7"/>
      <c r="P111" s="7"/>
      <c r="Q111" s="25"/>
      <c r="R111" s="25"/>
      <c r="S111" s="37">
        <f t="shared" si="83"/>
        <v>1</v>
      </c>
      <c r="T111" s="52" t="str">
        <f t="shared" si="84"/>
        <v>Southbound</v>
      </c>
      <c r="U111" s="15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15:26:19-0600',mode:absolute,to:'2016-10-08 18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1" s="54" t="str">
        <f t="shared" si="86"/>
        <v>N</v>
      </c>
      <c r="X111" s="163">
        <f t="shared" si="92"/>
        <v>1</v>
      </c>
      <c r="Y111" s="69">
        <f t="shared" si="87"/>
        <v>23.300599999999999</v>
      </c>
      <c r="Z111" s="69">
        <f t="shared" si="88"/>
        <v>1.67E-2</v>
      </c>
      <c r="AA111" s="69">
        <f t="shared" si="89"/>
        <v>23.283899999999999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90"/>
        <v>0198-08</v>
      </c>
      <c r="AE111" s="94" t="str">
        <f t="shared" si="76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111" s="91" t="str">
        <f t="shared" si="77"/>
        <v>"C:\Program Files (x86)\AstroGrep\AstroGrep.exe" /spath="%USERPROFILE%\AppData\Local\Temp\OnboardLogs" /stypes="app*4028*20161008*" /stext=" 23:.+((SYSTEM_STATE.+slice.+state.+changed )|(ment ac)|(system.+state.+changed )|(\[timeout)|(PRM\|1\|D)|(kpr)|(kdp)|(\|lc)|(penalty))" /e /r /s</v>
      </c>
      <c r="AG111" s="1" t="str">
        <f t="shared" si="91"/>
        <v>EC</v>
      </c>
      <c r="AH111" s="95" t="str">
        <f t="shared" si="78"/>
        <v>"%USERPROFILE%\Documents\GitHub\eaglep3\Utilities\RefineRTDCRunTimes.py" --tripid 198-08 --locoid 4028 --swversion DE.1.0.7.0 --startMP 204:233006 --initTime 2016-10-08T16:26:19 --startdatetime 2016-10-08T16:41:25 --delay 1 --endMP 204:167 --enddatetime 2016-10-08T17:22:37 --enforcementcount 1 &gt;&gt;C:\Users\stu\Documents\GitHub\eaglep3-reporting\EC\2016-10-08-refined-times.txt</v>
      </c>
      <c r="AI111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{"issue":{"subject":"","project_id":79,"tracker_id":40,"status_id":1,"priority_id":2,"assigned_to_id":23,"start_date":"2016-10-08","description":"","custom_fields":[{"id":1,"name":"Subdivision","value":"EC"},{"id":4,"name":"Milepost","value":"0.0167"},{"id":17,"name":"Train ID","value":"198-08"},{"id":16,"name":"Locomotive ID","value":"4028"},{"id":130,"name":"Impact","value":""},{"id":150,"name":"Time of Event (Mountain Time)","value":"17:22:37"},{"id":151,"name":"Denver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524</v>
      </c>
      <c r="B112" s="7">
        <v>4038</v>
      </c>
      <c r="C112" s="24" t="s">
        <v>106</v>
      </c>
      <c r="D112" s="24" t="s">
        <v>253</v>
      </c>
      <c r="E112" s="15">
        <v>42651.662708333337</v>
      </c>
      <c r="F112" s="15">
        <v>42651.666886574072</v>
      </c>
      <c r="G112" s="7">
        <v>1</v>
      </c>
      <c r="H112" s="15" t="s">
        <v>685</v>
      </c>
      <c r="I112" s="15">
        <v>42651.692164351851</v>
      </c>
      <c r="J112" s="7">
        <v>1</v>
      </c>
      <c r="K112" s="116" t="str">
        <f t="shared" si="80"/>
        <v>4037/4038</v>
      </c>
      <c r="L112" s="24" t="str">
        <f>VLOOKUP(A112,'Trips&amp;Operators'!$C$1:$E$10000,3,FALSE)</f>
        <v>OUN</v>
      </c>
      <c r="M112" s="6">
        <f t="shared" si="81"/>
        <v>2.527777777868323E-2</v>
      </c>
      <c r="N112" s="7">
        <f t="shared" si="82"/>
        <v>36.400000001303852</v>
      </c>
      <c r="O112" s="7"/>
      <c r="P112" s="7"/>
      <c r="Q112" s="25"/>
      <c r="R112" s="25"/>
      <c r="S112" s="37">
        <f t="shared" si="83"/>
        <v>1</v>
      </c>
      <c r="T112" s="52" t="str">
        <f t="shared" si="84"/>
        <v>NorthBound</v>
      </c>
      <c r="U112" s="15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14:54:18-0600',mode:absolute,to:'2016-10-08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2" s="54" t="str">
        <f t="shared" si="86"/>
        <v>N</v>
      </c>
      <c r="X112" s="163">
        <f t="shared" si="92"/>
        <v>1</v>
      </c>
      <c r="Y112" s="69">
        <f t="shared" si="87"/>
        <v>4.4600000000000001E-2</v>
      </c>
      <c r="Z112" s="69">
        <f t="shared" si="88"/>
        <v>23.334299999999999</v>
      </c>
      <c r="AA112" s="69">
        <f t="shared" si="89"/>
        <v>23.2897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90"/>
        <v>0199-08</v>
      </c>
      <c r="AE112" s="94" t="str">
        <f t="shared" si="76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12" s="91" t="str">
        <f t="shared" si="77"/>
        <v>"C:\Program Files (x86)\AstroGrep\AstroGrep.exe" /spath="%USERPROFILE%\AppData\Local\Temp\OnboardLogs" /stypes="app*4038*20161008*" /stext=" 22:.+((SYSTEM_STATE.+slice.+state.+changed )|(ment ac)|(system.+state.+changed )|(\[timeout)|(PRM\|1\|D)|(kpr)|(kdp)|(\|lc)|(penalty))" /e /r /s</v>
      </c>
      <c r="AG112" s="1" t="str">
        <f t="shared" si="91"/>
        <v>EC</v>
      </c>
      <c r="AH112" s="95" t="str">
        <f t="shared" si="78"/>
        <v>"%USERPROFILE%\Documents\GitHub\eaglep3\Utilities\RefineRTDCRunTimes.py" --tripid 199-08 --locoid 4038 --swversion DE.1.0.7.0 --startMP 204:446 --initTime 2016-10-08T15:54:18 --startdatetime 2016-10-08T16:00:19 --delay 1 --endMP 204:233343 --enddatetime 2016-10-08T16:36:43 --enforcementcount 1 &gt;&gt;C:\Users\stu\Documents\GitHub\eaglep3-reporting\EC\2016-10-08-refined-times.txt</v>
      </c>
      <c r="AI112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{"issue":{"subject":"","project_id":79,"tracker_id":40,"status_id":1,"priority_id":2,"assigned_to_id":23,"start_date":"2016-10-08","description":"","custom_fields":[{"id":1,"name":"Subdivision","value":"EC"},{"id":4,"name":"Milepost","value":"23.3343"},{"id":17,"name":"Train ID","value":"199-08"},{"id":16,"name":"Locomotive ID","value":"4038"},{"id":130,"name":"Impact","value":""},{"id":150,"name":"Time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536</v>
      </c>
      <c r="B113" s="7">
        <v>4037</v>
      </c>
      <c r="C113" s="24" t="s">
        <v>106</v>
      </c>
      <c r="D113" s="24" t="s">
        <v>276</v>
      </c>
      <c r="E113" s="15">
        <v>42651.701932870368</v>
      </c>
      <c r="F113" s="15">
        <v>42651.705775462964</v>
      </c>
      <c r="G113" s="7">
        <v>1</v>
      </c>
      <c r="H113" s="15" t="s">
        <v>126</v>
      </c>
      <c r="I113" s="15">
        <v>42651.732789351852</v>
      </c>
      <c r="J113" s="7">
        <v>1</v>
      </c>
      <c r="K113" s="116" t="str">
        <f t="shared" si="80"/>
        <v>4037/4038</v>
      </c>
      <c r="L113" s="24" t="str">
        <f>VLOOKUP(A113,'Trips&amp;Operators'!$C$1:$E$10000,3,FALSE)</f>
        <v>OUN</v>
      </c>
      <c r="M113" s="6">
        <f t="shared" si="81"/>
        <v>2.7013888888177462E-2</v>
      </c>
      <c r="N113" s="7">
        <f t="shared" si="82"/>
        <v>38.899999998975545</v>
      </c>
      <c r="O113" s="7"/>
      <c r="P113" s="7"/>
      <c r="Q113" s="25"/>
      <c r="R113" s="25"/>
      <c r="S113" s="37">
        <f t="shared" si="83"/>
        <v>1</v>
      </c>
      <c r="T113" s="52" t="str">
        <f t="shared" si="84"/>
        <v>Southbound</v>
      </c>
      <c r="U113" s="15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15:50:47-0600',mode:absolute,to:'2016-10-08 18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3" s="54" t="str">
        <f t="shared" si="86"/>
        <v>N</v>
      </c>
      <c r="X113" s="163">
        <f t="shared" si="92"/>
        <v>1</v>
      </c>
      <c r="Y113" s="69">
        <f t="shared" si="87"/>
        <v>23.298999999999999</v>
      </c>
      <c r="Z113" s="69">
        <f t="shared" si="88"/>
        <v>1.54E-2</v>
      </c>
      <c r="AA113" s="69">
        <f t="shared" si="89"/>
        <v>23.2836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90"/>
        <v>0200-08</v>
      </c>
      <c r="AE113" s="94" t="str">
        <f t="shared" si="76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113" s="91" t="str">
        <f t="shared" si="77"/>
        <v>"C:\Program Files (x86)\AstroGrep\AstroGrep.exe" /spath="%USERPROFILE%\AppData\Local\Temp\OnboardLogs" /stypes="app*4037*20161008*" /stext=" 23:.+((SYSTEM_STATE.+slice.+state.+changed )|(ment ac)|(system.+state.+changed )|(\[timeout)|(PRM\|1\|D)|(kpr)|(kdp)|(\|lc)|(penalty))" /e /r /s</v>
      </c>
      <c r="AG113" s="1" t="str">
        <f t="shared" si="91"/>
        <v>EC</v>
      </c>
      <c r="AH113" s="95" t="str">
        <f t="shared" si="78"/>
        <v>"%USERPROFILE%\Documents\GitHub\eaglep3\Utilities\RefineRTDCRunTimes.py" --tripid 200-08 --locoid 4037 --swversion DE.1.0.7.0 --startMP 204:232990 --initTime 2016-10-08T16:50:47 --startdatetime 2016-10-08T16:56:19 --delay 1 --endMP 204:154 --enddatetime 2016-10-08T17:35:13 --enforcementcount 1 &gt;&gt;C:\Users\stu\Documents\GitHub\eaglep3-reporting\EC\2016-10-08-refined-times.txt</v>
      </c>
      <c r="AI11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ID","value":"200-08"},{"id":16,"name":"Locomotive ID","value":"4037"},{"id":130,"name":"Impact","value":""},{"id":150,"name":"Time of Event (Mountain Time)","value":"17:35:13"},{"id":151,"name":"Denver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531</v>
      </c>
      <c r="B114" s="7">
        <v>4014</v>
      </c>
      <c r="C114" s="24" t="s">
        <v>106</v>
      </c>
      <c r="D114" s="24" t="s">
        <v>203</v>
      </c>
      <c r="E114" s="15">
        <v>42651.674756944441</v>
      </c>
      <c r="F114" s="15">
        <v>42651.677361111113</v>
      </c>
      <c r="G114" s="7">
        <v>1</v>
      </c>
      <c r="H114" s="15" t="s">
        <v>686</v>
      </c>
      <c r="I114" s="15">
        <v>42651.702939814815</v>
      </c>
      <c r="J114" s="7">
        <v>1</v>
      </c>
      <c r="K114" s="116" t="str">
        <f t="shared" si="80"/>
        <v>4013/4014</v>
      </c>
      <c r="L114" s="24" t="str">
        <f>VLOOKUP(A114,'Trips&amp;Operators'!$C$1:$E$10000,3,FALSE)</f>
        <v>STEWART</v>
      </c>
      <c r="M114" s="6">
        <f t="shared" si="81"/>
        <v>2.5578703702194616E-2</v>
      </c>
      <c r="N114" s="7">
        <f t="shared" si="82"/>
        <v>36.833333331160247</v>
      </c>
      <c r="O114" s="7"/>
      <c r="P114" s="7"/>
      <c r="Q114" s="25"/>
      <c r="R114" s="25"/>
      <c r="S114" s="37">
        <f t="shared" si="83"/>
        <v>1</v>
      </c>
      <c r="T114" s="52" t="str">
        <f t="shared" si="84"/>
        <v>NorthBound</v>
      </c>
      <c r="U114" s="15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15:11:39-0600',mode:absolute,to:'2016-10-08 17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4" s="54" t="str">
        <f t="shared" si="86"/>
        <v>N</v>
      </c>
      <c r="X114" s="163">
        <f t="shared" si="92"/>
        <v>1</v>
      </c>
      <c r="Y114" s="69">
        <f t="shared" si="87"/>
        <v>4.6199999999999998E-2</v>
      </c>
      <c r="Z114" s="69">
        <f t="shared" si="88"/>
        <v>23.329799999999999</v>
      </c>
      <c r="AA114" s="69">
        <f t="shared" si="89"/>
        <v>23.2836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90"/>
        <v>0201-08</v>
      </c>
      <c r="AE114" s="94" t="str">
        <f t="shared" si="76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114" s="91" t="str">
        <f t="shared" si="77"/>
        <v>"C:\Program Files (x86)\AstroGrep\AstroGrep.exe" /spath="%USERPROFILE%\AppData\Local\Temp\OnboardLogs" /stypes="app*4014*20161008*" /stext=" 22:.+((SYSTEM_STATE.+slice.+state.+changed )|(ment ac)|(system.+state.+changed )|(\[timeout)|(PRM\|1\|D)|(kpr)|(kdp)|(\|lc)|(penalty))" /e /r /s</v>
      </c>
      <c r="AG114" s="1" t="str">
        <f t="shared" si="91"/>
        <v>EC</v>
      </c>
      <c r="AH114" s="95" t="str">
        <f t="shared" si="78"/>
        <v>"%USERPROFILE%\Documents\GitHub\eaglep3\Utilities\RefineRTDCRunTimes.py" --tripid 201-08 --locoid 4014 --swversion DE.1.0.7.0 --startMP 204:462 --initTime 2016-10-08T16:11:39 --startdatetime 2016-10-08T16:15:24 --delay 1 --endMP 204:233298 --enddatetime 2016-10-08T16:52:14 --enforcementcount 1 &gt;&gt;C:\Users\stu\Documents\GitHub\eaglep3-reporting\EC\2016-10-08-refined-times.txt</v>
      </c>
      <c r="AI114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{"issue":{"subject":"","project_id":79,"tracker_id":40,"status_id":1,"priority_id":2,"assigned_to_id":23,"start_date":"2016-10-08","description":"","custom_fields":[{"id":1,"name":"Subdivision","value":"EC"},{"id":4,"name":"Milepost","value":"23.3298"},{"id":17,"name":"Train ID","value":"201-08"},{"id":16,"name":"Locomotive ID","value":"4014"},{"id":130,"name":"Impact","value":""},{"id":150,"name":"Time of Event (Mountain Time)","value":"16:52:14"},{"id":151,"name":"Denver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538</v>
      </c>
      <c r="B115" s="7">
        <v>4013</v>
      </c>
      <c r="C115" s="24" t="s">
        <v>106</v>
      </c>
      <c r="D115" s="24" t="s">
        <v>318</v>
      </c>
      <c r="E115" s="15">
        <v>42651.712916666664</v>
      </c>
      <c r="F115" s="15">
        <v>42651.716307870367</v>
      </c>
      <c r="G115" s="7">
        <v>3</v>
      </c>
      <c r="H115" s="15" t="s">
        <v>190</v>
      </c>
      <c r="I115" s="15">
        <v>42651.744421296295</v>
      </c>
      <c r="J115" s="7">
        <v>1</v>
      </c>
      <c r="K115" s="116" t="str">
        <f t="shared" si="80"/>
        <v>4013/4014</v>
      </c>
      <c r="L115" s="24" t="str">
        <f>VLOOKUP(A115,'Trips&amp;Operators'!$C$1:$E$10000,3,FALSE)</f>
        <v>STEWART</v>
      </c>
      <c r="M115" s="6">
        <f t="shared" si="81"/>
        <v>2.8113425927585922E-2</v>
      </c>
      <c r="N115" s="7">
        <f t="shared" si="82"/>
        <v>40.483333335723728</v>
      </c>
      <c r="O115" s="7"/>
      <c r="P115" s="7"/>
      <c r="Q115" s="25"/>
      <c r="R115" s="25"/>
      <c r="S115" s="37">
        <f t="shared" si="83"/>
        <v>1</v>
      </c>
      <c r="T115" s="52" t="str">
        <f t="shared" si="84"/>
        <v>Southbound</v>
      </c>
      <c r="U115" s="15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16:06:36-0600',mode:absolute,to:'2016-10-08 18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5" s="54" t="str">
        <f t="shared" si="86"/>
        <v>N</v>
      </c>
      <c r="X115" s="163">
        <f t="shared" si="92"/>
        <v>1</v>
      </c>
      <c r="Y115" s="69">
        <f t="shared" si="87"/>
        <v>23.298100000000002</v>
      </c>
      <c r="Z115" s="69">
        <f t="shared" si="88"/>
        <v>1.5800000000000002E-2</v>
      </c>
      <c r="AA115" s="69">
        <f t="shared" si="89"/>
        <v>23.282300000000003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90"/>
        <v>0202-08</v>
      </c>
      <c r="AE115" s="94" t="str">
        <f t="shared" si="76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115" s="91" t="str">
        <f t="shared" si="77"/>
        <v>"C:\Program Files (x86)\AstroGrep\AstroGrep.exe" /spath="%USERPROFILE%\AppData\Local\Temp\OnboardLogs" /stypes="app*4013*20161008*" /stext=" 23:.+((SYSTEM_STATE.+slice.+state.+changed )|(ment ac)|(system.+state.+changed )|(\[timeout)|(PRM\|1\|D)|(kpr)|(kdp)|(\|lc)|(penalty))" /e /r /s</v>
      </c>
      <c r="AG115" s="1" t="str">
        <f t="shared" si="91"/>
        <v>EC</v>
      </c>
      <c r="AH115" s="95" t="str">
        <f t="shared" si="78"/>
        <v>"%USERPROFILE%\Documents\GitHub\eaglep3\Utilities\RefineRTDCRunTimes.py" --tripid 202-08 --locoid 4013 --swversion DE.1.0.7.0 --startMP 204:232981 --initTime 2016-10-08T17:06:36 --startdatetime 2016-10-08T17:11:29 --delay 3 --endMP 204:158 --enddatetime 2016-10-08T17:51:58 --enforcementcount 1 &gt;&gt;C:\Users\stu\Documents\GitHub\eaglep3-reporting\EC\2016-10-08-refined-times.txt</v>
      </c>
      <c r="AI115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{"issue":{"subject":"","project_id":79,"tracker_id":40,"status_id":1,"priority_id":2,"assigned_to_id":23,"start_date":"2016-10-08","description":"","custom_fields":[{"id":1,"name":"Subdivision","value":"EC"},{"id":4,"name":"Milepost","value":"0.0158"},{"id":17,"name":"Train ID","value":"202-08"},{"id":16,"name":"Locomotive ID","value":"4013"},{"id":130,"name":"Impact","value":""},{"id":150,"name":"Time of Event (Mountain Time)","value":"17:51:58"},{"id":151,"name":"Denver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533</v>
      </c>
      <c r="B116" s="7">
        <v>4044</v>
      </c>
      <c r="C116" s="24" t="s">
        <v>106</v>
      </c>
      <c r="D116" s="24" t="s">
        <v>196</v>
      </c>
      <c r="E116" s="15">
        <v>42651.685416666667</v>
      </c>
      <c r="F116" s="15">
        <v>42651.687731481485</v>
      </c>
      <c r="G116" s="7">
        <v>1</v>
      </c>
      <c r="H116" s="15" t="s">
        <v>211</v>
      </c>
      <c r="I116" s="15">
        <v>42651.713217592594</v>
      </c>
      <c r="J116" s="7">
        <v>1</v>
      </c>
      <c r="K116" s="116" t="str">
        <f t="shared" si="80"/>
        <v>4043/4044</v>
      </c>
      <c r="L116" s="24" t="str">
        <f>VLOOKUP(A116,'Trips&amp;Operators'!$C$1:$E$10000,3,FALSE)</f>
        <v>BARTLETT</v>
      </c>
      <c r="M116" s="6">
        <f t="shared" si="81"/>
        <v>2.548611110978527E-2</v>
      </c>
      <c r="N116" s="7">
        <f t="shared" si="82"/>
        <v>36.699999998090789</v>
      </c>
      <c r="O116" s="7"/>
      <c r="P116" s="7"/>
      <c r="Q116" s="25"/>
      <c r="R116" s="25"/>
      <c r="S116" s="37">
        <f t="shared" si="83"/>
        <v>1</v>
      </c>
      <c r="T116" s="52" t="str">
        <f t="shared" si="84"/>
        <v>NorthBound</v>
      </c>
      <c r="U116" s="15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15:27:00-0600',mode:absolute,to:'2016-10-08 18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6" s="54" t="str">
        <f t="shared" si="86"/>
        <v>N</v>
      </c>
      <c r="X116" s="163">
        <f t="shared" si="92"/>
        <v>1</v>
      </c>
      <c r="Y116" s="69">
        <f t="shared" si="87"/>
        <v>4.5699999999999998E-2</v>
      </c>
      <c r="Z116" s="69">
        <f t="shared" si="88"/>
        <v>23.331199999999999</v>
      </c>
      <c r="AA116" s="69">
        <f t="shared" si="89"/>
        <v>23.285499999999999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90"/>
        <v>0203-08</v>
      </c>
      <c r="AE116" s="94" t="str">
        <f t="shared" si="76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16" s="91" t="str">
        <f t="shared" si="77"/>
        <v>"C:\Program Files (x86)\AstroGrep\AstroGrep.exe" /spath="%USERPROFILE%\AppData\Local\Temp\OnboardLogs" /stypes="app*4044*20161008*" /stext=" 23:.+((SYSTEM_STATE.+slice.+state.+changed )|(ment ac)|(system.+state.+changed )|(\[timeout)|(PRM\|1\|D)|(kpr)|(kdp)|(\|lc)|(penalty))" /e /r /s</v>
      </c>
      <c r="AG116" s="1" t="str">
        <f t="shared" si="91"/>
        <v>EC</v>
      </c>
      <c r="AH116" s="95" t="str">
        <f t="shared" si="78"/>
        <v>"%USERPROFILE%\Documents\GitHub\eaglep3\Utilities\RefineRTDCRunTimes.py" --tripid 203-08 --locoid 4044 --swversion DE.1.0.7.0 --startMP 204:457 --initTime 2016-10-08T16:27:00 --startdatetime 2016-10-08T16:30:20 --delay 1 --endMP 204:233312 --enddatetime 2016-10-08T17:07:02 --enforcementcount 1 &gt;&gt;C:\Users\stu\Documents\GitHub\eaglep3-reporting\EC\2016-10-08-refined-times.txt</v>
      </c>
      <c r="AI116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{"issue":{"subject":"","project_id":79,"tracker_id":40,"status_id":1,"priority_id":2,"assigned_to_id":23,"start_date":"2016-10-08","description":"","custom_fields":[{"id":1,"name":"Subdivision","value":"EC"},{"id":4,"name":"Milepost","value":"23.3312"},{"id":17,"name":"Train ID","value":"203-08"},{"id":16,"name":"Locomotive ID","value":"4044"},{"id":130,"name":"Impact","value":""},{"id":150,"name":"Time of Event (Mountain Time)","value":"17:07:02"},{"id":151,"name":"Denver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541</v>
      </c>
      <c r="B117" s="7">
        <v>4043</v>
      </c>
      <c r="C117" s="24" t="s">
        <v>106</v>
      </c>
      <c r="D117" s="24" t="s">
        <v>330</v>
      </c>
      <c r="E117" s="15">
        <v>42651.715416666666</v>
      </c>
      <c r="F117" s="15">
        <v>42651.726539351854</v>
      </c>
      <c r="G117" s="7">
        <v>1</v>
      </c>
      <c r="H117" s="15" t="s">
        <v>687</v>
      </c>
      <c r="I117" s="15">
        <v>42651.753067129626</v>
      </c>
      <c r="J117" s="7">
        <v>1</v>
      </c>
      <c r="K117" s="116" t="str">
        <f t="shared" si="80"/>
        <v>4043/4044</v>
      </c>
      <c r="L117" s="24" t="str">
        <f>VLOOKUP(A117,'Trips&amp;Operators'!$C$1:$E$10000,3,FALSE)</f>
        <v>BARTLETT</v>
      </c>
      <c r="M117" s="6">
        <f t="shared" si="81"/>
        <v>2.6527777772571426E-2</v>
      </c>
      <c r="N117" s="7">
        <f t="shared" si="82"/>
        <v>38.199999992502853</v>
      </c>
      <c r="O117" s="7"/>
      <c r="P117" s="7"/>
      <c r="Q117" s="25"/>
      <c r="R117" s="25"/>
      <c r="S117" s="37">
        <f t="shared" si="83"/>
        <v>1</v>
      </c>
      <c r="T117" s="52" t="str">
        <f t="shared" si="84"/>
        <v>Southbound</v>
      </c>
      <c r="U117" s="15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16:10:12-0600',mode:absolute,to:'2016-10-08 19:04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7" s="54" t="str">
        <f t="shared" si="86"/>
        <v>N</v>
      </c>
      <c r="X117" s="163">
        <f t="shared" si="92"/>
        <v>1</v>
      </c>
      <c r="Y117" s="69">
        <f t="shared" si="87"/>
        <v>23.298400000000001</v>
      </c>
      <c r="Z117" s="69">
        <f t="shared" si="88"/>
        <v>2.52E-2</v>
      </c>
      <c r="AA117" s="69">
        <f t="shared" si="89"/>
        <v>23.273199999999999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90"/>
        <v>0204-08</v>
      </c>
      <c r="AE117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17" s="91" t="str">
        <f t="shared" si="77"/>
        <v>"C:\Program Files (x86)\AstroGrep\AstroGrep.exe" /spath="%USERPROFILE%\AppData\Local\Temp\OnboardLogs" /stypes="app*4043*20161009*" /stext=" 00:.+((SYSTEM_STATE.+slice.+state.+changed )|(ment ac)|(system.+state.+changed )|(\[timeout)|(PRM\|1\|D)|(kpr)|(kdp)|(\|lc)|(penalty))" /e /r /s</v>
      </c>
      <c r="AG117" s="1" t="str">
        <f t="shared" si="91"/>
        <v>EC</v>
      </c>
      <c r="AH117" s="95" t="str">
        <f t="shared" si="78"/>
        <v>"%USERPROFILE%\Documents\GitHub\eaglep3\Utilities\RefineRTDCRunTimes.py" --tripid 204-08 --locoid 4043 --swversion DE.1.0.7.0 --startMP 204:232984 --initTime 2016-10-08T17:10:12 --startdatetime 2016-10-08T17:26:13 --delay 1 --endMP 204:252 --enddatetime 2016-10-08T18:04:25 --enforcementcount 1 &gt;&gt;C:\Users\stu\Documents\GitHub\eaglep3-reporting\EC\2016-10-08-refined-times.txt</v>
      </c>
      <c r="AI117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{"issue":{"subject":"","project_id":79,"tracker_id":40,"status_id":1,"priority_id":2,"assigned_to_id":23,"start_date":"2016-10-08","description":"","custom_fields":[{"id":1,"name":"Subdivision","value":"EC"},{"id":4,"name":"Milepost","value":"0.0252"},{"id":17,"name":"Train ID","value":"204-08"},{"id":16,"name":"Locomotive ID","value":"4043"},{"id":130,"name":"Impact","value":""},{"id":150,"name":"Time of Event (Mountain Time)","value":"18:04:25"},{"id":151,"name":"Denver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535</v>
      </c>
      <c r="B118" s="7">
        <v>4042</v>
      </c>
      <c r="C118" s="24" t="s">
        <v>106</v>
      </c>
      <c r="D118" s="24" t="s">
        <v>267</v>
      </c>
      <c r="E118" s="15">
        <v>42651.69458333333</v>
      </c>
      <c r="F118" s="15">
        <v>42651.698379629626</v>
      </c>
      <c r="G118" s="7">
        <v>1</v>
      </c>
      <c r="H118" s="15" t="s">
        <v>223</v>
      </c>
      <c r="I118" s="15">
        <v>42651.72451388889</v>
      </c>
      <c r="J118" s="7">
        <v>1</v>
      </c>
      <c r="K118" s="116" t="str">
        <f t="shared" si="80"/>
        <v>4041/4042</v>
      </c>
      <c r="L118" s="24" t="str">
        <f>VLOOKUP(A118,'Trips&amp;Operators'!$C$1:$E$10000,3,FALSE)</f>
        <v>MOSES</v>
      </c>
      <c r="M118" s="6">
        <f t="shared" si="81"/>
        <v>2.6134259263926651E-2</v>
      </c>
      <c r="N118" s="7">
        <f t="shared" si="82"/>
        <v>37.633333340054378</v>
      </c>
      <c r="O118" s="7"/>
      <c r="P118" s="7"/>
      <c r="Q118" s="25"/>
      <c r="R118" s="25"/>
      <c r="S118" s="37">
        <f t="shared" si="83"/>
        <v>1</v>
      </c>
      <c r="T118" s="52" t="str">
        <f t="shared" si="84"/>
        <v>NorthBound</v>
      </c>
      <c r="U118" s="15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15:40:12-0600',mode:absolute,to:'2016-10-08 18:23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8" s="54" t="str">
        <f t="shared" si="86"/>
        <v>N</v>
      </c>
      <c r="X118" s="163">
        <f t="shared" si="92"/>
        <v>1</v>
      </c>
      <c r="Y118" s="69">
        <f t="shared" si="87"/>
        <v>4.5999999999999999E-2</v>
      </c>
      <c r="Z118" s="69">
        <f t="shared" si="88"/>
        <v>23.3293</v>
      </c>
      <c r="AA118" s="69">
        <f t="shared" si="89"/>
        <v>23.283300000000001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90"/>
        <v>0205-08</v>
      </c>
      <c r="AE118" s="94" t="str">
        <f t="shared" si="76"/>
        <v>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 &amp; aws s3 cp s3://rtdc.mdm.uploadarchive.raw/RTDC4042/ "%USERPROFILE%\AppData\Local\Temp\OnboardLogs"\RTDC4042\2016-10-09 --exclude "*" --recursive --include "*20161009*" &amp; "%USERPROFILE%\Documents\GitHub\mrs-test-scripts\Headless Mode &amp; Sideloading\WalkAndUnGZ.bat" "%USERPROFILE%\AppData\Local\Temp\OnboardLogs"\RTDC4042\2016-10-09</v>
      </c>
      <c r="AF118" s="91" t="str">
        <f t="shared" si="77"/>
        <v>"C:\Program Files (x86)\AstroGrep\AstroGrep.exe" /spath="%USERPROFILE%\AppData\Local\Temp\OnboardLogs" /stypes="app*4042*20161008*" /stext=" 23:.+((SYSTEM_STATE.+slice.+state.+changed )|(ment ac)|(system.+state.+changed )|(\[timeout)|(PRM\|1\|D)|(kpr)|(kdp)|(\|lc)|(penalty))" /e /r /s</v>
      </c>
      <c r="AG118" s="1" t="str">
        <f t="shared" si="91"/>
        <v>EC</v>
      </c>
      <c r="AH118" s="95" t="str">
        <f t="shared" si="78"/>
        <v>"%USERPROFILE%\Documents\GitHub\eaglep3\Utilities\RefineRTDCRunTimes.py" --tripid 205-08 --locoid 4042 --swversion DE.1.0.7.0 --startMP 204:460 --initTime 2016-10-08T16:40:12 --startdatetime 2016-10-08T16:45:40 --delay 1 --endMP 204:233293 --enddatetime 2016-10-08T17:23:18 --enforcementcount 1 &gt;&gt;C:\Users\stu\Documents\GitHub\eaglep3-reporting\EC\2016-10-08-refined-times.txt</v>
      </c>
      <c r="AI118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ID","value":"205-08"},{"id":16,"name":"Locomotive ID","value":"4042"},{"id":130,"name":"Impact","value":""},{"id":150,"name":"Time of Event (Mountain Time)","value":"17:23:18"},{"id":151,"name":"Denver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544</v>
      </c>
      <c r="B119" s="7">
        <v>4041</v>
      </c>
      <c r="C119" s="24" t="s">
        <v>106</v>
      </c>
      <c r="D119" s="24" t="s">
        <v>275</v>
      </c>
      <c r="E119" s="15">
        <v>42651.731620370374</v>
      </c>
      <c r="F119" s="15">
        <v>42651.737071759257</v>
      </c>
      <c r="G119" s="7">
        <v>1</v>
      </c>
      <c r="H119" s="15" t="s">
        <v>688</v>
      </c>
      <c r="I119" s="15">
        <v>42651.76525462963</v>
      </c>
      <c r="J119" s="7">
        <v>1</v>
      </c>
      <c r="K119" s="116" t="str">
        <f t="shared" si="80"/>
        <v>4041/4042</v>
      </c>
      <c r="L119" s="24" t="str">
        <f>VLOOKUP(A119,'Trips&amp;Operators'!$C$1:$E$10000,3,FALSE)</f>
        <v>MOSES</v>
      </c>
      <c r="M119" s="6">
        <f t="shared" si="81"/>
        <v>2.8182870373711921E-2</v>
      </c>
      <c r="N119" s="7">
        <f t="shared" si="82"/>
        <v>40.583333338145167</v>
      </c>
      <c r="O119" s="7"/>
      <c r="P119" s="7"/>
      <c r="Q119" s="25"/>
      <c r="R119" s="25"/>
      <c r="S119" s="37">
        <f t="shared" si="83"/>
        <v>1</v>
      </c>
      <c r="T119" s="52" t="str">
        <f t="shared" si="84"/>
        <v>Southbound</v>
      </c>
      <c r="U119" s="15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16:33:32-0600',mode:absolute,to:'2016-10-08 19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9" s="54" t="str">
        <f t="shared" si="86"/>
        <v>N</v>
      </c>
      <c r="X119" s="163">
        <f t="shared" si="92"/>
        <v>1</v>
      </c>
      <c r="Y119" s="69">
        <f t="shared" si="87"/>
        <v>23.297599999999999</v>
      </c>
      <c r="Z119" s="69">
        <f t="shared" si="88"/>
        <v>2.0899999999999998E-2</v>
      </c>
      <c r="AA119" s="69">
        <f t="shared" si="89"/>
        <v>23.276699999999998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90"/>
        <v>0206-08</v>
      </c>
      <c r="AE119" s="94" t="str">
        <f t="shared" si="76"/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AF119" s="91" t="str">
        <f t="shared" si="77"/>
        <v>"C:\Program Files (x86)\AstroGrep\AstroGrep.exe" /spath="%USERPROFILE%\AppData\Local\Temp\OnboardLogs" /stypes="app*4041*20161009*" /stext=" 00:.+((SYSTEM_STATE.+slice.+state.+changed )|(ment ac)|(system.+state.+changed )|(\[timeout)|(PRM\|1\|D)|(kpr)|(kdp)|(\|lc)|(penalty))" /e /r /s</v>
      </c>
      <c r="AG119" s="1" t="str">
        <f t="shared" si="91"/>
        <v>EC</v>
      </c>
      <c r="AH119" s="95" t="str">
        <f t="shared" si="78"/>
        <v>"%USERPROFILE%\Documents\GitHub\eaglep3\Utilities\RefineRTDCRunTimes.py" --tripid 206-08 --locoid 4041 --swversion DE.1.0.7.0 --startMP 204:232976 --initTime 2016-10-08T17:33:32 --startdatetime 2016-10-08T17:41:23 --delay 1 --endMP 204:209 --enddatetime 2016-10-08T18:21:58 --enforcementcount 1 &gt;&gt;C:\Users\stu\Documents\GitHub\eaglep3-reporting\EC\2016-10-08-refined-times.txt</v>
      </c>
      <c r="AI119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{"issue":{"subject":"","project_id":79,"tracker_id":40,"status_id":1,"priority_id":2,"assigned_to_id":23,"start_date":"2016-10-08","description":"","custom_fields":[{"id":1,"name":"Subdivision","value":"EC"},{"id":4,"name":"Milepost","value":"0.0209"},{"id":17,"name":"Train ID","value":"206-08"},{"id":16,"name":"Locomotive ID","value":"4041"},{"id":130,"name":"Impact","value":""},{"id":150,"name":"Time of Event (Mountain Time)","value":"18:21:58"},{"id":151,"name":"Denver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537</v>
      </c>
      <c r="B120" s="7">
        <v>4025</v>
      </c>
      <c r="C120" s="24" t="s">
        <v>106</v>
      </c>
      <c r="D120" s="24" t="s">
        <v>267</v>
      </c>
      <c r="E120" s="15">
        <v>42651.703888888886</v>
      </c>
      <c r="F120" s="15">
        <v>42651.708518518521</v>
      </c>
      <c r="G120" s="7">
        <v>1</v>
      </c>
      <c r="H120" s="15" t="s">
        <v>681</v>
      </c>
      <c r="I120" s="15">
        <v>42651.734490740739</v>
      </c>
      <c r="J120" s="7">
        <v>1</v>
      </c>
      <c r="K120" s="116" t="str">
        <f t="shared" si="80"/>
        <v>4025/4026</v>
      </c>
      <c r="L120" s="24" t="str">
        <f>VLOOKUP(A120,'Trips&amp;Operators'!$C$1:$E$10000,3,FALSE)</f>
        <v>SHOOK</v>
      </c>
      <c r="M120" s="6">
        <f t="shared" si="81"/>
        <v>2.5972222218115348E-2</v>
      </c>
      <c r="N120" s="7">
        <f t="shared" si="82"/>
        <v>37.399999994086102</v>
      </c>
      <c r="O120" s="7"/>
      <c r="P120" s="7"/>
      <c r="Q120" s="25"/>
      <c r="R120" s="25"/>
      <c r="S120" s="37">
        <f t="shared" si="83"/>
        <v>1</v>
      </c>
      <c r="T120" s="52" t="str">
        <f t="shared" si="84"/>
        <v>NorthBound</v>
      </c>
      <c r="U120" s="15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15:53:36-0600',mode:absolute,to:'2016-10-08 18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0" s="54" t="str">
        <f t="shared" si="86"/>
        <v>N</v>
      </c>
      <c r="X120" s="163">
        <f t="shared" si="92"/>
        <v>1</v>
      </c>
      <c r="Y120" s="69">
        <f t="shared" si="87"/>
        <v>4.5999999999999999E-2</v>
      </c>
      <c r="Z120" s="69">
        <f t="shared" si="88"/>
        <v>23.3353</v>
      </c>
      <c r="AA120" s="69">
        <f t="shared" si="89"/>
        <v>23.289300000000001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90"/>
        <v>0207-08</v>
      </c>
      <c r="AE120" s="94" t="str">
        <f t="shared" si="76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120" s="91" t="str">
        <f t="shared" si="77"/>
        <v>"C:\Program Files (x86)\AstroGrep\AstroGrep.exe" /spath="%USERPROFILE%\AppData\Local\Temp\OnboardLogs" /stypes="app*4025*20161008*" /stext=" 23:.+((SYSTEM_STATE.+slice.+state.+changed )|(ment ac)|(system.+state.+changed )|(\[timeout)|(PRM\|1\|D)|(kpr)|(kdp)|(\|lc)|(penalty))" /e /r /s</v>
      </c>
      <c r="AG120" s="1" t="str">
        <f t="shared" si="91"/>
        <v>EC</v>
      </c>
      <c r="AH120" s="95" t="str">
        <f t="shared" si="78"/>
        <v>"%USERPROFILE%\Documents\GitHub\eaglep3\Utilities\RefineRTDCRunTimes.py" --tripid 207-08 --locoid 4025 --swversion DE.1.0.7.0 --startMP 204:460 --initTime 2016-10-08T16:53:36 --startdatetime 2016-10-08T17:00:16 --delay 1 --endMP 204:233353 --enddatetime 2016-10-08T17:37:40 --enforcementcount 1 &gt;&gt;C:\Users\stu\Documents\GitHub\eaglep3-reporting\EC\2016-10-08-refined-times.txt</v>
      </c>
      <c r="AI120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{"issue":{"subject":"","project_id":79,"tracker_id":40,"status_id":1,"priority_id":2,"assigned_to_id":23,"start_date":"2016-10-08","description":"","custom_fields":[{"id":1,"name":"Subdivision","value":"EC"},{"id":4,"name":"Milepost","value":"23.3353"},{"id":17,"name":"Train ID","value":"207-08"},{"id":16,"name":"Locomotive ID","value":"4025"},{"id":130,"name":"Impact","value":""},{"id":150,"name":"Time of Event (Mountain Time)","value":"17:37:40"},{"id":151,"name":"Denver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549</v>
      </c>
      <c r="B121" s="7">
        <v>4026</v>
      </c>
      <c r="C121" s="24" t="s">
        <v>106</v>
      </c>
      <c r="D121" s="24" t="s">
        <v>335</v>
      </c>
      <c r="E121" s="15">
        <v>42651.742268518516</v>
      </c>
      <c r="F121" s="15">
        <v>42651.747430555559</v>
      </c>
      <c r="G121" s="7">
        <v>1</v>
      </c>
      <c r="H121" s="15" t="s">
        <v>689</v>
      </c>
      <c r="I121" s="15">
        <v>42651.774467592593</v>
      </c>
      <c r="J121" s="7">
        <v>1</v>
      </c>
      <c r="K121" s="116" t="str">
        <f t="shared" si="80"/>
        <v>4025/4026</v>
      </c>
      <c r="L121" s="24" t="str">
        <f>VLOOKUP(A121,'Trips&amp;Operators'!$C$1:$E$10000,3,FALSE)</f>
        <v>SHOOK</v>
      </c>
      <c r="M121" s="6">
        <f t="shared" si="81"/>
        <v>2.7037037034460809E-2</v>
      </c>
      <c r="N121" s="7">
        <f t="shared" si="82"/>
        <v>38.933333329623565</v>
      </c>
      <c r="O121" s="7"/>
      <c r="P121" s="7"/>
      <c r="Q121" s="25"/>
      <c r="R121" s="25"/>
      <c r="S121" s="37">
        <f t="shared" si="83"/>
        <v>1</v>
      </c>
      <c r="T121" s="52" t="str">
        <f t="shared" si="84"/>
        <v>Southbound</v>
      </c>
      <c r="U121" s="15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16:48:52-0600',mode:absolute,to:'2016-10-08 19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1" s="54" t="str">
        <f t="shared" si="86"/>
        <v>N</v>
      </c>
      <c r="X121" s="163">
        <f t="shared" si="92"/>
        <v>1</v>
      </c>
      <c r="Y121" s="69">
        <f t="shared" si="87"/>
        <v>23.302800000000001</v>
      </c>
      <c r="Z121" s="69">
        <f t="shared" si="88"/>
        <v>5.33E-2</v>
      </c>
      <c r="AA121" s="69">
        <f t="shared" si="89"/>
        <v>23.249500000000001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90"/>
        <v>0208-08</v>
      </c>
      <c r="AE121" s="94" t="str">
        <f t="shared" si="76"/>
        <v>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 &amp; 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</v>
      </c>
      <c r="AF121" s="91" t="str">
        <f t="shared" si="77"/>
        <v>"C:\Program Files (x86)\AstroGrep\AstroGrep.exe" /spath="%USERPROFILE%\AppData\Local\Temp\OnboardLogs" /stypes="app*4026*20161009*" /stext=" 00:.+((SYSTEM_STATE.+slice.+state.+changed )|(ment ac)|(system.+state.+changed )|(\[timeout)|(PRM\|1\|D)|(kpr)|(kdp)|(\|lc)|(penalty))" /e /r /s</v>
      </c>
      <c r="AG121" s="1" t="str">
        <f t="shared" si="91"/>
        <v>EC</v>
      </c>
      <c r="AH121" s="95" t="str">
        <f t="shared" si="78"/>
        <v>"%USERPROFILE%\Documents\GitHub\eaglep3\Utilities\RefineRTDCRunTimes.py" --tripid 208-08 --locoid 4026 --swversion DE.1.0.7.0 --startMP 204:233028 --initTime 2016-10-08T17:48:52 --startdatetime 2016-10-08T17:56:18 --delay 1 --endMP 204:533 --enddatetime 2016-10-08T18:35:14 --enforcementcount 1 &gt;&gt;C:\Users\stu\Documents\GitHub\eaglep3-reporting\EC\2016-10-08-refined-times.txt</v>
      </c>
      <c r="AI121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{"issue":{"subject":"","project_id":79,"tracker_id":40,"status_id":1,"priority_id":2,"assigned_to_id":23,"start_date":"2016-10-08","description":"","custom_fields":[{"id":1,"name":"Subdivision","value":"EC"},{"id":4,"name":"Milepost","value":"0.0533"},{"id":17,"name":"Train ID","value":"208-08"},{"id":16,"name":"Locomotive ID","value":"4026"},{"id":130,"name":"Impact","value":""},{"id":150,"name":"Time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539</v>
      </c>
      <c r="B122" s="7">
        <v>4053</v>
      </c>
      <c r="C122" s="24" t="s">
        <v>106</v>
      </c>
      <c r="D122" s="24" t="s">
        <v>199</v>
      </c>
      <c r="E122" s="15">
        <v>42651.714143518519</v>
      </c>
      <c r="F122" s="15">
        <v>42651.719050925924</v>
      </c>
      <c r="G122" s="7">
        <v>1</v>
      </c>
      <c r="H122" s="15" t="s">
        <v>690</v>
      </c>
      <c r="I122" s="15">
        <v>42651.745347222219</v>
      </c>
      <c r="J122" s="7">
        <v>1</v>
      </c>
      <c r="K122" s="116" t="str">
        <f t="shared" si="80"/>
        <v>4053/4054</v>
      </c>
      <c r="L122" s="24" t="str">
        <f>VLOOKUP(A122,'Trips&amp;Operators'!$C$1:$E$10000,3,FALSE)</f>
        <v>SWANSON</v>
      </c>
      <c r="M122" s="6">
        <f t="shared" si="81"/>
        <v>2.6296296295186039E-2</v>
      </c>
      <c r="N122" s="7">
        <f t="shared" si="82"/>
        <v>37.866666665067896</v>
      </c>
      <c r="O122" s="7"/>
      <c r="P122" s="7"/>
      <c r="Q122" s="25"/>
      <c r="R122" s="25"/>
      <c r="S122" s="37">
        <f t="shared" si="83"/>
        <v>1</v>
      </c>
      <c r="T122" s="52" t="str">
        <f t="shared" si="84"/>
        <v>NorthBound</v>
      </c>
      <c r="U122" s="15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16:08:22-0600',mode:absolute,to:'2016-10-08 18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2" s="54" t="str">
        <f t="shared" si="86"/>
        <v>N</v>
      </c>
      <c r="X122" s="163">
        <f t="shared" si="92"/>
        <v>1</v>
      </c>
      <c r="Y122" s="69">
        <f t="shared" si="87"/>
        <v>4.5499999999999999E-2</v>
      </c>
      <c r="Z122" s="69">
        <f t="shared" si="88"/>
        <v>23.332699999999999</v>
      </c>
      <c r="AA122" s="69">
        <f t="shared" si="89"/>
        <v>23.287199999999999</v>
      </c>
      <c r="AB122" s="66" t="str">
        <f>VLOOKUP(A122,Enforcements!$C$7:$K$21,8,0)</f>
        <v>Signal based authority (5)</v>
      </c>
      <c r="AC122" s="62" t="str">
        <f>VLOOKUP(A122,Enforcements!$C$7:$E$21,3,0)</f>
        <v>SIGNAL</v>
      </c>
      <c r="AD122" s="63" t="str">
        <f t="shared" si="90"/>
        <v>0209-08</v>
      </c>
      <c r="AE122" s="94" t="str">
        <f t="shared" si="76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22" s="91" t="str">
        <f t="shared" si="77"/>
        <v>"C:\Program Files (x86)\AstroGrep\AstroGrep.exe" /spath="%USERPROFILE%\AppData\Local\Temp\OnboardLogs" /stypes="app*4053*20161008*" /stext=" 23:.+((SYSTEM_STATE.+slice.+state.+changed )|(ment ac)|(system.+state.+changed )|(\[timeout)|(PRM\|1\|D)|(kpr)|(kdp)|(\|lc)|(penalty))" /e /r /s</v>
      </c>
      <c r="AG122" s="1" t="str">
        <f t="shared" si="91"/>
        <v>EC</v>
      </c>
      <c r="AH122" s="95" t="str">
        <f t="shared" si="78"/>
        <v>"%USERPROFILE%\Documents\GitHub\eaglep3\Utilities\RefineRTDCRunTimes.py" --tripid 209-08 --locoid 4053 --swversion DE.1.0.7.0 --startMP 204:455 --initTime 2016-10-08T17:08:22 --startdatetime 2016-10-08T17:15:26 --delay 1 --endMP 204:233327 --enddatetime 2016-10-08T17:53:18 --enforcementcount 1 &gt;&gt;C:\Users\stu\Documents\GitHub\eaglep3-reporting\EC\2016-10-08-refined-times.txt</v>
      </c>
      <c r="AI122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{"issue":{"subject":"","project_id":79,"tracker_id":40,"status_id":1,"priority_id":2,"assigned_to_id":23,"start_date":"2016-10-08","description":"","custom_fields":[{"id":1,"name":"Subdivision","value":"EC"},{"id":4,"name":"Milepost","value":"23.3327"},{"id":17,"name":"Train ID","value":"209-08"},{"id":16,"name":"Locomotive ID","value":"4053"},{"id":130,"name":"Impact","value":""},{"id":150,"name":"Time of Event (Mountain Time)","value":"17:53:18"},{"id":151,"name":"Denver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551</v>
      </c>
      <c r="B123" s="7">
        <v>4054</v>
      </c>
      <c r="C123" s="24" t="s">
        <v>106</v>
      </c>
      <c r="D123" s="24" t="s">
        <v>324</v>
      </c>
      <c r="E123" s="15">
        <v>42651.747349537036</v>
      </c>
      <c r="F123" s="15">
        <v>42651.758020833331</v>
      </c>
      <c r="G123" s="7">
        <v>1</v>
      </c>
      <c r="H123" s="15" t="s">
        <v>233</v>
      </c>
      <c r="I123" s="15">
        <v>42651.784745370373</v>
      </c>
      <c r="J123" s="7">
        <v>1</v>
      </c>
      <c r="K123" s="116" t="str">
        <f t="shared" si="80"/>
        <v>4053/4054</v>
      </c>
      <c r="L123" s="24" t="str">
        <f>VLOOKUP(A123,'Trips&amp;Operators'!$C$1:$E$10000,3,FALSE)</f>
        <v>SWANSON</v>
      </c>
      <c r="M123" s="6">
        <f t="shared" si="81"/>
        <v>2.6724537041445728E-2</v>
      </c>
      <c r="N123" s="7">
        <f t="shared" si="82"/>
        <v>38.483333339681849</v>
      </c>
      <c r="O123" s="7"/>
      <c r="P123" s="7"/>
      <c r="Q123" s="25"/>
      <c r="R123" s="25"/>
      <c r="S123" s="37">
        <f t="shared" si="83"/>
        <v>1</v>
      </c>
      <c r="T123" s="52" t="str">
        <f t="shared" si="84"/>
        <v>Southbound</v>
      </c>
      <c r="U123" s="15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16:56:11-0600',mode:absolute,to:'2016-10-08 19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3" s="54" t="str">
        <f t="shared" si="86"/>
        <v>N</v>
      </c>
      <c r="X123" s="163">
        <f t="shared" si="92"/>
        <v>1</v>
      </c>
      <c r="Y123" s="69">
        <f t="shared" si="87"/>
        <v>23.3017</v>
      </c>
      <c r="Z123" s="69">
        <f t="shared" si="88"/>
        <v>1.6500000000000001E-2</v>
      </c>
      <c r="AA123" s="69">
        <f t="shared" si="89"/>
        <v>23.2852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90"/>
        <v>0210-08</v>
      </c>
      <c r="AE123" s="94" t="str">
        <f t="shared" si="76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23" s="91" t="str">
        <f t="shared" si="77"/>
        <v>"C:\Program Files (x86)\AstroGrep\AstroGrep.exe" /spath="%USERPROFILE%\AppData\Local\Temp\OnboardLogs" /stypes="app*4054*20161009*" /stext=" 00:.+((SYSTEM_STATE.+slice.+state.+changed )|(ment ac)|(system.+state.+changed )|(\[timeout)|(PRM\|1\|D)|(kpr)|(kdp)|(\|lc)|(penalty))" /e /r /s</v>
      </c>
      <c r="AG123" s="1" t="str">
        <f t="shared" si="91"/>
        <v>EC</v>
      </c>
      <c r="AH123" s="95" t="str">
        <f t="shared" si="78"/>
        <v>"%USERPROFILE%\Documents\GitHub\eaglep3\Utilities\RefineRTDCRunTimes.py" --tripid 210-08 --locoid 4054 --swversion DE.1.0.7.0 --startMP 204:233017 --initTime 2016-10-08T17:56:11 --startdatetime 2016-10-08T18:11:33 --delay 1 --endMP 204:165 --enddatetime 2016-10-08T18:50:02 --enforcementcount 1 &gt;&gt;C:\Users\stu\Documents\GitHub\eaglep3-reporting\EC\2016-10-08-refined-times.txt</v>
      </c>
      <c r="AI12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{"issue":{"subject":"","project_id":79,"tracker_id":40,"status_id":1,"priority_id":2,"assigned_to_id":23,"start_date":"2016-10-08","description":"","custom_fields":[{"id":1,"name":"Subdivision","value":"EC"},{"id":4,"name":"Milepost","value":"0.0165"},{"id":17,"name":"Train ID","value":"210-08"},{"id":16,"name":"Locomotive ID","value":"4054"},{"id":130,"name":"Impact","value":""},{"id":150,"name":"Time of Event (Mountain Time)","value":"18:50:02"},{"id":151,"name":"Denver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543</v>
      </c>
      <c r="B124" s="7">
        <v>4027</v>
      </c>
      <c r="C124" s="24" t="s">
        <v>106</v>
      </c>
      <c r="D124" s="24" t="s">
        <v>230</v>
      </c>
      <c r="E124" s="15">
        <v>42651.730196759258</v>
      </c>
      <c r="F124" s="15">
        <v>42651.732789351852</v>
      </c>
      <c r="G124" s="7">
        <v>1</v>
      </c>
      <c r="H124" s="15" t="s">
        <v>207</v>
      </c>
      <c r="I124" s="15">
        <v>42651.76222222222</v>
      </c>
      <c r="J124" s="7">
        <v>1</v>
      </c>
      <c r="K124" s="116" t="str">
        <f t="shared" si="80"/>
        <v>4027/4028</v>
      </c>
      <c r="L124" s="24" t="str">
        <f>VLOOKUP(A124,'Trips&amp;Operators'!$C$1:$E$10000,3,FALSE)</f>
        <v>HOMIK</v>
      </c>
      <c r="M124" s="6">
        <f t="shared" si="81"/>
        <v>2.9432870367600117E-2</v>
      </c>
      <c r="N124" s="7">
        <f t="shared" si="82"/>
        <v>42.383333329344168</v>
      </c>
      <c r="O124" s="7"/>
      <c r="P124" s="7"/>
      <c r="Q124" s="25"/>
      <c r="R124" s="25"/>
      <c r="S124" s="37">
        <f t="shared" si="83"/>
        <v>1</v>
      </c>
      <c r="T124" s="52" t="str">
        <f t="shared" si="84"/>
        <v>NorthBound</v>
      </c>
      <c r="U124" s="15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16:31:29-0600',mode:absolute,to:'2016-10-08 19:17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4" s="54" t="str">
        <f t="shared" si="86"/>
        <v>N</v>
      </c>
      <c r="X124" s="163">
        <f t="shared" si="92"/>
        <v>1</v>
      </c>
      <c r="Y124" s="69">
        <f t="shared" si="87"/>
        <v>4.4900000000000002E-2</v>
      </c>
      <c r="Z124" s="69">
        <f t="shared" si="88"/>
        <v>23.331399999999999</v>
      </c>
      <c r="AA124" s="69">
        <f t="shared" si="89"/>
        <v>23.2865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90"/>
        <v>0211-08</v>
      </c>
      <c r="AE124" s="94" t="str">
        <f t="shared" si="76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124" s="91" t="str">
        <f t="shared" si="77"/>
        <v>"C:\Program Files (x86)\AstroGrep\AstroGrep.exe" /spath="%USERPROFILE%\AppData\Local\Temp\OnboardLogs" /stypes="app*4027*20161009*" /stext=" 00:.+((SYSTEM_STATE.+slice.+state.+changed )|(ment ac)|(system.+state.+changed )|(\[timeout)|(PRM\|1\|D)|(kpr)|(kdp)|(\|lc)|(penalty))" /e /r /s</v>
      </c>
      <c r="AG124" s="1" t="str">
        <f t="shared" si="91"/>
        <v>EC</v>
      </c>
      <c r="AH124" s="95" t="str">
        <f t="shared" si="78"/>
        <v>"%USERPROFILE%\Documents\GitHub\eaglep3\Utilities\RefineRTDCRunTimes.py" --tripid 211-08 --locoid 4027 --swversion DE.1.0.7.0 --startMP 204:449 --initTime 2016-10-08T17:31:29 --startdatetime 2016-10-08T17:35:13 --delay 1 --endMP 204:233314 --enddatetime 2016-10-08T18:17:36 --enforcementcount 1 &gt;&gt;C:\Users\stu\Documents\GitHub\eaglep3-reporting\EC\2016-10-08-refined-times.txt</v>
      </c>
      <c r="AI124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{"issue":{"subject":"","project_id":79,"tracker_id":40,"status_id":1,"priority_id":2,"assigned_to_id":23,"start_date":"2016-10-08","description":"","custom_fields":[{"id":1,"name":"Subdivision","value":"EC"},{"id":4,"name":"Milepost","value":"23.3314"},{"id":17,"name":"Train ID","value":"211-08"},{"id":16,"name":"Locomotive ID","value":"4027"},{"id":130,"name":"Impact","value":""},{"id":150,"name":"Time of Event (Mountain Time)","value":"18:17:36"},{"id":151,"name":"Denver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556</v>
      </c>
      <c r="B125" s="7">
        <v>4028</v>
      </c>
      <c r="C125" s="24" t="s">
        <v>106</v>
      </c>
      <c r="D125" s="24" t="s">
        <v>281</v>
      </c>
      <c r="E125" s="15">
        <v>42651.764444444445</v>
      </c>
      <c r="F125" s="15">
        <v>42651.768263888887</v>
      </c>
      <c r="G125" s="7">
        <v>1</v>
      </c>
      <c r="H125" s="15" t="s">
        <v>126</v>
      </c>
      <c r="I125" s="15">
        <v>42651.797094907408</v>
      </c>
      <c r="J125" s="7">
        <v>1</v>
      </c>
      <c r="K125" s="116" t="str">
        <f t="shared" si="80"/>
        <v>4027/4028</v>
      </c>
      <c r="L125" s="24" t="str">
        <f>VLOOKUP(A125,'Trips&amp;Operators'!$C$1:$E$10000,3,FALSE)</f>
        <v>CLARK</v>
      </c>
      <c r="M125" s="6">
        <f t="shared" si="81"/>
        <v>2.8831018520577345E-2</v>
      </c>
      <c r="N125" s="7">
        <f t="shared" si="82"/>
        <v>41.516666669631377</v>
      </c>
      <c r="O125" s="7"/>
      <c r="P125" s="7"/>
      <c r="Q125" s="25"/>
      <c r="R125" s="25"/>
      <c r="S125" s="37">
        <f t="shared" si="83"/>
        <v>1</v>
      </c>
      <c r="T125" s="52" t="str">
        <f t="shared" si="84"/>
        <v>Southbound</v>
      </c>
      <c r="U125" s="15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17:20:48-0600',mode:absolute,to:'2016-10-08 20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5" s="54" t="str">
        <f t="shared" si="86"/>
        <v>N</v>
      </c>
      <c r="X125" s="163">
        <f t="shared" si="92"/>
        <v>1</v>
      </c>
      <c r="Y125" s="69">
        <f t="shared" si="87"/>
        <v>23.3</v>
      </c>
      <c r="Z125" s="69">
        <f t="shared" si="88"/>
        <v>1.54E-2</v>
      </c>
      <c r="AA125" s="69">
        <f t="shared" si="89"/>
        <v>23.284600000000001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90"/>
        <v>0212-08</v>
      </c>
      <c r="AE125" s="94" t="str">
        <f t="shared" si="76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125" s="91" t="str">
        <f t="shared" si="77"/>
        <v>"C:\Program Files (x86)\AstroGrep\AstroGrep.exe" /spath="%USERPROFILE%\AppData\Local\Temp\OnboardLogs" /stypes="app*4028*20161009*" /stext=" 01:.+((SYSTEM_STATE.+slice.+state.+changed )|(ment ac)|(system.+state.+changed )|(\[timeout)|(PRM\|1\|D)|(kpr)|(kdp)|(\|lc)|(penalty))" /e /r /s</v>
      </c>
      <c r="AG125" s="1" t="str">
        <f t="shared" si="91"/>
        <v>EC</v>
      </c>
      <c r="AH125" s="95" t="str">
        <f t="shared" si="78"/>
        <v>"%USERPROFILE%\Documents\GitHub\eaglep3\Utilities\RefineRTDCRunTimes.py" --tripid 212-08 --locoid 4028 --swversion DE.1.0.7.0 --startMP 204:233000 --initTime 2016-10-08T18:20:48 --startdatetime 2016-10-08T18:26:18 --delay 1 --endMP 204:154 --enddatetime 2016-10-08T19:07:49 --enforcementcount 1 &gt;&gt;C:\Users\stu\Documents\GitHub\eaglep3-reporting\EC\2016-10-08-refined-times.txt</v>
      </c>
      <c r="AI125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{"issue":{"subject":"","project_id":79,"tracker_id":40,"status_id":1,"priority_id":2,"assigned_to_id":23,"start_date":"2016-10-08","description":"","custom_fields":[{"id":1,"name":"Subdivision","value":"EC"},{"id":4,"name":"Milepost","value":"0.0154"},{"id":17,"name":"Train ID","value":"212-08"},{"id":16,"name":"Locomotive ID","value":"4028"},{"id":130,"name":"Impact","value":""},{"id":150,"name":"Time of Event (Mountain Time)","value":"19:07:49"},{"id":151,"name":"Denver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546</v>
      </c>
      <c r="B126" s="7">
        <v>4038</v>
      </c>
      <c r="C126" s="24" t="s">
        <v>106</v>
      </c>
      <c r="D126" s="24" t="s">
        <v>196</v>
      </c>
      <c r="E126" s="15">
        <v>42651.735474537039</v>
      </c>
      <c r="F126" s="15">
        <v>42651.739756944444</v>
      </c>
      <c r="G126" s="7">
        <v>1</v>
      </c>
      <c r="H126" s="15" t="s">
        <v>637</v>
      </c>
      <c r="I126" s="15">
        <v>42651.764143518521</v>
      </c>
      <c r="J126" s="7">
        <v>1</v>
      </c>
      <c r="K126" s="116" t="str">
        <f t="shared" si="80"/>
        <v>4037/4038</v>
      </c>
      <c r="L126" s="24" t="str">
        <f>VLOOKUP(A126,'Trips&amp;Operators'!$C$1:$E$10000,3,FALSE)</f>
        <v>NEWELL</v>
      </c>
      <c r="M126" s="6">
        <f t="shared" si="81"/>
        <v>2.4386574077652767E-2</v>
      </c>
      <c r="N126" s="7">
        <f t="shared" si="82"/>
        <v>35.116666671819985</v>
      </c>
      <c r="O126" s="7"/>
      <c r="P126" s="7"/>
      <c r="Q126" s="25"/>
      <c r="R126" s="25"/>
      <c r="S126" s="37">
        <f t="shared" si="83"/>
        <v>1</v>
      </c>
      <c r="T126" s="52" t="str">
        <f t="shared" si="84"/>
        <v>NorthBound</v>
      </c>
      <c r="U126" s="15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16:39:05-0600',mode:absolute,to:'2016-10-08 19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6" s="54" t="str">
        <f t="shared" si="86"/>
        <v>N</v>
      </c>
      <c r="X126" s="163">
        <f t="shared" si="92"/>
        <v>1</v>
      </c>
      <c r="Y126" s="69">
        <f t="shared" si="87"/>
        <v>4.5699999999999998E-2</v>
      </c>
      <c r="Z126" s="69">
        <f t="shared" si="88"/>
        <v>23.331700000000001</v>
      </c>
      <c r="AA126" s="69">
        <f t="shared" si="89"/>
        <v>23.286000000000001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90"/>
        <v>0213-08</v>
      </c>
      <c r="AE126" s="94" t="str">
        <f t="shared" si="76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26" s="91" t="str">
        <f t="shared" si="77"/>
        <v>"C:\Program Files (x86)\AstroGrep\AstroGrep.exe" /spath="%USERPROFILE%\AppData\Local\Temp\OnboardLogs" /stypes="app*4038*20161009*" /stext=" 00:.+((SYSTEM_STATE.+slice.+state.+changed )|(ment ac)|(system.+state.+changed )|(\[timeout)|(PRM\|1\|D)|(kpr)|(kdp)|(\|lc)|(penalty))" /e /r /s</v>
      </c>
      <c r="AG126" s="1" t="str">
        <f t="shared" si="91"/>
        <v>EC</v>
      </c>
      <c r="AH126" s="95" t="str">
        <f t="shared" si="78"/>
        <v>"%USERPROFILE%\Documents\GitHub\eaglep3\Utilities\RefineRTDCRunTimes.py" --tripid 213-08 --locoid 4038 --swversion DE.1.0.7.0 --startMP 204:457 --initTime 2016-10-08T17:39:05 --startdatetime 2016-10-08T17:45:15 --delay 1 --endMP 204:233317 --enddatetime 2016-10-08T18:20:22 --enforcementcount 1 &gt;&gt;C:\Users\stu\Documents\GitHub\eaglep3-reporting\EC\2016-10-08-refined-times.txt</v>
      </c>
      <c r="AI126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{"issue":{"subject":"","project_id":79,"tracker_id":40,"status_id":1,"priority_id":2,"assigned_to_id":23,"start_date":"2016-10-08","description":"","custom_fields":[{"id":1,"name":"Subdivision","value":"EC"},{"id":4,"name":"Milepost","value":"23.3317"},{"id":17,"name":"Train ID","value":"213-08"},{"id":16,"name":"Locomotive ID","value":"4038"},{"id":130,"name":"Impact","value":""},{"id":150,"name":"Time of Event (Mountain Time)","value":"18:20:22"},{"id":151,"name":"Denver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557</v>
      </c>
      <c r="B127" s="7">
        <v>4037</v>
      </c>
      <c r="C127" s="24" t="s">
        <v>106</v>
      </c>
      <c r="D127" s="24" t="s">
        <v>279</v>
      </c>
      <c r="E127" s="15">
        <v>42651.767696759256</v>
      </c>
      <c r="F127" s="15">
        <v>42651.778634259259</v>
      </c>
      <c r="G127" s="7">
        <v>1</v>
      </c>
      <c r="H127" s="15" t="s">
        <v>193</v>
      </c>
      <c r="I127" s="15">
        <v>42651.80537037037</v>
      </c>
      <c r="J127" s="7">
        <v>1</v>
      </c>
      <c r="K127" s="116" t="str">
        <f t="shared" si="80"/>
        <v>4037/4038</v>
      </c>
      <c r="L127" s="24" t="str">
        <f>VLOOKUP(A127,'Trips&amp;Operators'!$C$1:$E$10000,3,FALSE)</f>
        <v>NEWELL</v>
      </c>
      <c r="M127" s="6">
        <f t="shared" si="81"/>
        <v>2.6736111110949423E-2</v>
      </c>
      <c r="N127" s="7">
        <f t="shared" si="82"/>
        <v>38.499999999767169</v>
      </c>
      <c r="O127" s="7"/>
      <c r="P127" s="7"/>
      <c r="Q127" s="25"/>
      <c r="R127" s="25"/>
      <c r="S127" s="37">
        <f t="shared" si="83"/>
        <v>1</v>
      </c>
      <c r="T127" s="52" t="str">
        <f t="shared" si="84"/>
        <v>Southbound</v>
      </c>
      <c r="U127" s="15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17:25:29-0600',mode:absolute,to:'2016-10-08 20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7" s="54" t="str">
        <f t="shared" si="86"/>
        <v>N</v>
      </c>
      <c r="X127" s="163">
        <f t="shared" si="92"/>
        <v>1</v>
      </c>
      <c r="Y127" s="69">
        <f t="shared" si="87"/>
        <v>23.2989</v>
      </c>
      <c r="Z127" s="69">
        <f t="shared" si="88"/>
        <v>1.4999999999999999E-2</v>
      </c>
      <c r="AA127" s="69">
        <f t="shared" si="89"/>
        <v>23.283899999999999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90"/>
        <v>0214-08</v>
      </c>
      <c r="AE127" s="94" t="str">
        <f t="shared" si="76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127" s="91" t="str">
        <f t="shared" si="77"/>
        <v>"C:\Program Files (x86)\AstroGrep\AstroGrep.exe" /spath="%USERPROFILE%\AppData\Local\Temp\OnboardLogs" /stypes="app*4037*20161009*" /stext=" 01:.+((SYSTEM_STATE.+slice.+state.+changed )|(ment ac)|(system.+state.+changed )|(\[timeout)|(PRM\|1\|D)|(kpr)|(kdp)|(\|lc)|(penalty))" /e /r /s</v>
      </c>
      <c r="AG127" s="1" t="str">
        <f t="shared" si="91"/>
        <v>EC</v>
      </c>
      <c r="AH127" s="95" t="str">
        <f t="shared" si="78"/>
        <v>"%USERPROFILE%\Documents\GitHub\eaglep3\Utilities\RefineRTDCRunTimes.py" --tripid 214-08 --locoid 4037 --swversion DE.1.0.7.0 --startMP 204:232989 --initTime 2016-10-08T18:25:29 --startdatetime 2016-10-08T18:41:14 --delay 1 --endMP 204:150 --enddatetime 2016-10-08T19:19:44 --enforcementcount 1 &gt;&gt;C:\Users\stu\Documents\GitHub\eaglep3-reporting\EC\2016-10-08-refined-times.txt</v>
      </c>
      <c r="AI127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{"issue":{"subject":"","project_id":79,"tracker_id":40,"status_id":1,"priority_id":2,"assigned_to_id":23,"start_date":"2016-10-08","description":"","custom_fields":[{"id":1,"name":"Subdivision","value":"EC"},{"id":4,"name":"Milepost","value":"0.015"},{"id":17,"name":"Train ID","value":"214-08"},{"id":16,"name":"Locomotive ID","value":"4037"},{"id":130,"name":"Impact","value":""},{"id":150,"name":"Time of Event (Mountain Time)","value":"19:19:44"},{"id":151,"name":"Denver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550</v>
      </c>
      <c r="B128" s="7">
        <v>4014</v>
      </c>
      <c r="C128" s="24" t="s">
        <v>106</v>
      </c>
      <c r="D128" s="24" t="s">
        <v>241</v>
      </c>
      <c r="E128" s="15">
        <v>42651.746469907404</v>
      </c>
      <c r="F128" s="15">
        <v>42651.750208333331</v>
      </c>
      <c r="G128" s="7">
        <v>2</v>
      </c>
      <c r="H128" s="15" t="s">
        <v>251</v>
      </c>
      <c r="I128" s="15">
        <v>42651.775925925926</v>
      </c>
      <c r="J128" s="7">
        <v>1</v>
      </c>
      <c r="K128" s="116" t="str">
        <f t="shared" si="80"/>
        <v>4013/4014</v>
      </c>
      <c r="L128" s="24" t="str">
        <f>VLOOKUP(A128,'Trips&amp;Operators'!$C$1:$E$10000,3,FALSE)</f>
        <v>OUN</v>
      </c>
      <c r="M128" s="6">
        <f t="shared" si="81"/>
        <v>2.5717592594446614E-2</v>
      </c>
      <c r="N128" s="7">
        <f t="shared" si="82"/>
        <v>37.033333336003125</v>
      </c>
      <c r="O128" s="7"/>
      <c r="P128" s="7"/>
      <c r="Q128" s="25"/>
      <c r="R128" s="25"/>
      <c r="S128" s="37">
        <f t="shared" si="83"/>
        <v>1</v>
      </c>
      <c r="T128" s="52" t="str">
        <f t="shared" si="84"/>
        <v>NorthBound</v>
      </c>
      <c r="U128" s="15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16:54:55-0600',mode:absolute,to:'2016-10-08 19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8" s="54" t="str">
        <f t="shared" si="86"/>
        <v>N</v>
      </c>
      <c r="X128" s="163">
        <f t="shared" si="92"/>
        <v>1</v>
      </c>
      <c r="Y128" s="69">
        <f t="shared" si="87"/>
        <v>4.6699999999999998E-2</v>
      </c>
      <c r="Z128" s="69">
        <f t="shared" si="88"/>
        <v>23.329899999999999</v>
      </c>
      <c r="AA128" s="69">
        <f t="shared" si="89"/>
        <v>23.283199999999997</v>
      </c>
      <c r="AB128" s="66" t="str">
        <f>VLOOKUP(A128,Enforcements!$C$7:$K$21,8,0)</f>
        <v>Speed (6)</v>
      </c>
      <c r="AC128" s="62" t="str">
        <f>VLOOKUP(A128,Enforcements!$C$7:$E$21,3,0)</f>
        <v>PERMANENT SPEED RESTRICTION</v>
      </c>
      <c r="AD128" s="63" t="str">
        <f t="shared" si="90"/>
        <v>0215-08</v>
      </c>
      <c r="AE128" s="94" t="str">
        <f t="shared" si="76"/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AF128" s="91" t="str">
        <f t="shared" si="77"/>
        <v>"C:\Program Files (x86)\AstroGrep\AstroGrep.exe" /spath="%USERPROFILE%\AppData\Local\Temp\OnboardLogs" /stypes="app*4014*20161009*" /stext=" 00:.+((SYSTEM_STATE.+slice.+state.+changed )|(ment ac)|(system.+state.+changed )|(\[timeout)|(PRM\|1\|D)|(kpr)|(kdp)|(\|lc)|(penalty))" /e /r /s</v>
      </c>
      <c r="AG128" s="1" t="str">
        <f t="shared" si="91"/>
        <v>EC</v>
      </c>
      <c r="AH128" s="95" t="str">
        <f t="shared" si="78"/>
        <v>"%USERPROFILE%\Documents\GitHub\eaglep3\Utilities\RefineRTDCRunTimes.py" --tripid 215-08 --locoid 4014 --swversion DE.1.0.7.0 --startMP 204:467 --initTime 2016-10-08T17:54:55 --startdatetime 2016-10-08T18:00:18 --delay 2 --endMP 204:233299 --enddatetime 2016-10-08T18:37:20 --enforcementcount 1 &gt;&gt;C:\Users\stu\Documents\GitHub\eaglep3-reporting\EC\2016-10-08-refined-times.txt</v>
      </c>
      <c r="AI128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{"issue":{"subject":"","project_id":79,"tracker_id":40,"status_id":1,"priority_id":2,"assigned_to_id":23,"start_date":"2016-10-08","description":"","custom_fields":[{"id":1,"name":"Subdivision","value":"EC"},{"id":4,"name":"Milepost","value":"23.3299"},{"id":17,"name":"Train ID","value":"215-08"},{"id":16,"name":"Locomotive ID","value":"4014"},{"id":130,"name":"Impact","value":""},{"id":150,"name":"Time of Event (Mountain Time)","value":"18:37:20"},{"id":151,"name":"Denver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561</v>
      </c>
      <c r="B129" s="7">
        <v>4013</v>
      </c>
      <c r="C129" s="24" t="s">
        <v>106</v>
      </c>
      <c r="D129" s="24" t="s">
        <v>691</v>
      </c>
      <c r="E129" s="15">
        <v>42651.783738425926</v>
      </c>
      <c r="F129" s="15">
        <v>42651.789212962962</v>
      </c>
      <c r="G129" s="7">
        <v>1</v>
      </c>
      <c r="H129" s="15" t="s">
        <v>188</v>
      </c>
      <c r="I129" s="15">
        <v>42651.815972222219</v>
      </c>
      <c r="J129" s="7">
        <v>1</v>
      </c>
      <c r="K129" s="116" t="str">
        <f t="shared" si="80"/>
        <v>4013/4014</v>
      </c>
      <c r="L129" s="24" t="str">
        <f>VLOOKUP(A129,'Trips&amp;Operators'!$C$1:$E$10000,3,FALSE)</f>
        <v>OUN</v>
      </c>
      <c r="M129" s="6">
        <f t="shared" si="81"/>
        <v>2.675925925723277E-2</v>
      </c>
      <c r="N129" s="7">
        <f t="shared" si="82"/>
        <v>38.533333330415189</v>
      </c>
      <c r="O129" s="7"/>
      <c r="P129" s="7"/>
      <c r="Q129" s="25"/>
      <c r="R129" s="25"/>
      <c r="S129" s="37">
        <f t="shared" si="83"/>
        <v>1</v>
      </c>
      <c r="T129" s="52" t="str">
        <f t="shared" si="84"/>
        <v>Southbound</v>
      </c>
      <c r="U129" s="15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1" t="str">
        <f t="shared" si="85"/>
        <v>https://search-rtdc-monitor-bjffxe2xuh6vdkpspy63sjmuny.us-east-1.es.amazonaws.com/_plugin/kibana/#/discover/Steve-Slow-Train-Analysis-(2080s-and-2083s)?_g=(refreshInterval:(display:Off,section:0,value:0),time:(from:'2016-10-08 17:48:35-0600',mode:absolute,to:'2016-10-08 20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9" s="54" t="str">
        <f t="shared" si="86"/>
        <v>N</v>
      </c>
      <c r="X129" s="163">
        <f t="shared" si="92"/>
        <v>1</v>
      </c>
      <c r="Y129" s="69">
        <f t="shared" si="87"/>
        <v>23.299199999999999</v>
      </c>
      <c r="Z129" s="69">
        <f t="shared" si="88"/>
        <v>1.49E-2</v>
      </c>
      <c r="AA129" s="69">
        <f t="shared" si="89"/>
        <v>23.284299999999998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90"/>
        <v>0216-08</v>
      </c>
      <c r="AE129" s="94" t="str">
        <f t="shared" si="76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129" s="91" t="str">
        <f t="shared" si="77"/>
        <v>"C:\Program Files (x86)\AstroGrep\AstroGrep.exe" /spath="%USERPROFILE%\AppData\Local\Temp\OnboardLogs" /stypes="app*4013*20161009*" /stext=" 01:.+((SYSTEM_STATE.+slice.+state.+changed )|(ment ac)|(system.+state.+changed )|(\[timeout)|(PRM\|1\|D)|(kpr)|(kdp)|(\|lc)|(penalty))" /e /r /s</v>
      </c>
      <c r="AG129" s="1" t="str">
        <f t="shared" si="91"/>
        <v>EC</v>
      </c>
      <c r="AH129" s="95" t="str">
        <f t="shared" si="78"/>
        <v>"%USERPROFILE%\Documents\GitHub\eaglep3\Utilities\RefineRTDCRunTimes.py" --tripid 216-08 --locoid 4013 --swversion DE.1.0.7.0 --startMP 204:232992 --initTime 2016-10-08T18:48:35 --startdatetime 2016-10-08T18:56:28 --delay 1 --endMP 204:149 --enddatetime 2016-10-08T19:35:00 --enforcementcount 1 &gt;&gt;C:\Users\stu\Documents\GitHub\eaglep3-reporting\EC\2016-10-08-refined-times.txt</v>
      </c>
      <c r="AI129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{"issue":{"subject":"","project_id":79,"tracker_id":40,"status_id":1,"priority_id":2,"assigned_to_id":23,"start_date":"2016-10-08","description":"","custom_fields":[{"id":1,"name":"Subdivision","value":"EC"},{"id":4,"name":"Milepost","value":"0.0149"},{"id":17,"name":"Train ID","value":"216-08"},{"id":16,"name":"Locomotive ID","value":"4013"},{"id":130,"name":"Impact","value":""},{"id":150,"name":"Time of Event (Mountain Time)","value":"19:35:00"},{"id":151,"name":"Denver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555</v>
      </c>
      <c r="B130" s="7">
        <v>4044</v>
      </c>
      <c r="C130" s="24" t="s">
        <v>106</v>
      </c>
      <c r="D130" s="24" t="s">
        <v>692</v>
      </c>
      <c r="E130" s="15">
        <v>42651.759305555555</v>
      </c>
      <c r="F130" s="15">
        <v>42651.761064814818</v>
      </c>
      <c r="G130" s="7">
        <v>1</v>
      </c>
      <c r="H130" s="15" t="s">
        <v>240</v>
      </c>
      <c r="I130" s="15">
        <v>42651.786481481482</v>
      </c>
      <c r="J130" s="7">
        <v>1</v>
      </c>
      <c r="K130" s="116" t="str">
        <f t="shared" ref="K130:K161" si="93">IF(ISEVEN(B130),(B130-1)&amp;"/"&amp;B130,B130&amp;"/"&amp;(B130+1))</f>
        <v>4043/4044</v>
      </c>
      <c r="L130" s="24" t="str">
        <f>VLOOKUP(A130,'Trips&amp;Operators'!$C$1:$E$10000,3,FALSE)</f>
        <v>CHANDLER</v>
      </c>
      <c r="M130" s="6">
        <f t="shared" ref="M130:M161" si="94">I130-F130</f>
        <v>2.5416666663659271E-2</v>
      </c>
      <c r="N130" s="7">
        <f t="shared" si="82"/>
        <v>36.59999999566935</v>
      </c>
      <c r="O130" s="7"/>
      <c r="P130" s="7"/>
      <c r="Q130" s="25"/>
      <c r="R130" s="25"/>
      <c r="S130" s="37">
        <f t="shared" si="83"/>
        <v>1</v>
      </c>
      <c r="T130" s="52" t="str">
        <f t="shared" ref="T130:T161" si="95">IF(ISEVEN(LEFT(AD130,4)),"Southbound","NorthBound")</f>
        <v>NorthBound</v>
      </c>
      <c r="U130" s="15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1" t="str">
        <f t="shared" ref="V130:V161" si="96"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https://search-rtdc-monitor-bjffxe2xuh6vdkpspy63sjmuny.us-east-1.es.amazonaws.com/_plugin/kibana/#/discover/Steve-Slow-Train-Analysis-(2080s-and-2083s)?_g=(refreshInterval:(display:Off,section:0,value:0),time:(from:'2016-10-08 17:13:24-0600',mode:absolute,to:'2016-10-08 19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0" s="54" t="str">
        <f t="shared" ref="W130:W161" si="97">IF(AA130&lt;IF(AG130="EC",23,5.65),"Y","N")</f>
        <v>N</v>
      </c>
      <c r="X130" s="163">
        <f t="shared" si="92"/>
        <v>1</v>
      </c>
      <c r="Y130" s="69">
        <f t="shared" ref="Y130:Y140" si="98">RIGHT(D130,LEN(D130)-4)/10000</f>
        <v>5.57E-2</v>
      </c>
      <c r="Z130" s="69">
        <f t="shared" ref="Z130:Z140" si="99">RIGHT(H130,LEN(H130)-4)/10000</f>
        <v>23.3308</v>
      </c>
      <c r="AA130" s="69">
        <f t="shared" ref="AA130:AA161" si="100">ABS(Z130-Y130)</f>
        <v>23.275099999999998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ref="AD130:AD161" si="101">IF(LEN(A130)=6,"0"&amp;A130,A130)</f>
        <v>0217-08</v>
      </c>
      <c r="AE130" s="94" t="str">
        <f t="shared" si="76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30" s="91" t="str">
        <f t="shared" si="77"/>
        <v>"C:\Program Files (x86)\AstroGrep\AstroGrep.exe" /spath="%USERPROFILE%\AppData\Local\Temp\OnboardLogs" /stypes="app*4044*20161009*" /stext=" 00:.+((SYSTEM_STATE.+slice.+state.+changed )|(ment ac)|(system.+state.+changed )|(\[timeout)|(PRM\|1\|D)|(kpr)|(kdp)|(\|lc)|(penalty))" /e /r /s</v>
      </c>
      <c r="AG130" s="1" t="str">
        <f t="shared" ref="AG130:AG161" si="102">IFERROR(IF(VALUE(LEFT(AD130,2))&lt;=2,"EC",IF(OR(VALUE(LEFT(AD130,2))=8,VALUE(LEFT(AD130,2))=18),"NW","Other")),"Other")</f>
        <v>EC</v>
      </c>
      <c r="AH130" s="95" t="str">
        <f t="shared" si="78"/>
        <v>"%USERPROFILE%\Documents\GitHub\eaglep3\Utilities\RefineRTDCRunTimes.py" --tripid 217-08 --locoid 4044 --swversion DE.1.0.7.0 --startMP 204:557 --initTime 2016-10-08T18:13:24 --startdatetime 2016-10-08T18:15:56 --delay 1 --endMP 204:233308 --enddatetime 2016-10-08T18:52:32 --enforcementcount 1 &gt;&gt;C:\Users\stu\Documents\GitHub\eaglep3-reporting\EC\2016-10-08-refined-times.txt</v>
      </c>
      <c r="AI130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{"issue":{"subject":"","project_id":79,"tracker_id":40,"status_id":1,"priority_id":2,"assigned_to_id":23,"start_date":"2016-10-08","description":"","custom_fields":[{"id":1,"name":"Subdivision","value":"EC"},{"id":4,"name":"Milepost","value":"23.3308"},{"id":17,"name":"Train ID","value":"217-08"},{"id":16,"name":"Locomotive ID","value":"4044"},{"id":130,"name":"Impact","value":""},{"id":150,"name":"Time of Event (Mountain Time)","value":"18:52:32"},{"id":151,"name":"Denver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564</v>
      </c>
      <c r="B131" s="7">
        <v>4043</v>
      </c>
      <c r="C131" s="24" t="s">
        <v>106</v>
      </c>
      <c r="D131" s="24" t="s">
        <v>693</v>
      </c>
      <c r="E131" s="15">
        <v>42651.826585648145</v>
      </c>
      <c r="F131" s="15">
        <v>42651.827245370368</v>
      </c>
      <c r="G131" s="7">
        <v>0</v>
      </c>
      <c r="H131" s="15" t="s">
        <v>694</v>
      </c>
      <c r="I131" s="15">
        <v>42651.831342592595</v>
      </c>
      <c r="J131" s="7">
        <v>0</v>
      </c>
      <c r="K131" s="116" t="str">
        <f t="shared" si="93"/>
        <v>4043/4044</v>
      </c>
      <c r="L131" s="24" t="str">
        <f>VLOOKUP(A131,'Trips&amp;Operators'!$C$1:$E$10000,3,FALSE)</f>
        <v>CHANDLER</v>
      </c>
      <c r="M131" s="6">
        <f t="shared" si="94"/>
        <v>4.0972222268464975E-3</v>
      </c>
      <c r="N131" s="7"/>
      <c r="O131" s="7"/>
      <c r="P131" s="7">
        <f>24*60*SUM($M131:$M135)</f>
        <v>56.833333343965933</v>
      </c>
      <c r="Q131" s="25"/>
      <c r="R131" s="25" t="s">
        <v>752</v>
      </c>
      <c r="S131" s="37">
        <f>SUM(U133,U132)/IF(AG131="EC",12,1)</f>
        <v>0.75</v>
      </c>
      <c r="T131" s="52" t="str">
        <f t="shared" si="95"/>
        <v>Southbound</v>
      </c>
      <c r="U131" s="15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18:50:17-0600',mode:absolute,to:'2016-10-08 20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1" s="54" t="str">
        <f t="shared" si="97"/>
        <v>Y</v>
      </c>
      <c r="X131" s="163">
        <f t="shared" si="92"/>
        <v>1</v>
      </c>
      <c r="Y131" s="69">
        <f t="shared" si="98"/>
        <v>10.0223</v>
      </c>
      <c r="Z131" s="69">
        <f t="shared" si="99"/>
        <v>8.6351999999999993</v>
      </c>
      <c r="AA131" s="69">
        <f t="shared" si="100"/>
        <v>1.3871000000000002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101"/>
        <v>0218-08</v>
      </c>
      <c r="AE131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1" s="91" t="str">
        <f t="shared" si="77"/>
        <v>"C:\Program Files (x86)\AstroGrep\AstroGrep.exe" /spath="%USERPROFILE%\AppData\Local\Temp\OnboardLogs" /stypes="app*4043*20161009*" /stext=" 01:.+((SYSTEM_STATE.+slice.+state.+changed )|(ment ac)|(system.+state.+changed )|(\[timeout)|(PRM\|1\|D)|(kpr)|(kdp)|(\|lc)|(penalty))" /e /r /s</v>
      </c>
      <c r="AG131" s="1" t="str">
        <f t="shared" si="102"/>
        <v>EC</v>
      </c>
      <c r="AH131" s="95" t="str">
        <f t="shared" si="78"/>
        <v>"%USERPROFILE%\Documents\GitHub\eaglep3\Utilities\RefineRTDCRunTimes.py" --tripid 218-08 --locoid 4043 --swversion DE.1.0.7.0 --startMP 204:100223 --initTime 2016-10-08T19:50:17 --startdatetime 2016-10-08T19:51:14 --delay 0 --endMP 204:86352 --enddatetime 2016-10-08T19:57:08 --enforcementcount 0 &gt;&gt;C:\Users\stu\Documents\GitHub\eaglep3-reporting\EC\2016-10-08-refined-times.txt</v>
      </c>
      <c r="AI131" s="129" t="str">
        <f t="shared" si="79"/>
        <v>echo {"issue":{"subject":"Chambers 2S stuck at STOP - bad wiring","project_id":79,"tracker_id":40,"status_id":1,"priority_id":2,"assigned_to_id":23,"start_date":"2016-10-08","description":"Chambers 2S received several clear requests starting at 19:27:55.636, didn't clear until 20:03:37.894. Any issues here, or was the dispatcher being too antsy?","custom_fields":[{"id":1,"name":"Subdivision","value":"EC"},{"id":4,"name":"Milepost","value":"8.6352"},{"id":17,"name":"Train ID","value":"218-08"},{"id":16,"name":"Locomotive ID","value":"4043"},{"id":130,"name":"Impact","value":"Unexpected Cut-Out or Disengaged"},{"id":150,"name":"Time of Event (Mountain Time)","value":"19:57:08"},{"id":151,"name":"Denver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31" s="55" t="s">
        <v>751</v>
      </c>
      <c r="AK131" s="55" t="s">
        <v>140</v>
      </c>
      <c r="AL131" s="55" t="s">
        <v>139</v>
      </c>
    </row>
    <row r="132" spans="1:38" s="23" customFormat="1" x14ac:dyDescent="0.25">
      <c r="A132" s="39" t="s">
        <v>564</v>
      </c>
      <c r="B132" s="7">
        <v>4043</v>
      </c>
      <c r="C132" s="24" t="s">
        <v>106</v>
      </c>
      <c r="D132" s="24" t="s">
        <v>315</v>
      </c>
      <c r="E132" s="15">
        <v>42651.798148148147</v>
      </c>
      <c r="F132" s="15">
        <v>42651.799849537034</v>
      </c>
      <c r="G132" s="7">
        <v>2</v>
      </c>
      <c r="H132" s="15" t="s">
        <v>695</v>
      </c>
      <c r="I132" s="15">
        <v>42651.818101851852</v>
      </c>
      <c r="J132" s="7">
        <v>0</v>
      </c>
      <c r="K132" s="116" t="str">
        <f t="shared" si="93"/>
        <v>4043/4044</v>
      </c>
      <c r="L132" s="24" t="str">
        <f>VLOOKUP(A132,'Trips&amp;Operators'!$C$1:$E$10000,3,FALSE)</f>
        <v>CHANDLER</v>
      </c>
      <c r="M132" s="6">
        <f t="shared" si="94"/>
        <v>1.8252314817800652E-2</v>
      </c>
      <c r="N132" s="7"/>
      <c r="O132" s="7"/>
      <c r="P132" s="7"/>
      <c r="Q132" s="25"/>
      <c r="R132" s="25"/>
      <c r="S132" s="37"/>
      <c r="T132" s="52" t="str">
        <f t="shared" si="95"/>
        <v>Southbound</v>
      </c>
      <c r="U132" s="15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0</v>
      </c>
      <c r="V132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18:09:20-0600',mode:absolute,to:'2016-10-08 20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2" s="54" t="str">
        <f t="shared" si="97"/>
        <v>Y</v>
      </c>
      <c r="X132" s="163">
        <f t="shared" si="92"/>
        <v>0</v>
      </c>
      <c r="Y132" s="69">
        <f t="shared" si="98"/>
        <v>23.299099999999999</v>
      </c>
      <c r="Z132" s="69">
        <f t="shared" si="99"/>
        <v>11.565</v>
      </c>
      <c r="AA132" s="69">
        <f t="shared" si="100"/>
        <v>11.7341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101"/>
        <v>0218-08</v>
      </c>
      <c r="AE132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2" s="91" t="str">
        <f t="shared" si="77"/>
        <v>"C:\Program Files (x86)\AstroGrep\AstroGrep.exe" /spath="%USERPROFILE%\AppData\Local\Temp\OnboardLogs" /stypes="app*4043*20161009*" /stext=" 01:.+((SYSTEM_STATE.+slice.+state.+changed )|(ment ac)|(system.+state.+changed )|(\[timeout)|(PRM\|1\|D)|(kpr)|(kdp)|(\|lc)|(penalty))" /e /r /s</v>
      </c>
      <c r="AG132" s="1" t="str">
        <f t="shared" si="102"/>
        <v>EC</v>
      </c>
      <c r="AH132" s="95" t="str">
        <f t="shared" si="78"/>
        <v>"%USERPROFILE%\Documents\GitHub\eaglep3\Utilities\RefineRTDCRunTimes.py" --tripid 218-08 --locoid 4043 --swversion DE.1.0.7.0 --startMP 204:232991 --initTime 2016-10-08T19:09:20 --startdatetime 2016-10-08T19:11:47 --delay 2 --endMP 204:115650 --enddatetime 2016-10-08T19:38:04 --enforcementcount 0 &gt;&gt;C:\Users\stu\Documents\GitHub\eaglep3-reporting\EC\2016-10-08-refined-times.txt</v>
      </c>
      <c r="AI132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{"issue":{"subject":"","project_id":79,"tracker_id":40,"status_id":1,"priority_id":2,"assigned_to_id":23,"start_date":"2016-10-08","description":"","custom_fields":[{"id":1,"name":"Subdivision","value":"EC"},{"id":4,"name":"Milepost","value":"11.565"},{"id":17,"name":"Train ID","value":"218-08"},{"id":16,"name":"Locomotive ID","value":"4043"},{"id":130,"name":"Impact","value":""},{"id":150,"name":"Time of Event (Mountain Time)","value":"19:38:04"},{"id":151,"name":"Denver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564</v>
      </c>
      <c r="B133" s="7">
        <v>4043</v>
      </c>
      <c r="C133" s="24" t="s">
        <v>106</v>
      </c>
      <c r="D133" s="24" t="s">
        <v>696</v>
      </c>
      <c r="E133" s="15">
        <v>42651.836030092592</v>
      </c>
      <c r="F133" s="15">
        <v>42651.83666666667</v>
      </c>
      <c r="G133" s="7">
        <v>0</v>
      </c>
      <c r="H133" s="15" t="s">
        <v>697</v>
      </c>
      <c r="I133" s="15">
        <v>42651.848252314812</v>
      </c>
      <c r="J133" s="7">
        <v>0</v>
      </c>
      <c r="K133" s="116" t="str">
        <f t="shared" si="93"/>
        <v>4043/4044</v>
      </c>
      <c r="L133" s="24" t="str">
        <f>VLOOKUP(A133,'Trips&amp;Operators'!$C$1:$E$10000,3,FALSE)</f>
        <v>CHANDLER</v>
      </c>
      <c r="M133" s="6">
        <f t="shared" si="94"/>
        <v>1.1585648142499849E-2</v>
      </c>
      <c r="N133" s="7"/>
      <c r="O133" s="7"/>
      <c r="P133" s="7"/>
      <c r="Q133" s="25"/>
      <c r="R133" s="25"/>
      <c r="S133" s="37"/>
      <c r="T133" s="52" t="str">
        <f t="shared" si="95"/>
        <v>Southbound</v>
      </c>
      <c r="U133" s="15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9</v>
      </c>
      <c r="V133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19:03:53-0600',mode:absolute,to:'2016-10-08 21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3" s="54" t="str">
        <f t="shared" si="97"/>
        <v>Y</v>
      </c>
      <c r="X133" s="163">
        <f t="shared" si="92"/>
        <v>0</v>
      </c>
      <c r="Y133" s="69">
        <f t="shared" si="98"/>
        <v>6.4173999999999998</v>
      </c>
      <c r="Z133" s="69">
        <f t="shared" si="99"/>
        <v>1.8100000000000002E-2</v>
      </c>
      <c r="AA133" s="69">
        <f t="shared" si="100"/>
        <v>6.3993000000000002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101"/>
        <v>0218-08</v>
      </c>
      <c r="AE133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3" s="91" t="str">
        <f t="shared" si="77"/>
        <v>"C:\Program Files (x86)\AstroGrep\AstroGrep.exe" /spath="%USERPROFILE%\AppData\Local\Temp\OnboardLogs" /stypes="app*4043*20161009*" /stext=" 02:.+((SYSTEM_STATE.+slice.+state.+changed )|(ment ac)|(system.+state.+changed )|(\[timeout)|(PRM\|1\|D)|(kpr)|(kdp)|(\|lc)|(penalty))" /e /r /s</v>
      </c>
      <c r="AG133" s="1" t="str">
        <f t="shared" si="102"/>
        <v>EC</v>
      </c>
      <c r="AH133" s="95" t="str">
        <f t="shared" si="78"/>
        <v>"%USERPROFILE%\Documents\GitHub\eaglep3\Utilities\RefineRTDCRunTimes.py" --tripid 218-08 --locoid 4043 --swversion DE.1.0.7.0 --startMP 204:64174 --initTime 2016-10-08T20:03:53 --startdatetime 2016-10-08T20:04:48 --delay 0 --endMP 204:181 --enddatetime 2016-10-08T20:21:29 --enforcementcount 0 &gt;&gt;C:\Users\stu\Documents\GitHub\eaglep3-reporting\EC\2016-10-08-refined-times.txt</v>
      </c>
      <c r="AI13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{"issue":{"subject":"","project_id":79,"tracker_id":40,"status_id":1,"priority_id":2,"assigned_to_id":23,"start_date":"2016-10-08","description":"","custom_fields":[{"id":1,"name":"Subdivision","value":"EC"},{"id":4,"name":"Milepost","value":"0.0181"},{"id":17,"name":"Train ID","value":"218-08"},{"id":16,"name":"Locomotive ID","value":"4043"},{"id":130,"name":"Impact","value":""},{"id":150,"name":"Time of Event (Mountain Time)","value":"20:21:29"},{"id":151,"name":"Denver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564</v>
      </c>
      <c r="B134" s="7">
        <v>4043</v>
      </c>
      <c r="C134" s="24" t="s">
        <v>106</v>
      </c>
      <c r="D134" s="24" t="s">
        <v>694</v>
      </c>
      <c r="E134" s="15">
        <v>42651.831597222219</v>
      </c>
      <c r="F134" s="15">
        <v>42651.832638888889</v>
      </c>
      <c r="G134" s="7">
        <v>1</v>
      </c>
      <c r="H134" s="15" t="s">
        <v>698</v>
      </c>
      <c r="I134" s="15">
        <v>42651.834733796299</v>
      </c>
      <c r="J134" s="7">
        <v>0</v>
      </c>
      <c r="K134" s="116" t="str">
        <f t="shared" si="93"/>
        <v>4043/4044</v>
      </c>
      <c r="L134" s="24" t="str">
        <f>VLOOKUP(A134,'Trips&amp;Operators'!$C$1:$E$10000,3,FALSE)</f>
        <v>CHANDLER</v>
      </c>
      <c r="M134" s="6">
        <f t="shared" si="94"/>
        <v>2.0949074096279219E-3</v>
      </c>
      <c r="N134" s="7"/>
      <c r="O134" s="7"/>
      <c r="P134" s="7"/>
      <c r="Q134" s="25"/>
      <c r="R134" s="25"/>
      <c r="S134" s="37"/>
      <c r="T134" s="52" t="str">
        <f t="shared" si="95"/>
        <v>Southbound</v>
      </c>
      <c r="U134" s="15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</v>
      </c>
      <c r="V134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18:57:30-0600',mode:absolute,to:'2016-10-08 21:02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4" s="54" t="str">
        <f t="shared" si="97"/>
        <v>Y</v>
      </c>
      <c r="X134" s="163">
        <f t="shared" si="92"/>
        <v>0</v>
      </c>
      <c r="Y134" s="69">
        <f t="shared" si="98"/>
        <v>8.6351999999999993</v>
      </c>
      <c r="Z134" s="69">
        <f t="shared" si="99"/>
        <v>7.3777999999999997</v>
      </c>
      <c r="AA134" s="69">
        <f t="shared" si="100"/>
        <v>1.2573999999999996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101"/>
        <v>0218-08</v>
      </c>
      <c r="AE134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4" s="91" t="str">
        <f t="shared" si="77"/>
        <v>"C:\Program Files (x86)\AstroGrep\AstroGrep.exe" /spath="%USERPROFILE%\AppData\Local\Temp\OnboardLogs" /stypes="app*4043*20161009*" /stext=" 02:.+((SYSTEM_STATE.+slice.+state.+changed )|(ment ac)|(system.+state.+changed )|(\[timeout)|(PRM\|1\|D)|(kpr)|(kdp)|(\|lc)|(penalty))" /e /r /s</v>
      </c>
      <c r="AG134" s="1" t="str">
        <f t="shared" si="102"/>
        <v>EC</v>
      </c>
      <c r="AH134" s="95" t="str">
        <f t="shared" si="78"/>
        <v>"%USERPROFILE%\Documents\GitHub\eaglep3\Utilities\RefineRTDCRunTimes.py" --tripid 218-08 --locoid 4043 --swversion DE.1.0.7.0 --startMP 204:86352 --initTime 2016-10-08T19:57:30 --startdatetime 2016-10-08T19:59:00 --delay 1 --endMP 204:73778 --enddatetime 2016-10-08T20:02:01 --enforcementcount 0 &gt;&gt;C:\Users\stu\Documents\GitHub\eaglep3-reporting\EC\2016-10-08-refined-times.txt</v>
      </c>
      <c r="AI134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{"issue":{"subject":"","project_id":79,"tracker_id":40,"status_id":1,"priority_id":2,"assigned_to_id":23,"start_date":"2016-10-08","description":"","custom_fields":[{"id":1,"name":"Subdivision","value":"EC"},{"id":4,"name":"Milepost","value":"7.3778"},{"id":17,"name":"Train ID","value":"218-08"},{"id":16,"name":"Locomotive ID","value":"4043"},{"id":130,"name":"Impact","value":""},{"id":150,"name":"Time of Event (Mountain Time)","value":"20:02:01"},{"id":151,"name":"Denver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564</v>
      </c>
      <c r="B135" s="7">
        <v>4043</v>
      </c>
      <c r="C135" s="24" t="s">
        <v>106</v>
      </c>
      <c r="D135" s="24" t="s">
        <v>699</v>
      </c>
      <c r="E135" s="15">
        <v>42651.826585648145</v>
      </c>
      <c r="F135" s="15">
        <v>42651.827905092592</v>
      </c>
      <c r="G135" s="7">
        <v>1</v>
      </c>
      <c r="H135" s="15" t="s">
        <v>694</v>
      </c>
      <c r="I135" s="15">
        <v>42651.831342592595</v>
      </c>
      <c r="J135" s="7">
        <v>0</v>
      </c>
      <c r="K135" s="116" t="str">
        <f t="shared" si="93"/>
        <v>4043/4044</v>
      </c>
      <c r="L135" s="24" t="str">
        <f>VLOOKUP(A135,'Trips&amp;Operators'!$C$1:$E$10000,3,FALSE)</f>
        <v>CHANDLER</v>
      </c>
      <c r="M135" s="6">
        <f t="shared" si="94"/>
        <v>3.4375000032014214E-3</v>
      </c>
      <c r="N135" s="7"/>
      <c r="O135" s="7"/>
      <c r="P135" s="7"/>
      <c r="Q135" s="25"/>
      <c r="R135" s="25"/>
      <c r="S135" s="37"/>
      <c r="T135" s="52" t="str">
        <f t="shared" si="95"/>
        <v>Southbound</v>
      </c>
      <c r="U135" s="15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18:50:17-0600',mode:absolute,to:'2016-10-08 20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5" s="54" t="str">
        <f t="shared" si="97"/>
        <v>Y</v>
      </c>
      <c r="X135" s="163">
        <f t="shared" si="92"/>
        <v>0</v>
      </c>
      <c r="Y135" s="69">
        <f t="shared" si="98"/>
        <v>9.9763999999999999</v>
      </c>
      <c r="Z135" s="69">
        <f t="shared" si="99"/>
        <v>8.6351999999999993</v>
      </c>
      <c r="AA135" s="69">
        <f t="shared" si="100"/>
        <v>1.3412000000000006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101"/>
        <v>0218-08</v>
      </c>
      <c r="AE135" s="94" t="str">
        <f t="shared" si="76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35" s="91" t="str">
        <f t="shared" si="77"/>
        <v>"C:\Program Files (x86)\AstroGrep\AstroGrep.exe" /spath="%USERPROFILE%\AppData\Local\Temp\OnboardLogs" /stypes="app*4043*20161009*" /stext=" 01:.+((SYSTEM_STATE.+slice.+state.+changed )|(ment ac)|(system.+state.+changed )|(\[timeout)|(PRM\|1\|D)|(kpr)|(kdp)|(\|lc)|(penalty))" /e /r /s</v>
      </c>
      <c r="AG135" s="1" t="str">
        <f t="shared" si="102"/>
        <v>EC</v>
      </c>
      <c r="AH135" s="95" t="str">
        <f t="shared" si="78"/>
        <v>"%USERPROFILE%\Documents\GitHub\eaglep3\Utilities\RefineRTDCRunTimes.py" --tripid 218-08 --locoid 4043 --swversion DE.1.0.7.0 --startMP 204:99764 --initTime 2016-10-08T19:50:17 --startdatetime 2016-10-08T19:52:11 --delay 1 --endMP 204:86352 --enddatetime 2016-10-08T19:57:08 --enforcementcount 0 &gt;&gt;C:\Users\stu\Documents\GitHub\eaglep3-reporting\EC\2016-10-08-refined-times.txt</v>
      </c>
      <c r="AI135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{"issue":{"subject":"","project_id":79,"tracker_id":40,"status_id":1,"priority_id":2,"assigned_to_id":23,"start_date":"2016-10-08","description":"","custom_fields":[{"id":1,"name":"Subdivision","value":"EC"},{"id":4,"name":"Milepost","value":"8.6352"},{"id":17,"name":"Train ID","value":"218-08"},{"id":16,"name":"Locomotive ID","value":"4043"},{"id":130,"name":"Impact","value":""},{"id":150,"name":"Time of Event (Mountain Time)","value":"19:57:08"},{"id":151,"name":"Denver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558</v>
      </c>
      <c r="B136" s="7">
        <v>4046</v>
      </c>
      <c r="C136" s="24" t="s">
        <v>106</v>
      </c>
      <c r="D136" s="24" t="s">
        <v>228</v>
      </c>
      <c r="E136" s="15">
        <v>42651.768171296295</v>
      </c>
      <c r="F136" s="15">
        <v>42651.771099537036</v>
      </c>
      <c r="G136" s="7">
        <v>2</v>
      </c>
      <c r="H136" s="15" t="s">
        <v>280</v>
      </c>
      <c r="I136" s="15">
        <v>42651.79614583333</v>
      </c>
      <c r="J136" s="7">
        <v>1</v>
      </c>
      <c r="K136" s="116" t="str">
        <f t="shared" si="93"/>
        <v>4045/4046</v>
      </c>
      <c r="L136" s="24" t="str">
        <f>VLOOKUP(A136,'Trips&amp;Operators'!$C$1:$E$10000,3,FALSE)</f>
        <v>STURGEON</v>
      </c>
      <c r="M136" s="6">
        <f t="shared" si="94"/>
        <v>2.5046296294021886E-2</v>
      </c>
      <c r="N136" s="7">
        <f>24*60*SUM($M136:$M136)</f>
        <v>36.066666663391516</v>
      </c>
      <c r="O136" s="7"/>
      <c r="P136" s="7"/>
      <c r="Q136" s="25"/>
      <c r="R136" s="25"/>
      <c r="S136" s="37">
        <f t="shared" ref="S136:S167" si="103">SUM(U136:U136)/IF(AG136="EC",12,1)</f>
        <v>1</v>
      </c>
      <c r="T136" s="52" t="str">
        <f t="shared" si="95"/>
        <v>NorthBound</v>
      </c>
      <c r="U136" s="15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17:26:10-0600',mode:absolute,to:'2016-10-08 20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6" s="54" t="str">
        <f t="shared" si="97"/>
        <v>N</v>
      </c>
      <c r="X136" s="163">
        <f t="shared" si="92"/>
        <v>1</v>
      </c>
      <c r="Y136" s="69">
        <f t="shared" si="98"/>
        <v>4.7699999999999999E-2</v>
      </c>
      <c r="Z136" s="69">
        <f t="shared" si="99"/>
        <v>23.327000000000002</v>
      </c>
      <c r="AA136" s="69">
        <f t="shared" si="100"/>
        <v>23.279300000000003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101"/>
        <v>0219-08</v>
      </c>
      <c r="AE136" s="94" t="str">
        <f t="shared" si="76"/>
        <v>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 &amp; aws s3 cp s3://rtdc.mdm.uploadarchive.raw/RTDC4046/ "%USERPROFILE%\AppData\Local\Temp\OnboardLogs"\RTDC4046\2016-10-09 --exclude "*" --recursive --include "*20161009*" &amp; "%USERPROFILE%\Documents\GitHub\mrs-test-scripts\Headless Mode &amp; Sideloading\WalkAndUnGZ.bat" "%USERPROFILE%\AppData\Local\Temp\OnboardLogs"\RTDC4046\2016-10-09</v>
      </c>
      <c r="AF136" s="91" t="str">
        <f t="shared" si="77"/>
        <v>"C:\Program Files (x86)\AstroGrep\AstroGrep.exe" /spath="%USERPROFILE%\AppData\Local\Temp\OnboardLogs" /stypes="app*4046*20161009*" /stext=" 01:.+((SYSTEM_STATE.+slice.+state.+changed )|(ment ac)|(system.+state.+changed )|(\[timeout)|(PRM\|1\|D)|(kpr)|(kdp)|(\|lc)|(penalty))" /e /r /s</v>
      </c>
      <c r="AG136" s="1" t="str">
        <f t="shared" si="102"/>
        <v>EC</v>
      </c>
      <c r="AH136" s="95" t="str">
        <f t="shared" si="78"/>
        <v>"%USERPROFILE%\Documents\GitHub\eaglep3\Utilities\RefineRTDCRunTimes.py" --tripid 219-08 --locoid 4046 --swversion DE.1.0.7.0 --startMP 204:477 --initTime 2016-10-08T18:26:10 --startdatetime 2016-10-08T18:30:23 --delay 2 --endMP 204:233270 --enddatetime 2016-10-08T19:06:27 --enforcementcount 1 &gt;&gt;C:\Users\stu\Documents\GitHub\eaglep3-reporting\EC\2016-10-08-refined-times.txt</v>
      </c>
      <c r="AI136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{"issue":{"subject":"","project_id":79,"tracker_id":40,"status_id":1,"priority_id":2,"assigned_to_id":23,"start_date":"2016-10-08","description":"","custom_fields":[{"id":1,"name":"Subdivision","value":"EC"},{"id":4,"name":"Milepost","value":"23.327"},{"id":17,"name":"Train ID","value":"219-08"},{"id":16,"name":"Locomotive ID","value":"4046"},{"id":130,"name":"Impact","value":""},{"id":150,"name":"Time of Event (Mountain Time)","value":"19:06:27"},{"id":151,"name":"Denver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567</v>
      </c>
      <c r="B137" s="7">
        <v>4045</v>
      </c>
      <c r="C137" s="24" t="s">
        <v>106</v>
      </c>
      <c r="D137" s="24" t="s">
        <v>234</v>
      </c>
      <c r="E137" s="15">
        <v>42651.801678240743</v>
      </c>
      <c r="F137" s="15">
        <v>42651.809942129628</v>
      </c>
      <c r="G137" s="7">
        <v>2</v>
      </c>
      <c r="H137" s="15" t="s">
        <v>700</v>
      </c>
      <c r="I137" s="15">
        <v>42651.853321759256</v>
      </c>
      <c r="J137" s="7">
        <v>1</v>
      </c>
      <c r="K137" s="116" t="str">
        <f t="shared" si="93"/>
        <v>4045/4046</v>
      </c>
      <c r="L137" s="24" t="str">
        <f>VLOOKUP(A137,'Trips&amp;Operators'!$C$1:$E$10000,3,FALSE)</f>
        <v>STURGEON</v>
      </c>
      <c r="M137" s="6">
        <f t="shared" si="94"/>
        <v>4.3379629627452232E-2</v>
      </c>
      <c r="N137" s="7">
        <f>24*60*SUM($M137:$M137)</f>
        <v>62.466666663531214</v>
      </c>
      <c r="O137" s="7"/>
      <c r="P137" s="7"/>
      <c r="Q137" s="25"/>
      <c r="R137" s="25" t="s">
        <v>753</v>
      </c>
      <c r="S137" s="37">
        <f t="shared" si="103"/>
        <v>1</v>
      </c>
      <c r="T137" s="52" t="str">
        <f t="shared" si="95"/>
        <v>Southbound</v>
      </c>
      <c r="U137" s="15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18:14:25-0600',mode:absolute,to:'2016-10-08 21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7" s="54" t="str">
        <f t="shared" si="97"/>
        <v>N</v>
      </c>
      <c r="X137" s="163">
        <f t="shared" si="92"/>
        <v>1</v>
      </c>
      <c r="Y137" s="69">
        <f t="shared" si="98"/>
        <v>23.296900000000001</v>
      </c>
      <c r="Z137" s="69">
        <f t="shared" si="99"/>
        <v>9.3100000000000002E-2</v>
      </c>
      <c r="AA137" s="69">
        <f t="shared" si="100"/>
        <v>23.203800000000001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101"/>
        <v>0220-08</v>
      </c>
      <c r="AE137" s="94" t="str">
        <f t="shared" si="76"/>
        <v>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 &amp; aws s3 cp s3://rtdc.mdm.uploadarchive.raw/RTDC4045/ "%USERPROFILE%\AppData\Local\Temp\OnboardLogs"\RTDC4045\2016-10-09 --exclude "*" --recursive --include "*20161009*" &amp; "%USERPROFILE%\Documents\GitHub\mrs-test-scripts\Headless Mode &amp; Sideloading\WalkAndUnGZ.bat" "%USERPROFILE%\AppData\Local\Temp\OnboardLogs"\RTDC4045\2016-10-09</v>
      </c>
      <c r="AF137" s="91" t="str">
        <f t="shared" si="77"/>
        <v>"C:\Program Files (x86)\AstroGrep\AstroGrep.exe" /spath="%USERPROFILE%\AppData\Local\Temp\OnboardLogs" /stypes="app*4045*20161009*" /stext=" 02:.+((SYSTEM_STATE.+slice.+state.+changed )|(ment ac)|(system.+state.+changed )|(\[timeout)|(PRM\|1\|D)|(kpr)|(kdp)|(\|lc)|(penalty))" /e /r /s</v>
      </c>
      <c r="AG137" s="1" t="str">
        <f t="shared" si="102"/>
        <v>EC</v>
      </c>
      <c r="AH137" s="95" t="str">
        <f t="shared" si="78"/>
        <v>"%USERPROFILE%\Documents\GitHub\eaglep3\Utilities\RefineRTDCRunTimes.py" --tripid 220-08 --locoid 4045 --swversion DE.1.0.7.0 --startMP 204:232969 --initTime 2016-10-08T19:14:25 --startdatetime 2016-10-08T19:26:19 --delay 2 --endMP 204:931 --enddatetime 2016-10-08T20:28:47 --enforcementcount 1 &gt;&gt;C:\Users\stu\Documents\GitHub\eaglep3-reporting\EC\2016-10-08-refined-times.txt</v>
      </c>
      <c r="AI137" s="129" t="str">
        <f t="shared" si="79"/>
        <v>echo {"issue":{"subject":"Delayed sitting at 40th due to Chambers 2S bad wiring","project_id":79,"tracker_id":40,"status_id":1,"priority_id":2,"assigned_to_id":23,"start_date":"2016-10-08","description":"","custom_fields":[{"id":1,"name":"Subdivision","value":"EC"},{"id":4,"name":"Milepost","value":"0.0931"},{"id":17,"name":"Train ID","value":"220-08"},{"id":16,"name":"Locomotive ID","value":"4045"},{"id":130,"name":"Impact","value":""},{"id":150,"name":"Time of Event (Mountain Time)","value":"20:28:47"},{"id":151,"name":"Denver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563</v>
      </c>
      <c r="B138" s="7">
        <v>4053</v>
      </c>
      <c r="C138" s="24" t="s">
        <v>106</v>
      </c>
      <c r="D138" s="24" t="s">
        <v>241</v>
      </c>
      <c r="E138" s="15">
        <v>42651.786678240744</v>
      </c>
      <c r="F138" s="15">
        <v>42651.79184027778</v>
      </c>
      <c r="G138" s="7">
        <v>2</v>
      </c>
      <c r="H138" s="15" t="s">
        <v>675</v>
      </c>
      <c r="I138" s="15">
        <v>42651.81695601852</v>
      </c>
      <c r="J138" s="7">
        <v>1</v>
      </c>
      <c r="K138" s="116" t="str">
        <f t="shared" si="93"/>
        <v>4053/4054</v>
      </c>
      <c r="L138" s="24" t="str">
        <f>VLOOKUP(A138,'Trips&amp;Operators'!$C$1:$E$10000,3,FALSE)</f>
        <v>LEVIN</v>
      </c>
      <c r="M138" s="6">
        <f t="shared" si="94"/>
        <v>2.5115740740147885E-2</v>
      </c>
      <c r="N138" s="7">
        <f>24*60*SUM($M138:$M138)</f>
        <v>36.166666665812954</v>
      </c>
      <c r="O138" s="7"/>
      <c r="P138" s="7"/>
      <c r="Q138" s="25"/>
      <c r="R138" s="25"/>
      <c r="S138" s="37">
        <f t="shared" si="103"/>
        <v>1</v>
      </c>
      <c r="T138" s="52" t="str">
        <f t="shared" si="95"/>
        <v>NorthBound</v>
      </c>
      <c r="U138" s="15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17:52:49-0600',mode:absolute,to:'2016-10-08 20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8" s="54" t="str">
        <f t="shared" si="97"/>
        <v>N</v>
      </c>
      <c r="X138" s="163">
        <f t="shared" si="92"/>
        <v>1</v>
      </c>
      <c r="Y138" s="69">
        <f t="shared" si="98"/>
        <v>4.6699999999999998E-2</v>
      </c>
      <c r="Z138" s="69">
        <f t="shared" si="99"/>
        <v>23.334399999999999</v>
      </c>
      <c r="AA138" s="69">
        <f t="shared" si="100"/>
        <v>23.287699999999997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101"/>
        <v>0221-08</v>
      </c>
      <c r="AE138" s="94" t="str">
        <f t="shared" si="76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38" s="91" t="str">
        <f t="shared" si="77"/>
        <v>"C:\Program Files (x86)\AstroGrep\AstroGrep.exe" /spath="%USERPROFILE%\AppData\Local\Temp\OnboardLogs" /stypes="app*4053*20161009*" /stext=" 01:.+((SYSTEM_STATE.+slice.+state.+changed )|(ment ac)|(system.+state.+changed )|(\[timeout)|(PRM\|1\|D)|(kpr)|(kdp)|(\|lc)|(penalty))" /e /r /s</v>
      </c>
      <c r="AG138" s="1" t="str">
        <f t="shared" si="102"/>
        <v>EC</v>
      </c>
      <c r="AH138" s="95" t="str">
        <f t="shared" si="78"/>
        <v>"%USERPROFILE%\Documents\GitHub\eaglep3\Utilities\RefineRTDCRunTimes.py" --tripid 221-08 --locoid 4053 --swversion DE.1.0.7.0 --startMP 204:467 --initTime 2016-10-08T18:52:49 --startdatetime 2016-10-08T19:00:15 --delay 2 --endMP 204:233344 --enddatetime 2016-10-08T19:36:25 --enforcementcount 1 &gt;&gt;C:\Users\stu\Documents\GitHub\eaglep3-reporting\EC\2016-10-08-refined-times.txt</v>
      </c>
      <c r="AI138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{"issue":{"subject":"","project_id":79,"tracker_id":40,"status_id":1,"priority_id":2,"assigned_to_id":23,"start_date":"2016-10-08","description":"","custom_fields":[{"id":1,"name":"Subdivision","value":"EC"},{"id":4,"name":"Milepost","value":"23.3344"},{"id":17,"name":"Train ID","value":"221-08"},{"id":16,"name":"Locomotive ID","value":"4053"},{"id":130,"name":"Impact","value":""},{"id":150,"name":"Time of Event (Mountain Time)","value":"19:36:25"},{"id":151,"name":"Denver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571</v>
      </c>
      <c r="B139" s="7">
        <v>4054</v>
      </c>
      <c r="C139" s="24" t="s">
        <v>106</v>
      </c>
      <c r="D139" s="24" t="s">
        <v>627</v>
      </c>
      <c r="E139" s="15">
        <v>42651.827141203707</v>
      </c>
      <c r="F139" s="15">
        <v>42651.831087962964</v>
      </c>
      <c r="G139" s="7">
        <v>1</v>
      </c>
      <c r="H139" s="15" t="s">
        <v>305</v>
      </c>
      <c r="I139" s="15">
        <v>42651.859363425923</v>
      </c>
      <c r="J139" s="7">
        <v>1</v>
      </c>
      <c r="K139" s="116" t="str">
        <f t="shared" si="93"/>
        <v>4053/4054</v>
      </c>
      <c r="L139" s="24" t="str">
        <f>VLOOKUP(A139,'Trips&amp;Operators'!$C$1:$E$10000,3,FALSE)</f>
        <v>LEVIN</v>
      </c>
      <c r="M139" s="6">
        <f t="shared" si="94"/>
        <v>2.827546295884531E-2</v>
      </c>
      <c r="N139" s="7">
        <f>24*60*SUM($M139:$M139)</f>
        <v>40.716666660737246</v>
      </c>
      <c r="O139" s="7"/>
      <c r="P139" s="7"/>
      <c r="Q139" s="25"/>
      <c r="R139" s="25"/>
      <c r="S139" s="37">
        <f t="shared" si="103"/>
        <v>1</v>
      </c>
      <c r="T139" s="52" t="str">
        <f t="shared" si="95"/>
        <v>Southbound</v>
      </c>
      <c r="U139" s="15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18:51:05-0600',mode:absolute,to:'2016-10-08 21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9" s="54" t="str">
        <f t="shared" si="97"/>
        <v>N</v>
      </c>
      <c r="X139" s="163">
        <f t="shared" si="92"/>
        <v>1</v>
      </c>
      <c r="Y139" s="69">
        <f t="shared" si="98"/>
        <v>23.3004</v>
      </c>
      <c r="Z139" s="69">
        <f t="shared" si="99"/>
        <v>1.43E-2</v>
      </c>
      <c r="AA139" s="69">
        <f t="shared" si="100"/>
        <v>23.286100000000001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101"/>
        <v>0222-08</v>
      </c>
      <c r="AE139" s="94" t="str">
        <f t="shared" si="76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39" s="91" t="str">
        <f t="shared" si="77"/>
        <v>"C:\Program Files (x86)\AstroGrep\AstroGrep.exe" /spath="%USERPROFILE%\AppData\Local\Temp\OnboardLogs" /stypes="app*4054*20161009*" /stext=" 02:.+((SYSTEM_STATE.+slice.+state.+changed )|(ment ac)|(system.+state.+changed )|(\[timeout)|(PRM\|1\|D)|(kpr)|(kdp)|(\|lc)|(penalty))" /e /r /s</v>
      </c>
      <c r="AG139" s="1" t="str">
        <f t="shared" si="102"/>
        <v>EC</v>
      </c>
      <c r="AH139" s="95" t="str">
        <f t="shared" si="78"/>
        <v>"%USERPROFILE%\Documents\GitHub\eaglep3\Utilities\RefineRTDCRunTimes.py" --tripid 222-08 --locoid 4054 --swversion DE.1.0.7.0 --startMP 204:233004 --initTime 2016-10-08T19:51:05 --startdatetime 2016-10-08T19:56:46 --delay 1 --endMP 204:143 --enddatetime 2016-10-08T20:37:29 --enforcementcount 1 &gt;&gt;C:\Users\stu\Documents\GitHub\eaglep3-reporting\EC\2016-10-08-refined-times.txt</v>
      </c>
      <c r="AI139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{"issue":{"subject":"","project_id":79,"tracker_id":40,"status_id":1,"priority_id":2,"assigned_to_id":23,"start_date":"2016-10-08","description":"","custom_fields":[{"id":1,"name":"Subdivision","value":"EC"},{"id":4,"name":"Milepost","value":"0.0143"},{"id":17,"name":"Train ID","value":"222-08"},{"id":16,"name":"Locomotive ID","value":"4054"},{"id":130,"name":"Impact","value":""},{"id":150,"name":"Time of Event (Mountain Time)","value":"20:37:29"},{"id":151,"name":"Denver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568</v>
      </c>
      <c r="B140" s="7">
        <v>4038</v>
      </c>
      <c r="C140" s="24" t="s">
        <v>106</v>
      </c>
      <c r="D140" s="24" t="s">
        <v>241</v>
      </c>
      <c r="E140" s="15">
        <v>42651.808229166665</v>
      </c>
      <c r="F140" s="15">
        <v>42651.8127662037</v>
      </c>
      <c r="G140" s="7">
        <v>1</v>
      </c>
      <c r="H140" s="15" t="s">
        <v>247</v>
      </c>
      <c r="I140" s="15">
        <v>42651.850381944445</v>
      </c>
      <c r="J140" s="7">
        <v>1</v>
      </c>
      <c r="K140" s="116" t="str">
        <f t="shared" si="93"/>
        <v>4037/4038</v>
      </c>
      <c r="L140" s="24" t="str">
        <f>VLOOKUP(A140,'Trips&amp;Operators'!$C$1:$E$10000,3,FALSE)</f>
        <v>NEWELL</v>
      </c>
      <c r="M140" s="6">
        <f t="shared" si="94"/>
        <v>3.761574074451346E-2</v>
      </c>
      <c r="N140" s="7">
        <f>24*60*SUM($M140:$M140)</f>
        <v>54.166666672099382</v>
      </c>
      <c r="O140" s="7"/>
      <c r="P140" s="7"/>
      <c r="Q140" s="25"/>
      <c r="R140" s="25" t="s">
        <v>754</v>
      </c>
      <c r="S140" s="37">
        <f t="shared" si="103"/>
        <v>1</v>
      </c>
      <c r="T140" s="52" t="str">
        <f t="shared" si="95"/>
        <v>NorthBound</v>
      </c>
      <c r="U140" s="15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18:23:51-0600',mode:absolute,to:'2016-10-08 21:24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0" s="54" t="str">
        <f t="shared" si="97"/>
        <v>N</v>
      </c>
      <c r="X140" s="163">
        <f t="shared" si="92"/>
        <v>1</v>
      </c>
      <c r="Y140" s="69">
        <f t="shared" si="98"/>
        <v>4.6699999999999998E-2</v>
      </c>
      <c r="Z140" s="69">
        <f t="shared" si="99"/>
        <v>23.329699999999999</v>
      </c>
      <c r="AA140" s="69">
        <f t="shared" si="100"/>
        <v>23.282999999999998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101"/>
        <v>0223-08</v>
      </c>
      <c r="AE140" s="94" t="str">
        <f t="shared" si="76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40" s="91" t="str">
        <f t="shared" si="77"/>
        <v>"C:\Program Files (x86)\AstroGrep\AstroGrep.exe" /spath="%USERPROFILE%\AppData\Local\Temp\OnboardLogs" /stypes="app*4038*20161009*" /stext=" 02:.+((SYSTEM_STATE.+slice.+state.+changed )|(ment ac)|(system.+state.+changed )|(\[timeout)|(PRM\|1\|D)|(kpr)|(kdp)|(\|lc)|(penalty))" /e /r /s</v>
      </c>
      <c r="AG140" s="1" t="str">
        <f t="shared" si="102"/>
        <v>EC</v>
      </c>
      <c r="AH140" s="95" t="str">
        <f t="shared" si="78"/>
        <v>"%USERPROFILE%\Documents\GitHub\eaglep3\Utilities\RefineRTDCRunTimes.py" --tripid 223-08 --locoid 4038 --swversion DE.1.0.7.0 --startMP 204:467 --initTime 2016-10-08T19:23:51 --startdatetime 2016-10-08T19:30:23 --delay 1 --endMP 204:233297 --enddatetime 2016-10-08T20:24:33 --enforcementcount 1 &gt;&gt;C:\Users\stu\Documents\GitHub\eaglep3-reporting\EC\2016-10-08-refined-times.txt</v>
      </c>
      <c r="AI140" s="129" t="str">
        <f t="shared" si="79"/>
        <v>echo {"issue":{"subject":"Delayed sitting at Chambers 2N due to Chambers 2S bad wiring","project_id":79,"tracker_id":40,"status_id":1,"priority_id":2,"assigned_to_id":23,"start_date":"2016-10-08","description":"","custom_fields":[{"id":1,"name":"Subdivision","value":"EC"},{"id":4,"name":"Milepost","value":"23.3297"},{"id":17,"name":"Train ID","value":"223-08"},{"id":16,"name":"Locomotive ID","value":"4038"},{"id":130,"name":"Impact","value":""},{"id":150,"name":"Time of Event (Mountain Time)","value":"20:24:33"},{"id":151,"name":"Denver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573</v>
      </c>
      <c r="B141" s="7">
        <v>4037</v>
      </c>
      <c r="C141" s="24" t="s">
        <v>106</v>
      </c>
      <c r="D141" s="24" t="s">
        <v>629</v>
      </c>
      <c r="E141" s="15">
        <v>42651.852025462962</v>
      </c>
      <c r="F141" s="15">
        <v>42651.852847222224</v>
      </c>
      <c r="G141" s="7">
        <v>1</v>
      </c>
      <c r="H141" s="15" t="s">
        <v>188</v>
      </c>
      <c r="I141" s="15">
        <v>42651.854363425926</v>
      </c>
      <c r="J141" s="7">
        <v>1</v>
      </c>
      <c r="K141" s="116" t="str">
        <f t="shared" si="93"/>
        <v>4037/4038</v>
      </c>
      <c r="L141" s="24" t="str">
        <f>VLOOKUP(A141,'Trips&amp;Operators'!$C$1:$E$10000,3,FALSE)</f>
        <v>NEWELL</v>
      </c>
      <c r="M141" s="6">
        <f t="shared" si="94"/>
        <v>1.5162037016125396E-3</v>
      </c>
      <c r="N141" s="7"/>
      <c r="O141" s="7"/>
      <c r="P141" s="7">
        <f>24*60*SUM($M141:$M141)</f>
        <v>2.183333330322057</v>
      </c>
      <c r="Q141" s="25"/>
      <c r="R141" s="25" t="s">
        <v>755</v>
      </c>
      <c r="S141" s="37">
        <f t="shared" si="103"/>
        <v>0</v>
      </c>
      <c r="T141" s="52" t="str">
        <f t="shared" si="95"/>
        <v>Southbound</v>
      </c>
      <c r="U141" s="15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0</v>
      </c>
      <c r="V141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19:26:55-0600',mode:absolute,to:'2016-10-08 21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1" s="54" t="str">
        <f t="shared" si="97"/>
        <v>Y</v>
      </c>
      <c r="X141" s="163">
        <f t="shared" si="92"/>
        <v>1</v>
      </c>
      <c r="Y141" s="69">
        <v>0</v>
      </c>
      <c r="Z141" s="69">
        <v>0</v>
      </c>
      <c r="AA141" s="69">
        <f t="shared" si="100"/>
        <v>0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si="101"/>
        <v>0224-08</v>
      </c>
      <c r="AE141" s="94" t="str">
        <f t="shared" ref="AE141:AE204" si="10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141" s="91" t="str">
        <f t="shared" ref="AF141:AF204" si="105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/stypes="app*4037*20161009*" /stext=" 02:.+((SYSTEM_STATE.+slice.+state.+changed )|(ment ac)|(system.+state.+changed )|(\[timeout)|(PRM\|1\|D)|(kpr)|(kdp)|(\|lc)|(penalty))" /e /r /s</v>
      </c>
      <c r="AG141" s="1" t="str">
        <f t="shared" si="102"/>
        <v>EC</v>
      </c>
      <c r="AH141" s="95" t="str">
        <f t="shared" si="78"/>
        <v>"%USERPROFILE%\Documents\GitHub\eaglep3\Utilities\RefineRTDCRunTimes.py" --tripid 224-08 --locoid 4037 --swversion DE.1.0.7.0 --startMP 204:232973 --initTime 2016-10-08T20:26:55 --startdatetime 2016-10-08T20:28:06 --delay 1 --endMP 204:149 --enddatetime 2016-10-08T20:30:17 --enforcementcount 1 &gt;&gt;C:\Users\stu\Documents\GitHub\eaglep3-reporting\EC\2016-10-08-refined-times.txt</v>
      </c>
      <c r="AI141" s="129" t="str">
        <f t="shared" si="79"/>
        <v>echo {"issue":{"subject":"Onboard in-route failure","project_id":79,"tracker_id":40,"status_id":1,"priority_id":2,"assigned_to_id":23,"start_date":"2016-10-08","description":"Multiple CPU Faults at 2016-10-08 20:29:31","custom_fields":[{"id":1,"name":"Subdivision","value":"EC"},{"id":4,"name":"Milepost","value":"0"},{"id":17,"name":"Train ID","value":"224-08"},{"id":16,"name":"Locomotive ID","value":"4037"},{"id":130,"name":"Impact","value":"Failed State"},{"id":150,"name":"Time of Event (Mountain Time)","value":"20:30:17"},{"id":151,"name":"Denver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1" s="55" t="s">
        <v>756</v>
      </c>
      <c r="AK141" s="55" t="s">
        <v>137</v>
      </c>
      <c r="AL141" s="55" t="s">
        <v>204</v>
      </c>
    </row>
    <row r="142" spans="1:38" s="23" customFormat="1" x14ac:dyDescent="0.25">
      <c r="A142" s="39" t="s">
        <v>760</v>
      </c>
      <c r="B142" s="7"/>
      <c r="C142" s="24" t="s">
        <v>106</v>
      </c>
      <c r="D142" s="24" t="s">
        <v>629</v>
      </c>
      <c r="E142" s="15">
        <v>42651.852025462962</v>
      </c>
      <c r="F142" s="15"/>
      <c r="G142" s="7">
        <v>1</v>
      </c>
      <c r="H142" s="15" t="s">
        <v>188</v>
      </c>
      <c r="I142" s="15"/>
      <c r="J142" s="7">
        <v>1</v>
      </c>
      <c r="K142" s="116" t="str">
        <f t="shared" si="93"/>
        <v>-1/</v>
      </c>
      <c r="L142" s="24" t="e">
        <f>VLOOKUP(A142,'Trips&amp;Operators'!$C$1:$E$10000,3,FALSE)</f>
        <v>#N/A</v>
      </c>
      <c r="M142" s="6">
        <f t="shared" si="94"/>
        <v>0</v>
      </c>
      <c r="N142" s="7"/>
      <c r="O142" s="7"/>
      <c r="P142" s="7">
        <v>1</v>
      </c>
      <c r="Q142" s="25"/>
      <c r="R142" s="25" t="s">
        <v>283</v>
      </c>
      <c r="S142" s="37">
        <f t="shared" si="103"/>
        <v>0</v>
      </c>
      <c r="T142" s="52" t="str">
        <f t="shared" si="95"/>
        <v>NorthBound</v>
      </c>
      <c r="U142" s="15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19:26:55-0600',mode:absolute,to:'1900-01-00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42" s="54" t="str">
        <f t="shared" si="97"/>
        <v>Y</v>
      </c>
      <c r="X142" s="163">
        <f t="shared" si="92"/>
        <v>1</v>
      </c>
      <c r="Y142" s="69">
        <v>0</v>
      </c>
      <c r="Z142" s="69">
        <v>0</v>
      </c>
      <c r="AA142" s="69">
        <f t="shared" si="100"/>
        <v>0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101"/>
        <v>0225-08</v>
      </c>
      <c r="AE142" s="94" t="str">
        <f t="shared" si="104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2" s="91" t="str">
        <f t="shared" si="105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42" s="1" t="str">
        <f t="shared" si="102"/>
        <v>EC</v>
      </c>
      <c r="AH142" s="95" t="str">
        <f t="shared" ref="AH142" si="10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225-08 --locoid  --swversion DE.1.0.7.0 --startMP 204:232973 --initTime 2016-10-08T20:26:55 --startdatetime 1900-01-00T00:00:00 --delay 1 --endMP 204:149 --enddatetime 1900-01-00T00:00:00 --enforcementcount 1 &gt;&gt;C:\Users\stu\Documents\GitHub\eaglep3-reporting\EC\2016-10-08-refined-times.txt</v>
      </c>
      <c r="AI142" s="129" t="str">
        <f t="shared" ref="AI142" si="10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init","project_id":79,"tracker_id":40,"status_id":1,"priority_id":2,"assigned_to_id":23,"start_date":"1900-01-00","description":"Multiple CPU Faults at 2016-10-08 20:29:31","custom_fields":[{"id":1,"name":"Subdivision","value":"EC"},{"id":4,"name":"Milepost","value":"0"},{"id":17,"name":"Train ID","value":"225-08"},{"id":16,"name":"Locomotive ID","value":""},{"id":130,"name":"Impact","value":"Failed State"},{"id":150,"name":"Time of Event (Mountain Time)","value":"00:00:00"},{"id":151,"name":"Denver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2" s="55" t="s">
        <v>756</v>
      </c>
      <c r="AK142" s="55" t="s">
        <v>137</v>
      </c>
      <c r="AL142" s="55" t="s">
        <v>204</v>
      </c>
    </row>
    <row r="143" spans="1:38" s="23" customFormat="1" x14ac:dyDescent="0.25">
      <c r="A143" s="39" t="s">
        <v>577</v>
      </c>
      <c r="B143" s="7">
        <v>4032</v>
      </c>
      <c r="C143" s="24" t="s">
        <v>106</v>
      </c>
      <c r="D143" s="24" t="s">
        <v>701</v>
      </c>
      <c r="E143" s="15">
        <v>42651.87605324074</v>
      </c>
      <c r="F143" s="15">
        <v>42651.878703703704</v>
      </c>
      <c r="G143" s="7">
        <v>1</v>
      </c>
      <c r="H143" s="15" t="s">
        <v>191</v>
      </c>
      <c r="I143" s="15">
        <v>42651.9062037037</v>
      </c>
      <c r="J143" s="7">
        <v>1</v>
      </c>
      <c r="K143" s="116" t="str">
        <f t="shared" si="93"/>
        <v>4031/4032</v>
      </c>
      <c r="L143" s="24" t="str">
        <f>VLOOKUP(A143,'Trips&amp;Operators'!$C$1:$E$10000,3,FALSE)</f>
        <v>ARVIDSON</v>
      </c>
      <c r="M143" s="6">
        <f t="shared" si="94"/>
        <v>2.749999999650754E-2</v>
      </c>
      <c r="N143" s="7">
        <f t="shared" ref="N143:N149" si="108">24*60*SUM($M143:$M143)</f>
        <v>39.599999994970858</v>
      </c>
      <c r="O143" s="7"/>
      <c r="P143" s="7"/>
      <c r="Q143" s="25"/>
      <c r="R143" s="25"/>
      <c r="S143" s="37">
        <f t="shared" si="103"/>
        <v>1</v>
      </c>
      <c r="T143" s="52" t="str">
        <f t="shared" si="95"/>
        <v>Southbound</v>
      </c>
      <c r="U143" s="15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20:01:31-0600',mode:absolute,to:'2016-10-08 22:44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3" s="54" t="str">
        <f t="shared" si="97"/>
        <v>N</v>
      </c>
      <c r="X143" s="163">
        <f t="shared" ref="X143:X145" si="109">VALUE(LEFT(AD143,4))-VALUE(LEFT(AD142,4))</f>
        <v>1</v>
      </c>
      <c r="Y143" s="69">
        <f t="shared" ref="Y143:Y149" si="110">RIGHT(D143,LEN(D143)-4)/10000</f>
        <v>23.2971</v>
      </c>
      <c r="Z143" s="69">
        <f t="shared" ref="Z143:Z149" si="111">RIGHT(H143,LEN(H143)-4)/10000</f>
        <v>1.47E-2</v>
      </c>
      <c r="AA143" s="69">
        <f t="shared" si="100"/>
        <v>23.282399999999999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101"/>
        <v>0226-08</v>
      </c>
      <c r="AE143" s="94" t="str">
        <f t="shared" si="104"/>
        <v>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 &amp; 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</v>
      </c>
      <c r="AF143" s="91" t="str">
        <f t="shared" si="105"/>
        <v>"C:\Program Files (x86)\AstroGrep\AstroGrep.exe" /spath="%USERPROFILE%\AppData\Local\Temp\OnboardLogs" /stypes="app*4032*20161009*" /stext=" 03:.+((SYSTEM_STATE.+slice.+state.+changed )|(ment ac)|(system.+state.+changed )|(\[timeout)|(PRM\|1\|D)|(kpr)|(kdp)|(\|lc)|(penalty))" /e /r /s</v>
      </c>
      <c r="AG143" s="1" t="str">
        <f t="shared" si="102"/>
        <v>EC</v>
      </c>
      <c r="AH143" s="95" t="str">
        <f t="shared" si="78"/>
        <v>"%USERPROFILE%\Documents\GitHub\eaglep3\Utilities\RefineRTDCRunTimes.py" --tripid 226-08 --locoid 4032 --swversion DE.1.0.7.0 --startMP 204:232971 --initTime 2016-10-08T21:01:31 --startdatetime 2016-10-08T21:05:20 --delay 1 --endMP 204:147 --enddatetime 2016-10-08T21:44:56 --enforcementcount 1 &gt;&gt;C:\Users\stu\Documents\GitHub\eaglep3-reporting\EC\2016-10-08-refined-times.txt</v>
      </c>
      <c r="AI143" s="129" t="str">
        <f t="shared" si="79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ID","value":"226-08"},{"id":16,"name":"Locomotive ID","value":"4032"},{"id":130,"name":"Impact","value":""},{"id":150,"name":"Time of Event (Mountain Time)","value":"21:44:56"},{"id":151,"name":"Denver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574</v>
      </c>
      <c r="B144" s="7">
        <v>4044</v>
      </c>
      <c r="C144" s="24" t="s">
        <v>106</v>
      </c>
      <c r="D144" s="24" t="s">
        <v>216</v>
      </c>
      <c r="E144" s="15">
        <v>42651.853981481479</v>
      </c>
      <c r="F144" s="15">
        <v>42651.855520833335</v>
      </c>
      <c r="G144" s="7">
        <v>1</v>
      </c>
      <c r="H144" s="15" t="s">
        <v>702</v>
      </c>
      <c r="I144" s="15">
        <v>42651.8825</v>
      </c>
      <c r="J144" s="7">
        <v>1</v>
      </c>
      <c r="K144" s="116" t="str">
        <f t="shared" si="93"/>
        <v>4043/4044</v>
      </c>
      <c r="L144" s="24" t="str">
        <f>VLOOKUP(A144,'Trips&amp;Operators'!$C$1:$E$10000,3,FALSE)</f>
        <v>CHANDLER</v>
      </c>
      <c r="M144" s="6">
        <f t="shared" si="94"/>
        <v>2.6979166665114462E-2</v>
      </c>
      <c r="N144" s="7">
        <f t="shared" si="108"/>
        <v>38.849999997764826</v>
      </c>
      <c r="O144" s="7"/>
      <c r="P144" s="7"/>
      <c r="Q144" s="25"/>
      <c r="R144" s="25"/>
      <c r="S144" s="37">
        <f t="shared" si="103"/>
        <v>1</v>
      </c>
      <c r="T144" s="52" t="str">
        <f t="shared" si="95"/>
        <v>NorthBound</v>
      </c>
      <c r="U144" s="15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19:29:44-0600',mode:absolute,to:'2016-10-08 22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4" s="54" t="str">
        <f t="shared" si="97"/>
        <v>N</v>
      </c>
      <c r="X144" s="163">
        <f t="shared" si="109"/>
        <v>1</v>
      </c>
      <c r="Y144" s="69">
        <f t="shared" si="110"/>
        <v>4.6399999999999997E-2</v>
      </c>
      <c r="Z144" s="69">
        <f t="shared" si="111"/>
        <v>23.328499999999998</v>
      </c>
      <c r="AA144" s="69">
        <f t="shared" si="100"/>
        <v>23.2821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101"/>
        <v>0227-08</v>
      </c>
      <c r="AE144" s="94" t="str">
        <f t="shared" si="104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44" s="91" t="str">
        <f t="shared" si="105"/>
        <v>"C:\Program Files (x86)\AstroGrep\AstroGrep.exe" /spath="%USERPROFILE%\AppData\Local\Temp\OnboardLogs" /stypes="app*4044*20161009*" /stext=" 03:.+((SYSTEM_STATE.+slice.+state.+changed )|(ment ac)|(system.+state.+changed )|(\[timeout)|(PRM\|1\|D)|(kpr)|(kdp)|(\|lc)|(penalty))" /e /r /s</v>
      </c>
      <c r="AG144" s="1" t="str">
        <f t="shared" si="102"/>
        <v>EC</v>
      </c>
      <c r="AH144" s="95" t="str">
        <f t="shared" ref="AH144:AH207" si="112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227-08 --locoid 4044 --swversion DE.1.0.7.0 --startMP 204:464 --initTime 2016-10-08T20:29:44 --startdatetime 2016-10-08T20:31:57 --delay 1 --endMP 204:233285 --enddatetime 2016-10-08T21:10:48 --enforcementcount 1 &gt;&gt;C:\Users\stu\Documents\GitHub\eaglep3-reporting\EC\2016-10-08-refined-times.txt</v>
      </c>
      <c r="AI144" s="129" t="str">
        <f t="shared" ref="AI144:AI207" si="113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{"issue":{"subject":"","project_id":79,"tracker_id":40,"status_id":1,"priority_id":2,"assigned_to_id":23,"start_date":"2016-10-08","description":"","custom_fields":[{"id":1,"name":"Subdivision","value":"EC"},{"id":4,"name":"Milepost","value":"23.3285"},{"id":17,"name":"Train ID","value":"227-08"},{"id":16,"name":"Locomotive ID","value":"4044"},{"id":130,"name":"Impact","value":""},{"id":150,"name":"Time of Event (Mountain Time)","value":"21:10:48"},{"id":151,"name":"Denver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580</v>
      </c>
      <c r="B145" s="7">
        <v>4043</v>
      </c>
      <c r="C145" s="24" t="s">
        <v>106</v>
      </c>
      <c r="D145" s="24" t="s">
        <v>703</v>
      </c>
      <c r="E145" s="15">
        <v>42651.892546296294</v>
      </c>
      <c r="F145" s="15">
        <v>42651.893564814818</v>
      </c>
      <c r="G145" s="7">
        <v>1</v>
      </c>
      <c r="H145" s="15" t="s">
        <v>704</v>
      </c>
      <c r="I145" s="15">
        <v>42651.922256944446</v>
      </c>
      <c r="J145" s="7">
        <v>1</v>
      </c>
      <c r="K145" s="116" t="str">
        <f t="shared" si="93"/>
        <v>4043/4044</v>
      </c>
      <c r="L145" s="24" t="str">
        <f>VLOOKUP(A145,'Trips&amp;Operators'!$C$1:$E$10000,3,FALSE)</f>
        <v>CHANDLER</v>
      </c>
      <c r="M145" s="6">
        <f t="shared" si="94"/>
        <v>2.8692129628325347E-2</v>
      </c>
      <c r="N145" s="7">
        <f t="shared" si="108"/>
        <v>41.316666664788499</v>
      </c>
      <c r="O145" s="7"/>
      <c r="P145" s="7"/>
      <c r="Q145" s="25"/>
      <c r="R145" s="25"/>
      <c r="S145" s="37">
        <f t="shared" si="103"/>
        <v>1</v>
      </c>
      <c r="T145" s="52" t="str">
        <f t="shared" si="95"/>
        <v>Southbound</v>
      </c>
      <c r="U145" s="15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20:25:16-0600',mode:absolute,to:'2016-10-08 23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5" s="54" t="str">
        <f t="shared" si="97"/>
        <v>N</v>
      </c>
      <c r="X145" s="163">
        <f t="shared" si="109"/>
        <v>1</v>
      </c>
      <c r="Y145" s="69">
        <f t="shared" si="110"/>
        <v>23.297000000000001</v>
      </c>
      <c r="Z145" s="69">
        <f t="shared" si="111"/>
        <v>1.6299999999999999E-2</v>
      </c>
      <c r="AA145" s="69">
        <f t="shared" si="100"/>
        <v>23.2807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101"/>
        <v>0228-08</v>
      </c>
      <c r="AE145" s="94" t="str">
        <f t="shared" si="104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45" s="91" t="str">
        <f t="shared" si="105"/>
        <v>"C:\Program Files (x86)\AstroGrep\AstroGrep.exe" /spath="%USERPROFILE%\AppData\Local\Temp\OnboardLogs" /stypes="app*4043*20161009*" /stext=" 04:.+((SYSTEM_STATE.+slice.+state.+changed )|(ment ac)|(system.+state.+changed )|(\[timeout)|(PRM\|1\|D)|(kpr)|(kdp)|(\|lc)|(penalty))" /e /r /s</v>
      </c>
      <c r="AG145" s="1" t="str">
        <f t="shared" si="102"/>
        <v>EC</v>
      </c>
      <c r="AH145" s="95" t="str">
        <f t="shared" si="112"/>
        <v>"%USERPROFILE%\Documents\GitHub\eaglep3\Utilities\RefineRTDCRunTimes.py" --tripid 228-08 --locoid 4043 --swversion DE.1.0.7.0 --startMP 204:232970 --initTime 2016-10-08T21:25:16 --startdatetime 2016-10-08T21:26:44 --delay 1 --endMP 204:163 --enddatetime 2016-10-08T22:08:03 --enforcementcount 1 &gt;&gt;C:\Users\stu\Documents\GitHub\eaglep3-reporting\EC\2016-10-08-refined-times.txt</v>
      </c>
      <c r="AI145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{"issue":{"subject":"","project_id":79,"tracker_id":40,"status_id":1,"priority_id":2,"assigned_to_id":23,"start_date":"2016-10-08","description":"","custom_fields":[{"id":1,"name":"Subdivision","value":"EC"},{"id":4,"name":"Milepost","value":"0.0163"},{"id":17,"name":"Train ID","value":"228-08"},{"id":16,"name":"Locomotive ID","value":"4043"},{"id":130,"name":"Impact","value":""},{"id":150,"name":"Time of Event (Mountain Time)","value":"22:08:03"},{"id":151,"name":"Denver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576</v>
      </c>
      <c r="B146" s="7">
        <v>4053</v>
      </c>
      <c r="C146" s="24" t="s">
        <v>106</v>
      </c>
      <c r="D146" s="24" t="s">
        <v>199</v>
      </c>
      <c r="E146" s="15">
        <v>42651.872141203705</v>
      </c>
      <c r="F146" s="15">
        <v>42651.875208333331</v>
      </c>
      <c r="G146" s="7">
        <v>1</v>
      </c>
      <c r="H146" s="15" t="s">
        <v>705</v>
      </c>
      <c r="I146" s="15">
        <v>42651.902430555558</v>
      </c>
      <c r="J146" s="7">
        <v>1</v>
      </c>
      <c r="K146" s="116" t="str">
        <f t="shared" si="93"/>
        <v>4053/4054</v>
      </c>
      <c r="L146" s="24" t="str">
        <f>VLOOKUP(A146,'Trips&amp;Operators'!$C$1:$E$10000,3,FALSE)</f>
        <v>LEVIN</v>
      </c>
      <c r="M146" s="6">
        <f t="shared" si="94"/>
        <v>2.7222222226555459E-2</v>
      </c>
      <c r="N146" s="7">
        <f t="shared" si="108"/>
        <v>39.200000006239861</v>
      </c>
      <c r="O146" s="7"/>
      <c r="P146" s="7"/>
      <c r="Q146" s="25"/>
      <c r="R146" s="25"/>
      <c r="S146" s="37">
        <f t="shared" si="103"/>
        <v>1</v>
      </c>
      <c r="T146" s="52" t="str">
        <f t="shared" si="95"/>
        <v>NorthBound</v>
      </c>
      <c r="U146" s="15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19:55:53-0600',mode:absolute,to:'2016-10-08 22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6" s="54" t="str">
        <f t="shared" si="97"/>
        <v>N</v>
      </c>
      <c r="X146" s="163">
        <f>VALUE(LEFT(AD146,4))-VALUE(LEFT(AD145,4))</f>
        <v>1</v>
      </c>
      <c r="Y146" s="69">
        <f t="shared" si="110"/>
        <v>4.5499999999999999E-2</v>
      </c>
      <c r="Z146" s="69">
        <f t="shared" si="111"/>
        <v>23.328900000000001</v>
      </c>
      <c r="AA146" s="69">
        <f t="shared" si="100"/>
        <v>23.2834</v>
      </c>
      <c r="AB146" s="66" t="str">
        <f>VLOOKUP(A146,Enforcements!$C$7:$K$21,8,0)</f>
        <v>Bulletin (2)</v>
      </c>
      <c r="AC146" s="62" t="str">
        <f>VLOOKUP(A146,Enforcements!$C$7:$E$21,3,0)</f>
        <v>GRADE CROSSING</v>
      </c>
      <c r="AD146" s="63" t="str">
        <f t="shared" si="101"/>
        <v>0229-08</v>
      </c>
      <c r="AE146" s="94" t="str">
        <f t="shared" si="104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46" s="91" t="str">
        <f t="shared" si="105"/>
        <v>"C:\Program Files (x86)\AstroGrep\AstroGrep.exe" /spath="%USERPROFILE%\AppData\Local\Temp\OnboardLogs" /stypes="app*4053*20161009*" /stext=" 03:.+((SYSTEM_STATE.+slice.+state.+changed )|(ment ac)|(system.+state.+changed )|(\[timeout)|(PRM\|1\|D)|(kpr)|(kdp)|(\|lc)|(penalty))" /e /r /s</v>
      </c>
      <c r="AG146" s="1" t="str">
        <f t="shared" si="102"/>
        <v>EC</v>
      </c>
      <c r="AH146" s="95" t="str">
        <f t="shared" si="112"/>
        <v>"%USERPROFILE%\Documents\GitHub\eaglep3\Utilities\RefineRTDCRunTimes.py" --tripid 229-08 --locoid 4053 --swversion DE.1.0.7.0 --startMP 204:455 --initTime 2016-10-08T20:55:53 --startdatetime 2016-10-08T21:00:18 --delay 1 --endMP 204:233289 --enddatetime 2016-10-08T21:39:30 --enforcementcount 1 &gt;&gt;C:\Users\stu\Documents\GitHub\eaglep3-reporting\EC\2016-10-08-refined-times.txt</v>
      </c>
      <c r="AI146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{"issue":{"subject":"","project_id":79,"tracker_id":40,"status_id":1,"priority_id":2,"assigned_to_id":23,"start_date":"2016-10-08","description":"","custom_fields":[{"id":1,"name":"Subdivision","value":"EC"},{"id":4,"name":"Milepost","value":"23.3289"},{"id":17,"name":"Train ID","value":"229-08"},{"id":16,"name":"Locomotive ID","value":"4053"},{"id":130,"name":"Impact","value":""},{"id":150,"name":"Time of Event (Mountain Time)","value":"21:39:30"},{"id":151,"name":"Denver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582</v>
      </c>
      <c r="B147" s="7">
        <v>4054</v>
      </c>
      <c r="C147" s="24" t="s">
        <v>106</v>
      </c>
      <c r="D147" s="24" t="s">
        <v>276</v>
      </c>
      <c r="E147" s="15">
        <v>42651.910914351851</v>
      </c>
      <c r="F147" s="15">
        <v>42651.914351851854</v>
      </c>
      <c r="G147" s="7">
        <v>0</v>
      </c>
      <c r="H147" s="15" t="s">
        <v>210</v>
      </c>
      <c r="I147" s="15">
        <v>42651.940034722225</v>
      </c>
      <c r="J147" s="7">
        <v>1</v>
      </c>
      <c r="K147" s="116" t="str">
        <f t="shared" si="93"/>
        <v>4053/4054</v>
      </c>
      <c r="L147" s="24" t="str">
        <f>VLOOKUP(A147,'Trips&amp;Operators'!$C$1:$E$10000,3,FALSE)</f>
        <v>LEVIN</v>
      </c>
      <c r="M147" s="6">
        <f t="shared" si="94"/>
        <v>2.5682870371383615E-2</v>
      </c>
      <c r="N147" s="7">
        <f t="shared" si="108"/>
        <v>36.983333334792405</v>
      </c>
      <c r="O147" s="7"/>
      <c r="P147" s="7"/>
      <c r="Q147" s="25"/>
      <c r="R147" s="25"/>
      <c r="S147" s="37">
        <f t="shared" si="103"/>
        <v>1</v>
      </c>
      <c r="T147" s="52" t="str">
        <f t="shared" si="95"/>
        <v>Southbound</v>
      </c>
      <c r="U147" s="15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20:51:43-0600',mode:absolute,to:'2016-10-08 23:33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7" s="54" t="str">
        <f t="shared" si="97"/>
        <v>N</v>
      </c>
      <c r="X147" s="163">
        <f>VALUE(LEFT(AD147,4))-VALUE(LEFT(AD146,4))</f>
        <v>1</v>
      </c>
      <c r="Y147" s="69">
        <f t="shared" si="110"/>
        <v>23.298999999999999</v>
      </c>
      <c r="Z147" s="69">
        <f t="shared" si="111"/>
        <v>1.41E-2</v>
      </c>
      <c r="AA147" s="69">
        <f t="shared" si="100"/>
        <v>23.2849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101"/>
        <v>0230-08</v>
      </c>
      <c r="AE147" s="94" t="str">
        <f t="shared" si="104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47" s="91" t="str">
        <f t="shared" si="105"/>
        <v>"C:\Program Files (x86)\AstroGrep\AstroGrep.exe" /spath="%USERPROFILE%\AppData\Local\Temp\OnboardLogs" /stypes="app*4054*20161009*" /stext=" 04:.+((SYSTEM_STATE.+slice.+state.+changed )|(ment ac)|(system.+state.+changed )|(\[timeout)|(PRM\|1\|D)|(kpr)|(kdp)|(\|lc)|(penalty))" /e /r /s</v>
      </c>
      <c r="AG147" s="1" t="str">
        <f t="shared" si="102"/>
        <v>EC</v>
      </c>
      <c r="AH147" s="95" t="str">
        <f t="shared" si="112"/>
        <v>"%USERPROFILE%\Documents\GitHub\eaglep3\Utilities\RefineRTDCRunTimes.py" --tripid 230-08 --locoid 4054 --swversion DE.1.0.7.0 --startMP 204:232990 --initTime 2016-10-08T21:51:43 --startdatetime 2016-10-08T21:56:40 --delay 0 --endMP 204:141 --enddatetime 2016-10-08T22:33:39 --enforcementcount 1 &gt;&gt;C:\Users\stu\Documents\GitHub\eaglep3-reporting\EC\2016-10-08-refined-times.txt</v>
      </c>
      <c r="AI147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ID","value":"230-08"},{"id":16,"name":"Locomotive ID","value":"4054"},{"id":130,"name":"Impact","value":""},{"id":150,"name":"Time of Event (Mountain Time)","value":"22:33:39"},{"id":151,"name":"Denver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579</v>
      </c>
      <c r="B148" s="7">
        <v>4038</v>
      </c>
      <c r="C148" s="24" t="s">
        <v>106</v>
      </c>
      <c r="D148" s="24" t="s">
        <v>267</v>
      </c>
      <c r="E148" s="15">
        <v>42651.888425925928</v>
      </c>
      <c r="F148" s="15">
        <v>42651.895972222221</v>
      </c>
      <c r="G148" s="7">
        <v>1</v>
      </c>
      <c r="H148" s="15" t="s">
        <v>223</v>
      </c>
      <c r="I148" s="15">
        <v>42651.920439814814</v>
      </c>
      <c r="J148" s="7">
        <v>1</v>
      </c>
      <c r="K148" s="116" t="str">
        <f t="shared" si="93"/>
        <v>4037/4038</v>
      </c>
      <c r="L148" s="24" t="str">
        <f>VLOOKUP(A148,'Trips&amp;Operators'!$C$1:$E$10000,3,FALSE)</f>
        <v>NEWELL</v>
      </c>
      <c r="M148" s="6">
        <f t="shared" si="94"/>
        <v>2.4467592593282461E-2</v>
      </c>
      <c r="N148" s="7">
        <f t="shared" si="108"/>
        <v>35.233333334326744</v>
      </c>
      <c r="O148" s="7"/>
      <c r="P148" s="7"/>
      <c r="Q148" s="25"/>
      <c r="R148" s="25"/>
      <c r="S148" s="37">
        <f t="shared" si="103"/>
        <v>1</v>
      </c>
      <c r="T148" s="52" t="str">
        <f t="shared" si="95"/>
        <v>NorthBound</v>
      </c>
      <c r="U148" s="15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20:19:20-0600',mode:absolute,to:'2016-10-08 23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8" s="54" t="str">
        <f t="shared" si="97"/>
        <v>N</v>
      </c>
      <c r="X148" s="163">
        <f>VALUE(LEFT(AD148,4))-VALUE(LEFT(AD147,4))</f>
        <v>1</v>
      </c>
      <c r="Y148" s="69">
        <f t="shared" si="110"/>
        <v>4.5999999999999999E-2</v>
      </c>
      <c r="Z148" s="69">
        <f t="shared" si="111"/>
        <v>23.3293</v>
      </c>
      <c r="AA148" s="69">
        <f t="shared" si="100"/>
        <v>23.283300000000001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101"/>
        <v>0231-08</v>
      </c>
      <c r="AE148" s="94" t="str">
        <f t="shared" si="104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48" s="91" t="str">
        <f t="shared" si="105"/>
        <v>"C:\Program Files (x86)\AstroGrep\AstroGrep.exe" /spath="%USERPROFILE%\AppData\Local\Temp\OnboardLogs" /stypes="app*4038*20161009*" /stext=" 04:.+((SYSTEM_STATE.+slice.+state.+changed )|(ment ac)|(system.+state.+changed )|(\[timeout)|(PRM\|1\|D)|(kpr)|(kdp)|(\|lc)|(penalty))" /e /r /s</v>
      </c>
      <c r="AG148" s="1" t="str">
        <f t="shared" si="102"/>
        <v>EC</v>
      </c>
      <c r="AH148" s="95" t="str">
        <f t="shared" si="112"/>
        <v>"%USERPROFILE%\Documents\GitHub\eaglep3\Utilities\RefineRTDCRunTimes.py" --tripid 231-08 --locoid 4038 --swversion DE.1.0.7.0 --startMP 204:460 --initTime 2016-10-08T21:19:20 --startdatetime 2016-10-08T21:30:12 --delay 1 --endMP 204:233293 --enddatetime 2016-10-08T22:05:26 --enforcementcount 1 &gt;&gt;C:\Users\stu\Documents\GitHub\eaglep3-reporting\EC\2016-10-08-refined-times.txt</v>
      </c>
      <c r="AI148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{"issue":{"subject":"","project_id":79,"tracker_id":40,"status_id":1,"priority_id":2,"assigned_to_id":23,"start_date":"2016-10-08","description":"","custom_fields":[{"id":1,"name":"Subdivision","value":"EC"},{"id":4,"name":"Milepost","value":"23.3293"},{"id":17,"name":"Train ID","value":"231-08"},{"id":16,"name":"Locomotive ID","value":"4038"},{"id":130,"name":"Impact","value":""},{"id":150,"name":"Time of Event (Mountain Time)","value":"22:05:26"},{"id":151,"name":"Denver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583</v>
      </c>
      <c r="B149" s="7">
        <v>4037</v>
      </c>
      <c r="C149" s="24" t="s">
        <v>106</v>
      </c>
      <c r="D149" s="24" t="s">
        <v>625</v>
      </c>
      <c r="E149" s="15">
        <v>42651.923703703702</v>
      </c>
      <c r="F149" s="15">
        <v>42651.935370370367</v>
      </c>
      <c r="G149" s="7">
        <v>1</v>
      </c>
      <c r="H149" s="15" t="s">
        <v>188</v>
      </c>
      <c r="I149" s="15">
        <v>42651.961574074077</v>
      </c>
      <c r="J149" s="7">
        <v>1</v>
      </c>
      <c r="K149" s="116" t="str">
        <f t="shared" si="93"/>
        <v>4037/4038</v>
      </c>
      <c r="L149" s="24" t="str">
        <f>VLOOKUP(A149,'Trips&amp;Operators'!$C$1:$E$10000,3,FALSE)</f>
        <v>NEWELL</v>
      </c>
      <c r="M149" s="6">
        <f t="shared" si="94"/>
        <v>2.620370371005265E-2</v>
      </c>
      <c r="N149" s="7">
        <f t="shared" si="108"/>
        <v>37.733333342475817</v>
      </c>
      <c r="O149" s="7"/>
      <c r="P149" s="7"/>
      <c r="Q149" s="25"/>
      <c r="R149" s="25"/>
      <c r="S149" s="37">
        <f t="shared" si="103"/>
        <v>1</v>
      </c>
      <c r="T149" s="52" t="str">
        <f t="shared" si="95"/>
        <v>Southbound</v>
      </c>
      <c r="U149" s="15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21:10:08-0600',mode:absolute,to:'2016-10-09 00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9" s="54" t="str">
        <f t="shared" si="97"/>
        <v>N</v>
      </c>
      <c r="X149" s="163">
        <f>VALUE(LEFT(AD149,4))-VALUE(LEFT(AD148,4))</f>
        <v>1</v>
      </c>
      <c r="Y149" s="69">
        <f t="shared" si="110"/>
        <v>23.296800000000001</v>
      </c>
      <c r="Z149" s="69">
        <f t="shared" si="111"/>
        <v>1.49E-2</v>
      </c>
      <c r="AA149" s="69">
        <f t="shared" si="100"/>
        <v>23.2819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101"/>
        <v>0232-08</v>
      </c>
      <c r="AE149" s="94" t="str">
        <f t="shared" si="104"/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AF149" s="91" t="str">
        <f t="shared" si="105"/>
        <v>"C:\Program Files (x86)\AstroGrep\AstroGrep.exe" /spath="%USERPROFILE%\AppData\Local\Temp\OnboardLogs" /stypes="app*4037*20161009*" /stext=" 05:.+((SYSTEM_STATE.+slice.+state.+changed )|(ment ac)|(system.+state.+changed )|(\[timeout)|(PRM\|1\|D)|(kpr)|(kdp)|(\|lc)|(penalty))" /e /r /s</v>
      </c>
      <c r="AG149" s="1" t="str">
        <f t="shared" si="102"/>
        <v>EC</v>
      </c>
      <c r="AH149" s="95" t="str">
        <f t="shared" si="112"/>
        <v>"%USERPROFILE%\Documents\GitHub\eaglep3\Utilities\RefineRTDCRunTimes.py" --tripid 232-08 --locoid 4037 --swversion DE.1.0.7.0 --startMP 204:232968 --initTime 2016-10-08T22:10:08 --startdatetime 2016-10-08T22:26:56 --delay 1 --endMP 204:149 --enddatetime 2016-10-08T23:04:40 --enforcementcount 1 &gt;&gt;C:\Users\stu\Documents\GitHub\eaglep3-reporting\EC\2016-10-08-refined-times.txt</v>
      </c>
      <c r="AI149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{"issue":{"subject":"","project_id":79,"tracker_id":40,"status_id":1,"priority_id":2,"assigned_to_id":23,"start_date":"2016-10-08","description":"","custom_fields":[{"id":1,"name":"Subdivision","value":"EC"},{"id":4,"name":"Milepost","value":"0.0149"},{"id":17,"name":"Train ID","value":"232-08"},{"id":16,"name":"Locomotive ID","value":"4037"},{"id":130,"name":"Impact","value":""},{"id":150,"name":"Time of Event (Mountain Time)","value":"23:04:40"},{"id":151,"name":"Denver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761</v>
      </c>
      <c r="B150" s="7"/>
      <c r="C150" s="24" t="s">
        <v>106</v>
      </c>
      <c r="D150" s="24" t="s">
        <v>625</v>
      </c>
      <c r="E150" s="15">
        <v>42651.923703703702</v>
      </c>
      <c r="F150" s="15"/>
      <c r="G150" s="7">
        <v>1</v>
      </c>
      <c r="H150" s="15" t="s">
        <v>188</v>
      </c>
      <c r="I150" s="15"/>
      <c r="J150" s="7">
        <v>1</v>
      </c>
      <c r="K150" s="116" t="str">
        <f t="shared" si="93"/>
        <v>-1/</v>
      </c>
      <c r="L150" s="24" t="e">
        <f>VLOOKUP(A150,'Trips&amp;Operators'!$C$1:$E$10000,3,FALSE)</f>
        <v>#N/A</v>
      </c>
      <c r="M150" s="6">
        <f t="shared" si="94"/>
        <v>0</v>
      </c>
      <c r="N150" s="7"/>
      <c r="O150" s="7"/>
      <c r="P150" s="7">
        <v>1</v>
      </c>
      <c r="Q150" s="25"/>
      <c r="R150" s="25" t="s">
        <v>283</v>
      </c>
      <c r="S150" s="37">
        <f t="shared" si="103"/>
        <v>0</v>
      </c>
      <c r="T150" s="52" t="str">
        <f t="shared" si="95"/>
        <v>NorthBound</v>
      </c>
      <c r="U150" s="15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21:10:08-0600',mode:absolute,to:'1900-01-00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0" s="54" t="str">
        <f t="shared" si="97"/>
        <v>Y</v>
      </c>
      <c r="X150" s="163">
        <f>VALUE(LEFT(AD150,4))-VALUE(LEFT(AD149,4))</f>
        <v>1</v>
      </c>
      <c r="Y150" s="69">
        <v>0</v>
      </c>
      <c r="Z150" s="69">
        <v>0</v>
      </c>
      <c r="AA150" s="69">
        <f t="shared" si="100"/>
        <v>0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101"/>
        <v>0233-08</v>
      </c>
      <c r="AE150" s="94" t="str">
        <f t="shared" si="104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0" s="91" t="str">
        <f t="shared" si="105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50" s="1" t="str">
        <f t="shared" si="102"/>
        <v>EC</v>
      </c>
      <c r="AH150" s="95" t="str">
        <f t="shared" ref="AH150" si="114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233-08 --locoid  --swversion DE.1.0.7.0 --startMP 204:232968 --initTime 2016-10-08T22:10:08 --startdatetime 1900-01-00T00:00:00 --delay 1 --endMP 204:149 --enddatetime 1900-01-00T00:00:00 --enforcementcount 1 &gt;&gt;C:\Users\stu\Documents\GitHub\eaglep3-reporting\EC\2016-10-08-refined-times.txt</v>
      </c>
      <c r="AI150" s="129" t="str">
        <f t="shared" ref="AI150" si="115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init","project_id":79,"tracker_id":40,"status_id":1,"priority_id":2,"assigned_to_id":23,"start_date":"1900-01-00","description":"","custom_fields":[{"id":1,"name":"Subdivision","value":"EC"},{"id":4,"name":"Milepost","value":"0"},{"id":17,"name":"Train ID","value":"233-08"},{"id":16,"name":"Locomotive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587</v>
      </c>
      <c r="B151" s="7">
        <v>4032</v>
      </c>
      <c r="C151" s="24" t="s">
        <v>106</v>
      </c>
      <c r="D151" s="24" t="s">
        <v>234</v>
      </c>
      <c r="E151" s="15">
        <v>42651.946817129632</v>
      </c>
      <c r="F151" s="15">
        <v>42651.955810185187</v>
      </c>
      <c r="G151" s="7">
        <v>2</v>
      </c>
      <c r="H151" s="15" t="s">
        <v>227</v>
      </c>
      <c r="I151" s="15">
        <v>42651.983460648145</v>
      </c>
      <c r="J151" s="7">
        <v>1</v>
      </c>
      <c r="K151" s="116" t="str">
        <f t="shared" si="93"/>
        <v>4031/4032</v>
      </c>
      <c r="L151" s="24" t="str">
        <f>VLOOKUP(A151,'Trips&amp;Operators'!$C$1:$E$10000,3,FALSE)</f>
        <v>STURGEON</v>
      </c>
      <c r="M151" s="6">
        <f t="shared" si="94"/>
        <v>2.7650462958263233E-2</v>
      </c>
      <c r="N151" s="7">
        <f t="shared" ref="N151:N182" si="116">24*60*SUM($M151:$M151)</f>
        <v>39.816666659899056</v>
      </c>
      <c r="O151" s="7"/>
      <c r="P151" s="7"/>
      <c r="Q151" s="25"/>
      <c r="R151" s="25"/>
      <c r="S151" s="37">
        <f t="shared" si="103"/>
        <v>1</v>
      </c>
      <c r="T151" s="52" t="str">
        <f t="shared" si="95"/>
        <v>Southbound</v>
      </c>
      <c r="U151" s="15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21:43:25-0600',mode:absolute,to:'2016-10-09 00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1" s="54" t="str">
        <f t="shared" si="97"/>
        <v>N</v>
      </c>
      <c r="X151" s="163">
        <f t="shared" ref="X151:X152" si="117">VALUE(LEFT(AD151,4))-VALUE(LEFT(AD150,4))</f>
        <v>1</v>
      </c>
      <c r="Y151" s="69">
        <f t="shared" ref="Y151:Y182" si="118">RIGHT(D151,LEN(D151)-4)/10000</f>
        <v>23.296900000000001</v>
      </c>
      <c r="Z151" s="69">
        <f t="shared" ref="Z151:Z182" si="119">RIGHT(H151,LEN(H151)-4)/10000</f>
        <v>1.61E-2</v>
      </c>
      <c r="AA151" s="69">
        <f t="shared" si="100"/>
        <v>23.280799999999999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101"/>
        <v>0234-08</v>
      </c>
      <c r="AE151" s="94" t="str">
        <f t="shared" si="104"/>
        <v>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 &amp; 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</v>
      </c>
      <c r="AF151" s="91" t="str">
        <f t="shared" si="105"/>
        <v>"C:\Program Files (x86)\AstroGrep\AstroGrep.exe" /spath="%USERPROFILE%\AppData\Local\Temp\OnboardLogs" /stypes="app*4032*20161009*" /stext=" 05:.+((SYSTEM_STATE.+slice.+state.+changed )|(ment ac)|(system.+state.+changed )|(\[timeout)|(PRM\|1\|D)|(kpr)|(kdp)|(\|lc)|(penalty))" /e /r /s</v>
      </c>
      <c r="AG151" s="1" t="str">
        <f t="shared" si="102"/>
        <v>EC</v>
      </c>
      <c r="AH151" s="95" t="str">
        <f t="shared" si="112"/>
        <v>"%USERPROFILE%\Documents\GitHub\eaglep3\Utilities\RefineRTDCRunTimes.py" --tripid 234-08 --locoid 4032 --swversion DE.1.0.7.0 --startMP 204:232969 --initTime 2016-10-08T22:43:25 --startdatetime 2016-10-08T22:56:22 --delay 2 --endMP 204:161 --enddatetime 2016-10-08T23:36:11 --enforcementcount 1 &gt;&gt;C:\Users\stu\Documents\GitHub\eaglep3-reporting\EC\2016-10-08-refined-times.txt</v>
      </c>
      <c r="AI151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{"issue":{"subject":"","project_id":79,"tracker_id":40,"status_id":1,"priority_id":2,"assigned_to_id":23,"start_date":"2016-10-08","description":"","custom_fields":[{"id":1,"name":"Subdivision","value":"EC"},{"id":4,"name":"Milepost","value":"0.0161"},{"id":17,"name":"Train ID","value":"234-08"},{"id":16,"name":"Locomotive ID","value":"4032"},{"id":130,"name":"Impact","value":""},{"id":150,"name":"Time of Event (Mountain Time)","value":"23:36:11"},{"id":151,"name":"Denver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585</v>
      </c>
      <c r="B152" s="7">
        <v>4044</v>
      </c>
      <c r="C152" s="24" t="s">
        <v>106</v>
      </c>
      <c r="D152" s="24" t="s">
        <v>296</v>
      </c>
      <c r="E152" s="15">
        <v>42651.936342592591</v>
      </c>
      <c r="F152" s="15">
        <v>42651.937916666669</v>
      </c>
      <c r="G152" s="7">
        <v>1</v>
      </c>
      <c r="H152" s="15" t="s">
        <v>706</v>
      </c>
      <c r="I152" s="15">
        <v>42651.963599537034</v>
      </c>
      <c r="J152" s="7">
        <v>1</v>
      </c>
      <c r="K152" s="116" t="str">
        <f t="shared" si="93"/>
        <v>4043/4044</v>
      </c>
      <c r="L152" s="24" t="str">
        <f>VLOOKUP(A152,'Trips&amp;Operators'!$C$1:$E$10000,3,FALSE)</f>
        <v>CHANDLER</v>
      </c>
      <c r="M152" s="6">
        <f t="shared" si="94"/>
        <v>2.5682870364107657E-2</v>
      </c>
      <c r="N152" s="7">
        <f t="shared" si="116"/>
        <v>36.983333324315026</v>
      </c>
      <c r="O152" s="7"/>
      <c r="P152" s="7"/>
      <c r="Q152" s="25"/>
      <c r="R152" s="25"/>
      <c r="S152" s="37">
        <f t="shared" si="103"/>
        <v>1</v>
      </c>
      <c r="T152" s="52" t="str">
        <f t="shared" si="95"/>
        <v>NorthBound</v>
      </c>
      <c r="U152" s="15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21:28:20-0600',mode:absolute,to:'2016-10-09 00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2" s="54" t="str">
        <f t="shared" si="97"/>
        <v>N</v>
      </c>
      <c r="X152" s="163">
        <f t="shared" si="117"/>
        <v>1</v>
      </c>
      <c r="Y152" s="69">
        <f t="shared" si="118"/>
        <v>4.7500000000000001E-2</v>
      </c>
      <c r="Z152" s="69">
        <f t="shared" si="119"/>
        <v>23.33</v>
      </c>
      <c r="AA152" s="69">
        <f t="shared" si="100"/>
        <v>23.282499999999999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101"/>
        <v>0235-08</v>
      </c>
      <c r="AE152" s="94" t="str">
        <f t="shared" si="104"/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AF152" s="91" t="str">
        <f t="shared" si="105"/>
        <v>"C:\Program Files (x86)\AstroGrep\AstroGrep.exe" /spath="%USERPROFILE%\AppData\Local\Temp\OnboardLogs" /stypes="app*4044*20161009*" /stext=" 05:.+((SYSTEM_STATE.+slice.+state.+changed )|(ment ac)|(system.+state.+changed )|(\[timeout)|(PRM\|1\|D)|(kpr)|(kdp)|(\|lc)|(penalty))" /e /r /s</v>
      </c>
      <c r="AG152" s="1" t="str">
        <f t="shared" si="102"/>
        <v>EC</v>
      </c>
      <c r="AH152" s="95" t="str">
        <f t="shared" si="112"/>
        <v>"%USERPROFILE%\Documents\GitHub\eaglep3\Utilities\RefineRTDCRunTimes.py" --tripid 235-08 --locoid 4044 --swversion DE.1.0.7.0 --startMP 204:475 --initTime 2016-10-08T22:28:20 --startdatetime 2016-10-08T22:30:36 --delay 1 --endMP 204:233300 --enddatetime 2016-10-08T23:07:35 --enforcementcount 1 &gt;&gt;C:\Users\stu\Documents\GitHub\eaglep3-reporting\EC\2016-10-08-refined-times.txt</v>
      </c>
      <c r="AI152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{"issue":{"subject":"","project_id":79,"tracker_id":40,"status_id":1,"priority_id":2,"assigned_to_id":23,"start_date":"2016-10-08","description":"","custom_fields":[{"id":1,"name":"Subdivision","value":"EC"},{"id":4,"name":"Milepost","value":"23.33"},{"id":17,"name":"Train ID","value":"235-08"},{"id":16,"name":"Locomotive ID","value":"4044"},{"id":130,"name":"Impact","value":""},{"id":150,"name":"Time of Event (Mountain Time)","value":"23:07:35"},{"id":151,"name":"Denver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590</v>
      </c>
      <c r="B153" s="7">
        <v>4043</v>
      </c>
      <c r="C153" s="24" t="s">
        <v>106</v>
      </c>
      <c r="D153" s="24" t="s">
        <v>315</v>
      </c>
      <c r="E153" s="15">
        <v>42651.975856481484</v>
      </c>
      <c r="F153" s="15">
        <v>42651.97693287037</v>
      </c>
      <c r="G153" s="7">
        <v>1</v>
      </c>
      <c r="H153" s="15" t="s">
        <v>609</v>
      </c>
      <c r="I153" s="15">
        <v>42652.003958333335</v>
      </c>
      <c r="J153" s="7">
        <v>1</v>
      </c>
      <c r="K153" s="116" t="str">
        <f t="shared" si="93"/>
        <v>4043/4044</v>
      </c>
      <c r="L153" s="24" t="str">
        <f>VLOOKUP(A153,'Trips&amp;Operators'!$C$1:$E$10000,3,FALSE)</f>
        <v>CHANDLER</v>
      </c>
      <c r="M153" s="6">
        <f t="shared" si="94"/>
        <v>2.7025462964957114E-2</v>
      </c>
      <c r="N153" s="7">
        <f t="shared" si="116"/>
        <v>38.916666669538245</v>
      </c>
      <c r="O153" s="7"/>
      <c r="P153" s="7"/>
      <c r="Q153" s="25"/>
      <c r="R153" s="25"/>
      <c r="S153" s="37">
        <f t="shared" si="103"/>
        <v>1</v>
      </c>
      <c r="T153" s="52" t="str">
        <f t="shared" si="95"/>
        <v>Southbound</v>
      </c>
      <c r="U153" s="15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22:25:14-0600',mode:absolute,to:'2016-10-09 01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3" s="54" t="str">
        <f t="shared" si="97"/>
        <v>N</v>
      </c>
      <c r="X153" s="163">
        <f t="shared" ref="X153:X161" si="120">VALUE(LEFT(AD153,4))-VALUE(LEFT(AD152,4))</f>
        <v>1</v>
      </c>
      <c r="Y153" s="69">
        <f t="shared" si="118"/>
        <v>23.299099999999999</v>
      </c>
      <c r="Z153" s="69">
        <f t="shared" si="119"/>
        <v>1.6899999999999998E-2</v>
      </c>
      <c r="AA153" s="69">
        <f t="shared" si="100"/>
        <v>23.2822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101"/>
        <v>0236-08</v>
      </c>
      <c r="AE153" s="94" t="str">
        <f t="shared" si="104"/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AF153" s="91" t="str">
        <f t="shared" si="105"/>
        <v>"C:\Program Files (x86)\AstroGrep\AstroGrep.exe" /spath="%USERPROFILE%\AppData\Local\Temp\OnboardLogs" /stypes="app*4043*20161009*" /stext=" 06:.+((SYSTEM_STATE.+slice.+state.+changed )|(ment ac)|(system.+state.+changed )|(\[timeout)|(PRM\|1\|D)|(kpr)|(kdp)|(\|lc)|(penalty))" /e /r /s</v>
      </c>
      <c r="AG153" s="1" t="str">
        <f t="shared" si="102"/>
        <v>EC</v>
      </c>
      <c r="AH153" s="95" t="str">
        <f t="shared" si="112"/>
        <v>"%USERPROFILE%\Documents\GitHub\eaglep3\Utilities\RefineRTDCRunTimes.py" --tripid 236-08 --locoid 4043 --swversion DE.1.0.7.0 --startMP 204:232991 --initTime 2016-10-08T23:25:14 --startdatetime 2016-10-08T23:26:47 --delay 1 --endMP 204:169 --enddatetime 2016-10-09T00:05:42 --enforcementcount 1 &gt;&gt;C:\Users\stu\Documents\GitHub\eaglep3-reporting\EC\2016-10-08-refined-times.txt</v>
      </c>
      <c r="AI153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{"issue":{"subject":"","project_id":79,"tracker_id":40,"status_id":1,"priority_id":2,"assigned_to_id":23,"start_date":"2016-10-09","description":"","custom_fields":[{"id":1,"name":"Subdivision","value":"EC"},{"id":4,"name":"Milepost","value":"0.0169"},{"id":17,"name":"Train ID","value":"236-08"},{"id":16,"name":"Locomotive ID","value":"4043"},{"id":130,"name":"Impact","value":""},{"id":150,"name":"Time of Event (Mountain Time)","value":"00:05:42"},{"id":151,"name":"Denver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588</v>
      </c>
      <c r="B154" s="7">
        <v>4053</v>
      </c>
      <c r="C154" s="24" t="s">
        <v>106</v>
      </c>
      <c r="D154" s="24" t="s">
        <v>298</v>
      </c>
      <c r="E154" s="15">
        <v>42651.9528587963</v>
      </c>
      <c r="F154" s="15">
        <v>42651.95853009259</v>
      </c>
      <c r="G154" s="7">
        <v>1</v>
      </c>
      <c r="H154" s="15" t="s">
        <v>211</v>
      </c>
      <c r="I154" s="15">
        <v>42651.983715277776</v>
      </c>
      <c r="J154" s="7">
        <v>1</v>
      </c>
      <c r="K154" s="116" t="str">
        <f t="shared" si="93"/>
        <v>4053/4054</v>
      </c>
      <c r="L154" s="24" t="str">
        <f>VLOOKUP(A154,'Trips&amp;Operators'!$C$1:$E$10000,3,FALSE)</f>
        <v>LEVIN</v>
      </c>
      <c r="M154" s="6">
        <f t="shared" si="94"/>
        <v>2.5185185186273884E-2</v>
      </c>
      <c r="N154" s="7">
        <f t="shared" si="116"/>
        <v>36.266666668234393</v>
      </c>
      <c r="O154" s="7"/>
      <c r="P154" s="7"/>
      <c r="Q154" s="25"/>
      <c r="R154" s="25"/>
      <c r="S154" s="37">
        <f t="shared" si="103"/>
        <v>1</v>
      </c>
      <c r="T154" s="52" t="str">
        <f t="shared" si="95"/>
        <v>NorthBound</v>
      </c>
      <c r="U154" s="15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21:52:07-0600',mode:absolute,to:'2016-10-09 00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4" s="54" t="str">
        <f t="shared" si="97"/>
        <v>N</v>
      </c>
      <c r="X154" s="163">
        <f t="shared" si="120"/>
        <v>1</v>
      </c>
      <c r="Y154" s="69">
        <f t="shared" si="118"/>
        <v>4.3999999999999997E-2</v>
      </c>
      <c r="Z154" s="69">
        <f t="shared" si="119"/>
        <v>23.331199999999999</v>
      </c>
      <c r="AA154" s="69">
        <f t="shared" si="100"/>
        <v>23.287199999999999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101"/>
        <v>0237-08</v>
      </c>
      <c r="AE154" s="94" t="str">
        <f t="shared" si="104"/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AF154" s="91" t="str">
        <f t="shared" si="105"/>
        <v>"C:\Program Files (x86)\AstroGrep\AstroGrep.exe" /spath="%USERPROFILE%\AppData\Local\Temp\OnboardLogs" /stypes="app*4053*20161009*" /stext=" 05:.+((SYSTEM_STATE.+slice.+state.+changed )|(ment ac)|(system.+state.+changed )|(\[timeout)|(PRM\|1\|D)|(kpr)|(kdp)|(\|lc)|(penalty))" /e /r /s</v>
      </c>
      <c r="AG154" s="1" t="str">
        <f t="shared" si="102"/>
        <v>EC</v>
      </c>
      <c r="AH154" s="95" t="str">
        <f t="shared" si="112"/>
        <v>"%USERPROFILE%\Documents\GitHub\eaglep3\Utilities\RefineRTDCRunTimes.py" --tripid 237-08 --locoid 4053 --swversion DE.1.0.7.0 --startMP 204:440 --initTime 2016-10-08T22:52:07 --startdatetime 2016-10-08T23:00:17 --delay 1 --endMP 204:233312 --enddatetime 2016-10-08T23:36:33 --enforcementcount 1 &gt;&gt;C:\Users\stu\Documents\GitHub\eaglep3-reporting\EC\2016-10-08-refined-times.txt</v>
      </c>
      <c r="AI154" s="129" t="str">
        <f t="shared" si="113"/>
        <v>echo {"issue":{"subject":"","project_id":79,"tracker_id":40,"status_id":1,"priority_id":2,"assigned_to_id":23,"start_date":"2016-10-08","description":"","custom_fields":[{"id":1,"name":"Subdivision","value":"EC"},{"id":4,"name":"Milepost","value":"23.3312"},{"id":17,"name":"Train ID","value":"237-08"},{"id":16,"name":"Locomotive ID","value":"4053"},{"id":130,"name":"Impact","value":""},{"id":150,"name":"Time of Event (Mountain Time)","value":"23:36:33"},{"id":151,"name":"Denver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592</v>
      </c>
      <c r="B155" s="7">
        <v>4054</v>
      </c>
      <c r="C155" s="24" t="s">
        <v>106</v>
      </c>
      <c r="D155" s="24" t="s">
        <v>276</v>
      </c>
      <c r="E155" s="15">
        <v>42651.993506944447</v>
      </c>
      <c r="F155" s="15">
        <v>42651.997407407405</v>
      </c>
      <c r="G155" s="7">
        <v>1</v>
      </c>
      <c r="H155" s="15" t="s">
        <v>707</v>
      </c>
      <c r="I155" s="15">
        <v>42652.0233912037</v>
      </c>
      <c r="J155" s="7">
        <v>1</v>
      </c>
      <c r="K155" s="116" t="str">
        <f t="shared" si="93"/>
        <v>4053/4054</v>
      </c>
      <c r="L155" s="24" t="str">
        <f>VLOOKUP(A155,'Trips&amp;Operators'!$C$1:$E$10000,3,FALSE)</f>
        <v>LEVIN</v>
      </c>
      <c r="M155" s="6">
        <f t="shared" si="94"/>
        <v>2.5983796294895001E-2</v>
      </c>
      <c r="N155" s="7">
        <f t="shared" si="116"/>
        <v>37.416666664648801</v>
      </c>
      <c r="O155" s="7"/>
      <c r="P155" s="7"/>
      <c r="Q155" s="25"/>
      <c r="R155" s="25"/>
      <c r="S155" s="37">
        <f t="shared" si="103"/>
        <v>1</v>
      </c>
      <c r="T155" s="52" t="str">
        <f t="shared" si="95"/>
        <v>Southbound</v>
      </c>
      <c r="U155" s="15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22:50:39-0600',mode:absolute,to:'2016-10-09 01:33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5" s="54" t="str">
        <f t="shared" si="97"/>
        <v>N</v>
      </c>
      <c r="X155" s="163">
        <f t="shared" si="120"/>
        <v>1</v>
      </c>
      <c r="Y155" s="69">
        <f t="shared" si="118"/>
        <v>23.298999999999999</v>
      </c>
      <c r="Z155" s="69">
        <f t="shared" si="119"/>
        <v>1.23E-2</v>
      </c>
      <c r="AA155" s="69">
        <f t="shared" si="100"/>
        <v>23.2867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101"/>
        <v>0238-08</v>
      </c>
      <c r="AE155" s="94" t="str">
        <f t="shared" si="104"/>
        <v>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 &amp; 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</v>
      </c>
      <c r="AF155" s="91" t="str">
        <f t="shared" si="105"/>
        <v>"C:\Program Files (x86)\AstroGrep\AstroGrep.exe" /spath="%USERPROFILE%\AppData\Local\Temp\OnboardLogs" /stypes="app*4054*20161009*" /stext=" 06:.+((SYSTEM_STATE.+slice.+state.+changed )|(ment ac)|(system.+state.+changed )|(\[timeout)|(PRM\|1\|D)|(kpr)|(kdp)|(\|lc)|(penalty))" /e /r /s</v>
      </c>
      <c r="AG155" s="1" t="str">
        <f t="shared" si="102"/>
        <v>EC</v>
      </c>
      <c r="AH155" s="95" t="str">
        <f t="shared" si="112"/>
        <v>"%USERPROFILE%\Documents\GitHub\eaglep3\Utilities\RefineRTDCRunTimes.py" --tripid 238-08 --locoid 4054 --swversion DE.1.0.7.0 --startMP 204:232990 --initTime 2016-10-08T23:50:39 --startdatetime 2016-10-08T23:56:16 --delay 1 --endMP 204:123 --enddatetime 2016-10-09T00:33:41 --enforcementcount 1 &gt;&gt;C:\Users\stu\Documents\GitHub\eaglep3-reporting\EC\2016-10-08-refined-times.txt</v>
      </c>
      <c r="AI155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{"issue":{"subject":"","project_id":79,"tracker_id":40,"status_id":1,"priority_id":2,"assigned_to_id":23,"start_date":"2016-10-09","description":"","custom_fields":[{"id":1,"name":"Subdivision","value":"EC"},{"id":4,"name":"Milepost","value":"0.0123"},{"id":17,"name":"Train ID","value":"238-08"},{"id":16,"name":"Locomotive ID","value":"4054"},{"id":130,"name":"Impact","value":""},{"id":150,"name":"Time of Event (Mountain Time)","value":"00:33:41"},{"id":151,"name":"Denver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589</v>
      </c>
      <c r="B156" s="7">
        <v>4038</v>
      </c>
      <c r="C156" s="24" t="s">
        <v>106</v>
      </c>
      <c r="D156" s="24" t="s">
        <v>200</v>
      </c>
      <c r="E156" s="15">
        <v>42651.970694444448</v>
      </c>
      <c r="F156" s="15">
        <v>42651.979305555556</v>
      </c>
      <c r="G156" s="7">
        <v>1</v>
      </c>
      <c r="H156" s="15" t="s">
        <v>706</v>
      </c>
      <c r="I156" s="15">
        <v>42652.003576388888</v>
      </c>
      <c r="J156" s="7">
        <v>1</v>
      </c>
      <c r="K156" s="116" t="str">
        <f t="shared" si="93"/>
        <v>4037/4038</v>
      </c>
      <c r="L156" s="24" t="str">
        <f>VLOOKUP(A156,'Trips&amp;Operators'!$C$1:$E$10000,3,FALSE)</f>
        <v>NEWELL</v>
      </c>
      <c r="M156" s="6">
        <f t="shared" si="94"/>
        <v>2.4270833331684116E-2</v>
      </c>
      <c r="N156" s="7">
        <f t="shared" si="116"/>
        <v>34.949999997625127</v>
      </c>
      <c r="O156" s="7"/>
      <c r="P156" s="7"/>
      <c r="Q156" s="25"/>
      <c r="R156" s="25"/>
      <c r="S156" s="37">
        <f t="shared" si="103"/>
        <v>1</v>
      </c>
      <c r="T156" s="52" t="str">
        <f t="shared" si="95"/>
        <v>NorthBound</v>
      </c>
      <c r="U156" s="15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22:17:48-0600',mode:absolute,to:'2016-10-09 01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6" s="54" t="str">
        <f t="shared" si="97"/>
        <v>N</v>
      </c>
      <c r="X156" s="163">
        <f t="shared" si="120"/>
        <v>1</v>
      </c>
      <c r="Y156" s="69">
        <f t="shared" si="118"/>
        <v>4.58E-2</v>
      </c>
      <c r="Z156" s="69">
        <f t="shared" si="119"/>
        <v>23.33</v>
      </c>
      <c r="AA156" s="69">
        <f t="shared" si="100"/>
        <v>23.284199999999998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101"/>
        <v>0239-08</v>
      </c>
      <c r="AE156" s="94" t="str">
        <f t="shared" si="104"/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AF156" s="91" t="str">
        <f t="shared" si="105"/>
        <v>"C:\Program Files (x86)\AstroGrep\AstroGrep.exe" /spath="%USERPROFILE%\AppData\Local\Temp\OnboardLogs" /stypes="app*4038*20161009*" /stext=" 06:.+((SYSTEM_STATE.+slice.+state.+changed )|(ment ac)|(system.+state.+changed )|(\[timeout)|(PRM\|1\|D)|(kpr)|(kdp)|(\|lc)|(penalty))" /e /r /s</v>
      </c>
      <c r="AG156" s="1" t="str">
        <f t="shared" si="102"/>
        <v>EC</v>
      </c>
      <c r="AH156" s="95" t="str">
        <f t="shared" si="112"/>
        <v>"%USERPROFILE%\Documents\GitHub\eaglep3\Utilities\RefineRTDCRunTimes.py" --tripid 239-08 --locoid 4038 --swversion DE.1.0.7.0 --startMP 204:458 --initTime 2016-10-08T23:17:48 --startdatetime 2016-10-08T23:30:12 --delay 1 --endMP 204:233300 --enddatetime 2016-10-09T00:05:09 --enforcementcount 1 &gt;&gt;C:\Users\stu\Documents\GitHub\eaglep3-reporting\EC\2016-10-08-refined-times.txt</v>
      </c>
      <c r="AI156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{"issue":{"subject":"","project_id":79,"tracker_id":40,"status_id":1,"priority_id":2,"assigned_to_id":23,"start_date":"2016-10-09","description":"","custom_fields":[{"id":1,"name":"Subdivision","value":"EC"},{"id":4,"name":"Milepost","value":"23.33"},{"id":17,"name":"Train ID","value":"239-08"},{"id":16,"name":"Locomotive ID","value":"4038"},{"id":130,"name":"Impact","value":""},{"id":150,"name":"Time of Event (Mountain Time)","value":"00:05:09"},{"id":151,"name":"Denver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593</v>
      </c>
      <c r="B157" s="7">
        <v>4037</v>
      </c>
      <c r="C157" s="24" t="s">
        <v>106</v>
      </c>
      <c r="D157" s="24" t="s">
        <v>279</v>
      </c>
      <c r="E157" s="15">
        <v>42652.01457175926</v>
      </c>
      <c r="F157" s="15">
        <v>42652.018206018518</v>
      </c>
      <c r="G157" s="7">
        <v>1</v>
      </c>
      <c r="H157" s="15" t="s">
        <v>704</v>
      </c>
      <c r="I157" s="15">
        <v>42652.045115740744</v>
      </c>
      <c r="J157" s="7">
        <v>1</v>
      </c>
      <c r="K157" s="116" t="str">
        <f t="shared" si="93"/>
        <v>4037/4038</v>
      </c>
      <c r="L157" s="24" t="str">
        <f>VLOOKUP(A157,'Trips&amp;Operators'!$C$1:$E$10000,3,FALSE)</f>
        <v>NEWELL</v>
      </c>
      <c r="M157" s="6">
        <f t="shared" si="94"/>
        <v>2.6909722226264421E-2</v>
      </c>
      <c r="N157" s="7">
        <f t="shared" si="116"/>
        <v>38.750000005820766</v>
      </c>
      <c r="O157" s="7"/>
      <c r="P157" s="7"/>
      <c r="Q157" s="25"/>
      <c r="R157" s="25"/>
      <c r="S157" s="37">
        <f t="shared" si="103"/>
        <v>1</v>
      </c>
      <c r="T157" s="52" t="str">
        <f t="shared" si="95"/>
        <v>Southbound</v>
      </c>
      <c r="U157" s="15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23:20:59-0600',mode:absolute,to:'2016-10-09 02:04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7" s="54" t="str">
        <f t="shared" si="97"/>
        <v>N</v>
      </c>
      <c r="X157" s="163">
        <f t="shared" si="120"/>
        <v>1</v>
      </c>
      <c r="Y157" s="69">
        <f t="shared" si="118"/>
        <v>23.2989</v>
      </c>
      <c r="Z157" s="69">
        <f t="shared" si="119"/>
        <v>1.6299999999999999E-2</v>
      </c>
      <c r="AA157" s="69">
        <f t="shared" si="100"/>
        <v>23.282599999999999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101"/>
        <v>0240-08</v>
      </c>
      <c r="AE157" s="94" t="str">
        <f t="shared" si="104"/>
        <v>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 &amp; 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</v>
      </c>
      <c r="AF157" s="91" t="str">
        <f t="shared" si="105"/>
        <v>"C:\Program Files (x86)\AstroGrep\AstroGrep.exe" /spath="%USERPROFILE%\AppData\Local\Temp\OnboardLogs" /stypes="app*4037*20161009*" /stext=" 07:.+((SYSTEM_STATE.+slice.+state.+changed )|(ment ac)|(system.+state.+changed )|(\[timeout)|(PRM\|1\|D)|(kpr)|(kdp)|(\|lc)|(penalty))" /e /r /s</v>
      </c>
      <c r="AG157" s="1" t="str">
        <f t="shared" si="102"/>
        <v>EC</v>
      </c>
      <c r="AH157" s="95" t="str">
        <f t="shared" si="112"/>
        <v>"%USERPROFILE%\Documents\GitHub\eaglep3\Utilities\RefineRTDCRunTimes.py" --tripid 240-08 --locoid 4037 --swversion DE.1.0.7.0 --startMP 204:232989 --initTime 2016-10-09T00:20:59 --startdatetime 2016-10-09T00:26:13 --delay 1 --endMP 204:163 --enddatetime 2016-10-09T01:04:58 --enforcementcount 1 &gt;&gt;C:\Users\stu\Documents\GitHub\eaglep3-reporting\EC\2016-10-08-refined-times.txt</v>
      </c>
      <c r="AI157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{"issue":{"subject":"","project_id":79,"tracker_id":40,"status_id":1,"priority_id":2,"assigned_to_id":23,"start_date":"2016-10-09","description":"","custom_fields":[{"id":1,"name":"Subdivision","value":"EC"},{"id":4,"name":"Milepost","value":"0.0163"},{"id":17,"name":"Train ID","value":"240-08"},{"id":16,"name":"Locomotive ID","value":"4037"},{"id":130,"name":"Impact","value":""},{"id":150,"name":"Time of Event (Mountain Time)","value":"01:04:58"},{"id":151,"name":"Denver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591</v>
      </c>
      <c r="B158" s="7">
        <v>4031</v>
      </c>
      <c r="C158" s="24" t="s">
        <v>106</v>
      </c>
      <c r="D158" s="24" t="s">
        <v>228</v>
      </c>
      <c r="E158" s="15">
        <v>42651.991226851853</v>
      </c>
      <c r="F158" s="15">
        <v>42652.000324074077</v>
      </c>
      <c r="G158" s="7">
        <v>2</v>
      </c>
      <c r="H158" s="15" t="s">
        <v>280</v>
      </c>
      <c r="I158" s="15">
        <v>42652.02516203704</v>
      </c>
      <c r="J158" s="7">
        <v>1</v>
      </c>
      <c r="K158" s="116" t="str">
        <f t="shared" si="93"/>
        <v>4031/4032</v>
      </c>
      <c r="L158" s="24" t="str">
        <f>VLOOKUP(A158,'Trips&amp;Operators'!$C$1:$E$10000,3,FALSE)</f>
        <v>STURGEON</v>
      </c>
      <c r="M158" s="6">
        <f t="shared" si="94"/>
        <v>2.4837962962919846E-2</v>
      </c>
      <c r="N158" s="7">
        <f t="shared" si="116"/>
        <v>35.766666666604578</v>
      </c>
      <c r="O158" s="7"/>
      <c r="P158" s="7"/>
      <c r="Q158" s="25"/>
      <c r="R158" s="25"/>
      <c r="S158" s="37">
        <f t="shared" si="103"/>
        <v>1</v>
      </c>
      <c r="T158" s="52" t="str">
        <f t="shared" si="95"/>
        <v>NorthBound</v>
      </c>
      <c r="U158" s="15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22:47:22-0600',mode:absolute,to:'2016-10-09 01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8" s="54" t="str">
        <f t="shared" si="97"/>
        <v>N</v>
      </c>
      <c r="X158" s="163">
        <f t="shared" si="120"/>
        <v>1</v>
      </c>
      <c r="Y158" s="69">
        <f t="shared" si="118"/>
        <v>4.7699999999999999E-2</v>
      </c>
      <c r="Z158" s="69">
        <f t="shared" si="119"/>
        <v>23.327000000000002</v>
      </c>
      <c r="AA158" s="69">
        <f t="shared" si="100"/>
        <v>23.279300000000003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101"/>
        <v>0241-08</v>
      </c>
      <c r="AE158" s="94" t="str">
        <f t="shared" si="104"/>
        <v>aws s3 cp s3://rtdc.mdm.uploadarchive.raw/RTDC4031/ "%USERPROFILE%\AppData\Local\Temp\OnboardLogs"\RTDC4031\2016-10-09 --exclude "*" --recursive --include "*20161009*" &amp; "%USERPROFILE%\Documents\GitHub\mrs-test-scripts\Headless Mode &amp; Sideloading\WalkAndUnGZ.bat" "%USERPROFILE%\AppData\Local\Temp\OnboardLogs"\RTDC4031\2016-10-09 &amp; aws s3 cp s3://rtdc.mdm.uploadarchive.raw/RTDC4031/ "%USERPROFILE%\AppData\Local\Temp\OnboardLogs"\RTDC4031\2016-10-10 --exclude "*" --recursive --include "*20161010*" &amp; "%USERPROFILE%\Documents\GitHub\mrs-test-scripts\Headless Mode &amp; Sideloading\WalkAndUnGZ.bat" "%USERPROFILE%\AppData\Local\Temp\OnboardLogs"\RTDC4031\2016-10-10</v>
      </c>
      <c r="AF158" s="91" t="str">
        <f t="shared" si="105"/>
        <v>"C:\Program Files (x86)\AstroGrep\AstroGrep.exe" /spath="%USERPROFILE%\AppData\Local\Temp\OnboardLogs" /stypes="app*4031*20161009*" /stext=" 06:.+((SYSTEM_STATE.+slice.+state.+changed )|(ment ac)|(system.+state.+changed )|(\[timeout)|(PRM\|1\|D)|(kpr)|(kdp)|(\|lc)|(penalty))" /e /r /s</v>
      </c>
      <c r="AG158" s="1" t="str">
        <f t="shared" si="102"/>
        <v>EC</v>
      </c>
      <c r="AH158" s="95" t="str">
        <f t="shared" si="112"/>
        <v>"%USERPROFILE%\Documents\GitHub\eaglep3\Utilities\RefineRTDCRunTimes.py" --tripid 241-08 --locoid 4031 --swversion DE.1.0.7.0 --startMP 204:477 --initTime 2016-10-08T23:47:22 --startdatetime 2016-10-09T00:00:28 --delay 2 --endMP 204:233270 --enddatetime 2016-10-09T00:36:14 --enforcementcount 1 &gt;&gt;C:\Users\stu\Documents\GitHub\eaglep3-reporting\EC\2016-10-08-refined-times.txt</v>
      </c>
      <c r="AI158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{"issue":{"subject":"","project_id":79,"tracker_id":40,"status_id":1,"priority_id":2,"assigned_to_id":23,"start_date":"2016-10-09","description":"","custom_fields":[{"id":1,"name":"Subdivision","value":"EC"},{"id":4,"name":"Milepost","value":"23.327"},{"id":17,"name":"Train ID","value":"241-08"},{"id":16,"name":"Locomotive ID","value":"4031"},{"id":130,"name":"Impact","value":""},{"id":150,"name":"Time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596</v>
      </c>
      <c r="B159" s="7">
        <v>4032</v>
      </c>
      <c r="C159" s="24" t="s">
        <v>106</v>
      </c>
      <c r="D159" s="24" t="s">
        <v>708</v>
      </c>
      <c r="E159" s="15">
        <v>42652.034837962965</v>
      </c>
      <c r="F159" s="15">
        <v>42652.039166666669</v>
      </c>
      <c r="G159" s="7">
        <v>1</v>
      </c>
      <c r="H159" s="15" t="s">
        <v>193</v>
      </c>
      <c r="I159" s="15">
        <v>42652.066064814811</v>
      </c>
      <c r="J159" s="7">
        <v>1</v>
      </c>
      <c r="K159" s="116" t="str">
        <f t="shared" si="93"/>
        <v>4031/4032</v>
      </c>
      <c r="L159" s="24" t="str">
        <f>VLOOKUP(A159,'Trips&amp;Operators'!$C$1:$E$10000,3,FALSE)</f>
        <v>STURGEON</v>
      </c>
      <c r="M159" s="6">
        <f t="shared" si="94"/>
        <v>2.6898148142208811E-2</v>
      </c>
      <c r="N159" s="7">
        <f t="shared" si="116"/>
        <v>38.733333324780688</v>
      </c>
      <c r="O159" s="7"/>
      <c r="P159" s="7"/>
      <c r="Q159" s="25"/>
      <c r="R159" s="25"/>
      <c r="S159" s="37">
        <f t="shared" si="103"/>
        <v>1</v>
      </c>
      <c r="T159" s="52" t="str">
        <f t="shared" si="95"/>
        <v>Southbound</v>
      </c>
      <c r="U159" s="15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23:50:10-0600',mode:absolute,to:'2016-10-09 02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9" s="54" t="str">
        <f t="shared" si="97"/>
        <v>N</v>
      </c>
      <c r="X159" s="163">
        <f t="shared" si="120"/>
        <v>1</v>
      </c>
      <c r="Y159" s="69">
        <f t="shared" si="118"/>
        <v>23.295200000000001</v>
      </c>
      <c r="Z159" s="69">
        <f t="shared" si="119"/>
        <v>1.4999999999999999E-2</v>
      </c>
      <c r="AA159" s="69">
        <f t="shared" si="100"/>
        <v>23.280200000000001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101"/>
        <v>0242-08</v>
      </c>
      <c r="AE159" s="94" t="str">
        <f t="shared" si="104"/>
        <v>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 &amp; aws s3 cp s3://rtdc.mdm.uploadarchive.raw/RTDC4032/ "%USERPROFILE%\AppData\Local\Temp\OnboardLogs"\RTDC4032\2016-10-10 --exclude "*" --recursive --include "*20161010*" &amp; "%USERPROFILE%\Documents\GitHub\mrs-test-scripts\Headless Mode &amp; Sideloading\WalkAndUnGZ.bat" "%USERPROFILE%\AppData\Local\Temp\OnboardLogs"\RTDC4032\2016-10-10</v>
      </c>
      <c r="AF159" s="91" t="str">
        <f t="shared" si="105"/>
        <v>"C:\Program Files (x86)\AstroGrep\AstroGrep.exe" /spath="%USERPROFILE%\AppData\Local\Temp\OnboardLogs" /stypes="app*4032*20161009*" /stext=" 07:.+((SYSTEM_STATE.+slice.+state.+changed )|(ment ac)|(system.+state.+changed )|(\[timeout)|(PRM\|1\|D)|(kpr)|(kdp)|(\|lc)|(penalty))" /e /r /s</v>
      </c>
      <c r="AG159" s="1" t="str">
        <f t="shared" si="102"/>
        <v>EC</v>
      </c>
      <c r="AH159" s="95" t="str">
        <f t="shared" si="112"/>
        <v>"%USERPROFILE%\Documents\GitHub\eaglep3\Utilities\RefineRTDCRunTimes.py" --tripid 242-08 --locoid 4032 --swversion DE.1.0.7.0 --startMP 204:232952 --initTime 2016-10-09T00:50:10 --startdatetime 2016-10-09T00:56:24 --delay 1 --endMP 204:150 --enddatetime 2016-10-09T01:35:08 --enforcementcount 1 &gt;&gt;C:\Users\stu\Documents\GitHub\eaglep3-reporting\EC\2016-10-08-refined-times.txt</v>
      </c>
      <c r="AI159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ID","value":"242-08"},{"id":16,"name":"Locomotive ID","value":"4032"},{"id":130,"name":"Impact","value":""},{"id":150,"name":"Time of Event (Mountain Time)","value":"01:35:08"},{"id":151,"name":"Denver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594</v>
      </c>
      <c r="B160" s="7">
        <v>4044</v>
      </c>
      <c r="C160" s="24" t="s">
        <v>106</v>
      </c>
      <c r="D160" s="24" t="s">
        <v>709</v>
      </c>
      <c r="E160" s="15">
        <v>42652.018726851849</v>
      </c>
      <c r="F160" s="15">
        <v>42652.021099537036</v>
      </c>
      <c r="G160" s="7">
        <v>2</v>
      </c>
      <c r="H160" s="15" t="s">
        <v>710</v>
      </c>
      <c r="I160" s="15">
        <v>42652.046666666669</v>
      </c>
      <c r="J160" s="7">
        <v>1</v>
      </c>
      <c r="K160" s="116" t="str">
        <f t="shared" si="93"/>
        <v>4043/4044</v>
      </c>
      <c r="L160" s="24" t="str">
        <f>VLOOKUP(A160,'Trips&amp;Operators'!$C$1:$E$10000,3,FALSE)</f>
        <v>CHANDLER</v>
      </c>
      <c r="M160" s="6">
        <f t="shared" si="94"/>
        <v>2.5567129632690921E-2</v>
      </c>
      <c r="N160" s="7">
        <f t="shared" si="116"/>
        <v>36.816666671074927</v>
      </c>
      <c r="O160" s="7"/>
      <c r="P160" s="7"/>
      <c r="Q160" s="25"/>
      <c r="R160" s="25"/>
      <c r="S160" s="37">
        <f t="shared" si="103"/>
        <v>1</v>
      </c>
      <c r="T160" s="52" t="str">
        <f t="shared" si="95"/>
        <v>NorthBound</v>
      </c>
      <c r="U160" s="15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https://search-rtdc-monitor-bjffxe2xuh6vdkpspy63sjmuny.us-east-1.es.amazonaws.com/_plugin/kibana/#/discover/Steve-Slow-Train-Analysis-(2080s-and-2083s)?_g=(refreshInterval:(display:Off,section:0,value:0),time:(from:'2016-10-08 23:26:58-0600',mode:absolute,to:'2016-10-09 02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0" s="54" t="str">
        <f t="shared" si="97"/>
        <v>N</v>
      </c>
      <c r="X160" s="163">
        <f t="shared" si="120"/>
        <v>1</v>
      </c>
      <c r="Y160" s="69">
        <f t="shared" si="118"/>
        <v>5.3100000000000001E-2</v>
      </c>
      <c r="Z160" s="69">
        <f t="shared" si="119"/>
        <v>23.325099999999999</v>
      </c>
      <c r="AA160" s="69">
        <f t="shared" si="100"/>
        <v>23.271999999999998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101"/>
        <v>0243-08</v>
      </c>
      <c r="AE160" s="94" t="str">
        <f t="shared" si="104"/>
        <v>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 &amp; 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</v>
      </c>
      <c r="AF160" s="91" t="str">
        <f t="shared" si="105"/>
        <v>"C:\Program Files (x86)\AstroGrep\AstroGrep.exe" /spath="%USERPROFILE%\AppData\Local\Temp\OnboardLogs" /stypes="app*4044*20161009*" /stext=" 07:.+((SYSTEM_STATE.+slice.+state.+changed )|(ment ac)|(system.+state.+changed )|(\[timeout)|(PRM\|1\|D)|(kpr)|(kdp)|(\|lc)|(penalty))" /e /r /s</v>
      </c>
      <c r="AG160" s="1" t="str">
        <f t="shared" si="102"/>
        <v>EC</v>
      </c>
      <c r="AH160" s="95" t="str">
        <f t="shared" si="112"/>
        <v>"%USERPROFILE%\Documents\GitHub\eaglep3\Utilities\RefineRTDCRunTimes.py" --tripid 243-08 --locoid 4044 --swversion DE.1.0.7.0 --startMP 204:531 --initTime 2016-10-09T00:26:58 --startdatetime 2016-10-09T00:30:23 --delay 2 --endMP 204:233251 --enddatetime 2016-10-09T01:07:12 --enforcementcount 1 &gt;&gt;C:\Users\stu\Documents\GitHub\eaglep3-reporting\EC\2016-10-08-refined-times.txt</v>
      </c>
      <c r="AI160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{"issue":{"subject":"","project_id":79,"tracker_id":40,"status_id":1,"priority_id":2,"assigned_to_id":23,"start_date":"2016-10-09","description":"","custom_fields":[{"id":1,"name":"Subdivision","value":"EC"},{"id":4,"name":"Milepost","value":"23.3251"},{"id":17,"name":"Train ID","value":"243-08"},{"id":16,"name":"Locomotive ID","value":"4044"},{"id":130,"name":"Impact","value":""},{"id":150,"name":"Time of Event (Mountain Time)","value":"01:07:12"},{"id":151,"name":"Denver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598</v>
      </c>
      <c r="B161" s="7">
        <v>4043</v>
      </c>
      <c r="C161" s="24" t="s">
        <v>106</v>
      </c>
      <c r="D161" s="24" t="s">
        <v>348</v>
      </c>
      <c r="E161" s="15">
        <v>42652.057881944442</v>
      </c>
      <c r="F161" s="15">
        <v>42652.060231481482</v>
      </c>
      <c r="G161" s="7">
        <v>1</v>
      </c>
      <c r="H161" s="15" t="s">
        <v>697</v>
      </c>
      <c r="I161" s="15">
        <v>42652.086886574078</v>
      </c>
      <c r="J161" s="7">
        <v>1</v>
      </c>
      <c r="K161" s="116" t="str">
        <f t="shared" si="93"/>
        <v>4043/4044</v>
      </c>
      <c r="L161" s="24" t="str">
        <f>VLOOKUP(A161,'Trips&amp;Operators'!$C$1:$E$10000,3,FALSE)</f>
        <v>CHANDLER</v>
      </c>
      <c r="M161" s="6">
        <f t="shared" si="94"/>
        <v>2.6655092595319729E-2</v>
      </c>
      <c r="N161" s="7">
        <f t="shared" si="116"/>
        <v>38.38333333726041</v>
      </c>
      <c r="O161" s="7"/>
      <c r="P161" s="7"/>
      <c r="Q161" s="25"/>
      <c r="R161" s="25"/>
      <c r="S161" s="37">
        <f t="shared" si="103"/>
        <v>1</v>
      </c>
      <c r="T161" s="52" t="str">
        <f t="shared" si="95"/>
        <v>Southbound</v>
      </c>
      <c r="U161" s="15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1" t="str">
        <f t="shared" si="96"/>
        <v>https://search-rtdc-monitor-bjffxe2xuh6vdkpspy63sjmuny.us-east-1.es.amazonaws.com/_plugin/kibana/#/discover/Steve-Slow-Train-Analysis-(2080s-and-2083s)?_g=(refreshInterval:(display:Off,section:0,value:0),time:(from:'2016-10-09 00:23:21-0600',mode:absolute,to:'2016-10-09 03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1" s="54" t="str">
        <f t="shared" si="97"/>
        <v>N</v>
      </c>
      <c r="X161" s="163">
        <f t="shared" si="120"/>
        <v>1</v>
      </c>
      <c r="Y161" s="69">
        <f t="shared" si="118"/>
        <v>23.295300000000001</v>
      </c>
      <c r="Z161" s="69">
        <f t="shared" si="119"/>
        <v>1.8100000000000002E-2</v>
      </c>
      <c r="AA161" s="69">
        <f t="shared" si="100"/>
        <v>23.277200000000001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101"/>
        <v>0244-08</v>
      </c>
      <c r="AE161" s="94" t="str">
        <f t="shared" si="104"/>
        <v>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 &amp; 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</v>
      </c>
      <c r="AF161" s="91" t="str">
        <f t="shared" si="105"/>
        <v>"C:\Program Files (x86)\AstroGrep\AstroGrep.exe" /spath="%USERPROFILE%\AppData\Local\Temp\OnboardLogs" /stypes="app*4043*20161009*" /stext=" 08:.+((SYSTEM_STATE.+slice.+state.+changed )|(ment ac)|(system.+state.+changed )|(\[timeout)|(PRM\|1\|D)|(kpr)|(kdp)|(\|lc)|(penalty))" /e /r /s</v>
      </c>
      <c r="AG161" s="1" t="str">
        <f t="shared" si="102"/>
        <v>EC</v>
      </c>
      <c r="AH161" s="95" t="str">
        <f t="shared" si="112"/>
        <v>"%USERPROFILE%\Documents\GitHub\eaglep3\Utilities\RefineRTDCRunTimes.py" --tripid 244-08 --locoid 4043 --swversion DE.1.0.7.0 --startMP 204:232953 --initTime 2016-10-09T01:23:21 --startdatetime 2016-10-09T01:26:44 --delay 1 --endMP 204:181 --enddatetime 2016-10-09T02:05:07 --enforcementcount 1 &gt;&gt;C:\Users\stu\Documents\GitHub\eaglep3-reporting\EC\2016-10-08-refined-times.txt</v>
      </c>
      <c r="AI161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{"issue":{"subject":"","project_id":79,"tracker_id":40,"status_id":1,"priority_id":2,"assigned_to_id":23,"start_date":"2016-10-09","description":"","custom_fields":[{"id":1,"name":"Subdivision","value":"EC"},{"id":4,"name":"Milepost","value":"0.0181"},{"id":17,"name":"Train ID","value":"244-08"},{"id":16,"name":"Locomotive ID","value":"4043"},{"id":130,"name":"Impact","value":""},{"id":150,"name":"Time of Event (Mountain Time)","value":"02:05:07"},{"id":151,"name":"Denver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595</v>
      </c>
      <c r="B162" s="7">
        <v>4053</v>
      </c>
      <c r="C162" s="24" t="s">
        <v>106</v>
      </c>
      <c r="D162" s="24" t="s">
        <v>242</v>
      </c>
      <c r="E162" s="15">
        <v>42652.034479166665</v>
      </c>
      <c r="F162" s="15">
        <v>42652.04210648148</v>
      </c>
      <c r="G162" s="7">
        <v>1</v>
      </c>
      <c r="H162" s="15" t="s">
        <v>302</v>
      </c>
      <c r="I162" s="15">
        <v>42652.066979166666</v>
      </c>
      <c r="J162" s="7">
        <v>1</v>
      </c>
      <c r="K162" s="116" t="str">
        <f t="shared" ref="K162:K193" si="121">IF(ISEVEN(B162),(B162-1)&amp;"/"&amp;B162,B162&amp;"/"&amp;(B162+1))</f>
        <v>4053/4054</v>
      </c>
      <c r="L162" s="24" t="str">
        <f>VLOOKUP(A162,'Trips&amp;Operators'!$C$1:$E$10000,3,FALSE)</f>
        <v>LEVIN</v>
      </c>
      <c r="M162" s="6">
        <f t="shared" ref="M162:M193" si="122">I162-F162</f>
        <v>2.4872685185982846E-2</v>
      </c>
      <c r="N162" s="7">
        <f t="shared" si="116"/>
        <v>35.816666667815298</v>
      </c>
      <c r="O162" s="7"/>
      <c r="P162" s="7"/>
      <c r="Q162" s="25"/>
      <c r="R162" s="25"/>
      <c r="S162" s="37">
        <f t="shared" si="103"/>
        <v>1</v>
      </c>
      <c r="T162" s="52" t="str">
        <f t="shared" ref="T162:T193" si="123">IF(ISEVEN(LEFT(AD162,4)),"Southbound","NorthBound")</f>
        <v>NorthBound</v>
      </c>
      <c r="U162" s="15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1" t="str">
        <f t="shared" ref="V162:V193" si="124"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https://search-rtdc-monitor-bjffxe2xuh6vdkpspy63sjmuny.us-east-1.es.amazonaws.com/_plugin/kibana/#/discover/Steve-Slow-Train-Analysis-(2080s-and-2083s)?_g=(refreshInterval:(display:Off,section:0,value:0),time:(from:'2016-10-08 23:49:39-0600',mode:absolute,to:'2016-10-09 02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2" s="54" t="str">
        <f t="shared" ref="W162:W193" si="125">IF(AA162&lt;IF(AG162="EC",23,5.65),"Y","N")</f>
        <v>N</v>
      </c>
      <c r="X162" s="163">
        <f t="shared" ref="X162:X165" si="126">VALUE(LEFT(AD162,4))-VALUE(LEFT(AD161,4))</f>
        <v>1</v>
      </c>
      <c r="Y162" s="69">
        <f t="shared" si="118"/>
        <v>4.4699999999999997E-2</v>
      </c>
      <c r="Z162" s="69">
        <f t="shared" si="119"/>
        <v>23.328199999999999</v>
      </c>
      <c r="AA162" s="69">
        <f t="shared" ref="AA162:AA193" si="127">ABS(Z162-Y162)</f>
        <v>23.2835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ref="AD162:AD193" si="128">IF(LEN(A162)=6,"0"&amp;A162,A162)</f>
        <v>0245-08</v>
      </c>
      <c r="AE162" s="94" t="str">
        <f t="shared" si="104"/>
        <v>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 &amp; aws s3 cp s3://rtdc.mdm.uploadarchive.raw/RTDC4053/ "%USERPROFILE%\AppData\Local\Temp\OnboardLogs"\RTDC4053\2016-10-10 --exclude "*" --recursive --include "*20161010*" &amp; "%USERPROFILE%\Documents\GitHub\mrs-test-scripts\Headless Mode &amp; Sideloading\WalkAndUnGZ.bat" "%USERPROFILE%\AppData\Local\Temp\OnboardLogs"\RTDC4053\2016-10-10</v>
      </c>
      <c r="AF162" s="91" t="str">
        <f t="shared" si="105"/>
        <v>"C:\Program Files (x86)\AstroGrep\AstroGrep.exe" /spath="%USERPROFILE%\AppData\Local\Temp\OnboardLogs" /stypes="app*4053*20161009*" /stext=" 07:.+((SYSTEM_STATE.+slice.+state.+changed )|(ment ac)|(system.+state.+changed )|(\[timeout)|(PRM\|1\|D)|(kpr)|(kdp)|(\|lc)|(penalty))" /e /r /s</v>
      </c>
      <c r="AG162" s="1" t="str">
        <f t="shared" ref="AG162:AG193" si="129">IFERROR(IF(VALUE(LEFT(AD162,2))&lt;=2,"EC",IF(OR(VALUE(LEFT(AD162,2))=8,VALUE(LEFT(AD162,2))=18),"NW","Other")),"Other")</f>
        <v>EC</v>
      </c>
      <c r="AH162" s="95" t="str">
        <f t="shared" si="112"/>
        <v>"%USERPROFILE%\Documents\GitHub\eaglep3\Utilities\RefineRTDCRunTimes.py" --tripid 245-08 --locoid 4053 --swversion DE.1.0.7.0 --startMP 204:447 --initTime 2016-10-09T00:49:39 --startdatetime 2016-10-09T01:00:38 --delay 1 --endMP 204:233282 --enddatetime 2016-10-09T01:36:27 --enforcementcount 1 &gt;&gt;C:\Users\stu\Documents\GitHub\eaglep3-reporting\EC\2016-10-08-refined-times.txt</v>
      </c>
      <c r="AI162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{"issue":{"subject":"","project_id":79,"tracker_id":40,"status_id":1,"priority_id":2,"assigned_to_id":23,"start_date":"2016-10-09","description":"","custom_fields":[{"id":1,"name":"Subdivision","value":"EC"},{"id":4,"name":"Milepost","value":"23.3282"},{"id":17,"name":"Train ID","value":"245-08"},{"id":16,"name":"Locomotive ID","value":"4053"},{"id":130,"name":"Impact","value":""},{"id":150,"name":"Time of Event (Mountain Time)","value":"01:36:27"},{"id":151,"name":"Denver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600</v>
      </c>
      <c r="B163" s="7">
        <v>4054</v>
      </c>
      <c r="C163" s="24" t="s">
        <v>106</v>
      </c>
      <c r="D163" s="24" t="s">
        <v>321</v>
      </c>
      <c r="E163" s="15">
        <v>42652.078113425923</v>
      </c>
      <c r="F163" s="15">
        <v>42652.080740740741</v>
      </c>
      <c r="G163" s="7">
        <v>1</v>
      </c>
      <c r="H163" s="15" t="s">
        <v>305</v>
      </c>
      <c r="I163" s="15">
        <v>42652.106782407405</v>
      </c>
      <c r="J163" s="7">
        <v>1</v>
      </c>
      <c r="K163" s="116" t="str">
        <f t="shared" si="121"/>
        <v>4053/4054</v>
      </c>
      <c r="L163" s="24" t="str">
        <f>VLOOKUP(A163,'Trips&amp;Operators'!$C$1:$E$10000,3,FALSE)</f>
        <v>LEVIN</v>
      </c>
      <c r="M163" s="6">
        <f t="shared" si="122"/>
        <v>2.6041666664241347E-2</v>
      </c>
      <c r="N163" s="7">
        <f t="shared" si="116"/>
        <v>37.49999999650754</v>
      </c>
      <c r="O163" s="7"/>
      <c r="P163" s="7"/>
      <c r="Q163" s="25"/>
      <c r="R163" s="25"/>
      <c r="S163" s="37">
        <f t="shared" si="103"/>
        <v>1</v>
      </c>
      <c r="T163" s="52" t="str">
        <f t="shared" si="123"/>
        <v>Southbound</v>
      </c>
      <c r="U163" s="15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https://search-rtdc-monitor-bjffxe2xuh6vdkpspy63sjmuny.us-east-1.es.amazonaws.com/_plugin/kibana/#/discover/Steve-Slow-Train-Analysis-(2080s-and-2083s)?_g=(refreshInterval:(display:Off,section:0,value:0),time:(from:'2016-10-09 00:52:29-0600',mode:absolute,to:'2016-10-09 03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3" s="54" t="str">
        <f t="shared" si="125"/>
        <v>N</v>
      </c>
      <c r="X163" s="163">
        <f t="shared" si="126"/>
        <v>1</v>
      </c>
      <c r="Y163" s="69">
        <f t="shared" si="118"/>
        <v>23.2988</v>
      </c>
      <c r="Z163" s="69">
        <f t="shared" si="119"/>
        <v>1.43E-2</v>
      </c>
      <c r="AA163" s="69">
        <f t="shared" si="127"/>
        <v>23.284500000000001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128"/>
        <v>0246-08</v>
      </c>
      <c r="AE163" s="94" t="str">
        <f t="shared" si="104"/>
        <v>aws s3 cp s3://rtdc.mdm.uploadarchive.raw/RTDC4054/ "%USERPROFILE%\AppData\Local\Temp\OnboardLogs"\RTDC4054\2016-10-09 --exclude "*" --recursive --include "*20161009*" &amp; "%USERPROFILE%\Documents\GitHub\mrs-test-scripts\Headless Mode &amp; Sideloading\WalkAndUnGZ.bat" "%USERPROFILE%\AppData\Local\Temp\OnboardLogs"\RTDC4054\2016-10-09 &amp; aws s3 cp s3://rtdc.mdm.uploadarchive.raw/RTDC4054/ "%USERPROFILE%\AppData\Local\Temp\OnboardLogs"\RTDC4054\2016-10-10 --exclude "*" --recursive --include "*20161010*" &amp; "%USERPROFILE%\Documents\GitHub\mrs-test-scripts\Headless Mode &amp; Sideloading\WalkAndUnGZ.bat" "%USERPROFILE%\AppData\Local\Temp\OnboardLogs"\RTDC4054\2016-10-10</v>
      </c>
      <c r="AF163" s="91" t="str">
        <f t="shared" si="105"/>
        <v>"C:\Program Files (x86)\AstroGrep\AstroGrep.exe" /spath="%USERPROFILE%\AppData\Local\Temp\OnboardLogs" /stypes="app*4054*20161009*" /stext=" 08:.+((SYSTEM_STATE.+slice.+state.+changed )|(ment ac)|(system.+state.+changed )|(\[timeout)|(PRM\|1\|D)|(kpr)|(kdp)|(\|lc)|(penalty))" /e /r /s</v>
      </c>
      <c r="AG163" s="1" t="str">
        <f t="shared" si="129"/>
        <v>EC</v>
      </c>
      <c r="AH163" s="95" t="str">
        <f t="shared" si="112"/>
        <v>"%USERPROFILE%\Documents\GitHub\eaglep3\Utilities\RefineRTDCRunTimes.py" --tripid 246-08 --locoid 4054 --swversion DE.1.0.7.0 --startMP 204:232988 --initTime 2016-10-09T01:52:29 --startdatetime 2016-10-09T01:56:16 --delay 1 --endMP 204:143 --enddatetime 2016-10-09T02:33:46 --enforcementcount 1 &gt;&gt;C:\Users\stu\Documents\GitHub\eaglep3-reporting\EC\2016-10-08-refined-times.txt</v>
      </c>
      <c r="AI163" s="129" t="str">
        <f t="shared" si="113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ID","value":"246-08"},{"id":16,"name":"Locomotive ID","value":"4054"},{"id":130,"name":"Impact","value":""},{"id":150,"name":"Time of Event (Mountain Time)","value":"02:33:46"},{"id":151,"name":"Denver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414</v>
      </c>
      <c r="B164" s="7">
        <v>4017</v>
      </c>
      <c r="C164" s="24" t="s">
        <v>106</v>
      </c>
      <c r="D164" s="24" t="s">
        <v>367</v>
      </c>
      <c r="E164" s="15">
        <v>42651.232719907406</v>
      </c>
      <c r="F164" s="15">
        <v>42651.237824074073</v>
      </c>
      <c r="G164" s="7">
        <v>2</v>
      </c>
      <c r="H164" s="15" t="s">
        <v>639</v>
      </c>
      <c r="I164" s="15">
        <v>42651.24627314815</v>
      </c>
      <c r="J164" s="7">
        <v>1</v>
      </c>
      <c r="K164" s="116" t="str">
        <f t="shared" si="121"/>
        <v>4017/4018</v>
      </c>
      <c r="L164" s="24" t="str">
        <f>VLOOKUP(A164,'Trips&amp;Operators'!$C$1:$E$10000,3,FALSE)</f>
        <v>YORK</v>
      </c>
      <c r="M164" s="6">
        <f t="shared" si="122"/>
        <v>8.449074077361729E-3</v>
      </c>
      <c r="N164" s="7">
        <f t="shared" si="116"/>
        <v>12.16666667140089</v>
      </c>
      <c r="O164" s="7"/>
      <c r="P164" s="7"/>
      <c r="Q164" s="25"/>
      <c r="R164" s="25"/>
      <c r="S164" s="37">
        <f t="shared" si="103"/>
        <v>1</v>
      </c>
      <c r="T164" s="52" t="str">
        <f t="shared" si="123"/>
        <v>Southbound</v>
      </c>
      <c r="U164" s="15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04:35:07-0600',mode:absolute,to:'2016-10-08 06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4" s="54" t="str">
        <f t="shared" si="125"/>
        <v>N</v>
      </c>
      <c r="X164" s="163">
        <f t="shared" si="126"/>
        <v>1554</v>
      </c>
      <c r="Y164" s="69">
        <f t="shared" si="118"/>
        <v>5.8609</v>
      </c>
      <c r="Z164" s="69">
        <f t="shared" si="119"/>
        <v>7.4099999999999999E-2</v>
      </c>
      <c r="AA164" s="69">
        <f t="shared" si="127"/>
        <v>5.7868000000000004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128"/>
        <v>1800-08</v>
      </c>
      <c r="AE164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64" s="91" t="str">
        <f t="shared" si="105"/>
        <v>"C:\Program Files (x86)\AstroGrep\AstroGrep.exe" /spath="%USERPROFILE%\AppData\Local\Temp\OnboardLogs" /stypes="app*4017*20161008*" /stext=" 11:.+((SYSTEM_STATE.+slice.+state.+changed )|(ment ac)|(system.+state.+changed )|(\[timeout)|(PRM\|1\|D)|(kpr)|(kdp)|(\|lc)|(penalty))" /e /r /s</v>
      </c>
      <c r="AG164" s="1" t="str">
        <f t="shared" si="129"/>
        <v>NW</v>
      </c>
      <c r="AH164" s="95" t="str">
        <f t="shared" si="112"/>
        <v>"%USERPROFILE%\Documents\GitHub\eaglep3\Utilities\RefineRTDCRunTimes.py" --tripid 1800-08 --locoid 4017 --swversion DE.1.0.7.0 --startMP 300:58609 --initTime 2016-10-08T05:35:07 --startdatetime 2016-10-08T05:42:28 --delay 2 --endMP 204:741 --enddatetime 2016-10-08T05:54:38 --enforcementcount 1 &gt;&gt;C:\Users\stu\Documents\GitHub\eaglep3-reporting\EC\2016-10-08-refined-times.txt</v>
      </c>
      <c r="AI164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{"issue":{"subject":"","project_id":79,"tracker_id":40,"status_id":1,"priority_id":2,"assigned_to_id":23,"start_date":"2016-10-08","description":"","custom_fields":[{"id":1,"name":"Subdivision","value":"NW"},{"id":4,"name":"Milepost","value":"0.0741"},{"id":17,"name":"Train ID","value":"1800-08"},{"id":16,"name":"Locomotive ID","value":"4017"},{"id":130,"name":"Impact","value":""},{"id":150,"name":"Time of Event (Mountain Time)","value":"05:54:38"},{"id":151,"name":"Denver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418</v>
      </c>
      <c r="B165" s="7">
        <v>4018</v>
      </c>
      <c r="C165" s="24" t="s">
        <v>106</v>
      </c>
      <c r="D165" s="24" t="s">
        <v>640</v>
      </c>
      <c r="E165" s="15">
        <v>42651.24732638889</v>
      </c>
      <c r="F165" s="15">
        <v>42651.264837962961</v>
      </c>
      <c r="G165" s="7">
        <v>0</v>
      </c>
      <c r="H165" s="15" t="s">
        <v>641</v>
      </c>
      <c r="I165" s="15">
        <v>42651.273599537039</v>
      </c>
      <c r="J165" s="7">
        <v>1</v>
      </c>
      <c r="K165" s="116" t="str">
        <f t="shared" si="121"/>
        <v>4017/4018</v>
      </c>
      <c r="L165" s="24" t="str">
        <f>VLOOKUP(A165,'Trips&amp;Operators'!$C$1:$E$10000,3,FALSE)</f>
        <v>YORK</v>
      </c>
      <c r="M165" s="6">
        <f t="shared" si="122"/>
        <v>8.7615740776527673E-3</v>
      </c>
      <c r="N165" s="7">
        <f t="shared" si="116"/>
        <v>12.616666671819985</v>
      </c>
      <c r="O165" s="7"/>
      <c r="P165" s="7"/>
      <c r="Q165" s="25"/>
      <c r="R165" s="25"/>
      <c r="S165" s="37">
        <f t="shared" si="103"/>
        <v>1</v>
      </c>
      <c r="T165" s="52" t="str">
        <f t="shared" si="123"/>
        <v>NorthBound</v>
      </c>
      <c r="U165" s="15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04:56:09-0600',mode:absolute,to:'2016-10-08 07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5" s="54" t="str">
        <f t="shared" si="125"/>
        <v>N</v>
      </c>
      <c r="X165" s="163">
        <f t="shared" si="126"/>
        <v>1</v>
      </c>
      <c r="Y165" s="69">
        <f t="shared" si="118"/>
        <v>0.10249999999999999</v>
      </c>
      <c r="Z165" s="69">
        <f t="shared" si="119"/>
        <v>5.8924000000000003</v>
      </c>
      <c r="AA165" s="69">
        <f t="shared" si="127"/>
        <v>5.7899000000000003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128"/>
        <v>1801-08</v>
      </c>
      <c r="AE165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65" s="91" t="str">
        <f t="shared" si="105"/>
        <v>"C:\Program Files (x86)\AstroGrep\AstroGrep.exe" /spath="%USERPROFILE%\AppData\Local\Temp\OnboardLogs" /stypes="app*4018*20161008*" /stext=" 12:.+((SYSTEM_STATE.+slice.+state.+changed )|(ment ac)|(system.+state.+changed )|(\[timeout)|(PRM\|1\|D)|(kpr)|(kdp)|(\|lc)|(penalty))" /e /r /s</v>
      </c>
      <c r="AG165" s="1" t="str">
        <f t="shared" si="129"/>
        <v>NW</v>
      </c>
      <c r="AH165" s="95" t="str">
        <f t="shared" si="112"/>
        <v>"%USERPROFILE%\Documents\GitHub\eaglep3\Utilities\RefineRTDCRunTimes.py" --tripid 1801-08 --locoid 4018 --swversion DE.1.0.7.0 --startMP 204:1025 --initTime 2016-10-08T05:56:09 --startdatetime 2016-10-08T06:21:22 --delay 0 --endMP 300:58924 --enddatetime 2016-10-08T06:33:59 --enforcementcount 1 &gt;&gt;C:\Users\stu\Documents\GitHub\eaglep3-reporting\EC\2016-10-08-refined-times.txt</v>
      </c>
      <c r="AI165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{"issue":{"subject":"","project_id":79,"tracker_id":40,"status_id":1,"priority_id":2,"assigned_to_id":23,"start_date":"2016-10-08","description":"","custom_fields":[{"id":1,"name":"Subdivision","value":"NW"},{"id":4,"name":"Milepost","value":"5.8924"},{"id":17,"name":"Train ID","value":"1801-08"},{"id":16,"name":"Locomotive ID","value":"4018"},{"id":130,"name":"Impact","value":""},{"id":150,"name":"Time of Event (Mountain Time)","value":"06:33:59"},{"id":151,"name":"Denver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423</v>
      </c>
      <c r="B166" s="7">
        <v>4017</v>
      </c>
      <c r="C166" s="24" t="s">
        <v>106</v>
      </c>
      <c r="D166" s="24" t="s">
        <v>371</v>
      </c>
      <c r="E166" s="15">
        <v>42651.275219907409</v>
      </c>
      <c r="F166" s="15">
        <v>42651.276655092595</v>
      </c>
      <c r="G166" s="7">
        <v>0</v>
      </c>
      <c r="H166" s="15" t="s">
        <v>363</v>
      </c>
      <c r="I166" s="15">
        <v>42651.287499999999</v>
      </c>
      <c r="J166" s="7">
        <v>1</v>
      </c>
      <c r="K166" s="116" t="str">
        <f t="shared" si="121"/>
        <v>4017/4018</v>
      </c>
      <c r="L166" s="24" t="str">
        <f>VLOOKUP(A166,'Trips&amp;Operators'!$C$1:$E$10000,3,FALSE)</f>
        <v>YORK</v>
      </c>
      <c r="M166" s="6">
        <f t="shared" si="122"/>
        <v>1.0844907403225079E-2</v>
      </c>
      <c r="N166" s="7">
        <f t="shared" si="116"/>
        <v>15.616666660644114</v>
      </c>
      <c r="O166" s="7"/>
      <c r="P166" s="7"/>
      <c r="Q166" s="25"/>
      <c r="R166" s="25"/>
      <c r="S166" s="37">
        <f t="shared" si="103"/>
        <v>1</v>
      </c>
      <c r="T166" s="52" t="str">
        <f t="shared" si="123"/>
        <v>Southbound</v>
      </c>
      <c r="U166" s="15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05:36:19-0600',mode:absolute,to:'2016-10-08 07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6" s="54" t="str">
        <f t="shared" si="125"/>
        <v>N</v>
      </c>
      <c r="X166" s="163">
        <f t="shared" ref="X166:X197" si="130">VALUE(LEFT(AD166,4))-VALUE(LEFT(AD165,4))</f>
        <v>1</v>
      </c>
      <c r="Y166" s="69">
        <f t="shared" si="118"/>
        <v>5.8611000000000004</v>
      </c>
      <c r="Z166" s="69">
        <f t="shared" si="119"/>
        <v>7.4800000000000005E-2</v>
      </c>
      <c r="AA166" s="69">
        <f t="shared" si="127"/>
        <v>5.7863000000000007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128"/>
        <v>1802-08</v>
      </c>
      <c r="AE166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66" s="91" t="str">
        <f t="shared" si="105"/>
        <v>"C:\Program Files (x86)\AstroGrep\AstroGrep.exe" /spath="%USERPROFILE%\AppData\Local\Temp\OnboardLogs" /stypes="app*4017*20161008*" /stext=" 12:.+((SYSTEM_STATE.+slice.+state.+changed )|(ment ac)|(system.+state.+changed )|(\[timeout)|(PRM\|1\|D)|(kpr)|(kdp)|(\|lc)|(penalty))" /e /r /s</v>
      </c>
      <c r="AG166" s="1" t="str">
        <f t="shared" si="129"/>
        <v>NW</v>
      </c>
      <c r="AH166" s="95" t="str">
        <f t="shared" si="112"/>
        <v>"%USERPROFILE%\Documents\GitHub\eaglep3\Utilities\RefineRTDCRunTimes.py" --tripid 1802-08 --locoid 4017 --swversion DE.1.0.7.0 --startMP 300:58611 --initTime 2016-10-08T06:36:19 --startdatetime 2016-10-08T06:38:23 --delay 0 --endMP 204:748 --enddatetime 2016-10-08T06:54:00 --enforcementcount 1 &gt;&gt;C:\Users\stu\Documents\GitHub\eaglep3-reporting\EC\2016-10-08-refined-times.txt</v>
      </c>
      <c r="AI166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{"issue":{"subject":"","project_id":79,"tracker_id":40,"status_id":1,"priority_id":2,"assigned_to_id":23,"start_date":"2016-10-08","description":"","custom_fields":[{"id":1,"name":"Subdivision","value":"NW"},{"id":4,"name":"Milepost","value":"0.0748"},{"id":17,"name":"Train ID","value":"1802-08"},{"id":16,"name":"Locomotive ID","value":"4017"},{"id":130,"name":"Impact","value":""},{"id":150,"name":"Time of Event (Mountain Time)","value":"06:54:00"},{"id":151,"name":"Denver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427</v>
      </c>
      <c r="B167" s="7">
        <v>4018</v>
      </c>
      <c r="C167" s="24" t="s">
        <v>106</v>
      </c>
      <c r="D167" s="24" t="s">
        <v>640</v>
      </c>
      <c r="E167" s="15">
        <v>42651.288599537038</v>
      </c>
      <c r="F167" s="15">
        <v>42651.306759259256</v>
      </c>
      <c r="G167" s="7">
        <v>0</v>
      </c>
      <c r="H167" s="15" t="s">
        <v>370</v>
      </c>
      <c r="I167" s="15">
        <v>42651.315300925926</v>
      </c>
      <c r="J167" s="7">
        <v>1</v>
      </c>
      <c r="K167" s="116" t="str">
        <f t="shared" si="121"/>
        <v>4017/4018</v>
      </c>
      <c r="L167" s="24" t="str">
        <f>VLOOKUP(A167,'Trips&amp;Operators'!$C$1:$E$10000,3,FALSE)</f>
        <v>YORK</v>
      </c>
      <c r="M167" s="6">
        <f t="shared" si="122"/>
        <v>8.5416666697710752E-3</v>
      </c>
      <c r="N167" s="7">
        <f t="shared" si="116"/>
        <v>12.300000004470348</v>
      </c>
      <c r="O167" s="7"/>
      <c r="P167" s="7"/>
      <c r="Q167" s="25"/>
      <c r="R167" s="25"/>
      <c r="S167" s="37">
        <f t="shared" si="103"/>
        <v>1</v>
      </c>
      <c r="T167" s="52" t="str">
        <f t="shared" si="123"/>
        <v>NorthBound</v>
      </c>
      <c r="U167" s="15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05:55:35-0600',mode:absolute,to:'2016-10-08 08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7" s="54" t="str">
        <f t="shared" si="125"/>
        <v>N</v>
      </c>
      <c r="X167" s="163">
        <f t="shared" si="130"/>
        <v>1</v>
      </c>
      <c r="Y167" s="69">
        <f t="shared" si="118"/>
        <v>0.10249999999999999</v>
      </c>
      <c r="Z167" s="69">
        <f t="shared" si="119"/>
        <v>5.8920000000000003</v>
      </c>
      <c r="AA167" s="69">
        <f t="shared" si="127"/>
        <v>5.7895000000000003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128"/>
        <v>1803-08</v>
      </c>
      <c r="AE167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67" s="91" t="str">
        <f t="shared" si="105"/>
        <v>"C:\Program Files (x86)\AstroGrep\AstroGrep.exe" /spath="%USERPROFILE%\AppData\Local\Temp\OnboardLogs" /stypes="app*4018*20161008*" /stext=" 13:.+((SYSTEM_STATE.+slice.+state.+changed )|(ment ac)|(system.+state.+changed )|(\[timeout)|(PRM\|1\|D)|(kpr)|(kdp)|(\|lc)|(penalty))" /e /r /s</v>
      </c>
      <c r="AG167" s="1" t="str">
        <f t="shared" si="129"/>
        <v>NW</v>
      </c>
      <c r="AH167" s="95" t="str">
        <f t="shared" si="112"/>
        <v>"%USERPROFILE%\Documents\GitHub\eaglep3\Utilities\RefineRTDCRunTimes.py" --tripid 1803-08 --locoid 4018 --swversion DE.1.0.7.0 --startMP 204:1025 --initTime 2016-10-08T06:55:35 --startdatetime 2016-10-08T07:21:44 --delay 0 --endMP 300:58920 --enddatetime 2016-10-08T07:34:02 --enforcementcount 1 &gt;&gt;C:\Users\stu\Documents\GitHub\eaglep3-reporting\EC\2016-10-08-refined-times.txt</v>
      </c>
      <c r="AI167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{"issue":{"subject":"","project_id":79,"tracker_id":40,"status_id":1,"priority_id":2,"assigned_to_id":23,"start_date":"2016-10-08","description":"","custom_fields":[{"id":1,"name":"Subdivision","value":"NW"},{"id":4,"name":"Milepost","value":"5.892"},{"id":17,"name":"Train ID","value":"1803-08"},{"id":16,"name":"Locomotive ID","value":"4018"},{"id":130,"name":"Impact","value":""},{"id":150,"name":"Time of Event (Mountain Time)","value":"07:34:02"},{"id":151,"name":"Denver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432</v>
      </c>
      <c r="B168" s="7">
        <v>4017</v>
      </c>
      <c r="C168" s="24" t="s">
        <v>106</v>
      </c>
      <c r="D168" s="24" t="s">
        <v>642</v>
      </c>
      <c r="E168" s="15">
        <v>42651.317106481481</v>
      </c>
      <c r="F168" s="15">
        <v>42651.319131944445</v>
      </c>
      <c r="G168" s="7">
        <v>1</v>
      </c>
      <c r="H168" s="15" t="s">
        <v>643</v>
      </c>
      <c r="I168" s="15">
        <v>42651.328935185185</v>
      </c>
      <c r="J168" s="7">
        <v>1</v>
      </c>
      <c r="K168" s="116" t="str">
        <f t="shared" si="121"/>
        <v>4017/4018</v>
      </c>
      <c r="L168" s="24" t="str">
        <f>VLOOKUP(A168,'Trips&amp;Operators'!$C$1:$E$10000,3,FALSE)</f>
        <v>YORK</v>
      </c>
      <c r="M168" s="6">
        <f t="shared" si="122"/>
        <v>9.8032407404389232E-3</v>
      </c>
      <c r="N168" s="7">
        <f t="shared" si="116"/>
        <v>14.116666666232049</v>
      </c>
      <c r="O168" s="7"/>
      <c r="P168" s="7"/>
      <c r="Q168" s="25"/>
      <c r="R168" s="25"/>
      <c r="S168" s="37">
        <f t="shared" ref="S168:S199" si="131">SUM(U168:U168)/IF(AG168="EC",12,1)</f>
        <v>1</v>
      </c>
      <c r="T168" s="52" t="str">
        <f t="shared" si="123"/>
        <v>Southbound</v>
      </c>
      <c r="U168" s="15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06:36:38-0600',mode:absolute,to:'2016-10-08 08:53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8" s="54" t="str">
        <f t="shared" si="125"/>
        <v>N</v>
      </c>
      <c r="X168" s="163">
        <f t="shared" si="130"/>
        <v>1</v>
      </c>
      <c r="Y168" s="69">
        <f t="shared" si="118"/>
        <v>5.8620999999999999</v>
      </c>
      <c r="Z168" s="69">
        <f t="shared" si="119"/>
        <v>7.2599999999999998E-2</v>
      </c>
      <c r="AA168" s="69">
        <f t="shared" si="127"/>
        <v>5.7895000000000003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128"/>
        <v>1804-08</v>
      </c>
      <c r="AE168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68" s="91" t="str">
        <f t="shared" si="105"/>
        <v>"C:\Program Files (x86)\AstroGrep\AstroGrep.exe" /spath="%USERPROFILE%\AppData\Local\Temp\OnboardLogs" /stypes="app*4017*20161008*" /stext=" 13:.+((SYSTEM_STATE.+slice.+state.+changed )|(ment ac)|(system.+state.+changed )|(\[timeout)|(PRM\|1\|D)|(kpr)|(kdp)|(\|lc)|(penalty))" /e /r /s</v>
      </c>
      <c r="AG168" s="1" t="str">
        <f t="shared" si="129"/>
        <v>NW</v>
      </c>
      <c r="AH168" s="95" t="str">
        <f t="shared" si="112"/>
        <v>"%USERPROFILE%\Documents\GitHub\eaglep3\Utilities\RefineRTDCRunTimes.py" --tripid 1804-08 --locoid 4017 --swversion DE.1.0.7.0 --startMP 300:58621 --initTime 2016-10-08T07:36:38 --startdatetime 2016-10-08T07:39:33 --delay 1 --endMP 204:726 --enddatetime 2016-10-08T07:53:40 --enforcementcount 1 &gt;&gt;C:\Users\stu\Documents\GitHub\eaglep3-reporting\EC\2016-10-08-refined-times.txt</v>
      </c>
      <c r="AI168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{"issue":{"subject":"","project_id":79,"tracker_id":40,"status_id":1,"priority_id":2,"assigned_to_id":23,"start_date":"2016-10-08","description":"","custom_fields":[{"id":1,"name":"Subdivision","value":"NW"},{"id":4,"name":"Milepost","value":"0.0726"},{"id":17,"name":"Train ID","value":"1804-08"},{"id":16,"name":"Locomotive ID","value":"4017"},{"id":130,"name":"Impact","value":""},{"id":150,"name":"Time of Event (Mountain Time)","value":"07:53:40"},{"id":151,"name":"Denver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439</v>
      </c>
      <c r="B169" s="7">
        <v>4018</v>
      </c>
      <c r="C169" s="24" t="s">
        <v>106</v>
      </c>
      <c r="D169" s="24" t="s">
        <v>644</v>
      </c>
      <c r="E169" s="15">
        <v>42651.336516203701</v>
      </c>
      <c r="F169" s="15">
        <v>42651.348402777781</v>
      </c>
      <c r="G169" s="7">
        <v>1</v>
      </c>
      <c r="H169" s="15" t="s">
        <v>645</v>
      </c>
      <c r="I169" s="15">
        <v>42651.357407407406</v>
      </c>
      <c r="J169" s="7">
        <v>1</v>
      </c>
      <c r="K169" s="116" t="str">
        <f t="shared" si="121"/>
        <v>4017/4018</v>
      </c>
      <c r="L169" s="24" t="str">
        <f>VLOOKUP(A169,'Trips&amp;Operators'!$C$1:$E$10000,3,FALSE)</f>
        <v>YORK</v>
      </c>
      <c r="M169" s="6">
        <f t="shared" si="122"/>
        <v>9.0046296245418489E-3</v>
      </c>
      <c r="N169" s="7">
        <f t="shared" si="116"/>
        <v>12.966666659340262</v>
      </c>
      <c r="O169" s="7"/>
      <c r="P169" s="7"/>
      <c r="Q169" s="25"/>
      <c r="R169" s="25"/>
      <c r="S169" s="37">
        <f t="shared" si="131"/>
        <v>1</v>
      </c>
      <c r="T169" s="52" t="str">
        <f t="shared" si="123"/>
        <v>NorthBound</v>
      </c>
      <c r="U169" s="15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07:04:35-0600',mode:absolute,to:'2016-10-08 09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9" s="54" t="str">
        <f t="shared" si="125"/>
        <v>N</v>
      </c>
      <c r="X169" s="163">
        <f t="shared" si="130"/>
        <v>1</v>
      </c>
      <c r="Y169" s="69">
        <f t="shared" si="118"/>
        <v>0.1028</v>
      </c>
      <c r="Z169" s="69">
        <f t="shared" si="119"/>
        <v>5.8935000000000004</v>
      </c>
      <c r="AA169" s="69">
        <f t="shared" si="127"/>
        <v>5.7907000000000002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128"/>
        <v>1805-08</v>
      </c>
      <c r="AE169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69" s="91" t="str">
        <f t="shared" si="105"/>
        <v>"C:\Program Files (x86)\AstroGrep\AstroGrep.exe" /spath="%USERPROFILE%\AppData\Local\Temp\OnboardLogs" /stypes="app*4018*20161008*" /stext=" 14:.+((SYSTEM_STATE.+slice.+state.+changed )|(ment ac)|(system.+state.+changed )|(\[timeout)|(PRM\|1\|D)|(kpr)|(kdp)|(\|lc)|(penalty))" /e /r /s</v>
      </c>
      <c r="AG169" s="1" t="str">
        <f t="shared" si="129"/>
        <v>NW</v>
      </c>
      <c r="AH169" s="95" t="str">
        <f t="shared" si="112"/>
        <v>"%USERPROFILE%\Documents\GitHub\eaglep3\Utilities\RefineRTDCRunTimes.py" --tripid 1805-08 --locoid 4018 --swversion DE.1.0.7.0 --startMP 204:1028 --initTime 2016-10-08T08:04:35 --startdatetime 2016-10-08T08:21:42 --delay 1 --endMP 300:58935 --enddatetime 2016-10-08T08:34:40 --enforcementcount 1 &gt;&gt;C:\Users\stu\Documents\GitHub\eaglep3-reporting\EC\2016-10-08-refined-times.txt</v>
      </c>
      <c r="AI169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{"issue":{"subject":"","project_id":79,"tracker_id":40,"status_id":1,"priority_id":2,"assigned_to_id":23,"start_date":"2016-10-08","description":"","custom_fields":[{"id":1,"name":"Subdivision","value":"NW"},{"id":4,"name":"Milepost","value":"5.8935"},{"id":17,"name":"Train ID","value":"1805-08"},{"id":16,"name":"Locomotive ID","value":"4018"},{"id":130,"name":"Impact","value":""},{"id":150,"name":"Time of Event (Mountain Time)","value":"08:34:40"},{"id":151,"name":"Denver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445</v>
      </c>
      <c r="B170" s="7">
        <v>4017</v>
      </c>
      <c r="C170" s="24" t="s">
        <v>106</v>
      </c>
      <c r="D170" s="24" t="s">
        <v>367</v>
      </c>
      <c r="E170" s="15">
        <v>42651.358796296299</v>
      </c>
      <c r="F170" s="15">
        <v>42651.360243055555</v>
      </c>
      <c r="G170" s="7">
        <v>0</v>
      </c>
      <c r="H170" s="15" t="s">
        <v>646</v>
      </c>
      <c r="I170" s="15">
        <v>42651.371076388888</v>
      </c>
      <c r="J170" s="7">
        <v>1</v>
      </c>
      <c r="K170" s="116" t="str">
        <f t="shared" si="121"/>
        <v>4017/4018</v>
      </c>
      <c r="L170" s="24" t="str">
        <f>VLOOKUP(A170,'Trips&amp;Operators'!$C$1:$E$10000,3,FALSE)</f>
        <v>YORK</v>
      </c>
      <c r="M170" s="6">
        <f t="shared" si="122"/>
        <v>1.0833333333721384E-2</v>
      </c>
      <c r="N170" s="7">
        <f t="shared" si="116"/>
        <v>15.600000000558794</v>
      </c>
      <c r="O170" s="7"/>
      <c r="P170" s="7"/>
      <c r="Q170" s="25"/>
      <c r="R170" s="25"/>
      <c r="S170" s="37">
        <f t="shared" si="131"/>
        <v>1</v>
      </c>
      <c r="T170" s="52" t="str">
        <f t="shared" si="123"/>
        <v>Southbound</v>
      </c>
      <c r="U170" s="15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07:36:40-0600',mode:absolute,to:'2016-10-08 09:54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0" s="54" t="str">
        <f t="shared" si="125"/>
        <v>N</v>
      </c>
      <c r="X170" s="163">
        <f t="shared" si="130"/>
        <v>1</v>
      </c>
      <c r="Y170" s="69">
        <f t="shared" si="118"/>
        <v>5.8609</v>
      </c>
      <c r="Z170" s="69">
        <f t="shared" si="119"/>
        <v>7.3400000000000007E-2</v>
      </c>
      <c r="AA170" s="69">
        <f t="shared" si="127"/>
        <v>5.7874999999999996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128"/>
        <v>1806-08</v>
      </c>
      <c r="AE170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0" s="91" t="str">
        <f t="shared" si="105"/>
        <v>"C:\Program Files (x86)\AstroGrep\AstroGrep.exe" /spath="%USERPROFILE%\AppData\Local\Temp\OnboardLogs" /stypes="app*4017*20161008*" /stext=" 14:.+((SYSTEM_STATE.+slice.+state.+changed )|(ment ac)|(system.+state.+changed )|(\[timeout)|(PRM\|1\|D)|(kpr)|(kdp)|(\|lc)|(penalty))" /e /r /s</v>
      </c>
      <c r="AG170" s="1" t="str">
        <f t="shared" si="129"/>
        <v>NW</v>
      </c>
      <c r="AH170" s="95" t="str">
        <f t="shared" si="112"/>
        <v>"%USERPROFILE%\Documents\GitHub\eaglep3\Utilities\RefineRTDCRunTimes.py" --tripid 1806-08 --locoid 4017 --swversion DE.1.0.7.0 --startMP 300:58609 --initTime 2016-10-08T08:36:40 --startdatetime 2016-10-08T08:38:45 --delay 0 --endMP 204:734 --enddatetime 2016-10-08T08:54:21 --enforcementcount 1 &gt;&gt;C:\Users\stu\Documents\GitHub\eaglep3-reporting\EC\2016-10-08-refined-times.txt</v>
      </c>
      <c r="AI170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{"issue":{"subject":"","project_id":79,"tracker_id":40,"status_id":1,"priority_id":2,"assigned_to_id":23,"start_date":"2016-10-08","description":"","custom_fields":[{"id":1,"name":"Subdivision","value":"NW"},{"id":4,"name":"Milepost","value":"0.0734"},{"id":17,"name":"Train ID","value":"1806-08"},{"id":16,"name":"Locomotive ID","value":"4017"},{"id":130,"name":"Impact","value":""},{"id":150,"name":"Time of Event (Mountain Time)","value":"08:54:21"},{"id":151,"name":"Denver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450</v>
      </c>
      <c r="B171" s="7">
        <v>4018</v>
      </c>
      <c r="C171" s="24" t="s">
        <v>106</v>
      </c>
      <c r="D171" s="24" t="s">
        <v>647</v>
      </c>
      <c r="E171" s="15">
        <v>42651.372141203705</v>
      </c>
      <c r="F171" s="15">
        <v>42651.389907407407</v>
      </c>
      <c r="G171" s="7">
        <v>1</v>
      </c>
      <c r="H171" s="15" t="s">
        <v>648</v>
      </c>
      <c r="I171" s="15">
        <v>42651.398946759262</v>
      </c>
      <c r="J171" s="7">
        <v>1</v>
      </c>
      <c r="K171" s="116" t="str">
        <f t="shared" si="121"/>
        <v>4017/4018</v>
      </c>
      <c r="L171" s="24" t="str">
        <f>VLOOKUP(A171,'Trips&amp;Operators'!$C$1:$E$10000,3,FALSE)</f>
        <v>YORK</v>
      </c>
      <c r="M171" s="6">
        <f t="shared" si="122"/>
        <v>9.0393518548808061E-3</v>
      </c>
      <c r="N171" s="7">
        <f t="shared" si="116"/>
        <v>13.016666671028361</v>
      </c>
      <c r="O171" s="7"/>
      <c r="P171" s="7"/>
      <c r="Q171" s="25"/>
      <c r="R171" s="25"/>
      <c r="S171" s="37">
        <f t="shared" si="131"/>
        <v>1</v>
      </c>
      <c r="T171" s="52" t="str">
        <f t="shared" si="123"/>
        <v>NorthBound</v>
      </c>
      <c r="U171" s="15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07:55:53-0600',mode:absolute,to:'2016-10-08 10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1" s="54" t="str">
        <f t="shared" si="125"/>
        <v>N</v>
      </c>
      <c r="X171" s="163">
        <f t="shared" si="130"/>
        <v>1</v>
      </c>
      <c r="Y171" s="69">
        <f t="shared" si="118"/>
        <v>0.1018</v>
      </c>
      <c r="Z171" s="69">
        <f t="shared" si="119"/>
        <v>5.8928000000000003</v>
      </c>
      <c r="AA171" s="69">
        <f t="shared" si="127"/>
        <v>5.7910000000000004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128"/>
        <v>1807-08</v>
      </c>
      <c r="AE171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1" s="91" t="str">
        <f t="shared" si="105"/>
        <v>"C:\Program Files (x86)\AstroGrep\AstroGrep.exe" /spath="%USERPROFILE%\AppData\Local\Temp\OnboardLogs" /stypes="app*4018*20161008*" /stext=" 15:.+((SYSTEM_STATE.+slice.+state.+changed )|(ment ac)|(system.+state.+changed )|(\[timeout)|(PRM\|1\|D)|(kpr)|(kdp)|(\|lc)|(penalty))" /e /r /s</v>
      </c>
      <c r="AG171" s="1" t="str">
        <f t="shared" si="129"/>
        <v>NW</v>
      </c>
      <c r="AH171" s="95" t="str">
        <f t="shared" si="112"/>
        <v>"%USERPROFILE%\Documents\GitHub\eaglep3\Utilities\RefineRTDCRunTimes.py" --tripid 1807-08 --locoid 4018 --swversion DE.1.0.7.0 --startMP 204:1018 --initTime 2016-10-08T08:55:53 --startdatetime 2016-10-08T09:21:28 --delay 1 --endMP 300:58928 --enddatetime 2016-10-08T09:34:29 --enforcementcount 1 &gt;&gt;C:\Users\stu\Documents\GitHub\eaglep3-reporting\EC\2016-10-08-refined-times.txt</v>
      </c>
      <c r="AI171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{"issue":{"subject":"","project_id":79,"tracker_id":40,"status_id":1,"priority_id":2,"assigned_to_id":23,"start_date":"2016-10-08","description":"","custom_fields":[{"id":1,"name":"Subdivision","value":"NW"},{"id":4,"name":"Milepost","value":"5.8928"},{"id":17,"name":"Train ID","value":"1807-08"},{"id":16,"name":"Locomotive ID","value":"4018"},{"id":130,"name":"Impact","value":""},{"id":150,"name":"Time of Event (Mountain Time)","value":"09:34:29"},{"id":151,"name":"Denver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455</v>
      </c>
      <c r="B172" s="7">
        <v>4017</v>
      </c>
      <c r="C172" s="24" t="s">
        <v>106</v>
      </c>
      <c r="D172" s="24" t="s">
        <v>649</v>
      </c>
      <c r="E172" s="15">
        <v>42651.400520833333</v>
      </c>
      <c r="F172" s="15">
        <v>42651.40253472222</v>
      </c>
      <c r="G172" s="7">
        <v>1</v>
      </c>
      <c r="H172" s="15" t="s">
        <v>646</v>
      </c>
      <c r="I172" s="15">
        <v>42651.412465277775</v>
      </c>
      <c r="J172" s="7">
        <v>1</v>
      </c>
      <c r="K172" s="116" t="str">
        <f t="shared" si="121"/>
        <v>4017/4018</v>
      </c>
      <c r="L172" s="24" t="str">
        <f>VLOOKUP(A172,'Trips&amp;Operators'!$C$1:$E$10000,3,FALSE)</f>
        <v>YORK</v>
      </c>
      <c r="M172" s="6">
        <f t="shared" si="122"/>
        <v>9.930555555911269E-3</v>
      </c>
      <c r="N172" s="7">
        <f t="shared" si="116"/>
        <v>14.300000000512227</v>
      </c>
      <c r="O172" s="7"/>
      <c r="P172" s="7"/>
      <c r="Q172" s="25"/>
      <c r="R172" s="25"/>
      <c r="S172" s="37">
        <f t="shared" si="131"/>
        <v>1</v>
      </c>
      <c r="T172" s="52" t="str">
        <f t="shared" si="123"/>
        <v>Southbound</v>
      </c>
      <c r="U172" s="15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08:36:45-0600',mode:absolute,to:'2016-10-08 10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2" s="54" t="str">
        <f t="shared" si="125"/>
        <v>N</v>
      </c>
      <c r="X172" s="163">
        <f t="shared" si="130"/>
        <v>1</v>
      </c>
      <c r="Y172" s="69">
        <f t="shared" si="118"/>
        <v>5.8613</v>
      </c>
      <c r="Z172" s="69">
        <f t="shared" si="119"/>
        <v>7.3400000000000007E-2</v>
      </c>
      <c r="AA172" s="69">
        <f t="shared" si="127"/>
        <v>5.7878999999999996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128"/>
        <v>1808-08</v>
      </c>
      <c r="AE172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2" s="91" t="str">
        <f t="shared" si="105"/>
        <v>"C:\Program Files (x86)\AstroGrep\AstroGrep.exe" /spath="%USERPROFILE%\AppData\Local\Temp\OnboardLogs" /stypes="app*4017*20161008*" /stext=" 15:.+((SYSTEM_STATE.+slice.+state.+changed )|(ment ac)|(system.+state.+changed )|(\[timeout)|(PRM\|1\|D)|(kpr)|(kdp)|(\|lc)|(penalty))" /e /r /s</v>
      </c>
      <c r="AG172" s="1" t="str">
        <f t="shared" si="129"/>
        <v>NW</v>
      </c>
      <c r="AH172" s="95" t="str">
        <f t="shared" si="112"/>
        <v>"%USERPROFILE%\Documents\GitHub\eaglep3\Utilities\RefineRTDCRunTimes.py" --tripid 1808-08 --locoid 4017 --swversion DE.1.0.7.0 --startMP 300:58613 --initTime 2016-10-08T09:36:45 --startdatetime 2016-10-08T09:39:39 --delay 1 --endMP 204:734 --enddatetime 2016-10-08T09:53:57 --enforcementcount 1 &gt;&gt;C:\Users\stu\Documents\GitHub\eaglep3-reporting\EC\2016-10-08-refined-times.txt</v>
      </c>
      <c r="AI172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{"issue":{"subject":"","project_id":79,"tracker_id":40,"status_id":1,"priority_id":2,"assigned_to_id":23,"start_date":"2016-10-08","description":"","custom_fields":[{"id":1,"name":"Subdivision","value":"NW"},{"id":4,"name":"Milepost","value":"0.0734"},{"id":17,"name":"Train ID","value":"1808-08"},{"id":16,"name":"Locomotive ID","value":"4017"},{"id":130,"name":"Impact","value":""},{"id":150,"name":"Time of Event (Mountain Time)","value":"09:53:57"},{"id":151,"name":"Denver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459</v>
      </c>
      <c r="B173" s="7">
        <v>4018</v>
      </c>
      <c r="C173" s="24" t="s">
        <v>106</v>
      </c>
      <c r="D173" s="24" t="s">
        <v>650</v>
      </c>
      <c r="E173" s="15">
        <v>42651.413483796299</v>
      </c>
      <c r="F173" s="15">
        <v>42651.431527777779</v>
      </c>
      <c r="G173" s="7">
        <v>1</v>
      </c>
      <c r="H173" s="15" t="s">
        <v>369</v>
      </c>
      <c r="I173" s="15">
        <v>42651.440196759257</v>
      </c>
      <c r="J173" s="7">
        <v>1</v>
      </c>
      <c r="K173" s="116" t="str">
        <f t="shared" si="121"/>
        <v>4017/4018</v>
      </c>
      <c r="L173" s="24" t="str">
        <f>VLOOKUP(A173,'Trips&amp;Operators'!$C$1:$E$10000,3,FALSE)</f>
        <v>YORK</v>
      </c>
      <c r="M173" s="6">
        <f t="shared" si="122"/>
        <v>8.6689814779674634E-3</v>
      </c>
      <c r="N173" s="7">
        <f t="shared" si="116"/>
        <v>12.483333328273147</v>
      </c>
      <c r="O173" s="7"/>
      <c r="P173" s="7"/>
      <c r="Q173" s="25"/>
      <c r="R173" s="25"/>
      <c r="S173" s="37">
        <f t="shared" si="131"/>
        <v>1</v>
      </c>
      <c r="T173" s="52" t="str">
        <f t="shared" si="123"/>
        <v>NorthBound</v>
      </c>
      <c r="U173" s="15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08:55:25-0600',mode:absolute,to:'2016-10-08 11:33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3" s="54" t="str">
        <f t="shared" si="125"/>
        <v>N</v>
      </c>
      <c r="X173" s="163">
        <f t="shared" si="130"/>
        <v>1</v>
      </c>
      <c r="Y173" s="69">
        <f t="shared" si="118"/>
        <v>0.1011</v>
      </c>
      <c r="Z173" s="69">
        <f t="shared" si="119"/>
        <v>5.8925999999999998</v>
      </c>
      <c r="AA173" s="69">
        <f t="shared" si="127"/>
        <v>5.7915000000000001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128"/>
        <v>1809-08</v>
      </c>
      <c r="AE173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3" s="91" t="str">
        <f t="shared" si="105"/>
        <v>"C:\Program Files (x86)\AstroGrep\AstroGrep.exe" /spath="%USERPROFILE%\AppData\Local\Temp\OnboardLogs" /stypes="app*4018*20161008*" /stext=" 16:.+((SYSTEM_STATE.+slice.+state.+changed )|(ment ac)|(system.+state.+changed )|(\[timeout)|(PRM\|1\|D)|(kpr)|(kdp)|(\|lc)|(penalty))" /e /r /s</v>
      </c>
      <c r="AG173" s="1" t="str">
        <f t="shared" si="129"/>
        <v>NW</v>
      </c>
      <c r="AH173" s="95" t="str">
        <f t="shared" si="112"/>
        <v>"%USERPROFILE%\Documents\GitHub\eaglep3\Utilities\RefineRTDCRunTimes.py" --tripid 1809-08 --locoid 4018 --swversion DE.1.0.7.0 --startMP 204:1011 --initTime 2016-10-08T09:55:25 --startdatetime 2016-10-08T10:21:24 --delay 1 --endMP 300:58926 --enddatetime 2016-10-08T10:33:53 --enforcementcount 1 &gt;&gt;C:\Users\stu\Documents\GitHub\eaglep3-reporting\EC\2016-10-08-refined-times.txt</v>
      </c>
      <c r="AI173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{"issue":{"subject":"","project_id":79,"tracker_id":40,"status_id":1,"priority_id":2,"assigned_to_id":23,"start_date":"2016-10-08","description":"","custom_fields":[{"id":1,"name":"Subdivision","value":"NW"},{"id":4,"name":"Milepost","value":"5.8926"},{"id":17,"name":"Train ID","value":"1809-08"},{"id":16,"name":"Locomotive ID","value":"4018"},{"id":130,"name":"Impact","value":""},{"id":150,"name":"Time of Event (Mountain Time)","value":"10:33:53"},{"id":151,"name":"Denver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465</v>
      </c>
      <c r="B174" s="7">
        <v>4017</v>
      </c>
      <c r="C174" s="24" t="s">
        <v>106</v>
      </c>
      <c r="D174" s="24" t="s">
        <v>367</v>
      </c>
      <c r="E174" s="15">
        <v>42651.441307870373</v>
      </c>
      <c r="F174" s="15">
        <v>42651.444212962961</v>
      </c>
      <c r="G174" s="7">
        <v>1</v>
      </c>
      <c r="H174" s="15" t="s">
        <v>651</v>
      </c>
      <c r="I174" s="15">
        <v>42651.45412037037</v>
      </c>
      <c r="J174" s="7">
        <v>1</v>
      </c>
      <c r="K174" s="116" t="str">
        <f t="shared" si="121"/>
        <v>4017/4018</v>
      </c>
      <c r="L174" s="24" t="str">
        <f>VLOOKUP(A174,'Trips&amp;Operators'!$C$1:$E$10000,3,FALSE)</f>
        <v>YORK</v>
      </c>
      <c r="M174" s="6">
        <f t="shared" si="122"/>
        <v>9.9074074096279219E-3</v>
      </c>
      <c r="N174" s="7">
        <f t="shared" si="116"/>
        <v>14.266666669864208</v>
      </c>
      <c r="O174" s="7"/>
      <c r="P174" s="7"/>
      <c r="Q174" s="25"/>
      <c r="R174" s="25"/>
      <c r="S174" s="37">
        <f t="shared" si="131"/>
        <v>1</v>
      </c>
      <c r="T174" s="52" t="str">
        <f t="shared" si="123"/>
        <v>Southbound</v>
      </c>
      <c r="U174" s="15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09:35:29-0600',mode:absolute,to:'2016-10-08 11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4" s="54" t="str">
        <f t="shared" si="125"/>
        <v>N</v>
      </c>
      <c r="X174" s="163">
        <f t="shared" si="130"/>
        <v>1</v>
      </c>
      <c r="Y174" s="69">
        <f t="shared" si="118"/>
        <v>5.8609</v>
      </c>
      <c r="Z174" s="69">
        <f t="shared" si="119"/>
        <v>7.2700000000000001E-2</v>
      </c>
      <c r="AA174" s="69">
        <f t="shared" si="127"/>
        <v>5.7881999999999998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128"/>
        <v>1810-08</v>
      </c>
      <c r="AE174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4" s="91" t="str">
        <f t="shared" si="105"/>
        <v>"C:\Program Files (x86)\AstroGrep\AstroGrep.exe" /spath="%USERPROFILE%\AppData\Local\Temp\OnboardLogs" /stypes="app*4017*20161008*" /stext=" 16:.+((SYSTEM_STATE.+slice.+state.+changed )|(ment ac)|(system.+state.+changed )|(\[timeout)|(PRM\|1\|D)|(kpr)|(kdp)|(\|lc)|(penalty))" /e /r /s</v>
      </c>
      <c r="AG174" s="1" t="str">
        <f t="shared" si="129"/>
        <v>NW</v>
      </c>
      <c r="AH174" s="95" t="str">
        <f t="shared" si="112"/>
        <v>"%USERPROFILE%\Documents\GitHub\eaglep3\Utilities\RefineRTDCRunTimes.py" --tripid 1810-08 --locoid 4017 --swversion DE.1.0.7.0 --startMP 300:58609 --initTime 2016-10-08T10:35:29 --startdatetime 2016-10-08T10:39:40 --delay 1 --endMP 204:727 --enddatetime 2016-10-08T10:53:56 --enforcementcount 1 &gt;&gt;C:\Users\stu\Documents\GitHub\eaglep3-reporting\EC\2016-10-08-refined-times.txt</v>
      </c>
      <c r="AI174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{"issue":{"subject":"","project_id":79,"tracker_id":40,"status_id":1,"priority_id":2,"assigned_to_id":23,"start_date":"2016-10-08","description":"","custom_fields":[{"id":1,"name":"Subdivision","value":"NW"},{"id":4,"name":"Milepost","value":"0.0727"},{"id":17,"name":"Train ID","value":"1810-08"},{"id":16,"name":"Locomotive ID","value":"4017"},{"id":130,"name":"Impact","value":""},{"id":150,"name":"Time of Event (Mountain Time)","value":"10:53:56"},{"id":151,"name":"Denver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473</v>
      </c>
      <c r="B175" s="7">
        <v>4018</v>
      </c>
      <c r="C175" s="24" t="s">
        <v>106</v>
      </c>
      <c r="D175" s="24" t="s">
        <v>644</v>
      </c>
      <c r="E175" s="15">
        <v>42651.472210648149</v>
      </c>
      <c r="F175" s="15">
        <v>42651.473402777781</v>
      </c>
      <c r="G175" s="7">
        <v>1</v>
      </c>
      <c r="H175" s="15" t="s">
        <v>652</v>
      </c>
      <c r="I175" s="15">
        <v>42651.481956018521</v>
      </c>
      <c r="J175" s="7">
        <v>1</v>
      </c>
      <c r="K175" s="116" t="str">
        <f t="shared" si="121"/>
        <v>4017/4018</v>
      </c>
      <c r="L175" s="24" t="str">
        <f>VLOOKUP(A175,'Trips&amp;Operators'!$C$1:$E$10000,3,FALSE)</f>
        <v>YORK</v>
      </c>
      <c r="M175" s="6">
        <f t="shared" si="122"/>
        <v>8.55324073927477E-3</v>
      </c>
      <c r="N175" s="7">
        <f t="shared" si="116"/>
        <v>12.316666664555669</v>
      </c>
      <c r="O175" s="7"/>
      <c r="P175" s="7"/>
      <c r="Q175" s="25"/>
      <c r="R175" s="25"/>
      <c r="S175" s="37">
        <f t="shared" si="131"/>
        <v>1</v>
      </c>
      <c r="T175" s="52" t="str">
        <f t="shared" si="123"/>
        <v>NorthBound</v>
      </c>
      <c r="U175" s="15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10:19:59-0600',mode:absolute,to:'2016-10-08 12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5" s="54" t="str">
        <f t="shared" si="125"/>
        <v>N</v>
      </c>
      <c r="X175" s="163">
        <f t="shared" si="130"/>
        <v>1</v>
      </c>
      <c r="Y175" s="69">
        <f t="shared" si="118"/>
        <v>0.1028</v>
      </c>
      <c r="Z175" s="69">
        <f t="shared" si="119"/>
        <v>5.8929</v>
      </c>
      <c r="AA175" s="69">
        <f t="shared" si="127"/>
        <v>5.7900999999999998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128"/>
        <v>1811-08</v>
      </c>
      <c r="AE175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5" s="91" t="str">
        <f t="shared" si="105"/>
        <v>"C:\Program Files (x86)\AstroGrep\AstroGrep.exe" /spath="%USERPROFILE%\AppData\Local\Temp\OnboardLogs" /stypes="app*4018*20161008*" /stext=" 17:.+((SYSTEM_STATE.+slice.+state.+changed )|(ment ac)|(system.+state.+changed )|(\[timeout)|(PRM\|1\|D)|(kpr)|(kdp)|(\|lc)|(penalty))" /e /r /s</v>
      </c>
      <c r="AG175" s="1" t="str">
        <f t="shared" si="129"/>
        <v>NW</v>
      </c>
      <c r="AH175" s="95" t="str">
        <f t="shared" si="112"/>
        <v>"%USERPROFILE%\Documents\GitHub\eaglep3\Utilities\RefineRTDCRunTimes.py" --tripid 1811-08 --locoid 4018 --swversion DE.1.0.7.0 --startMP 204:1028 --initTime 2016-10-08T11:19:59 --startdatetime 2016-10-08T11:21:42 --delay 1 --endMP 300:58929 --enddatetime 2016-10-08T11:34:01 --enforcementcount 1 &gt;&gt;C:\Users\stu\Documents\GitHub\eaglep3-reporting\EC\2016-10-08-refined-times.txt</v>
      </c>
      <c r="AI175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{"issue":{"subject":"","project_id":79,"tracker_id":40,"status_id":1,"priority_id":2,"assigned_to_id":23,"start_date":"2016-10-08","description":"","custom_fields":[{"id":1,"name":"Subdivision","value":"NW"},{"id":4,"name":"Milepost","value":"5.8929"},{"id":17,"name":"Train ID","value":"1811-08"},{"id":16,"name":"Locomotive ID","value":"4018"},{"id":130,"name":"Impact","value":""},{"id":150,"name":"Time of Event (Mountain Time)","value":"11:34:01"},{"id":151,"name":"Denver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476</v>
      </c>
      <c r="B176" s="7">
        <v>4017</v>
      </c>
      <c r="C176" s="24" t="s">
        <v>106</v>
      </c>
      <c r="D176" s="24" t="s">
        <v>653</v>
      </c>
      <c r="E176" s="15">
        <v>42651.483310185184</v>
      </c>
      <c r="F176" s="15">
        <v>42651.485243055555</v>
      </c>
      <c r="G176" s="7">
        <v>0</v>
      </c>
      <c r="H176" s="15" t="s">
        <v>654</v>
      </c>
      <c r="I176" s="15">
        <v>42651.496168981481</v>
      </c>
      <c r="J176" s="7">
        <v>1</v>
      </c>
      <c r="K176" s="116" t="str">
        <f t="shared" si="121"/>
        <v>4017/4018</v>
      </c>
      <c r="L176" s="24" t="str">
        <f>VLOOKUP(A176,'Trips&amp;Operators'!$C$1:$E$10000,3,FALSE)</f>
        <v>YORK</v>
      </c>
      <c r="M176" s="6">
        <f t="shared" si="122"/>
        <v>1.0925925926130731E-2</v>
      </c>
      <c r="N176" s="7">
        <f t="shared" si="116"/>
        <v>15.733333333628252</v>
      </c>
      <c r="O176" s="7"/>
      <c r="P176" s="7"/>
      <c r="Q176" s="25"/>
      <c r="R176" s="25"/>
      <c r="S176" s="37">
        <f t="shared" si="131"/>
        <v>1</v>
      </c>
      <c r="T176" s="52" t="str">
        <f t="shared" si="123"/>
        <v>Southbound</v>
      </c>
      <c r="U176" s="15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10:35:58-0600',mode:absolute,to:'2016-10-08 12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6" s="54" t="str">
        <f t="shared" si="125"/>
        <v>N</v>
      </c>
      <c r="X176" s="163">
        <f t="shared" si="130"/>
        <v>1</v>
      </c>
      <c r="Y176" s="69">
        <f t="shared" si="118"/>
        <v>5.8623000000000003</v>
      </c>
      <c r="Z176" s="69">
        <f t="shared" si="119"/>
        <v>7.4300000000000005E-2</v>
      </c>
      <c r="AA176" s="69">
        <f t="shared" si="127"/>
        <v>5.7880000000000003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128"/>
        <v>1812-08</v>
      </c>
      <c r="AE176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6" s="91" t="str">
        <f t="shared" si="105"/>
        <v>"C:\Program Files (x86)\AstroGrep\AstroGrep.exe" /spath="%USERPROFILE%\AppData\Local\Temp\OnboardLogs" /stypes="app*4017*20161008*" /stext=" 17:.+((SYSTEM_STATE.+slice.+state.+changed )|(ment ac)|(system.+state.+changed )|(\[timeout)|(PRM\|1\|D)|(kpr)|(kdp)|(\|lc)|(penalty))" /e /r /s</v>
      </c>
      <c r="AG176" s="1" t="str">
        <f t="shared" si="129"/>
        <v>NW</v>
      </c>
      <c r="AH176" s="95" t="str">
        <f t="shared" si="112"/>
        <v>"%USERPROFILE%\Documents\GitHub\eaglep3\Utilities\RefineRTDCRunTimes.py" --tripid 1812-08 --locoid 4017 --swversion DE.1.0.7.0 --startMP 300:58623 --initTime 2016-10-08T11:35:58 --startdatetime 2016-10-08T11:38:45 --delay 0 --endMP 204:743 --enddatetime 2016-10-08T11:54:29 --enforcementcount 1 &gt;&gt;C:\Users\stu\Documents\GitHub\eaglep3-reporting\EC\2016-10-08-refined-times.txt</v>
      </c>
      <c r="AI176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{"issue":{"subject":"","project_id":79,"tracker_id":40,"status_id":1,"priority_id":2,"assigned_to_id":23,"start_date":"2016-10-08","description":"","custom_fields":[{"id":1,"name":"Subdivision","value":"NW"},{"id":4,"name":"Milepost","value":"0.0743"},{"id":17,"name":"Train ID","value":"1812-08"},{"id":16,"name":"Locomotive ID","value":"4017"},{"id":130,"name":"Impact","value":""},{"id":150,"name":"Time of Event (Mountain Time)","value":"11:54:29"},{"id":151,"name":"Denver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483</v>
      </c>
      <c r="B177" s="7">
        <v>4018</v>
      </c>
      <c r="C177" s="24" t="s">
        <v>106</v>
      </c>
      <c r="D177" s="24" t="s">
        <v>655</v>
      </c>
      <c r="E177" s="15">
        <v>42651.497291666667</v>
      </c>
      <c r="F177" s="15">
        <v>42651.514768518522</v>
      </c>
      <c r="G177" s="7">
        <v>1</v>
      </c>
      <c r="H177" s="15" t="s">
        <v>645</v>
      </c>
      <c r="I177" s="15">
        <v>42651.523344907408</v>
      </c>
      <c r="J177" s="7">
        <v>1</v>
      </c>
      <c r="K177" s="116" t="str">
        <f t="shared" si="121"/>
        <v>4017/4018</v>
      </c>
      <c r="L177" s="24" t="str">
        <f>VLOOKUP(A177,'Trips&amp;Operators'!$C$1:$E$10000,3,FALSE)</f>
        <v>YORK</v>
      </c>
      <c r="M177" s="6">
        <f t="shared" si="122"/>
        <v>8.5763888855581172E-3</v>
      </c>
      <c r="N177" s="7">
        <f t="shared" si="116"/>
        <v>12.349999995203689</v>
      </c>
      <c r="O177" s="7"/>
      <c r="P177" s="7"/>
      <c r="Q177" s="25"/>
      <c r="R177" s="25"/>
      <c r="S177" s="37">
        <f t="shared" si="131"/>
        <v>1</v>
      </c>
      <c r="T177" s="52" t="str">
        <f t="shared" si="123"/>
        <v>NorthBound</v>
      </c>
      <c r="U177" s="15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10:56:06-0600',mode:absolute,to:'2016-10-08 13:33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7" s="54" t="str">
        <f t="shared" si="125"/>
        <v>N</v>
      </c>
      <c r="X177" s="163">
        <f t="shared" si="130"/>
        <v>1</v>
      </c>
      <c r="Y177" s="69">
        <f t="shared" si="118"/>
        <v>0.10299999999999999</v>
      </c>
      <c r="Z177" s="69">
        <f t="shared" si="119"/>
        <v>5.8935000000000004</v>
      </c>
      <c r="AA177" s="69">
        <f t="shared" si="127"/>
        <v>5.7905000000000006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128"/>
        <v>1813-08</v>
      </c>
      <c r="AE177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7" s="91" t="str">
        <f t="shared" si="105"/>
        <v>"C:\Program Files (x86)\AstroGrep\AstroGrep.exe" /spath="%USERPROFILE%\AppData\Local\Temp\OnboardLogs" /stypes="app*4018*20161008*" /stext=" 18:.+((SYSTEM_STATE.+slice.+state.+changed )|(ment ac)|(system.+state.+changed )|(\[timeout)|(PRM\|1\|D)|(kpr)|(kdp)|(\|lc)|(penalty))" /e /r /s</v>
      </c>
      <c r="AG177" s="1" t="str">
        <f t="shared" si="129"/>
        <v>NW</v>
      </c>
      <c r="AH177" s="95" t="str">
        <f t="shared" si="112"/>
        <v>"%USERPROFILE%\Documents\GitHub\eaglep3\Utilities\RefineRTDCRunTimes.py" --tripid 1813-08 --locoid 4018 --swversion DE.1.0.7.0 --startMP 204:1030 --initTime 2016-10-08T11:56:06 --startdatetime 2016-10-08T12:21:16 --delay 1 --endMP 300:58935 --enddatetime 2016-10-08T12:33:37 --enforcementcount 1 &gt;&gt;C:\Users\stu\Documents\GitHub\eaglep3-reporting\EC\2016-10-08-refined-times.txt</v>
      </c>
      <c r="AI177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{"issue":{"subject":"","project_id":79,"tracker_id":40,"status_id":1,"priority_id":2,"assigned_to_id":23,"start_date":"2016-10-08","description":"","custom_fields":[{"id":1,"name":"Subdivision","value":"NW"},{"id":4,"name":"Milepost","value":"5.8935"},{"id":17,"name":"Train ID","value":"1813-08"},{"id":16,"name":"Locomotive ID","value":"4018"},{"id":130,"name":"Impact","value":""},{"id":150,"name":"Time of Event (Mountain Time)","value":"12:33:37"},{"id":151,"name":"Denver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488</v>
      </c>
      <c r="B178" s="7">
        <v>4017</v>
      </c>
      <c r="C178" s="24" t="s">
        <v>106</v>
      </c>
      <c r="D178" s="24" t="s">
        <v>642</v>
      </c>
      <c r="E178" s="15">
        <v>42651.524259259262</v>
      </c>
      <c r="F178" s="15">
        <v>42651.52752314815</v>
      </c>
      <c r="G178" s="7">
        <v>0</v>
      </c>
      <c r="H178" s="15" t="s">
        <v>656</v>
      </c>
      <c r="I178" s="15">
        <v>42651.537719907406</v>
      </c>
      <c r="J178" s="7">
        <v>1</v>
      </c>
      <c r="K178" s="116" t="str">
        <f t="shared" si="121"/>
        <v>4017/4018</v>
      </c>
      <c r="L178" s="24" t="str">
        <f>VLOOKUP(A178,'Trips&amp;Operators'!$C$1:$E$10000,3,FALSE)</f>
        <v>YORK</v>
      </c>
      <c r="M178" s="6">
        <f t="shared" si="122"/>
        <v>1.0196759256359655E-2</v>
      </c>
      <c r="N178" s="7">
        <f t="shared" si="116"/>
        <v>14.683333329157904</v>
      </c>
      <c r="O178" s="7"/>
      <c r="P178" s="7"/>
      <c r="Q178" s="25"/>
      <c r="R178" s="25"/>
      <c r="S178" s="37">
        <f t="shared" si="131"/>
        <v>1</v>
      </c>
      <c r="T178" s="52" t="str">
        <f t="shared" si="123"/>
        <v>Southbound</v>
      </c>
      <c r="U178" s="15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11:34:56-0600',mode:absolute,to:'2016-10-08 13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8" s="54" t="str">
        <f t="shared" si="125"/>
        <v>N</v>
      </c>
      <c r="X178" s="163">
        <f t="shared" si="130"/>
        <v>1</v>
      </c>
      <c r="Y178" s="69">
        <f t="shared" si="118"/>
        <v>5.8620999999999999</v>
      </c>
      <c r="Z178" s="69">
        <f t="shared" si="119"/>
        <v>7.2900000000000006E-2</v>
      </c>
      <c r="AA178" s="69">
        <f t="shared" si="127"/>
        <v>5.7892000000000001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128"/>
        <v>1814-08</v>
      </c>
      <c r="AE178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78" s="91" t="str">
        <f t="shared" si="105"/>
        <v>"C:\Program Files (x86)\AstroGrep\AstroGrep.exe" /spath="%USERPROFILE%\AppData\Local\Temp\OnboardLogs" /stypes="app*4017*20161008*" /stext=" 18:.+((SYSTEM_STATE.+slice.+state.+changed )|(ment ac)|(system.+state.+changed )|(\[timeout)|(PRM\|1\|D)|(kpr)|(kdp)|(\|lc)|(penalty))" /e /r /s</v>
      </c>
      <c r="AG178" s="1" t="str">
        <f t="shared" si="129"/>
        <v>NW</v>
      </c>
      <c r="AH178" s="95" t="str">
        <f t="shared" si="112"/>
        <v>"%USERPROFILE%\Documents\GitHub\eaglep3\Utilities\RefineRTDCRunTimes.py" --tripid 1814-08 --locoid 4017 --swversion DE.1.0.7.0 --startMP 300:58621 --initTime 2016-10-08T12:34:56 --startdatetime 2016-10-08T12:39:38 --delay 0 --endMP 204:729 --enddatetime 2016-10-08T12:54:19 --enforcementcount 1 &gt;&gt;C:\Users\stu\Documents\GitHub\eaglep3-reporting\EC\2016-10-08-refined-times.txt</v>
      </c>
      <c r="AI178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{"issue":{"subject":"","project_id":79,"tracker_id":40,"status_id":1,"priority_id":2,"assigned_to_id":23,"start_date":"2016-10-08","description":"","custom_fields":[{"id":1,"name":"Subdivision","value":"NW"},{"id":4,"name":"Milepost","value":"0.0729"},{"id":17,"name":"Train ID","value":"1814-08"},{"id":16,"name":"Locomotive ID","value":"4017"},{"id":130,"name":"Impact","value":""},{"id":150,"name":"Time of Event (Mountain Time)","value":"12:54:19"},{"id":151,"name":"Denver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493</v>
      </c>
      <c r="B179" s="7">
        <v>4018</v>
      </c>
      <c r="C179" s="24" t="s">
        <v>106</v>
      </c>
      <c r="D179" s="24" t="s">
        <v>647</v>
      </c>
      <c r="E179" s="15">
        <v>42651.53869212963</v>
      </c>
      <c r="F179" s="15">
        <v>42651.556655092594</v>
      </c>
      <c r="G179" s="7">
        <v>1</v>
      </c>
      <c r="H179" s="15" t="s">
        <v>269</v>
      </c>
      <c r="I179" s="15">
        <v>42651.565266203703</v>
      </c>
      <c r="J179" s="7">
        <v>1</v>
      </c>
      <c r="K179" s="116" t="str">
        <f t="shared" si="121"/>
        <v>4017/4018</v>
      </c>
      <c r="L179" s="24" t="str">
        <f>VLOOKUP(A179,'Trips&amp;Operators'!$C$1:$E$10000,3,FALSE)</f>
        <v>YORK</v>
      </c>
      <c r="M179" s="6">
        <f t="shared" si="122"/>
        <v>8.6111111086211167E-3</v>
      </c>
      <c r="N179" s="7">
        <f t="shared" si="116"/>
        <v>12.399999996414408</v>
      </c>
      <c r="O179" s="7"/>
      <c r="P179" s="7"/>
      <c r="Q179" s="25"/>
      <c r="R179" s="25"/>
      <c r="S179" s="37">
        <f t="shared" si="131"/>
        <v>1</v>
      </c>
      <c r="T179" s="52" t="str">
        <f t="shared" si="123"/>
        <v>NorthBound</v>
      </c>
      <c r="U179" s="15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11:55:43-0600',mode:absolute,to:'2016-10-08 14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9" s="54" t="str">
        <f t="shared" si="125"/>
        <v>N</v>
      </c>
      <c r="X179" s="163">
        <f t="shared" si="130"/>
        <v>1</v>
      </c>
      <c r="Y179" s="69">
        <f t="shared" si="118"/>
        <v>0.1018</v>
      </c>
      <c r="Z179" s="69">
        <f t="shared" si="119"/>
        <v>5.8930999999999996</v>
      </c>
      <c r="AA179" s="69">
        <f t="shared" si="127"/>
        <v>5.7912999999999997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128"/>
        <v>1815-08</v>
      </c>
      <c r="AE179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79" s="91" t="str">
        <f t="shared" si="105"/>
        <v>"C:\Program Files (x86)\AstroGrep\AstroGrep.exe" /spath="%USERPROFILE%\AppData\Local\Temp\OnboardLogs" /stypes="app*4018*20161008*" /stext=" 19:.+((SYSTEM_STATE.+slice.+state.+changed )|(ment ac)|(system.+state.+changed )|(\[timeout)|(PRM\|1\|D)|(kpr)|(kdp)|(\|lc)|(penalty))" /e /r /s</v>
      </c>
      <c r="AG179" s="1" t="str">
        <f t="shared" si="129"/>
        <v>NW</v>
      </c>
      <c r="AH179" s="95" t="str">
        <f t="shared" si="112"/>
        <v>"%USERPROFILE%\Documents\GitHub\eaglep3\Utilities\RefineRTDCRunTimes.py" --tripid 1815-08 --locoid 4018 --swversion DE.1.0.7.0 --startMP 204:1018 --initTime 2016-10-08T12:55:43 --startdatetime 2016-10-08T13:21:35 --delay 1 --endMP 300:58931 --enddatetime 2016-10-08T13:33:59 --enforcementcount 1 &gt;&gt;C:\Users\stu\Documents\GitHub\eaglep3-reporting\EC\2016-10-08-refined-times.txt</v>
      </c>
      <c r="AI179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{"issue":{"subject":"","project_id":79,"tracker_id":40,"status_id":1,"priority_id":2,"assigned_to_id":23,"start_date":"2016-10-08","description":"","custom_fields":[{"id":1,"name":"Subdivision","value":"NW"},{"id":4,"name":"Milepost","value":"5.8931"},{"id":17,"name":"Train ID","value":"1815-08"},{"id":16,"name":"Locomotive ID","value":"4018"},{"id":130,"name":"Impact","value":""},{"id":150,"name":"Time of Event (Mountain Time)","value":"13:33:59"},{"id":151,"name":"Denver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498</v>
      </c>
      <c r="B180" s="7">
        <v>4017</v>
      </c>
      <c r="C180" s="24" t="s">
        <v>106</v>
      </c>
      <c r="D180" s="24" t="s">
        <v>375</v>
      </c>
      <c r="E180" s="15">
        <v>42651.567928240744</v>
      </c>
      <c r="F180" s="15">
        <v>42651.569155092591</v>
      </c>
      <c r="G180" s="7">
        <v>0</v>
      </c>
      <c r="H180" s="15" t="s">
        <v>657</v>
      </c>
      <c r="I180" s="15">
        <v>42651.578946759262</v>
      </c>
      <c r="J180" s="7">
        <v>1</v>
      </c>
      <c r="K180" s="116" t="str">
        <f t="shared" si="121"/>
        <v>4017/4018</v>
      </c>
      <c r="L180" s="24" t="str">
        <f>VLOOKUP(A180,'Trips&amp;Operators'!$C$1:$E$10000,3,FALSE)</f>
        <v>YORK</v>
      </c>
      <c r="M180" s="6">
        <f t="shared" si="122"/>
        <v>9.7916666709352285E-3</v>
      </c>
      <c r="N180" s="7">
        <f t="shared" si="116"/>
        <v>14.100000006146729</v>
      </c>
      <c r="O180" s="7"/>
      <c r="P180" s="7"/>
      <c r="Q180" s="25"/>
      <c r="R180" s="25"/>
      <c r="S180" s="37">
        <f t="shared" si="131"/>
        <v>1</v>
      </c>
      <c r="T180" s="52" t="str">
        <f t="shared" si="123"/>
        <v>Southbound</v>
      </c>
      <c r="U180" s="15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12:37:49-0600',mode:absolute,to:'2016-10-08 14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0" s="54" t="str">
        <f t="shared" si="125"/>
        <v>N</v>
      </c>
      <c r="X180" s="163">
        <f t="shared" si="130"/>
        <v>1</v>
      </c>
      <c r="Y180" s="69">
        <f t="shared" si="118"/>
        <v>5.8619000000000003</v>
      </c>
      <c r="Z180" s="69">
        <f t="shared" si="119"/>
        <v>7.3099999999999998E-2</v>
      </c>
      <c r="AA180" s="69">
        <f t="shared" si="127"/>
        <v>5.7888000000000002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128"/>
        <v>1816-08</v>
      </c>
      <c r="AE180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0" s="91" t="str">
        <f t="shared" si="105"/>
        <v>"C:\Program Files (x86)\AstroGrep\AstroGrep.exe" /spath="%USERPROFILE%\AppData\Local\Temp\OnboardLogs" /stypes="app*4017*20161008*" /stext=" 19:.+((SYSTEM_STATE.+slice.+state.+changed )|(ment ac)|(system.+state.+changed )|(\[timeout)|(PRM\|1\|D)|(kpr)|(kdp)|(\|lc)|(penalty))" /e /r /s</v>
      </c>
      <c r="AG180" s="1" t="str">
        <f t="shared" si="129"/>
        <v>NW</v>
      </c>
      <c r="AH180" s="95" t="str">
        <f t="shared" si="112"/>
        <v>"%USERPROFILE%\Documents\GitHub\eaglep3\Utilities\RefineRTDCRunTimes.py" --tripid 1816-08 --locoid 4017 --swversion DE.1.0.7.0 --startMP 300:58619 --initTime 2016-10-08T13:37:49 --startdatetime 2016-10-08T13:39:35 --delay 0 --endMP 204:731 --enddatetime 2016-10-08T13:53:41 --enforcementcount 1 &gt;&gt;C:\Users\stu\Documents\GitHub\eaglep3-reporting\EC\2016-10-08-refined-times.txt</v>
      </c>
      <c r="AI180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{"issue":{"subject":"","project_id":79,"tracker_id":40,"status_id":1,"priority_id":2,"assigned_to_id":23,"start_date":"2016-10-08","description":"","custom_fields":[{"id":1,"name":"Subdivision","value":"NW"},{"id":4,"name":"Milepost","value":"0.0731"},{"id":17,"name":"Train ID","value":"1816-08"},{"id":16,"name":"Locomotive ID","value":"4017"},{"id":130,"name":"Impact","value":""},{"id":150,"name":"Time of Event (Mountain Time)","value":"13:53:41"},{"id":151,"name":"Denver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503</v>
      </c>
      <c r="B181" s="7">
        <v>4018</v>
      </c>
      <c r="C181" s="24" t="s">
        <v>106</v>
      </c>
      <c r="D181" s="24" t="s">
        <v>658</v>
      </c>
      <c r="E181" s="15">
        <v>42651.583379629628</v>
      </c>
      <c r="F181" s="15">
        <v>42651.598090277781</v>
      </c>
      <c r="G181" s="7">
        <v>2</v>
      </c>
      <c r="H181" s="15" t="s">
        <v>282</v>
      </c>
      <c r="I181" s="15">
        <v>42651.607546296298</v>
      </c>
      <c r="J181" s="7">
        <v>1</v>
      </c>
      <c r="K181" s="116" t="str">
        <f t="shared" si="121"/>
        <v>4017/4018</v>
      </c>
      <c r="L181" s="24" t="str">
        <f>VLOOKUP(A181,'Trips&amp;Operators'!$C$1:$E$10000,3,FALSE)</f>
        <v>BROWN</v>
      </c>
      <c r="M181" s="6">
        <f t="shared" si="122"/>
        <v>9.4560185170848854E-3</v>
      </c>
      <c r="N181" s="7">
        <f t="shared" si="116"/>
        <v>13.616666664602235</v>
      </c>
      <c r="O181" s="7"/>
      <c r="P181" s="7"/>
      <c r="Q181" s="25"/>
      <c r="R181" s="25"/>
      <c r="S181" s="37">
        <f t="shared" si="131"/>
        <v>1</v>
      </c>
      <c r="T181" s="52" t="str">
        <f t="shared" si="123"/>
        <v>NorthBound</v>
      </c>
      <c r="U181" s="15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13:00:04-0600',mode:absolute,to:'2016-10-08 15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1" s="54" t="str">
        <f t="shared" si="125"/>
        <v>N</v>
      </c>
      <c r="X181" s="163">
        <f t="shared" si="130"/>
        <v>1</v>
      </c>
      <c r="Y181" s="69">
        <f t="shared" si="118"/>
        <v>0.1016</v>
      </c>
      <c r="Z181" s="69">
        <f t="shared" si="119"/>
        <v>5.8952</v>
      </c>
      <c r="AA181" s="69">
        <f t="shared" si="127"/>
        <v>5.7935999999999996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128"/>
        <v>1817-08</v>
      </c>
      <c r="AE181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1" s="91" t="str">
        <f t="shared" si="105"/>
        <v>"C:\Program Files (x86)\AstroGrep\AstroGrep.exe" /spath="%USERPROFILE%\AppData\Local\Temp\OnboardLogs" /stypes="app*4018*20161008*" /stext=" 20:.+((SYSTEM_STATE.+slice.+state.+changed )|(ment ac)|(system.+state.+changed )|(\[timeout)|(PRM\|1\|D)|(kpr)|(kdp)|(\|lc)|(penalty))" /e /r /s</v>
      </c>
      <c r="AG181" s="1" t="str">
        <f t="shared" si="129"/>
        <v>NW</v>
      </c>
      <c r="AH181" s="95" t="str">
        <f t="shared" si="112"/>
        <v>"%USERPROFILE%\Documents\GitHub\eaglep3\Utilities\RefineRTDCRunTimes.py" --tripid 1817-08 --locoid 4018 --swversion DE.1.0.7.0 --startMP 204:1016 --initTime 2016-10-08T14:00:04 --startdatetime 2016-10-08T14:21:15 --delay 2 --endMP 300:58952 --enddatetime 2016-10-08T14:34:52 --enforcementcount 1 &gt;&gt;C:\Users\stu\Documents\GitHub\eaglep3-reporting\EC\2016-10-08-refined-times.txt</v>
      </c>
      <c r="AI181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{"issue":{"subject":"","project_id":79,"tracker_id":40,"status_id":1,"priority_id":2,"assigned_to_id":23,"start_date":"2016-10-08","description":"","custom_fields":[{"id":1,"name":"Subdivision","value":"NW"},{"id":4,"name":"Milepost","value":"5.8952"},{"id":17,"name":"Train ID","value":"1817-08"},{"id":16,"name":"Locomotive ID","value":"4018"},{"id":130,"name":"Impact","value":""},{"id":150,"name":"Time of Event (Mountain Time)","value":"14:34:52"},{"id":151,"name":"Denver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510</v>
      </c>
      <c r="B182" s="7">
        <v>4017</v>
      </c>
      <c r="C182" s="24" t="s">
        <v>106</v>
      </c>
      <c r="D182" s="24" t="s">
        <v>368</v>
      </c>
      <c r="E182" s="15">
        <v>42651.608831018515</v>
      </c>
      <c r="F182" s="15">
        <v>42651.610543981478</v>
      </c>
      <c r="G182" s="7">
        <v>1</v>
      </c>
      <c r="H182" s="15" t="s">
        <v>656</v>
      </c>
      <c r="I182" s="15">
        <v>42651.621307870373</v>
      </c>
      <c r="J182" s="7">
        <v>1</v>
      </c>
      <c r="K182" s="116" t="str">
        <f t="shared" si="121"/>
        <v>4017/4018</v>
      </c>
      <c r="L182" s="24" t="str">
        <f>VLOOKUP(A182,'Trips&amp;Operators'!$C$1:$E$10000,3,FALSE)</f>
        <v>BROWN</v>
      </c>
      <c r="M182" s="6">
        <f t="shared" si="122"/>
        <v>1.0763888894871343E-2</v>
      </c>
      <c r="N182" s="7">
        <f t="shared" si="116"/>
        <v>15.500000008614734</v>
      </c>
      <c r="O182" s="7"/>
      <c r="P182" s="7"/>
      <c r="Q182" s="25"/>
      <c r="R182" s="25"/>
      <c r="S182" s="37">
        <f t="shared" si="131"/>
        <v>1</v>
      </c>
      <c r="T182" s="52" t="str">
        <f t="shared" si="123"/>
        <v>Southbound</v>
      </c>
      <c r="U182" s="15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13:36:43-0600',mode:absolute,to:'2016-10-08 15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2" s="54" t="str">
        <f t="shared" si="125"/>
        <v>N</v>
      </c>
      <c r="X182" s="163">
        <f t="shared" si="130"/>
        <v>1</v>
      </c>
      <c r="Y182" s="69">
        <f t="shared" si="118"/>
        <v>5.8634000000000004</v>
      </c>
      <c r="Z182" s="69">
        <f t="shared" si="119"/>
        <v>7.2900000000000006E-2</v>
      </c>
      <c r="AA182" s="69">
        <f t="shared" si="127"/>
        <v>5.7905000000000006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128"/>
        <v>1818-08</v>
      </c>
      <c r="AE182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2" s="91" t="str">
        <f t="shared" si="105"/>
        <v>"C:\Program Files (x86)\AstroGrep\AstroGrep.exe" /spath="%USERPROFILE%\AppData\Local\Temp\OnboardLogs" /stypes="app*4017*20161008*" /stext=" 20:.+((SYSTEM_STATE.+slice.+state.+changed )|(ment ac)|(system.+state.+changed )|(\[timeout)|(PRM\|1\|D)|(kpr)|(kdp)|(\|lc)|(penalty))" /e /r /s</v>
      </c>
      <c r="AG182" s="1" t="str">
        <f t="shared" si="129"/>
        <v>NW</v>
      </c>
      <c r="AH182" s="95" t="str">
        <f t="shared" si="112"/>
        <v>"%USERPROFILE%\Documents\GitHub\eaglep3\Utilities\RefineRTDCRunTimes.py" --tripid 1818-08 --locoid 4017 --swversion DE.1.0.7.0 --startMP 300:58634 --initTime 2016-10-08T14:36:43 --startdatetime 2016-10-08T14:39:11 --delay 1 --endMP 204:729 --enddatetime 2016-10-08T14:54:41 --enforcementcount 1 &gt;&gt;C:\Users\stu\Documents\GitHub\eaglep3-reporting\EC\2016-10-08-refined-times.txt</v>
      </c>
      <c r="AI182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{"issue":{"subject":"","project_id":79,"tracker_id":40,"status_id":1,"priority_id":2,"assigned_to_id":23,"start_date":"2016-10-08","description":"","custom_fields":[{"id":1,"name":"Subdivision","value":"NW"},{"id":4,"name":"Milepost","value":"0.0729"},{"id":17,"name":"Train ID","value":"1818-08"},{"id":16,"name":"Locomotive ID","value":"4017"},{"id":130,"name":"Impact","value":""},{"id":150,"name":"Time of Event (Mountain Time)","value":"14:54:41"},{"id":151,"name":"Denver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514</v>
      </c>
      <c r="B183" s="7">
        <v>4018</v>
      </c>
      <c r="C183" s="24" t="s">
        <v>106</v>
      </c>
      <c r="D183" s="24" t="s">
        <v>650</v>
      </c>
      <c r="E183" s="15">
        <v>42651.627395833333</v>
      </c>
      <c r="F183" s="15">
        <v>42651.639756944445</v>
      </c>
      <c r="G183" s="7">
        <v>1</v>
      </c>
      <c r="H183" s="15" t="s">
        <v>659</v>
      </c>
      <c r="I183" s="15">
        <v>42651.649247685185</v>
      </c>
      <c r="J183" s="7">
        <v>1</v>
      </c>
      <c r="K183" s="116" t="str">
        <f t="shared" si="121"/>
        <v>4017/4018</v>
      </c>
      <c r="L183" s="24" t="str">
        <f>VLOOKUP(A183,'Trips&amp;Operators'!$C$1:$E$10000,3,FALSE)</f>
        <v>BROWN</v>
      </c>
      <c r="M183" s="6">
        <f t="shared" si="122"/>
        <v>9.4907407401478849E-3</v>
      </c>
      <c r="N183" s="7">
        <f t="shared" ref="N183:N214" si="132">24*60*SUM($M183:$M183)</f>
        <v>13.666666665812954</v>
      </c>
      <c r="O183" s="7"/>
      <c r="P183" s="7"/>
      <c r="Q183" s="25"/>
      <c r="R183" s="25"/>
      <c r="S183" s="37">
        <f t="shared" si="131"/>
        <v>1</v>
      </c>
      <c r="T183" s="52" t="str">
        <f t="shared" si="123"/>
        <v>NorthBound</v>
      </c>
      <c r="U183" s="15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14:03:27-0600',mode:absolute,to:'2016-10-08 16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3" s="54" t="str">
        <f t="shared" si="125"/>
        <v>N</v>
      </c>
      <c r="X183" s="163">
        <f t="shared" si="130"/>
        <v>1</v>
      </c>
      <c r="Y183" s="69">
        <f t="shared" ref="Y183:Y214" si="133">RIGHT(D183,LEN(D183)-4)/10000</f>
        <v>0.1011</v>
      </c>
      <c r="Z183" s="69">
        <f t="shared" ref="Z183:Z214" si="134">RIGHT(H183,LEN(H183)-4)/10000</f>
        <v>5.8943000000000003</v>
      </c>
      <c r="AA183" s="69">
        <f t="shared" si="127"/>
        <v>5.7932000000000006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128"/>
        <v>1819-08</v>
      </c>
      <c r="AE183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3" s="91" t="str">
        <f t="shared" si="105"/>
        <v>"C:\Program Files (x86)\AstroGrep\AstroGrep.exe" /spath="%USERPROFILE%\AppData\Local\Temp\OnboardLogs" /stypes="app*4018*20161008*" /stext=" 21:.+((SYSTEM_STATE.+slice.+state.+changed )|(ment ac)|(system.+state.+changed )|(\[timeout)|(PRM\|1\|D)|(kpr)|(kdp)|(\|lc)|(penalty))" /e /r /s</v>
      </c>
      <c r="AG183" s="1" t="str">
        <f t="shared" si="129"/>
        <v>NW</v>
      </c>
      <c r="AH183" s="95" t="str">
        <f t="shared" si="112"/>
        <v>"%USERPROFILE%\Documents\GitHub\eaglep3\Utilities\RefineRTDCRunTimes.py" --tripid 1819-08 --locoid 4018 --swversion DE.1.0.7.0 --startMP 204:1011 --initTime 2016-10-08T15:03:27 --startdatetime 2016-10-08T15:21:15 --delay 1 --endMP 300:58943 --enddatetime 2016-10-08T15:34:55 --enforcementcount 1 &gt;&gt;C:\Users\stu\Documents\GitHub\eaglep3-reporting\EC\2016-10-08-refined-times.txt</v>
      </c>
      <c r="AI183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{"issue":{"subject":"","project_id":79,"tracker_id":40,"status_id":1,"priority_id":2,"assigned_to_id":23,"start_date":"2016-10-08","description":"","custom_fields":[{"id":1,"name":"Subdivision","value":"NW"},{"id":4,"name":"Milepost","value":"5.8943"},{"id":17,"name":"Train ID","value":"1819-08"},{"id":16,"name":"Locomotive ID","value":"4018"},{"id":130,"name":"Impact","value":""},{"id":150,"name":"Time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520</v>
      </c>
      <c r="B184" s="7">
        <v>4017</v>
      </c>
      <c r="C184" s="24" t="s">
        <v>106</v>
      </c>
      <c r="D184" s="24" t="s">
        <v>372</v>
      </c>
      <c r="E184" s="15">
        <v>42651.650277777779</v>
      </c>
      <c r="F184" s="15">
        <v>42651.653611111113</v>
      </c>
      <c r="G184" s="7">
        <v>1</v>
      </c>
      <c r="H184" s="15" t="s">
        <v>310</v>
      </c>
      <c r="I184" s="15">
        <v>42651.662986111114</v>
      </c>
      <c r="J184" s="7">
        <v>1</v>
      </c>
      <c r="K184" s="116" t="str">
        <f t="shared" si="121"/>
        <v>4017/4018</v>
      </c>
      <c r="L184" s="24" t="str">
        <f>VLOOKUP(A184,'Trips&amp;Operators'!$C$1:$E$10000,3,FALSE)</f>
        <v>BROWN</v>
      </c>
      <c r="M184" s="6">
        <f t="shared" si="122"/>
        <v>9.3750000014551915E-3</v>
      </c>
      <c r="N184" s="7">
        <f t="shared" si="132"/>
        <v>13.500000002095476</v>
      </c>
      <c r="O184" s="7"/>
      <c r="P184" s="7"/>
      <c r="Q184" s="25"/>
      <c r="R184" s="25"/>
      <c r="S184" s="37">
        <f t="shared" si="131"/>
        <v>1</v>
      </c>
      <c r="T184" s="52" t="str">
        <f t="shared" si="123"/>
        <v>Southbound</v>
      </c>
      <c r="U184" s="15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14:36:24-0600',mode:absolute,to:'2016-10-08 16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4" s="54" t="str">
        <f t="shared" si="125"/>
        <v>N</v>
      </c>
      <c r="X184" s="163">
        <f t="shared" si="130"/>
        <v>1</v>
      </c>
      <c r="Y184" s="69">
        <f t="shared" si="133"/>
        <v>5.8630000000000004</v>
      </c>
      <c r="Z184" s="69">
        <f t="shared" si="134"/>
        <v>7.3800000000000004E-2</v>
      </c>
      <c r="AA184" s="69">
        <f t="shared" si="127"/>
        <v>5.7892000000000001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128"/>
        <v>1820-08</v>
      </c>
      <c r="AE184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4" s="91" t="str">
        <f t="shared" si="105"/>
        <v>"C:\Program Files (x86)\AstroGrep\AstroGrep.exe" /spath="%USERPROFILE%\AppData\Local\Temp\OnboardLogs" /stypes="app*4017*20161008*" /stext=" 21:.+((SYSTEM_STATE.+slice.+state.+changed )|(ment ac)|(system.+state.+changed )|(\[timeout)|(PRM\|1\|D)|(kpr)|(kdp)|(\|lc)|(penalty))" /e /r /s</v>
      </c>
      <c r="AG184" s="1" t="str">
        <f t="shared" si="129"/>
        <v>NW</v>
      </c>
      <c r="AH184" s="95" t="str">
        <f t="shared" si="112"/>
        <v>"%USERPROFILE%\Documents\GitHub\eaglep3\Utilities\RefineRTDCRunTimes.py" --tripid 1820-08 --locoid 4017 --swversion DE.1.0.7.0 --startMP 300:58630 --initTime 2016-10-08T15:36:24 --startdatetime 2016-10-08T15:41:12 --delay 1 --endMP 204:738 --enddatetime 2016-10-08T15:54:42 --enforcementcount 1 &gt;&gt;C:\Users\stu\Documents\GitHub\eaglep3-reporting\EC\2016-10-08-refined-times.txt</v>
      </c>
      <c r="AI184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{"issue":{"subject":"","project_id":79,"tracker_id":40,"status_id":1,"priority_id":2,"assigned_to_id":23,"start_date":"2016-10-08","description":"","custom_fields":[{"id":1,"name":"Subdivision","value":"NW"},{"id":4,"name":"Milepost","value":"0.0738"},{"id":17,"name":"Train ID","value":"1820-08"},{"id":16,"name":"Locomotive ID","value":"4017"},{"id":130,"name":"Impact","value":""},{"id":150,"name":"Time of Event (Mountain Time)","value":"15:54:42"},{"id":151,"name":"Denver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525</v>
      </c>
      <c r="B185" s="7">
        <v>4018</v>
      </c>
      <c r="C185" s="24" t="s">
        <v>106</v>
      </c>
      <c r="D185" s="24" t="s">
        <v>660</v>
      </c>
      <c r="E185" s="15">
        <v>42651.668136574073</v>
      </c>
      <c r="F185" s="15">
        <v>42651.681747685187</v>
      </c>
      <c r="G185" s="7">
        <v>1</v>
      </c>
      <c r="H185" s="15" t="s">
        <v>661</v>
      </c>
      <c r="I185" s="15">
        <v>42651.691562499997</v>
      </c>
      <c r="J185" s="7">
        <v>1</v>
      </c>
      <c r="K185" s="116" t="str">
        <f t="shared" si="121"/>
        <v>4017/4018</v>
      </c>
      <c r="L185" s="24" t="str">
        <f>VLOOKUP(A185,'Trips&amp;Operators'!$C$1:$E$10000,3,FALSE)</f>
        <v>BROWN</v>
      </c>
      <c r="M185" s="6">
        <f t="shared" si="122"/>
        <v>9.814814809942618E-3</v>
      </c>
      <c r="N185" s="7">
        <f t="shared" si="132"/>
        <v>14.13333332631737</v>
      </c>
      <c r="O185" s="7"/>
      <c r="P185" s="7"/>
      <c r="Q185" s="25"/>
      <c r="R185" s="25"/>
      <c r="S185" s="37">
        <f t="shared" si="131"/>
        <v>1</v>
      </c>
      <c r="T185" s="52" t="str">
        <f t="shared" si="123"/>
        <v>NorthBound</v>
      </c>
      <c r="U185" s="15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15:02:07-0600',mode:absolute,to:'2016-10-08 17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5" s="54" t="str">
        <f t="shared" si="125"/>
        <v>N</v>
      </c>
      <c r="X185" s="163">
        <f t="shared" si="130"/>
        <v>1</v>
      </c>
      <c r="Y185" s="69">
        <f t="shared" si="133"/>
        <v>0.10199999999999999</v>
      </c>
      <c r="Z185" s="69">
        <f t="shared" si="134"/>
        <v>5.8948</v>
      </c>
      <c r="AA185" s="69">
        <f t="shared" si="127"/>
        <v>5.7927999999999997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128"/>
        <v>1821-08</v>
      </c>
      <c r="AE185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5" s="91" t="str">
        <f t="shared" si="105"/>
        <v>"C:\Program Files (x86)\AstroGrep\AstroGrep.exe" /spath="%USERPROFILE%\AppData\Local\Temp\OnboardLogs" /stypes="app*4018*20161008*" /stext=" 22:.+((SYSTEM_STATE.+slice.+state.+changed )|(ment ac)|(system.+state.+changed )|(\[timeout)|(PRM\|1\|D)|(kpr)|(kdp)|(\|lc)|(penalty))" /e /r /s</v>
      </c>
      <c r="AG185" s="1" t="str">
        <f t="shared" si="129"/>
        <v>NW</v>
      </c>
      <c r="AH185" s="95" t="str">
        <f t="shared" si="112"/>
        <v>"%USERPROFILE%\Documents\GitHub\eaglep3\Utilities\RefineRTDCRunTimes.py" --tripid 1821-08 --locoid 4018 --swversion DE.1.0.7.0 --startMP 204:1020 --initTime 2016-10-08T16:02:07 --startdatetime 2016-10-08T16:21:43 --delay 1 --endMP 300:58948 --enddatetime 2016-10-08T16:35:51 --enforcementcount 1 &gt;&gt;C:\Users\stu\Documents\GitHub\eaglep3-reporting\EC\2016-10-08-refined-times.txt</v>
      </c>
      <c r="AI185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{"issue":{"subject":"","project_id":79,"tracker_id":40,"status_id":1,"priority_id":2,"assigned_to_id":23,"start_date":"2016-10-08","description":"","custom_fields":[{"id":1,"name":"Subdivision","value":"NW"},{"id":4,"name":"Milepost","value":"5.8948"},{"id":17,"name":"Train ID","value":"1821-08"},{"id":16,"name":"Locomotive ID","value":"4018"},{"id":130,"name":"Impact","value":""},{"id":150,"name":"Time of Event (Mountain Time)","value":"16:35:51"},{"id":151,"name":"Denver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534</v>
      </c>
      <c r="B186" s="7">
        <v>4017</v>
      </c>
      <c r="C186" s="24" t="s">
        <v>106</v>
      </c>
      <c r="D186" s="24" t="s">
        <v>662</v>
      </c>
      <c r="E186" s="15">
        <v>42651.692754629628</v>
      </c>
      <c r="F186" s="15">
        <v>42651.693923611114</v>
      </c>
      <c r="G186" s="7">
        <v>1</v>
      </c>
      <c r="H186" s="15" t="s">
        <v>262</v>
      </c>
      <c r="I186" s="15">
        <v>42651.704328703701</v>
      </c>
      <c r="J186" s="7">
        <v>1</v>
      </c>
      <c r="K186" s="116" t="str">
        <f t="shared" si="121"/>
        <v>4017/4018</v>
      </c>
      <c r="L186" s="24" t="str">
        <f>VLOOKUP(A186,'Trips&amp;Operators'!$C$1:$E$10000,3,FALSE)</f>
        <v>BROWN</v>
      </c>
      <c r="M186" s="6">
        <f t="shared" si="122"/>
        <v>1.0405092587461695E-2</v>
      </c>
      <c r="N186" s="7">
        <f t="shared" si="132"/>
        <v>14.983333325944841</v>
      </c>
      <c r="O186" s="7"/>
      <c r="P186" s="7"/>
      <c r="Q186" s="25"/>
      <c r="R186" s="25"/>
      <c r="S186" s="37">
        <f t="shared" si="131"/>
        <v>1</v>
      </c>
      <c r="T186" s="52" t="str">
        <f t="shared" si="123"/>
        <v>Southbound</v>
      </c>
      <c r="U186" s="15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15:37:34-0600',mode:absolute,to:'2016-10-08 17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6" s="54" t="str">
        <f t="shared" si="125"/>
        <v>N</v>
      </c>
      <c r="X186" s="163">
        <f t="shared" si="130"/>
        <v>1</v>
      </c>
      <c r="Y186" s="69">
        <f t="shared" si="133"/>
        <v>5.8625999999999996</v>
      </c>
      <c r="Z186" s="69">
        <f t="shared" si="134"/>
        <v>7.1199999999999999E-2</v>
      </c>
      <c r="AA186" s="69">
        <f t="shared" si="127"/>
        <v>5.7913999999999994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128"/>
        <v>1822-08</v>
      </c>
      <c r="AE186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6" s="91" t="str">
        <f t="shared" si="105"/>
        <v>"C:\Program Files (x86)\AstroGrep\AstroGrep.exe" /spath="%USERPROFILE%\AppData\Local\Temp\OnboardLogs" /stypes="app*4017*20161008*" /stext=" 22:.+((SYSTEM_STATE.+slice.+state.+changed )|(ment ac)|(system.+state.+changed )|(\[timeout)|(PRM\|1\|D)|(kpr)|(kdp)|(\|lc)|(penalty))" /e /r /s</v>
      </c>
      <c r="AG186" s="1" t="str">
        <f t="shared" si="129"/>
        <v>NW</v>
      </c>
      <c r="AH186" s="95" t="str">
        <f t="shared" si="112"/>
        <v>"%USERPROFILE%\Documents\GitHub\eaglep3\Utilities\RefineRTDCRunTimes.py" --tripid 1822-08 --locoid 4017 --swversion DE.1.0.7.0 --startMP 300:58626 --initTime 2016-10-08T16:37:34 --startdatetime 2016-10-08T16:39:15 --delay 1 --endMP 204:712 --enddatetime 2016-10-08T16:54:14 --enforcementcount 1 &gt;&gt;C:\Users\stu\Documents\GitHub\eaglep3-reporting\EC\2016-10-08-refined-times.txt</v>
      </c>
      <c r="AI186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{"issue":{"subject":"","project_id":79,"tracker_id":40,"status_id":1,"priority_id":2,"assigned_to_id":23,"start_date":"2016-10-08","description":"","custom_fields":[{"id":1,"name":"Subdivision","value":"NW"},{"id":4,"name":"Milepost","value":"0.0712"},{"id":17,"name":"Train ID","value":"1822-08"},{"id":16,"name":"Locomotive ID","value":"4017"},{"id":130,"name":"Impact","value":""},{"id":150,"name":"Time of Event (Mountain Time)","value":"16:54:14"},{"id":151,"name":"Denver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540</v>
      </c>
      <c r="B187" s="7">
        <v>4018</v>
      </c>
      <c r="C187" s="24" t="s">
        <v>106</v>
      </c>
      <c r="D187" s="24" t="s">
        <v>663</v>
      </c>
      <c r="E187" s="15">
        <v>42651.714999999997</v>
      </c>
      <c r="F187" s="15">
        <v>42651.723055555558</v>
      </c>
      <c r="G187" s="7">
        <v>1</v>
      </c>
      <c r="H187" s="15" t="s">
        <v>664</v>
      </c>
      <c r="I187" s="15">
        <v>42651.732534722221</v>
      </c>
      <c r="J187" s="7">
        <v>1</v>
      </c>
      <c r="K187" s="116" t="str">
        <f t="shared" si="121"/>
        <v>4017/4018</v>
      </c>
      <c r="L187" s="24" t="str">
        <f>VLOOKUP(A187,'Trips&amp;Operators'!$C$1:$E$10000,3,FALSE)</f>
        <v>BROWN</v>
      </c>
      <c r="M187" s="6">
        <f t="shared" si="122"/>
        <v>9.4791666633682325E-3</v>
      </c>
      <c r="N187" s="7">
        <f t="shared" si="132"/>
        <v>13.649999995250255</v>
      </c>
      <c r="O187" s="7"/>
      <c r="P187" s="7"/>
      <c r="Q187" s="25"/>
      <c r="R187" s="25"/>
      <c r="S187" s="37">
        <f t="shared" si="131"/>
        <v>1</v>
      </c>
      <c r="T187" s="52" t="str">
        <f t="shared" si="123"/>
        <v>NorthBound</v>
      </c>
      <c r="U187" s="15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16:09:36-0600',mode:absolute,to:'2016-10-08 18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7" s="54" t="str">
        <f t="shared" si="125"/>
        <v>N</v>
      </c>
      <c r="X187" s="163">
        <f t="shared" si="130"/>
        <v>1</v>
      </c>
      <c r="Y187" s="69">
        <f t="shared" si="133"/>
        <v>0.1009</v>
      </c>
      <c r="Z187" s="69">
        <f t="shared" si="134"/>
        <v>5.8959999999999999</v>
      </c>
      <c r="AA187" s="69">
        <f t="shared" si="127"/>
        <v>5.7950999999999997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128"/>
        <v>1823-08</v>
      </c>
      <c r="AE187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7" s="91" t="str">
        <f t="shared" si="105"/>
        <v>"C:\Program Files (x86)\AstroGrep\AstroGrep.exe" /spath="%USERPROFILE%\AppData\Local\Temp\OnboardLogs" /stypes="app*4018*20161008*" /stext=" 23:.+((SYSTEM_STATE.+slice.+state.+changed )|(ment ac)|(system.+state.+changed )|(\[timeout)|(PRM\|1\|D)|(kpr)|(kdp)|(\|lc)|(penalty))" /e /r /s</v>
      </c>
      <c r="AG187" s="1" t="str">
        <f t="shared" si="129"/>
        <v>NW</v>
      </c>
      <c r="AH187" s="95" t="str">
        <f t="shared" si="112"/>
        <v>"%USERPROFILE%\Documents\GitHub\eaglep3\Utilities\RefineRTDCRunTimes.py" --tripid 1823-08 --locoid 4018 --swversion DE.1.0.7.0 --startMP 204:1009 --initTime 2016-10-08T17:09:36 --startdatetime 2016-10-08T17:21:12 --delay 1 --endMP 300:58960 --enddatetime 2016-10-08T17:34:51 --enforcementcount 1 &gt;&gt;C:\Users\stu\Documents\GitHub\eaglep3-reporting\EC\2016-10-08-refined-times.txt</v>
      </c>
      <c r="AI187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{"issue":{"subject":"","project_id":79,"tracker_id":40,"status_id":1,"priority_id":2,"assigned_to_id":23,"start_date":"2016-10-08","description":"","custom_fields":[{"id":1,"name":"Subdivision","value":"NW"},{"id":4,"name":"Milepost","value":"5.896"},{"id":17,"name":"Train ID","value":"1823-08"},{"id":16,"name":"Locomotive ID","value":"4018"},{"id":130,"name":"Impact","value":""},{"id":150,"name":"Time of Event (Mountain Time)","value":"17:34:51"},{"id":151,"name":"Denver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545</v>
      </c>
      <c r="B188" s="7">
        <v>4017</v>
      </c>
      <c r="C188" s="24" t="s">
        <v>106</v>
      </c>
      <c r="D188" s="24" t="s">
        <v>665</v>
      </c>
      <c r="E188" s="15">
        <v>42651.733796296299</v>
      </c>
      <c r="F188" s="15">
        <v>42651.735462962963</v>
      </c>
      <c r="G188" s="7">
        <v>1</v>
      </c>
      <c r="H188" s="15" t="s">
        <v>309</v>
      </c>
      <c r="I188" s="15">
        <v>42651.746053240742</v>
      </c>
      <c r="J188" s="7">
        <v>1</v>
      </c>
      <c r="K188" s="116" t="str">
        <f t="shared" si="121"/>
        <v>4017/4018</v>
      </c>
      <c r="L188" s="24" t="str">
        <f>VLOOKUP(A188,'Trips&amp;Operators'!$C$1:$E$10000,3,FALSE)</f>
        <v>BROWN</v>
      </c>
      <c r="M188" s="6">
        <f t="shared" si="122"/>
        <v>1.0590277779556345E-2</v>
      </c>
      <c r="N188" s="7">
        <f t="shared" si="132"/>
        <v>15.250000002561137</v>
      </c>
      <c r="O188" s="7"/>
      <c r="P188" s="7"/>
      <c r="Q188" s="25"/>
      <c r="R188" s="25"/>
      <c r="S188" s="37">
        <f t="shared" si="131"/>
        <v>1</v>
      </c>
      <c r="T188" s="52" t="str">
        <f t="shared" si="123"/>
        <v>Southbound</v>
      </c>
      <c r="U188" s="15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16:36:40-0600',mode:absolute,to:'2016-10-08 18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8" s="54" t="str">
        <f t="shared" si="125"/>
        <v>N</v>
      </c>
      <c r="X188" s="163">
        <f t="shared" si="130"/>
        <v>1</v>
      </c>
      <c r="Y188" s="69">
        <f t="shared" si="133"/>
        <v>5.8635999999999999</v>
      </c>
      <c r="Z188" s="69">
        <f t="shared" si="134"/>
        <v>7.2400000000000006E-2</v>
      </c>
      <c r="AA188" s="69">
        <f t="shared" si="127"/>
        <v>5.7911999999999999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128"/>
        <v>1824-08</v>
      </c>
      <c r="AE188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88" s="91" t="str">
        <f t="shared" si="105"/>
        <v>"C:\Program Files (x86)\AstroGrep\AstroGrep.exe" /spath="%USERPROFILE%\AppData\Local\Temp\OnboardLogs" /stypes="app*4017*20161008*" /stext=" 23:.+((SYSTEM_STATE.+slice.+state.+changed )|(ment ac)|(system.+state.+changed )|(\[timeout)|(PRM\|1\|D)|(kpr)|(kdp)|(\|lc)|(penalty))" /e /r /s</v>
      </c>
      <c r="AG188" s="1" t="str">
        <f t="shared" si="129"/>
        <v>NW</v>
      </c>
      <c r="AH188" s="95" t="str">
        <f t="shared" si="112"/>
        <v>"%USERPROFILE%\Documents\GitHub\eaglep3\Utilities\RefineRTDCRunTimes.py" --tripid 1824-08 --locoid 4017 --swversion DE.1.0.7.0 --startMP 300:58636 --initTime 2016-10-08T17:36:40 --startdatetime 2016-10-08T17:39:04 --delay 1 --endMP 204:724 --enddatetime 2016-10-08T17:54:19 --enforcementcount 1 &gt;&gt;C:\Users\stu\Documents\GitHub\eaglep3-reporting\EC\2016-10-08-refined-times.txt</v>
      </c>
      <c r="AI188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{"issue":{"subject":"","project_id":79,"tracker_id":40,"status_id":1,"priority_id":2,"assigned_to_id":23,"start_date":"2016-10-08","description":"","custom_fields":[{"id":1,"name":"Subdivision","value":"NW"},{"id":4,"name":"Milepost","value":"0.0724"},{"id":17,"name":"Train ID","value":"1824-08"},{"id":16,"name":"Locomotive ID","value":"4017"},{"id":130,"name":"Impact","value":""},{"id":150,"name":"Time of Event (Mountain Time)","value":"17:54:19"},{"id":151,"name":"Denver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552</v>
      </c>
      <c r="B189" s="7">
        <v>4018</v>
      </c>
      <c r="C189" s="24" t="s">
        <v>106</v>
      </c>
      <c r="D189" s="24" t="s">
        <v>663</v>
      </c>
      <c r="E189" s="15">
        <v>42651.750034722223</v>
      </c>
      <c r="F189" s="15">
        <v>42651.764884259261</v>
      </c>
      <c r="G189" s="7">
        <v>1</v>
      </c>
      <c r="H189" s="15" t="s">
        <v>365</v>
      </c>
      <c r="I189" s="15">
        <v>42651.774421296293</v>
      </c>
      <c r="J189" s="7">
        <v>1</v>
      </c>
      <c r="K189" s="116" t="str">
        <f t="shared" si="121"/>
        <v>4017/4018</v>
      </c>
      <c r="L189" s="24" t="str">
        <f>VLOOKUP(A189,'Trips&amp;Operators'!$C$1:$E$10000,3,FALSE)</f>
        <v>BROWN</v>
      </c>
      <c r="M189" s="6">
        <f t="shared" si="122"/>
        <v>9.5370370327145793E-3</v>
      </c>
      <c r="N189" s="7">
        <f t="shared" si="132"/>
        <v>13.733333327108994</v>
      </c>
      <c r="O189" s="7"/>
      <c r="P189" s="7"/>
      <c r="Q189" s="25"/>
      <c r="R189" s="25"/>
      <c r="S189" s="37">
        <f t="shared" si="131"/>
        <v>1</v>
      </c>
      <c r="T189" s="52" t="str">
        <f t="shared" si="123"/>
        <v>NorthBound</v>
      </c>
      <c r="U189" s="15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17:00:03-0600',mode:absolute,to:'2016-10-08 19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9" s="54" t="str">
        <f t="shared" si="125"/>
        <v>N</v>
      </c>
      <c r="X189" s="163">
        <f t="shared" si="130"/>
        <v>1</v>
      </c>
      <c r="Y189" s="69">
        <f t="shared" si="133"/>
        <v>0.1009</v>
      </c>
      <c r="Z189" s="69">
        <f t="shared" si="134"/>
        <v>5.8960999999999997</v>
      </c>
      <c r="AA189" s="69">
        <f t="shared" si="127"/>
        <v>5.7951999999999995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128"/>
        <v>1825-08</v>
      </c>
      <c r="AE189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89" s="91" t="str">
        <f t="shared" si="105"/>
        <v>"C:\Program Files (x86)\AstroGrep\AstroGrep.exe" /spath="%USERPROFILE%\AppData\Local\Temp\OnboardLogs" /stypes="app*4018*20161009*" /stext=" 00:.+((SYSTEM_STATE.+slice.+state.+changed )|(ment ac)|(system.+state.+changed )|(\[timeout)|(PRM\|1\|D)|(kpr)|(kdp)|(\|lc)|(penalty))" /e /r /s</v>
      </c>
      <c r="AG189" s="1" t="str">
        <f t="shared" si="129"/>
        <v>NW</v>
      </c>
      <c r="AH189" s="95" t="str">
        <f t="shared" si="112"/>
        <v>"%USERPROFILE%\Documents\GitHub\eaglep3\Utilities\RefineRTDCRunTimes.py" --tripid 1825-08 --locoid 4018 --swversion DE.1.0.7.0 --startMP 204:1009 --initTime 2016-10-08T18:00:03 --startdatetime 2016-10-08T18:21:26 --delay 1 --endMP 300:58961 --enddatetime 2016-10-08T18:35:10 --enforcementcount 1 &gt;&gt;C:\Users\stu\Documents\GitHub\eaglep3-reporting\EC\2016-10-08-refined-times.txt</v>
      </c>
      <c r="AI189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{"issue":{"subject":"","project_id":79,"tracker_id":40,"status_id":1,"priority_id":2,"assigned_to_id":23,"start_date":"2016-10-08","description":"","custom_fields":[{"id":1,"name":"Subdivision","value":"NW"},{"id":4,"name":"Milepost","value":"5.8961"},{"id":17,"name":"Train ID","value":"1825-08"},{"id":16,"name":"Locomotive ID","value":"4018"},{"id":130,"name":"Impact","value":""},{"id":150,"name":"Time of Event (Mountain Time)","value":"18:35:10"},{"id":151,"name":"Denver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559</v>
      </c>
      <c r="B190" s="7">
        <v>4017</v>
      </c>
      <c r="C190" s="24" t="s">
        <v>106</v>
      </c>
      <c r="D190" s="24" t="s">
        <v>666</v>
      </c>
      <c r="E190" s="15">
        <v>42651.775416666664</v>
      </c>
      <c r="F190" s="15">
        <v>42651.776990740742</v>
      </c>
      <c r="G190" s="7">
        <v>1</v>
      </c>
      <c r="H190" s="15" t="s">
        <v>646</v>
      </c>
      <c r="I190" s="15">
        <v>42651.788368055553</v>
      </c>
      <c r="J190" s="7">
        <v>1</v>
      </c>
      <c r="K190" s="116" t="str">
        <f t="shared" si="121"/>
        <v>4017/4018</v>
      </c>
      <c r="L190" s="24" t="str">
        <f>VLOOKUP(A190,'Trips&amp;Operators'!$C$1:$E$10000,3,FALSE)</f>
        <v>BROWN</v>
      </c>
      <c r="M190" s="6">
        <f t="shared" si="122"/>
        <v>1.137731481139781E-2</v>
      </c>
      <c r="N190" s="7">
        <f t="shared" si="132"/>
        <v>16.383333328412846</v>
      </c>
      <c r="O190" s="7"/>
      <c r="P190" s="7"/>
      <c r="Q190" s="25"/>
      <c r="R190" s="25"/>
      <c r="S190" s="37">
        <f t="shared" si="131"/>
        <v>1</v>
      </c>
      <c r="T190" s="52" t="str">
        <f t="shared" si="123"/>
        <v>Southbound</v>
      </c>
      <c r="U190" s="15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17:36:36-0600',mode:absolute,to:'2016-10-08 19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0" s="54" t="str">
        <f t="shared" si="125"/>
        <v>N</v>
      </c>
      <c r="X190" s="163">
        <f t="shared" si="130"/>
        <v>1</v>
      </c>
      <c r="Y190" s="69">
        <f t="shared" si="133"/>
        <v>5.8648999999999996</v>
      </c>
      <c r="Z190" s="69">
        <f t="shared" si="134"/>
        <v>7.3400000000000007E-2</v>
      </c>
      <c r="AA190" s="69">
        <f t="shared" si="127"/>
        <v>5.7914999999999992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128"/>
        <v>1826-08</v>
      </c>
      <c r="AE190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90" s="91" t="str">
        <f t="shared" si="105"/>
        <v>"C:\Program Files (x86)\AstroGrep\AstroGrep.exe" /spath="%USERPROFILE%\AppData\Local\Temp\OnboardLogs" /stypes="app*4017*20161009*" /stext=" 00:.+((SYSTEM_STATE.+slice.+state.+changed )|(ment ac)|(system.+state.+changed )|(\[timeout)|(PRM\|1\|D)|(kpr)|(kdp)|(\|lc)|(penalty))" /e /r /s</v>
      </c>
      <c r="AG190" s="1" t="str">
        <f t="shared" si="129"/>
        <v>NW</v>
      </c>
      <c r="AH190" s="95" t="str">
        <f t="shared" si="112"/>
        <v>"%USERPROFILE%\Documents\GitHub\eaglep3\Utilities\RefineRTDCRunTimes.py" --tripid 1826-08 --locoid 4017 --swversion DE.1.0.7.0 --startMP 300:58649 --initTime 2016-10-08T18:36:36 --startdatetime 2016-10-08T18:38:52 --delay 1 --endMP 204:734 --enddatetime 2016-10-08T18:55:15 --enforcementcount 1 &gt;&gt;C:\Users\stu\Documents\GitHub\eaglep3-reporting\EC\2016-10-08-refined-times.txt</v>
      </c>
      <c r="AI190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{"issue":{"subject":"","project_id":79,"tracker_id":40,"status_id":1,"priority_id":2,"assigned_to_id":23,"start_date":"2016-10-08","description":"","custom_fields":[{"id":1,"name":"Subdivision","value":"NW"},{"id":4,"name":"Milepost","value":"0.0734"},{"id":17,"name":"Train ID","value":"1826-08"},{"id":16,"name":"Locomotive ID","value":"4017"},{"id":130,"name":"Impact","value":""},{"id":150,"name":"Time of Event (Mountain Time)","value":"18:55:15"},{"id":151,"name":"Denver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566</v>
      </c>
      <c r="B191" s="7">
        <v>4018</v>
      </c>
      <c r="C191" s="24" t="s">
        <v>106</v>
      </c>
      <c r="D191" s="24" t="s">
        <v>308</v>
      </c>
      <c r="E191" s="15">
        <v>42651.799155092594</v>
      </c>
      <c r="F191" s="15">
        <v>42651.806423611109</v>
      </c>
      <c r="G191" s="7">
        <v>1</v>
      </c>
      <c r="H191" s="15" t="s">
        <v>667</v>
      </c>
      <c r="I191" s="15">
        <v>42651.817048611112</v>
      </c>
      <c r="J191" s="7">
        <v>1</v>
      </c>
      <c r="K191" s="116" t="str">
        <f t="shared" si="121"/>
        <v>4017/4018</v>
      </c>
      <c r="L191" s="24" t="str">
        <f>VLOOKUP(A191,'Trips&amp;Operators'!$C$1:$E$10000,3,FALSE)</f>
        <v>BROWN</v>
      </c>
      <c r="M191" s="6">
        <f t="shared" si="122"/>
        <v>1.0625000002619345E-2</v>
      </c>
      <c r="N191" s="7">
        <f t="shared" si="132"/>
        <v>15.300000003771856</v>
      </c>
      <c r="O191" s="7"/>
      <c r="P191" s="7"/>
      <c r="Q191" s="25"/>
      <c r="R191" s="25"/>
      <c r="S191" s="37">
        <f t="shared" si="131"/>
        <v>1</v>
      </c>
      <c r="T191" s="52" t="str">
        <f t="shared" si="123"/>
        <v>NorthBound</v>
      </c>
      <c r="U191" s="15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18:10:47-0600',mode:absolute,to:'2016-10-08 20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1" s="54" t="str">
        <f t="shared" si="125"/>
        <v>N</v>
      </c>
      <c r="X191" s="163">
        <f t="shared" si="130"/>
        <v>1</v>
      </c>
      <c r="Y191" s="69">
        <f t="shared" si="133"/>
        <v>0.1023</v>
      </c>
      <c r="Z191" s="69">
        <f t="shared" si="134"/>
        <v>5.8944000000000001</v>
      </c>
      <c r="AA191" s="69">
        <f t="shared" si="127"/>
        <v>5.7921000000000005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128"/>
        <v>1827-08</v>
      </c>
      <c r="AE191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91" s="91" t="str">
        <f t="shared" si="105"/>
        <v>"C:\Program Files (x86)\AstroGrep\AstroGrep.exe" /spath="%USERPROFILE%\AppData\Local\Temp\OnboardLogs" /stypes="app*4018*20161009*" /stext=" 01:.+((SYSTEM_STATE.+slice.+state.+changed )|(ment ac)|(system.+state.+changed )|(\[timeout)|(PRM\|1\|D)|(kpr)|(kdp)|(\|lc)|(penalty))" /e /r /s</v>
      </c>
      <c r="AG191" s="1" t="str">
        <f t="shared" si="129"/>
        <v>NW</v>
      </c>
      <c r="AH191" s="95" t="str">
        <f t="shared" si="112"/>
        <v>"%USERPROFILE%\Documents\GitHub\eaglep3\Utilities\RefineRTDCRunTimes.py" --tripid 1827-08 --locoid 4018 --swversion DE.1.0.7.0 --startMP 204:1023 --initTime 2016-10-08T19:10:47 --startdatetime 2016-10-08T19:21:15 --delay 1 --endMP 300:58944 --enddatetime 2016-10-08T19:36:33 --enforcementcount 1 &gt;&gt;C:\Users\stu\Documents\GitHub\eaglep3-reporting\EC\2016-10-08-refined-times.txt</v>
      </c>
      <c r="AI191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{"issue":{"subject":"","project_id":79,"tracker_id":40,"status_id":1,"priority_id":2,"assigned_to_id":23,"start_date":"2016-10-08","description":"","custom_fields":[{"id":1,"name":"Subdivision","value":"NW"},{"id":4,"name":"Milepost","value":"5.8944"},{"id":17,"name":"Train ID","value":"1827-08"},{"id":16,"name":"Locomotive ID","value":"4018"},{"id":130,"name":"Impact","value":""},{"id":150,"name":"Time of Event (Mountain Time)","value":"19:36:33"},{"id":151,"name":"Denver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570</v>
      </c>
      <c r="B192" s="7">
        <v>4017</v>
      </c>
      <c r="C192" s="24" t="s">
        <v>106</v>
      </c>
      <c r="D192" s="24" t="s">
        <v>668</v>
      </c>
      <c r="E192" s="15">
        <v>42651.819687499999</v>
      </c>
      <c r="F192" s="15">
        <v>42651.821863425925</v>
      </c>
      <c r="G192" s="7">
        <v>1</v>
      </c>
      <c r="H192" s="15" t="s">
        <v>651</v>
      </c>
      <c r="I192" s="15">
        <v>42651.831736111111</v>
      </c>
      <c r="J192" s="7">
        <v>1</v>
      </c>
      <c r="K192" s="116" t="str">
        <f t="shared" si="121"/>
        <v>4017/4018</v>
      </c>
      <c r="L192" s="24" t="str">
        <f>VLOOKUP(A192,'Trips&amp;Operators'!$C$1:$E$10000,3,FALSE)</f>
        <v>BROWN</v>
      </c>
      <c r="M192" s="6">
        <f t="shared" si="122"/>
        <v>9.8726851865649223E-3</v>
      </c>
      <c r="N192" s="7">
        <f t="shared" si="132"/>
        <v>14.216666668653488</v>
      </c>
      <c r="O192" s="7"/>
      <c r="P192" s="7"/>
      <c r="Q192" s="25"/>
      <c r="R192" s="25"/>
      <c r="S192" s="37">
        <f t="shared" si="131"/>
        <v>1</v>
      </c>
      <c r="T192" s="52" t="str">
        <f t="shared" si="123"/>
        <v>Southbound</v>
      </c>
      <c r="U192" s="15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18:40:21-0600',mode:absolute,to:'2016-10-08 20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2" s="54" t="str">
        <f t="shared" si="125"/>
        <v>N</v>
      </c>
      <c r="X192" s="163">
        <f t="shared" si="130"/>
        <v>1</v>
      </c>
      <c r="Y192" s="69">
        <f t="shared" si="133"/>
        <v>5.8632</v>
      </c>
      <c r="Z192" s="69">
        <f t="shared" si="134"/>
        <v>7.2700000000000001E-2</v>
      </c>
      <c r="AA192" s="69">
        <f t="shared" si="127"/>
        <v>5.7904999999999998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128"/>
        <v>1828-08</v>
      </c>
      <c r="AE192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92" s="91" t="str">
        <f t="shared" si="105"/>
        <v>"C:\Program Files (x86)\AstroGrep\AstroGrep.exe" /spath="%USERPROFILE%\AppData\Local\Temp\OnboardLogs" /stypes="app*4017*20161009*" /stext=" 01:.+((SYSTEM_STATE.+slice.+state.+changed )|(ment ac)|(system.+state.+changed )|(\[timeout)|(PRM\|1\|D)|(kpr)|(kdp)|(\|lc)|(penalty))" /e /r /s</v>
      </c>
      <c r="AG192" s="1" t="str">
        <f t="shared" si="129"/>
        <v>NW</v>
      </c>
      <c r="AH192" s="95" t="str">
        <f t="shared" si="112"/>
        <v>"%USERPROFILE%\Documents\GitHub\eaglep3\Utilities\RefineRTDCRunTimes.py" --tripid 1828-08 --locoid 4017 --swversion DE.1.0.7.0 --startMP 300:58632 --initTime 2016-10-08T19:40:21 --startdatetime 2016-10-08T19:43:29 --delay 1 --endMP 204:727 --enddatetime 2016-10-08T19:57:42 --enforcementcount 1 &gt;&gt;C:\Users\stu\Documents\GitHub\eaglep3-reporting\EC\2016-10-08-refined-times.txt</v>
      </c>
      <c r="AI192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{"issue":{"subject":"","project_id":79,"tracker_id":40,"status_id":1,"priority_id":2,"assigned_to_id":23,"start_date":"2016-10-08","description":"","custom_fields":[{"id":1,"name":"Subdivision","value":"NW"},{"id":4,"name":"Milepost","value":"0.0727"},{"id":17,"name":"Train ID","value":"1828-08"},{"id":16,"name":"Locomotive ID","value":"4017"},{"id":130,"name":"Impact","value":""},{"id":150,"name":"Time of Event (Mountain Time)","value":"19:57:42"},{"id":151,"name":"Denver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572</v>
      </c>
      <c r="B193" s="7">
        <v>4018</v>
      </c>
      <c r="C193" s="24" t="s">
        <v>106</v>
      </c>
      <c r="D193" s="24" t="s">
        <v>647</v>
      </c>
      <c r="E193" s="15">
        <v>42651.842523148145</v>
      </c>
      <c r="F193" s="15">
        <v>42651.848078703704</v>
      </c>
      <c r="G193" s="7">
        <v>1</v>
      </c>
      <c r="H193" s="15" t="s">
        <v>669</v>
      </c>
      <c r="I193" s="15">
        <v>42651.857395833336</v>
      </c>
      <c r="J193" s="7">
        <v>1</v>
      </c>
      <c r="K193" s="116" t="str">
        <f t="shared" si="121"/>
        <v>4017/4018</v>
      </c>
      <c r="L193" s="24" t="str">
        <f>VLOOKUP(A193,'Trips&amp;Operators'!$C$1:$E$10000,3,FALSE)</f>
        <v>BROWN</v>
      </c>
      <c r="M193" s="6">
        <f t="shared" si="122"/>
        <v>9.3171296321088448E-3</v>
      </c>
      <c r="N193" s="7">
        <f t="shared" si="132"/>
        <v>13.416666670236737</v>
      </c>
      <c r="O193" s="7"/>
      <c r="P193" s="7"/>
      <c r="Q193" s="25"/>
      <c r="R193" s="25"/>
      <c r="S193" s="37">
        <f t="shared" si="131"/>
        <v>1</v>
      </c>
      <c r="T193" s="52" t="str">
        <f t="shared" si="123"/>
        <v>NorthBound</v>
      </c>
      <c r="U193" s="15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1" t="str">
        <f t="shared" si="124"/>
        <v>https://search-rtdc-monitor-bjffxe2xuh6vdkpspy63sjmuny.us-east-1.es.amazonaws.com/_plugin/kibana/#/discover/Steve-Slow-Train-Analysis-(2080s-and-2083s)?_g=(refreshInterval:(display:Off,section:0,value:0),time:(from:'2016-10-08 19:13:14-0600',mode:absolute,to:'2016-10-08 21:34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3" s="54" t="str">
        <f t="shared" si="125"/>
        <v>N</v>
      </c>
      <c r="X193" s="163">
        <f t="shared" si="130"/>
        <v>1</v>
      </c>
      <c r="Y193" s="69">
        <f t="shared" si="133"/>
        <v>0.1018</v>
      </c>
      <c r="Z193" s="69">
        <f t="shared" si="134"/>
        <v>5.8964999999999996</v>
      </c>
      <c r="AA193" s="69">
        <f t="shared" si="127"/>
        <v>5.7946999999999997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128"/>
        <v>1829-08</v>
      </c>
      <c r="AE193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93" s="91" t="str">
        <f t="shared" si="105"/>
        <v>"C:\Program Files (x86)\AstroGrep\AstroGrep.exe" /spath="%USERPROFILE%\AppData\Local\Temp\OnboardLogs" /stypes="app*4018*20161009*" /stext=" 02:.+((SYSTEM_STATE.+slice.+state.+changed )|(ment ac)|(system.+state.+changed )|(\[timeout)|(PRM\|1\|D)|(kpr)|(kdp)|(\|lc)|(penalty))" /e /r /s</v>
      </c>
      <c r="AG193" s="1" t="str">
        <f t="shared" si="129"/>
        <v>NW</v>
      </c>
      <c r="AH193" s="95" t="str">
        <f t="shared" si="112"/>
        <v>"%USERPROFILE%\Documents\GitHub\eaglep3\Utilities\RefineRTDCRunTimes.py" --tripid 1829-08 --locoid 4018 --swversion DE.1.0.7.0 --startMP 204:1018 --initTime 2016-10-08T20:13:14 --startdatetime 2016-10-08T20:21:14 --delay 1 --endMP 300:58965 --enddatetime 2016-10-08T20:34:39 --enforcementcount 1 &gt;&gt;C:\Users\stu\Documents\GitHub\eaglep3-reporting\EC\2016-10-08-refined-times.txt</v>
      </c>
      <c r="AI193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{"issue":{"subject":"","project_id":79,"tracker_id":40,"status_id":1,"priority_id":2,"assigned_to_id":23,"start_date":"2016-10-08","description":"","custom_fields":[{"id":1,"name":"Subdivision","value":"NW"},{"id":4,"name":"Milepost","value":"5.8965"},{"id":17,"name":"Train ID","value":"1829-08"},{"id":16,"name":"Locomotive ID","value":"4018"},{"id":130,"name":"Impact","value":""},{"id":150,"name":"Time of Event (Mountain Time)","value":"20:34:39"},{"id":151,"name":"Denver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575</v>
      </c>
      <c r="B194" s="7">
        <v>4017</v>
      </c>
      <c r="C194" s="24" t="s">
        <v>106</v>
      </c>
      <c r="D194" s="24" t="s">
        <v>670</v>
      </c>
      <c r="E194" s="15">
        <v>42651.858969907407</v>
      </c>
      <c r="F194" s="15">
        <v>42651.860520833332</v>
      </c>
      <c r="G194" s="7">
        <v>1</v>
      </c>
      <c r="H194" s="15" t="s">
        <v>373</v>
      </c>
      <c r="I194" s="15">
        <v>42651.87164351852</v>
      </c>
      <c r="J194" s="7">
        <v>1</v>
      </c>
      <c r="K194" s="116" t="str">
        <f t="shared" ref="K194:K227" si="135">IF(ISEVEN(B194),(B194-1)&amp;"/"&amp;B194,B194&amp;"/"&amp;(B194+1))</f>
        <v>4017/4018</v>
      </c>
      <c r="L194" s="24" t="str">
        <f>VLOOKUP(A194,'Trips&amp;Operators'!$C$1:$E$10000,3,FALSE)</f>
        <v>BROWN</v>
      </c>
      <c r="M194" s="6">
        <f t="shared" ref="M194:M227" si="136">I194-F194</f>
        <v>1.1122685187729076E-2</v>
      </c>
      <c r="N194" s="7">
        <f t="shared" si="132"/>
        <v>16.016666670329869</v>
      </c>
      <c r="O194" s="7"/>
      <c r="P194" s="7"/>
      <c r="Q194" s="25"/>
      <c r="R194" s="25"/>
      <c r="S194" s="37">
        <f t="shared" si="131"/>
        <v>1</v>
      </c>
      <c r="T194" s="52" t="str">
        <f t="shared" ref="T194:T227" si="137">IF(ISEVEN(LEFT(AD194,4)),"Southbound","NorthBound")</f>
        <v>Southbound</v>
      </c>
      <c r="U194" s="15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1" t="str">
        <f t="shared" ref="V194:V227" si="138"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https://search-rtdc-monitor-bjffxe2xuh6vdkpspy63sjmuny.us-east-1.es.amazonaws.com/_plugin/kibana/#/discover/Steve-Slow-Train-Analysis-(2080s-and-2083s)?_g=(refreshInterval:(display:Off,section:0,value:0),time:(from:'2016-10-08 19:36:55-0600',mode:absolute,to:'2016-10-08 21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4" s="54" t="str">
        <f t="shared" ref="W194:W227" si="139">IF(AA194&lt;IF(AG194="EC",23,5.65),"Y","N")</f>
        <v>N</v>
      </c>
      <c r="X194" s="163">
        <f t="shared" si="130"/>
        <v>1</v>
      </c>
      <c r="Y194" s="69">
        <f t="shared" si="133"/>
        <v>5.8638000000000003</v>
      </c>
      <c r="Z194" s="69">
        <f t="shared" si="134"/>
        <v>7.3300000000000004E-2</v>
      </c>
      <c r="AA194" s="69">
        <f t="shared" ref="AA194:AA225" si="140">ABS(Z194-Y194)</f>
        <v>5.7905000000000006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ref="AD194:AD227" si="141">IF(LEN(A194)=6,"0"&amp;A194,A194)</f>
        <v>1830-08</v>
      </c>
      <c r="AE194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94" s="91" t="str">
        <f t="shared" si="105"/>
        <v>"C:\Program Files (x86)\AstroGrep\AstroGrep.exe" /spath="%USERPROFILE%\AppData\Local\Temp\OnboardLogs" /stypes="app*4017*20161009*" /stext=" 02:.+((SYSTEM_STATE.+slice.+state.+changed )|(ment ac)|(system.+state.+changed )|(\[timeout)|(PRM\|1\|D)|(kpr)|(kdp)|(\|lc)|(penalty))" /e /r /s</v>
      </c>
      <c r="AG194" s="1" t="str">
        <f t="shared" ref="AG194:AG227" si="142">IFERROR(IF(VALUE(LEFT(AD194,2))&lt;=2,"EC",IF(OR(VALUE(LEFT(AD194,2))=8,VALUE(LEFT(AD194,2))=18),"NW","Other")),"Other")</f>
        <v>NW</v>
      </c>
      <c r="AH194" s="95" t="str">
        <f t="shared" si="112"/>
        <v>"%USERPROFILE%\Documents\GitHub\eaglep3\Utilities\RefineRTDCRunTimes.py" --tripid 1830-08 --locoid 4017 --swversion DE.1.0.7.0 --startMP 300:58638 --initTime 2016-10-08T20:36:55 --startdatetime 2016-10-08T20:39:09 --delay 1 --endMP 204:733 --enddatetime 2016-10-08T20:55:10 --enforcementcount 1 &gt;&gt;C:\Users\stu\Documents\GitHub\eaglep3-reporting\EC\2016-10-08-refined-times.txt</v>
      </c>
      <c r="AI194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{"issue":{"subject":"","project_id":79,"tracker_id":40,"status_id":1,"priority_id":2,"assigned_to_id":23,"start_date":"2016-10-08","description":"","custom_fields":[{"id":1,"name":"Subdivision","value":"NW"},{"id":4,"name":"Milepost","value":"0.0733"},{"id":17,"name":"Train ID","value":"1830-08"},{"id":16,"name":"Locomotive ID","value":"4017"},{"id":130,"name":"Impact","value":""},{"id":150,"name":"Time of Event (Mountain Time)","value":"20:55:10"},{"id":151,"name":"Denver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578</v>
      </c>
      <c r="B195" s="7">
        <v>4018</v>
      </c>
      <c r="C195" s="24" t="s">
        <v>106</v>
      </c>
      <c r="D195" s="24" t="s">
        <v>671</v>
      </c>
      <c r="E195" s="15">
        <v>42651.884687500002</v>
      </c>
      <c r="F195" s="15">
        <v>42651.889722222222</v>
      </c>
      <c r="G195" s="7">
        <v>1</v>
      </c>
      <c r="H195" s="15" t="s">
        <v>669</v>
      </c>
      <c r="I195" s="15">
        <v>42651.899039351854</v>
      </c>
      <c r="J195" s="7">
        <v>1</v>
      </c>
      <c r="K195" s="116" t="str">
        <f t="shared" si="135"/>
        <v>4017/4018</v>
      </c>
      <c r="L195" s="24" t="str">
        <f>VLOOKUP(A195,'Trips&amp;Operators'!$C$1:$E$10000,3,FALSE)</f>
        <v>BROWN</v>
      </c>
      <c r="M195" s="6">
        <f t="shared" si="136"/>
        <v>9.3171296321088448E-3</v>
      </c>
      <c r="N195" s="7">
        <f t="shared" si="132"/>
        <v>13.416666670236737</v>
      </c>
      <c r="O195" s="7"/>
      <c r="P195" s="7"/>
      <c r="Q195" s="25"/>
      <c r="R195" s="25"/>
      <c r="S195" s="37">
        <f t="shared" si="131"/>
        <v>1</v>
      </c>
      <c r="T195" s="52" t="str">
        <f t="shared" si="137"/>
        <v>NorthBound</v>
      </c>
      <c r="U195" s="15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20:13:57-0600',mode:absolute,to:'2016-10-08 22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5" s="54" t="str">
        <f t="shared" si="139"/>
        <v>N</v>
      </c>
      <c r="X195" s="163">
        <f t="shared" si="130"/>
        <v>1</v>
      </c>
      <c r="Y195" s="69">
        <f t="shared" si="133"/>
        <v>0.1014</v>
      </c>
      <c r="Z195" s="69">
        <f t="shared" si="134"/>
        <v>5.8964999999999996</v>
      </c>
      <c r="AA195" s="69">
        <f t="shared" si="140"/>
        <v>5.7950999999999997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141"/>
        <v>1831-08</v>
      </c>
      <c r="AE195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95" s="91" t="str">
        <f t="shared" si="105"/>
        <v>"C:\Program Files (x86)\AstroGrep\AstroGrep.exe" /spath="%USERPROFILE%\AppData\Local\Temp\OnboardLogs" /stypes="app*4018*20161009*" /stext=" 03:.+((SYSTEM_STATE.+slice.+state.+changed )|(ment ac)|(system.+state.+changed )|(\[timeout)|(PRM\|1\|D)|(kpr)|(kdp)|(\|lc)|(penalty))" /e /r /s</v>
      </c>
      <c r="AG195" s="1" t="str">
        <f t="shared" si="142"/>
        <v>NW</v>
      </c>
      <c r="AH195" s="95" t="str">
        <f t="shared" si="112"/>
        <v>"%USERPROFILE%\Documents\GitHub\eaglep3\Utilities\RefineRTDCRunTimes.py" --tripid 1831-08 --locoid 4018 --swversion DE.1.0.7.0 --startMP 204:1014 --initTime 2016-10-08T21:13:57 --startdatetime 2016-10-08T21:21:12 --delay 1 --endMP 300:58965 --enddatetime 2016-10-08T21:34:37 --enforcementcount 1 &gt;&gt;C:\Users\stu\Documents\GitHub\eaglep3-reporting\EC\2016-10-08-refined-times.txt</v>
      </c>
      <c r="AI195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{"issue":{"subject":"","project_id":79,"tracker_id":40,"status_id":1,"priority_id":2,"assigned_to_id":23,"start_date":"2016-10-08","description":"","custom_fields":[{"id":1,"name":"Subdivision","value":"NW"},{"id":4,"name":"Milepost","value":"5.8965"},{"id":17,"name":"Train ID","value":"1831-08"},{"id":16,"name":"Locomotive ID","value":"4018"},{"id":130,"name":"Impact","value":""},{"id":150,"name":"Time of Event (Mountain Time)","value":"21:34:37"},{"id":151,"name":"Denver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581</v>
      </c>
      <c r="B196" s="7">
        <v>4017</v>
      </c>
      <c r="C196" s="24" t="s">
        <v>106</v>
      </c>
      <c r="D196" s="24" t="s">
        <v>672</v>
      </c>
      <c r="E196" s="15">
        <v>42651.900034722225</v>
      </c>
      <c r="F196" s="15">
        <v>42651.90148148148</v>
      </c>
      <c r="G196" s="7">
        <v>1</v>
      </c>
      <c r="H196" s="15" t="s">
        <v>673</v>
      </c>
      <c r="I196" s="15">
        <v>42651.913124999999</v>
      </c>
      <c r="J196" s="7">
        <v>1</v>
      </c>
      <c r="K196" s="116" t="str">
        <f t="shared" si="135"/>
        <v>4017/4018</v>
      </c>
      <c r="L196" s="24" t="str">
        <f>VLOOKUP(A196,'Trips&amp;Operators'!$C$1:$E$10000,3,FALSE)</f>
        <v>BROWN</v>
      </c>
      <c r="M196" s="6">
        <f t="shared" si="136"/>
        <v>1.1643518519122154E-2</v>
      </c>
      <c r="N196" s="7">
        <f t="shared" si="132"/>
        <v>16.766666667535901</v>
      </c>
      <c r="O196" s="7"/>
      <c r="P196" s="7"/>
      <c r="Q196" s="25"/>
      <c r="R196" s="25"/>
      <c r="S196" s="37">
        <f t="shared" si="131"/>
        <v>1</v>
      </c>
      <c r="T196" s="52" t="str">
        <f t="shared" si="137"/>
        <v>Southbound</v>
      </c>
      <c r="U196" s="15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20:36:03-0600',mode:absolute,to:'2016-10-08 22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6" s="54" t="str">
        <f t="shared" si="139"/>
        <v>N</v>
      </c>
      <c r="X196" s="163">
        <f t="shared" si="130"/>
        <v>1</v>
      </c>
      <c r="Y196" s="69">
        <f t="shared" si="133"/>
        <v>5.8644999999999996</v>
      </c>
      <c r="Z196" s="69">
        <f t="shared" si="134"/>
        <v>7.1999999999999995E-2</v>
      </c>
      <c r="AA196" s="69">
        <f t="shared" si="140"/>
        <v>5.7924999999999995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141"/>
        <v>1832-08</v>
      </c>
      <c r="AE196" s="94" t="str">
        <f t="shared" si="104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196" s="91" t="str">
        <f t="shared" si="105"/>
        <v>"C:\Program Files (x86)\AstroGrep\AstroGrep.exe" /spath="%USERPROFILE%\AppData\Local\Temp\OnboardLogs" /stypes="app*4017*20161009*" /stext=" 03:.+((SYSTEM_STATE.+slice.+state.+changed )|(ment ac)|(system.+state.+changed )|(\[timeout)|(PRM\|1\|D)|(kpr)|(kdp)|(\|lc)|(penalty))" /e /r /s</v>
      </c>
      <c r="AG196" s="1" t="str">
        <f t="shared" si="142"/>
        <v>NW</v>
      </c>
      <c r="AH196" s="95" t="str">
        <f t="shared" si="112"/>
        <v>"%USERPROFILE%\Documents\GitHub\eaglep3\Utilities\RefineRTDCRunTimes.py" --tripid 1832-08 --locoid 4017 --swversion DE.1.0.7.0 --startMP 300:58645 --initTime 2016-10-08T21:36:03 --startdatetime 2016-10-08T21:38:08 --delay 1 --endMP 204:720 --enddatetime 2016-10-08T21:54:54 --enforcementcount 1 &gt;&gt;C:\Users\stu\Documents\GitHub\eaglep3-reporting\EC\2016-10-08-refined-times.txt</v>
      </c>
      <c r="AI196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{"issue":{"subject":"","project_id":79,"tracker_id":40,"status_id":1,"priority_id":2,"assigned_to_id":23,"start_date":"2016-10-08","description":"","custom_fields":[{"id":1,"name":"Subdivision","value":"NW"},{"id":4,"name":"Milepost","value":"0.072"},{"id":17,"name":"Train ID","value":"1832-08"},{"id":16,"name":"Locomotive ID","value":"4017"},{"id":130,"name":"Impact","value":""},{"id":150,"name":"Time of Event (Mountain Time)","value":"21:54:54"},{"id":151,"name":"Denver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584</v>
      </c>
      <c r="B197" s="7">
        <v>4018</v>
      </c>
      <c r="C197" s="24" t="s">
        <v>106</v>
      </c>
      <c r="D197" s="24" t="s">
        <v>660</v>
      </c>
      <c r="E197" s="15">
        <v>42651.92759259259</v>
      </c>
      <c r="F197" s="15">
        <v>42651.931423611109</v>
      </c>
      <c r="G197" s="7">
        <v>1</v>
      </c>
      <c r="H197" s="15" t="s">
        <v>661</v>
      </c>
      <c r="I197" s="15">
        <v>42651.940891203703</v>
      </c>
      <c r="J197" s="7">
        <v>1</v>
      </c>
      <c r="K197" s="116" t="str">
        <f t="shared" si="135"/>
        <v>4017/4018</v>
      </c>
      <c r="L197" s="24" t="str">
        <f>VLOOKUP(A197,'Trips&amp;Operators'!$C$1:$E$10000,3,FALSE)</f>
        <v>BROWN</v>
      </c>
      <c r="M197" s="6">
        <f t="shared" si="136"/>
        <v>9.4675925938645378E-3</v>
      </c>
      <c r="N197" s="7">
        <f t="shared" si="132"/>
        <v>13.633333335164934</v>
      </c>
      <c r="O197" s="7"/>
      <c r="P197" s="7"/>
      <c r="Q197" s="25"/>
      <c r="R197" s="25"/>
      <c r="S197" s="37">
        <f t="shared" si="131"/>
        <v>1</v>
      </c>
      <c r="T197" s="52" t="str">
        <f t="shared" si="137"/>
        <v>NorthBound</v>
      </c>
      <c r="U197" s="15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21:15:44-0600',mode:absolute,to:'2016-10-08 23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7" s="54" t="str">
        <f t="shared" si="139"/>
        <v>N</v>
      </c>
      <c r="X197" s="163">
        <f t="shared" si="130"/>
        <v>1</v>
      </c>
      <c r="Y197" s="69">
        <f t="shared" si="133"/>
        <v>0.10199999999999999</v>
      </c>
      <c r="Z197" s="69">
        <f t="shared" si="134"/>
        <v>5.8948</v>
      </c>
      <c r="AA197" s="69">
        <f t="shared" si="140"/>
        <v>5.7927999999999997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141"/>
        <v>1833-08</v>
      </c>
      <c r="AE197" s="94" t="str">
        <f t="shared" si="104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197" s="91" t="str">
        <f t="shared" si="105"/>
        <v>"C:\Program Files (x86)\AstroGrep\AstroGrep.exe" /spath="%USERPROFILE%\AppData\Local\Temp\OnboardLogs" /stypes="app*4018*20161009*" /stext=" 04:.+((SYSTEM_STATE.+slice.+state.+changed )|(ment ac)|(system.+state.+changed )|(\[timeout)|(PRM\|1\|D)|(kpr)|(kdp)|(\|lc)|(penalty))" /e /r /s</v>
      </c>
      <c r="AG197" s="1" t="str">
        <f t="shared" si="142"/>
        <v>NW</v>
      </c>
      <c r="AH197" s="95" t="str">
        <f t="shared" si="112"/>
        <v>"%USERPROFILE%\Documents\GitHub\eaglep3\Utilities\RefineRTDCRunTimes.py" --tripid 1833-08 --locoid 4018 --swversion DE.1.0.7.0 --startMP 204:1020 --initTime 2016-10-08T22:15:44 --startdatetime 2016-10-08T22:21:15 --delay 1 --endMP 300:58948 --enddatetime 2016-10-08T22:34:53 --enforcementcount 1 &gt;&gt;C:\Users\stu\Documents\GitHub\eaglep3-reporting\EC\2016-10-08-refined-times.txt</v>
      </c>
      <c r="AI197" s="129" t="str">
        <f t="shared" si="113"/>
        <v>echo {"issue":{"subject":"","project_id":79,"tracker_id":40,"status_id":1,"priority_id":2,"assigned_to_id":23,"start_date":"2016-10-08","description":"","custom_fields":[{"id":1,"name":"Subdivision","value":"NW"},{"id":4,"name":"Milepost","value":"5.8948"},{"id":17,"name":"Train ID","value":"1833-08"},{"id":16,"name":"Locomotive ID","value":"4018"},{"id":130,"name":"Impact","value":""},{"id":150,"name":"Time of Event (Mountain Time)","value":"22:34:53"},{"id":151,"name":"Denver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394</v>
      </c>
      <c r="B198" s="7">
        <v>4028</v>
      </c>
      <c r="C198" s="24" t="s">
        <v>106</v>
      </c>
      <c r="D198" s="24" t="s">
        <v>711</v>
      </c>
      <c r="E198" s="15">
        <v>42651.121608796297</v>
      </c>
      <c r="F198" s="15">
        <v>42651.124062499999</v>
      </c>
      <c r="G198" s="7">
        <v>2</v>
      </c>
      <c r="H198" s="15" t="s">
        <v>209</v>
      </c>
      <c r="I198" s="15">
        <v>42651.130509259259</v>
      </c>
      <c r="J198" s="7">
        <v>1</v>
      </c>
      <c r="K198" s="116" t="str">
        <f t="shared" si="135"/>
        <v>4027/4028</v>
      </c>
      <c r="L198" s="24" t="str">
        <f>VLOOKUP(A198,'Trips&amp;Operators'!$C$1:$E$10000,3,FALSE)</f>
        <v>MAELZER</v>
      </c>
      <c r="M198" s="6">
        <f t="shared" si="136"/>
        <v>6.4467592601431534E-3</v>
      </c>
      <c r="N198" s="7">
        <f t="shared" si="132"/>
        <v>9.2833333346061409</v>
      </c>
      <c r="O198" s="7"/>
      <c r="P198" s="7"/>
      <c r="Q198" s="25"/>
      <c r="R198" s="25"/>
      <c r="S198" s="37">
        <f t="shared" si="131"/>
        <v>1</v>
      </c>
      <c r="T198" s="52" t="str">
        <f t="shared" si="137"/>
        <v>Southbound</v>
      </c>
      <c r="U198" s="15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01:55:07-0600',mode:absolute,to:'2016-10-08 04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8" s="54" t="str">
        <f t="shared" si="139"/>
        <v>Y</v>
      </c>
      <c r="X198" s="163">
        <f t="shared" ref="X198:X201" si="143">VALUE(LEFT(AD198,4))-VALUE(LEFT(AD197,4))</f>
        <v>-1531</v>
      </c>
      <c r="Y198" s="69">
        <f t="shared" si="133"/>
        <v>2.3121999999999998</v>
      </c>
      <c r="Z198" s="69">
        <f t="shared" si="134"/>
        <v>1.4500000000000001E-2</v>
      </c>
      <c r="AA198" s="69">
        <f t="shared" si="140"/>
        <v>2.2976999999999999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141"/>
        <v>0302-08</v>
      </c>
      <c r="AE198" s="94" t="str">
        <f t="shared" si="104"/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AF198" s="91" t="str">
        <f t="shared" si="105"/>
        <v>"C:\Program Files (x86)\AstroGrep\AstroGrep.exe" /spath="%USERPROFILE%\AppData\Local\Temp\OnboardLogs" /stypes="app*4028*20161008*" /stext=" 09:.+((SYSTEM_STATE.+slice.+state.+changed )|(ment ac)|(system.+state.+changed )|(\[timeout)|(PRM\|1\|D)|(kpr)|(kdp)|(\|lc)|(penalty))" /e /r /s</v>
      </c>
      <c r="AG198" s="1" t="str">
        <f t="shared" si="142"/>
        <v>Other</v>
      </c>
      <c r="AH198" s="95" t="str">
        <f t="shared" si="112"/>
        <v>"%USERPROFILE%\Documents\GitHub\eaglep3\Utilities\RefineRTDCRunTimes.py" --tripid 302-08 --locoid 4028 --swversion DE.1.0.7.0 --startMP 300:23122 --initTime 2016-10-08T02:55:07 --startdatetime 2016-10-08T02:58:39 --delay 2 --endMP 204:145 --enddatetime 2016-10-08T03:07:56 --enforcementcount 1 &gt;&gt;C:\Users\stu\Documents\GitHub\eaglep3-reporting\EC\2016-10-08-refined-times.txt</v>
      </c>
      <c r="AI198" s="129" t="str">
        <f t="shared" si="113"/>
        <v>echo {"issue":{"subject":"","project_id":79,"tracker_id":40,"status_id":1,"priority_id":2,"assigned_to_id":23,"start_date":"2016-10-08","description":"","custom_fields":[{"id":1,"name":"Subdivision","value":"Other"},{"id":4,"name":"Milepost","value":"0.0145"},{"id":17,"name":"Train ID","value":"302-08"},{"id":16,"name":"Locomotive ID","value":"4028"},{"id":130,"name":"Impact","value":""},{"id":150,"name":"Time of Event (Mountain Time)","value":"03:07:56"},{"id":151,"name":"Denver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560</v>
      </c>
      <c r="B199" s="7">
        <v>4025</v>
      </c>
      <c r="C199" s="24" t="s">
        <v>106</v>
      </c>
      <c r="D199" s="24" t="s">
        <v>712</v>
      </c>
      <c r="E199" s="15">
        <v>42651.779085648152</v>
      </c>
      <c r="F199" s="15">
        <v>42651.784548611111</v>
      </c>
      <c r="G199" s="7">
        <v>1</v>
      </c>
      <c r="H199" s="15" t="s">
        <v>356</v>
      </c>
      <c r="I199" s="15">
        <v>42651.791319444441</v>
      </c>
      <c r="J199" s="7">
        <v>1</v>
      </c>
      <c r="K199" s="116" t="str">
        <f t="shared" si="135"/>
        <v>4025/4026</v>
      </c>
      <c r="L199" s="24" t="str">
        <f>VLOOKUP(A199,'Trips&amp;Operators'!$C$1:$E$10000,3,FALSE)</f>
        <v>SHOOK</v>
      </c>
      <c r="M199" s="6">
        <f t="shared" si="136"/>
        <v>6.7708333299378864E-3</v>
      </c>
      <c r="N199" s="7">
        <f t="shared" si="132"/>
        <v>9.7499999951105565</v>
      </c>
      <c r="O199" s="7"/>
      <c r="P199" s="7"/>
      <c r="Q199" s="25"/>
      <c r="R199" s="25"/>
      <c r="S199" s="37">
        <f t="shared" si="131"/>
        <v>1</v>
      </c>
      <c r="T199" s="52" t="str">
        <f t="shared" si="137"/>
        <v>NorthBound</v>
      </c>
      <c r="U199" s="15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17:41:53-0600',mode:absolute,to:'2016-10-08 19:59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9" s="54" t="str">
        <f t="shared" si="139"/>
        <v>Y</v>
      </c>
      <c r="X199" s="163">
        <f t="shared" si="143"/>
        <v>1</v>
      </c>
      <c r="Y199" s="69">
        <f t="shared" si="133"/>
        <v>8.3000000000000004E-2</v>
      </c>
      <c r="Z199" s="69">
        <f t="shared" si="134"/>
        <v>2.3304</v>
      </c>
      <c r="AA199" s="69">
        <f t="shared" si="140"/>
        <v>2.2473999999999998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141"/>
        <v>0303-08</v>
      </c>
      <c r="AE199" s="94" t="str">
        <f t="shared" si="104"/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AF199" s="91" t="str">
        <f t="shared" si="105"/>
        <v>"C:\Program Files (x86)\AstroGrep\AstroGrep.exe" /spath="%USERPROFILE%\AppData\Local\Temp\OnboardLogs" /stypes="app*4025*20161009*" /stext=" 00:.+((SYSTEM_STATE.+slice.+state.+changed )|(ment ac)|(system.+state.+changed )|(\[timeout)|(PRM\|1\|D)|(kpr)|(kdp)|(\|lc)|(penalty))" /e /r /s</v>
      </c>
      <c r="AG199" s="1" t="str">
        <f t="shared" si="142"/>
        <v>Other</v>
      </c>
      <c r="AH199" s="95" t="str">
        <f t="shared" si="112"/>
        <v>"%USERPROFILE%\Documents\GitHub\eaglep3\Utilities\RefineRTDCRunTimes.py" --tripid 303-08 --locoid 4025 --swversion DE.1.0.7.0 --startMP 204:830 --initTime 2016-10-08T18:41:53 --startdatetime 2016-10-08T18:49:45 --delay 1 --endMP 300:23304 --enddatetime 2016-10-08T18:59:30 --enforcementcount 1 &gt;&gt;C:\Users\stu\Documents\GitHub\eaglep3-reporting\EC\2016-10-08-refined-times.txt</v>
      </c>
      <c r="AI199" s="129" t="str">
        <f t="shared" si="113"/>
        <v>echo {"issue":{"subject":"","project_id":79,"tracker_id":40,"status_id":1,"priority_id":2,"assigned_to_id":23,"start_date":"2016-10-08","description":"","custom_fields":[{"id":1,"name":"Subdivision","value":"Other"},{"id":4,"name":"Milepost","value":"2.3304"},{"id":17,"name":"Train ID","value":"303-08"},{"id":16,"name":"Locomotive ID","value":"4025"},{"id":130,"name":"Impact","value":""},{"id":150,"name":"Time of Event (Mountain Time)","value":"18:59:30"},{"id":151,"name":"Denver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397</v>
      </c>
      <c r="B200" s="7">
        <v>4013</v>
      </c>
      <c r="C200" s="24" t="s">
        <v>106</v>
      </c>
      <c r="D200" s="24" t="s">
        <v>713</v>
      </c>
      <c r="E200" s="15">
        <v>42651.144016203703</v>
      </c>
      <c r="F200" s="15">
        <v>42651.145277777781</v>
      </c>
      <c r="G200" s="7">
        <v>1</v>
      </c>
      <c r="H200" s="15" t="s">
        <v>714</v>
      </c>
      <c r="I200" s="15">
        <v>42651.152986111112</v>
      </c>
      <c r="J200" s="7">
        <v>1</v>
      </c>
      <c r="K200" s="116" t="str">
        <f t="shared" si="135"/>
        <v>4013/4014</v>
      </c>
      <c r="L200" s="24" t="str">
        <f>VLOOKUP(A200,'Trips&amp;Operators'!$C$1:$E$10000,3,FALSE)</f>
        <v>MALAVE</v>
      </c>
      <c r="M200" s="6">
        <f t="shared" si="136"/>
        <v>7.7083333308110014E-3</v>
      </c>
      <c r="N200" s="7">
        <f t="shared" si="132"/>
        <v>11.099999996367842</v>
      </c>
      <c r="O200" s="7"/>
      <c r="P200" s="7"/>
      <c r="Q200" s="25"/>
      <c r="R200" s="25"/>
      <c r="S200" s="37">
        <f t="shared" ref="S200:S227" si="144">SUM(U200:U200)/IF(AG200="EC",12,1)</f>
        <v>1</v>
      </c>
      <c r="T200" s="52" t="str">
        <f t="shared" si="137"/>
        <v>Southbound</v>
      </c>
      <c r="U200" s="15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02:27:23-0600',mode:absolute,to:'2016-10-08 04:40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0" s="54" t="str">
        <f t="shared" si="139"/>
        <v>Y</v>
      </c>
      <c r="X200" s="163">
        <f t="shared" si="143"/>
        <v>1</v>
      </c>
      <c r="Y200" s="69">
        <f t="shared" si="133"/>
        <v>2.3652000000000002</v>
      </c>
      <c r="Z200" s="69">
        <f t="shared" si="134"/>
        <v>2.29E-2</v>
      </c>
      <c r="AA200" s="69">
        <f t="shared" si="140"/>
        <v>2.3423000000000003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141"/>
        <v>0304-08</v>
      </c>
      <c r="AE200" s="94" t="str">
        <f t="shared" si="104"/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AF200" s="91" t="str">
        <f t="shared" si="105"/>
        <v>"C:\Program Files (x86)\AstroGrep\AstroGrep.exe" /spath="%USERPROFILE%\AppData\Local\Temp\OnboardLogs" /stypes="app*4013*20161008*" /stext=" 09:.+((SYSTEM_STATE.+slice.+state.+changed )|(ment ac)|(system.+state.+changed )|(\[timeout)|(PRM\|1\|D)|(kpr)|(kdp)|(\|lc)|(penalty))" /e /r /s</v>
      </c>
      <c r="AG200" s="1" t="str">
        <f t="shared" si="142"/>
        <v>Other</v>
      </c>
      <c r="AH200" s="95" t="str">
        <f t="shared" si="112"/>
        <v>"%USERPROFILE%\Documents\GitHub\eaglep3\Utilities\RefineRTDCRunTimes.py" --tripid 304-08 --locoid 4013 --swversion DE.1.0.7.0 --startMP 300:23652 --initTime 2016-10-08T03:27:23 --startdatetime 2016-10-08T03:29:12 --delay 1 --endMP 204:229 --enddatetime 2016-10-08T03:40:18 --enforcementcount 1 &gt;&gt;C:\Users\stu\Documents\GitHub\eaglep3-reporting\EC\2016-10-08-refined-times.txt</v>
      </c>
      <c r="AI200" s="129" t="str">
        <f t="shared" si="113"/>
        <v>echo {"issue":{"subject":"","project_id":79,"tracker_id":40,"status_id":1,"priority_id":2,"assigned_to_id":23,"start_date":"2016-10-08","description":"","custom_fields":[{"id":1,"name":"Subdivision","value":"Other"},{"id":4,"name":"Milepost","value":"0.0229"},{"id":17,"name":"Train ID","value":"304-08"},{"id":16,"name":"Locomotive ID","value":"4013"},{"id":130,"name":"Impact","value":""},{"id":150,"name":"Time of Event (Mountain Time)","value":"03:40:18"},{"id":151,"name":"Denver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565</v>
      </c>
      <c r="B201" s="7">
        <v>4027</v>
      </c>
      <c r="C201" s="24" t="s">
        <v>106</v>
      </c>
      <c r="D201" s="24" t="s">
        <v>192</v>
      </c>
      <c r="E201" s="15">
        <v>42651.79891203704</v>
      </c>
      <c r="F201" s="15">
        <v>42651.801400462966</v>
      </c>
      <c r="G201" s="7">
        <v>1</v>
      </c>
      <c r="H201" s="15" t="s">
        <v>715</v>
      </c>
      <c r="I201" s="15">
        <v>42651.807083333333</v>
      </c>
      <c r="J201" s="7">
        <v>1</v>
      </c>
      <c r="K201" s="116" t="str">
        <f t="shared" si="135"/>
        <v>4027/4028</v>
      </c>
      <c r="L201" s="24" t="str">
        <f>VLOOKUP(A201,'Trips&amp;Operators'!$C$1:$E$10000,3,FALSE)</f>
        <v>CLARK</v>
      </c>
      <c r="M201" s="6">
        <f t="shared" si="136"/>
        <v>5.6828703673090786E-3</v>
      </c>
      <c r="N201" s="7">
        <f t="shared" si="132"/>
        <v>8.1833333289250731</v>
      </c>
      <c r="O201" s="7"/>
      <c r="P201" s="7"/>
      <c r="Q201" s="25"/>
      <c r="R201" s="25"/>
      <c r="S201" s="37">
        <f t="shared" si="144"/>
        <v>1</v>
      </c>
      <c r="T201" s="52" t="str">
        <f t="shared" si="137"/>
        <v>NorthBound</v>
      </c>
      <c r="U201" s="15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18:10:26-0600',mode:absolute,to:'2016-10-08 20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1" s="54" t="str">
        <f t="shared" si="139"/>
        <v>Y</v>
      </c>
      <c r="X201" s="163">
        <f t="shared" si="143"/>
        <v>1</v>
      </c>
      <c r="Y201" s="69">
        <f t="shared" si="133"/>
        <v>4.53E-2</v>
      </c>
      <c r="Z201" s="69">
        <f t="shared" si="134"/>
        <v>2.2846000000000002</v>
      </c>
      <c r="AA201" s="69">
        <f t="shared" si="140"/>
        <v>2.2393000000000001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141"/>
        <v>0305-08</v>
      </c>
      <c r="AE201" s="94" t="str">
        <f t="shared" si="104"/>
        <v>aws s3 cp s3://rtdc.mdm.uploadarchive.raw/RTDC4027/ "%USERPROFILE%\AppData\Local\Temp\OnboardLogs"\RTDC4027\2016-10-08 --exclude "*" --recursive --include "*20161008*" &amp; "%USERPROFILE%\Documents\GitHub\mrs-test-scripts\Headless Mode &amp; Sideloading\WalkAndUnGZ.bat" "%USERPROFILE%\AppData\Local\Temp\OnboardLogs"\RTDC4027\2016-10-08 &amp; 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</v>
      </c>
      <c r="AF201" s="91" t="str">
        <f t="shared" si="105"/>
        <v>"C:\Program Files (x86)\AstroGrep\AstroGrep.exe" /spath="%USERPROFILE%\AppData\Local\Temp\OnboardLogs" /stypes="app*4027*20161009*" /stext=" 01:.+((SYSTEM_STATE.+slice.+state.+changed )|(ment ac)|(system.+state.+changed )|(\[timeout)|(PRM\|1\|D)|(kpr)|(kdp)|(\|lc)|(penalty))" /e /r /s</v>
      </c>
      <c r="AG201" s="1" t="str">
        <f t="shared" si="142"/>
        <v>Other</v>
      </c>
      <c r="AH201" s="95" t="str">
        <f t="shared" si="112"/>
        <v>"%USERPROFILE%\Documents\GitHub\eaglep3\Utilities\RefineRTDCRunTimes.py" --tripid 305-08 --locoid 4027 --swversion DE.1.0.7.0 --startMP 204:453 --initTime 2016-10-08T19:10:26 --startdatetime 2016-10-08T19:14:01 --delay 1 --endMP 300:22846 --enddatetime 2016-10-08T19:22:12 --enforcementcount 1 &gt;&gt;C:\Users\stu\Documents\GitHub\eaglep3-reporting\EC\2016-10-08-refined-times.txt</v>
      </c>
      <c r="AI201" s="129" t="str">
        <f t="shared" si="113"/>
        <v>echo {"issue":{"subject":"","project_id":79,"tracker_id":40,"status_id":1,"priority_id":2,"assigned_to_id":23,"start_date":"2016-10-08","description":"","custom_fields":[{"id":1,"name":"Subdivision","value":"Other"},{"id":4,"name":"Milepost","value":"2.2846"},{"id":17,"name":"Train ID","value":"305-08"},{"id":16,"name":"Locomotive ID","value":"4027"},{"id":130,"name":"Impact","value":""},{"id":150,"name":"Time of Event (Mountain Time)","value":"19:22:12"},{"id":151,"name":"Denver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399</v>
      </c>
      <c r="B202" s="7">
        <v>4043</v>
      </c>
      <c r="C202" s="24" t="s">
        <v>106</v>
      </c>
      <c r="D202" s="24" t="s">
        <v>716</v>
      </c>
      <c r="E202" s="15">
        <v>42651.163055555553</v>
      </c>
      <c r="F202" s="15">
        <v>25568.708333333332</v>
      </c>
      <c r="G202" s="7">
        <v>1</v>
      </c>
      <c r="H202" s="15" t="s">
        <v>717</v>
      </c>
      <c r="I202" s="15">
        <v>25568.708333333332</v>
      </c>
      <c r="J202" s="7">
        <v>1</v>
      </c>
      <c r="K202" s="116" t="str">
        <f t="shared" si="135"/>
        <v>4043/4044</v>
      </c>
      <c r="L202" s="24" t="str">
        <f>VLOOKUP(A202,'Trips&amp;Operators'!$C$1:$E$10000,3,FALSE)</f>
        <v>ACKERMAN</v>
      </c>
      <c r="M202" s="6">
        <f t="shared" si="136"/>
        <v>0</v>
      </c>
      <c r="N202" s="7">
        <f t="shared" si="132"/>
        <v>0</v>
      </c>
      <c r="O202" s="7"/>
      <c r="P202" s="7"/>
      <c r="Q202" s="25"/>
      <c r="R202" s="25"/>
      <c r="S202" s="37">
        <f t="shared" si="144"/>
        <v>0</v>
      </c>
      <c r="T202" s="52" t="str">
        <f t="shared" si="137"/>
        <v>Southbound</v>
      </c>
      <c r="U202" s="15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02:54:48-0600',mode:absolute,to:'1969-12-31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2" s="54" t="str">
        <f t="shared" si="139"/>
        <v>Y</v>
      </c>
      <c r="X202" s="163">
        <f t="shared" ref="X202:X227" si="145">VALUE(LEFT(AD202,4))-VALUE(LEFT(AD201,4))</f>
        <v>1</v>
      </c>
      <c r="Y202" s="69">
        <f t="shared" si="133"/>
        <v>2.2402000000000002</v>
      </c>
      <c r="Z202" s="69">
        <f t="shared" si="134"/>
        <v>1.8845000000000001</v>
      </c>
      <c r="AA202" s="69">
        <f t="shared" si="140"/>
        <v>0.35570000000000013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141"/>
        <v>0306-08</v>
      </c>
      <c r="AE202" s="94" t="str">
        <f t="shared" si="104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02" s="91" t="str">
        <f t="shared" si="105"/>
        <v>"C:\Program Files (x86)\AstroGrep\AstroGrep.exe" /spath="%USERPROFILE%\AppData\Local\Temp\OnboardLogs" /stypes="app*4043*19691231*" /stext=" 23:.+((SYSTEM_STATE.+slice.+state.+changed )|(ment ac)|(system.+state.+changed )|(\[timeout)|(PRM\|1\|D)|(kpr)|(kdp)|(\|lc)|(penalty))" /e /r /s</v>
      </c>
      <c r="AG202" s="1" t="str">
        <f t="shared" si="142"/>
        <v>Other</v>
      </c>
      <c r="AH202" s="95" t="str">
        <f t="shared" si="112"/>
        <v>"%USERPROFILE%\Documents\GitHub\eaglep3\Utilities\RefineRTDCRunTimes.py" --tripid 306-08 --locoid 4043 --swversion DE.1.0.7.0 --startMP 300:22402 --initTime 2016-10-08T03:54:48 --startdatetime 1969-12-31T17:00:00 --delay 1 --endMP 300:18845 --enddatetime 1969-12-31T17:00:00 --enforcementcount 1 &gt;&gt;C:\Users\stu\Documents\GitHub\eaglep3-reporting\EC\2016-10-08-refined-times.txt</v>
      </c>
      <c r="AI202" s="129" t="str">
        <f t="shared" si="113"/>
        <v>echo {"issue":{"subject":"","project_id":79,"tracker_id":40,"status_id":1,"priority_id":2,"assigned_to_id":23,"start_date":"1969-12-31","description":"","custom_fields":[{"id":1,"name":"Subdivision","value":"Other"},{"id":4,"name":"Milepost","value":"1.8845"},{"id":17,"name":"Train ID","value":"306-08"},{"id":16,"name":"Locomotive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569</v>
      </c>
      <c r="B203" s="7">
        <v>4014</v>
      </c>
      <c r="C203" s="24" t="s">
        <v>106</v>
      </c>
      <c r="D203" s="24" t="s">
        <v>297</v>
      </c>
      <c r="E203" s="15">
        <v>42651.819525462961</v>
      </c>
      <c r="F203" s="15">
        <v>25568.708333333332</v>
      </c>
      <c r="G203" s="7">
        <v>1</v>
      </c>
      <c r="H203" s="15" t="s">
        <v>718</v>
      </c>
      <c r="I203" s="15">
        <v>25568.708333333332</v>
      </c>
      <c r="J203" s="7">
        <v>1</v>
      </c>
      <c r="K203" s="116" t="str">
        <f t="shared" si="135"/>
        <v>4013/4014</v>
      </c>
      <c r="L203" s="24" t="str">
        <f>VLOOKUP(A203,'Trips&amp;Operators'!$C$1:$E$10000,3,FALSE)</f>
        <v>OUN</v>
      </c>
      <c r="M203" s="6">
        <f t="shared" si="136"/>
        <v>0</v>
      </c>
      <c r="N203" s="7">
        <f t="shared" si="132"/>
        <v>0</v>
      </c>
      <c r="O203" s="7"/>
      <c r="P203" s="7"/>
      <c r="Q203" s="25"/>
      <c r="R203" s="25"/>
      <c r="S203" s="37">
        <f t="shared" si="144"/>
        <v>1</v>
      </c>
      <c r="T203" s="52" t="str">
        <f t="shared" si="137"/>
        <v>NorthBound</v>
      </c>
      <c r="U203" s="15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18:40:07-0600',mode:absolute,to:'1969-12-31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3" s="54" t="str">
        <f t="shared" si="139"/>
        <v>Y</v>
      </c>
      <c r="X203" s="163">
        <f t="shared" si="145"/>
        <v>1</v>
      </c>
      <c r="Y203" s="69">
        <f t="shared" si="133"/>
        <v>4.4400000000000002E-2</v>
      </c>
      <c r="Z203" s="69">
        <f t="shared" si="134"/>
        <v>2.331</v>
      </c>
      <c r="AA203" s="69">
        <f t="shared" si="140"/>
        <v>2.2866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141"/>
        <v>0307-08</v>
      </c>
      <c r="AE203" s="94" t="str">
        <f t="shared" si="104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3" s="91" t="str">
        <f t="shared" si="105"/>
        <v>"C:\Program Files (x86)\AstroGrep\AstroGrep.exe" /spath="%USERPROFILE%\AppData\Local\Temp\OnboardLogs" /stypes="app*4014*19691231*" /stext=" 23:.+((SYSTEM_STATE.+slice.+state.+changed )|(ment ac)|(system.+state.+changed )|(\[timeout)|(PRM\|1\|D)|(kpr)|(kdp)|(\|lc)|(penalty))" /e /r /s</v>
      </c>
      <c r="AG203" s="1" t="str">
        <f t="shared" si="142"/>
        <v>Other</v>
      </c>
      <c r="AH203" s="95" t="str">
        <f t="shared" si="112"/>
        <v>"%USERPROFILE%\Documents\GitHub\eaglep3\Utilities\RefineRTDCRunTimes.py" --tripid 307-08 --locoid 4014 --swversion DE.1.0.7.0 --startMP 204:444 --initTime 2016-10-08T19:40:07 --startdatetime 1969-12-31T17:00:00 --delay 1 --endMP 300:23310 --enddatetime 1969-12-31T17:00:00 --enforcementcount 1 &gt;&gt;C:\Users\stu\Documents\GitHub\eaglep3-reporting\EC\2016-10-08-refined-times.txt</v>
      </c>
      <c r="AI203" s="129" t="str">
        <f t="shared" si="113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ID","value":"307-08"},{"id":16,"name":"Locomotive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s="23" customFormat="1" x14ac:dyDescent="0.25">
      <c r="A204" s="39" t="s">
        <v>597</v>
      </c>
      <c r="B204" s="7">
        <v>4038</v>
      </c>
      <c r="C204" s="24" t="s">
        <v>106</v>
      </c>
      <c r="D204" s="24" t="s">
        <v>306</v>
      </c>
      <c r="E204" s="15">
        <v>42652.046967592592</v>
      </c>
      <c r="F204" s="15">
        <v>25568.708333333332</v>
      </c>
      <c r="G204" s="7">
        <v>1</v>
      </c>
      <c r="H204" s="15" t="s">
        <v>719</v>
      </c>
      <c r="I204" s="15">
        <v>25568.708333333332</v>
      </c>
      <c r="J204" s="7">
        <v>1</v>
      </c>
      <c r="K204" s="116" t="str">
        <f t="shared" si="135"/>
        <v>4037/4038</v>
      </c>
      <c r="L204" s="24" t="str">
        <f>VLOOKUP(A204,'Trips&amp;Operators'!$C$1:$E$10000,3,FALSE)</f>
        <v>NEWELL</v>
      </c>
      <c r="M204" s="6">
        <f t="shared" si="136"/>
        <v>0</v>
      </c>
      <c r="N204" s="7">
        <f t="shared" si="132"/>
        <v>0</v>
      </c>
      <c r="O204" s="7"/>
      <c r="P204" s="7"/>
      <c r="Q204" s="25"/>
      <c r="R204" s="25"/>
      <c r="S204" s="37">
        <f t="shared" si="144"/>
        <v>1</v>
      </c>
      <c r="T204" s="52" t="str">
        <f t="shared" si="137"/>
        <v>NorthBound</v>
      </c>
      <c r="U204" s="15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https://search-rtdc-monitor-bjffxe2xuh6vdkpspy63sjmuny.us-east-1.es.amazonaws.com/_plugin/kibana/#/discover/Steve-Slow-Train-Analysis-(2080s-and-2083s)?_g=(refreshInterval:(display:Off,section:0,value:0),time:(from:'2016-10-09 00:07:38-0600',mode:absolute,to:'1969-12-31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4" s="54" t="str">
        <f t="shared" si="139"/>
        <v>Y</v>
      </c>
      <c r="X204" s="163">
        <f t="shared" si="145"/>
        <v>2</v>
      </c>
      <c r="Y204" s="69">
        <f t="shared" si="133"/>
        <v>4.3499999999999997E-2</v>
      </c>
      <c r="Z204" s="69">
        <f t="shared" si="134"/>
        <v>2.3296999999999999</v>
      </c>
      <c r="AA204" s="69">
        <f t="shared" si="140"/>
        <v>2.2862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141"/>
        <v>0309-08</v>
      </c>
      <c r="AE204" s="94" t="str">
        <f t="shared" si="104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4" s="91" t="str">
        <f t="shared" si="105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04" s="1" t="str">
        <f t="shared" si="142"/>
        <v>Other</v>
      </c>
      <c r="AH204" s="95" t="str">
        <f t="shared" si="112"/>
        <v>"%USERPROFILE%\Documents\GitHub\eaglep3\Utilities\RefineRTDCRunTimes.py" --tripid 309-08 --locoid 4038 --swversion DE.1.0.7.0 --startMP 204:435 --initTime 2016-10-09T01:07:38 --startdatetime 1969-12-31T17:00:00 --delay 1 --endMP 300:23297 --enddatetime 1969-12-31T17:00:00 --enforcementcount 1 &gt;&gt;C:\Users\stu\Documents\GitHub\eaglep3-reporting\EC\2016-10-08-refined-times.txt</v>
      </c>
      <c r="AI204" s="129" t="str">
        <f t="shared" si="113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ID","value":"309-08"},{"id":16,"name":"Locomotive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599</v>
      </c>
      <c r="B205" s="7">
        <v>4031</v>
      </c>
      <c r="C205" s="24" t="s">
        <v>106</v>
      </c>
      <c r="D205" s="24" t="s">
        <v>720</v>
      </c>
      <c r="E205" s="15">
        <v>42652.06858796296</v>
      </c>
      <c r="F205" s="15">
        <v>42652.070474537039</v>
      </c>
      <c r="G205" s="7">
        <v>1</v>
      </c>
      <c r="H205" s="15" t="s">
        <v>721</v>
      </c>
      <c r="I205" s="15">
        <v>42652.076597222222</v>
      </c>
      <c r="J205" s="7">
        <v>1</v>
      </c>
      <c r="K205" s="116" t="str">
        <f t="shared" si="135"/>
        <v>4031/4032</v>
      </c>
      <c r="L205" s="24" t="str">
        <f>VLOOKUP(A205,'Trips&amp;Operators'!$C$1:$E$10000,3,FALSE)</f>
        <v>STURGEON</v>
      </c>
      <c r="M205" s="6">
        <f t="shared" si="136"/>
        <v>6.1226851830724627E-3</v>
      </c>
      <c r="N205" s="7">
        <f t="shared" si="132"/>
        <v>8.8166666636243463</v>
      </c>
      <c r="O205" s="7"/>
      <c r="P205" s="7"/>
      <c r="Q205" s="25"/>
      <c r="R205" s="25"/>
      <c r="S205" s="37">
        <f t="shared" si="144"/>
        <v>1</v>
      </c>
      <c r="T205" s="52" t="str">
        <f t="shared" si="137"/>
        <v>NorthBound</v>
      </c>
      <c r="U205" s="15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https://search-rtdc-monitor-bjffxe2xuh6vdkpspy63sjmuny.us-east-1.es.amazonaws.com/_plugin/kibana/#/discover/Steve-Slow-Train-Analysis-(2080s-and-2083s)?_g=(refreshInterval:(display:Off,section:0,value:0),time:(from:'2016-10-09 00:38:46-0600',mode:absolute,to:'2016-10-09 02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5" s="54" t="str">
        <f t="shared" si="139"/>
        <v>Y</v>
      </c>
      <c r="X205" s="163">
        <f t="shared" si="145"/>
        <v>2</v>
      </c>
      <c r="Y205" s="69">
        <f t="shared" si="133"/>
        <v>4.8399999999999999E-2</v>
      </c>
      <c r="Z205" s="69">
        <f t="shared" si="134"/>
        <v>2.3306</v>
      </c>
      <c r="AA205" s="69">
        <f t="shared" si="140"/>
        <v>2.2822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si="141"/>
        <v>0311-08</v>
      </c>
      <c r="AE205" s="94" t="str">
        <f t="shared" ref="AE205:AE227" si="14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"%USERPROFILE%\AppData\Local\Temp\OnboardLogs"\RTDC4031\2016-10-09 --exclude "*" --recursive --include "*20161009*" &amp; "%USERPROFILE%\Documents\GitHub\mrs-test-scripts\Headless Mode &amp; Sideloading\WalkAndUnGZ.bat" "%USERPROFILE%\AppData\Local\Temp\OnboardLogs"\RTDC4031\2016-10-09 &amp; aws s3 cp s3://rtdc.mdm.uploadarchive.raw/RTDC4031/ "%USERPROFILE%\AppData\Local\Temp\OnboardLogs"\RTDC4031\2016-10-10 --exclude "*" --recursive --include "*20161010*" &amp; "%USERPROFILE%\Documents\GitHub\mrs-test-scripts\Headless Mode &amp; Sideloading\WalkAndUnGZ.bat" "%USERPROFILE%\AppData\Local\Temp\OnboardLogs"\RTDC4031\2016-10-10</v>
      </c>
      <c r="AF205" s="91" t="str">
        <f t="shared" ref="AF205:AF227" si="147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/stypes="app*4031*20161009*" /stext=" 07:.+((SYSTEM_STATE.+slice.+state.+changed )|(ment ac)|(system.+state.+changed )|(\[timeout)|(PRM\|1\|D)|(kpr)|(kdp)|(\|lc)|(penalty))" /e /r /s</v>
      </c>
      <c r="AG205" s="1" t="str">
        <f t="shared" si="142"/>
        <v>Other</v>
      </c>
      <c r="AH205" s="95" t="str">
        <f t="shared" si="112"/>
        <v>"%USERPROFILE%\Documents\GitHub\eaglep3\Utilities\RefineRTDCRunTimes.py" --tripid 311-08 --locoid 4031 --swversion DE.1.0.7.0 --startMP 204:484 --initTime 2016-10-09T01:38:46 --startdatetime 2016-10-09T01:41:29 --delay 1 --endMP 300:23306 --enddatetime 2016-10-09T01:50:18 --enforcementcount 1 &gt;&gt;C:\Users\stu\Documents\GitHub\eaglep3-reporting\EC\2016-10-08-refined-times.txt</v>
      </c>
      <c r="AI205" s="129" t="str">
        <f t="shared" si="113"/>
        <v>echo {"issue":{"subject":"","project_id":79,"tracker_id":40,"status_id":1,"priority_id":2,"assigned_to_id":23,"start_date":"2016-10-09","description":"","custom_fields":[{"id":1,"name":"Subdivision","value":"Other"},{"id":4,"name":"Milepost","value":"2.3306"},{"id":17,"name":"Train ID","value":"311-08"},{"id":16,"name":"Locomotive ID","value":"4031"},{"id":130,"name":"Impact","value":""},{"id":150,"name":"Time of Event (Mountain Time)","value":"01:50:18"},{"id":151,"name":"Denver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355</v>
      </c>
      <c r="B206" s="7">
        <v>4020</v>
      </c>
      <c r="C206" s="24" t="s">
        <v>106</v>
      </c>
      <c r="D206" s="24" t="s">
        <v>197</v>
      </c>
      <c r="E206" s="15">
        <v>42651.090150462966</v>
      </c>
      <c r="F206" s="15">
        <v>42651.092638888891</v>
      </c>
      <c r="G206" s="7">
        <v>1</v>
      </c>
      <c r="H206" s="15" t="s">
        <v>356</v>
      </c>
      <c r="I206" s="15">
        <v>42651.098553240743</v>
      </c>
      <c r="J206" s="7">
        <v>1</v>
      </c>
      <c r="K206" s="116" t="str">
        <f t="shared" si="135"/>
        <v>4019/4020</v>
      </c>
      <c r="L206" s="24" t="str">
        <f>VLOOKUP(A206,'Trips&amp;Operators'!$C$1:$E$10000,3,FALSE)</f>
        <v>STURGEON</v>
      </c>
      <c r="M206" s="6">
        <f t="shared" si="136"/>
        <v>5.914351851970423E-3</v>
      </c>
      <c r="N206" s="7">
        <f t="shared" si="132"/>
        <v>8.5166666668374091</v>
      </c>
      <c r="O206" s="7"/>
      <c r="P206" s="7"/>
      <c r="Q206" s="25"/>
      <c r="R206" s="25"/>
      <c r="S206" s="37">
        <f t="shared" si="144"/>
        <v>1</v>
      </c>
      <c r="T206" s="52" t="str">
        <f t="shared" si="137"/>
        <v>NorthBound</v>
      </c>
      <c r="U206" s="15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01:09:49-0600',mode:absolute,to:'2016-10-08 03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6" s="54" t="str">
        <f t="shared" si="139"/>
        <v>Y</v>
      </c>
      <c r="X206" s="163">
        <f t="shared" si="145"/>
        <v>2</v>
      </c>
      <c r="Y206" s="69">
        <f t="shared" si="133"/>
        <v>4.6600000000000003E-2</v>
      </c>
      <c r="Z206" s="69">
        <f t="shared" si="134"/>
        <v>2.3304</v>
      </c>
      <c r="AA206" s="69">
        <f t="shared" si="140"/>
        <v>2.2837999999999998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141"/>
        <v>0313-07</v>
      </c>
      <c r="AE206" s="94" t="str">
        <f t="shared" si="146"/>
        <v>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 &amp; aws s3 cp s3://rtdc.mdm.uploadarchive.raw/RTDC4020/ "%USERPROFILE%\AppData\Local\Temp\OnboardLogs"\RTDC4020\2016-10-09 --exclude "*" --recursive --include "*20161009*" &amp; "%USERPROFILE%\Documents\GitHub\mrs-test-scripts\Headless Mode &amp; Sideloading\WalkAndUnGZ.bat" "%USERPROFILE%\AppData\Local\Temp\OnboardLogs"\RTDC4020\2016-10-09</v>
      </c>
      <c r="AF206" s="91" t="str">
        <f t="shared" si="147"/>
        <v>"C:\Program Files (x86)\AstroGrep\AstroGrep.exe" /spath="%USERPROFILE%\AppData\Local\Temp\OnboardLogs" /stypes="app*4020*20161008*" /stext=" 08:.+((SYSTEM_STATE.+slice.+state.+changed )|(ment ac)|(system.+state.+changed )|(\[timeout)|(PRM\|1\|D)|(kpr)|(kdp)|(\|lc)|(penalty))" /e /r /s</v>
      </c>
      <c r="AG206" s="1" t="str">
        <f t="shared" si="142"/>
        <v>Other</v>
      </c>
      <c r="AH206" s="95" t="str">
        <f t="shared" si="112"/>
        <v>"%USERPROFILE%\Documents\GitHub\eaglep3\Utilities\RefineRTDCRunTimes.py" --tripid 313-07 --locoid 4020 --swversion DE.1.0.7.0 --startMP 204:466 --initTime 2016-10-08T02:09:49 --startdatetime 2016-10-08T02:13:24 --delay 1 --endMP 300:23304 --enddatetime 2016-10-08T02:21:55 --enforcementcount 1 &gt;&gt;C:\Users\stu\Documents\GitHub\eaglep3-reporting\EC\2016-10-08-refined-times.txt</v>
      </c>
      <c r="AI206" s="129" t="str">
        <f t="shared" si="113"/>
        <v>echo {"issue":{"subject":"","project_id":79,"tracker_id":40,"status_id":1,"priority_id":2,"assigned_to_id":23,"start_date":"2016-10-08","description":"","custom_fields":[{"id":1,"name":"Subdivision","value":"Other"},{"id":4,"name":"Milepost","value":"2.3304"},{"id":17,"name":"Train ID","value":"313-07"},{"id":16,"name":"Locomotive ID","value":"4020"},{"id":130,"name":"Impact","value":""},{"id":150,"name":"Time of Event (Mountain Time)","value":"02:21:55"},{"id":151,"name":"Denver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601</v>
      </c>
      <c r="B207" s="7">
        <v>4044</v>
      </c>
      <c r="C207" s="24" t="s">
        <v>106</v>
      </c>
      <c r="D207" s="24" t="s">
        <v>296</v>
      </c>
      <c r="E207" s="15">
        <v>42652.090011574073</v>
      </c>
      <c r="F207" s="15">
        <v>42652.091585648152</v>
      </c>
      <c r="G207" s="7">
        <v>2</v>
      </c>
      <c r="H207" s="15" t="s">
        <v>722</v>
      </c>
      <c r="I207" s="15">
        <v>42652.097002314818</v>
      </c>
      <c r="J207" s="7">
        <v>1</v>
      </c>
      <c r="K207" s="116" t="str">
        <f t="shared" si="135"/>
        <v>4043/4044</v>
      </c>
      <c r="L207" s="24" t="str">
        <f>VLOOKUP(A207,'Trips&amp;Operators'!$C$1:$E$10000,3,FALSE)</f>
        <v>CHANDLER</v>
      </c>
      <c r="M207" s="6">
        <f t="shared" si="136"/>
        <v>5.4166666668606922E-3</v>
      </c>
      <c r="N207" s="7">
        <f t="shared" si="132"/>
        <v>7.8000000002793968</v>
      </c>
      <c r="O207" s="7"/>
      <c r="P207" s="7"/>
      <c r="Q207" s="25"/>
      <c r="R207" s="25"/>
      <c r="S207" s="37">
        <f t="shared" si="144"/>
        <v>1</v>
      </c>
      <c r="T207" s="52" t="str">
        <f t="shared" si="137"/>
        <v>NorthBound</v>
      </c>
      <c r="U207" s="15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https://search-rtdc-monitor-bjffxe2xuh6vdkpspy63sjmuny.us-east-1.es.amazonaws.com/_plugin/kibana/#/discover/Steve-Slow-Train-Analysis-(2080s-and-2083s)?_g=(refreshInterval:(display:Off,section:0,value:0),time:(from:'2016-10-09 01:09:37-0600',mode:absolute,to:'2016-10-09 03:19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7" s="54" t="str">
        <f t="shared" si="139"/>
        <v>Y</v>
      </c>
      <c r="X207" s="163">
        <f t="shared" si="145"/>
        <v>0</v>
      </c>
      <c r="Y207" s="69">
        <f t="shared" si="133"/>
        <v>4.7500000000000001E-2</v>
      </c>
      <c r="Z207" s="69">
        <f t="shared" si="134"/>
        <v>2.2252999999999998</v>
      </c>
      <c r="AA207" s="69">
        <f t="shared" si="140"/>
        <v>2.1778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141"/>
        <v>0313-08</v>
      </c>
      <c r="AE207" s="94" t="str">
        <f t="shared" si="146"/>
        <v>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 &amp; 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</v>
      </c>
      <c r="AF207" s="91" t="str">
        <f t="shared" si="147"/>
        <v>"C:\Program Files (x86)\AstroGrep\AstroGrep.exe" /spath="%USERPROFILE%\AppData\Local\Temp\OnboardLogs" /stypes="app*4044*20161009*" /stext=" 08:.+((SYSTEM_STATE.+slice.+state.+changed )|(ment ac)|(system.+state.+changed )|(\[timeout)|(PRM\|1\|D)|(kpr)|(kdp)|(\|lc)|(penalty))" /e /r /s</v>
      </c>
      <c r="AG207" s="1" t="str">
        <f t="shared" si="142"/>
        <v>Other</v>
      </c>
      <c r="AH207" s="95" t="str">
        <f t="shared" si="112"/>
        <v>"%USERPROFILE%\Documents\GitHub\eaglep3\Utilities\RefineRTDCRunTimes.py" --tripid 313-08 --locoid 4044 --swversion DE.1.0.7.0 --startMP 204:475 --initTime 2016-10-09T02:09:37 --startdatetime 2016-10-09T02:11:53 --delay 2 --endMP 300:22253 --enddatetime 2016-10-09T02:19:41 --enforcementcount 1 &gt;&gt;C:\Users\stu\Documents\GitHub\eaglep3-reporting\EC\2016-10-08-refined-times.txt</v>
      </c>
      <c r="AI207" s="129" t="str">
        <f t="shared" si="113"/>
        <v>echo {"issue":{"subject":"","project_id":79,"tracker_id":40,"status_id":1,"priority_id":2,"assigned_to_id":23,"start_date":"2016-10-09","description":"","custom_fields":[{"id":1,"name":"Subdivision","value":"Other"},{"id":4,"name":"Milepost","value":"2.2253"},{"id":17,"name":"Train ID","value":"313-08"},{"id":16,"name":"Locomotive ID","value":"4044"},{"id":130,"name":"Impact","value":""},{"id":150,"name":"Time of Event (Mountain Time)","value":"02:19:41"},{"id":151,"name":"Denver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357</v>
      </c>
      <c r="B208" s="7">
        <v>4007</v>
      </c>
      <c r="C208" s="24" t="s">
        <v>106</v>
      </c>
      <c r="D208" s="24" t="s">
        <v>199</v>
      </c>
      <c r="E208" s="15">
        <v>42651.110324074078</v>
      </c>
      <c r="F208" s="15">
        <v>25568.708333333332</v>
      </c>
      <c r="G208" s="7">
        <v>1</v>
      </c>
      <c r="H208" s="15" t="s">
        <v>356</v>
      </c>
      <c r="I208" s="15">
        <v>25568.708333333332</v>
      </c>
      <c r="J208" s="7">
        <v>1</v>
      </c>
      <c r="K208" s="116" t="str">
        <f t="shared" si="135"/>
        <v>4007/4008</v>
      </c>
      <c r="L208" s="24" t="str">
        <f>VLOOKUP(A208,'Trips&amp;Operators'!$C$1:$E$10000,3,FALSE)</f>
        <v>LEVIN</v>
      </c>
      <c r="M208" s="6">
        <f t="shared" si="136"/>
        <v>0</v>
      </c>
      <c r="N208" s="7">
        <f t="shared" si="132"/>
        <v>0</v>
      </c>
      <c r="O208" s="7"/>
      <c r="P208" s="7"/>
      <c r="Q208" s="25"/>
      <c r="R208" s="25"/>
      <c r="S208" s="37">
        <f t="shared" si="144"/>
        <v>1</v>
      </c>
      <c r="T208" s="52" t="str">
        <f t="shared" si="137"/>
        <v>NorthBound</v>
      </c>
      <c r="U208" s="15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01:38:52-0600',mode:absolute,to:'1969-12-31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8" s="54" t="str">
        <f t="shared" si="139"/>
        <v>Y</v>
      </c>
      <c r="X208" s="163">
        <f t="shared" si="145"/>
        <v>2</v>
      </c>
      <c r="Y208" s="69">
        <f t="shared" si="133"/>
        <v>4.5499999999999999E-2</v>
      </c>
      <c r="Z208" s="69">
        <f t="shared" si="134"/>
        <v>2.3304</v>
      </c>
      <c r="AA208" s="69">
        <f t="shared" si="140"/>
        <v>2.2848999999999999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141"/>
        <v>0315-07</v>
      </c>
      <c r="AE208" s="94" t="str">
        <f t="shared" si="146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8" s="91" t="str">
        <f t="shared" si="147"/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08" s="1" t="str">
        <f t="shared" si="142"/>
        <v>Other</v>
      </c>
      <c r="AH208" s="95" t="str">
        <f t="shared" ref="AH208:AH227" si="148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315-07 --locoid 4007 --swversion DE.1.0.7.0 --startMP 204:455 --initTime 2016-10-08T02:38:52 --startdatetime 1969-12-31T17:00:00 --delay 1 --endMP 300:23304 --enddatetime 1969-12-31T17:00:00 --enforcementcount 1 &gt;&gt;C:\Users\stu\Documents\GitHub\eaglep3-reporting\EC\2016-10-08-refined-times.txt</v>
      </c>
      <c r="AI208" s="129" t="str">
        <f t="shared" ref="AI208:AI227" si="149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ID","value":"315-07"},{"id":16,"name":"Locomotive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602</v>
      </c>
      <c r="B209" s="7">
        <v>4053</v>
      </c>
      <c r="C209" s="24" t="s">
        <v>106</v>
      </c>
      <c r="D209" s="24" t="s">
        <v>267</v>
      </c>
      <c r="E209" s="15">
        <v>42652.108182870368</v>
      </c>
      <c r="F209" s="15">
        <v>25568.708333333332</v>
      </c>
      <c r="G209" s="7">
        <v>1</v>
      </c>
      <c r="H209" s="15" t="s">
        <v>307</v>
      </c>
      <c r="I209" s="15">
        <v>25568.708333333332</v>
      </c>
      <c r="J209" s="7">
        <v>1</v>
      </c>
      <c r="K209" s="116" t="str">
        <f t="shared" si="135"/>
        <v>4053/4054</v>
      </c>
      <c r="L209" s="24" t="str">
        <f>VLOOKUP(A209,'Trips&amp;Operators'!$C$1:$E$10000,3,FALSE)</f>
        <v>LEVIN</v>
      </c>
      <c r="M209" s="6">
        <f t="shared" si="136"/>
        <v>0</v>
      </c>
      <c r="N209" s="7">
        <f t="shared" si="132"/>
        <v>0</v>
      </c>
      <c r="O209" s="7"/>
      <c r="P209" s="7"/>
      <c r="Q209" s="25"/>
      <c r="R209" s="25"/>
      <c r="S209" s="37">
        <f t="shared" si="144"/>
        <v>1</v>
      </c>
      <c r="T209" s="52" t="str">
        <f t="shared" si="137"/>
        <v>NorthBound</v>
      </c>
      <c r="U209" s="15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https://search-rtdc-monitor-bjffxe2xuh6vdkpspy63sjmuny.us-east-1.es.amazonaws.com/_plugin/kibana/#/discover/Steve-Slow-Train-Analysis-(2080s-and-2083s)?_g=(refreshInterval:(display:Off,section:0,value:0),time:(from:'2016-10-09 01:35:47-0600',mode:absolute,to:'1969-12-31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9" s="54" t="str">
        <f t="shared" si="139"/>
        <v>Y</v>
      </c>
      <c r="X209" s="163">
        <f t="shared" si="145"/>
        <v>0</v>
      </c>
      <c r="Y209" s="69">
        <f t="shared" si="133"/>
        <v>4.5999999999999999E-2</v>
      </c>
      <c r="Z209" s="69">
        <f t="shared" si="134"/>
        <v>2.3308</v>
      </c>
      <c r="AA209" s="69">
        <f t="shared" si="140"/>
        <v>2.2848000000000002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141"/>
        <v>0315-08</v>
      </c>
      <c r="AE209" s="94" t="str">
        <f t="shared" si="146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9" s="91" t="str">
        <f t="shared" si="147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09" s="1" t="str">
        <f t="shared" si="142"/>
        <v>Other</v>
      </c>
      <c r="AH209" s="95" t="str">
        <f t="shared" si="148"/>
        <v>"%USERPROFILE%\Documents\GitHub\eaglep3\Utilities\RefineRTDCRunTimes.py" --tripid 315-08 --locoid 4053 --swversion DE.1.0.7.0 --startMP 204:460 --initTime 2016-10-09T02:35:47 --startdatetime 1969-12-31T17:00:00 --delay 1 --endMP 300:23308 --enddatetime 1969-12-31T17:00:00 --enforcementcount 1 &gt;&gt;C:\Users\stu\Documents\GitHub\eaglep3-reporting\EC\2016-10-08-refined-times.txt</v>
      </c>
      <c r="AI209" s="129" t="str">
        <f t="shared" si="14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ID","value":"315-08"},{"id":16,"name":"Locomotive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411</v>
      </c>
      <c r="B210" s="7">
        <v>4018</v>
      </c>
      <c r="C210" s="24" t="s">
        <v>106</v>
      </c>
      <c r="D210" s="24" t="s">
        <v>677</v>
      </c>
      <c r="E210" s="15">
        <v>42651.225046296298</v>
      </c>
      <c r="F210" s="15">
        <v>42651.226215277777</v>
      </c>
      <c r="G210" s="7">
        <v>1</v>
      </c>
      <c r="H210" s="15" t="s">
        <v>648</v>
      </c>
      <c r="I210" s="15">
        <v>42651.23096064815</v>
      </c>
      <c r="J210" s="7">
        <v>1</v>
      </c>
      <c r="K210" s="116" t="str">
        <f t="shared" si="135"/>
        <v>4017/4018</v>
      </c>
      <c r="L210" s="24" t="str">
        <f>VLOOKUP(A210,'Trips&amp;Operators'!$C$1:$E$10000,3,FALSE)</f>
        <v>YORK</v>
      </c>
      <c r="M210" s="6">
        <f t="shared" si="136"/>
        <v>4.7453703737119213E-3</v>
      </c>
      <c r="N210" s="7">
        <f t="shared" si="132"/>
        <v>6.8333333381451666</v>
      </c>
      <c r="O210" s="7"/>
      <c r="P210" s="7"/>
      <c r="Q210" s="25"/>
      <c r="R210" s="25"/>
      <c r="S210" s="37">
        <f t="shared" si="144"/>
        <v>0</v>
      </c>
      <c r="T210" s="52" t="str">
        <f t="shared" si="137"/>
        <v>NorthBound</v>
      </c>
      <c r="U210" s="15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04:24:04-0600',mode:absolute,to:'2016-10-08 06:32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0" s="54" t="str">
        <f t="shared" si="139"/>
        <v>Y</v>
      </c>
      <c r="X210" s="163">
        <f t="shared" si="145"/>
        <v>1586</v>
      </c>
      <c r="Y210" s="69">
        <f t="shared" si="133"/>
        <v>2.9942000000000002</v>
      </c>
      <c r="Z210" s="69">
        <f t="shared" si="134"/>
        <v>5.8928000000000003</v>
      </c>
      <c r="AA210" s="69">
        <f t="shared" si="140"/>
        <v>2.8986000000000001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141"/>
        <v>1901-08</v>
      </c>
      <c r="AE210" s="94" t="str">
        <f t="shared" si="146"/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AF210" s="91" t="str">
        <f t="shared" si="147"/>
        <v>"C:\Program Files (x86)\AstroGrep\AstroGrep.exe" /spath="%USERPROFILE%\AppData\Local\Temp\OnboardLogs" /stypes="app*4018*20161008*" /stext=" 11:.+((SYSTEM_STATE.+slice.+state.+changed )|(ment ac)|(system.+state.+changed )|(\[timeout)|(PRM\|1\|D)|(kpr)|(kdp)|(\|lc)|(penalty))" /e /r /s</v>
      </c>
      <c r="AG210" s="1" t="str">
        <f t="shared" si="142"/>
        <v>Other</v>
      </c>
      <c r="AH210" s="95" t="str">
        <f t="shared" si="148"/>
        <v>"%USERPROFILE%\Documents\GitHub\eaglep3\Utilities\RefineRTDCRunTimes.py" --tripid 1901-08 --locoid 4018 --swversion DE.1.0.7.0 --startMP 300:29942 --initTime 2016-10-08T05:24:04 --startdatetime 2016-10-08T05:25:45 --delay 1 --endMP 300:58928 --enddatetime 2016-10-08T05:32:35 --enforcementcount 1 &gt;&gt;C:\Users\stu\Documents\GitHub\eaglep3-reporting\EC\2016-10-08-refined-times.txt</v>
      </c>
      <c r="AI210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{"issue":{"subject":"","project_id":79,"tracker_id":40,"status_id":1,"priority_id":2,"assigned_to_id":23,"start_date":"2016-10-08","description":"","custom_fields":[{"id":1,"name":"Subdivision","value":"Other"},{"id":4,"name":"Milepost","value":"5.8928"},{"id":17,"name":"Train ID","value":"1901-08"},{"id":16,"name":"Locomotive ID","value":"4018"},{"id":130,"name":"Impact","value":""},{"id":150,"name":"Time of Event (Mountain Time)","value":"05:32:35"},{"id":151,"name":"Denver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586</v>
      </c>
      <c r="B211" s="7">
        <v>4017</v>
      </c>
      <c r="C211" s="24" t="s">
        <v>106</v>
      </c>
      <c r="D211" s="24" t="s">
        <v>366</v>
      </c>
      <c r="E211" s="15">
        <v>42651.942546296297</v>
      </c>
      <c r="F211" s="15">
        <v>42651.944328703707</v>
      </c>
      <c r="G211" s="7">
        <v>1</v>
      </c>
      <c r="H211" s="15" t="s">
        <v>678</v>
      </c>
      <c r="I211" s="15">
        <v>42651.948750000003</v>
      </c>
      <c r="J211" s="7">
        <v>1</v>
      </c>
      <c r="K211" s="116" t="str">
        <f t="shared" si="135"/>
        <v>4017/4018</v>
      </c>
      <c r="L211" s="24" t="str">
        <f>VLOOKUP(A211,'Trips&amp;Operators'!$C$1:$E$10000,3,FALSE)</f>
        <v>BROWN</v>
      </c>
      <c r="M211" s="6">
        <f t="shared" si="136"/>
        <v>4.4212962966412306E-3</v>
      </c>
      <c r="N211" s="7">
        <f t="shared" si="132"/>
        <v>6.366666667163372</v>
      </c>
      <c r="O211" s="7"/>
      <c r="P211" s="7"/>
      <c r="Q211" s="25"/>
      <c r="R211" s="25"/>
      <c r="S211" s="37">
        <f t="shared" si="144"/>
        <v>0</v>
      </c>
      <c r="T211" s="52" t="str">
        <f t="shared" si="137"/>
        <v>Southbound</v>
      </c>
      <c r="U211" s="15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21:37:16-0600',mode:absolute,to:'2016-10-08 23:46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1" s="54" t="str">
        <f t="shared" si="139"/>
        <v>Y</v>
      </c>
      <c r="X211" s="163">
        <f t="shared" si="145"/>
        <v>1</v>
      </c>
      <c r="Y211" s="69">
        <f t="shared" si="133"/>
        <v>5.8643000000000001</v>
      </c>
      <c r="Z211" s="69">
        <f t="shared" si="134"/>
        <v>2.1774</v>
      </c>
      <c r="AA211" s="69">
        <f t="shared" si="140"/>
        <v>3.6869000000000001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141"/>
        <v>1902-08</v>
      </c>
      <c r="AE211" s="94" t="str">
        <f t="shared" si="146"/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AF211" s="91" t="str">
        <f t="shared" si="147"/>
        <v>"C:\Program Files (x86)\AstroGrep\AstroGrep.exe" /spath="%USERPROFILE%\AppData\Local\Temp\OnboardLogs" /stypes="app*4017*20161009*" /stext=" 04:.+((SYSTEM_STATE.+slice.+state.+changed )|(ment ac)|(system.+state.+changed )|(\[timeout)|(PRM\|1\|D)|(kpr)|(kdp)|(\|lc)|(penalty))" /e /r /s</v>
      </c>
      <c r="AG211" s="1" t="str">
        <f t="shared" si="142"/>
        <v>Other</v>
      </c>
      <c r="AH211" s="95" t="str">
        <f t="shared" si="148"/>
        <v>"%USERPROFILE%\Documents\GitHub\eaglep3\Utilities\RefineRTDCRunTimes.py" --tripid 1902-08 --locoid 4017 --swversion DE.1.0.7.0 --startMP 300:58643 --initTime 2016-10-08T22:37:16 --startdatetime 2016-10-08T22:39:50 --delay 1 --endMP 300:21774 --enddatetime 2016-10-08T22:46:12 --enforcementcount 1 &gt;&gt;C:\Users\stu\Documents\GitHub\eaglep3-reporting\EC\2016-10-08-refined-times.txt</v>
      </c>
      <c r="AI211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{"issue":{"subject":"","project_id":79,"tracker_id":40,"status_id":1,"priority_id":2,"assigned_to_id":23,"start_date":"2016-10-08","description":"","custom_fields":[{"id":1,"name":"Subdivision","value":"Other"},{"id":4,"name":"Milepost","value":"2.1774"},{"id":17,"name":"Train ID","value":"1902-08"},{"id":16,"name":"Locomotive ID","value":"4017"},{"id":130,"name":"Impact","value":""},{"id":150,"name":"Time of Event (Mountain Time)","value":"22:46:12"},{"id":151,"name":"Denver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436</v>
      </c>
      <c r="B212" s="7">
        <v>4001</v>
      </c>
      <c r="C212" s="24" t="s">
        <v>106</v>
      </c>
      <c r="D212" s="24" t="s">
        <v>723</v>
      </c>
      <c r="E212" s="15">
        <v>42651.344513888886</v>
      </c>
      <c r="F212" s="15">
        <v>25568.708333333332</v>
      </c>
      <c r="G212" s="7">
        <v>2</v>
      </c>
      <c r="H212" s="15" t="s">
        <v>723</v>
      </c>
      <c r="I212" s="15">
        <v>25568.708333333332</v>
      </c>
      <c r="J212" s="7">
        <v>1</v>
      </c>
      <c r="K212" s="116" t="str">
        <f t="shared" si="135"/>
        <v>4001/4002</v>
      </c>
      <c r="L212" s="24" t="str">
        <f>VLOOKUP(A212,'Trips&amp;Operators'!$C$1:$E$10000,3,FALSE)</f>
        <v>MADLOM</v>
      </c>
      <c r="M212" s="6">
        <f t="shared" si="136"/>
        <v>0</v>
      </c>
      <c r="N212" s="7">
        <f t="shared" si="132"/>
        <v>0</v>
      </c>
      <c r="O212" s="7"/>
      <c r="P212" s="7"/>
      <c r="Q212" s="25"/>
      <c r="R212" s="25"/>
      <c r="S212" s="37">
        <f t="shared" si="144"/>
        <v>0</v>
      </c>
      <c r="T212" s="52" t="e">
        <f t="shared" si="137"/>
        <v>#VALUE!</v>
      </c>
      <c r="U212" s="15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07:16:06-0600',mode:absolute,to:'1969-12-31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2" s="54" t="str">
        <f t="shared" si="139"/>
        <v>Y</v>
      </c>
      <c r="X212" s="163" t="e">
        <f t="shared" si="145"/>
        <v>#VALUE!</v>
      </c>
      <c r="Y212" s="69">
        <f t="shared" si="133"/>
        <v>0.1182</v>
      </c>
      <c r="Z212" s="69">
        <f t="shared" si="134"/>
        <v>0.1182</v>
      </c>
      <c r="AA212" s="69">
        <f t="shared" si="140"/>
        <v>0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141"/>
        <v>50-08</v>
      </c>
      <c r="AE212" s="94" t="str">
        <f t="shared" si="146"/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12" s="91" t="str">
        <f t="shared" si="147"/>
        <v>"C:\Program Files (x86)\AstroGrep\AstroGrep.exe" /spath="%USERPROFILE%\AppData\Local\Temp\OnboardLogs" /stypes="app*4001*19691231*" /stext=" 23:.+((SYSTEM_STATE.+slice.+state.+changed )|(ment ac)|(system.+state.+changed )|(\[timeout)|(PRM\|1\|D)|(kpr)|(kdp)|(\|lc)|(penalty))" /e /r /s</v>
      </c>
      <c r="AG212" s="1" t="str">
        <f t="shared" si="142"/>
        <v>Other</v>
      </c>
      <c r="AH212" s="95" t="str">
        <f t="shared" si="148"/>
        <v>"%USERPROFILE%\Documents\GitHub\eaglep3\Utilities\RefineRTDCRunTimes.py" --tripid 50-08 --locoid 4001 --swversion DE.1.0.7.0 --startMP 204:1182 --initTime 2016-10-08T08:16:06 --startdatetime 1969-12-31T17:00:00 --delay 2 --endMP 204:1182 --enddatetime 1969-12-31T17:00:00 --enforcementcount 1 &gt;&gt;C:\Users\stu\Documents\GitHub\eaglep3-reporting\EC\2016-10-08-refined-times.txt</v>
      </c>
      <c r="AI212" s="129" t="str">
        <f t="shared" si="149"/>
        <v>echo {"issue":{"subject":"","project_id":79,"tracker_id":40,"status_id":1,"priority_id":2,"assigned_to_id":23,"start_date":"1969-12-31","description":"","custom_fields":[{"id":1,"name":"Subdivision","value":"Other"},{"id":4,"name":"Milepost","value":"0.1182"},{"id":17,"name":"Train ID","value":"50-08"},{"id":16,"name":"Locomotive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436</v>
      </c>
      <c r="B213" s="7">
        <v>4001</v>
      </c>
      <c r="C213" s="24" t="s">
        <v>106</v>
      </c>
      <c r="D213" s="24" t="s">
        <v>351</v>
      </c>
      <c r="E213" s="15">
        <v>42651.325925925928</v>
      </c>
      <c r="F213" s="15">
        <v>25568.708333333332</v>
      </c>
      <c r="G213" s="7">
        <v>2</v>
      </c>
      <c r="H213" s="15" t="s">
        <v>724</v>
      </c>
      <c r="I213" s="15">
        <v>25568.708333333332</v>
      </c>
      <c r="J213" s="7">
        <v>1</v>
      </c>
      <c r="K213" s="116" t="str">
        <f t="shared" si="135"/>
        <v>4001/4002</v>
      </c>
      <c r="L213" s="24" t="str">
        <f>VLOOKUP(A213,'Trips&amp;Operators'!$C$1:$E$10000,3,FALSE)</f>
        <v>MADLOM</v>
      </c>
      <c r="M213" s="6">
        <f t="shared" si="136"/>
        <v>0</v>
      </c>
      <c r="N213" s="7">
        <f t="shared" si="132"/>
        <v>0</v>
      </c>
      <c r="O213" s="7"/>
      <c r="P213" s="7"/>
      <c r="Q213" s="25"/>
      <c r="R213" s="25"/>
      <c r="S213" s="37">
        <f t="shared" si="144"/>
        <v>0</v>
      </c>
      <c r="T213" s="52" t="e">
        <f t="shared" si="137"/>
        <v>#VALUE!</v>
      </c>
      <c r="U213" s="15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06:49:20-0600',mode:absolute,to:'1969-12-31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3" s="54" t="str">
        <f t="shared" si="139"/>
        <v>Y</v>
      </c>
      <c r="X213" s="163" t="e">
        <f t="shared" si="145"/>
        <v>#VALUE!</v>
      </c>
      <c r="Y213" s="69">
        <f t="shared" si="133"/>
        <v>0.1192</v>
      </c>
      <c r="Z213" s="69">
        <f t="shared" si="134"/>
        <v>0.11899999999999999</v>
      </c>
      <c r="AA213" s="69">
        <f t="shared" si="140"/>
        <v>2.0000000000000573E-4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141"/>
        <v>50-08</v>
      </c>
      <c r="AE213" s="94" t="str">
        <f t="shared" si="146"/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13" s="91" t="str">
        <f t="shared" si="147"/>
        <v>"C:\Program Files (x86)\AstroGrep\AstroGrep.exe" /spath="%USERPROFILE%\AppData\Local\Temp\OnboardLogs" /stypes="app*4001*19691231*" /stext=" 23:.+((SYSTEM_STATE.+slice.+state.+changed )|(ment ac)|(system.+state.+changed )|(\[timeout)|(PRM\|1\|D)|(kpr)|(kdp)|(\|lc)|(penalty))" /e /r /s</v>
      </c>
      <c r="AG213" s="1" t="str">
        <f t="shared" si="142"/>
        <v>Other</v>
      </c>
      <c r="AH213" s="95" t="str">
        <f t="shared" si="148"/>
        <v>"%USERPROFILE%\Documents\GitHub\eaglep3\Utilities\RefineRTDCRunTimes.py" --tripid 50-08 --locoid 4001 --swversion DE.1.0.7.0 --startMP 204:1192 --initTime 2016-10-08T07:49:20 --startdatetime 1969-12-31T17:00:00 --delay 2 --endMP 204:1190 --enddatetime 1969-12-31T17:00:00 --enforcementcount 1 &gt;&gt;C:\Users\stu\Documents\GitHub\eaglep3-reporting\EC\2016-10-08-refined-times.txt</v>
      </c>
      <c r="AI213" s="129" t="str">
        <f t="shared" si="149"/>
        <v>echo {"issue":{"subject":"","project_id":79,"tracker_id":40,"status_id":1,"priority_id":2,"assigned_to_id":23,"start_date":"1969-12-31","description":"","custom_fields":[{"id":1,"name":"Subdivision","value":"Other"},{"id":4,"name":"Milepost","value":"0.119"},{"id":17,"name":"Train ID","value":"50-08"},{"id":16,"name":"Locomotive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436</v>
      </c>
      <c r="B214" s="7">
        <v>4002</v>
      </c>
      <c r="C214" s="24" t="s">
        <v>106</v>
      </c>
      <c r="D214" s="24" t="s">
        <v>725</v>
      </c>
      <c r="E214" s="15">
        <v>42651.339155092595</v>
      </c>
      <c r="F214" s="15">
        <v>25568.708333333332</v>
      </c>
      <c r="G214" s="7">
        <v>3</v>
      </c>
      <c r="H214" s="15" t="s">
        <v>725</v>
      </c>
      <c r="I214" s="15">
        <v>25568.708333333332</v>
      </c>
      <c r="J214" s="7">
        <v>1</v>
      </c>
      <c r="K214" s="116" t="str">
        <f t="shared" si="135"/>
        <v>4001/4002</v>
      </c>
      <c r="L214" s="24" t="str">
        <f>VLOOKUP(A214,'Trips&amp;Operators'!$C$1:$E$10000,3,FALSE)</f>
        <v>MADLOM</v>
      </c>
      <c r="M214" s="6">
        <f t="shared" si="136"/>
        <v>0</v>
      </c>
      <c r="N214" s="7">
        <f t="shared" si="132"/>
        <v>0</v>
      </c>
      <c r="O214" s="7"/>
      <c r="P214" s="7"/>
      <c r="Q214" s="25"/>
      <c r="R214" s="25"/>
      <c r="S214" s="37">
        <f t="shared" si="144"/>
        <v>0</v>
      </c>
      <c r="T214" s="52" t="e">
        <f t="shared" si="137"/>
        <v>#VALUE!</v>
      </c>
      <c r="U214" s="15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07:08:23-0600',mode:absolute,to:'1969-12-31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4" s="54" t="str">
        <f t="shared" si="139"/>
        <v>Y</v>
      </c>
      <c r="X214" s="163" t="e">
        <f t="shared" si="145"/>
        <v>#VALUE!</v>
      </c>
      <c r="Y214" s="69">
        <f t="shared" si="133"/>
        <v>0.14879999999999999</v>
      </c>
      <c r="Z214" s="69">
        <f t="shared" si="134"/>
        <v>0.14879999999999999</v>
      </c>
      <c r="AA214" s="69">
        <f t="shared" si="140"/>
        <v>0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141"/>
        <v>50-08</v>
      </c>
      <c r="AE214" s="94" t="str">
        <f t="shared" si="146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4" s="91" t="str">
        <f t="shared" si="147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14" s="1" t="str">
        <f t="shared" si="142"/>
        <v>Other</v>
      </c>
      <c r="AH214" s="95" t="str">
        <f t="shared" si="148"/>
        <v>"%USERPROFILE%\Documents\GitHub\eaglep3\Utilities\RefineRTDCRunTimes.py" --tripid 50-08 --locoid 4002 --swversion DE.1.0.7.0 --startMP 204:1488 --initTime 2016-10-08T08:08:23 --startdatetime 1969-12-31T17:00:00 --delay 3 --endMP 204:1488 --enddatetime 1969-12-31T17:00:00 --enforcementcount 1 &gt;&gt;C:\Users\stu\Documents\GitHub\eaglep3-reporting\EC\2016-10-08-refined-times.txt</v>
      </c>
      <c r="AI214" s="129" t="str">
        <f t="shared" si="149"/>
        <v>echo {"issue":{"subject":"","project_id":79,"tracker_id":40,"status_id":1,"priority_id":2,"assigned_to_id":23,"start_date":"1969-12-31","description":"","custom_fields":[{"id":1,"name":"Subdivision","value":"Other"},{"id":4,"name":"Milepost","value":"0.1488"},{"id":17,"name":"Train ID","value":"50-08"},{"id":16,"name":"Locomotive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479</v>
      </c>
      <c r="B215" s="7">
        <v>4009</v>
      </c>
      <c r="C215" s="24" t="s">
        <v>106</v>
      </c>
      <c r="D215" s="24" t="s">
        <v>726</v>
      </c>
      <c r="E215" s="15">
        <v>42651.493773148148</v>
      </c>
      <c r="F215" s="15">
        <v>42651.496400462966</v>
      </c>
      <c r="G215" s="7">
        <v>1</v>
      </c>
      <c r="H215" s="15" t="s">
        <v>727</v>
      </c>
      <c r="I215" s="15">
        <v>42651.502199074072</v>
      </c>
      <c r="J215" s="7">
        <v>1</v>
      </c>
      <c r="K215" s="116" t="str">
        <f t="shared" si="135"/>
        <v>4009/4010</v>
      </c>
      <c r="L215" s="24" t="str">
        <f>VLOOKUP(A215,'Trips&amp;Operators'!$C$1:$E$10000,3,FALSE)</f>
        <v>KILLION</v>
      </c>
      <c r="M215" s="6">
        <f t="shared" si="136"/>
        <v>5.798611106001772E-3</v>
      </c>
      <c r="N215" s="7">
        <f t="shared" ref="N215:N227" si="150">24*60*SUM($M215:$M215)</f>
        <v>8.3499999926425517</v>
      </c>
      <c r="O215" s="7"/>
      <c r="P215" s="7"/>
      <c r="Q215" s="25"/>
      <c r="R215" s="25"/>
      <c r="S215" s="37">
        <f t="shared" si="144"/>
        <v>0</v>
      </c>
      <c r="T215" s="52" t="e">
        <f t="shared" si="137"/>
        <v>#VALUE!</v>
      </c>
      <c r="U215" s="15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10:51:02-0600',mode:absolute,to:'2016-10-08 13:03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5" s="54" t="str">
        <f t="shared" si="139"/>
        <v>Y</v>
      </c>
      <c r="X215" s="163" t="e">
        <f t="shared" si="145"/>
        <v>#VALUE!</v>
      </c>
      <c r="Y215" s="69">
        <f t="shared" ref="Y215:Y227" si="151">RIGHT(D215,LEN(D215)-4)/10000</f>
        <v>0.13109999999999999</v>
      </c>
      <c r="Z215" s="69">
        <f t="shared" ref="Z215:Z227" si="152">RIGHT(H215,LEN(H215)-4)/10000</f>
        <v>2.5339999999999998</v>
      </c>
      <c r="AA215" s="69">
        <f t="shared" si="140"/>
        <v>2.4028999999999998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141"/>
        <v>51-08</v>
      </c>
      <c r="AE215" s="94" t="str">
        <f t="shared" si="146"/>
        <v>aws s3 cp s3://rtdc.mdm.uploadarchive.raw/RTDC4009/ "%USERPROFILE%\AppData\Local\Temp\OnboardLogs"\RTDC4009\2016-10-08 --exclude "*" --recursive --include "*20161008*" &amp; "%USERPROFILE%\Documents\GitHub\mrs-test-scripts\Headless Mode &amp; Sideloading\WalkAndUnGZ.bat" "%USERPROFILE%\AppData\Local\Temp\OnboardLogs"\RTDC4009\2016-10-08 &amp; aws s3 cp s3://rtdc.mdm.uploadarchive.raw/RTDC4009/ "%USERPROFILE%\AppData\Local\Temp\OnboardLogs"\RTDC4009\2016-10-09 --exclude "*" --recursive --include "*20161009*" &amp; "%USERPROFILE%\Documents\GitHub\mrs-test-scripts\Headless Mode &amp; Sideloading\WalkAndUnGZ.bat" "%USERPROFILE%\AppData\Local\Temp\OnboardLogs"\RTDC4009\2016-10-09</v>
      </c>
      <c r="AF215" s="91" t="str">
        <f t="shared" si="147"/>
        <v>"C:\Program Files (x86)\AstroGrep\AstroGrep.exe" /spath="%USERPROFILE%\AppData\Local\Temp\OnboardLogs" /stypes="app*4009*20161008*" /stext=" 18:.+((SYSTEM_STATE.+slice.+state.+changed )|(ment ac)|(system.+state.+changed )|(\[timeout)|(PRM\|1\|D)|(kpr)|(kdp)|(\|lc)|(penalty))" /e /r /s</v>
      </c>
      <c r="AG215" s="1" t="str">
        <f t="shared" si="142"/>
        <v>Other</v>
      </c>
      <c r="AH215" s="95" t="str">
        <f t="shared" si="148"/>
        <v>"%USERPROFILE%\Documents\GitHub\eaglep3\Utilities\RefineRTDCRunTimes.py" --tripid 51-08 --locoid 4009 --swversion DE.1.0.7.0 --startMP 204:1311 --initTime 2016-10-08T11:51:02 --startdatetime 2016-10-08T11:54:49 --delay 1 --endMP 300:25340 --enddatetime 2016-10-08T12:03:10 --enforcementcount 1 &gt;&gt;C:\Users\stu\Documents\GitHub\eaglep3-reporting\EC\2016-10-08-refined-times.txt</v>
      </c>
      <c r="AI215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{"issue":{"subject":"","project_id":79,"tracker_id":40,"status_id":1,"priority_id":2,"assigned_to_id":23,"start_date":"2016-10-08","description":"","custom_fields":[{"id":1,"name":"Subdivision","value":"Other"},{"id":4,"name":"Milepost","value":"2.534"},{"id":17,"name":"Train ID","value":"51-08"},{"id":16,"name":"Locomotive ID","value":"4009"},{"id":130,"name":"Impact","value":""},{"id":150,"name":"Time of Event (Mountain Time)","value":"12:03:10"},{"id":151,"name":"Denver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469</v>
      </c>
      <c r="B216" s="7">
        <v>4010</v>
      </c>
      <c r="C216" s="24" t="s">
        <v>106</v>
      </c>
      <c r="D216" s="24" t="s">
        <v>728</v>
      </c>
      <c r="E216" s="15">
        <v>42651.453194444446</v>
      </c>
      <c r="F216" s="15">
        <v>42651.456099537034</v>
      </c>
      <c r="G216" s="7">
        <v>3</v>
      </c>
      <c r="H216" s="15" t="s">
        <v>374</v>
      </c>
      <c r="I216" s="15">
        <v>42651.462453703702</v>
      </c>
      <c r="J216" s="7">
        <v>1</v>
      </c>
      <c r="K216" s="116" t="str">
        <f t="shared" si="135"/>
        <v>4009/4010</v>
      </c>
      <c r="L216" s="24" t="str">
        <f>VLOOKUP(A216,'Trips&amp;Operators'!$C$1:$E$10000,3,FALSE)</f>
        <v>MOSES</v>
      </c>
      <c r="M216" s="6">
        <f t="shared" si="136"/>
        <v>6.3541666677338071E-3</v>
      </c>
      <c r="N216" s="7">
        <f t="shared" si="150"/>
        <v>9.1500000015366822</v>
      </c>
      <c r="O216" s="7"/>
      <c r="P216" s="7"/>
      <c r="Q216" s="25"/>
      <c r="R216" s="25"/>
      <c r="S216" s="37">
        <f t="shared" si="144"/>
        <v>0</v>
      </c>
      <c r="T216" s="52" t="e">
        <f t="shared" si="137"/>
        <v>#VALUE!</v>
      </c>
      <c r="U216" s="15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09:52:36-0600',mode:absolute,to:'2016-10-08 12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6" s="54" t="str">
        <f t="shared" si="139"/>
        <v>Y</v>
      </c>
      <c r="X216" s="163" t="e">
        <f t="shared" si="145"/>
        <v>#VALUE!</v>
      </c>
      <c r="Y216" s="69">
        <f t="shared" si="151"/>
        <v>2.3393999999999999</v>
      </c>
      <c r="Z216" s="69">
        <f t="shared" si="152"/>
        <v>9.9699999999999997E-2</v>
      </c>
      <c r="AA216" s="69">
        <f t="shared" si="140"/>
        <v>2.2397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141"/>
        <v>52-08</v>
      </c>
      <c r="AE216" s="94" t="str">
        <f t="shared" si="146"/>
        <v>aws s3 cp s3://rtdc.mdm.uploadarchive.raw/RTDC4010/ "%USERPROFILE%\AppData\Local\Temp\OnboardLogs"\RTDC4010\2016-10-08 --exclude "*" --recursive --include "*20161008*" &amp; "%USERPROFILE%\Documents\GitHub\mrs-test-scripts\Headless Mode &amp; Sideloading\WalkAndUnGZ.bat" "%USERPROFILE%\AppData\Local\Temp\OnboardLogs"\RTDC4010\2016-10-08 &amp; 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</v>
      </c>
      <c r="AF216" s="91" t="str">
        <f t="shared" si="147"/>
        <v>"C:\Program Files (x86)\AstroGrep\AstroGrep.exe" /spath="%USERPROFILE%\AppData\Local\Temp\OnboardLogs" /stypes="app*4010*20161008*" /stext=" 17:.+((SYSTEM_STATE.+slice.+state.+changed )|(ment ac)|(system.+state.+changed )|(\[timeout)|(PRM\|1\|D)|(kpr)|(kdp)|(\|lc)|(penalty))" /e /r /s</v>
      </c>
      <c r="AG216" s="1" t="str">
        <f t="shared" si="142"/>
        <v>Other</v>
      </c>
      <c r="AH216" s="95" t="str">
        <f t="shared" si="148"/>
        <v>"%USERPROFILE%\Documents\GitHub\eaglep3\Utilities\RefineRTDCRunTimes.py" --tripid 52-08 --locoid 4010 --swversion DE.1.0.7.0 --startMP 300:23394 --initTime 2016-10-08T10:52:36 --startdatetime 2016-10-08T10:56:47 --delay 3 --endMP 204:997 --enddatetime 2016-10-08T11:05:56 --enforcementcount 1 &gt;&gt;C:\Users\stu\Documents\GitHub\eaglep3-reporting\EC\2016-10-08-refined-times.txt</v>
      </c>
      <c r="AI216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{"issue":{"subject":"","project_id":79,"tracker_id":40,"status_id":1,"priority_id":2,"assigned_to_id":23,"start_date":"2016-10-08","description":"","custom_fields":[{"id":1,"name":"Subdivision","value":"Other"},{"id":4,"name":"Milepost","value":"0.0997"},{"id":17,"name":"Train ID","value":"52-08"},{"id":16,"name":"Locomotive ID","value":"4010"},{"id":130,"name":"Impact","value":""},{"id":150,"name":"Time of Event (Mountain Time)","value":"11:05:56"},{"id":151,"name":"Denver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359</v>
      </c>
      <c r="B217" s="7">
        <v>4019</v>
      </c>
      <c r="C217" s="24" t="s">
        <v>106</v>
      </c>
      <c r="D217" s="24" t="s">
        <v>729</v>
      </c>
      <c r="E217" s="15">
        <v>42651.75571759259</v>
      </c>
      <c r="F217" s="15">
        <v>42651.756782407407</v>
      </c>
      <c r="G217" s="7">
        <v>1</v>
      </c>
      <c r="H217" s="15" t="s">
        <v>730</v>
      </c>
      <c r="I217" s="15">
        <v>42651.764201388891</v>
      </c>
      <c r="J217" s="7">
        <v>1</v>
      </c>
      <c r="K217" s="116" t="str">
        <f t="shared" si="135"/>
        <v>4019/4020</v>
      </c>
      <c r="L217" s="24" t="b">
        <f>VLOOKUP(A217,'Trips&amp;Operators'!$C$1:$E$10000,3,FALSE)</f>
        <v>1</v>
      </c>
      <c r="M217" s="6">
        <f t="shared" si="136"/>
        <v>7.4189814840792678E-3</v>
      </c>
      <c r="N217" s="7">
        <f t="shared" si="150"/>
        <v>10.683333337074146</v>
      </c>
      <c r="O217" s="7"/>
      <c r="P217" s="7"/>
      <c r="Q217" s="25"/>
      <c r="R217" s="25"/>
      <c r="S217" s="37">
        <f t="shared" si="144"/>
        <v>0</v>
      </c>
      <c r="T217" s="52" t="e">
        <f t="shared" si="137"/>
        <v>#VALUE!</v>
      </c>
      <c r="U217" s="15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17:08:14-0600',mode:absolute,to:'2016-10-08 19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7" s="54" t="str">
        <f t="shared" si="139"/>
        <v>Y</v>
      </c>
      <c r="X217" s="163" t="e">
        <f t="shared" si="145"/>
        <v>#VALUE!</v>
      </c>
      <c r="Y217" s="69">
        <f t="shared" si="151"/>
        <v>2.3391999999999999</v>
      </c>
      <c r="Z217" s="69">
        <f t="shared" si="152"/>
        <v>1.6400000000000001E-2</v>
      </c>
      <c r="AA217" s="69">
        <f t="shared" si="140"/>
        <v>2.3228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141"/>
        <v>56-08</v>
      </c>
      <c r="AE217" s="94" t="str">
        <f t="shared" si="146"/>
        <v>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 &amp; 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</v>
      </c>
      <c r="AF217" s="91" t="str">
        <f t="shared" si="147"/>
        <v>"C:\Program Files (x86)\AstroGrep\AstroGrep.exe" /spath="%USERPROFILE%\AppData\Local\Temp\OnboardLogs" /stypes="app*4019*20161009*" /stext=" 00:.+((SYSTEM_STATE.+slice.+state.+changed )|(ment ac)|(system.+state.+changed )|(\[timeout)|(PRM\|1\|D)|(kpr)|(kdp)|(\|lc)|(penalty))" /e /r /s</v>
      </c>
      <c r="AG217" s="1" t="str">
        <f t="shared" si="142"/>
        <v>Other</v>
      </c>
      <c r="AH217" s="95" t="str">
        <f t="shared" si="148"/>
        <v>"%USERPROFILE%\Documents\GitHub\eaglep3\Utilities\RefineRTDCRunTimes.py" --tripid 56-08 --locoid 4019 --swversion DE.1.0.7.0 --startMP 300:23392 --initTime 2016-10-08T18:08:14 --startdatetime 2016-10-08T18:09:46 --delay 1 --endMP 204:164 --enddatetime 2016-10-08T18:20:27 --enforcementcount 1 &gt;&gt;C:\Users\stu\Documents\GitHub\eaglep3-reporting\EC\2016-10-08-refined-times.txt</v>
      </c>
      <c r="AI217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{"issue":{"subject":"","project_id":79,"tracker_id":40,"status_id":1,"priority_id":2,"assigned_to_id":23,"start_date":"2016-10-08","description":"","custom_fields":[{"id":1,"name":"Subdivision","value":"Other"},{"id":4,"name":"Milepost","value":"0.0164"},{"id":17,"name":"Train ID","value":"56-08"},{"id":16,"name":"Locomotive ID","value":"4019"},{"id":130,"name":"Impact","value":""},{"id":150,"name":"Time of Event (Mountain Time)","value":"18:20:27"},{"id":151,"name":"Denver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359</v>
      </c>
      <c r="B218" s="7">
        <v>4051</v>
      </c>
      <c r="C218" s="24" t="s">
        <v>268</v>
      </c>
      <c r="D218" s="24" t="s">
        <v>731</v>
      </c>
      <c r="E218" s="15">
        <v>42651.137175925927</v>
      </c>
      <c r="F218" s="15">
        <v>42651.139884259261</v>
      </c>
      <c r="G218" s="7">
        <v>0</v>
      </c>
      <c r="H218" s="15" t="s">
        <v>732</v>
      </c>
      <c r="I218" s="15">
        <v>42651.160486111112</v>
      </c>
      <c r="J218" s="7">
        <v>1</v>
      </c>
      <c r="K218" s="116" t="str">
        <f t="shared" si="135"/>
        <v>4051/4052</v>
      </c>
      <c r="L218" s="24" t="b">
        <f>VLOOKUP(A218,'Trips&amp;Operators'!$C$1:$E$10000,3,FALSE)</f>
        <v>1</v>
      </c>
      <c r="M218" s="6">
        <f t="shared" si="136"/>
        <v>2.0601851851097308E-2</v>
      </c>
      <c r="N218" s="7">
        <f t="shared" si="150"/>
        <v>29.666666665580124</v>
      </c>
      <c r="O218" s="7"/>
      <c r="P218" s="7"/>
      <c r="Q218" s="25"/>
      <c r="R218" s="25"/>
      <c r="S218" s="37">
        <f t="shared" si="144"/>
        <v>0</v>
      </c>
      <c r="T218" s="52" t="e">
        <f t="shared" si="137"/>
        <v>#VALUE!</v>
      </c>
      <c r="U218" s="15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02:17:32-0600',mode:absolute,to:'2016-10-08 04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8" s="54" t="str">
        <f t="shared" si="139"/>
        <v>N</v>
      </c>
      <c r="X218" s="163" t="e">
        <f t="shared" si="145"/>
        <v>#VALUE!</v>
      </c>
      <c r="Y218" s="69">
        <f t="shared" si="151"/>
        <v>1.0456000000000001</v>
      </c>
      <c r="Z218" s="69">
        <f t="shared" si="152"/>
        <v>12.801500000000001</v>
      </c>
      <c r="AA218" s="69">
        <f t="shared" si="140"/>
        <v>11.7559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141"/>
        <v>56-08</v>
      </c>
      <c r="AE218" s="94" t="str">
        <f t="shared" si="146"/>
        <v>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 &amp; aws s3 cp s3://rtdc.mdm.uploadarchive.raw/RTDC4051/ "%USERPROFILE%\AppData\Local\Temp\OnboardLogs"\RTDC4051\2016-10-09 --exclude "*" --recursive --include "*20161009*" &amp; "%USERPROFILE%\Documents\GitHub\mrs-test-scripts\Headless Mode &amp; Sideloading\WalkAndUnGZ.bat" "%USERPROFILE%\AppData\Local\Temp\OnboardLogs"\RTDC4051\2016-10-09</v>
      </c>
      <c r="AF218" s="91" t="str">
        <f t="shared" si="147"/>
        <v>"C:\Program Files (x86)\AstroGrep\AstroGrep.exe" /spath="%USERPROFILE%\AppData\Local\Temp\OnboardLogs" /stypes="app*4051*20161008*" /stext=" 09:.+((SYSTEM_STATE.+slice.+state.+changed )|(ment ac)|(system.+state.+changed )|(\[timeout)|(PRM\|1\|D)|(kpr)|(kdp)|(\|lc)|(penalty))" /e /r /s</v>
      </c>
      <c r="AG218" s="1" t="str">
        <f t="shared" si="142"/>
        <v>Other</v>
      </c>
      <c r="AH218" s="95" t="str">
        <f t="shared" si="148"/>
        <v>"%USERPROFILE%\Documents\GitHub\eaglep3\Utilities\RefineRTDCRunTimes.py" --tripid 56-08 --locoid 4051 --swversion DE.1.0.8.0 --startMP 204:10456 --initTime 2016-10-08T03:17:32 --startdatetime 2016-10-08T03:21:26 --delay 0 --endMP 204:128015 --enddatetime 2016-10-08T03:51:06 --enforcementcount 1 &gt;&gt;C:\Users\stu\Documents\GitHub\eaglep3-reporting\EC\2016-10-08-refined-times.txt</v>
      </c>
      <c r="AI218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{"issue":{"subject":"","project_id":79,"tracker_id":40,"status_id":1,"priority_id":2,"assigned_to_id":23,"start_date":"2016-10-08","description":"","custom_fields":[{"id":1,"name":"Subdivision","value":"Other"},{"id":4,"name":"Milepost","value":"12.8015"},{"id":17,"name":"Train ID","value":"56-08"},{"id":16,"name":"Locomotive ID","value":"4051"},{"id":130,"name":"Impact","value":""},{"id":150,"name":"Time of Event (Mountain Time)","value":"03:51:06"},{"id":151,"name":"Denver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359</v>
      </c>
      <c r="B219" s="7">
        <v>4051</v>
      </c>
      <c r="C219" s="24" t="s">
        <v>268</v>
      </c>
      <c r="D219" s="24" t="s">
        <v>360</v>
      </c>
      <c r="E219" s="15">
        <v>42651.089583333334</v>
      </c>
      <c r="F219" s="15">
        <v>42651.139884259261</v>
      </c>
      <c r="G219" s="7">
        <v>1</v>
      </c>
      <c r="H219" s="15" t="s">
        <v>361</v>
      </c>
      <c r="I219" s="15">
        <v>42651.160486111112</v>
      </c>
      <c r="J219" s="7">
        <v>1</v>
      </c>
      <c r="K219" s="116" t="str">
        <f t="shared" si="135"/>
        <v>4051/4052</v>
      </c>
      <c r="L219" s="24" t="b">
        <f>VLOOKUP(A219,'Trips&amp;Operators'!$C$1:$E$10000,3,FALSE)</f>
        <v>1</v>
      </c>
      <c r="M219" s="6">
        <f t="shared" si="136"/>
        <v>2.0601851851097308E-2</v>
      </c>
      <c r="N219" s="7">
        <f t="shared" si="150"/>
        <v>29.666666665580124</v>
      </c>
      <c r="O219" s="7"/>
      <c r="P219" s="7"/>
      <c r="Q219" s="25"/>
      <c r="R219" s="25"/>
      <c r="S219" s="37">
        <f t="shared" si="144"/>
        <v>0</v>
      </c>
      <c r="T219" s="52" t="e">
        <f t="shared" si="137"/>
        <v>#VALUE!</v>
      </c>
      <c r="U219" s="15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01:09:00-0600',mode:absolute,to:'2016-10-08 04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9" s="54" t="str">
        <f t="shared" si="139"/>
        <v>N</v>
      </c>
      <c r="X219" s="163" t="e">
        <f t="shared" si="145"/>
        <v>#VALUE!</v>
      </c>
      <c r="Y219" s="69">
        <f t="shared" si="151"/>
        <v>1.0608</v>
      </c>
      <c r="Z219" s="69">
        <f t="shared" si="152"/>
        <v>12.8028</v>
      </c>
      <c r="AA219" s="69">
        <f t="shared" si="140"/>
        <v>11.741999999999999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141"/>
        <v>56-08</v>
      </c>
      <c r="AE219" s="94" t="str">
        <f t="shared" si="146"/>
        <v>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 &amp; aws s3 cp s3://rtdc.mdm.uploadarchive.raw/RTDC4051/ "%USERPROFILE%\AppData\Local\Temp\OnboardLogs"\RTDC4051\2016-10-09 --exclude "*" --recursive --include "*20161009*" &amp; "%USERPROFILE%\Documents\GitHub\mrs-test-scripts\Headless Mode &amp; Sideloading\WalkAndUnGZ.bat" "%USERPROFILE%\AppData\Local\Temp\OnboardLogs"\RTDC4051\2016-10-09</v>
      </c>
      <c r="AF219" s="91" t="str">
        <f t="shared" si="147"/>
        <v>"C:\Program Files (x86)\AstroGrep\AstroGrep.exe" /spath="%USERPROFILE%\AppData\Local\Temp\OnboardLogs" /stypes="app*4051*20161008*" /stext=" 09:.+((SYSTEM_STATE.+slice.+state.+changed )|(ment ac)|(system.+state.+changed )|(\[timeout)|(PRM\|1\|D)|(kpr)|(kdp)|(\|lc)|(penalty))" /e /r /s</v>
      </c>
      <c r="AG219" s="1" t="str">
        <f t="shared" si="142"/>
        <v>Other</v>
      </c>
      <c r="AH219" s="95" t="str">
        <f t="shared" si="148"/>
        <v>"%USERPROFILE%\Documents\GitHub\eaglep3\Utilities\RefineRTDCRunTimes.py" --tripid 56-08 --locoid 4051 --swversion DE.1.0.8.0 --startMP 204:10608 --initTime 2016-10-08T02:09:00 --startdatetime 2016-10-08T03:21:26 --delay 1 --endMP 204:128028 --enddatetime 2016-10-08T03:51:06 --enforcementcount 1 &gt;&gt;C:\Users\stu\Documents\GitHub\eaglep3-reporting\EC\2016-10-08-refined-times.txt</v>
      </c>
      <c r="AI219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{"issue":{"subject":"","project_id":79,"tracker_id":40,"status_id":1,"priority_id":2,"assigned_to_id":23,"start_date":"2016-10-08","description":"","custom_fields":[{"id":1,"name":"Subdivision","value":"Other"},{"id":4,"name":"Milepost","value":"12.8028"},{"id":17,"name":"Train ID","value":"56-08"},{"id":16,"name":"Locomotive ID","value":"4051"},{"id":130,"name":"Impact","value":""},{"id":150,"name":"Time of Event (Mountain Time)","value":"03:51:06"},{"id":151,"name":"Denver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542</v>
      </c>
      <c r="B220" s="7">
        <v>4010</v>
      </c>
      <c r="C220" s="24" t="s">
        <v>106</v>
      </c>
      <c r="D220" s="24" t="s">
        <v>733</v>
      </c>
      <c r="E220" s="15">
        <v>42651.715613425928</v>
      </c>
      <c r="F220" s="15">
        <v>42651.717650462961</v>
      </c>
      <c r="G220" s="7">
        <v>2</v>
      </c>
      <c r="H220" s="15" t="s">
        <v>734</v>
      </c>
      <c r="I220" s="15">
        <v>42651.723587962966</v>
      </c>
      <c r="J220" s="7">
        <v>1</v>
      </c>
      <c r="K220" s="116" t="str">
        <f t="shared" si="135"/>
        <v>4009/4010</v>
      </c>
      <c r="L220" s="24" t="str">
        <f>VLOOKUP(A220,'Trips&amp;Operators'!$C$1:$E$10000,3,FALSE)</f>
        <v>NEWELL</v>
      </c>
      <c r="M220" s="6">
        <f t="shared" si="136"/>
        <v>5.9375000055297278E-3</v>
      </c>
      <c r="N220" s="7">
        <f t="shared" si="150"/>
        <v>8.550000007962808</v>
      </c>
      <c r="O220" s="7"/>
      <c r="P220" s="7"/>
      <c r="Q220" s="25"/>
      <c r="R220" s="25"/>
      <c r="S220" s="37">
        <f t="shared" si="144"/>
        <v>0</v>
      </c>
      <c r="T220" s="52" t="e">
        <f t="shared" si="137"/>
        <v>#VALUE!</v>
      </c>
      <c r="U220" s="15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16:10:29-0600',mode:absolute,to:'2016-10-08 18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0" s="54" t="str">
        <f t="shared" si="139"/>
        <v>Y</v>
      </c>
      <c r="X220" s="163" t="e">
        <f t="shared" si="145"/>
        <v>#VALUE!</v>
      </c>
      <c r="Y220" s="69">
        <f t="shared" si="151"/>
        <v>2.3340999999999998</v>
      </c>
      <c r="Z220" s="69">
        <f t="shared" si="152"/>
        <v>1.5699999999999999E-2</v>
      </c>
      <c r="AA220" s="69">
        <f t="shared" si="140"/>
        <v>2.3184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141"/>
        <v>58-08</v>
      </c>
      <c r="AE220" s="94" t="str">
        <f t="shared" si="146"/>
        <v>aws s3 cp s3://rtdc.mdm.uploadarchive.raw/RTDC4010/ "%USERPROFILE%\AppData\Local\Temp\OnboardLogs"\RTDC4010\2016-10-08 --exclude "*" --recursive --include "*20161008*" &amp; "%USERPROFILE%\Documents\GitHub\mrs-test-scripts\Headless Mode &amp; Sideloading\WalkAndUnGZ.bat" "%USERPROFILE%\AppData\Local\Temp\OnboardLogs"\RTDC4010\2016-10-08 &amp; 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</v>
      </c>
      <c r="AF220" s="91" t="str">
        <f t="shared" si="147"/>
        <v>"C:\Program Files (x86)\AstroGrep\AstroGrep.exe" /spath="%USERPROFILE%\AppData\Local\Temp\OnboardLogs" /stypes="app*4010*20161008*" /stext=" 23:.+((SYSTEM_STATE.+slice.+state.+changed )|(ment ac)|(system.+state.+changed )|(\[timeout)|(PRM\|1\|D)|(kpr)|(kdp)|(\|lc)|(penalty))" /e /r /s</v>
      </c>
      <c r="AG220" s="1" t="str">
        <f t="shared" si="142"/>
        <v>Other</v>
      </c>
      <c r="AH220" s="95" t="str">
        <f t="shared" si="148"/>
        <v>"%USERPROFILE%\Documents\GitHub\eaglep3\Utilities\RefineRTDCRunTimes.py" --tripid 58-08 --locoid 4010 --swversion DE.1.0.7.0 --startMP 300:23341 --initTime 2016-10-08T17:10:29 --startdatetime 2016-10-08T17:13:25 --delay 2 --endMP 204:157 --enddatetime 2016-10-08T17:21:58 --enforcementcount 1 &gt;&gt;C:\Users\stu\Documents\GitHub\eaglep3-reporting\EC\2016-10-08-refined-times.txt</v>
      </c>
      <c r="AI220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{"issue":{"subject":"","project_id":79,"tracker_id":40,"status_id":1,"priority_id":2,"assigned_to_id":23,"start_date":"2016-10-08","description":"","custom_fields":[{"id":1,"name":"Subdivision","value":"Other"},{"id":4,"name":"Milepost","value":"0.0157"},{"id":17,"name":"Train ID","value":"58-08"},{"id":16,"name":"Locomotive ID","value":"4010"},{"id":130,"name":"Impact","value":""},{"id":150,"name":"Time of Event (Mountain Time)","value":"17:21:58"},{"id":151,"name":"Denver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364</v>
      </c>
      <c r="B221" s="7">
        <v>4052</v>
      </c>
      <c r="C221" s="24" t="s">
        <v>268</v>
      </c>
      <c r="D221" s="24" t="s">
        <v>735</v>
      </c>
      <c r="E221" s="15">
        <v>42651.122060185182</v>
      </c>
      <c r="F221" s="15">
        <v>42651.123113425929</v>
      </c>
      <c r="G221" s="7">
        <v>0</v>
      </c>
      <c r="H221" s="15" t="s">
        <v>736</v>
      </c>
      <c r="I221" s="15">
        <v>42651.136192129627</v>
      </c>
      <c r="J221" s="7">
        <v>1</v>
      </c>
      <c r="K221" s="116" t="str">
        <f t="shared" si="135"/>
        <v>4051/4052</v>
      </c>
      <c r="L221" s="24" t="b">
        <f>VLOOKUP(A221,'Trips&amp;Operators'!$C$1:$E$10000,3,FALSE)</f>
        <v>1</v>
      </c>
      <c r="M221" s="6">
        <f t="shared" si="136"/>
        <v>1.3078703697829042E-2</v>
      </c>
      <c r="N221" s="7">
        <f t="shared" si="150"/>
        <v>18.83333332487382</v>
      </c>
      <c r="O221" s="7"/>
      <c r="P221" s="7"/>
      <c r="Q221" s="25"/>
      <c r="R221" s="25"/>
      <c r="S221" s="37">
        <f t="shared" si="144"/>
        <v>0</v>
      </c>
      <c r="T221" s="52" t="e">
        <f t="shared" si="137"/>
        <v>#VALUE!</v>
      </c>
      <c r="U221" s="15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01:55:46-0600',mode:absolute,to:'2016-10-08 04:16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1" s="54" t="str">
        <f t="shared" si="139"/>
        <v>N</v>
      </c>
      <c r="X221" s="163" t="e">
        <f t="shared" si="145"/>
        <v>#VALUE!</v>
      </c>
      <c r="Y221" s="69">
        <f t="shared" si="151"/>
        <v>12.775499999999999</v>
      </c>
      <c r="Z221" s="69">
        <f t="shared" si="152"/>
        <v>1.0217000000000001</v>
      </c>
      <c r="AA221" s="69">
        <f t="shared" si="140"/>
        <v>11.753799999999998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141"/>
        <v>62-07</v>
      </c>
      <c r="AE221" s="94" t="str">
        <f t="shared" si="146"/>
        <v>aws s3 cp s3://rtdc.mdm.uploadarchive.raw/RTDC4052/ "%USERPROFILE%\AppData\Local\Temp\OnboardLogs"\RTDC4052\2016-10-08 --exclude "*" --recursive --include "*20161008*" &amp; "%USERPROFILE%\Documents\GitHub\mrs-test-scripts\Headless Mode &amp; Sideloading\WalkAndUnGZ.bat" "%USERPROFILE%\AppData\Local\Temp\OnboardLogs"\RTDC4052\2016-10-08 &amp; aws s3 cp s3://rtdc.mdm.uploadarchive.raw/RTDC4052/ "%USERPROFILE%\AppData\Local\Temp\OnboardLogs"\RTDC4052\2016-10-09 --exclude "*" --recursive --include "*20161009*" &amp; "%USERPROFILE%\Documents\GitHub\mrs-test-scripts\Headless Mode &amp; Sideloading\WalkAndUnGZ.bat" "%USERPROFILE%\AppData\Local\Temp\OnboardLogs"\RTDC4052\2016-10-09</v>
      </c>
      <c r="AF221" s="91" t="str">
        <f t="shared" si="147"/>
        <v>"C:\Program Files (x86)\AstroGrep\AstroGrep.exe" /spath="%USERPROFILE%\AppData\Local\Temp\OnboardLogs" /stypes="app*4052*20161008*" /stext=" 09:.+((SYSTEM_STATE.+slice.+state.+changed )|(ment ac)|(system.+state.+changed )|(\[timeout)|(PRM\|1\|D)|(kpr)|(kdp)|(\|lc)|(penalty))" /e /r /s</v>
      </c>
      <c r="AG221" s="1" t="str">
        <f t="shared" si="142"/>
        <v>Other</v>
      </c>
      <c r="AH221" s="95" t="str">
        <f t="shared" si="148"/>
        <v>"%USERPROFILE%\Documents\GitHub\eaglep3\Utilities\RefineRTDCRunTimes.py" --tripid 62-07 --locoid 4052 --swversion DE.1.0.8.0 --startMP 204:127755 --initTime 2016-10-08T02:55:46 --startdatetime 2016-10-08T02:57:17 --delay 0 --endMP 204:10217 --enddatetime 2016-10-08T03:16:07 --enforcementcount 1 &gt;&gt;C:\Users\stu\Documents\GitHub\eaglep3-reporting\EC\2016-10-08-refined-times.txt</v>
      </c>
      <c r="AI221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{"issue":{"subject":"","project_id":79,"tracker_id":40,"status_id":1,"priority_id":2,"assigned_to_id":23,"start_date":"2016-10-08","description":"","custom_fields":[{"id":1,"name":"Subdivision","value":"Other"},{"id":4,"name":"Milepost","value":"1.0217"},{"id":17,"name":"Train ID","value":"62-07"},{"id":16,"name":"Locomotive ID","value":"4052"},{"id":130,"name":"Impact","value":""},{"id":150,"name":"Time of Event (Mountain Time)","value":"03:16:07"},{"id":151,"name":"Denver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364</v>
      </c>
      <c r="B222" s="7">
        <v>4052</v>
      </c>
      <c r="C222" s="24" t="s">
        <v>268</v>
      </c>
      <c r="D222" s="24" t="s">
        <v>737</v>
      </c>
      <c r="E222" s="15">
        <v>42651.161238425928</v>
      </c>
      <c r="F222" s="15">
        <v>42651.162812499999</v>
      </c>
      <c r="G222" s="7">
        <v>0</v>
      </c>
      <c r="H222" s="15" t="s">
        <v>738</v>
      </c>
      <c r="I222" s="15">
        <v>42651.176770833335</v>
      </c>
      <c r="J222" s="7">
        <v>1</v>
      </c>
      <c r="K222" s="116" t="str">
        <f t="shared" si="135"/>
        <v>4051/4052</v>
      </c>
      <c r="L222" s="24" t="b">
        <f>VLOOKUP(A222,'Trips&amp;Operators'!$C$1:$E$10000,3,FALSE)</f>
        <v>1</v>
      </c>
      <c r="M222" s="6">
        <f t="shared" si="136"/>
        <v>1.3958333336631767E-2</v>
      </c>
      <c r="N222" s="7">
        <f t="shared" si="150"/>
        <v>20.100000004749745</v>
      </c>
      <c r="O222" s="7"/>
      <c r="P222" s="7"/>
      <c r="Q222" s="25"/>
      <c r="R222" s="25"/>
      <c r="S222" s="37">
        <f t="shared" si="144"/>
        <v>0</v>
      </c>
      <c r="T222" s="52" t="e">
        <f t="shared" si="137"/>
        <v>#VALUE!</v>
      </c>
      <c r="U222" s="15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02:52:11-0600',mode:absolute,to:'2016-10-08 05:14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2" s="54" t="str">
        <f t="shared" si="139"/>
        <v>N</v>
      </c>
      <c r="X222" s="163" t="e">
        <f t="shared" si="145"/>
        <v>#VALUE!</v>
      </c>
      <c r="Y222" s="69">
        <f t="shared" si="151"/>
        <v>12.7761</v>
      </c>
      <c r="Z222" s="69">
        <f t="shared" si="152"/>
        <v>6.5000000000000002E-2</v>
      </c>
      <c r="AA222" s="69">
        <f t="shared" si="140"/>
        <v>12.7111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141"/>
        <v>62-07</v>
      </c>
      <c r="AE222" s="94" t="str">
        <f t="shared" si="146"/>
        <v>aws s3 cp s3://rtdc.mdm.uploadarchive.raw/RTDC4052/ "%USERPROFILE%\AppData\Local\Temp\OnboardLogs"\RTDC4052\2016-10-08 --exclude "*" --recursive --include "*20161008*" &amp; "%USERPROFILE%\Documents\GitHub\mrs-test-scripts\Headless Mode &amp; Sideloading\WalkAndUnGZ.bat" "%USERPROFILE%\AppData\Local\Temp\OnboardLogs"\RTDC4052\2016-10-08 &amp; aws s3 cp s3://rtdc.mdm.uploadarchive.raw/RTDC4052/ "%USERPROFILE%\AppData\Local\Temp\OnboardLogs"\RTDC4052\2016-10-09 --exclude "*" --recursive --include "*20161009*" &amp; "%USERPROFILE%\Documents\GitHub\mrs-test-scripts\Headless Mode &amp; Sideloading\WalkAndUnGZ.bat" "%USERPROFILE%\AppData\Local\Temp\OnboardLogs"\RTDC4052\2016-10-09</v>
      </c>
      <c r="AF222" s="91" t="str">
        <f t="shared" si="147"/>
        <v>"C:\Program Files (x86)\AstroGrep\AstroGrep.exe" /spath="%USERPROFILE%\AppData\Local\Temp\OnboardLogs" /stypes="app*4052*20161008*" /stext=" 10:.+((SYSTEM_STATE.+slice.+state.+changed )|(ment ac)|(system.+state.+changed )|(\[timeout)|(PRM\|1\|D)|(kpr)|(kdp)|(\|lc)|(penalty))" /e /r /s</v>
      </c>
      <c r="AG222" s="1" t="str">
        <f t="shared" si="142"/>
        <v>Other</v>
      </c>
      <c r="AH222" s="95" t="str">
        <f t="shared" si="148"/>
        <v>"%USERPROFILE%\Documents\GitHub\eaglep3\Utilities\RefineRTDCRunTimes.py" --tripid 62-07 --locoid 4052 --swversion DE.1.0.8.0 --startMP 204:127761 --initTime 2016-10-08T03:52:11 --startdatetime 2016-10-08T03:54:27 --delay 0 --endMP 204:650 --enddatetime 2016-10-08T04:14:33 --enforcementcount 1 &gt;&gt;C:\Users\stu\Documents\GitHub\eaglep3-reporting\EC\2016-10-08-refined-times.txt</v>
      </c>
      <c r="AI222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{"issue":{"subject":"","project_id":79,"tracker_id":40,"status_id":1,"priority_id":2,"assigned_to_id":23,"start_date":"2016-10-08","description":"","custom_fields":[{"id":1,"name":"Subdivision","value":"Other"},{"id":4,"name":"Milepost","value":"0.065"},{"id":17,"name":"Train ID","value":"62-07"},{"id":16,"name":"Locomotive ID","value":"4052"},{"id":130,"name":"Impact","value":""},{"id":150,"name":"Time of Event (Mountain Time)","value":"04:14:33"},{"id":151,"name":"Denver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547</v>
      </c>
      <c r="B223" s="7">
        <v>4002</v>
      </c>
      <c r="C223" s="24" t="s">
        <v>106</v>
      </c>
      <c r="D223" s="24" t="s">
        <v>739</v>
      </c>
      <c r="E223" s="15">
        <v>42651.777685185189</v>
      </c>
      <c r="F223" s="15">
        <v>42651.780891203707</v>
      </c>
      <c r="G223" s="7">
        <v>1</v>
      </c>
      <c r="H223" s="15" t="s">
        <v>740</v>
      </c>
      <c r="I223" s="15">
        <v>42651.781053240738</v>
      </c>
      <c r="J223" s="7">
        <v>1</v>
      </c>
      <c r="K223" s="116" t="str">
        <f t="shared" si="135"/>
        <v>4001/4002</v>
      </c>
      <c r="L223" s="24" t="str">
        <f>VLOOKUP(A223,'Trips&amp;Operators'!$C$1:$E$10000,3,FALSE)</f>
        <v>ROBINSON</v>
      </c>
      <c r="M223" s="6">
        <f t="shared" si="136"/>
        <v>1.6203703125938773E-4</v>
      </c>
      <c r="N223" s="7">
        <f t="shared" si="150"/>
        <v>0.23333332501351833</v>
      </c>
      <c r="O223" s="7"/>
      <c r="P223" s="7"/>
      <c r="Q223" s="25"/>
      <c r="R223" s="25"/>
      <c r="S223" s="37">
        <f t="shared" si="144"/>
        <v>0</v>
      </c>
      <c r="T223" s="52" t="e">
        <f t="shared" si="137"/>
        <v>#VALUE!</v>
      </c>
      <c r="U223" s="15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17:39:52-0600',mode:absolute,to:'2016-10-08 19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3" s="54" t="str">
        <f t="shared" si="139"/>
        <v>Y</v>
      </c>
      <c r="X223" s="163" t="e">
        <f t="shared" si="145"/>
        <v>#VALUE!</v>
      </c>
      <c r="Y223" s="69">
        <f t="shared" si="151"/>
        <v>0.14940000000000001</v>
      </c>
      <c r="Z223" s="69">
        <f t="shared" si="152"/>
        <v>0.18140000000000001</v>
      </c>
      <c r="AA223" s="69">
        <f t="shared" si="140"/>
        <v>3.2000000000000001E-2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 t="shared" si="141"/>
        <v>63-08</v>
      </c>
      <c r="AE223" s="94" t="str">
        <f t="shared" si="146"/>
        <v>aws s3 cp s3://rtdc.mdm.uploadarchive.raw/RTDC4002/ "%USERPROFILE%\AppData\Local\Temp\OnboardLogs"\RTDC4002\2016-10-08 --exclude "*" --recursive --include "*20161008*" &amp; "%USERPROFILE%\Documents\GitHub\mrs-test-scripts\Headless Mode &amp; Sideloading\WalkAndUnGZ.bat" "%USERPROFILE%\AppData\Local\Temp\OnboardLogs"\RTDC4002\2016-10-08 &amp; 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</v>
      </c>
      <c r="AF223" s="91" t="str">
        <f t="shared" si="147"/>
        <v>"C:\Program Files (x86)\AstroGrep\AstroGrep.exe" /spath="%USERPROFILE%\AppData\Local\Temp\OnboardLogs" /stypes="app*4002*20161009*" /stext=" 00:.+((SYSTEM_STATE.+slice.+state.+changed )|(ment ac)|(system.+state.+changed )|(\[timeout)|(PRM\|1\|D)|(kpr)|(kdp)|(\|lc)|(penalty))" /e /r /s</v>
      </c>
      <c r="AG223" s="1" t="str">
        <f t="shared" si="142"/>
        <v>Other</v>
      </c>
      <c r="AH223" s="95" t="str">
        <f t="shared" si="148"/>
        <v>"%USERPROFILE%\Documents\GitHub\eaglep3\Utilities\RefineRTDCRunTimes.py" --tripid 63-08 --locoid 4002 --swversion DE.1.0.7.0 --startMP 204:1494 --initTime 2016-10-08T18:39:52 --startdatetime 2016-10-08T18:44:29 --delay 1 --endMP 204:1814 --enddatetime 2016-10-08T18:44:43 --enforcementcount 1 &gt;&gt;C:\Users\stu\Documents\GitHub\eaglep3-reporting\EC\2016-10-08-refined-times.txt</v>
      </c>
      <c r="AI223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{"issue":{"subject":"","project_id":79,"tracker_id":40,"status_id":1,"priority_id":2,"assigned_to_id":23,"start_date":"2016-10-08","description":"","custom_fields":[{"id":1,"name":"Subdivision","value":"Other"},{"id":4,"name":"Milepost","value":"0.1814"},{"id":17,"name":"Train ID","value":"63-08"},{"id":16,"name":"Locomotive ID","value":"4002"},{"id":130,"name":"Impact","value":""},{"id":150,"name":"Time of Event (Mountain Time)","value":"18:44:43"},{"id":151,"name":"Denver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547</v>
      </c>
      <c r="B224" s="7">
        <v>4002</v>
      </c>
      <c r="C224" s="24" t="s">
        <v>106</v>
      </c>
      <c r="D224" s="24" t="s">
        <v>741</v>
      </c>
      <c r="E224" s="15">
        <v>42651.738912037035</v>
      </c>
      <c r="F224" s="15">
        <v>42651.780891203707</v>
      </c>
      <c r="G224" s="7">
        <v>1</v>
      </c>
      <c r="H224" s="15" t="s">
        <v>741</v>
      </c>
      <c r="I224" s="15">
        <v>42651.781053240738</v>
      </c>
      <c r="J224" s="7">
        <v>1</v>
      </c>
      <c r="K224" s="116" t="str">
        <f t="shared" si="135"/>
        <v>4001/4002</v>
      </c>
      <c r="L224" s="24" t="str">
        <f>VLOOKUP(A224,'Trips&amp;Operators'!$C$1:$E$10000,3,FALSE)</f>
        <v>ROBINSON</v>
      </c>
      <c r="M224" s="6">
        <f t="shared" si="136"/>
        <v>1.6203703125938773E-4</v>
      </c>
      <c r="N224" s="7">
        <f t="shared" si="150"/>
        <v>0.23333332501351833</v>
      </c>
      <c r="O224" s="7"/>
      <c r="P224" s="7"/>
      <c r="Q224" s="25"/>
      <c r="R224" s="25"/>
      <c r="S224" s="37">
        <f t="shared" si="144"/>
        <v>0</v>
      </c>
      <c r="T224" s="52" t="e">
        <f t="shared" si="137"/>
        <v>#VALUE!</v>
      </c>
      <c r="U224" s="15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16:44:02-0600',mode:absolute,to:'2016-10-08 19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4" s="54" t="str">
        <f t="shared" si="139"/>
        <v>Y</v>
      </c>
      <c r="X224" s="163" t="e">
        <f t="shared" si="145"/>
        <v>#VALUE!</v>
      </c>
      <c r="Y224" s="69">
        <f t="shared" si="151"/>
        <v>0.14979999999999999</v>
      </c>
      <c r="Z224" s="69">
        <f t="shared" si="152"/>
        <v>0.14979999999999999</v>
      </c>
      <c r="AA224" s="69">
        <f t="shared" si="140"/>
        <v>0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 t="shared" si="141"/>
        <v>63-08</v>
      </c>
      <c r="AE224" s="94" t="str">
        <f t="shared" si="146"/>
        <v>aws s3 cp s3://rtdc.mdm.uploadarchive.raw/RTDC4002/ "%USERPROFILE%\AppData\Local\Temp\OnboardLogs"\RTDC4002\2016-10-08 --exclude "*" --recursive --include "*20161008*" &amp; "%USERPROFILE%\Documents\GitHub\mrs-test-scripts\Headless Mode &amp; Sideloading\WalkAndUnGZ.bat" "%USERPROFILE%\AppData\Local\Temp\OnboardLogs"\RTDC4002\2016-10-08 &amp; 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</v>
      </c>
      <c r="AF224" s="91" t="str">
        <f t="shared" si="147"/>
        <v>"C:\Program Files (x86)\AstroGrep\AstroGrep.exe" /spath="%USERPROFILE%\AppData\Local\Temp\OnboardLogs" /stypes="app*4002*20161009*" /stext=" 00:.+((SYSTEM_STATE.+slice.+state.+changed )|(ment ac)|(system.+state.+changed )|(\[timeout)|(PRM\|1\|D)|(kpr)|(kdp)|(\|lc)|(penalty))" /e /r /s</v>
      </c>
      <c r="AG224" s="1" t="str">
        <f t="shared" si="142"/>
        <v>Other</v>
      </c>
      <c r="AH224" s="95" t="str">
        <f t="shared" si="148"/>
        <v>"%USERPROFILE%\Documents\GitHub\eaglep3\Utilities\RefineRTDCRunTimes.py" --tripid 63-08 --locoid 4002 --swversion DE.1.0.7.0 --startMP 204:1498 --initTime 2016-10-08T17:44:02 --startdatetime 2016-10-08T18:44:29 --delay 1 --endMP 204:1498 --enddatetime 2016-10-08T18:44:43 --enforcementcount 1 &gt;&gt;C:\Users\stu\Documents\GitHub\eaglep3-reporting\EC\2016-10-08-refined-times.txt</v>
      </c>
      <c r="AI224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{"issue":{"subject":"","project_id":79,"tracker_id":40,"status_id":1,"priority_id":2,"assigned_to_id":23,"start_date":"2016-10-08","description":"","custom_fields":[{"id":1,"name":"Subdivision","value":"Other"},{"id":4,"name":"Milepost","value":"0.1498"},{"id":17,"name":"Train ID","value":"63-08"},{"id":16,"name":"Locomotive ID","value":"4002"},{"id":130,"name":"Impact","value":""},{"id":150,"name":"Time of Event (Mountain Time)","value":"18:44:43"},{"id":151,"name":"Denver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553</v>
      </c>
      <c r="B225" s="7">
        <v>4045</v>
      </c>
      <c r="C225" s="24" t="s">
        <v>106</v>
      </c>
      <c r="D225" s="24" t="s">
        <v>742</v>
      </c>
      <c r="E225" s="15">
        <v>42651.750462962962</v>
      </c>
      <c r="F225" s="15">
        <v>42651.751875000002</v>
      </c>
      <c r="G225" s="7">
        <v>1</v>
      </c>
      <c r="H225" s="15" t="s">
        <v>191</v>
      </c>
      <c r="I225" s="15">
        <v>42651.761574074073</v>
      </c>
      <c r="J225" s="7">
        <v>1</v>
      </c>
      <c r="K225" s="116" t="str">
        <f t="shared" si="135"/>
        <v>4045/4046</v>
      </c>
      <c r="L225" s="24" t="str">
        <f>VLOOKUP(A225,'Trips&amp;Operators'!$C$1:$E$10000,3,FALSE)</f>
        <v>ARVIDSON</v>
      </c>
      <c r="M225" s="6">
        <f t="shared" si="136"/>
        <v>9.6990740712499246E-3</v>
      </c>
      <c r="N225" s="7">
        <f t="shared" si="150"/>
        <v>13.966666662599891</v>
      </c>
      <c r="O225" s="7"/>
      <c r="P225" s="7"/>
      <c r="Q225" s="25"/>
      <c r="R225" s="25"/>
      <c r="S225" s="37">
        <f t="shared" si="144"/>
        <v>0</v>
      </c>
      <c r="T225" s="52" t="e">
        <f t="shared" si="137"/>
        <v>#VALUE!</v>
      </c>
      <c r="U225" s="15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17:00:40-0600',mode:absolute,to:'2016-10-08 19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5" s="54" t="str">
        <f t="shared" si="139"/>
        <v>Y</v>
      </c>
      <c r="X225" s="163" t="e">
        <f t="shared" si="145"/>
        <v>#VALUE!</v>
      </c>
      <c r="Y225" s="69">
        <f t="shared" si="151"/>
        <v>2.2056</v>
      </c>
      <c r="Z225" s="69">
        <f t="shared" si="152"/>
        <v>1.47E-2</v>
      </c>
      <c r="AA225" s="69">
        <f t="shared" si="140"/>
        <v>2.1909000000000001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 t="shared" si="141"/>
        <v>64-08</v>
      </c>
      <c r="AE225" s="94" t="str">
        <f t="shared" si="146"/>
        <v>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 &amp; aws s3 cp s3://rtdc.mdm.uploadarchive.raw/RTDC4045/ "%USERPROFILE%\AppData\Local\Temp\OnboardLogs"\RTDC4045\2016-10-09 --exclude "*" --recursive --include "*20161009*" &amp; "%USERPROFILE%\Documents\GitHub\mrs-test-scripts\Headless Mode &amp; Sideloading\WalkAndUnGZ.bat" "%USERPROFILE%\AppData\Local\Temp\OnboardLogs"\RTDC4045\2016-10-09</v>
      </c>
      <c r="AF225" s="91" t="str">
        <f t="shared" si="147"/>
        <v>"C:\Program Files (x86)\AstroGrep\AstroGrep.exe" /spath="%USERPROFILE%\AppData\Local\Temp\OnboardLogs" /stypes="app*4045*20161009*" /stext=" 00:.+((SYSTEM_STATE.+slice.+state.+changed )|(ment ac)|(system.+state.+changed )|(\[timeout)|(PRM\|1\|D)|(kpr)|(kdp)|(\|lc)|(penalty))" /e /r /s</v>
      </c>
      <c r="AG225" s="1" t="str">
        <f t="shared" si="142"/>
        <v>Other</v>
      </c>
      <c r="AH225" s="95" t="str">
        <f t="shared" si="148"/>
        <v>"%USERPROFILE%\Documents\GitHub\eaglep3\Utilities\RefineRTDCRunTimes.py" --tripid 64-08 --locoid 4045 --swversion DE.1.0.7.0 --startMP 300:22056 --initTime 2016-10-08T18:00:40 --startdatetime 2016-10-08T18:02:42 --delay 1 --endMP 204:147 --enddatetime 2016-10-08T18:16:40 --enforcementcount 1 &gt;&gt;C:\Users\stu\Documents\GitHub\eaglep3-reporting\EC\2016-10-08-refined-times.txt</v>
      </c>
      <c r="AI225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{"issue":{"subject":"","project_id":79,"tracker_id":40,"status_id":1,"priority_id":2,"assigned_to_id":23,"start_date":"2016-10-08","description":"","custom_fields":[{"id":1,"name":"Subdivision","value":"Other"},{"id":4,"name":"Milepost","value":"0.0147"},{"id":17,"name":"Train ID","value":"64-08"},{"id":16,"name":"Locomotive ID","value":"4045"},{"id":130,"name":"Impact","value":""},{"id":150,"name":"Time of Event (Mountain Time)","value":"18:16:40"},{"id":151,"name":"Denver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554</v>
      </c>
      <c r="B226" s="7">
        <v>4009</v>
      </c>
      <c r="C226" s="24" t="s">
        <v>106</v>
      </c>
      <c r="D226" s="24" t="s">
        <v>196</v>
      </c>
      <c r="E226" s="15">
        <v>42651.752442129633</v>
      </c>
      <c r="F226" s="15">
        <v>42651.757488425923</v>
      </c>
      <c r="G226" s="7">
        <v>1</v>
      </c>
      <c r="H226" s="15" t="s">
        <v>358</v>
      </c>
      <c r="I226" s="15">
        <v>42651.76457175926</v>
      </c>
      <c r="J226" s="7">
        <v>1</v>
      </c>
      <c r="K226" s="116" t="str">
        <f t="shared" si="135"/>
        <v>4009/4010</v>
      </c>
      <c r="L226" s="24" t="str">
        <f>VLOOKUP(A226,'Trips&amp;Operators'!$C$1:$E$10000,3,FALSE)</f>
        <v>STEWART</v>
      </c>
      <c r="M226" s="6">
        <f t="shared" si="136"/>
        <v>7.0833333375048824E-3</v>
      </c>
      <c r="N226" s="7">
        <f t="shared" si="150"/>
        <v>10.200000006007031</v>
      </c>
      <c r="O226" s="7"/>
      <c r="P226" s="7"/>
      <c r="Q226" s="25"/>
      <c r="R226" s="25"/>
      <c r="S226" s="37">
        <f t="shared" si="144"/>
        <v>0</v>
      </c>
      <c r="T226" s="52" t="e">
        <f t="shared" si="137"/>
        <v>#VALUE!</v>
      </c>
      <c r="U226" s="15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17:03:31-0600',mode:absolute,to:'2016-10-08 19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6" s="54" t="str">
        <f t="shared" si="139"/>
        <v>Y</v>
      </c>
      <c r="X226" s="163" t="e">
        <f t="shared" si="145"/>
        <v>#VALUE!</v>
      </c>
      <c r="Y226" s="69">
        <f t="shared" si="151"/>
        <v>4.5699999999999998E-2</v>
      </c>
      <c r="Z226" s="69">
        <f t="shared" si="152"/>
        <v>2.4247999999999998</v>
      </c>
      <c r="AA226" s="69">
        <f t="shared" ref="AA226:AA227" si="153">ABS(Z226-Y226)</f>
        <v>2.3790999999999998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 t="shared" si="141"/>
        <v>65-08</v>
      </c>
      <c r="AE226" s="94" t="str">
        <f t="shared" si="146"/>
        <v>aws s3 cp s3://rtdc.mdm.uploadarchive.raw/RTDC4009/ "%USERPROFILE%\AppData\Local\Temp\OnboardLogs"\RTDC4009\2016-10-08 --exclude "*" --recursive --include "*20161008*" &amp; "%USERPROFILE%\Documents\GitHub\mrs-test-scripts\Headless Mode &amp; Sideloading\WalkAndUnGZ.bat" "%USERPROFILE%\AppData\Local\Temp\OnboardLogs"\RTDC4009\2016-10-08 &amp; aws s3 cp s3://rtdc.mdm.uploadarchive.raw/RTDC4009/ "%USERPROFILE%\AppData\Local\Temp\OnboardLogs"\RTDC4009\2016-10-09 --exclude "*" --recursive --include "*20161009*" &amp; "%USERPROFILE%\Documents\GitHub\mrs-test-scripts\Headless Mode &amp; Sideloading\WalkAndUnGZ.bat" "%USERPROFILE%\AppData\Local\Temp\OnboardLogs"\RTDC4009\2016-10-09</v>
      </c>
      <c r="AF226" s="91" t="str">
        <f t="shared" si="147"/>
        <v>"C:\Program Files (x86)\AstroGrep\AstroGrep.exe" /spath="%USERPROFILE%\AppData\Local\Temp\OnboardLogs" /stypes="app*4009*20161009*" /stext=" 00:.+((SYSTEM_STATE.+slice.+state.+changed )|(ment ac)|(system.+state.+changed )|(\[timeout)|(PRM\|1\|D)|(kpr)|(kdp)|(\|lc)|(penalty))" /e /r /s</v>
      </c>
      <c r="AG226" s="1" t="str">
        <f t="shared" si="142"/>
        <v>Other</v>
      </c>
      <c r="AH226" s="95" t="str">
        <f t="shared" si="148"/>
        <v>"%USERPROFILE%\Documents\GitHub\eaglep3\Utilities\RefineRTDCRunTimes.py" --tripid 65-08 --locoid 4009 --swversion DE.1.0.7.0 --startMP 204:457 --initTime 2016-10-08T18:03:31 --startdatetime 2016-10-08T18:10:47 --delay 1 --endMP 300:24248 --enddatetime 2016-10-08T18:20:59 --enforcementcount 1 &gt;&gt;C:\Users\stu\Documents\GitHub\eaglep3-reporting\EC\2016-10-08-refined-times.txt</v>
      </c>
      <c r="AI226" s="129" t="str">
        <f t="shared" si="149"/>
        <v>echo {"issue":{"subject":"","project_id":79,"tracker_id":40,"status_id":1,"priority_id":2,"assigned_to_id":23,"start_date":"2016-10-08","description":"","custom_fields":[{"id":1,"name":"Subdivision","value":"Other"},{"id":4,"name":"Milepost","value":"2.4248"},{"id":17,"name":"Train ID","value":"65-08"},{"id":16,"name":"Locomotive ID","value":"4009"},{"id":130,"name":"Impact","value":""},{"id":150,"name":"Time of Event (Mountain Time)","value":"18:20:59"},{"id":151,"name":"Denver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562</v>
      </c>
      <c r="B227" s="7">
        <v>4020</v>
      </c>
      <c r="C227" s="24" t="s">
        <v>106</v>
      </c>
      <c r="D227" s="24" t="s">
        <v>192</v>
      </c>
      <c r="E227" s="15">
        <v>42651.786076388889</v>
      </c>
      <c r="F227" s="15">
        <v>25568.708333333332</v>
      </c>
      <c r="G227" s="7">
        <v>1</v>
      </c>
      <c r="H227" s="15" t="s">
        <v>743</v>
      </c>
      <c r="I227" s="15">
        <v>25568.708333333332</v>
      </c>
      <c r="J227" s="7">
        <v>1</v>
      </c>
      <c r="K227" s="116" t="str">
        <f t="shared" si="135"/>
        <v>4019/4020</v>
      </c>
      <c r="L227" s="24" t="str">
        <f>VLOOKUP(A227,'Trips&amp;Operators'!$C$1:$E$10000,3,FALSE)</f>
        <v>MOSES</v>
      </c>
      <c r="M227" s="6">
        <f t="shared" si="136"/>
        <v>0</v>
      </c>
      <c r="N227" s="7">
        <f t="shared" si="150"/>
        <v>0</v>
      </c>
      <c r="O227" s="7"/>
      <c r="P227" s="7"/>
      <c r="Q227" s="25"/>
      <c r="R227" s="25"/>
      <c r="S227" s="37">
        <f t="shared" si="144"/>
        <v>0</v>
      </c>
      <c r="T227" s="52" t="e">
        <f t="shared" si="137"/>
        <v>#VALUE!</v>
      </c>
      <c r="U227" s="15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1" t="str">
        <f t="shared" si="138"/>
        <v>https://search-rtdc-monitor-bjffxe2xuh6vdkpspy63sjmuny.us-east-1.es.amazonaws.com/_plugin/kibana/#/discover/Steve-Slow-Train-Analysis-(2080s-and-2083s)?_g=(refreshInterval:(display:Off,section:0,value:0),time:(from:'2016-10-08 17:51:57-0600',mode:absolute,to:'1969-12-31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27" s="54" t="str">
        <f t="shared" si="139"/>
        <v>Y</v>
      </c>
      <c r="X227" s="163" t="e">
        <f t="shared" si="145"/>
        <v>#VALUE!</v>
      </c>
      <c r="Y227" s="69">
        <f t="shared" si="151"/>
        <v>4.53E-2</v>
      </c>
      <c r="Z227" s="69">
        <f t="shared" si="152"/>
        <v>2.4222000000000001</v>
      </c>
      <c r="AA227" s="69">
        <f t="shared" si="153"/>
        <v>2.3769</v>
      </c>
      <c r="AB227" s="66" t="e">
        <f>VLOOKUP(A227,Enforcements!$C$7:$K$21,8,0)</f>
        <v>#N/A</v>
      </c>
      <c r="AC227" s="62" t="e">
        <f>VLOOKUP(A227,Enforcements!$C$7:$E$21,3,0)</f>
        <v>#N/A</v>
      </c>
      <c r="AD227" s="63" t="str">
        <f t="shared" si="141"/>
        <v>67-08</v>
      </c>
      <c r="AE227" s="94" t="str">
        <f t="shared" si="146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27" s="91" t="str">
        <f t="shared" si="147"/>
        <v>"C:\Program Files (x86)\AstroGrep\AstroGrep.exe" /spath="%USERPROFILE%\AppData\Local\Temp\OnboardLogs" /stypes="app*4020*19691231*" /stext=" 23:.+((SYSTEM_STATE.+slice.+state.+changed )|(ment ac)|(system.+state.+changed )|(\[timeout)|(PRM\|1\|D)|(kpr)|(kdp)|(\|lc)|(penalty))" /e /r /s</v>
      </c>
      <c r="AG227" s="1" t="str">
        <f t="shared" si="142"/>
        <v>Other</v>
      </c>
      <c r="AH227" s="95" t="str">
        <f t="shared" si="148"/>
        <v>"%USERPROFILE%\Documents\GitHub\eaglep3\Utilities\RefineRTDCRunTimes.py" --tripid 67-08 --locoid 4020 --swversion DE.1.0.7.0 --startMP 204:453 --initTime 2016-10-08T18:51:57 --startdatetime 1969-12-31T17:00:00 --delay 1 --endMP 300:24222 --enddatetime 1969-12-31T17:00:00 --enforcementcount 1 &gt;&gt;C:\Users\stu\Documents\GitHub\eaglep3-reporting\EC\2016-10-08-refined-times.txt</v>
      </c>
      <c r="AI227" s="129" t="str">
        <f t="shared" si="149"/>
        <v>echo {"issue":{"subject":"","project_id":79,"tracker_id":40,"status_id":1,"priority_id":2,"assigned_to_id":23,"start_date":"1969-12-31","description":"","custom_fields":[{"id":1,"name":"Subdivision","value":"Other"},{"id":4,"name":"Milepost","value":"2.4222"},{"id":17,"name":"Train ID","value":"67-08"},{"id":16,"name":"Locomotive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6"/>
      <c r="L228" s="24"/>
      <c r="M228" s="6"/>
      <c r="N228" s="7"/>
      <c r="O228" s="7"/>
      <c r="P228" s="7"/>
      <c r="Q228" s="25"/>
      <c r="R228" s="25"/>
      <c r="S228" s="37"/>
      <c r="T228" s="52"/>
      <c r="U228" s="158"/>
      <c r="V228" s="101"/>
      <c r="W228" s="54"/>
      <c r="X228" s="163"/>
      <c r="Y228" s="69"/>
      <c r="Z228" s="69"/>
      <c r="AA228" s="69"/>
      <c r="AB228" s="66"/>
      <c r="AC228" s="62"/>
      <c r="AD228" s="63"/>
      <c r="AE228" s="94"/>
      <c r="AF228" s="91"/>
      <c r="AG228" s="1"/>
      <c r="AI228" s="12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6"/>
      <c r="L229" s="24"/>
      <c r="M229" s="6"/>
      <c r="N229" s="7"/>
      <c r="O229" s="7"/>
      <c r="P229" s="7"/>
      <c r="Q229" s="25"/>
      <c r="R229" s="25"/>
      <c r="S229" s="37"/>
      <c r="T229" s="52"/>
      <c r="U229" s="158"/>
      <c r="V229" s="101"/>
      <c r="W229" s="54"/>
      <c r="X229" s="163"/>
      <c r="Y229" s="69"/>
      <c r="Z229" s="69"/>
      <c r="AA229" s="69"/>
      <c r="AB229" s="66"/>
      <c r="AC229" s="62"/>
      <c r="AD229" s="63"/>
      <c r="AE229" s="94"/>
      <c r="AF229" s="91"/>
      <c r="AG229" s="1"/>
      <c r="AI229" s="12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6"/>
      <c r="L230" s="24"/>
      <c r="M230" s="6"/>
      <c r="N230" s="7"/>
      <c r="O230" s="7"/>
      <c r="P230" s="7"/>
      <c r="Q230" s="25"/>
      <c r="R230" s="25"/>
      <c r="S230" s="37"/>
      <c r="T230" s="52"/>
      <c r="U230" s="158"/>
      <c r="V230" s="101"/>
      <c r="W230" s="54"/>
      <c r="X230" s="163"/>
      <c r="Y230" s="69"/>
      <c r="Z230" s="69"/>
      <c r="AA230" s="69"/>
      <c r="AB230" s="66"/>
      <c r="AC230" s="62"/>
      <c r="AD230" s="63"/>
      <c r="AE230" s="94"/>
      <c r="AF230" s="91"/>
      <c r="AG230" s="1"/>
      <c r="AI230" s="12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6"/>
      <c r="L231" s="24"/>
      <c r="M231" s="6"/>
      <c r="N231" s="7"/>
      <c r="O231" s="7"/>
      <c r="P231" s="7"/>
      <c r="Q231" s="25"/>
      <c r="R231" s="25"/>
      <c r="S231" s="37"/>
      <c r="T231" s="52"/>
      <c r="U231" s="158"/>
      <c r="V231" s="101"/>
      <c r="W231" s="54"/>
      <c r="X231" s="163"/>
      <c r="Y231" s="69"/>
      <c r="Z231" s="69"/>
      <c r="AA231" s="69"/>
      <c r="AB231" s="66"/>
      <c r="AC231" s="62"/>
      <c r="AD231" s="63"/>
      <c r="AE231" s="94"/>
      <c r="AF231" s="91"/>
      <c r="AG231" s="1"/>
      <c r="AI231" s="12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6"/>
      <c r="L232" s="24"/>
      <c r="M232" s="6"/>
      <c r="N232" s="7"/>
      <c r="O232" s="7"/>
      <c r="P232" s="7"/>
      <c r="Q232" s="25"/>
      <c r="R232" s="25"/>
      <c r="S232" s="37"/>
      <c r="T232" s="52"/>
      <c r="U232" s="158"/>
      <c r="V232" s="101"/>
      <c r="W232" s="54"/>
      <c r="X232" s="163"/>
      <c r="Y232" s="69"/>
      <c r="Z232" s="69"/>
      <c r="AA232" s="69"/>
      <c r="AB232" s="66"/>
      <c r="AC232" s="62"/>
      <c r="AD232" s="63"/>
      <c r="AE232" s="94"/>
      <c r="AF232" s="91"/>
      <c r="AG232" s="1"/>
      <c r="AI232" s="12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6"/>
      <c r="L233" s="24"/>
      <c r="M233" s="6"/>
      <c r="N233" s="7"/>
      <c r="O233" s="7"/>
      <c r="P233" s="7"/>
      <c r="Q233" s="25"/>
      <c r="R233" s="25"/>
      <c r="S233" s="37"/>
      <c r="T233" s="52"/>
      <c r="U233" s="158"/>
      <c r="V233" s="101"/>
      <c r="W233" s="54"/>
      <c r="X233" s="163"/>
      <c r="Y233" s="69"/>
      <c r="Z233" s="69"/>
      <c r="AA233" s="69"/>
      <c r="AB233" s="66"/>
      <c r="AC233" s="62"/>
      <c r="AD233" s="63"/>
      <c r="AE233" s="94"/>
      <c r="AF233" s="91"/>
      <c r="AG233" s="1"/>
      <c r="AI233" s="12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6"/>
      <c r="L234" s="24"/>
      <c r="M234" s="6"/>
      <c r="N234" s="7"/>
      <c r="O234" s="7"/>
      <c r="P234" s="7"/>
      <c r="Q234" s="25"/>
      <c r="R234" s="25"/>
      <c r="S234" s="37"/>
      <c r="T234" s="52"/>
      <c r="U234" s="158"/>
      <c r="V234" s="101"/>
      <c r="W234" s="54"/>
      <c r="X234" s="163"/>
      <c r="Y234" s="69"/>
      <c r="Z234" s="69"/>
      <c r="AA234" s="69"/>
      <c r="AB234" s="66"/>
      <c r="AC234" s="62"/>
      <c r="AD234" s="63"/>
      <c r="AE234" s="94"/>
      <c r="AF234" s="91"/>
      <c r="AG234" s="1"/>
      <c r="AI234" s="12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6"/>
      <c r="L235" s="24"/>
      <c r="M235" s="6"/>
      <c r="N235" s="7"/>
      <c r="O235" s="7"/>
      <c r="P235" s="7"/>
      <c r="Q235" s="25"/>
      <c r="R235" s="25"/>
      <c r="S235" s="37"/>
      <c r="T235" s="52"/>
      <c r="U235" s="158"/>
      <c r="V235" s="101"/>
      <c r="W235" s="54"/>
      <c r="X235" s="163"/>
      <c r="Y235" s="69"/>
      <c r="Z235" s="69"/>
      <c r="AA235" s="69"/>
      <c r="AB235" s="66"/>
      <c r="AC235" s="62"/>
      <c r="AD235" s="63"/>
      <c r="AE235" s="94"/>
      <c r="AF235" s="91"/>
      <c r="AG235" s="1"/>
      <c r="AI235" s="129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6"/>
      <c r="L236" s="24"/>
      <c r="M236" s="6"/>
      <c r="N236" s="7"/>
      <c r="O236" s="7"/>
      <c r="P236" s="7"/>
      <c r="Q236" s="25"/>
      <c r="R236" s="25"/>
      <c r="S236" s="37"/>
      <c r="T236" s="52"/>
      <c r="U236" s="158"/>
      <c r="V236" s="101"/>
      <c r="W236" s="54"/>
      <c r="X236" s="163"/>
      <c r="Y236" s="69"/>
      <c r="Z236" s="69"/>
      <c r="AA236" s="69"/>
      <c r="AB236" s="66"/>
      <c r="AC236" s="62"/>
      <c r="AD236" s="63"/>
      <c r="AE236" s="94"/>
      <c r="AF236" s="91"/>
      <c r="AG236" s="1"/>
      <c r="AI236" s="129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6"/>
      <c r="L237" s="24"/>
      <c r="M237" s="6"/>
      <c r="N237" s="7"/>
      <c r="O237" s="7"/>
      <c r="P237" s="7"/>
      <c r="Q237" s="25"/>
      <c r="R237" s="25"/>
      <c r="S237" s="37"/>
      <c r="T237" s="52"/>
      <c r="U237" s="158"/>
      <c r="V237" s="101"/>
      <c r="W237" s="54"/>
      <c r="X237" s="163"/>
      <c r="Y237" s="69"/>
      <c r="Z237" s="69"/>
      <c r="AA237" s="69"/>
      <c r="AB237" s="66"/>
      <c r="AC237" s="62"/>
      <c r="AD237" s="63"/>
      <c r="AE237" s="94"/>
      <c r="AF237" s="91"/>
      <c r="AG237" s="1"/>
      <c r="AI237" s="129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6"/>
      <c r="L238" s="24"/>
      <c r="M238" s="6"/>
      <c r="N238" s="7"/>
      <c r="O238" s="7"/>
      <c r="P238" s="7"/>
      <c r="Q238" s="25"/>
      <c r="R238" s="25"/>
      <c r="S238" s="37"/>
      <c r="T238" s="52"/>
      <c r="U238" s="158"/>
      <c r="V238" s="101"/>
      <c r="W238" s="54"/>
      <c r="X238" s="163"/>
      <c r="Y238" s="69"/>
      <c r="Z238" s="69"/>
      <c r="AA238" s="69"/>
      <c r="AB238" s="66"/>
      <c r="AC238" s="62"/>
      <c r="AD238" s="63"/>
      <c r="AE238" s="94"/>
      <c r="AF238" s="91"/>
      <c r="AG238" s="1"/>
      <c r="AI238" s="129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6"/>
      <c r="L239" s="24"/>
      <c r="M239" s="6"/>
      <c r="N239" s="7"/>
      <c r="O239" s="7"/>
      <c r="P239" s="7"/>
      <c r="Q239" s="25"/>
      <c r="R239" s="25"/>
      <c r="S239" s="37"/>
      <c r="T239" s="52"/>
      <c r="U239" s="158"/>
      <c r="V239" s="101"/>
      <c r="W239" s="54"/>
      <c r="X239" s="163"/>
      <c r="Y239" s="69"/>
      <c r="Z239" s="69"/>
      <c r="AA239" s="69"/>
      <c r="AB239" s="66"/>
      <c r="AC239" s="62"/>
      <c r="AD239" s="63"/>
      <c r="AE239" s="94"/>
      <c r="AF239" s="91"/>
      <c r="AG239" s="1"/>
      <c r="AI239" s="129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6"/>
      <c r="L240" s="24"/>
      <c r="M240" s="6"/>
      <c r="N240" s="7"/>
      <c r="O240" s="7"/>
      <c r="P240" s="7"/>
      <c r="Q240" s="25"/>
      <c r="R240" s="25"/>
      <c r="S240" s="37"/>
      <c r="T240" s="52"/>
      <c r="U240" s="158"/>
      <c r="V240" s="101"/>
      <c r="W240" s="54"/>
      <c r="X240" s="163"/>
      <c r="Y240" s="69"/>
      <c r="Z240" s="69"/>
      <c r="AA240" s="69"/>
      <c r="AB240" s="66"/>
      <c r="AC240" s="62"/>
      <c r="AD240" s="63"/>
      <c r="AE240" s="94"/>
      <c r="AF240" s="91"/>
      <c r="AG240" s="1"/>
      <c r="AI240" s="129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6"/>
      <c r="L241" s="24"/>
      <c r="M241" s="6"/>
      <c r="N241" s="7"/>
      <c r="O241" s="7"/>
      <c r="P241" s="7"/>
      <c r="Q241" s="25"/>
      <c r="R241" s="25"/>
      <c r="S241" s="37"/>
      <c r="T241" s="52"/>
      <c r="U241" s="158"/>
      <c r="V241" s="101"/>
      <c r="W241" s="54"/>
      <c r="X241" s="163"/>
      <c r="Y241" s="69"/>
      <c r="Z241" s="69"/>
      <c r="AA241" s="69"/>
      <c r="AB241" s="66"/>
      <c r="AC241" s="62"/>
      <c r="AD241" s="63"/>
      <c r="AE241" s="94"/>
      <c r="AF241" s="91"/>
      <c r="AG241" s="1"/>
      <c r="AI241" s="129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6"/>
      <c r="L242" s="24"/>
      <c r="M242" s="6"/>
      <c r="N242" s="7"/>
      <c r="O242" s="7"/>
      <c r="P242" s="7"/>
      <c r="Q242" s="25"/>
      <c r="R242" s="25"/>
      <c r="S242" s="37"/>
      <c r="T242" s="52"/>
      <c r="U242" s="158"/>
      <c r="V242" s="101"/>
      <c r="W242" s="54"/>
      <c r="X242" s="163"/>
      <c r="Y242" s="69"/>
      <c r="Z242" s="69"/>
      <c r="AA242" s="69"/>
      <c r="AB242" s="66"/>
      <c r="AC242" s="62"/>
      <c r="AD242" s="63"/>
      <c r="AE242" s="94"/>
      <c r="AF242" s="91"/>
      <c r="AG242" s="1"/>
      <c r="AI242" s="129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6"/>
      <c r="L243" s="24"/>
      <c r="M243" s="6"/>
      <c r="N243" s="7"/>
      <c r="O243" s="7"/>
      <c r="P243" s="7"/>
      <c r="Q243" s="25"/>
      <c r="R243" s="25"/>
      <c r="S243" s="37"/>
      <c r="T243" s="52"/>
      <c r="U243" s="158"/>
      <c r="V243" s="101"/>
      <c r="W243" s="54"/>
      <c r="X243" s="163"/>
      <c r="Y243" s="69"/>
      <c r="Z243" s="69"/>
      <c r="AA243" s="69"/>
      <c r="AB243" s="66"/>
      <c r="AC243" s="62"/>
      <c r="AD243" s="63"/>
      <c r="AE243" s="94"/>
      <c r="AF243" s="91"/>
      <c r="AG243" s="1"/>
      <c r="AI243" s="129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16"/>
      <c r="L244" s="24"/>
      <c r="M244" s="6"/>
      <c r="N244" s="7"/>
      <c r="O244" s="7"/>
      <c r="P244" s="7"/>
      <c r="Q244" s="25"/>
      <c r="R244" s="25"/>
      <c r="S244" s="37"/>
      <c r="T244" s="52"/>
      <c r="U244" s="158"/>
      <c r="V244" s="101"/>
      <c r="W244" s="54"/>
      <c r="X244" s="163"/>
      <c r="Y244" s="69"/>
      <c r="Z244" s="69"/>
      <c r="AA244" s="69"/>
      <c r="AB244" s="66"/>
      <c r="AC244" s="62"/>
      <c r="AD244" s="63"/>
      <c r="AE244" s="94"/>
      <c r="AF244" s="91"/>
      <c r="AG244" s="1"/>
      <c r="AI244" s="129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16"/>
      <c r="L245" s="24"/>
      <c r="M245" s="6"/>
      <c r="N245" s="7"/>
      <c r="O245" s="7"/>
      <c r="P245" s="7"/>
      <c r="Q245" s="25"/>
      <c r="R245" s="25"/>
      <c r="S245" s="37"/>
      <c r="T245" s="52"/>
      <c r="U245" s="158"/>
      <c r="V245" s="101"/>
      <c r="W245" s="54"/>
      <c r="X245" s="163"/>
      <c r="Y245" s="69"/>
      <c r="Z245" s="69"/>
      <c r="AA245" s="69"/>
      <c r="AB245" s="66"/>
      <c r="AC245" s="62"/>
      <c r="AD245" s="63"/>
      <c r="AE245" s="94"/>
      <c r="AF245" s="91"/>
      <c r="AG245" s="1"/>
      <c r="AI245" s="129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6"/>
      <c r="L246" s="24"/>
      <c r="M246" s="6"/>
      <c r="N246" s="7"/>
      <c r="O246" s="7"/>
      <c r="P246" s="7"/>
      <c r="Q246" s="25"/>
      <c r="R246" s="25"/>
      <c r="S246" s="37"/>
      <c r="T246" s="52"/>
      <c r="U246" s="158"/>
      <c r="V246" s="101"/>
      <c r="W246" s="54"/>
      <c r="X246" s="163"/>
      <c r="Y246" s="69"/>
      <c r="Z246" s="69"/>
      <c r="AA246" s="69"/>
      <c r="AB246" s="66"/>
      <c r="AC246" s="62"/>
      <c r="AD246" s="63"/>
      <c r="AE246" s="94"/>
      <c r="AF246" s="91"/>
      <c r="AG246" s="1"/>
      <c r="AI246" s="129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16"/>
      <c r="L247" s="24"/>
      <c r="M247" s="6"/>
      <c r="N247" s="7"/>
      <c r="O247" s="7"/>
      <c r="P247" s="7"/>
      <c r="Q247" s="25"/>
      <c r="R247" s="25"/>
      <c r="S247" s="37"/>
      <c r="T247" s="52"/>
      <c r="U247" s="158"/>
      <c r="V247" s="101"/>
      <c r="W247" s="54"/>
      <c r="X247" s="163"/>
      <c r="Y247" s="69"/>
      <c r="Z247" s="69"/>
      <c r="AA247" s="69"/>
      <c r="AB247" s="66"/>
      <c r="AC247" s="62"/>
      <c r="AD247" s="63"/>
      <c r="AE247" s="94"/>
      <c r="AF247" s="91"/>
      <c r="AG247" s="1"/>
      <c r="AI247" s="129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16"/>
      <c r="L248" s="24"/>
      <c r="M248" s="6"/>
      <c r="N248" s="7"/>
      <c r="O248" s="7"/>
      <c r="P248" s="7"/>
      <c r="Q248" s="25"/>
      <c r="R248" s="25"/>
      <c r="S248" s="37"/>
      <c r="T248" s="52"/>
      <c r="U248" s="158"/>
      <c r="V248" s="101"/>
      <c r="W248" s="54"/>
      <c r="X248" s="163"/>
      <c r="Y248" s="69"/>
      <c r="Z248" s="69"/>
      <c r="AA248" s="69"/>
      <c r="AB248" s="66"/>
      <c r="AC248" s="62"/>
      <c r="AD248" s="63"/>
      <c r="AE248" s="94"/>
      <c r="AF248" s="91"/>
      <c r="AG248" s="1"/>
      <c r="AI248" s="129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16"/>
      <c r="L249" s="24"/>
      <c r="M249" s="6"/>
      <c r="N249" s="7"/>
      <c r="O249" s="7"/>
      <c r="P249" s="7"/>
      <c r="Q249" s="25"/>
      <c r="R249" s="25"/>
      <c r="S249" s="37"/>
      <c r="T249" s="52"/>
      <c r="U249" s="158"/>
      <c r="V249" s="101"/>
      <c r="W249" s="54"/>
      <c r="X249" s="163"/>
      <c r="Y249" s="69"/>
      <c r="Z249" s="69"/>
      <c r="AA249" s="69"/>
      <c r="AB249" s="66"/>
      <c r="AC249" s="62"/>
      <c r="AD249" s="63"/>
      <c r="AE249" s="94"/>
      <c r="AF249" s="91"/>
      <c r="AG249" s="1"/>
      <c r="AI249" s="129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16"/>
      <c r="L250" s="24"/>
      <c r="M250" s="6"/>
      <c r="N250" s="7"/>
      <c r="O250" s="7"/>
      <c r="P250" s="7"/>
      <c r="Q250" s="25"/>
      <c r="R250" s="25"/>
      <c r="S250" s="37"/>
      <c r="T250" s="52"/>
      <c r="U250" s="158"/>
      <c r="V250" s="101"/>
      <c r="W250" s="54"/>
      <c r="X250" s="163"/>
      <c r="Y250" s="69"/>
      <c r="Z250" s="69"/>
      <c r="AA250" s="69"/>
      <c r="AB250" s="66"/>
      <c r="AC250" s="62"/>
      <c r="AD250" s="63"/>
      <c r="AE250" s="94"/>
      <c r="AF250" s="91"/>
      <c r="AG250" s="1"/>
      <c r="AI250" s="129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16"/>
      <c r="L251" s="24"/>
      <c r="M251" s="6"/>
      <c r="N251" s="7"/>
      <c r="O251" s="7"/>
      <c r="P251" s="7"/>
      <c r="Q251" s="25"/>
      <c r="R251" s="25"/>
      <c r="S251" s="37"/>
      <c r="T251" s="52"/>
      <c r="U251" s="158"/>
      <c r="V251" s="101"/>
      <c r="W251" s="54"/>
      <c r="X251" s="163"/>
      <c r="Y251" s="69"/>
      <c r="Z251" s="69"/>
      <c r="AA251" s="69"/>
      <c r="AB251" s="66"/>
      <c r="AC251" s="62"/>
      <c r="AD251" s="63"/>
      <c r="AE251" s="94"/>
      <c r="AF251" s="91"/>
      <c r="AG251" s="1"/>
      <c r="AI251" s="129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16"/>
      <c r="L252" s="24"/>
      <c r="M252" s="6"/>
      <c r="N252" s="7"/>
      <c r="O252" s="7"/>
      <c r="P252" s="7"/>
      <c r="Q252" s="25"/>
      <c r="R252" s="25"/>
      <c r="S252" s="37"/>
      <c r="T252" s="52"/>
      <c r="U252" s="158"/>
      <c r="V252" s="101"/>
      <c r="W252" s="54"/>
      <c r="X252" s="163"/>
      <c r="Y252" s="69"/>
      <c r="Z252" s="69"/>
      <c r="AA252" s="69"/>
      <c r="AB252" s="66"/>
      <c r="AC252" s="62"/>
      <c r="AD252" s="63"/>
      <c r="AE252" s="94"/>
      <c r="AF252" s="91"/>
      <c r="AG252" s="1"/>
      <c r="AI252" s="129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16"/>
      <c r="L253" s="24"/>
      <c r="M253" s="6"/>
      <c r="N253" s="7"/>
      <c r="O253" s="7"/>
      <c r="P253" s="7"/>
      <c r="Q253" s="25"/>
      <c r="R253" s="25"/>
      <c r="S253" s="37"/>
      <c r="T253" s="52"/>
      <c r="U253" s="158"/>
      <c r="V253" s="101"/>
      <c r="W253" s="54"/>
      <c r="X253" s="163"/>
      <c r="Y253" s="69"/>
      <c r="Z253" s="69"/>
      <c r="AA253" s="69"/>
      <c r="AB253" s="66"/>
      <c r="AC253" s="62"/>
      <c r="AD253" s="63"/>
      <c r="AE253" s="94"/>
      <c r="AF253" s="91"/>
      <c r="AG253" s="1"/>
      <c r="AI253" s="129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16"/>
      <c r="L254" s="24"/>
      <c r="M254" s="6"/>
      <c r="N254" s="7"/>
      <c r="O254" s="7"/>
      <c r="P254" s="7"/>
      <c r="Q254" s="25"/>
      <c r="R254" s="25"/>
      <c r="S254" s="37"/>
      <c r="T254" s="52"/>
      <c r="U254" s="158"/>
      <c r="V254" s="101"/>
      <c r="W254" s="54"/>
      <c r="X254" s="163"/>
      <c r="Y254" s="69"/>
      <c r="Z254" s="69"/>
      <c r="AA254" s="69"/>
      <c r="AB254" s="66"/>
      <c r="AC254" s="62"/>
      <c r="AD254" s="63"/>
      <c r="AE254" s="94"/>
      <c r="AF254" s="91"/>
      <c r="AG254" s="1"/>
      <c r="AI254" s="129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16"/>
      <c r="L255" s="24"/>
      <c r="M255" s="6"/>
      <c r="N255" s="7"/>
      <c r="O255" s="7"/>
      <c r="P255" s="7"/>
      <c r="Q255" s="25"/>
      <c r="R255" s="25"/>
      <c r="S255" s="37"/>
      <c r="T255" s="52"/>
      <c r="U255" s="158"/>
      <c r="V255" s="101"/>
      <c r="W255" s="54"/>
      <c r="X255" s="163"/>
      <c r="Y255" s="69"/>
      <c r="Z255" s="69"/>
      <c r="AA255" s="69"/>
      <c r="AB255" s="66"/>
      <c r="AC255" s="62"/>
      <c r="AD255" s="63"/>
      <c r="AE255" s="94"/>
      <c r="AF255" s="91"/>
      <c r="AG255" s="1"/>
      <c r="AI255" s="129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16"/>
      <c r="L256" s="24"/>
      <c r="M256" s="6"/>
      <c r="N256" s="7"/>
      <c r="O256" s="7"/>
      <c r="P256" s="7"/>
      <c r="Q256" s="25"/>
      <c r="R256" s="25"/>
      <c r="S256" s="37"/>
      <c r="T256" s="52"/>
      <c r="U256" s="158"/>
      <c r="V256" s="101"/>
      <c r="W256" s="54"/>
      <c r="X256" s="163"/>
      <c r="Y256" s="69"/>
      <c r="Z256" s="69"/>
      <c r="AA256" s="69"/>
      <c r="AB256" s="66"/>
      <c r="AC256" s="62"/>
      <c r="AD256" s="63"/>
      <c r="AE256" s="94"/>
      <c r="AF256" s="91"/>
      <c r="AG256" s="1"/>
      <c r="AI256" s="129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16"/>
      <c r="L257" s="24"/>
      <c r="M257" s="6"/>
      <c r="N257" s="7"/>
      <c r="O257" s="7"/>
      <c r="P257" s="7"/>
      <c r="Q257" s="25"/>
      <c r="R257" s="25"/>
      <c r="S257" s="37"/>
      <c r="T257" s="52"/>
      <c r="U257" s="158"/>
      <c r="V257" s="101"/>
      <c r="W257" s="54"/>
      <c r="X257" s="163"/>
      <c r="Y257" s="69"/>
      <c r="Z257" s="69"/>
      <c r="AA257" s="69"/>
      <c r="AB257" s="66"/>
      <c r="AC257" s="62"/>
      <c r="AD257" s="63"/>
      <c r="AE257" s="94"/>
      <c r="AF257" s="91"/>
      <c r="AG257" s="1"/>
      <c r="AI257" s="129"/>
      <c r="AJ257" s="55"/>
      <c r="AK257" s="55"/>
      <c r="AL257" s="55"/>
    </row>
  </sheetData>
  <autoFilter ref="A12:AG257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1" priority="326" operator="equal">
      <formula>"Y"</formula>
    </cfRule>
  </conditionalFormatting>
  <conditionalFormatting sqref="X13:X1048576">
    <cfRule type="cellIs" dxfId="10" priority="309" operator="greaterThan">
      <formula>1</formula>
    </cfRule>
  </conditionalFormatting>
  <conditionalFormatting sqref="X12:X1048576">
    <cfRule type="cellIs" dxfId="9" priority="306" operator="equal">
      <formula>0</formula>
    </cfRule>
  </conditionalFormatting>
  <conditionalFormatting sqref="A13:S257">
    <cfRule type="expression" dxfId="8" priority="300" stopIfTrue="1">
      <formula>$P13&gt;0</formula>
    </cfRule>
    <cfRule type="expression" dxfId="7" priority="301" stopIfTrue="1">
      <formula>$O13&gt;0</formula>
    </cfRule>
  </conditionalFormatting>
  <hyperlinks>
    <hyperlink ref="AJ18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AK13:AK257</xm:sqref>
        </x14:dataValidation>
        <x14:dataValidation type="list" allowBlank="1" showInputMessage="1" showErrorMessage="1">
          <x14:formula1>
            <xm:f>'Redmine List Values'!$C$2:$C$20</xm:f>
          </x14:formula1>
          <xm:sqref>AL13:AL257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67"/>
  <sheetViews>
    <sheetView topLeftCell="A2" workbookViewId="0">
      <selection activeCell="B22" sqref="B2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1" customWidth="1"/>
    <col min="13" max="13" width="7.85546875" style="2" customWidth="1"/>
    <col min="14" max="14" width="11.85546875" style="30" customWidth="1"/>
    <col min="15" max="15" width="5.140625" style="156" customWidth="1"/>
    <col min="16" max="16" width="30.7109375" customWidth="1"/>
    <col min="17" max="17" width="5" hidden="1" customWidth="1"/>
    <col min="18" max="18" width="5.5703125" style="92" customWidth="1"/>
    <col min="19" max="19" width="5.5703125" style="104" customWidth="1"/>
    <col min="20" max="20" width="6" style="89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0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1"/>
      <c r="M1" s="2"/>
      <c r="N1" s="30"/>
      <c r="O1" s="156"/>
      <c r="R1" s="92"/>
      <c r="S1" s="104"/>
      <c r="T1" s="89"/>
      <c r="V1" s="50"/>
      <c r="AC1" s="170"/>
    </row>
    <row r="2" spans="1:29" s="23" customFormat="1" x14ac:dyDescent="0.25">
      <c r="A2" s="8"/>
      <c r="F2" s="2"/>
      <c r="G2" s="2"/>
      <c r="H2" s="2"/>
      <c r="I2" s="2"/>
      <c r="K2" s="2"/>
      <c r="L2" s="142" t="s">
        <v>87</v>
      </c>
      <c r="M2" s="146"/>
      <c r="N2" s="117"/>
      <c r="O2" s="166">
        <f>COUNTIF($O$7:$O$369,"=Y")</f>
        <v>2</v>
      </c>
      <c r="P2" s="118"/>
      <c r="R2" s="92"/>
      <c r="S2" s="104"/>
      <c r="T2" s="89"/>
      <c r="V2" s="50"/>
      <c r="AC2" s="171"/>
    </row>
    <row r="3" spans="1:29" s="23" customFormat="1" ht="15.75" thickBot="1" x14ac:dyDescent="0.3">
      <c r="A3" s="8"/>
      <c r="F3" s="2"/>
      <c r="G3" s="2"/>
      <c r="H3" s="2"/>
      <c r="I3" s="2"/>
      <c r="K3" s="2"/>
      <c r="L3" s="143" t="s">
        <v>88</v>
      </c>
      <c r="M3" s="147"/>
      <c r="N3" s="119"/>
      <c r="O3" s="167">
        <f>COUNTA($O$7:$O$369)-O2</f>
        <v>35</v>
      </c>
      <c r="P3" s="118"/>
      <c r="R3" s="92"/>
      <c r="S3" s="104"/>
      <c r="T3" s="89"/>
      <c r="V3" s="50"/>
      <c r="AC3" s="171"/>
    </row>
    <row r="4" spans="1:29" s="23" customFormat="1" x14ac:dyDescent="0.25">
      <c r="A4" s="8"/>
      <c r="F4" s="2"/>
      <c r="G4" s="2"/>
      <c r="H4" s="2"/>
      <c r="I4" s="2"/>
      <c r="K4" s="2"/>
      <c r="L4" s="71"/>
      <c r="M4" s="2"/>
      <c r="N4" s="30"/>
      <c r="O4" s="156"/>
      <c r="R4" s="92"/>
      <c r="S4" s="104"/>
      <c r="T4" s="89"/>
      <c r="V4" s="50"/>
      <c r="AC4" s="171"/>
    </row>
    <row r="5" spans="1:29" s="11" customFormat="1" ht="15" customHeight="1" x14ac:dyDescent="0.25">
      <c r="A5" s="186" t="str">
        <f>"Eagle P3 Braking Events - "&amp;TEXT(Variables!$A$2,"YYYY-mm-dd")</f>
        <v>Eagle P3 Braking Events - 2016-10-08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2"/>
      <c r="R5" s="102"/>
      <c r="S5" s="105"/>
      <c r="T5" s="107"/>
      <c r="V5" s="51"/>
      <c r="AC5" s="172"/>
    </row>
    <row r="6" spans="1:29" s="141" customFormat="1" ht="69.75" customHeight="1" x14ac:dyDescent="0.2">
      <c r="A6" s="130" t="s">
        <v>38</v>
      </c>
      <c r="B6" s="131" t="s">
        <v>37</v>
      </c>
      <c r="C6" s="131" t="s">
        <v>36</v>
      </c>
      <c r="D6" s="131" t="s">
        <v>35</v>
      </c>
      <c r="E6" s="131" t="s">
        <v>34</v>
      </c>
      <c r="F6" s="132" t="s">
        <v>33</v>
      </c>
      <c r="G6" s="132" t="s">
        <v>32</v>
      </c>
      <c r="H6" s="132" t="s">
        <v>31</v>
      </c>
      <c r="I6" s="132" t="s">
        <v>171</v>
      </c>
      <c r="J6" s="131" t="s">
        <v>30</v>
      </c>
      <c r="K6" s="132" t="s">
        <v>29</v>
      </c>
      <c r="L6" s="144" t="s">
        <v>28</v>
      </c>
      <c r="M6" s="132" t="s">
        <v>172</v>
      </c>
      <c r="N6" s="133" t="s">
        <v>47</v>
      </c>
      <c r="O6" s="168" t="s">
        <v>27</v>
      </c>
      <c r="P6" s="131" t="s">
        <v>24</v>
      </c>
      <c r="Q6" s="134"/>
      <c r="R6" s="135" t="s">
        <v>96</v>
      </c>
      <c r="S6" s="136" t="s">
        <v>61</v>
      </c>
      <c r="T6" s="137" t="s">
        <v>95</v>
      </c>
      <c r="U6" s="131" t="s">
        <v>90</v>
      </c>
      <c r="V6" s="138" t="s">
        <v>91</v>
      </c>
      <c r="W6" s="134" t="s">
        <v>103</v>
      </c>
      <c r="X6" s="134" t="s">
        <v>104</v>
      </c>
      <c r="Y6" s="139" t="s">
        <v>157</v>
      </c>
      <c r="Z6" s="140" t="s">
        <v>158</v>
      </c>
      <c r="AA6" s="140" t="s">
        <v>131</v>
      </c>
      <c r="AB6" s="140" t="s">
        <v>159</v>
      </c>
      <c r="AC6" s="173" t="s">
        <v>208</v>
      </c>
    </row>
    <row r="7" spans="1:29" s="1" customFormat="1" x14ac:dyDescent="0.25">
      <c r="A7" s="38">
        <v>42651.880520833336</v>
      </c>
      <c r="B7" s="33" t="s">
        <v>238</v>
      </c>
      <c r="C7" s="33" t="s">
        <v>576</v>
      </c>
      <c r="D7" s="33" t="s">
        <v>221</v>
      </c>
      <c r="E7" s="33" t="s">
        <v>163</v>
      </c>
      <c r="F7" s="49">
        <v>0</v>
      </c>
      <c r="G7" s="49">
        <v>171</v>
      </c>
      <c r="H7" s="49">
        <v>30893</v>
      </c>
      <c r="I7" s="49">
        <v>30968</v>
      </c>
      <c r="J7" s="33" t="s">
        <v>162</v>
      </c>
      <c r="K7" s="49">
        <v>30830</v>
      </c>
      <c r="L7" s="145" t="s">
        <v>52</v>
      </c>
      <c r="M7" s="148">
        <f>CONVERT((I7-K7)/10000,"mi","ft")*IF(L7="Increasing Mileposts (1)",-1,1)</f>
        <v>-72.864000000000004</v>
      </c>
      <c r="N7" s="87" t="str">
        <f>VLOOKUP(C7,'Trips&amp;Operators'!$C$1:$E$99999,3,FALSE)</f>
        <v>LEVIN</v>
      </c>
      <c r="O7" s="169" t="s">
        <v>86</v>
      </c>
      <c r="P7" s="10" t="s">
        <v>270</v>
      </c>
      <c r="Q7" s="33"/>
      <c r="R7" s="103" t="str">
        <f>VLOOKUP(C7,'Train Runs'!$A$13:$AE$10010,31,0)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S7" s="106" t="str">
        <f>VLOOKUP(C7,'Train Runs'!$A$13:$AE$10010,22,0)</f>
        <v>https://search-rtdc-monitor-bjffxe2xuh6vdkpspy63sjmuny.us-east-1.es.amazonaws.com/_plugin/kibana/#/discover/Steve-Slow-Train-Analysis-(2080s-and-2083s)?_g=(refreshInterval:(display:Off,section:0,value:0),time:(from:'2016-10-08 19:55:53-0600',mode:absolute,to:'2016-10-08 22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7" s="108" t="str">
        <f t="shared" ref="T7:T43" si="0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/stypes="*4053*201610090*" /stext=" 03:.+((SYSTEM_STATE.+slice.+state.+changed )|(ment ac)|(system.+state.+changed )|(\[timeout)|(PRM\|1\|D)|(kpr)|(kdp)|(\|lc)|(penalty))" /e /r /s</v>
      </c>
      <c r="U7" s="9" t="str">
        <f t="shared" ref="U7:U43" si="1">MID(B7,13,4)</f>
        <v>4053</v>
      </c>
      <c r="V7" s="38">
        <f t="shared" ref="V7:V43" si="2">A7+6/24</f>
        <v>42652.130520833336</v>
      </c>
      <c r="W7" s="52" t="str">
        <f t="shared" ref="W7:W43" si="3">IF(VALUE(LEFT(IF(LEN(C7)=6,"0"&amp;C7,C7),2))&lt;=2,"EC",IF(OR(VALUE(LEFT(IF(LEN(C7)=6,"0"&amp;C7,C7),2))=8,VALUE(LEFT(IF(LEN(C7)=6,"0"&amp;C7,C7),2))=18),"NW","Other"))</f>
        <v>EC</v>
      </c>
      <c r="X7" s="52" t="str">
        <f t="shared" ref="X7:X43" si="4">IF(AND(E7="TRACK WARRANT AUTHORITY",G7&lt;10),"OMIT","KEEP")</f>
        <v>KEEP</v>
      </c>
      <c r="Y7" s="129" t="str">
        <f t="shared" ref="Y7:Y43" si="5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arrival","project_id":79,"tracker_id":40,"status_id":1,"priority_id":2,"assigned_to_id":23,"start_date":"2016-10-08","description":"","custom_fields":[{"id":1,"name":"Subdivision","value":"EC"},{"id":4,"name":"Milepost","value":"3.083"},{"id":17,"name":"Train ID","value":"229-08"},{"id":16,"name":"Locomotive ID","value":"4053"},{"id":130,"name":"Impact","value":""},{"id":150,"name":"Time of Event (Mountain Time)","value":"21:07:57"},{"id":151,"name":"Denver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0" t="str">
        <f t="shared" ref="AC7:AC43" si="6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"%USERPROFILE%\AppData\Local\Temp\OnboardLogs"\RTDC4053\*4053*201610090* | grep -SE "((Enforcement Ac)|(PRM))" -</v>
      </c>
    </row>
    <row r="8" spans="1:29" s="1" customFormat="1" x14ac:dyDescent="0.25">
      <c r="A8" s="38">
        <v>42651.508703703701</v>
      </c>
      <c r="B8" s="33" t="s">
        <v>378</v>
      </c>
      <c r="C8" s="33" t="s">
        <v>477</v>
      </c>
      <c r="D8" s="33" t="s">
        <v>49</v>
      </c>
      <c r="E8" s="33" t="s">
        <v>163</v>
      </c>
      <c r="F8" s="49">
        <v>0</v>
      </c>
      <c r="G8" s="49">
        <v>285</v>
      </c>
      <c r="H8" s="49">
        <v>33501</v>
      </c>
      <c r="I8" s="49">
        <v>32982</v>
      </c>
      <c r="J8" s="33" t="s">
        <v>162</v>
      </c>
      <c r="K8" s="49">
        <v>33257</v>
      </c>
      <c r="L8" s="145" t="s">
        <v>53</v>
      </c>
      <c r="M8" s="148">
        <f t="shared" ref="M8:M43" si="7">CONVERT((I8-K8)/10000,"mi","ft")*IF(L8="Increasing Mileposts (1)",-1,1)</f>
        <v>-145.19999999999999</v>
      </c>
      <c r="N8" s="87" t="str">
        <f>VLOOKUP(C8,'Trips&amp;Operators'!$C$1:$E$99999,3,FALSE)</f>
        <v>STRICKLAND</v>
      </c>
      <c r="O8" s="169" t="s">
        <v>86</v>
      </c>
      <c r="P8" s="10" t="s">
        <v>270</v>
      </c>
      <c r="Q8" s="33"/>
      <c r="R8" s="103" t="str">
        <f>VLOOKUP(C8,'Train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8" s="106" t="str">
        <f>VLOOKUP(C8,'Train Runs'!$A$13:$AE$10010,22,0)</f>
        <v>https://search-rtdc-monitor-bjffxe2xuh6vdkpspy63sjmuny.us-east-1.es.amazonaws.com/_plugin/kibana/#/discover/Steve-Slow-Train-Analysis-(2080s-and-2083s)?_g=(refreshInterval:(display:Off,section:0,value:0),time:(from:'2016-10-08 10:41:52-0600',mode:absolute,to:'2016-10-08 13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8" s="108" t="str">
        <f t="shared" si="0"/>
        <v>"C:\Program Files (x86)\AstroGrep\AstroGrep.exe" /spath="%USERPROFILE%\AppData\Local\Temp\OnboardLogs" /stypes="*4037*201610081*" /stext=" 18:.+((SYSTEM_STATE.+slice.+state.+changed )|(ment ac)|(system.+state.+changed )|(\[timeout)|(PRM\|1\|D)|(kpr)|(kdp)|(\|lc)|(penalty))" /e /r /s</v>
      </c>
      <c r="U8" s="9" t="str">
        <f t="shared" si="1"/>
        <v>4037</v>
      </c>
      <c r="V8" s="38">
        <f t="shared" si="2"/>
        <v>42651.758703703701</v>
      </c>
      <c r="W8" s="52" t="str">
        <f t="shared" si="3"/>
        <v>EC</v>
      </c>
      <c r="X8" s="52" t="str">
        <f t="shared" si="4"/>
        <v>KEEP</v>
      </c>
      <c r="Y8" s="129" t="str">
        <f t="shared" si="5"/>
        <v>echo {"issue":{"subject":"Early arrival","project_id":79,"tracker_id":40,"status_id":1,"priority_id":2,"assigned_to_id":23,"start_date":"2016-10-08","description":"","custom_fields":[{"id":1,"name":"Subdivision","value":"EC"},{"id":4,"name":"Milepost","value":"3.3257"},{"id":17,"name":"Train ID","value":"158-08"},{"id":16,"name":"Locomotive ID","value":"4037"},{"id":130,"name":"Impact","value":""},{"id":150,"name":"Time of Event (Mountain Time)","value":"12:12:32"},{"id":151,"name":"Denver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0" t="str">
        <f t="shared" si="6"/>
        <v>grep -hSE -A100 "Enforcement Action" "%USERPROFILE%\AppData\Local\Temp\OnboardLogs"\RTDC4037\*4037*201610081* | grep -SE "((Enforcement Ac)|(PRM))" -</v>
      </c>
    </row>
    <row r="9" spans="1:29" s="1" customFormat="1" x14ac:dyDescent="0.25">
      <c r="A9" s="38">
        <v>42651.577418981484</v>
      </c>
      <c r="B9" s="33" t="s">
        <v>378</v>
      </c>
      <c r="C9" s="33" t="s">
        <v>496</v>
      </c>
      <c r="D9" s="33" t="s">
        <v>221</v>
      </c>
      <c r="E9" s="33" t="s">
        <v>163</v>
      </c>
      <c r="F9" s="49">
        <v>0</v>
      </c>
      <c r="G9" s="49">
        <v>166</v>
      </c>
      <c r="H9" s="49">
        <v>63094</v>
      </c>
      <c r="I9" s="49">
        <v>62855</v>
      </c>
      <c r="J9" s="33" t="s">
        <v>162</v>
      </c>
      <c r="K9" s="49">
        <v>63309</v>
      </c>
      <c r="L9" s="145" t="s">
        <v>53</v>
      </c>
      <c r="M9" s="148">
        <f t="shared" si="7"/>
        <v>-239.71199999999999</v>
      </c>
      <c r="N9" s="87" t="str">
        <f>VLOOKUP(C9,'Trips&amp;Operators'!$C$1:$E$99999,3,FALSE)</f>
        <v>OUN</v>
      </c>
      <c r="O9" s="169" t="s">
        <v>86</v>
      </c>
      <c r="P9" s="10" t="s">
        <v>270</v>
      </c>
      <c r="Q9" s="33"/>
      <c r="R9" s="103" t="str">
        <f>VLOOKUP(C9,'Train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9" s="106" t="str">
        <f>VLOOKUP(C9,'Train Runs'!$A$13:$AE$10010,22,0)</f>
        <v>https://search-rtdc-monitor-bjffxe2xuh6vdkpspy63sjmuny.us-east-1.es.amazonaws.com/_plugin/kibana/#/discover/Steve-Slow-Train-Analysis-(2080s-and-2083s)?_g=(refreshInterval:(display:Off,section:0,value:0),time:(from:'2016-10-08 12:18:22-0600',mode:absolute,to:'2016-10-08 15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9" s="108" t="str">
        <f t="shared" si="0"/>
        <v>"C:\Program Files (x86)\AstroGrep\AstroGrep.exe" /spath="%USERPROFILE%\AppData\Local\Temp\OnboardLogs" /stypes="*4037*201610081*" /stext=" 19:.+((SYSTEM_STATE.+slice.+state.+changed )|(ment ac)|(system.+state.+changed )|(\[timeout)|(PRM\|1\|D)|(kpr)|(kdp)|(\|lc)|(penalty))" /e /r /s</v>
      </c>
      <c r="U9" s="9" t="str">
        <f t="shared" si="1"/>
        <v>4037</v>
      </c>
      <c r="V9" s="38">
        <f t="shared" si="2"/>
        <v>42651.827418981484</v>
      </c>
      <c r="W9" s="52" t="str">
        <f t="shared" si="3"/>
        <v>EC</v>
      </c>
      <c r="X9" s="52" t="str">
        <f t="shared" si="4"/>
        <v>KEEP</v>
      </c>
      <c r="Y9" s="129" t="str">
        <f t="shared" si="5"/>
        <v>echo {"issue":{"subject":"Early arrival","project_id":79,"tracker_id":40,"status_id":1,"priority_id":2,"assigned_to_id":23,"start_date":"2016-10-08","description":"","custom_fields":[{"id":1,"name":"Subdivision","value":"EC"},{"id":4,"name":"Milepost","value":"6.3309"},{"id":17,"name":"Train ID","value":"172-08"},{"id":16,"name":"Locomotive ID","value":"4037"},{"id":130,"name":"Impact","value":""},{"id":150,"name":"Time of Event (Mountain Time)","value":"13:51:29"},{"id":151,"name":"Denver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0" t="str">
        <f t="shared" si="6"/>
        <v>grep -hSE -A100 "Enforcement Action" "%USERPROFILE%\AppData\Local\Temp\OnboardLogs"\RTDC4037\*4037*201610081* | grep -SE "((Enforcement Ac)|(PRM))" -</v>
      </c>
    </row>
    <row r="10" spans="1:29" s="1" customFormat="1" x14ac:dyDescent="0.25">
      <c r="A10" s="38">
        <v>42651.66951388889</v>
      </c>
      <c r="B10" s="33" t="s">
        <v>398</v>
      </c>
      <c r="C10" s="33" t="s">
        <v>519</v>
      </c>
      <c r="D10" s="33" t="s">
        <v>49</v>
      </c>
      <c r="E10" s="33" t="s">
        <v>163</v>
      </c>
      <c r="F10" s="49">
        <v>0</v>
      </c>
      <c r="G10" s="49">
        <v>338</v>
      </c>
      <c r="H10" s="49">
        <v>79136</v>
      </c>
      <c r="I10" s="49">
        <v>78542</v>
      </c>
      <c r="J10" s="33" t="s">
        <v>162</v>
      </c>
      <c r="K10" s="49">
        <v>78469</v>
      </c>
      <c r="L10" s="145" t="s">
        <v>53</v>
      </c>
      <c r="M10" s="148">
        <f t="shared" si="7"/>
        <v>38.543999999999997</v>
      </c>
      <c r="N10" s="87" t="str">
        <f>VLOOKUP(C10,'Trips&amp;Operators'!$C$1:$E$99999,3,FALSE)</f>
        <v>BARTLETT</v>
      </c>
      <c r="O10" s="169" t="s">
        <v>86</v>
      </c>
      <c r="P10" s="10" t="s">
        <v>270</v>
      </c>
      <c r="Q10" s="33"/>
      <c r="R10" s="103" t="str">
        <f>VLOOKUP(C10,'Train Runs'!$A$13:$AE$10010,31,0)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S10" s="106" t="str">
        <f>VLOOKUP(C10,'Train Runs'!$A$13:$AE$10010,22,0)</f>
        <v>https://search-rtdc-monitor-bjffxe2xuh6vdkpspy63sjmuny.us-east-1.es.amazonaws.com/_plugin/kibana/#/discover/Steve-Slow-Train-Analysis-(2080s-and-2083s)?_g=(refreshInterval:(display:Off,section:0,value:0),time:(from:'2016-10-08 14:25:32-0600',mode:absolute,to:'2016-10-08 17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0" s="108" t="str">
        <f t="shared" si="0"/>
        <v>"C:\Program Files (x86)\AstroGrep\AstroGrep.exe" /spath="%USERPROFILE%\AppData\Local\Temp\OnboardLogs" /stypes="*4043*201610082*" /stext=" 22:.+((SYSTEM_STATE.+slice.+state.+changed )|(ment ac)|(system.+state.+changed )|(\[timeout)|(PRM\|1\|D)|(kpr)|(kdp)|(\|lc)|(penalty))" /e /r /s</v>
      </c>
      <c r="U10" s="9" t="str">
        <f t="shared" si="1"/>
        <v>4043</v>
      </c>
      <c r="V10" s="38">
        <f t="shared" si="2"/>
        <v>42651.91951388889</v>
      </c>
      <c r="W10" s="52" t="str">
        <f t="shared" si="3"/>
        <v>EC</v>
      </c>
      <c r="X10" s="52" t="str">
        <f t="shared" si="4"/>
        <v>KEEP</v>
      </c>
      <c r="Y10" s="129" t="str">
        <f t="shared" si="5"/>
        <v>echo {"issue":{"subject":"Early arrival","project_id":79,"tracker_id":40,"status_id":1,"priority_id":2,"assigned_to_id":23,"start_date":"2016-10-08","description":"","custom_fields":[{"id":1,"name":"Subdivision","value":"EC"},{"id":4,"name":"Milepost","value":"7.8469"},{"id":17,"name":"Train ID","value":"190-08"},{"id":16,"name":"Locomotive ID","value":"4043"},{"id":130,"name":"Impact","value":""},{"id":150,"name":"Time of Event (Mountain Time)","value":"16:04:06"},{"id":151,"name":"Denver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0" t="str">
        <f t="shared" si="6"/>
        <v>grep -hSE -A100 "Enforcement Action" "%USERPROFILE%\AppData\Local\Temp\OnboardLogs"\RTDC4043\*4043*201610082* | grep -SE "((Enforcement Ac)|(PRM))" -</v>
      </c>
    </row>
    <row r="11" spans="1:29" s="1" customFormat="1" x14ac:dyDescent="0.25">
      <c r="A11" s="38">
        <v>42651.368043981478</v>
      </c>
      <c r="B11" s="33" t="s">
        <v>238</v>
      </c>
      <c r="C11" s="33" t="s">
        <v>443</v>
      </c>
      <c r="D11" s="33" t="s">
        <v>49</v>
      </c>
      <c r="E11" s="33" t="s">
        <v>163</v>
      </c>
      <c r="F11" s="49">
        <v>0</v>
      </c>
      <c r="G11" s="49">
        <v>645</v>
      </c>
      <c r="H11" s="49">
        <v>102503</v>
      </c>
      <c r="I11" s="49">
        <v>104511</v>
      </c>
      <c r="J11" s="33" t="s">
        <v>162</v>
      </c>
      <c r="K11" s="49">
        <v>103738</v>
      </c>
      <c r="L11" s="145" t="s">
        <v>52</v>
      </c>
      <c r="M11" s="148">
        <f t="shared" si="7"/>
        <v>-408.14400000000001</v>
      </c>
      <c r="N11" s="87" t="str">
        <f>VLOOKUP(C11,'Trips&amp;Operators'!$C$1:$E$99999,3,FALSE)</f>
        <v>GEBRETEKLE</v>
      </c>
      <c r="O11" s="169" t="s">
        <v>86</v>
      </c>
      <c r="P11" s="10" t="s">
        <v>270</v>
      </c>
      <c r="Q11" s="33"/>
      <c r="R11" s="103" t="str">
        <f>VLOOKUP(C11,'Train Runs'!$A$13:$AE$10010,31,0)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S11" s="106" t="str">
        <f>VLOOKUP(C11,'Train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07:26:40-0600',mode:absolute,to:'2016-10-08 10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1" s="108" t="str">
        <f t="shared" si="0"/>
        <v>"C:\Program Files (x86)\AstroGrep\AstroGrep.exe" /spath="%USERPROFILE%\AppData\Local\Temp\OnboardLogs" /stypes="*4053*201610081*" /stext=" 14:.+((SYSTEM_STATE.+slice.+state.+changed )|(ment ac)|(system.+state.+changed )|(\[timeout)|(PRM\|1\|D)|(kpr)|(kdp)|(\|lc)|(penalty))" /e /r /s</v>
      </c>
      <c r="U11" s="9" t="str">
        <f t="shared" si="1"/>
        <v>4053</v>
      </c>
      <c r="V11" s="38">
        <f t="shared" si="2"/>
        <v>42651.618043981478</v>
      </c>
      <c r="W11" s="52" t="str">
        <f t="shared" si="3"/>
        <v>EC</v>
      </c>
      <c r="X11" s="52" t="str">
        <f t="shared" si="4"/>
        <v>KEEP</v>
      </c>
      <c r="Y11" s="129" t="str">
        <f t="shared" si="5"/>
        <v>echo {"issue":{"subject":"Early arrival","project_id":79,"tracker_id":40,"status_id":1,"priority_id":2,"assigned_to_id":23,"start_date":"2016-10-08","description":"","custom_fields":[{"id":1,"name":"Subdivision","value":"EC"},{"id":4,"name":"Milepost","value":"10.3738"},{"id":17,"name":"Train ID","value":"139-08"},{"id":16,"name":"Locomotive ID","value":"4053"},{"id":130,"name":"Impact","value":""},{"id":150,"name":"Time of Event (Mountain Time)","value":"08:49:59"},{"id":151,"name":"Denver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0" t="str">
        <f t="shared" si="6"/>
        <v>grep -hSE -A100 "Enforcement Action" "%USERPROFILE%\AppData\Local\Temp\OnboardLogs"\RTDC4053\*4053*201610081* | grep -SE "((Enforcement Ac)|(PRM))" -</v>
      </c>
    </row>
    <row r="12" spans="1:29" s="1" customFormat="1" x14ac:dyDescent="0.25">
      <c r="A12" s="38">
        <v>42651.509641203702</v>
      </c>
      <c r="B12" s="33" t="s">
        <v>378</v>
      </c>
      <c r="C12" s="33" t="s">
        <v>477</v>
      </c>
      <c r="D12" s="33" t="s">
        <v>49</v>
      </c>
      <c r="E12" s="33" t="s">
        <v>56</v>
      </c>
      <c r="F12" s="49">
        <v>200</v>
      </c>
      <c r="G12" s="49">
        <v>250</v>
      </c>
      <c r="H12" s="49">
        <v>30836</v>
      </c>
      <c r="I12" s="49">
        <v>30181</v>
      </c>
      <c r="J12" s="33" t="s">
        <v>57</v>
      </c>
      <c r="K12" s="49">
        <v>30562</v>
      </c>
      <c r="L12" s="145" t="s">
        <v>53</v>
      </c>
      <c r="M12" s="148">
        <f t="shared" si="7"/>
        <v>-201.16800000000001</v>
      </c>
      <c r="N12" s="87" t="str">
        <f>VLOOKUP(C12,'Trips&amp;Operators'!$C$1:$E$99999,3,FALSE)</f>
        <v>STRICKLAND</v>
      </c>
      <c r="O12" s="169" t="s">
        <v>86</v>
      </c>
      <c r="P12" s="10"/>
      <c r="Q12" s="33"/>
      <c r="R12" s="103" t="str">
        <f>VLOOKUP(C12,'Train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12" s="106" t="str">
        <f>VLOOKUP(C12,'Train Runs'!$A$13:$AE$10010,22,0)</f>
        <v>https://search-rtdc-monitor-bjffxe2xuh6vdkpspy63sjmuny.us-east-1.es.amazonaws.com/_plugin/kibana/#/discover/Steve-Slow-Train-Analysis-(2080s-and-2083s)?_g=(refreshInterval:(display:Off,section:0,value:0),time:(from:'2016-10-08 10:41:52-0600',mode:absolute,to:'2016-10-08 13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2" s="108" t="str">
        <f t="shared" si="0"/>
        <v>"C:\Program Files (x86)\AstroGrep\AstroGrep.exe" /spath="%USERPROFILE%\AppData\Local\Temp\OnboardLogs" /stypes="*4037*201610081*" /stext=" 18:.+((SYSTEM_STATE.+slice.+state.+changed )|(ment ac)|(system.+state.+changed )|(\[timeout)|(PRM\|1\|D)|(kpr)|(kdp)|(\|lc)|(penalty))" /e /r /s</v>
      </c>
      <c r="U12" s="9" t="str">
        <f t="shared" si="1"/>
        <v>4037</v>
      </c>
      <c r="V12" s="38">
        <f t="shared" si="2"/>
        <v>42651.759641203702</v>
      </c>
      <c r="W12" s="52" t="str">
        <f t="shared" si="3"/>
        <v>EC</v>
      </c>
      <c r="X12" s="52" t="str">
        <f t="shared" si="4"/>
        <v>KEEP</v>
      </c>
      <c r="Y12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{"issue":{"subject":"","project_id":79,"tracker_id":40,"status_id":1,"priority_id":2,"assigned_to_id":23,"start_date":"2016-10-08","description":"","custom_fields":[{"id":1,"name":"Subdivision","value":"EC"},{"id":4,"name":"Milepost","value":"3.0562"},{"id":17,"name":"Train ID","value":"158-08"},{"id":16,"name":"Locomotive ID","value":"4037"},{"id":130,"name":"Impact","value":""},{"id":150,"name":"Time of Event (Mountain Time)","value":"12:13:53"},{"id":151,"name":"Denver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0" t="str">
        <f t="shared" si="6"/>
        <v>grep -hSE -A100 "Enforcement Action" "%USERPROFILE%\AppData\Local\Temp\OnboardLogs"\RTDC4037\*4037*201610081* | grep -SE "((Enforcement Ac)|(PRM))" -</v>
      </c>
    </row>
    <row r="13" spans="1:29" s="1" customFormat="1" x14ac:dyDescent="0.25">
      <c r="A13" s="38">
        <v>42651.581284722219</v>
      </c>
      <c r="B13" s="33" t="s">
        <v>381</v>
      </c>
      <c r="C13" s="33" t="s">
        <v>499</v>
      </c>
      <c r="D13" s="33" t="s">
        <v>49</v>
      </c>
      <c r="E13" s="33" t="s">
        <v>56</v>
      </c>
      <c r="F13" s="49">
        <v>400</v>
      </c>
      <c r="G13" s="49">
        <v>527</v>
      </c>
      <c r="H13" s="49">
        <v>121509</v>
      </c>
      <c r="I13" s="49">
        <v>119777</v>
      </c>
      <c r="J13" s="33" t="s">
        <v>57</v>
      </c>
      <c r="K13" s="49">
        <v>119716</v>
      </c>
      <c r="L13" s="145" t="s">
        <v>53</v>
      </c>
      <c r="M13" s="148">
        <f t="shared" si="7"/>
        <v>32.207999999999998</v>
      </c>
      <c r="N13" s="87" t="str">
        <f>VLOOKUP(C13,'Trips&amp;Operators'!$C$1:$E$99999,3,FALSE)</f>
        <v>STEWART</v>
      </c>
      <c r="O13" s="169" t="s">
        <v>86</v>
      </c>
      <c r="P13" s="10"/>
      <c r="Q13" s="33"/>
      <c r="R13" s="103" t="str">
        <f>VLOOKUP(C13,'Train Runs'!$A$13:$AE$10010,31,0)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S13" s="106" t="str">
        <f>VLOOKUP(C13,'Train Runs'!$A$13:$AE$10010,22,0)</f>
        <v>https://search-rtdc-monitor-bjffxe2xuh6vdkpspy63sjmuny.us-east-1.es.amazonaws.com/_plugin/kibana/#/discover/Steve-Slow-Train-Analysis-(2080s-and-2083s)?_g=(refreshInterval:(display:Off,section:0,value:0),time:(from:'2016-10-08 12:38:11-0600',mode:absolute,to:'2016-10-08 15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3" s="108" t="str">
        <f t="shared" si="0"/>
        <v>"C:\Program Files (x86)\AstroGrep\AstroGrep.exe" /spath="%USERPROFILE%\AppData\Local\Temp\OnboardLogs" /stypes="*4013*201610081*" /stext=" 19:.+((SYSTEM_STATE.+slice.+state.+changed )|(ment ac)|(system.+state.+changed )|(\[timeout)|(PRM\|1\|D)|(kpr)|(kdp)|(\|lc)|(penalty))" /e /r /s</v>
      </c>
      <c r="U13" s="9" t="str">
        <f t="shared" si="1"/>
        <v>4013</v>
      </c>
      <c r="V13" s="38">
        <f t="shared" si="2"/>
        <v>42651.831284722219</v>
      </c>
      <c r="W13" s="52" t="str">
        <f t="shared" si="3"/>
        <v>EC</v>
      </c>
      <c r="X13" s="52" t="str">
        <f t="shared" si="4"/>
        <v>KEEP</v>
      </c>
      <c r="Y13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{"issue":{"subject":"","project_id":79,"tracker_id":40,"status_id":1,"priority_id":2,"assigned_to_id":23,"start_date":"2016-10-08","description":"","custom_fields":[{"id":1,"name":"Subdivision","value":"EC"},{"id":4,"name":"Milepost","value":"11.9716"},{"id":17,"name":"Train ID","value":"174-08"},{"id":16,"name":"Locomotive ID","value":"4013"},{"id":130,"name":"Impact","value":""},{"id":150,"name":"Time of Event (Mountain Time)","value":"13:57:03"},{"id":151,"name":"Denver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0" t="str">
        <f t="shared" si="6"/>
        <v>grep -hSE -A100 "Enforcement Action" "%USERPROFILE%\AppData\Local\Temp\OnboardLogs"\RTDC4013\*4013*201610081* | grep -SE "((Enforcement Ac)|(PRM))" -</v>
      </c>
    </row>
    <row r="14" spans="1:29" s="1" customFormat="1" x14ac:dyDescent="0.25">
      <c r="A14" s="38">
        <v>42651.152442129627</v>
      </c>
      <c r="B14" s="33" t="s">
        <v>238</v>
      </c>
      <c r="C14" s="33" t="s">
        <v>395</v>
      </c>
      <c r="D14" s="33" t="s">
        <v>105</v>
      </c>
      <c r="E14" s="33" t="s">
        <v>56</v>
      </c>
      <c r="F14" s="49">
        <v>600</v>
      </c>
      <c r="G14" s="49">
        <v>655</v>
      </c>
      <c r="H14" s="49">
        <v>123888</v>
      </c>
      <c r="I14" s="49">
        <v>127002</v>
      </c>
      <c r="J14" s="33" t="s">
        <v>57</v>
      </c>
      <c r="K14" s="49">
        <v>119716</v>
      </c>
      <c r="L14" s="145" t="s">
        <v>52</v>
      </c>
      <c r="M14" s="148">
        <f t="shared" si="7"/>
        <v>-3847.0079999999998</v>
      </c>
      <c r="N14" s="87" t="str">
        <f>VLOOKUP(C14,'Trips&amp;Operators'!$C$1:$E$99999,3,FALSE)</f>
        <v>MAELZER</v>
      </c>
      <c r="O14" s="169" t="s">
        <v>86</v>
      </c>
      <c r="P14" s="10"/>
      <c r="Q14" s="33"/>
      <c r="R14" s="103" t="str">
        <f>VLOOKUP(C14,'Train Runs'!$A$13:$AE$10010,31,0)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S14" s="106" t="str">
        <f>VLOOKUP(C14,'Train Runs'!$A$13:$AE$10010,22,0)</f>
        <v>https://search-rtdc-monitor-bjffxe2xuh6vdkpspy63sjmuny.us-east-1.es.amazonaws.com/_plugin/kibana/#/discover/Steve-Slow-Train-Analysis-(2080s-and-2083s)?_g=(refreshInterval:(display:Off,section:0,value:0),time:(from:'2016-10-08 02:12:52-0600',mode:absolute,to:'2016-10-08 04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4" s="108" t="str">
        <f t="shared" si="0"/>
        <v>"C:\Program Files (x86)\AstroGrep\AstroGrep.exe" /spath="%USERPROFILE%\AppData\Local\Temp\OnboardLogs" /stypes="*4053*201610080*" /stext=" 09:.+((SYSTEM_STATE.+slice.+state.+changed )|(ment ac)|(system.+state.+changed )|(\[timeout)|(PRM\|1\|D)|(kpr)|(kdp)|(\|lc)|(penalty))" /e /r /s</v>
      </c>
      <c r="U14" s="9" t="str">
        <f t="shared" si="1"/>
        <v>4053</v>
      </c>
      <c r="V14" s="38">
        <f t="shared" si="2"/>
        <v>42651.402442129627</v>
      </c>
      <c r="W14" s="52" t="str">
        <f t="shared" si="3"/>
        <v>EC</v>
      </c>
      <c r="X14" s="52" t="str">
        <f t="shared" si="4"/>
        <v>KEEP</v>
      </c>
      <c r="Y14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{"issue":{"subject":"","project_id":79,"tracker_id":40,"status_id":1,"priority_id":2,"assigned_to_id":23,"start_date":"2016-10-08","description":"","custom_fields":[{"id":1,"name":"Subdivision","value":"EC"},{"id":4,"name":"Milepost","value":"11.9716"},{"id":17,"name":"Train ID","value":"101-08"},{"id":16,"name":"Locomotive ID","value":"4053"},{"id":130,"name":"Impact","value":""},{"id":150,"name":"Time of Event (Mountain Time)","value":"03:39:31"},{"id":151,"name":"Denver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0" t="str">
        <f t="shared" si="6"/>
        <v>grep -hSE -A100 "Enforcement Action" "%USERPROFILE%\AppData\Local\Temp\OnboardLogs"\RTDC4053\*4053*201610080* | grep -SE "((Enforcement Ac)|(PRM))" -</v>
      </c>
    </row>
    <row r="15" spans="1:29" s="1" customFormat="1" x14ac:dyDescent="0.25">
      <c r="A15" s="38">
        <v>42651.401805555557</v>
      </c>
      <c r="B15" s="33" t="s">
        <v>388</v>
      </c>
      <c r="C15" s="33" t="s">
        <v>451</v>
      </c>
      <c r="D15" s="33" t="s">
        <v>105</v>
      </c>
      <c r="E15" s="33" t="s">
        <v>56</v>
      </c>
      <c r="F15" s="49">
        <v>600</v>
      </c>
      <c r="G15" s="49">
        <v>650</v>
      </c>
      <c r="H15" s="49">
        <v>123795</v>
      </c>
      <c r="I15" s="49">
        <v>126732</v>
      </c>
      <c r="J15" s="33" t="s">
        <v>57</v>
      </c>
      <c r="K15" s="49">
        <v>119716</v>
      </c>
      <c r="L15" s="145" t="s">
        <v>52</v>
      </c>
      <c r="M15" s="148">
        <f t="shared" si="7"/>
        <v>-3704.4479999999999</v>
      </c>
      <c r="N15" s="87" t="str">
        <f>VLOOKUP(C15,'Trips&amp;Operators'!$C$1:$E$99999,3,FALSE)</f>
        <v>MALAVE</v>
      </c>
      <c r="O15" s="169" t="s">
        <v>86</v>
      </c>
      <c r="P15" s="10"/>
      <c r="Q15" s="33"/>
      <c r="R15" s="103" t="str">
        <f>VLOOKUP(C15,'Train Runs'!$A$13:$AE$10010,31,0)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S15" s="106" t="str">
        <f>VLOOKUP(C15,'Train Runs'!$A$13:$AE$10010,22,0)</f>
        <v>https://search-rtdc-monitor-bjffxe2xuh6vdkpspy63sjmuny.us-east-1.es.amazonaws.com/_plugin/kibana/#/discover/Steve-Slow-Train-Analysis-(2080s-and-2083s)?_g=(refreshInterval:(display:Off,section:0,value:0),time:(from:'2016-10-08 08:13:03-0600',mode:absolute,to:'2016-10-08 10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5" s="108" t="str">
        <f t="shared" si="0"/>
        <v>"C:\Program Files (x86)\AstroGrep\AstroGrep.exe" /spath="%USERPROFILE%\AppData\Local\Temp\OnboardLogs" /stypes="*4014*201610081*" /stext=" 15:.+((SYSTEM_STATE.+slice.+state.+changed )|(ment ac)|(system.+state.+changed )|(\[timeout)|(PRM\|1\|D)|(kpr)|(kdp)|(\|lc)|(penalty))" /e /r /s</v>
      </c>
      <c r="U15" s="9" t="str">
        <f t="shared" si="1"/>
        <v>4014</v>
      </c>
      <c r="V15" s="38">
        <f t="shared" si="2"/>
        <v>42651.651805555557</v>
      </c>
      <c r="W15" s="52" t="str">
        <f t="shared" si="3"/>
        <v>EC</v>
      </c>
      <c r="X15" s="52" t="str">
        <f t="shared" si="4"/>
        <v>KEEP</v>
      </c>
      <c r="Y15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{"issue":{"subject":"","project_id":79,"tracker_id":40,"status_id":1,"priority_id":2,"assigned_to_id":23,"start_date":"2016-10-08","description":"","custom_fields":[{"id":1,"name":"Subdivision","value":"EC"},{"id":4,"name":"Milepost","value":"11.9716"},{"id":17,"name":"Train ID","value":"145-08"},{"id":16,"name":"Locomotive ID","value":"4014"},{"id":130,"name":"Impact","value":""},{"id":150,"name":"Time of Event (Mountain Time)","value":"09:38:36"},{"id":151,"name":"Denver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0" t="str">
        <f t="shared" si="6"/>
        <v>grep -hSE -A100 "Enforcement Action" "%USERPROFILE%\AppData\Local\Temp\OnboardLogs"\RTDC4014\*4014*201610081* | grep -SE "((Enforcement Ac)|(PRM))" -</v>
      </c>
    </row>
    <row r="16" spans="1:29" s="1" customFormat="1" x14ac:dyDescent="0.25">
      <c r="A16" s="38">
        <v>42651.396874999999</v>
      </c>
      <c r="B16" s="33" t="s">
        <v>384</v>
      </c>
      <c r="C16" s="33" t="s">
        <v>448</v>
      </c>
      <c r="D16" s="33" t="s">
        <v>105</v>
      </c>
      <c r="E16" s="33" t="s">
        <v>56</v>
      </c>
      <c r="F16" s="49">
        <v>700</v>
      </c>
      <c r="G16" s="49">
        <v>750</v>
      </c>
      <c r="H16" s="49">
        <v>173880</v>
      </c>
      <c r="I16" s="49">
        <v>177133</v>
      </c>
      <c r="J16" s="33" t="s">
        <v>57</v>
      </c>
      <c r="K16" s="49">
        <v>161962</v>
      </c>
      <c r="L16" s="145" t="s">
        <v>52</v>
      </c>
      <c r="M16" s="148">
        <f t="shared" si="7"/>
        <v>-8010.2879999999996</v>
      </c>
      <c r="N16" s="87" t="str">
        <f>VLOOKUP(C16,'Trips&amp;Operators'!$C$1:$E$99999,3,FALSE)</f>
        <v>STRICKLAND</v>
      </c>
      <c r="O16" s="169" t="s">
        <v>86</v>
      </c>
      <c r="P16" s="10"/>
      <c r="Q16" s="33"/>
      <c r="R16" s="103" t="str">
        <f>VLOOKUP(C16,'Train Runs'!$A$13:$AE$10010,31,0)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S16" s="106" t="str">
        <f>VLOOKUP(C16,'Train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07:54:01-0600',mode:absolute,to:'2016-10-08 10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6" s="108" t="str">
        <f t="shared" si="0"/>
        <v>"C:\Program Files (x86)\AstroGrep\AstroGrep.exe" /spath="%USERPROFILE%\AppData\Local\Temp\OnboardLogs" /stypes="*4038*201610081*" /stext=" 15:.+((SYSTEM_STATE.+slice.+state.+changed )|(ment ac)|(system.+state.+changed )|(\[timeout)|(PRM\|1\|D)|(kpr)|(kdp)|(\|lc)|(penalty))" /e /r /s</v>
      </c>
      <c r="U16" s="9" t="str">
        <f t="shared" si="1"/>
        <v>4038</v>
      </c>
      <c r="V16" s="38">
        <f t="shared" si="2"/>
        <v>42651.646874999999</v>
      </c>
      <c r="W16" s="52" t="str">
        <f t="shared" si="3"/>
        <v>EC</v>
      </c>
      <c r="X16" s="52" t="str">
        <f t="shared" si="4"/>
        <v>KEEP</v>
      </c>
      <c r="Y16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{"issue":{"subject":"","project_id":79,"tracker_id":40,"status_id":1,"priority_id":2,"assigned_to_id":23,"start_date":"2016-10-08","description":"","custom_fields":[{"id":1,"name":"Subdivision","value":"EC"},{"id":4,"name":"Milepost","value":"16.1962"},{"id":17,"name":"Train ID","value":"143-08"},{"id":16,"name":"Locomotive ID","value":"4038"},{"id":130,"name":"Impact","value":""},{"id":150,"name":"Time of Event (Mountain Time)","value":"09:31:30"},{"id":151,"name":"Denver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0" t="str">
        <f t="shared" si="6"/>
        <v>grep -hSE -A100 "Enforcement Action" "%USERPROFILE%\AppData\Local\Temp\OnboardLogs"\RTDC4038\*4038*201610081* | grep -SE "((Enforcement Ac)|(PRM))" -</v>
      </c>
    </row>
    <row r="17" spans="1:29" s="1" customFormat="1" x14ac:dyDescent="0.25">
      <c r="A17" s="38">
        <v>42651.628796296296</v>
      </c>
      <c r="B17" s="33" t="s">
        <v>388</v>
      </c>
      <c r="C17" s="33" t="s">
        <v>508</v>
      </c>
      <c r="D17" s="33" t="s">
        <v>49</v>
      </c>
      <c r="E17" s="33" t="s">
        <v>56</v>
      </c>
      <c r="F17" s="49">
        <v>150</v>
      </c>
      <c r="G17" s="49">
        <v>243</v>
      </c>
      <c r="H17" s="49">
        <v>227967</v>
      </c>
      <c r="I17" s="49">
        <v>228475</v>
      </c>
      <c r="J17" s="33" t="s">
        <v>57</v>
      </c>
      <c r="K17" s="49">
        <v>228668</v>
      </c>
      <c r="L17" s="145" t="s">
        <v>52</v>
      </c>
      <c r="M17" s="148">
        <f t="shared" si="7"/>
        <v>101.904</v>
      </c>
      <c r="N17" s="87" t="str">
        <f>VLOOKUP(C17,'Trips&amp;Operators'!$C$1:$E$99999,3,FALSE)</f>
        <v>STEWART</v>
      </c>
      <c r="O17" s="169" t="s">
        <v>86</v>
      </c>
      <c r="P17" s="10"/>
      <c r="Q17" s="33"/>
      <c r="R17" s="103" t="str">
        <f>VLOOKUP(C17,'Train Runs'!$A$13:$AE$10010,31,0)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S17" s="106" t="str">
        <f>VLOOKUP(C17,'Train Runs'!$A$13:$AE$10010,22,0)</f>
        <v>https://search-rtdc-monitor-bjffxe2xuh6vdkpspy63sjmuny.us-east-1.es.amazonaws.com/_plugin/kibana/#/discover/Steve-Slow-Train-Analysis-(2080s-and-2083s)?_g=(refreshInterval:(display:Off,section:0,value:0),time:(from:'2016-10-08 13:25:14-0600',mode:absolute,to:'2016-10-08 16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7" s="108" t="str">
        <f t="shared" si="0"/>
        <v>"C:\Program Files (x86)\AstroGrep\AstroGrep.exe" /spath="%USERPROFILE%\AppData\Local\Temp\OnboardLogs" /stypes="*4014*201610082*" /stext=" 21:.+((SYSTEM_STATE.+slice.+state.+changed )|(ment ac)|(system.+state.+changed )|(\[timeout)|(PRM\|1\|D)|(kpr)|(kdp)|(\|lc)|(penalty))" /e /r /s</v>
      </c>
      <c r="U17" s="9" t="str">
        <f t="shared" si="1"/>
        <v>4014</v>
      </c>
      <c r="V17" s="38">
        <f t="shared" si="2"/>
        <v>42651.878796296296</v>
      </c>
      <c r="W17" s="52" t="str">
        <f t="shared" si="3"/>
        <v>EC</v>
      </c>
      <c r="X17" s="52" t="str">
        <f t="shared" si="4"/>
        <v>KEEP</v>
      </c>
      <c r="Y17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{"issue":{"subject":"","project_id":79,"tracker_id":40,"status_id":1,"priority_id":2,"assigned_to_id":23,"start_date":"2016-10-08","description":"","custom_fields":[{"id":1,"name":"Subdivision","value":"EC"},{"id":4,"name":"Milepost","value":"22.8668"},{"id":17,"name":"Train ID","value":"187-08"},{"id":16,"name":"Locomotive ID","value":"4014"},{"id":130,"name":"Impact","value":""},{"id":150,"name":"Time of Event (Mountain Time)","value":"15:05:28"},{"id":151,"name":"Denver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0" t="str">
        <f t="shared" si="6"/>
        <v>grep -hSE -A100 "Enforcement Action" "%USERPROFILE%\AppData\Local\Temp\OnboardLogs"\RTDC4014\*4014*201610082* | grep -SE "((Enforcement Ac)|(PRM))" -</v>
      </c>
    </row>
    <row r="18" spans="1:29" s="1" customFormat="1" x14ac:dyDescent="0.25">
      <c r="A18" s="38">
        <v>42651.773923611108</v>
      </c>
      <c r="B18" s="33" t="s">
        <v>388</v>
      </c>
      <c r="C18" s="33" t="s">
        <v>550</v>
      </c>
      <c r="D18" s="33" t="s">
        <v>49</v>
      </c>
      <c r="E18" s="33" t="s">
        <v>56</v>
      </c>
      <c r="F18" s="49">
        <v>150</v>
      </c>
      <c r="G18" s="49">
        <v>307</v>
      </c>
      <c r="H18" s="49">
        <v>227467</v>
      </c>
      <c r="I18" s="49">
        <v>228321</v>
      </c>
      <c r="J18" s="33" t="s">
        <v>57</v>
      </c>
      <c r="K18" s="49">
        <v>228668</v>
      </c>
      <c r="L18" s="145" t="s">
        <v>52</v>
      </c>
      <c r="M18" s="148">
        <f t="shared" si="7"/>
        <v>183.21600000000001</v>
      </c>
      <c r="N18" s="87" t="str">
        <f>VLOOKUP(C18,'Trips&amp;Operators'!$C$1:$E$99999,3,FALSE)</f>
        <v>OUN</v>
      </c>
      <c r="O18" s="169" t="s">
        <v>86</v>
      </c>
      <c r="P18" s="10"/>
      <c r="Q18" s="33"/>
      <c r="R18" s="103" t="str">
        <f>VLOOKUP(C18,'Train Runs'!$A$13:$AE$10010,31,0)</f>
        <v>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 &amp; 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</v>
      </c>
      <c r="S18" s="106" t="str">
        <f>VLOOKUP(C18,'Train Runs'!$A$13:$AE$10010,22,0)</f>
        <v>https://search-rtdc-monitor-bjffxe2xuh6vdkpspy63sjmuny.us-east-1.es.amazonaws.com/_plugin/kibana/#/discover/Steve-Slow-Train-Analysis-(2080s-and-2083s)?_g=(refreshInterval:(display:Off,section:0,value:0),time:(from:'2016-10-08 16:54:55-0600',mode:absolute,to:'2016-10-08 19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8" s="108" t="str">
        <f t="shared" si="0"/>
        <v>"C:\Program Files (x86)\AstroGrep\AstroGrep.exe" /spath="%USERPROFILE%\AppData\Local\Temp\OnboardLogs" /stypes="*4014*201610090*" /stext=" 00:.+((SYSTEM_STATE.+slice.+state.+changed )|(ment ac)|(system.+state.+changed )|(\[timeout)|(PRM\|1\|D)|(kpr)|(kdp)|(\|lc)|(penalty))" /e /r /s</v>
      </c>
      <c r="U18" s="9" t="str">
        <f t="shared" si="1"/>
        <v>4014</v>
      </c>
      <c r="V18" s="38">
        <f t="shared" si="2"/>
        <v>42652.023923611108</v>
      </c>
      <c r="W18" s="52" t="str">
        <f t="shared" si="3"/>
        <v>EC</v>
      </c>
      <c r="X18" s="52" t="str">
        <f t="shared" si="4"/>
        <v>KEEP</v>
      </c>
      <c r="Y18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{"issue":{"subject":"","project_id":79,"tracker_id":40,"status_id":1,"priority_id":2,"assigned_to_id":23,"start_date":"2016-10-08","description":"","custom_fields":[{"id":1,"name":"Subdivision","value":"EC"},{"id":4,"name":"Milepost","value":"22.8668"},{"id":17,"name":"Train ID","value":"215-08"},{"id":16,"name":"Locomotive ID","value":"4014"},{"id":130,"name":"Impact","value":""},{"id":150,"name":"Time of Event (Mountain Time)","value":"18:34:27"},{"id":151,"name":"Denver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0" t="str">
        <f t="shared" si="6"/>
        <v>grep -hSE -A100 "Enforcement Action" "%USERPROFILE%\AppData\Local\Temp\OnboardLogs"\RTDC4014\*4014*201610090* | grep -SE "((Enforcement Ac)|(PRM))" -</v>
      </c>
    </row>
    <row r="19" spans="1:29" s="1" customFormat="1" x14ac:dyDescent="0.25">
      <c r="A19" s="38">
        <v>42651.342615740738</v>
      </c>
      <c r="B19" s="33" t="s">
        <v>378</v>
      </c>
      <c r="C19" s="33" t="s">
        <v>440</v>
      </c>
      <c r="D19" s="33" t="s">
        <v>105</v>
      </c>
      <c r="E19" s="33" t="s">
        <v>56</v>
      </c>
      <c r="F19" s="49">
        <v>350</v>
      </c>
      <c r="G19" s="49">
        <v>403</v>
      </c>
      <c r="H19" s="49">
        <v>224975</v>
      </c>
      <c r="I19" s="49">
        <v>223480</v>
      </c>
      <c r="J19" s="33" t="s">
        <v>57</v>
      </c>
      <c r="K19" s="49">
        <v>232107</v>
      </c>
      <c r="L19" s="145" t="s">
        <v>53</v>
      </c>
      <c r="M19" s="148">
        <f t="shared" si="7"/>
        <v>-4555.0559999999996</v>
      </c>
      <c r="N19" s="87" t="str">
        <f>VLOOKUP(C19,'Trips&amp;Operators'!$C$1:$E$99999,3,FALSE)</f>
        <v>STRICKLAND</v>
      </c>
      <c r="O19" s="169" t="s">
        <v>86</v>
      </c>
      <c r="P19" s="10"/>
      <c r="Q19" s="33"/>
      <c r="R19" s="103" t="str">
        <f>VLOOKUP(C19,'Train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19" s="106" t="str">
        <f>VLOOKUP(C19,'Train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07:04:48-0600',mode:absolute,to:'2016-10-08 09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9" s="108" t="str">
        <f t="shared" si="0"/>
        <v>"C:\Program Files (x86)\AstroGrep\AstroGrep.exe" /spath="%USERPROFILE%\AppData\Local\Temp\OnboardLogs" /stypes="*4037*201610081*" /stext=" 14:.+((SYSTEM_STATE.+slice.+state.+changed )|(ment ac)|(system.+state.+changed )|(\[timeout)|(PRM\|1\|D)|(kpr)|(kdp)|(\|lc)|(penalty))" /e /r /s</v>
      </c>
      <c r="U19" s="9" t="str">
        <f t="shared" si="1"/>
        <v>4037</v>
      </c>
      <c r="V19" s="38">
        <f t="shared" si="2"/>
        <v>42651.592615740738</v>
      </c>
      <c r="W19" s="52" t="str">
        <f t="shared" si="3"/>
        <v>EC</v>
      </c>
      <c r="X19" s="52" t="str">
        <f t="shared" si="4"/>
        <v>KEEP</v>
      </c>
      <c r="Y19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{"issue":{"subject":"","project_id":79,"tracker_id":40,"status_id":1,"priority_id":2,"assigned_to_id":23,"start_date":"2016-10-08","description":"","custom_fields":[{"id":1,"name":"Subdivision","value":"EC"},{"id":4,"name":"Milepost","value":"23.2107"},{"id":17,"name":"Train ID","value":"130-08"},{"id":16,"name":"Locomotive ID","value":"4037"},{"id":130,"name":"Impact","value":""},{"id":150,"name":"Time of Event (Mountain Time)","value":"08:13:22"},{"id":151,"name":"Denver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0" t="str">
        <f t="shared" si="6"/>
        <v>grep -hSE -A100 "Enforcement Action" "%USERPROFILE%\AppData\Local\Temp\OnboardLogs"\RTDC4037\*4037*201610081* | grep -SE "((Enforcement Ac)|(PRM))" -</v>
      </c>
    </row>
    <row r="20" spans="1:29" x14ac:dyDescent="0.25">
      <c r="A20" s="38">
        <v>42651.72388888889</v>
      </c>
      <c r="B20" s="33" t="s">
        <v>238</v>
      </c>
      <c r="C20" s="33" t="s">
        <v>539</v>
      </c>
      <c r="D20" s="33" t="s">
        <v>49</v>
      </c>
      <c r="E20" s="33" t="s">
        <v>54</v>
      </c>
      <c r="F20" s="49">
        <v>0</v>
      </c>
      <c r="G20" s="49">
        <v>189</v>
      </c>
      <c r="H20" s="49">
        <v>27489</v>
      </c>
      <c r="I20" s="49">
        <v>27722</v>
      </c>
      <c r="J20" s="33" t="s">
        <v>55</v>
      </c>
      <c r="K20" s="49">
        <v>28054</v>
      </c>
      <c r="L20" s="145" t="s">
        <v>52</v>
      </c>
      <c r="M20" s="148">
        <f t="shared" si="7"/>
        <v>175.29599999999999</v>
      </c>
      <c r="N20" s="87" t="str">
        <f>VLOOKUP(C20,'Trips&amp;Operators'!$C$1:$E$99999,3,FALSE)</f>
        <v>SWANSON</v>
      </c>
      <c r="O20" s="169" t="s">
        <v>294</v>
      </c>
      <c r="P20" s="10" t="s">
        <v>763</v>
      </c>
      <c r="Q20" s="33"/>
      <c r="R20" s="103" t="str">
        <f>VLOOKUP(C20,'Train Runs'!$A$13:$AE$10010,31,0)</f>
        <v>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 &amp; aws s3 cp s3://rtdc.mdm.uploadarchive.raw/RTDC4053/ "%USERPROFILE%\AppData\Local\Temp\OnboardLogs"\RTDC4053\2016-10-09 --exclude "*" --recursive --include "*20161009*" &amp; "%USERPROFILE%\Documents\GitHub\mrs-test-scripts\Headless Mode &amp; Sideloading\WalkAndUnGZ.bat" "%USERPROFILE%\AppData\Local\Temp\OnboardLogs"\RTDC4053\2016-10-09</v>
      </c>
      <c r="S20" s="106" t="str">
        <f>VLOOKUP(C20,'Train Runs'!$A$13:$AE$10010,22,0)</f>
        <v>https://search-rtdc-monitor-bjffxe2xuh6vdkpspy63sjmuny.us-east-1.es.amazonaws.com/_plugin/kibana/#/discover/Steve-Slow-Train-Analysis-(2080s-and-2083s)?_g=(refreshInterval:(display:Off,section:0,value:0),time:(from:'2016-10-08 16:08:22-0600',mode:absolute,to:'2016-10-08 18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0" s="108" t="str">
        <f t="shared" si="0"/>
        <v>"C:\Program Files (x86)\AstroGrep\AstroGrep.exe" /spath="%USERPROFILE%\AppData\Local\Temp\OnboardLogs" /stypes="*4053*201610082*" /stext=" 23:.+((SYSTEM_STATE.+slice.+state.+changed )|(ment ac)|(system.+state.+changed )|(\[timeout)|(PRM\|1\|D)|(kpr)|(kdp)|(\|lc)|(penalty))" /e /r /s</v>
      </c>
      <c r="U20" s="9" t="str">
        <f t="shared" si="1"/>
        <v>4053</v>
      </c>
      <c r="V20" s="38">
        <f t="shared" si="2"/>
        <v>42651.97388888889</v>
      </c>
      <c r="W20" s="52" t="str">
        <f t="shared" si="3"/>
        <v>EC</v>
      </c>
      <c r="X20" s="52" t="str">
        <f t="shared" si="4"/>
        <v>KEEP</v>
      </c>
      <c r="Y20" s="129" t="str">
        <f t="shared" si="5"/>
        <v>echo {"issue":{"subject":"EC0286RH 21-1T 1N premature downgrade","project_id":79,"tracker_id":40,"status_id":1,"priority_id":2,"assigned_to_id":23,"start_date":"2016-10-08","description":"Aspect for EC0286RH 21-1T 1N dropped from 270 to STOP &amp; PROCEED just as train was approaching the signal. Did this look intended, or did anything wrong happen?","custom_fields":[{"id":1,"name":"Subdivision","value":"EC"},{"id":4,"name":"Milepost","value":"2.8054"},{"id":17,"name":"Train ID","value":"209-08"},{"id":16,"name":"Locomotive ID","value":"4053"},{"id":130,"name":"Impact","value":"Enforcement"},{"id":150,"name":"Time of Event (Mountain Time)","value":"17:22:24"},{"id":151,"name":"Denver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0" s="55" t="s">
        <v>762</v>
      </c>
      <c r="AA20" s="55" t="s">
        <v>134</v>
      </c>
      <c r="AB20" s="23" t="s">
        <v>139</v>
      </c>
      <c r="AC20" s="170" t="str">
        <f t="shared" si="6"/>
        <v>grep -hSE -A100 "Enforcement Action" "%USERPROFILE%\AppData\Local\Temp\OnboardLogs"\RTDC4053\*4053*201610082* | grep -SE "((Enforcement Ac)|(PRM))" -</v>
      </c>
    </row>
    <row r="21" spans="1:29" s="1" customFormat="1" x14ac:dyDescent="0.25">
      <c r="A21" s="38">
        <v>42651.294768518521</v>
      </c>
      <c r="B21" s="33" t="s">
        <v>165</v>
      </c>
      <c r="C21" s="33" t="s">
        <v>422</v>
      </c>
      <c r="D21" s="33" t="s">
        <v>49</v>
      </c>
      <c r="E21" s="33" t="s">
        <v>603</v>
      </c>
      <c r="F21" s="49">
        <v>0</v>
      </c>
      <c r="G21" s="49">
        <v>326</v>
      </c>
      <c r="H21" s="49">
        <v>227050</v>
      </c>
      <c r="I21" s="49">
        <v>228103</v>
      </c>
      <c r="J21" s="33" t="s">
        <v>604</v>
      </c>
      <c r="K21" s="49">
        <v>228572</v>
      </c>
      <c r="L21" s="145" t="s">
        <v>52</v>
      </c>
      <c r="M21" s="148">
        <f t="shared" si="7"/>
        <v>247.63200000000001</v>
      </c>
      <c r="N21" s="87" t="str">
        <f>VLOOKUP(C21,'Trips&amp;Operators'!$C$1:$E$99999,3,FALSE)</f>
        <v>KILLION</v>
      </c>
      <c r="O21" s="169" t="s">
        <v>294</v>
      </c>
      <c r="P21" s="10" t="s">
        <v>749</v>
      </c>
      <c r="Q21" s="33"/>
      <c r="R21" s="103" t="str">
        <f>VLOOKUP(C21,'Train Runs'!$A$13:$AE$10010,31,0)</f>
        <v>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 &amp; 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</v>
      </c>
      <c r="S21" s="106" t="str">
        <f>VLOOKUP(C21,'Train Runs'!$A$13:$AE$10010,22,0)</f>
        <v>https://search-rtdc-monitor-bjffxe2xuh6vdkpspy63sjmuny.us-east-1.es.amazonaws.com/_plugin/kibana/#/discover/Steve-Slow-Train-Analysis-(2080s-and-2083s)?_g=(refreshInterval:(display:Off,section:0,value:0),time:(from:'2016-10-08 05:23:18-0600',mode:absolute,to:'2016-10-08 08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1" s="108" t="str">
        <f t="shared" si="0"/>
        <v>"C:\Program Files (x86)\AstroGrep\AstroGrep.exe" /spath="%USERPROFILE%\AppData\Local\Temp\OnboardLogs" /stypes="*4025*201610081*" /stext=" 13:.+((SYSTEM_STATE.+slice.+state.+changed )|(ment ac)|(system.+state.+changed )|(\[timeout)|(PRM\|1\|D)|(kpr)|(kdp)|(\|lc)|(penalty))" /e /r /s</v>
      </c>
      <c r="U21" s="9" t="str">
        <f t="shared" si="1"/>
        <v>4025</v>
      </c>
      <c r="V21" s="38">
        <f t="shared" si="2"/>
        <v>42651.544768518521</v>
      </c>
      <c r="W21" s="52" t="str">
        <f t="shared" si="3"/>
        <v>EC</v>
      </c>
      <c r="X21" s="52" t="str">
        <f t="shared" si="4"/>
        <v>KEEP</v>
      </c>
      <c r="Y21" s="129" t="str">
        <f t="shared" si="5"/>
        <v>echo {"issue":{"subject":"Wi-MAX outage","project_id":79,"tracker_id":40,"status_id":1,"priority_id":2,"assigned_to_id":23,"start_date":"2016-10-08","description":"http://stevetu21.github.io/eaglep3/load_kml.html?kml=http://rtdc.gmaps-snips.s3.amazonaws.com/0ef30779-7ed3-4f1f-b9fe-9ef04f294768.kml","custom_fields":[{"id":1,"name":"Subdivision","value":"EC"},{"id":4,"name":"Milepost","value":"22.8572"},{"id":17,"name":"Train ID","value":"123-08"},{"id":16,"name":"Locomotive ID","value":"4025"},{"id":130,"name":"Impact","value":"Enforcement"},{"id":150,"name":"Time of Event (Mountain Time)","value":"07:04:28"},{"id":151,"name":"Denver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184" t="s">
        <v>764</v>
      </c>
      <c r="AA21" s="55" t="s">
        <v>134</v>
      </c>
      <c r="AB21" s="23" t="s">
        <v>147</v>
      </c>
      <c r="AC21" s="170" t="str">
        <f t="shared" si="6"/>
        <v>grep -hSE -A100 "Enforcement Action" "%USERPROFILE%\AppData\Local\Temp\OnboardLogs"\RTDC4025\*4025*201610081* | grep -SE "((Enforcement Ac)|(PRM))" -</v>
      </c>
    </row>
    <row r="22" spans="1:29" x14ac:dyDescent="0.25">
      <c r="A22" s="38">
        <v>42651.248252314814</v>
      </c>
      <c r="B22" s="33" t="s">
        <v>398</v>
      </c>
      <c r="C22" s="33" t="s">
        <v>407</v>
      </c>
      <c r="D22" s="33" t="s">
        <v>49</v>
      </c>
      <c r="E22" s="33" t="s">
        <v>50</v>
      </c>
      <c r="F22" s="49">
        <v>0</v>
      </c>
      <c r="G22" s="49">
        <v>53</v>
      </c>
      <c r="H22" s="49">
        <v>181</v>
      </c>
      <c r="I22" s="49">
        <v>138</v>
      </c>
      <c r="J22" s="33" t="s">
        <v>51</v>
      </c>
      <c r="K22" s="49">
        <v>1</v>
      </c>
      <c r="L22" s="145" t="s">
        <v>53</v>
      </c>
      <c r="M22" s="148">
        <f t="shared" si="7"/>
        <v>72.335999999999999</v>
      </c>
      <c r="N22" s="87" t="str">
        <f>VLOOKUP(C22,'Trips&amp;Operators'!$C$1:$E$99999,3,FALSE)</f>
        <v>ACKERMAN</v>
      </c>
      <c r="O22" s="169" t="s">
        <v>86</v>
      </c>
      <c r="P22" s="10"/>
      <c r="Q22" s="33"/>
      <c r="R22" s="103" t="str">
        <f>VLOOKUP(C22,'Train Runs'!$A$13:$AE$10010,31,0)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S22" s="106" t="str">
        <f>VLOOKUP(C22,'Train Runs'!$A$13:$AE$10010,22,0)</f>
        <v>https://search-rtdc-monitor-bjffxe2xuh6vdkpspy63sjmuny.us-east-1.es.amazonaws.com/_plugin/kibana/#/discover/Steve-Slow-Train-Analysis-(2080s-and-2083s)?_g=(refreshInterval:(display:Off,section:0,value:0),time:(from:'2016-10-08 04:31:49-0600',mode:absolute,to:'2016-10-08 06:59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2" s="108" t="str">
        <f t="shared" si="0"/>
        <v>"C:\Program Files (x86)\AstroGrep\AstroGrep.exe" /spath="%USERPROFILE%\AppData\Local\Temp\OnboardLogs" /stypes="*4043*201610081*" /stext=" 11:.+((SYSTEM_STATE.+slice.+state.+changed )|(ment ac)|(system.+state.+changed )|(\[timeout)|(PRM\|1\|D)|(kpr)|(kdp)|(\|lc)|(penalty))" /e /r /s</v>
      </c>
      <c r="U22" s="9" t="str">
        <f t="shared" si="1"/>
        <v>4043</v>
      </c>
      <c r="V22" s="38">
        <f t="shared" si="2"/>
        <v>42651.498252314814</v>
      </c>
      <c r="W22" s="52" t="str">
        <f t="shared" si="3"/>
        <v>EC</v>
      </c>
      <c r="X22" s="52" t="str">
        <f t="shared" si="4"/>
        <v>KEEP</v>
      </c>
      <c r="Y22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ID","value":"106-08"},{"id":16,"name":"Locomotive ID","value":"4043"},{"id":130,"name":"Impact","value":""},{"id":150,"name":"Time of Event (Mountain Time)","value":"05:57:29"},{"id":151,"name":"Denver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0" t="str">
        <f t="shared" si="6"/>
        <v>grep -hSE -A100 "Enforcement Action" "%USERPROFILE%\AppData\Local\Temp\OnboardLogs"\RTDC4043\*4043*201610081* | grep -SE "((Enforcement Ac)|(PRM))" -</v>
      </c>
    </row>
    <row r="23" spans="1:29" x14ac:dyDescent="0.25">
      <c r="A23" s="38">
        <v>42651.399664351855</v>
      </c>
      <c r="B23" s="33" t="s">
        <v>169</v>
      </c>
      <c r="C23" s="33" t="s">
        <v>447</v>
      </c>
      <c r="D23" s="33" t="s">
        <v>49</v>
      </c>
      <c r="E23" s="33" t="s">
        <v>50</v>
      </c>
      <c r="F23" s="49">
        <v>0</v>
      </c>
      <c r="G23" s="49">
        <v>83</v>
      </c>
      <c r="H23" s="49">
        <v>307</v>
      </c>
      <c r="I23" s="49">
        <v>203</v>
      </c>
      <c r="J23" s="33" t="s">
        <v>51</v>
      </c>
      <c r="K23" s="49">
        <v>1</v>
      </c>
      <c r="L23" s="145" t="s">
        <v>53</v>
      </c>
      <c r="M23" s="148">
        <f t="shared" si="7"/>
        <v>106.65600000000001</v>
      </c>
      <c r="N23" s="87" t="str">
        <f>VLOOKUP(C23,'Trips&amp;Operators'!$C$1:$E$99999,3,FALSE)</f>
        <v>DAVIS</v>
      </c>
      <c r="O23" s="169" t="s">
        <v>86</v>
      </c>
      <c r="P23" s="10"/>
      <c r="Q23" s="33"/>
      <c r="R23" s="103" t="str">
        <f>VLOOKUP(C23,'Train Runs'!$A$13:$AE$10010,31,0)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S23" s="106" t="str">
        <f>VLOOKUP(C23,'Train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07:49:26-0600',mode:absolute,to:'2016-10-08 10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8" t="str">
        <f t="shared" si="0"/>
        <v>"C:\Program Files (x86)\AstroGrep\AstroGrep.exe" /spath="%USERPROFILE%\AppData\Local\Temp\OnboardLogs" /stypes="*4041*201610081*" /stext=" 15:.+((SYSTEM_STATE.+slice.+state.+changed )|(ment ac)|(system.+state.+changed )|(\[timeout)|(PRM\|1\|D)|(kpr)|(kdp)|(\|lc)|(penalty))" /e /r /s</v>
      </c>
      <c r="U23" s="9" t="str">
        <f t="shared" si="1"/>
        <v>4041</v>
      </c>
      <c r="V23" s="38">
        <f t="shared" si="2"/>
        <v>42651.649664351855</v>
      </c>
      <c r="W23" s="52" t="str">
        <f t="shared" si="3"/>
        <v>EC</v>
      </c>
      <c r="X23" s="52" t="str">
        <f t="shared" si="4"/>
        <v>KEEP</v>
      </c>
      <c r="Y23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ID","value":"136-08"},{"id":16,"name":"Locomotive ID","value":"4041"},{"id":130,"name":"Impact","value":""},{"id":150,"name":"Time of Event (Mountain Time)","value":"09:35:31"},{"id":151,"name":"Denver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0" t="str">
        <f t="shared" si="6"/>
        <v>grep -hSE -A100 "Enforcement Action" "%USERPROFILE%\AppData\Local\Temp\OnboardLogs"\RTDC4041\*4041*201610081* | grep -SE "((Enforcement Ac)|(PRM))" -</v>
      </c>
    </row>
    <row r="24" spans="1:29" x14ac:dyDescent="0.25">
      <c r="A24" s="38">
        <v>42651.577696759261</v>
      </c>
      <c r="B24" s="33" t="s">
        <v>393</v>
      </c>
      <c r="C24" s="33" t="s">
        <v>494</v>
      </c>
      <c r="D24" s="33" t="s">
        <v>49</v>
      </c>
      <c r="E24" s="33" t="s">
        <v>50</v>
      </c>
      <c r="F24" s="49">
        <v>0</v>
      </c>
      <c r="G24" s="49">
        <v>50</v>
      </c>
      <c r="H24" s="49">
        <v>178</v>
      </c>
      <c r="I24" s="49">
        <v>136</v>
      </c>
      <c r="J24" s="33" t="s">
        <v>51</v>
      </c>
      <c r="K24" s="49">
        <v>1</v>
      </c>
      <c r="L24" s="145" t="s">
        <v>53</v>
      </c>
      <c r="M24" s="148">
        <f t="shared" si="7"/>
        <v>71.28</v>
      </c>
      <c r="N24" s="87" t="str">
        <f>VLOOKUP(C24,'Trips&amp;Operators'!$C$1:$E$99999,3,FALSE)</f>
        <v>CLARK</v>
      </c>
      <c r="O24" s="169" t="s">
        <v>86</v>
      </c>
      <c r="P24" s="10"/>
      <c r="Q24" s="33"/>
      <c r="R24" s="103" t="str">
        <f>VLOOKUP(C24,'Train Runs'!$A$13:$AE$10010,31,0)</f>
        <v>aws s3 cp s3://rtdc.mdm.uploadarchive.raw/RTDC4028/ "%USERPROFILE%\AppData\Local\Temp\OnboardLogs"\RTDC4028\2016-10-08 --exclude "*" --recursive --include "*20161008*" &amp; "%USERPROFILE%\Documents\GitHub\mrs-test-scripts\Headless Mode &amp; Sideloading\WalkAndUnGZ.bat" "%USERPROFILE%\AppData\Local\Temp\OnboardLogs"\RTDC4028\2016-10-08 &amp; 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</v>
      </c>
      <c r="S24" s="106" t="str">
        <f>VLOOKUP(C24,'Train Runs'!$A$13:$AE$10010,22,0)</f>
        <v>https://search-rtdc-monitor-bjffxe2xuh6vdkpspy63sjmuny.us-east-1.es.amazonaws.com/_plugin/kibana/#/discover/Steve-Slow-Train-Analysis-(2080s-and-2083s)?_g=(refreshInterval:(display:Off,section:0,value:0),time:(from:'2016-10-08 12:02:02-0600',mode:absolute,to:'2016-10-08 14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4" s="108" t="str">
        <f t="shared" si="0"/>
        <v>"C:\Program Files (x86)\AstroGrep\AstroGrep.exe" /spath="%USERPROFILE%\AppData\Local\Temp\OnboardLogs" /stypes="*4028*201610081*" /stext=" 19:.+((SYSTEM_STATE.+slice.+state.+changed )|(ment ac)|(system.+state.+changed )|(\[timeout)|(PRM\|1\|D)|(kpr)|(kdp)|(\|lc)|(penalty))" /e /r /s</v>
      </c>
      <c r="U24" s="9" t="str">
        <f t="shared" si="1"/>
        <v>4028</v>
      </c>
      <c r="V24" s="38">
        <f t="shared" si="2"/>
        <v>42651.827696759261</v>
      </c>
      <c r="W24" s="52" t="str">
        <f t="shared" si="3"/>
        <v>EC</v>
      </c>
      <c r="X24" s="52" t="str">
        <f t="shared" si="4"/>
        <v>KEEP</v>
      </c>
      <c r="Y24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ID","value":"170-08"},{"id":16,"name":"Locomotive ID","value":"4028"},{"id":130,"name":"Impact","value":""},{"id":150,"name":"Time of Event (Mountain Time)","value":"13:51:53"},{"id":151,"name":"Denver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0" t="str">
        <f t="shared" si="6"/>
        <v>grep -hSE -A100 "Enforcement Action" "%USERPROFILE%\AppData\Local\Temp\OnboardLogs"\RTDC4028\*4028*201610081* | grep -SE "((Enforcement Ac)|(PRM))" -</v>
      </c>
    </row>
    <row r="25" spans="1:29" ht="15" customHeight="1" x14ac:dyDescent="0.25">
      <c r="A25" s="38">
        <v>42651.732789351852</v>
      </c>
      <c r="B25" s="33" t="s">
        <v>378</v>
      </c>
      <c r="C25" s="33" t="s">
        <v>536</v>
      </c>
      <c r="D25" s="33" t="s">
        <v>49</v>
      </c>
      <c r="E25" s="33" t="s">
        <v>50</v>
      </c>
      <c r="F25" s="49">
        <v>0</v>
      </c>
      <c r="G25" s="49">
        <v>34</v>
      </c>
      <c r="H25" s="49">
        <v>129</v>
      </c>
      <c r="I25" s="49">
        <v>119</v>
      </c>
      <c r="J25" s="33" t="s">
        <v>51</v>
      </c>
      <c r="K25" s="49">
        <v>1</v>
      </c>
      <c r="L25" s="145" t="s">
        <v>53</v>
      </c>
      <c r="M25" s="148">
        <f t="shared" si="7"/>
        <v>62.304000000000002</v>
      </c>
      <c r="N25" s="87" t="str">
        <f>VLOOKUP(C25,'Trips&amp;Operators'!$C$1:$E$99999,3,FALSE)</f>
        <v>OUN</v>
      </c>
      <c r="O25" s="169" t="s">
        <v>86</v>
      </c>
      <c r="P25" s="10"/>
      <c r="Q25" s="33"/>
      <c r="R25" s="103" t="str">
        <f>VLOOKUP(C25,'Train Runs'!$A$13:$AE$10010,31,0)</f>
        <v>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 &amp; aws s3 cp s3://rtdc.mdm.uploadarchive.raw/RTDC4037/ "%USERPROFILE%\AppData\Local\Temp\OnboardLogs"\RTDC4037\2016-10-09 --exclude "*" --recursive --include "*20161009*" &amp; "%USERPROFILE%\Documents\GitHub\mrs-test-scripts\Headless Mode &amp; Sideloading\WalkAndUnGZ.bat" "%USERPROFILE%\AppData\Local\Temp\OnboardLogs"\RTDC4037\2016-10-09</v>
      </c>
      <c r="S25" s="106" t="str">
        <f>VLOOKUP(C25,'Train Runs'!$A$13:$AE$10010,22,0)</f>
        <v>https://search-rtdc-monitor-bjffxe2xuh6vdkpspy63sjmuny.us-east-1.es.amazonaws.com/_plugin/kibana/#/discover/Steve-Slow-Train-Analysis-(2080s-and-2083s)?_g=(refreshInterval:(display:Off,section:0,value:0),time:(from:'2016-10-08 15:50:47-0600',mode:absolute,to:'2016-10-08 18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5" s="108" t="str">
        <f t="shared" si="0"/>
        <v>"C:\Program Files (x86)\AstroGrep\AstroGrep.exe" /spath="%USERPROFILE%\AppData\Local\Temp\OnboardLogs" /stypes="*4037*201610082*" /stext=" 23:.+((SYSTEM_STATE.+slice.+state.+changed )|(ment ac)|(system.+state.+changed )|(\[timeout)|(PRM\|1\|D)|(kpr)|(kdp)|(\|lc)|(penalty))" /e /r /s</v>
      </c>
      <c r="U25" s="9" t="str">
        <f t="shared" si="1"/>
        <v>4037</v>
      </c>
      <c r="V25" s="38">
        <f t="shared" si="2"/>
        <v>42651.982789351852</v>
      </c>
      <c r="W25" s="52" t="str">
        <f t="shared" si="3"/>
        <v>EC</v>
      </c>
      <c r="X25" s="52" t="str">
        <f t="shared" si="4"/>
        <v>KEEP</v>
      </c>
      <c r="Y25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ID","value":"200-08"},{"id":16,"name":"Locomotive ID","value":"4037"},{"id":130,"name":"Impact","value":""},{"id":150,"name":"Time of Event (Mountain Time)","value":"17:35:13"},{"id":151,"name":"Denver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0" t="str">
        <f t="shared" si="6"/>
        <v>grep -hSE -A100 "Enforcement Action" "%USERPROFILE%\AppData\Local\Temp\OnboardLogs"\RTDC4037\*4037*201610082* | grep -SE "((Enforcement Ac)|(PRM))" -</v>
      </c>
    </row>
    <row r="26" spans="1:29" x14ac:dyDescent="0.25">
      <c r="A26" s="38">
        <v>42651.753067129626</v>
      </c>
      <c r="B26" s="33" t="s">
        <v>398</v>
      </c>
      <c r="C26" s="33" t="s">
        <v>541</v>
      </c>
      <c r="D26" s="33" t="s">
        <v>49</v>
      </c>
      <c r="E26" s="33" t="s">
        <v>50</v>
      </c>
      <c r="F26" s="49">
        <v>0</v>
      </c>
      <c r="G26" s="49">
        <v>87</v>
      </c>
      <c r="H26" s="49">
        <v>320</v>
      </c>
      <c r="I26" s="49">
        <v>221</v>
      </c>
      <c r="J26" s="33" t="s">
        <v>51</v>
      </c>
      <c r="K26" s="49">
        <v>1</v>
      </c>
      <c r="L26" s="145" t="s">
        <v>53</v>
      </c>
      <c r="M26" s="148">
        <f t="shared" si="7"/>
        <v>116.16</v>
      </c>
      <c r="N26" s="87" t="str">
        <f>VLOOKUP(C26,'Trips&amp;Operators'!$C$1:$E$99999,3,FALSE)</f>
        <v>BARTLETT</v>
      </c>
      <c r="O26" s="169" t="s">
        <v>86</v>
      </c>
      <c r="P26" s="10"/>
      <c r="Q26" s="33"/>
      <c r="R26" s="103" t="str">
        <f>VLOOKUP(C26,'Train Runs'!$A$13:$AE$10010,31,0)</f>
        <v>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 &amp; aws s3 cp s3://rtdc.mdm.uploadarchive.raw/RTDC4043/ "%USERPROFILE%\AppData\Local\Temp\OnboardLogs"\RTDC4043\2016-10-09 --exclude "*" --recursive --include "*20161009*" &amp; "%USERPROFILE%\Documents\GitHub\mrs-test-scripts\Headless Mode &amp; Sideloading\WalkAndUnGZ.bat" "%USERPROFILE%\AppData\Local\Temp\OnboardLogs"\RTDC4043\2016-10-09</v>
      </c>
      <c r="S26" s="106" t="str">
        <f>VLOOKUP(C26,'Train Runs'!$A$13:$AE$10010,22,0)</f>
        <v>https://search-rtdc-monitor-bjffxe2xuh6vdkpspy63sjmuny.us-east-1.es.amazonaws.com/_plugin/kibana/#/discover/Steve-Slow-Train-Analysis-(2080s-and-2083s)?_g=(refreshInterval:(display:Off,section:0,value:0),time:(from:'2016-10-08 16:10:12-0600',mode:absolute,to:'2016-10-08 19:04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6" s="108" t="str">
        <f t="shared" si="0"/>
        <v>"C:\Program Files (x86)\AstroGrep\AstroGrep.exe" /spath="%USERPROFILE%\AppData\Local\Temp\OnboardLogs" /stypes="*4043*201610090*" /stext=" 00:.+((SYSTEM_STATE.+slice.+state.+changed )|(ment ac)|(system.+state.+changed )|(\[timeout)|(PRM\|1\|D)|(kpr)|(kdp)|(\|lc)|(penalty))" /e /r /s</v>
      </c>
      <c r="U26" s="9" t="str">
        <f t="shared" si="1"/>
        <v>4043</v>
      </c>
      <c r="V26" s="38">
        <f t="shared" si="2"/>
        <v>42652.003067129626</v>
      </c>
      <c r="W26" s="52" t="str">
        <f t="shared" si="3"/>
        <v>EC</v>
      </c>
      <c r="X26" s="52" t="str">
        <f t="shared" si="4"/>
        <v>KEEP</v>
      </c>
      <c r="Y26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ID","value":"204-08"},{"id":16,"name":"Locomotive ID","value":"4043"},{"id":130,"name":"Impact","value":""},{"id":150,"name":"Time of Event (Mountain Time)","value":"18:04:25"},{"id":151,"name":"Denver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0" t="str">
        <f t="shared" si="6"/>
        <v>grep -hSE -A100 "Enforcement Action" "%USERPROFILE%\AppData\Local\Temp\OnboardLogs"\RTDC4043\*4043*201610090* | grep -SE "((Enforcement Ac)|(PRM))" -</v>
      </c>
    </row>
    <row r="27" spans="1:29" x14ac:dyDescent="0.25">
      <c r="A27" s="38">
        <v>42651.76525462963</v>
      </c>
      <c r="B27" s="33" t="s">
        <v>169</v>
      </c>
      <c r="C27" s="33" t="s">
        <v>544</v>
      </c>
      <c r="D27" s="33" t="s">
        <v>49</v>
      </c>
      <c r="E27" s="33" t="s">
        <v>50</v>
      </c>
      <c r="F27" s="49">
        <v>0</v>
      </c>
      <c r="G27" s="49">
        <v>65</v>
      </c>
      <c r="H27" s="49">
        <v>238</v>
      </c>
      <c r="I27" s="49">
        <v>178</v>
      </c>
      <c r="J27" s="33" t="s">
        <v>51</v>
      </c>
      <c r="K27" s="49">
        <v>1</v>
      </c>
      <c r="L27" s="145" t="s">
        <v>53</v>
      </c>
      <c r="M27" s="148">
        <f t="shared" si="7"/>
        <v>93.456000000000003</v>
      </c>
      <c r="N27" s="87" t="str">
        <f>VLOOKUP(C27,'Trips&amp;Operators'!$C$1:$E$99999,3,FALSE)</f>
        <v>MOSES</v>
      </c>
      <c r="O27" s="169" t="s">
        <v>86</v>
      </c>
      <c r="P27" s="10"/>
      <c r="Q27" s="33"/>
      <c r="R27" s="103" t="str">
        <f>VLOOKUP(C27,'Train Runs'!$A$13:$AE$10010,31,0)</f>
        <v>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 &amp; aws s3 cp s3://rtdc.mdm.uploadarchive.raw/RTDC4041/ "%USERPROFILE%\AppData\Local\Temp\OnboardLogs"\RTDC4041\2016-10-09 --exclude "*" --recursive --include "*20161009*" &amp; "%USERPROFILE%\Documents\GitHub\mrs-test-scripts\Headless Mode &amp; Sideloading\WalkAndUnGZ.bat" "%USERPROFILE%\AppData\Local\Temp\OnboardLogs"\RTDC4041\2016-10-09</v>
      </c>
      <c r="S27" s="106" t="str">
        <f>VLOOKUP(C27,'Train Runs'!$A$13:$AE$10010,22,0)</f>
        <v>https://search-rtdc-monitor-bjffxe2xuh6vdkpspy63sjmuny.us-east-1.es.amazonaws.com/_plugin/kibana/#/discover/Steve-Slow-Train-Analysis-(2080s-and-2083s)?_g=(refreshInterval:(display:Off,section:0,value:0),time:(from:'2016-10-08 16:33:32-0600',mode:absolute,to:'2016-10-08 19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7" s="108" t="str">
        <f t="shared" si="0"/>
        <v>"C:\Program Files (x86)\AstroGrep\AstroGrep.exe" /spath="%USERPROFILE%\AppData\Local\Temp\OnboardLogs" /stypes="*4041*201610090*" /stext=" 00:.+((SYSTEM_STATE.+slice.+state.+changed )|(ment ac)|(system.+state.+changed )|(\[timeout)|(PRM\|1\|D)|(kpr)|(kdp)|(\|lc)|(penalty))" /e /r /s</v>
      </c>
      <c r="U27" s="9" t="str">
        <f t="shared" si="1"/>
        <v>4041</v>
      </c>
      <c r="V27" s="38">
        <f t="shared" si="2"/>
        <v>42652.01525462963</v>
      </c>
      <c r="W27" s="52" t="str">
        <f t="shared" si="3"/>
        <v>EC</v>
      </c>
      <c r="X27" s="52" t="str">
        <f t="shared" si="4"/>
        <v>KEEP</v>
      </c>
      <c r="Y27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{"issue":{"subject":"","project_id":79,"tracker_id":40,"status_id":1,"priority_id":2,"assigned_to_id":23,"start_date":"2016-10-08","description":"","custom_fields":[{"id":1,"name":"Subdivision","value":"EC"},{"id":4,"name":"Milepost","value":"0.0001"},{"id":17,"name":"Train ID","value":"206-08"},{"id":16,"name":"Locomotive ID","value":"4041"},{"id":130,"name":"Impact","value":""},{"id":150,"name":"Time of Event (Mountain Time)","value":"18:21:58"},{"id":151,"name":"Denver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0" t="str">
        <f t="shared" si="6"/>
        <v>grep -hSE -A100 "Enforcement Action" "%USERPROFILE%\AppData\Local\Temp\OnboardLogs"\RTDC4041\*4041*201610090* | grep -SE "((Enforcement Ac)|(PRM))" -</v>
      </c>
    </row>
    <row r="28" spans="1:29" x14ac:dyDescent="0.25">
      <c r="A28" s="38">
        <v>42651.255949074075</v>
      </c>
      <c r="B28" s="33" t="s">
        <v>384</v>
      </c>
      <c r="C28" s="33" t="s">
        <v>413</v>
      </c>
      <c r="D28" s="33" t="s">
        <v>49</v>
      </c>
      <c r="E28" s="33" t="s">
        <v>50</v>
      </c>
      <c r="F28" s="49">
        <v>0</v>
      </c>
      <c r="G28" s="49">
        <v>145</v>
      </c>
      <c r="H28" s="49">
        <v>232815</v>
      </c>
      <c r="I28" s="49">
        <v>233000</v>
      </c>
      <c r="J28" s="33" t="s">
        <v>51</v>
      </c>
      <c r="K28" s="49">
        <v>233491</v>
      </c>
      <c r="L28" s="145" t="s">
        <v>52</v>
      </c>
      <c r="M28" s="148">
        <f t="shared" si="7"/>
        <v>259.24799999999999</v>
      </c>
      <c r="N28" s="87" t="str">
        <f>VLOOKUP(C28,'Trips&amp;Operators'!$C$1:$E$99999,3,FALSE)</f>
        <v>STRICKLAND</v>
      </c>
      <c r="O28" s="169" t="s">
        <v>86</v>
      </c>
      <c r="P28" s="10"/>
      <c r="Q28" s="33"/>
      <c r="R28" s="103" t="str">
        <f>VLOOKUP(C28,'Train Runs'!$A$13:$AE$10010,31,0)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S28" s="106" t="str">
        <f>VLOOKUP(C28,'Train Runs'!$A$13:$AE$10010,22,0)</f>
        <v>https://search-rtdc-monitor-bjffxe2xuh6vdkpspy63sjmuny.us-east-1.es.amazonaws.com/_plugin/kibana/#/discover/Steve-Slow-Train-Analysis-(2080s-and-2083s)?_g=(refreshInterval:(display:Off,section:0,value:0),time:(from:'2016-10-08 04:24:28-0600',mode:absolute,to:'2016-10-08 07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8" s="108" t="str">
        <f t="shared" si="0"/>
        <v>"C:\Program Files (x86)\AstroGrep\AstroGrep.exe" /spath="%USERPROFILE%\AppData\Local\Temp\OnboardLogs" /stypes="*4038*201610081*" /stext=" 12:.+((SYSTEM_STATE.+slice.+state.+changed )|(ment ac)|(system.+state.+changed )|(\[timeout)|(PRM\|1\|D)|(kpr)|(kdp)|(\|lc)|(penalty))" /e /r /s</v>
      </c>
      <c r="U28" s="9" t="str">
        <f t="shared" si="1"/>
        <v>4038</v>
      </c>
      <c r="V28" s="38">
        <f t="shared" si="2"/>
        <v>42651.505949074075</v>
      </c>
      <c r="W28" s="52" t="str">
        <f t="shared" si="3"/>
        <v>EC</v>
      </c>
      <c r="X28" s="52" t="str">
        <f t="shared" si="4"/>
        <v>KEEP</v>
      </c>
      <c r="Y28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{"issue":{"subject":"","project_id":79,"tracker_id":40,"status_id":1,"priority_id":2,"assigned_to_id":23,"start_date":"2016-10-08","description":"","custom_fields":[{"id":1,"name":"Subdivision","value":"EC"},{"id":4,"name":"Milepost","value":"23.3491"},{"id":17,"name":"Train ID","value":"115-08"},{"id":16,"name":"Locomotive ID","value":"4038"},{"id":130,"name":"Impact","value":""},{"id":150,"name":"Time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0" t="str">
        <f t="shared" si="6"/>
        <v>grep -hSE -A100 "Enforcement Action" "%USERPROFILE%\AppData\Local\Temp\OnboardLogs"\RTDC4038\*4038*201610081* | grep -SE "((Enforcement Ac)|(PRM))" -</v>
      </c>
    </row>
    <row r="29" spans="1:29" x14ac:dyDescent="0.25">
      <c r="A29" s="38">
        <v>42651.348171296297</v>
      </c>
      <c r="B29" s="33" t="s">
        <v>259</v>
      </c>
      <c r="C29" s="33" t="s">
        <v>434</v>
      </c>
      <c r="D29" s="33" t="s">
        <v>49</v>
      </c>
      <c r="E29" s="33" t="s">
        <v>50</v>
      </c>
      <c r="F29" s="49">
        <v>0</v>
      </c>
      <c r="G29" s="49">
        <v>62</v>
      </c>
      <c r="H29" s="49">
        <v>233270</v>
      </c>
      <c r="I29" s="49">
        <v>233325</v>
      </c>
      <c r="J29" s="33" t="s">
        <v>51</v>
      </c>
      <c r="K29" s="49">
        <v>233491</v>
      </c>
      <c r="L29" s="145" t="s">
        <v>52</v>
      </c>
      <c r="M29" s="148">
        <f t="shared" si="7"/>
        <v>87.647999999999996</v>
      </c>
      <c r="N29" s="87" t="str">
        <f>VLOOKUP(C29,'Trips&amp;Operators'!$C$1:$E$99999,3,FALSE)</f>
        <v>ACKERMAN</v>
      </c>
      <c r="O29" s="169" t="s">
        <v>86</v>
      </c>
      <c r="P29" s="10"/>
      <c r="Q29" s="33"/>
      <c r="R29" s="103" t="str">
        <f>VLOOKUP(C29,'Train Runs'!$A$13:$AE$10010,31,0)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S29" s="106" t="str">
        <f>VLOOKUP(C29,'Train Runs'!$A$13:$AE$10010,22,0)</f>
        <v>https://search-rtdc-monitor-bjffxe2xuh6vdkpspy63sjmuny.us-east-1.es.amazonaws.com/_plugin/kibana/#/discover/Steve-Slow-Train-Analysis-(2080s-and-2083s)?_g=(refreshInterval:(display:Off,section:0,value:0),time:(from:'2016-10-08 06:43:38-0600',mode:absolute,to:'2016-10-08 09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9" s="108" t="str">
        <f t="shared" si="0"/>
        <v>"C:\Program Files (x86)\AstroGrep\AstroGrep.exe" /spath="%USERPROFILE%\AppData\Local\Temp\OnboardLogs" /stypes="*4044*201610081*" /stext=" 14:.+((SYSTEM_STATE.+slice.+state.+changed )|(ment ac)|(system.+state.+changed )|(\[timeout)|(PRM\|1\|D)|(kpr)|(kdp)|(\|lc)|(penalty))" /e /r /s</v>
      </c>
      <c r="U29" s="9" t="str">
        <f t="shared" si="1"/>
        <v>4044</v>
      </c>
      <c r="V29" s="38">
        <f t="shared" si="2"/>
        <v>42651.598171296297</v>
      </c>
      <c r="W29" s="52" t="str">
        <f t="shared" si="3"/>
        <v>EC</v>
      </c>
      <c r="X29" s="52" t="str">
        <f t="shared" si="4"/>
        <v>KEEP</v>
      </c>
      <c r="Y29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{"issue":{"subject":"","project_id":79,"tracker_id":40,"status_id":1,"priority_id":2,"assigned_to_id":23,"start_date":"2016-10-08","description":"","custom_fields":[{"id":1,"name":"Subdivision","value":"EC"},{"id":4,"name":"Milepost","value":"23.3491"},{"id":17,"name":"Train ID","value":"133-08"},{"id":16,"name":"Locomotive ID","value":"4044"},{"id":130,"name":"Impact","value":""},{"id":150,"name":"Time of Event (Mountain Time)","value":"08:21:22"},{"id":151,"name":"Denver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0" t="str">
        <f t="shared" si="6"/>
        <v>grep -hSE -A100 "Enforcement Action" "%USERPROFILE%\AppData\Local\Temp\OnboardLogs"\RTDC4044\*4044*201610081* | grep -SE "((Enforcement Ac)|(PRM))" -</v>
      </c>
    </row>
    <row r="30" spans="1:29" x14ac:dyDescent="0.25">
      <c r="A30" s="38">
        <v>42651.348553240743</v>
      </c>
      <c r="B30" s="33" t="s">
        <v>259</v>
      </c>
      <c r="C30" s="33" t="s">
        <v>434</v>
      </c>
      <c r="D30" s="33" t="s">
        <v>49</v>
      </c>
      <c r="E30" s="33" t="s">
        <v>50</v>
      </c>
      <c r="F30" s="49">
        <v>0</v>
      </c>
      <c r="G30" s="49">
        <v>43</v>
      </c>
      <c r="H30" s="49">
        <v>233374</v>
      </c>
      <c r="I30" s="49">
        <v>233431</v>
      </c>
      <c r="J30" s="33" t="s">
        <v>51</v>
      </c>
      <c r="K30" s="49">
        <v>233491</v>
      </c>
      <c r="L30" s="145" t="s">
        <v>52</v>
      </c>
      <c r="M30" s="148">
        <f t="shared" si="7"/>
        <v>31.68</v>
      </c>
      <c r="N30" s="87" t="str">
        <f>VLOOKUP(C30,'Trips&amp;Operators'!$C$1:$E$99999,3,FALSE)</f>
        <v>ACKERMAN</v>
      </c>
      <c r="O30" s="169" t="s">
        <v>86</v>
      </c>
      <c r="P30" s="10"/>
      <c r="Q30" s="33"/>
      <c r="R30" s="103" t="str">
        <f>VLOOKUP(C30,'Train Runs'!$A$13:$AE$10010,31,0)</f>
        <v>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 &amp; 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</v>
      </c>
      <c r="S30" s="106" t="str">
        <f>VLOOKUP(C30,'Train Runs'!$A$13:$AE$10010,22,0)</f>
        <v>https://search-rtdc-monitor-bjffxe2xuh6vdkpspy63sjmuny.us-east-1.es.amazonaws.com/_plugin/kibana/#/discover/Steve-Slow-Train-Analysis-(2080s-and-2083s)?_g=(refreshInterval:(display:Off,section:0,value:0),time:(from:'2016-10-08 06:43:38-0600',mode:absolute,to:'2016-10-08 09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0" s="108" t="str">
        <f t="shared" si="0"/>
        <v>"C:\Program Files (x86)\AstroGrep\AstroGrep.exe" /spath="%USERPROFILE%\AppData\Local\Temp\OnboardLogs" /stypes="*4044*201610081*" /stext=" 14:.+((SYSTEM_STATE.+slice.+state.+changed )|(ment ac)|(system.+state.+changed )|(\[timeout)|(PRM\|1\|D)|(kpr)|(kdp)|(\|lc)|(penalty))" /e /r /s</v>
      </c>
      <c r="U30" s="9" t="str">
        <f t="shared" si="1"/>
        <v>4044</v>
      </c>
      <c r="V30" s="38">
        <f t="shared" si="2"/>
        <v>42651.598553240743</v>
      </c>
      <c r="W30" s="52" t="str">
        <f t="shared" si="3"/>
        <v>EC</v>
      </c>
      <c r="X30" s="52" t="str">
        <f t="shared" si="4"/>
        <v>KEEP</v>
      </c>
      <c r="Y30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{"issue":{"subject":"","project_id":79,"tracker_id":40,"status_id":1,"priority_id":2,"assigned_to_id":23,"start_date":"2016-10-08","description":"","custom_fields":[{"id":1,"name":"Subdivision","value":"EC"},{"id":4,"name":"Milepost","value":"23.3491"},{"id":17,"name":"Train ID","value":"133-08"},{"id":16,"name":"Locomotive ID","value":"4044"},{"id":130,"name":"Impact","value":""},{"id":150,"name":"Time of Event (Mountain Time)","value":"08:21:55"},{"id":151,"name":"Denver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0" t="str">
        <f t="shared" si="6"/>
        <v>grep -hSE -A100 "Enforcement Action" "%USERPROFILE%\AppData\Local\Temp\OnboardLogs"\RTDC4044\*4044*201610081* | grep -SE "((Enforcement Ac)|(PRM))" -</v>
      </c>
    </row>
    <row r="31" spans="1:29" ht="15" customHeight="1" x14ac:dyDescent="0.25">
      <c r="A31" s="38">
        <v>42651.61923611111</v>
      </c>
      <c r="B31" s="33" t="s">
        <v>384</v>
      </c>
      <c r="C31" s="33" t="s">
        <v>506</v>
      </c>
      <c r="D31" s="33" t="s">
        <v>49</v>
      </c>
      <c r="E31" s="33" t="s">
        <v>50</v>
      </c>
      <c r="F31" s="49">
        <v>0</v>
      </c>
      <c r="G31" s="49">
        <v>49</v>
      </c>
      <c r="H31" s="49">
        <v>233278</v>
      </c>
      <c r="I31" s="49">
        <v>233344</v>
      </c>
      <c r="J31" s="33" t="s">
        <v>51</v>
      </c>
      <c r="K31" s="49">
        <v>233491</v>
      </c>
      <c r="L31" s="145" t="s">
        <v>52</v>
      </c>
      <c r="M31" s="148">
        <f t="shared" si="7"/>
        <v>77.616</v>
      </c>
      <c r="N31" s="87" t="str">
        <f>VLOOKUP(C31,'Trips&amp;Operators'!$C$1:$E$99999,3,FALSE)</f>
        <v>OUN</v>
      </c>
      <c r="O31" s="169" t="s">
        <v>86</v>
      </c>
      <c r="P31" s="10"/>
      <c r="Q31" s="33"/>
      <c r="R31" s="103" t="str">
        <f>VLOOKUP(C31,'Train Runs'!$A$13:$AE$10010,31,0)</f>
        <v>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 &amp; aws s3 cp s3://rtdc.mdm.uploadarchive.raw/RTDC4038/ "%USERPROFILE%\AppData\Local\Temp\OnboardLogs"\RTDC4038\2016-10-09 --exclude "*" --recursive --include "*20161009*" &amp; "%USERPROFILE%\Documents\GitHub\mrs-test-scripts\Headless Mode &amp; Sideloading\WalkAndUnGZ.bat" "%USERPROFILE%\AppData\Local\Temp\OnboardLogs"\RTDC4038\2016-10-09</v>
      </c>
      <c r="S31" s="106" t="str">
        <f>VLOOKUP(C31,'Train Runs'!$A$13:$AE$10010,22,0)</f>
        <v>https://search-rtdc-monitor-bjffxe2xuh6vdkpspy63sjmuny.us-east-1.es.amazonaws.com/_plugin/kibana/#/discover/Steve-Slow-Train-Analysis-(2080s-and-2083s)?_g=(refreshInterval:(display:Off,section:0,value:0),time:(from:'2016-10-08 13:08:51-0600',mode:absolute,to:'2016-10-08 15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1" s="108" t="str">
        <f t="shared" si="0"/>
        <v>"C:\Program Files (x86)\AstroGrep\AstroGrep.exe" /spath="%USERPROFILE%\AppData\Local\Temp\OnboardLogs" /stypes="*4038*201610082*" /stext=" 20:.+((SYSTEM_STATE.+slice.+state.+changed )|(ment ac)|(system.+state.+changed )|(\[timeout)|(PRM\|1\|D)|(kpr)|(kdp)|(\|lc)|(penalty))" /e /r /s</v>
      </c>
      <c r="U31" s="9" t="str">
        <f t="shared" si="1"/>
        <v>4038</v>
      </c>
      <c r="V31" s="38">
        <f t="shared" si="2"/>
        <v>42651.86923611111</v>
      </c>
      <c r="W31" s="52" t="str">
        <f t="shared" si="3"/>
        <v>EC</v>
      </c>
      <c r="X31" s="52" t="str">
        <f t="shared" si="4"/>
        <v>KEEP</v>
      </c>
      <c r="Y31" s="129" t="str">
        <f t="shared" si="5"/>
        <v>echo {"issue":{"subject":"","project_id":79,"tracker_id":40,"status_id":1,"priority_id":2,"assigned_to_id":23,"start_date":"2016-10-08","description":"","custom_fields":[{"id":1,"name":"Subdivision","value":"EC"},{"id":4,"name":"Milepost","value":"23.3491"},{"id":17,"name":"Train ID","value":"185-08"},{"id":16,"name":"Locomotive ID","value":"4038"},{"id":130,"name":"Impact","value":""},{"id":150,"name":"Time of Event (Mountain Time)","value":"14:51:42"},{"id":151,"name":"Denver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0" t="str">
        <f t="shared" si="6"/>
        <v>grep -hSE -A100 "Enforcement Action" "%USERPROFILE%\AppData\Local\Temp\OnboardLogs"\RTDC4038\*4038*201610082* | grep -SE "((Enforcement Ac)|(PRM))" -</v>
      </c>
    </row>
    <row r="32" spans="1:29" x14ac:dyDescent="0.25">
      <c r="A32" s="38">
        <v>42651.806817129633</v>
      </c>
      <c r="B32" s="33" t="s">
        <v>220</v>
      </c>
      <c r="C32" s="33" t="s">
        <v>566</v>
      </c>
      <c r="D32" s="33" t="s">
        <v>105</v>
      </c>
      <c r="E32" s="33" t="s">
        <v>56</v>
      </c>
      <c r="F32" s="49">
        <v>150</v>
      </c>
      <c r="G32" s="49">
        <v>202</v>
      </c>
      <c r="H32" s="49">
        <v>2038</v>
      </c>
      <c r="I32" s="49">
        <v>2365</v>
      </c>
      <c r="J32" s="33" t="s">
        <v>57</v>
      </c>
      <c r="K32" s="49">
        <v>574</v>
      </c>
      <c r="L32" s="145" t="s">
        <v>52</v>
      </c>
      <c r="M32" s="148">
        <f t="shared" si="7"/>
        <v>-945.64800000000002</v>
      </c>
      <c r="N32" s="87" t="str">
        <f>VLOOKUP(C32,'Trips&amp;Operators'!$C$1:$E$99999,3,FALSE)</f>
        <v>BROWN</v>
      </c>
      <c r="O32" s="169" t="s">
        <v>86</v>
      </c>
      <c r="P32" s="10"/>
      <c r="Q32" s="33"/>
      <c r="R32" s="103" t="str">
        <f>VLOOKUP(C32,'Train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2" s="106" t="str">
        <f>VLOOKUP(C32,'Train Runs'!$A$13:$AE$10010,22,0)</f>
        <v>https://search-rtdc-monitor-bjffxe2xuh6vdkpspy63sjmuny.us-east-1.es.amazonaws.com/_plugin/kibana/#/discover/Steve-Slow-Train-Analysis-(2080s-and-2083s)?_g=(refreshInterval:(display:Off,section:0,value:0),time:(from:'2016-10-08 18:10:47-0600',mode:absolute,to:'2016-10-08 20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2" s="108" t="str">
        <f t="shared" si="0"/>
        <v>"C:\Program Files (x86)\AstroGrep\AstroGrep.exe" /spath="%USERPROFILE%\AppData\Local\Temp\OnboardLogs" /stypes="*4018*201610090*" /stext=" 01:.+((SYSTEM_STATE.+slice.+state.+changed )|(ment ac)|(system.+state.+changed )|(\[timeout)|(PRM\|1\|D)|(kpr)|(kdp)|(\|lc)|(penalty))" /e /r /s</v>
      </c>
      <c r="U32" s="9" t="str">
        <f t="shared" si="1"/>
        <v>4018</v>
      </c>
      <c r="V32" s="38">
        <f t="shared" si="2"/>
        <v>42652.056817129633</v>
      </c>
      <c r="W32" s="52" t="str">
        <f t="shared" si="3"/>
        <v>NW</v>
      </c>
      <c r="X32" s="52" t="str">
        <f t="shared" si="4"/>
        <v>KEEP</v>
      </c>
      <c r="Y32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{"issue":{"subject":"","project_id":79,"tracker_id":40,"status_id":1,"priority_id":2,"assigned_to_id":23,"start_date":"2016-10-08","description":"","custom_fields":[{"id":1,"name":"Subdivision","value":"NW"},{"id":4,"name":"Milepost","value":"0.0574"},{"id":17,"name":"Train ID","value":"1827-08"},{"id":16,"name":"Locomotive ID","value":"4018"},{"id":130,"name":"Impact","value":""},{"id":150,"name":"Time of Event (Mountain Time)","value":"19:21:49"},{"id":151,"name":"Denver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0" t="str">
        <f t="shared" si="6"/>
        <v>grep -hSE -A100 "Enforcement Action" "%USERPROFILE%\AppData\Local\Temp\OnboardLogs"\RTDC4018\*4018*201610090* | grep -SE "((Enforcement Ac)|(PRM))" -</v>
      </c>
    </row>
    <row r="33" spans="1:29" ht="15" customHeight="1" x14ac:dyDescent="0.25">
      <c r="A33" s="38">
        <v>42651.827094907407</v>
      </c>
      <c r="B33" s="33" t="s">
        <v>219</v>
      </c>
      <c r="C33" s="33" t="s">
        <v>570</v>
      </c>
      <c r="D33" s="33" t="s">
        <v>105</v>
      </c>
      <c r="E33" s="33" t="s">
        <v>56</v>
      </c>
      <c r="F33" s="49">
        <v>300</v>
      </c>
      <c r="G33" s="49">
        <v>350</v>
      </c>
      <c r="H33" s="49">
        <v>21223</v>
      </c>
      <c r="I33" s="49">
        <v>20562</v>
      </c>
      <c r="J33" s="33" t="s">
        <v>57</v>
      </c>
      <c r="K33" s="49">
        <v>23561</v>
      </c>
      <c r="L33" s="145" t="s">
        <v>53</v>
      </c>
      <c r="M33" s="148">
        <f t="shared" si="7"/>
        <v>-1583.472</v>
      </c>
      <c r="N33" s="87" t="str">
        <f>VLOOKUP(C33,'Trips&amp;Operators'!$C$1:$E$99999,3,FALSE)</f>
        <v>BROWN</v>
      </c>
      <c r="O33" s="169" t="s">
        <v>86</v>
      </c>
      <c r="P33" s="10"/>
      <c r="Q33" s="33"/>
      <c r="R33" s="103" t="str">
        <f>VLOOKUP(C33,'Train Runs'!$A$13:$AE$10010,31,0)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S33" s="106" t="str">
        <f>VLOOKUP(C33,'Train Runs'!$A$13:$AE$10010,22,0)</f>
        <v>https://search-rtdc-monitor-bjffxe2xuh6vdkpspy63sjmuny.us-east-1.es.amazonaws.com/_plugin/kibana/#/discover/Steve-Slow-Train-Analysis-(2080s-and-2083s)?_g=(refreshInterval:(display:Off,section:0,value:0),time:(from:'2016-10-08 18:40:21-0600',mode:absolute,to:'2016-10-08 20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3" s="108" t="str">
        <f t="shared" si="0"/>
        <v>"C:\Program Files (x86)\AstroGrep\AstroGrep.exe" /spath="%USERPROFILE%\AppData\Local\Temp\OnboardLogs" /stypes="*4017*201610090*" /stext=" 01:.+((SYSTEM_STATE.+slice.+state.+changed )|(ment ac)|(system.+state.+changed )|(\[timeout)|(PRM\|1\|D)|(kpr)|(kdp)|(\|lc)|(penalty))" /e /r /s</v>
      </c>
      <c r="U33" s="9" t="str">
        <f t="shared" si="1"/>
        <v>4017</v>
      </c>
      <c r="V33" s="38">
        <f t="shared" si="2"/>
        <v>42652.077094907407</v>
      </c>
      <c r="W33" s="52" t="str">
        <f t="shared" si="3"/>
        <v>NW</v>
      </c>
      <c r="X33" s="52" t="str">
        <f t="shared" si="4"/>
        <v>KEEP</v>
      </c>
      <c r="Y33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{"issue":{"subject":"","project_id":79,"tracker_id":40,"status_id":1,"priority_id":2,"assigned_to_id":23,"start_date":"2016-10-08","description":"","custom_fields":[{"id":1,"name":"Subdivision","value":"NW"},{"id":4,"name":"Milepost","value":"2.3561"},{"id":17,"name":"Train ID","value":"1828-08"},{"id":16,"name":"Locomotive ID","value":"4017"},{"id":130,"name":"Impact","value":""},{"id":150,"name":"Time of Event (Mountain Time)","value":"19:51:01"},{"id":151,"name":"Denver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0" t="str">
        <f t="shared" si="6"/>
        <v>grep -hSE -A100 "Enforcement Action" "%USERPROFILE%\AppData\Local\Temp\OnboardLogs"\RTDC4017\*4017*201610090* | grep -SE "((Enforcement Ac)|(PRM))" -</v>
      </c>
    </row>
    <row r="34" spans="1:29" x14ac:dyDescent="0.25">
      <c r="A34" s="38">
        <v>42651.353067129632</v>
      </c>
      <c r="B34" s="33" t="s">
        <v>220</v>
      </c>
      <c r="C34" s="33" t="s">
        <v>439</v>
      </c>
      <c r="D34" s="33" t="s">
        <v>49</v>
      </c>
      <c r="E34" s="33" t="s">
        <v>56</v>
      </c>
      <c r="F34" s="49">
        <v>600</v>
      </c>
      <c r="G34" s="49">
        <v>656</v>
      </c>
      <c r="H34" s="49">
        <v>29051</v>
      </c>
      <c r="I34" s="49">
        <v>31405</v>
      </c>
      <c r="J34" s="33" t="s">
        <v>57</v>
      </c>
      <c r="K34" s="49">
        <v>30578</v>
      </c>
      <c r="L34" s="145" t="s">
        <v>52</v>
      </c>
      <c r="M34" s="148">
        <f t="shared" si="7"/>
        <v>-436.65600000000001</v>
      </c>
      <c r="N34" s="87" t="str">
        <f>VLOOKUP(C34,'Trips&amp;Operators'!$C$1:$E$99999,3,FALSE)</f>
        <v>YORK</v>
      </c>
      <c r="O34" s="169" t="s">
        <v>86</v>
      </c>
      <c r="P34" s="10"/>
      <c r="Q34" s="33"/>
      <c r="R34" s="103" t="str">
        <f>VLOOKUP(C34,'Train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4" s="106" t="str">
        <f>VLOOKUP(C34,'Train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07:04:35-0600',mode:absolute,to:'2016-10-08 09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4" s="108" t="str">
        <f t="shared" si="0"/>
        <v>"C:\Program Files (x86)\AstroGrep\AstroGrep.exe" /spath="%USERPROFILE%\AppData\Local\Temp\OnboardLogs" /stypes="*4018*201610081*" /stext=" 14:.+((SYSTEM_STATE.+slice.+state.+changed )|(ment ac)|(system.+state.+changed )|(\[timeout)|(PRM\|1\|D)|(kpr)|(kdp)|(\|lc)|(penalty))" /e /r /s</v>
      </c>
      <c r="U34" s="9" t="str">
        <f t="shared" si="1"/>
        <v>4018</v>
      </c>
      <c r="V34" s="38">
        <f t="shared" si="2"/>
        <v>42651.603067129632</v>
      </c>
      <c r="W34" s="52" t="str">
        <f t="shared" si="3"/>
        <v>NW</v>
      </c>
      <c r="X34" s="52" t="str">
        <f t="shared" si="4"/>
        <v>KEEP</v>
      </c>
      <c r="Y34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{"issue":{"subject":"","project_id":79,"tracker_id":40,"status_id":1,"priority_id":2,"assigned_to_id":23,"start_date":"2016-10-08","description":"","custom_fields":[{"id":1,"name":"Subdivision","value":"NW"},{"id":4,"name":"Milepost","value":"3.0578"},{"id":17,"name":"Train ID","value":"1805-08"},{"id":16,"name":"Locomotive ID","value":"4018"},{"id":130,"name":"Impact","value":""},{"id":150,"name":"Time of Event (Mountain Time)","value":"08:28:25"},{"id":151,"name":"Denver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0" t="str">
        <f t="shared" si="6"/>
        <v>grep -hSE -A100 "Enforcement Action" "%USERPROFILE%\AppData\Local\Temp\OnboardLogs"\RTDC4018\*4018*201610081* | grep -SE "((Enforcement Ac)|(PRM))" -</v>
      </c>
    </row>
    <row r="35" spans="1:29" x14ac:dyDescent="0.25">
      <c r="A35" s="38">
        <v>42651.865081018521</v>
      </c>
      <c r="B35" s="33" t="s">
        <v>219</v>
      </c>
      <c r="C35" s="33" t="s">
        <v>575</v>
      </c>
      <c r="D35" s="33" t="s">
        <v>49</v>
      </c>
      <c r="E35" s="33" t="s">
        <v>56</v>
      </c>
      <c r="F35" s="49">
        <v>300</v>
      </c>
      <c r="G35" s="49">
        <v>355</v>
      </c>
      <c r="H35" s="49">
        <v>42386</v>
      </c>
      <c r="I35" s="49">
        <v>41574</v>
      </c>
      <c r="J35" s="33" t="s">
        <v>57</v>
      </c>
      <c r="K35" s="49">
        <v>41797</v>
      </c>
      <c r="L35" s="145" t="s">
        <v>53</v>
      </c>
      <c r="M35" s="148">
        <f t="shared" si="7"/>
        <v>-117.744</v>
      </c>
      <c r="N35" s="87" t="str">
        <f>VLOOKUP(C35,'Trips&amp;Operators'!$C$1:$E$99999,3,FALSE)</f>
        <v>BROWN</v>
      </c>
      <c r="O35" s="169" t="s">
        <v>86</v>
      </c>
      <c r="P35" s="10"/>
      <c r="Q35" s="33"/>
      <c r="R35" s="103" t="str">
        <f>VLOOKUP(C35,'Train Runs'!$A$13:$AE$10010,31,0)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S35" s="106" t="str">
        <f>VLOOKUP(C35,'Train Runs'!$A$13:$AE$10010,22,0)</f>
        <v>https://search-rtdc-monitor-bjffxe2xuh6vdkpspy63sjmuny.us-east-1.es.amazonaws.com/_plugin/kibana/#/discover/Steve-Slow-Train-Analysis-(2080s-and-2083s)?_g=(refreshInterval:(display:Off,section:0,value:0),time:(from:'2016-10-08 19:36:55-0600',mode:absolute,to:'2016-10-08 21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5" s="108" t="str">
        <f t="shared" si="0"/>
        <v>"C:\Program Files (x86)\AstroGrep\AstroGrep.exe" /spath="%USERPROFILE%\AppData\Local\Temp\OnboardLogs" /stypes="*4017*201610090*" /stext=" 02:.+((SYSTEM_STATE.+slice.+state.+changed )|(ment ac)|(system.+state.+changed )|(\[timeout)|(PRM\|1\|D)|(kpr)|(kdp)|(\|lc)|(penalty))" /e /r /s</v>
      </c>
      <c r="U35" s="9" t="str">
        <f t="shared" si="1"/>
        <v>4017</v>
      </c>
      <c r="V35" s="38">
        <f t="shared" si="2"/>
        <v>42652.115081018521</v>
      </c>
      <c r="W35" s="52" t="str">
        <f t="shared" si="3"/>
        <v>NW</v>
      </c>
      <c r="X35" s="52" t="str">
        <f t="shared" si="4"/>
        <v>KEEP</v>
      </c>
      <c r="Y35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{"issue":{"subject":"","project_id":79,"tracker_id":40,"status_id":1,"priority_id":2,"assigned_to_id":23,"start_date":"2016-10-08","description":"","custom_fields":[{"id":1,"name":"Subdivision","value":"NW"},{"id":4,"name":"Milepost","value":"4.1797"},{"id":17,"name":"Train ID","value":"1830-08"},{"id":16,"name":"Locomotive ID","value":"4017"},{"id":130,"name":"Impact","value":""},{"id":150,"name":"Time of Event (Mountain Time)","value":"20:45:43"},{"id":151,"name":"Denver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0" t="str">
        <f t="shared" si="6"/>
        <v>grep -hSE -A100 "Enforcement Action" "%USERPROFILE%\AppData\Local\Temp\OnboardLogs"\RTDC4017\*4017*201610090* | grep -SE "((Enforcement Ac)|(PRM))" -</v>
      </c>
    </row>
    <row r="36" spans="1:29" x14ac:dyDescent="0.25">
      <c r="A36" s="38">
        <v>42651.395787037036</v>
      </c>
      <c r="B36" s="33" t="s">
        <v>220</v>
      </c>
      <c r="C36" s="33" t="s">
        <v>450</v>
      </c>
      <c r="D36" s="33" t="s">
        <v>105</v>
      </c>
      <c r="E36" s="33" t="s">
        <v>56</v>
      </c>
      <c r="F36" s="49">
        <v>400</v>
      </c>
      <c r="G36" s="49">
        <v>451</v>
      </c>
      <c r="H36" s="49">
        <v>43540</v>
      </c>
      <c r="I36" s="49">
        <v>44992</v>
      </c>
      <c r="J36" s="33" t="s">
        <v>57</v>
      </c>
      <c r="K36" s="49">
        <v>41797</v>
      </c>
      <c r="L36" s="145" t="s">
        <v>52</v>
      </c>
      <c r="M36" s="148">
        <f t="shared" si="7"/>
        <v>-1686.96</v>
      </c>
      <c r="N36" s="87" t="str">
        <f>VLOOKUP(C36,'Trips&amp;Operators'!$C$1:$E$99999,3,FALSE)</f>
        <v>YORK</v>
      </c>
      <c r="O36" s="169" t="s">
        <v>86</v>
      </c>
      <c r="P36" s="10"/>
      <c r="Q36" s="33"/>
      <c r="R36" s="103" t="str">
        <f>VLOOKUP(C36,'Train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6" s="106" t="str">
        <f>VLOOKUP(C36,'Train Runs'!$A$13:$AE$10010,22,0)</f>
        <v>https://search-rtdc-monitor-bjffxe2xuh6vdkpspy63sjmuny.us-east-1.es.amazonaws.com/_plugin/kibana/#/discover/Steve-Slow-Train-Analysis-(2080s-and-2083s)?_g=(refreshInterval:(display:Off,section:0,value:0),time:(from:'2016-10-08 07:55:53-0600',mode:absolute,to:'2016-10-08 10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6" s="108" t="str">
        <f t="shared" si="0"/>
        <v>"C:\Program Files (x86)\AstroGrep\AstroGrep.exe" /spath="%USERPROFILE%\AppData\Local\Temp\OnboardLogs" /stypes="*4018*201610081*" /stext=" 15:.+((SYSTEM_STATE.+slice.+state.+changed )|(ment ac)|(system.+state.+changed )|(\[timeout)|(PRM\|1\|D)|(kpr)|(kdp)|(\|lc)|(penalty))" /e /r /s</v>
      </c>
      <c r="U36" s="9" t="str">
        <f t="shared" si="1"/>
        <v>4018</v>
      </c>
      <c r="V36" s="38">
        <f t="shared" si="2"/>
        <v>42651.645787037036</v>
      </c>
      <c r="W36" s="52" t="str">
        <f t="shared" si="3"/>
        <v>NW</v>
      </c>
      <c r="X36" s="52" t="str">
        <f t="shared" si="4"/>
        <v>KEEP</v>
      </c>
      <c r="Y36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{"issue":{"subject":"","project_id":79,"tracker_id":40,"status_id":1,"priority_id":2,"assigned_to_id":23,"start_date":"2016-10-08","description":"","custom_fields":[{"id":1,"name":"Subdivision","value":"NW"},{"id":4,"name":"Milepost","value":"4.1797"},{"id":17,"name":"Train ID","value":"1807-08"},{"id":16,"name":"Locomotive ID","value":"4018"},{"id":130,"name":"Impact","value":""},{"id":150,"name":"Time of Event (Mountain Time)","value":"09:29:56"},{"id":151,"name":"Denver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0" t="str">
        <f t="shared" si="6"/>
        <v>grep -hSE -A100 "Enforcement Action" "%USERPROFILE%\AppData\Local\Temp\OnboardLogs"\RTDC4018\*4018*201610081* | grep -SE "((Enforcement Ac)|(PRM))" -</v>
      </c>
    </row>
    <row r="37" spans="1:29" ht="15" customHeight="1" x14ac:dyDescent="0.25">
      <c r="A37" s="38">
        <v>42651.772534722222</v>
      </c>
      <c r="B37" s="33" t="s">
        <v>220</v>
      </c>
      <c r="C37" s="33" t="s">
        <v>552</v>
      </c>
      <c r="D37" s="33" t="s">
        <v>49</v>
      </c>
      <c r="E37" s="33" t="s">
        <v>56</v>
      </c>
      <c r="F37" s="49">
        <v>150</v>
      </c>
      <c r="G37" s="49">
        <v>325</v>
      </c>
      <c r="H37" s="49">
        <v>56111</v>
      </c>
      <c r="I37" s="49">
        <v>56794</v>
      </c>
      <c r="J37" s="33" t="s">
        <v>57</v>
      </c>
      <c r="K37" s="49">
        <v>57008</v>
      </c>
      <c r="L37" s="145" t="s">
        <v>52</v>
      </c>
      <c r="M37" s="148">
        <f t="shared" si="7"/>
        <v>112.992</v>
      </c>
      <c r="N37" s="87" t="str">
        <f>VLOOKUP(C37,'Trips&amp;Operators'!$C$1:$E$99999,3,FALSE)</f>
        <v>BROWN</v>
      </c>
      <c r="O37" s="169" t="s">
        <v>86</v>
      </c>
      <c r="P37" s="10"/>
      <c r="Q37" s="33"/>
      <c r="R37" s="103" t="str">
        <f>VLOOKUP(C37,'Train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7" s="106" t="str">
        <f>VLOOKUP(C37,'Train Runs'!$A$13:$AE$10010,22,0)</f>
        <v>https://search-rtdc-monitor-bjffxe2xuh6vdkpspy63sjmuny.us-east-1.es.amazonaws.com/_plugin/kibana/#/discover/Steve-Slow-Train-Analysis-(2080s-and-2083s)?_g=(refreshInterval:(display:Off,section:0,value:0),time:(from:'2016-10-08 17:00:03-0600',mode:absolute,to:'2016-10-08 19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7" s="108" t="str">
        <f t="shared" si="0"/>
        <v>"C:\Program Files (x86)\AstroGrep\AstroGrep.exe" /spath="%USERPROFILE%\AppData\Local\Temp\OnboardLogs" /stypes="*4018*201610090*" /stext=" 00:.+((SYSTEM_STATE.+slice.+state.+changed )|(ment ac)|(system.+state.+changed )|(\[timeout)|(PRM\|1\|D)|(kpr)|(kdp)|(\|lc)|(penalty))" /e /r /s</v>
      </c>
      <c r="U37" s="9" t="str">
        <f t="shared" si="1"/>
        <v>4018</v>
      </c>
      <c r="V37" s="38">
        <f t="shared" si="2"/>
        <v>42652.022534722222</v>
      </c>
      <c r="W37" s="52" t="str">
        <f t="shared" si="3"/>
        <v>NW</v>
      </c>
      <c r="X37" s="52" t="str">
        <f t="shared" si="4"/>
        <v>KEEP</v>
      </c>
      <c r="Y37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{"issue":{"subject":"","project_id":79,"tracker_id":40,"status_id":1,"priority_id":2,"assigned_to_id":23,"start_date":"2016-10-08","description":"","custom_fields":[{"id":1,"name":"Subdivision","value":"NW"},{"id":4,"name":"Milepost","value":"5.7008"},{"id":17,"name":"Train ID","value":"1825-08"},{"id":16,"name":"Locomotive ID","value":"4018"},{"id":130,"name":"Impact","value":""},{"id":150,"name":"Time of Event (Mountain Time)","value":"18:32:27"},{"id":151,"name":"Denver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0" t="str">
        <f t="shared" si="6"/>
        <v>grep -hSE -A100 "Enforcement Action" "%USERPROFILE%\AppData\Local\Temp\OnboardLogs"\RTDC4018\*4018*201610090* | grep -SE "((Enforcement Ac)|(PRM))" -</v>
      </c>
    </row>
    <row r="38" spans="1:29" x14ac:dyDescent="0.25">
      <c r="A38" s="38">
        <v>42651.822916666664</v>
      </c>
      <c r="B38" s="33" t="s">
        <v>219</v>
      </c>
      <c r="C38" s="33" t="s">
        <v>570</v>
      </c>
      <c r="D38" s="33" t="s">
        <v>105</v>
      </c>
      <c r="E38" s="33" t="s">
        <v>56</v>
      </c>
      <c r="F38" s="49">
        <v>150</v>
      </c>
      <c r="G38" s="49">
        <v>208</v>
      </c>
      <c r="H38" s="49">
        <v>56993</v>
      </c>
      <c r="I38" s="49">
        <v>56568</v>
      </c>
      <c r="J38" s="33" t="s">
        <v>57</v>
      </c>
      <c r="K38" s="49">
        <v>59050</v>
      </c>
      <c r="L38" s="145" t="s">
        <v>53</v>
      </c>
      <c r="M38" s="148">
        <f t="shared" si="7"/>
        <v>-1310.4960000000001</v>
      </c>
      <c r="N38" s="87" t="str">
        <f>VLOOKUP(C38,'Trips&amp;Operators'!$C$1:$E$99999,3,FALSE)</f>
        <v>BROWN</v>
      </c>
      <c r="O38" s="169" t="s">
        <v>86</v>
      </c>
      <c r="P38" s="10"/>
      <c r="Q38" s="33"/>
      <c r="R38" s="103" t="str">
        <f>VLOOKUP(C38,'Train Runs'!$A$13:$AE$10010,31,0)</f>
        <v>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 &amp; 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</v>
      </c>
      <c r="S38" s="106" t="str">
        <f>VLOOKUP(C38,'Train Runs'!$A$13:$AE$10010,22,0)</f>
        <v>https://search-rtdc-monitor-bjffxe2xuh6vdkpspy63sjmuny.us-east-1.es.amazonaws.com/_plugin/kibana/#/discover/Steve-Slow-Train-Analysis-(2080s-and-2083s)?_g=(refreshInterval:(display:Off,section:0,value:0),time:(from:'2016-10-08 18:40:21-0600',mode:absolute,to:'2016-10-08 20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8" s="108" t="str">
        <f t="shared" si="0"/>
        <v>"C:\Program Files (x86)\AstroGrep\AstroGrep.exe" /spath="%USERPROFILE%\AppData\Local\Temp\OnboardLogs" /stypes="*4017*201610090*" /stext=" 01:.+((SYSTEM_STATE.+slice.+state.+changed )|(ment ac)|(system.+state.+changed )|(\[timeout)|(PRM\|1\|D)|(kpr)|(kdp)|(\|lc)|(penalty))" /e /r /s</v>
      </c>
      <c r="U38" s="9" t="str">
        <f t="shared" si="1"/>
        <v>4017</v>
      </c>
      <c r="V38" s="38">
        <f t="shared" si="2"/>
        <v>42652.072916666664</v>
      </c>
      <c r="W38" s="52" t="str">
        <f t="shared" si="3"/>
        <v>NW</v>
      </c>
      <c r="X38" s="52" t="str">
        <f t="shared" si="4"/>
        <v>KEEP</v>
      </c>
      <c r="Y38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{"issue":{"subject":"","project_id":79,"tracker_id":40,"status_id":1,"priority_id":2,"assigned_to_id":23,"start_date":"2016-10-08","description":"","custom_fields":[{"id":1,"name":"Subdivision","value":"NW"},{"id":4,"name":"Milepost","value":"5.905"},{"id":17,"name":"Train ID","value":"1828-08"},{"id":16,"name":"Locomotive ID","value":"4017"},{"id":130,"name":"Impact","value":""},{"id":150,"name":"Time of Event (Mountain Time)","value":"19:45:00"},{"id":151,"name":"Denver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0" t="str">
        <f t="shared" si="6"/>
        <v>grep -hSE -A100 "Enforcement Action" "%USERPROFILE%\AppData\Local\Temp\OnboardLogs"\RTDC4017\*4017*201610090* | grep -SE "((Enforcement Ac)|(PRM))" -</v>
      </c>
    </row>
    <row r="39" spans="1:29" x14ac:dyDescent="0.25">
      <c r="A39" s="38">
        <v>42651.607546296298</v>
      </c>
      <c r="B39" s="33" t="s">
        <v>220</v>
      </c>
      <c r="C39" s="33" t="s">
        <v>503</v>
      </c>
      <c r="D39" s="33" t="s">
        <v>49</v>
      </c>
      <c r="E39" s="33" t="s">
        <v>50</v>
      </c>
      <c r="F39" s="49">
        <v>0</v>
      </c>
      <c r="G39" s="49">
        <v>37</v>
      </c>
      <c r="H39" s="49">
        <v>58961</v>
      </c>
      <c r="I39" s="49">
        <v>58982</v>
      </c>
      <c r="J39" s="33" t="s">
        <v>51</v>
      </c>
      <c r="K39" s="49">
        <v>59048</v>
      </c>
      <c r="L39" s="145" t="s">
        <v>52</v>
      </c>
      <c r="M39" s="148">
        <f t="shared" si="7"/>
        <v>34.847999999999999</v>
      </c>
      <c r="N39" s="87" t="str">
        <f>VLOOKUP(C39,'Trips&amp;Operators'!$C$1:$E$99999,3,FALSE)</f>
        <v>BROWN</v>
      </c>
      <c r="O39" s="169" t="s">
        <v>86</v>
      </c>
      <c r="P39" s="10"/>
      <c r="Q39" s="33"/>
      <c r="R39" s="103" t="str">
        <f>VLOOKUP(C39,'Train Runs'!$A$13:$AE$10010,31,0)</f>
        <v>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 &amp; 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</v>
      </c>
      <c r="S39" s="106" t="str">
        <f>VLOOKUP(C39,'Train Runs'!$A$13:$AE$10010,22,0)</f>
        <v>https://search-rtdc-monitor-bjffxe2xuh6vdkpspy63sjmuny.us-east-1.es.amazonaws.com/_plugin/kibana/#/discover/Steve-Slow-Train-Analysis-(2080s-and-2083s)?_g=(refreshInterval:(display:Off,section:0,value:0),time:(from:'2016-10-08 13:00:04-0600',mode:absolute,to:'2016-10-08 15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9" s="108" t="str">
        <f t="shared" si="0"/>
        <v>"C:\Program Files (x86)\AstroGrep\AstroGrep.exe" /spath="%USERPROFILE%\AppData\Local\Temp\OnboardLogs" /stypes="*4018*201610082*" /stext=" 20:.+((SYSTEM_STATE.+slice.+state.+changed )|(ment ac)|(system.+state.+changed )|(\[timeout)|(PRM\|1\|D)|(kpr)|(kdp)|(\|lc)|(penalty))" /e /r /s</v>
      </c>
      <c r="U39" s="9" t="str">
        <f t="shared" si="1"/>
        <v>4018</v>
      </c>
      <c r="V39" s="38">
        <f t="shared" si="2"/>
        <v>42651.857546296298</v>
      </c>
      <c r="W39" s="52" t="str">
        <f t="shared" si="3"/>
        <v>NW</v>
      </c>
      <c r="X39" s="52" t="str">
        <f t="shared" si="4"/>
        <v>KEEP</v>
      </c>
      <c r="Y39" s="129" t="str">
        <f t="shared" si="5"/>
        <v>echo {"issue":{"subject":"","project_id":79,"tracker_id":40,"status_id":1,"priority_id":2,"assigned_to_id":23,"start_date":"2016-10-08","description":"","custom_fields":[{"id":1,"name":"Subdivision","value":"NW"},{"id":4,"name":"Milepost","value":"5.9048"},{"id":17,"name":"Train ID","value":"1817-08"},{"id":16,"name":"Locomotive ID","value":"4018"},{"id":130,"name":"Impact","value":""},{"id":150,"name":"Time of Event (Mountain Time)","value":"14:34:52"},{"id":151,"name":"Denver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0" t="str">
        <f t="shared" si="6"/>
        <v>grep -hSE -A100 "Enforcement Action" "%USERPROFILE%\AppData\Local\Temp\OnboardLogs"\RTDC4018\*4018*201610082* | grep -SE "((Enforcement Ac)|(PRM))" -</v>
      </c>
    </row>
    <row r="40" spans="1:29" x14ac:dyDescent="0.25">
      <c r="A40" s="38">
        <v>42651.781053240738</v>
      </c>
      <c r="B40" s="33" t="s">
        <v>257</v>
      </c>
      <c r="C40" s="33" t="s">
        <v>547</v>
      </c>
      <c r="D40" s="33" t="s">
        <v>105</v>
      </c>
      <c r="E40" s="33" t="s">
        <v>54</v>
      </c>
      <c r="F40" s="49">
        <v>0</v>
      </c>
      <c r="G40" s="49">
        <v>45</v>
      </c>
      <c r="H40" s="49">
        <v>1762</v>
      </c>
      <c r="I40" s="49">
        <v>1841</v>
      </c>
      <c r="J40" s="33" t="s">
        <v>55</v>
      </c>
      <c r="K40" s="49">
        <v>1692</v>
      </c>
      <c r="L40" s="145" t="s">
        <v>52</v>
      </c>
      <c r="M40" s="148">
        <f t="shared" si="7"/>
        <v>-78.671999999999997</v>
      </c>
      <c r="N40" s="87" t="str">
        <f>VLOOKUP(C40,'Trips&amp;Operators'!$C$1:$E$99999,3,FALSE)</f>
        <v>ROBINSON</v>
      </c>
      <c r="O40" s="169" t="s">
        <v>86</v>
      </c>
      <c r="P40" s="10"/>
      <c r="Q40" s="33"/>
      <c r="R40" s="103" t="str">
        <f>VLOOKUP(C40,'Train Runs'!$A$13:$AE$10010,31,0)</f>
        <v>aws s3 cp s3://rtdc.mdm.uploadarchive.raw/RTDC4002/ "%USERPROFILE%\AppData\Local\Temp\OnboardLogs"\RTDC4002\2016-10-08 --exclude "*" --recursive --include "*20161008*" &amp; "%USERPROFILE%\Documents\GitHub\mrs-test-scripts\Headless Mode &amp; Sideloading\WalkAndUnGZ.bat" "%USERPROFILE%\AppData\Local\Temp\OnboardLogs"\RTDC4002\2016-10-08 &amp; 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</v>
      </c>
      <c r="S40" s="106" t="str">
        <f>VLOOKUP(C40,'Train Runs'!$A$13:$AE$10010,22,0)</f>
        <v>https://search-rtdc-monitor-bjffxe2xuh6vdkpspy63sjmuny.us-east-1.es.amazonaws.com/_plugin/kibana/#/discover/Steve-Slow-Train-Analysis-(2080s-and-2083s)?_g=(refreshInterval:(display:Off,section:0,value:0),time:(from:'2016-10-08 17:39:52-0600',mode:absolute,to:'2016-10-08 19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0" s="108" t="str">
        <f t="shared" si="0"/>
        <v>"C:\Program Files (x86)\AstroGrep\AstroGrep.exe" /spath="%USERPROFILE%\AppData\Local\Temp\OnboardLogs" /stypes="*4002*201610090*" /stext=" 00:.+((SYSTEM_STATE.+slice.+state.+changed )|(ment ac)|(system.+state.+changed )|(\[timeout)|(PRM\|1\|D)|(kpr)|(kdp)|(\|lc)|(penalty))" /e /r /s</v>
      </c>
      <c r="U40" s="9" t="str">
        <f t="shared" si="1"/>
        <v>4002</v>
      </c>
      <c r="V40" s="38">
        <f t="shared" si="2"/>
        <v>42652.031053240738</v>
      </c>
      <c r="W40" s="52" t="str">
        <f t="shared" si="3"/>
        <v>Other</v>
      </c>
      <c r="X40" s="52" t="str">
        <f t="shared" si="4"/>
        <v>KEEP</v>
      </c>
      <c r="Y40" s="129" t="str">
        <f t="shared" si="5"/>
        <v>echo {"issue":{"subject":"","project_id":79,"tracker_id":40,"status_id":1,"priority_id":2,"assigned_to_id":23,"start_date":"2016-10-08","description":"","custom_fields":[{"id":1,"name":"Subdivision","value":"Other"},{"id":4,"name":"Milepost","value":"0.1692"},{"id":17,"name":"Train ID","value":"63-08"},{"id":16,"name":"Locomotive ID","value":"4002"},{"id":130,"name":"Impact","value":""},{"id":150,"name":"Time of Event (Mountain Time)","value":"18:44:43"},{"id":151,"name":"Denver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0" t="str">
        <f t="shared" si="6"/>
        <v>grep -hSE -A100 "Enforcement Action" "%USERPROFILE%\AppData\Local\Temp\OnboardLogs"\RTDC4002\*4002*201610090* | grep -SE "((Enforcement Ac)|(PRM))" -</v>
      </c>
    </row>
    <row r="41" spans="1:29" x14ac:dyDescent="0.25">
      <c r="A41" s="38">
        <v>42651.1484837963</v>
      </c>
      <c r="B41" s="33" t="s">
        <v>381</v>
      </c>
      <c r="C41" s="33" t="s">
        <v>397</v>
      </c>
      <c r="D41" s="33" t="s">
        <v>105</v>
      </c>
      <c r="E41" s="33" t="s">
        <v>54</v>
      </c>
      <c r="F41" s="49">
        <v>0</v>
      </c>
      <c r="G41" s="49">
        <v>89</v>
      </c>
      <c r="H41" s="49">
        <v>11008</v>
      </c>
      <c r="I41" s="49">
        <v>10914</v>
      </c>
      <c r="J41" s="33" t="s">
        <v>55</v>
      </c>
      <c r="K41" s="49">
        <v>11016</v>
      </c>
      <c r="L41" s="145" t="s">
        <v>53</v>
      </c>
      <c r="M41" s="148">
        <f t="shared" si="7"/>
        <v>-53.856000000000002</v>
      </c>
      <c r="N41" s="87" t="str">
        <f>VLOOKUP(C41,'Trips&amp;Operators'!$C$1:$E$99999,3,FALSE)</f>
        <v>MALAVE</v>
      </c>
      <c r="O41" s="169" t="s">
        <v>86</v>
      </c>
      <c r="P41" s="10"/>
      <c r="Q41" s="33"/>
      <c r="R41" s="103" t="str">
        <f>VLOOKUP(C41,'Train Runs'!$A$13:$AE$10010,31,0)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S41" s="106" t="str">
        <f>VLOOKUP(C41,'Train Runs'!$A$13:$AE$10010,22,0)</f>
        <v>https://search-rtdc-monitor-bjffxe2xuh6vdkpspy63sjmuny.us-east-1.es.amazonaws.com/_plugin/kibana/#/discover/Steve-Slow-Train-Analysis-(2080s-and-2083s)?_g=(refreshInterval:(display:Off,section:0,value:0),time:(from:'2016-10-08 02:27:23-0600',mode:absolute,to:'2016-10-08 04:40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1" s="108" t="str">
        <f t="shared" si="0"/>
        <v>"C:\Program Files (x86)\AstroGrep\AstroGrep.exe" /spath="%USERPROFILE%\AppData\Local\Temp\OnboardLogs" /stypes="*4013*201610080*" /stext=" 09:.+((SYSTEM_STATE.+slice.+state.+changed )|(ment ac)|(system.+state.+changed )|(\[timeout)|(PRM\|1\|D)|(kpr)|(kdp)|(\|lc)|(penalty))" /e /r /s</v>
      </c>
      <c r="U41" s="9" t="str">
        <f t="shared" si="1"/>
        <v>4013</v>
      </c>
      <c r="V41" s="38">
        <f t="shared" si="2"/>
        <v>42651.3984837963</v>
      </c>
      <c r="W41" s="52" t="str">
        <f t="shared" si="3"/>
        <v>Other</v>
      </c>
      <c r="X41" s="52" t="str">
        <f t="shared" si="4"/>
        <v>KEEP</v>
      </c>
      <c r="Y41" s="129" t="str">
        <f t="shared" si="5"/>
        <v>echo {"issue":{"subject":"","project_id":79,"tracker_id":40,"status_id":1,"priority_id":2,"assigned_to_id":23,"start_date":"2016-10-08","description":"","custom_fields":[{"id":1,"name":"Subdivision","value":"Other"},{"id":4,"name":"Milepost","value":"1.1016"},{"id":17,"name":"Train ID","value":"304-08"},{"id":16,"name":"Locomotive ID","value":"4013"},{"id":130,"name":"Impact","value":""},{"id":150,"name":"Time of Event (Mountain Time)","value":"03:33:49"},{"id":151,"name":"Denver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0" t="str">
        <f t="shared" si="6"/>
        <v>grep -hSE -A100 "Enforcement Action" "%USERPROFILE%\AppData\Local\Temp\OnboardLogs"\RTDC4013\*4013*201610080* | grep -SE "((Enforcement Ac)|(PRM))" -</v>
      </c>
    </row>
    <row r="42" spans="1:29" x14ac:dyDescent="0.25">
      <c r="A42" s="38">
        <v>42651.152997685182</v>
      </c>
      <c r="B42" s="33" t="s">
        <v>381</v>
      </c>
      <c r="C42" s="33" t="s">
        <v>397</v>
      </c>
      <c r="D42" s="33" t="s">
        <v>49</v>
      </c>
      <c r="E42" s="33" t="s">
        <v>50</v>
      </c>
      <c r="F42" s="49">
        <v>0</v>
      </c>
      <c r="G42" s="49">
        <v>87</v>
      </c>
      <c r="H42" s="49">
        <v>311</v>
      </c>
      <c r="I42" s="49">
        <v>196</v>
      </c>
      <c r="J42" s="33" t="s">
        <v>51</v>
      </c>
      <c r="K42" s="49">
        <v>1</v>
      </c>
      <c r="L42" s="145" t="s">
        <v>53</v>
      </c>
      <c r="M42" s="148">
        <f t="shared" si="7"/>
        <v>102.96</v>
      </c>
      <c r="N42" s="87" t="str">
        <f>VLOOKUP(C42,'Trips&amp;Operators'!$C$1:$E$99999,3,FALSE)</f>
        <v>MALAVE</v>
      </c>
      <c r="O42" s="169" t="s">
        <v>86</v>
      </c>
      <c r="P42" s="10"/>
      <c r="Q42" s="33"/>
      <c r="R42" s="103" t="str">
        <f>VLOOKUP(C42,'Train Runs'!$A$13:$AE$10010,31,0)</f>
        <v>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 &amp; 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</v>
      </c>
      <c r="S42" s="106" t="str">
        <f>VLOOKUP(C42,'Train Runs'!$A$13:$AE$10010,22,0)</f>
        <v>https://search-rtdc-monitor-bjffxe2xuh6vdkpspy63sjmuny.us-east-1.es.amazonaws.com/_plugin/kibana/#/discover/Steve-Slow-Train-Analysis-(2080s-and-2083s)?_g=(refreshInterval:(display:Off,section:0,value:0),time:(from:'2016-10-08 02:27:23-0600',mode:absolute,to:'2016-10-08 04:40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2" s="108" t="str">
        <f t="shared" si="0"/>
        <v>"C:\Program Files (x86)\AstroGrep\AstroGrep.exe" /spath="%USERPROFILE%\AppData\Local\Temp\OnboardLogs" /stypes="*4013*201610080*" /stext=" 09:.+((SYSTEM_STATE.+slice.+state.+changed )|(ment ac)|(system.+state.+changed )|(\[timeout)|(PRM\|1\|D)|(kpr)|(kdp)|(\|lc)|(penalty))" /e /r /s</v>
      </c>
      <c r="U42" s="9" t="str">
        <f t="shared" si="1"/>
        <v>4013</v>
      </c>
      <c r="V42" s="38">
        <f t="shared" si="2"/>
        <v>42651.402997685182</v>
      </c>
      <c r="W42" s="52" t="str">
        <f t="shared" si="3"/>
        <v>Other</v>
      </c>
      <c r="X42" s="52" t="str">
        <f t="shared" si="4"/>
        <v>KEEP</v>
      </c>
      <c r="Y42" s="129" t="str">
        <f t="shared" si="5"/>
        <v>echo {"issue":{"subject":"","project_id":79,"tracker_id":40,"status_id":1,"priority_id":2,"assigned_to_id":23,"start_date":"2016-10-08","description":"","custom_fields":[{"id":1,"name":"Subdivision","value":"Other"},{"id":4,"name":"Milepost","value":"0.0001"},{"id":17,"name":"Train ID","value":"304-08"},{"id":16,"name":"Locomotive ID","value":"4013"},{"id":130,"name":"Impact","value":""},{"id":150,"name":"Time of Event (Mountain Time)","value":"03:40:19"},{"id":151,"name":"Denver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0" t="str">
        <f t="shared" si="6"/>
        <v>grep -hSE -A100 "Enforcement Action" "%USERPROFILE%\AppData\Local\Temp\OnboardLogs"\RTDC4013\*4013*201610080* | grep -SE "((Enforcement Ac)|(PRM))" -</v>
      </c>
    </row>
    <row r="43" spans="1:29" x14ac:dyDescent="0.25">
      <c r="A43" s="38">
        <v>42651.462442129632</v>
      </c>
      <c r="B43" s="33" t="s">
        <v>235</v>
      </c>
      <c r="C43" s="33" t="s">
        <v>469</v>
      </c>
      <c r="D43" s="33" t="s">
        <v>49</v>
      </c>
      <c r="E43" s="33" t="s">
        <v>50</v>
      </c>
      <c r="F43" s="49">
        <v>0</v>
      </c>
      <c r="G43" s="49">
        <v>51</v>
      </c>
      <c r="H43" s="49">
        <v>1012</v>
      </c>
      <c r="I43" s="49">
        <v>965</v>
      </c>
      <c r="J43" s="33" t="s">
        <v>51</v>
      </c>
      <c r="K43" s="49">
        <v>826</v>
      </c>
      <c r="L43" s="145" t="s">
        <v>53</v>
      </c>
      <c r="M43" s="148">
        <f t="shared" si="7"/>
        <v>73.391999999999996</v>
      </c>
      <c r="N43" s="87" t="str">
        <f>VLOOKUP(C43,'Trips&amp;Operators'!$C$1:$E$99999,3,FALSE)</f>
        <v>MOSES</v>
      </c>
      <c r="O43" s="169" t="s">
        <v>86</v>
      </c>
      <c r="P43" s="10"/>
      <c r="Q43" s="33"/>
      <c r="R43" s="103" t="str">
        <f>VLOOKUP(C43,'Train Runs'!$A$13:$AE$10010,31,0)</f>
        <v>aws s3 cp s3://rtdc.mdm.uploadarchive.raw/RTDC4010/ "%USERPROFILE%\AppData\Local\Temp\OnboardLogs"\RTDC4010\2016-10-08 --exclude "*" --recursive --include "*20161008*" &amp; "%USERPROFILE%\Documents\GitHub\mrs-test-scripts\Headless Mode &amp; Sideloading\WalkAndUnGZ.bat" "%USERPROFILE%\AppData\Local\Temp\OnboardLogs"\RTDC4010\2016-10-08 &amp; 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</v>
      </c>
      <c r="S43" s="106" t="str">
        <f>VLOOKUP(C43,'Train Runs'!$A$13:$AE$10010,22,0)</f>
        <v>https://search-rtdc-monitor-bjffxe2xuh6vdkpspy63sjmuny.us-east-1.es.amazonaws.com/_plugin/kibana/#/discover/Steve-Slow-Train-Analysis-(2080s-and-2083s)?_g=(refreshInterval:(display:Off,section:0,value:0),time:(from:'2016-10-08 09:52:36-0600',mode:absolute,to:'2016-10-08 12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3" s="108" t="str">
        <f t="shared" si="0"/>
        <v>"C:\Program Files (x86)\AstroGrep\AstroGrep.exe" /spath="%USERPROFILE%\AppData\Local\Temp\OnboardLogs" /stypes="*4010*201610081*" /stext=" 17:.+((SYSTEM_STATE.+slice.+state.+changed )|(ment ac)|(system.+state.+changed )|(\[timeout)|(PRM\|1\|D)|(kpr)|(kdp)|(\|lc)|(penalty))" /e /r /s</v>
      </c>
      <c r="U43" s="9" t="str">
        <f t="shared" si="1"/>
        <v>4010</v>
      </c>
      <c r="V43" s="38">
        <f t="shared" si="2"/>
        <v>42651.712442129632</v>
      </c>
      <c r="W43" s="52" t="str">
        <f t="shared" si="3"/>
        <v>Other</v>
      </c>
      <c r="X43" s="52" t="str">
        <f t="shared" si="4"/>
        <v>KEEP</v>
      </c>
      <c r="Y43" s="129" t="str">
        <f t="shared" si="5"/>
        <v>echo {"issue":{"subject":"","project_id":79,"tracker_id":40,"status_id":1,"priority_id":2,"assigned_to_id":23,"start_date":"2016-10-08","description":"","custom_fields":[{"id":1,"name":"Subdivision","value":"Other"},{"id":4,"name":"Milepost","value":"0.0826"},{"id":17,"name":"Train ID","value":"52-08"},{"id":16,"name":"Locomotive ID","value":"4010"},{"id":130,"name":"Impact","value":""},{"id":150,"name":"Time of Event (Mountain Time)","value":"11:05:55"},{"id":151,"name":"Denver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0" t="str">
        <f t="shared" si="6"/>
        <v>grep -hSE -A100 "Enforcement Action" "%USERPROFILE%\AppData\Local\Temp\OnboardLogs"\RTDC4010\*4010*201610081* | grep -SE "((Enforcement Ac)|(PRM))" -</v>
      </c>
    </row>
    <row r="44" spans="1:29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45"/>
      <c r="M44" s="148"/>
      <c r="N44" s="87"/>
      <c r="O44" s="169"/>
      <c r="P44" s="10"/>
      <c r="Q44" s="33"/>
      <c r="R44" s="103"/>
      <c r="S44" s="106"/>
      <c r="T44" s="108"/>
      <c r="U44" s="9"/>
      <c r="V44" s="38"/>
      <c r="W44" s="52"/>
      <c r="X44" s="52"/>
      <c r="Y44" s="129"/>
      <c r="Z44" s="55"/>
      <c r="AA44" s="55"/>
      <c r="AB44" s="23"/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45"/>
      <c r="M45" s="148"/>
      <c r="N45" s="87"/>
      <c r="O45" s="169"/>
      <c r="P45" s="10"/>
      <c r="Q45" s="33"/>
      <c r="R45" s="103"/>
      <c r="S45" s="106"/>
      <c r="T45" s="108"/>
      <c r="U45" s="9"/>
      <c r="V45" s="38"/>
      <c r="W45" s="52"/>
      <c r="X45" s="52"/>
      <c r="Y45" s="129"/>
      <c r="Z45" s="55"/>
      <c r="AA45" s="55"/>
      <c r="AB45" s="23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45"/>
      <c r="M46" s="148"/>
      <c r="N46" s="87"/>
      <c r="O46" s="169"/>
      <c r="P46" s="10"/>
      <c r="Q46" s="33"/>
      <c r="R46" s="103"/>
      <c r="S46" s="106"/>
      <c r="T46" s="108"/>
      <c r="U46" s="9"/>
      <c r="V46" s="38"/>
      <c r="W46" s="52"/>
      <c r="X46" s="52"/>
      <c r="Y46" s="129"/>
      <c r="Z46" s="55"/>
      <c r="AA46" s="55"/>
      <c r="AB46" s="23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45"/>
      <c r="M47" s="148"/>
      <c r="N47" s="87"/>
      <c r="O47" s="169"/>
      <c r="P47" s="10"/>
      <c r="Q47" s="33"/>
      <c r="R47" s="103"/>
      <c r="S47" s="106"/>
      <c r="T47" s="108"/>
      <c r="U47" s="9"/>
      <c r="V47" s="38"/>
      <c r="W47" s="52"/>
      <c r="X47" s="52"/>
      <c r="Y47" s="129"/>
      <c r="Z47" s="55"/>
      <c r="AA47" s="55"/>
      <c r="AB47" s="23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45"/>
      <c r="M48" s="148"/>
      <c r="N48" s="87"/>
      <c r="O48" s="169"/>
      <c r="P48" s="10"/>
      <c r="Q48" s="33"/>
      <c r="R48" s="103"/>
      <c r="S48" s="106"/>
      <c r="T48" s="108"/>
      <c r="U48" s="9"/>
      <c r="V48" s="38"/>
      <c r="W48" s="52"/>
      <c r="X48" s="52"/>
      <c r="Y48" s="129"/>
      <c r="Z48" s="55"/>
      <c r="AA48" s="55"/>
      <c r="AB48" s="23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45"/>
      <c r="M49" s="148"/>
      <c r="N49" s="87"/>
      <c r="O49" s="169"/>
      <c r="P49" s="10"/>
      <c r="Q49" s="33"/>
      <c r="R49" s="103"/>
      <c r="S49" s="106"/>
      <c r="T49" s="108"/>
      <c r="U49" s="9"/>
      <c r="V49" s="38"/>
      <c r="W49" s="52"/>
      <c r="X49" s="52"/>
      <c r="Y49" s="129"/>
      <c r="Z49" s="55"/>
      <c r="AA49" s="55"/>
      <c r="AB49" s="23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45"/>
      <c r="M50" s="148"/>
      <c r="N50" s="87"/>
      <c r="O50" s="169"/>
      <c r="P50" s="10"/>
      <c r="Q50" s="33"/>
      <c r="R50" s="103"/>
      <c r="S50" s="106"/>
      <c r="T50" s="108"/>
      <c r="U50" s="9"/>
      <c r="V50" s="38"/>
      <c r="W50" s="52"/>
      <c r="X50" s="52"/>
      <c r="Y50" s="129"/>
      <c r="Z50" s="55"/>
      <c r="AA50" s="55"/>
      <c r="AB50" s="23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45"/>
      <c r="M51" s="148"/>
      <c r="N51" s="87"/>
      <c r="O51" s="169"/>
      <c r="P51" s="10"/>
      <c r="Q51" s="33"/>
      <c r="R51" s="103"/>
      <c r="S51" s="106"/>
      <c r="T51" s="108"/>
      <c r="U51" s="9"/>
      <c r="V51" s="38"/>
      <c r="W51" s="52"/>
      <c r="X51" s="52"/>
      <c r="Y51" s="129"/>
      <c r="Z51" s="55"/>
      <c r="AA51" s="55"/>
      <c r="AB51" s="23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45"/>
      <c r="M52" s="148"/>
      <c r="N52" s="87"/>
      <c r="O52" s="169"/>
      <c r="P52" s="10"/>
      <c r="Q52" s="33"/>
      <c r="R52" s="103"/>
      <c r="S52" s="106"/>
      <c r="T52" s="108"/>
      <c r="U52" s="9"/>
      <c r="V52" s="38"/>
      <c r="W52" s="52"/>
      <c r="X52" s="52"/>
      <c r="Y52" s="129"/>
      <c r="Z52" s="55"/>
      <c r="AA52" s="55"/>
      <c r="AB52" s="23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45"/>
      <c r="M53" s="148"/>
      <c r="N53" s="87"/>
      <c r="O53" s="169"/>
      <c r="P53" s="10"/>
      <c r="Q53" s="33"/>
      <c r="R53" s="103"/>
      <c r="S53" s="106"/>
      <c r="T53" s="108"/>
      <c r="U53" s="9"/>
      <c r="V53" s="38"/>
      <c r="W53" s="52"/>
      <c r="X53" s="52"/>
      <c r="Y53" s="129"/>
      <c r="Z53" s="55"/>
      <c r="AA53" s="55"/>
      <c r="AB53" s="23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45"/>
      <c r="M54" s="148"/>
      <c r="N54" s="87"/>
      <c r="O54" s="169"/>
      <c r="P54" s="10"/>
      <c r="Q54" s="33"/>
      <c r="R54" s="103"/>
      <c r="S54" s="106"/>
      <c r="T54" s="108"/>
      <c r="U54" s="9"/>
      <c r="V54" s="38"/>
      <c r="W54" s="52"/>
      <c r="X54" s="52"/>
      <c r="Y54" s="129"/>
      <c r="Z54" s="55"/>
      <c r="AA54" s="55"/>
      <c r="AB54" s="23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45"/>
      <c r="M55" s="148"/>
      <c r="N55" s="87"/>
      <c r="O55" s="169"/>
      <c r="P55" s="10"/>
      <c r="Q55" s="33"/>
      <c r="R55" s="103"/>
      <c r="S55" s="106"/>
      <c r="T55" s="108"/>
      <c r="U55" s="9"/>
      <c r="V55" s="38"/>
      <c r="W55" s="52"/>
      <c r="X55" s="52"/>
      <c r="Y55" s="129"/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45"/>
      <c r="M56" s="148"/>
      <c r="N56" s="87"/>
      <c r="O56" s="169"/>
      <c r="P56" s="10"/>
      <c r="Q56" s="33"/>
      <c r="R56" s="103"/>
      <c r="S56" s="106"/>
      <c r="T56" s="108"/>
      <c r="U56" s="9"/>
      <c r="V56" s="38"/>
      <c r="W56" s="52"/>
      <c r="X56" s="52"/>
      <c r="Y56" s="129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45"/>
      <c r="M57" s="148"/>
      <c r="N57" s="87"/>
      <c r="O57" s="169"/>
      <c r="P57" s="10"/>
      <c r="Q57" s="33"/>
      <c r="R57" s="103"/>
      <c r="S57" s="106"/>
      <c r="T57" s="108"/>
      <c r="U57" s="9"/>
      <c r="V57" s="38"/>
      <c r="W57" s="52"/>
      <c r="X57" s="52"/>
      <c r="Y57" s="129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45"/>
      <c r="M58" s="148"/>
      <c r="N58" s="87"/>
      <c r="O58" s="169"/>
      <c r="P58" s="10"/>
      <c r="Q58" s="33"/>
      <c r="R58" s="103"/>
      <c r="S58" s="106"/>
      <c r="T58" s="108"/>
      <c r="U58" s="9"/>
      <c r="V58" s="38"/>
      <c r="W58" s="52"/>
      <c r="X58" s="52"/>
      <c r="Y58" s="129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5"/>
      <c r="M59" s="148"/>
      <c r="N59" s="87"/>
      <c r="O59" s="169"/>
      <c r="P59" s="10"/>
      <c r="Q59" s="33"/>
      <c r="R59" s="103"/>
      <c r="S59" s="106"/>
      <c r="T59" s="108"/>
      <c r="U59" s="9"/>
      <c r="V59" s="38"/>
      <c r="W59" s="52"/>
      <c r="X59" s="52"/>
      <c r="Y59" s="129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5"/>
      <c r="M60" s="148"/>
      <c r="N60" s="87"/>
      <c r="O60" s="169"/>
      <c r="P60" s="10"/>
      <c r="Q60" s="33"/>
      <c r="R60" s="103"/>
      <c r="S60" s="106"/>
      <c r="T60" s="108"/>
      <c r="U60" s="9"/>
      <c r="V60" s="38"/>
      <c r="W60" s="52"/>
      <c r="X60" s="52"/>
      <c r="Y60" s="129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5"/>
      <c r="M61" s="148"/>
      <c r="N61" s="87"/>
      <c r="O61" s="169"/>
      <c r="P61" s="10"/>
      <c r="Q61" s="33"/>
      <c r="R61" s="103"/>
      <c r="S61" s="106"/>
      <c r="T61" s="108"/>
      <c r="U61" s="9"/>
      <c r="V61" s="38"/>
      <c r="W61" s="52"/>
      <c r="X61" s="52"/>
      <c r="Y61" s="129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5"/>
      <c r="M62" s="148"/>
      <c r="N62" s="87"/>
      <c r="O62" s="169"/>
      <c r="P62" s="10"/>
      <c r="Q62" s="33"/>
      <c r="R62" s="103"/>
      <c r="S62" s="106"/>
      <c r="T62" s="108"/>
      <c r="U62" s="9"/>
      <c r="V62" s="38"/>
      <c r="W62" s="52"/>
      <c r="X62" s="52"/>
      <c r="Y62" s="129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5"/>
      <c r="M63" s="148"/>
      <c r="N63" s="87"/>
      <c r="O63" s="169"/>
      <c r="P63" s="10"/>
      <c r="Q63" s="33"/>
      <c r="R63" s="103"/>
      <c r="S63" s="106"/>
      <c r="T63" s="108"/>
      <c r="U63" s="9"/>
      <c r="V63" s="38"/>
      <c r="W63" s="52"/>
      <c r="X63" s="52"/>
      <c r="Y63" s="129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5"/>
      <c r="M64" s="148"/>
      <c r="N64" s="87"/>
      <c r="O64" s="169"/>
      <c r="P64" s="10"/>
      <c r="Q64" s="33"/>
      <c r="R64" s="103"/>
      <c r="S64" s="106"/>
      <c r="T64" s="108"/>
      <c r="U64" s="9"/>
      <c r="V64" s="38"/>
      <c r="W64" s="52"/>
      <c r="X64" s="52"/>
      <c r="Y64" s="129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5"/>
      <c r="M65" s="148"/>
      <c r="N65" s="87"/>
      <c r="O65" s="169"/>
      <c r="P65" s="10"/>
      <c r="Q65" s="33"/>
      <c r="R65" s="103"/>
      <c r="S65" s="106"/>
      <c r="T65" s="108"/>
      <c r="U65" s="9"/>
      <c r="V65" s="38"/>
      <c r="W65" s="52"/>
      <c r="X65" s="52"/>
      <c r="Y65" s="129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5"/>
      <c r="M66" s="148"/>
      <c r="N66" s="87"/>
      <c r="O66" s="169"/>
      <c r="P66" s="10"/>
      <c r="Q66" s="33"/>
      <c r="R66" s="103"/>
      <c r="S66" s="106"/>
      <c r="T66" s="108"/>
      <c r="U66" s="9"/>
      <c r="V66" s="38"/>
      <c r="W66" s="52"/>
      <c r="X66" s="52"/>
      <c r="Y66" s="129"/>
      <c r="Z66" s="55"/>
      <c r="AA66" s="55"/>
      <c r="AB66" s="23"/>
    </row>
    <row r="67" spans="1:28" x14ac:dyDescent="0.25">
      <c r="B67" s="23"/>
      <c r="C67" s="23"/>
      <c r="D67" s="23"/>
      <c r="E67" s="23"/>
      <c r="J67" s="23"/>
    </row>
  </sheetData>
  <autoFilter ref="A6:AC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5" priority="15" operator="equal">
      <formula>"Y"</formula>
    </cfRule>
  </conditionalFormatting>
  <conditionalFormatting sqref="A7:P66">
    <cfRule type="expression" dxfId="4" priority="8">
      <formula>$O7="Y"</formula>
    </cfRule>
  </conditionalFormatting>
  <conditionalFormatting sqref="O2:O3">
    <cfRule type="cellIs" dxfId="3" priority="6" operator="equal">
      <formula>"Y"</formula>
    </cfRule>
  </conditionalFormatting>
  <hyperlinks>
    <hyperlink ref="Z2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AB7:AB66</xm:sqref>
        </x14:dataValidation>
        <x14:dataValidation type="list" allowBlank="1" showInputMessage="1" showErrorMessage="1">
          <x14:formula1>
            <xm:f>'Redmine List Values'!$A$2:$A$7</xm:f>
          </x14:formula1>
          <xm:sqref>AA7:AA66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I7" sqref="I7"/>
    </sheetView>
  </sheetViews>
  <sheetFormatPr defaultRowHeight="15" x14ac:dyDescent="0.25"/>
  <cols>
    <col min="1" max="1" width="9.140625" style="156"/>
    <col min="2" max="2" width="9.140625" style="2" customWidth="1"/>
    <col min="3" max="3" width="8" style="115" bestFit="1" customWidth="1"/>
    <col min="4" max="4" width="9.85546875" style="11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6"/>
      <c r="B1" s="187" t="str">
        <f>"Trips that did not appear in PTC Data "&amp;TEXT(Variables!$A$2,"YYYY-mm-dd")</f>
        <v>Trips that did not appear in PTC Data 2016-10-08</v>
      </c>
      <c r="C1" s="187"/>
      <c r="D1" s="187"/>
      <c r="E1" s="187"/>
      <c r="F1" s="187"/>
    </row>
    <row r="2" spans="1:11" s="26" customFormat="1" ht="45" x14ac:dyDescent="0.25">
      <c r="A2" s="165" t="s">
        <v>164</v>
      </c>
      <c r="B2" s="120" t="s">
        <v>64</v>
      </c>
      <c r="C2" s="112" t="s">
        <v>65</v>
      </c>
      <c r="D2" s="113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A3" s="156">
        <v>105</v>
      </c>
      <c r="B3" s="2" t="str">
        <f>A3&amp;"-"&amp;IF(DAY(Variables!$A$2)&lt;10,0,"")&amp;DAY(Variables!$A$2)</f>
        <v>105-08</v>
      </c>
      <c r="C3" s="114"/>
      <c r="D3" s="114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22105-08%22)),sort:!(Time,asc))</v>
      </c>
      <c r="J3" s="23"/>
      <c r="K3" s="23"/>
    </row>
    <row r="4" spans="1:11" x14ac:dyDescent="0.25">
      <c r="A4" s="156">
        <v>119</v>
      </c>
      <c r="B4" s="2" t="str">
        <f>A4&amp;"-"&amp;IF(DAY(Variables!$A$2)&lt;10,0,"")&amp;DAY(Variables!$A$2)</f>
        <v>119-08</v>
      </c>
      <c r="C4" s="114"/>
      <c r="D4" s="114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22119-08%22)),sort:!(Time,asc))</v>
      </c>
      <c r="J4" s="23"/>
      <c r="K4" s="23"/>
    </row>
    <row r="5" spans="1:11" x14ac:dyDescent="0.25">
      <c r="A5" s="156">
        <v>120</v>
      </c>
      <c r="B5" s="2" t="str">
        <f>A5&amp;"-"&amp;IF(DAY(Variables!$A$2)&lt;10,0,"")&amp;DAY(Variables!$A$2)</f>
        <v>120-08</v>
      </c>
      <c r="C5" s="114"/>
      <c r="D5" s="114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ref="I5:I13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22120-08%22)),sort:!(Time,asc))</v>
      </c>
      <c r="J5" s="23"/>
      <c r="K5" s="23"/>
    </row>
    <row r="6" spans="1:11" x14ac:dyDescent="0.25">
      <c r="A6" s="156">
        <v>225</v>
      </c>
      <c r="B6" s="2" t="str">
        <f>A6&amp;"-"&amp;IF(DAY(Variables!$A$2)&lt;10,0,"")&amp;DAY(Variables!$A$2)</f>
        <v>225-08</v>
      </c>
      <c r="C6" s="114"/>
      <c r="D6" s="114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22225-08%22)),sort:!(Time,asc))</v>
      </c>
      <c r="J6" s="23"/>
      <c r="K6" s="23"/>
    </row>
    <row r="7" spans="1:11" x14ac:dyDescent="0.25">
      <c r="A7" s="156">
        <v>233</v>
      </c>
      <c r="B7" s="2" t="str">
        <f>A7&amp;"-"&amp;IF(DAY(Variables!$A$2)&lt;10,0,"")&amp;DAY(Variables!$A$2)</f>
        <v>233-08</v>
      </c>
      <c r="C7" s="114"/>
      <c r="D7" s="114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22233-08%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-08</v>
      </c>
      <c r="C8" s="114"/>
      <c r="D8" s="114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-08</v>
      </c>
      <c r="C9" s="114"/>
      <c r="D9" s="114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-08</v>
      </c>
      <c r="C10" s="114"/>
      <c r="D10" s="114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-08</v>
      </c>
      <c r="C11" s="114"/>
      <c r="D11" s="114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-08</v>
      </c>
      <c r="C12" s="114"/>
      <c r="D12" s="114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-08</v>
      </c>
      <c r="C13" s="178"/>
      <c r="D13" s="178"/>
      <c r="E13" s="179"/>
      <c r="F13" s="180" t="e">
        <f>VLOOKUP(B13,'Trips&amp;Operators'!$C$2:$E$10000,3,FALSE)</f>
        <v>#N/A</v>
      </c>
      <c r="G13" s="180" t="e">
        <f>VLOOKUP(B13,'Trips&amp;Operators'!$C$1:$F$10000,4,FALSE)</f>
        <v>#N/A</v>
      </c>
      <c r="H13" s="181" t="e">
        <f>VLOOKUP(B13,'Trips&amp;Operators'!$C$1:$H$10000,5,FALSE)</f>
        <v>#N/A</v>
      </c>
      <c r="I13" s="18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" s="23"/>
      <c r="K13" s="23"/>
    </row>
    <row r="14" spans="1:11" s="23" customFormat="1" x14ac:dyDescent="0.25">
      <c r="A14" s="183"/>
      <c r="B14" s="2" t="str">
        <f>A14&amp;"-"&amp;IF(DAY(Variables!$A$2)&lt;10,0,"")&amp;DAY(Variables!$A$2)</f>
        <v>-08</v>
      </c>
      <c r="C14" s="178"/>
      <c r="D14" s="178"/>
      <c r="E14" s="179"/>
      <c r="F14" s="180" t="e">
        <f>VLOOKUP(B14,'Trips&amp;Operators'!$C$2:$E$10000,3,FALSE)</f>
        <v>#N/A</v>
      </c>
      <c r="G14" s="180" t="e">
        <f>VLOOKUP(B14,'Trips&amp;Operators'!$C$1:$F$10000,4,FALSE)</f>
        <v>#N/A</v>
      </c>
      <c r="H14" s="181" t="e">
        <f>VLOOKUP(B14,'Trips&amp;Operators'!$C$1:$H$10000,5,FALSE)</f>
        <v>#N/A</v>
      </c>
      <c r="I14" s="182" t="str">
        <f t="shared" ref="I1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15" spans="1:11" x14ac:dyDescent="0.25">
      <c r="A15" s="183"/>
      <c r="B15" s="2" t="str">
        <f>A15&amp;"-"&amp;IF(DAY(Variables!$A$2)&lt;10,0,"")&amp;DAY(Variables!$A$2)</f>
        <v>-08</v>
      </c>
      <c r="C15" s="114"/>
      <c r="D15" s="114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5" s="23"/>
      <c r="K15" s="23"/>
    </row>
    <row r="16" spans="1:11" x14ac:dyDescent="0.25">
      <c r="A16" s="183"/>
      <c r="B16" s="2" t="str">
        <f>A16&amp;"-"&amp;IF(DAY(Variables!$A$2)&lt;10,0,"")&amp;DAY(Variables!$A$2)</f>
        <v>-08</v>
      </c>
      <c r="C16" s="114"/>
      <c r="D16" s="114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-08</v>
      </c>
      <c r="C17" s="114"/>
      <c r="D17" s="114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-08</v>
      </c>
      <c r="C18" s="114"/>
      <c r="D18" s="114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-08</v>
      </c>
      <c r="C19" s="114"/>
      <c r="D19" s="114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-08</v>
      </c>
      <c r="C20" s="114"/>
      <c r="D20" s="114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-08</v>
      </c>
      <c r="C21" s="114"/>
      <c r="D21" s="114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-08</v>
      </c>
      <c r="C22" s="114"/>
      <c r="D22" s="114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3" spans="2:11" x14ac:dyDescent="0.25">
      <c r="B23" s="2" t="str">
        <f>A23&amp;"-"&amp;IF(DAY(Variables!$A$2)&lt;10,0,"")&amp;DAY(Variables!$A$2)</f>
        <v>-08</v>
      </c>
      <c r="C23" s="114"/>
      <c r="D23" s="114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4" spans="2:11" x14ac:dyDescent="0.25">
      <c r="B24" s="2" t="str">
        <f>A24&amp;"-"&amp;IF(DAY(Variables!$A$2)&lt;10,0,"")&amp;DAY(Variables!$A$2)</f>
        <v>-08</v>
      </c>
      <c r="C24" s="114"/>
      <c r="D24" s="114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5" spans="2:11" x14ac:dyDescent="0.25">
      <c r="B25" s="2" t="str">
        <f>A25&amp;"-"&amp;IF(DAY(Variables!$A$2)&lt;10,0,"")&amp;DAY(Variables!$A$2)</f>
        <v>-08</v>
      </c>
      <c r="C25" s="114"/>
      <c r="D25" s="114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6" spans="2:11" x14ac:dyDescent="0.25">
      <c r="B26" s="2" t="str">
        <f>A26&amp;"-"&amp;IF(DAY(Variables!$A$2)&lt;10,0,"")&amp;DAY(Variables!$A$2)</f>
        <v>-08</v>
      </c>
      <c r="C26" s="114"/>
      <c r="D26" s="114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7" spans="2:11" x14ac:dyDescent="0.25">
      <c r="B27" s="2" t="str">
        <f>A27&amp;"-"&amp;IF(DAY(Variables!$A$2)&lt;10,0,"")&amp;DAY(Variables!$A$2)</f>
        <v>-08</v>
      </c>
      <c r="C27" s="114"/>
      <c r="D27" s="114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  <row r="28" spans="2:11" x14ac:dyDescent="0.25">
      <c r="B28" s="2" t="str">
        <f>A28&amp;"-"&amp;IF(DAY(Variables!$A$2)&lt;10,0,"")&amp;DAY(Variables!$A$2)</f>
        <v>-08</v>
      </c>
      <c r="C28" s="114"/>
      <c r="D28" s="114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212</v>
      </c>
      <c r="B1" s="23" t="s">
        <v>213</v>
      </c>
      <c r="C1" s="23" t="s">
        <v>0</v>
      </c>
      <c r="D1" s="23" t="s">
        <v>214</v>
      </c>
      <c r="E1" s="23" t="s">
        <v>215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42651.036354166667</v>
      </c>
      <c r="B2" s="23" t="s">
        <v>286</v>
      </c>
      <c r="C2" s="23" t="s">
        <v>345</v>
      </c>
      <c r="D2" s="23">
        <v>1800000</v>
      </c>
      <c r="E2" s="23" t="s">
        <v>390</v>
      </c>
      <c r="F2" s="23" t="str">
        <f t="shared" ref="F2:F65" si="0">B2</f>
        <v>rtdc.l.rtdc.4045:itc</v>
      </c>
      <c r="G2" s="8">
        <f t="shared" ref="G2:G65" si="1">A2</f>
        <v>42651.036354166667</v>
      </c>
    </row>
    <row r="3" spans="1:7" x14ac:dyDescent="0.25">
      <c r="A3" s="8">
        <v>42651.038113425922</v>
      </c>
      <c r="B3" s="23" t="s">
        <v>261</v>
      </c>
      <c r="C3" s="23" t="s">
        <v>349</v>
      </c>
      <c r="D3" s="23">
        <v>1300000</v>
      </c>
      <c r="E3" s="23" t="s">
        <v>121</v>
      </c>
      <c r="F3" s="23" t="str">
        <f t="shared" si="0"/>
        <v>rtdc.l.rtdc.4007:itc</v>
      </c>
      <c r="G3" s="8">
        <f t="shared" si="1"/>
        <v>42651.038113425922</v>
      </c>
    </row>
    <row r="4" spans="1:7" x14ac:dyDescent="0.25">
      <c r="A4" s="8">
        <v>42651.048807870371</v>
      </c>
      <c r="B4" s="23" t="s">
        <v>244</v>
      </c>
      <c r="C4" s="23" t="s">
        <v>352</v>
      </c>
      <c r="D4" s="23">
        <v>140000</v>
      </c>
      <c r="E4" s="23" t="s">
        <v>274</v>
      </c>
      <c r="F4" s="23" t="str">
        <f t="shared" si="0"/>
        <v>rtdc.l.rtdc.4003:itc</v>
      </c>
      <c r="G4" s="8">
        <f t="shared" si="1"/>
        <v>42651.048807870371</v>
      </c>
    </row>
    <row r="5" spans="1:7" x14ac:dyDescent="0.25">
      <c r="A5" s="8">
        <v>42651.051481481481</v>
      </c>
      <c r="B5" s="23" t="s">
        <v>380</v>
      </c>
      <c r="C5" s="23" t="s">
        <v>347</v>
      </c>
      <c r="D5" s="23">
        <v>1480000</v>
      </c>
      <c r="E5" s="23" t="s">
        <v>225</v>
      </c>
      <c r="F5" s="23" t="str">
        <f t="shared" si="0"/>
        <v>rtdc.l.rtdc.4019:itc</v>
      </c>
      <c r="G5" s="8">
        <f t="shared" si="1"/>
        <v>42651.051481481481</v>
      </c>
    </row>
    <row r="6" spans="1:7" x14ac:dyDescent="0.25">
      <c r="A6" s="8">
        <v>42651.057025462964</v>
      </c>
      <c r="B6" s="23" t="s">
        <v>168</v>
      </c>
      <c r="C6" s="23" t="s">
        <v>364</v>
      </c>
      <c r="D6" s="23">
        <v>630000</v>
      </c>
      <c r="E6" s="23" t="b">
        <v>1</v>
      </c>
      <c r="F6" s="23" t="str">
        <f t="shared" si="0"/>
        <v>rtdc.l.rtdc.4052:itc</v>
      </c>
      <c r="G6" s="8">
        <f t="shared" si="1"/>
        <v>42651.057025462964</v>
      </c>
    </row>
    <row r="7" spans="1:7" x14ac:dyDescent="0.25">
      <c r="A7" s="8">
        <v>42651.069953703707</v>
      </c>
      <c r="B7" s="23" t="s">
        <v>284</v>
      </c>
      <c r="C7" s="23" t="s">
        <v>354</v>
      </c>
      <c r="D7" s="23">
        <v>1800000</v>
      </c>
      <c r="E7" s="23" t="s">
        <v>390</v>
      </c>
      <c r="F7" s="23" t="str">
        <f t="shared" si="0"/>
        <v>rtdc.l.rtdc.4046:itc</v>
      </c>
      <c r="G7" s="8">
        <f t="shared" si="1"/>
        <v>42651.069953703707</v>
      </c>
    </row>
    <row r="8" spans="1:7" x14ac:dyDescent="0.25">
      <c r="A8" s="8">
        <v>42651.076747685183</v>
      </c>
      <c r="B8" s="23" t="s">
        <v>258</v>
      </c>
      <c r="C8" s="23" t="s">
        <v>350</v>
      </c>
      <c r="D8" s="23">
        <v>1300000</v>
      </c>
      <c r="E8" s="23" t="s">
        <v>121</v>
      </c>
      <c r="F8" s="23" t="str">
        <f t="shared" si="0"/>
        <v>rtdc.l.rtdc.4008:itc</v>
      </c>
      <c r="G8" s="8">
        <f t="shared" si="1"/>
        <v>42651.076747685183</v>
      </c>
    </row>
    <row r="9" spans="1:7" ht="15.75" thickBot="1" x14ac:dyDescent="0.3">
      <c r="A9" s="27">
        <v>42651.087326388886</v>
      </c>
      <c r="B9" s="23" t="s">
        <v>167</v>
      </c>
      <c r="C9" s="23" t="s">
        <v>364</v>
      </c>
      <c r="D9" s="23">
        <v>630000</v>
      </c>
      <c r="E9" s="23" t="b">
        <v>1</v>
      </c>
      <c r="F9" s="23" t="str">
        <f t="shared" si="0"/>
        <v>rtdc.l.rtdc.4051:itc</v>
      </c>
      <c r="G9" s="8">
        <f t="shared" si="1"/>
        <v>42651.087326388886</v>
      </c>
    </row>
    <row r="10" spans="1:7" x14ac:dyDescent="0.25">
      <c r="A10" s="8">
        <v>42651.08803240741</v>
      </c>
      <c r="B10" s="23" t="s">
        <v>167</v>
      </c>
      <c r="C10" s="23" t="s">
        <v>364</v>
      </c>
      <c r="D10" s="23">
        <v>630000</v>
      </c>
      <c r="E10" s="23" t="b">
        <v>1</v>
      </c>
      <c r="F10" s="23" t="str">
        <f t="shared" si="0"/>
        <v>rtdc.l.rtdc.4051:itc</v>
      </c>
      <c r="G10" s="8">
        <f t="shared" si="1"/>
        <v>42651.08803240741</v>
      </c>
    </row>
    <row r="11" spans="1:7" x14ac:dyDescent="0.25">
      <c r="A11" s="8">
        <v>42651.089988425927</v>
      </c>
      <c r="B11" s="23" t="s">
        <v>167</v>
      </c>
      <c r="C11" s="23" t="s">
        <v>359</v>
      </c>
      <c r="D11" s="23">
        <v>630000</v>
      </c>
      <c r="E11" s="23" t="b">
        <v>1</v>
      </c>
      <c r="F11" s="23" t="str">
        <f t="shared" si="0"/>
        <v>rtdc.l.rtdc.4051:itc</v>
      </c>
      <c r="G11" s="8">
        <f t="shared" si="1"/>
        <v>42651.089988425927</v>
      </c>
    </row>
    <row r="12" spans="1:7" x14ac:dyDescent="0.25">
      <c r="A12" s="8">
        <v>42651.090532407405</v>
      </c>
      <c r="B12" s="23" t="s">
        <v>379</v>
      </c>
      <c r="C12" s="23" t="s">
        <v>355</v>
      </c>
      <c r="D12" s="23">
        <v>1480000</v>
      </c>
      <c r="E12" s="23" t="s">
        <v>225</v>
      </c>
      <c r="F12" s="23" t="str">
        <f t="shared" si="0"/>
        <v>rtdc.l.rtdc.4020:itc</v>
      </c>
      <c r="G12" s="8">
        <f t="shared" si="1"/>
        <v>42651.090532407405</v>
      </c>
    </row>
    <row r="13" spans="1:7" x14ac:dyDescent="0.25">
      <c r="A13" s="8">
        <v>42651.110636574071</v>
      </c>
      <c r="B13" s="23" t="s">
        <v>261</v>
      </c>
      <c r="C13" s="23" t="s">
        <v>357</v>
      </c>
      <c r="D13" s="23">
        <v>1300000</v>
      </c>
      <c r="E13" s="23" t="s">
        <v>121</v>
      </c>
      <c r="F13" s="23" t="str">
        <f t="shared" si="0"/>
        <v>rtdc.l.rtdc.4007:itc</v>
      </c>
      <c r="G13" s="8">
        <f t="shared" si="1"/>
        <v>42651.110636574071</v>
      </c>
    </row>
    <row r="14" spans="1:7" x14ac:dyDescent="0.25">
      <c r="A14" s="8">
        <v>42651.122013888889</v>
      </c>
      <c r="B14" s="23" t="s">
        <v>393</v>
      </c>
      <c r="C14" s="23" t="s">
        <v>394</v>
      </c>
      <c r="D14" s="23">
        <v>2010000</v>
      </c>
      <c r="E14" s="23" t="s">
        <v>271</v>
      </c>
      <c r="F14" s="23" t="str">
        <f t="shared" si="0"/>
        <v>rtdc.l.rtdc.4028:itc</v>
      </c>
      <c r="G14" s="8">
        <f t="shared" si="1"/>
        <v>42651.122013888889</v>
      </c>
    </row>
    <row r="15" spans="1:7" x14ac:dyDescent="0.25">
      <c r="A15" s="8">
        <v>42651.12228009259</v>
      </c>
      <c r="B15" s="23" t="s">
        <v>168</v>
      </c>
      <c r="C15" s="23" t="s">
        <v>364</v>
      </c>
      <c r="D15" s="23">
        <v>630000</v>
      </c>
      <c r="E15" s="23" t="b">
        <v>1</v>
      </c>
      <c r="F15" s="23" t="str">
        <f t="shared" si="0"/>
        <v>rtdc.l.rtdc.4052:itc</v>
      </c>
      <c r="G15" s="8">
        <f t="shared" si="1"/>
        <v>42651.12228009259</v>
      </c>
    </row>
    <row r="16" spans="1:7" x14ac:dyDescent="0.25">
      <c r="A16" s="8">
        <v>42651.133159722223</v>
      </c>
      <c r="B16" s="23" t="s">
        <v>238</v>
      </c>
      <c r="C16" s="23" t="s">
        <v>395</v>
      </c>
      <c r="D16" s="23">
        <v>2010000</v>
      </c>
      <c r="E16" s="23" t="s">
        <v>271</v>
      </c>
      <c r="F16" s="23" t="str">
        <f t="shared" si="0"/>
        <v>rtdc.l.rtdc.4053:itc</v>
      </c>
      <c r="G16" s="8">
        <f t="shared" si="1"/>
        <v>42651.133159722223</v>
      </c>
    </row>
    <row r="17" spans="1:7" x14ac:dyDescent="0.25">
      <c r="A17" s="8">
        <v>42651.134270833332</v>
      </c>
      <c r="B17" s="23" t="s">
        <v>238</v>
      </c>
      <c r="C17" s="23" t="s">
        <v>395</v>
      </c>
      <c r="D17" s="23">
        <v>2010000</v>
      </c>
      <c r="E17" s="23" t="s">
        <v>271</v>
      </c>
      <c r="F17" s="23" t="str">
        <f t="shared" si="0"/>
        <v>rtdc.l.rtdc.4053:itc</v>
      </c>
      <c r="G17" s="8">
        <f t="shared" si="1"/>
        <v>42651.134270833332</v>
      </c>
    </row>
    <row r="18" spans="1:7" x14ac:dyDescent="0.25">
      <c r="A18" s="8">
        <v>42651.137349537035</v>
      </c>
      <c r="B18" s="23" t="s">
        <v>167</v>
      </c>
      <c r="C18" s="23" t="s">
        <v>359</v>
      </c>
      <c r="D18" s="23">
        <v>630000</v>
      </c>
      <c r="E18" s="23" t="b">
        <v>1</v>
      </c>
      <c r="F18" s="23" t="str">
        <f t="shared" si="0"/>
        <v>rtdc.l.rtdc.4051:itc</v>
      </c>
      <c r="G18" s="8">
        <f t="shared" si="1"/>
        <v>42651.137349537035</v>
      </c>
    </row>
    <row r="19" spans="1:7" x14ac:dyDescent="0.25">
      <c r="A19" s="8">
        <v>42651.143877314818</v>
      </c>
      <c r="B19" s="23" t="s">
        <v>381</v>
      </c>
      <c r="C19" s="23" t="s">
        <v>396</v>
      </c>
      <c r="D19" s="23">
        <v>1310000</v>
      </c>
      <c r="E19" s="23" t="s">
        <v>383</v>
      </c>
      <c r="F19" s="23" t="str">
        <f t="shared" si="0"/>
        <v>rtdc.l.rtdc.4013:itc</v>
      </c>
      <c r="G19" s="8">
        <f t="shared" si="1"/>
        <v>42651.143877314818</v>
      </c>
    </row>
    <row r="20" spans="1:7" x14ac:dyDescent="0.25">
      <c r="A20" s="8">
        <v>42651.144456018519</v>
      </c>
      <c r="B20" s="23" t="s">
        <v>381</v>
      </c>
      <c r="C20" s="23" t="s">
        <v>397</v>
      </c>
      <c r="D20" s="23">
        <v>1310000</v>
      </c>
      <c r="E20" s="23" t="s">
        <v>383</v>
      </c>
      <c r="F20" s="23" t="str">
        <f t="shared" si="0"/>
        <v>rtdc.l.rtdc.4013:itc</v>
      </c>
      <c r="G20" s="8">
        <f t="shared" si="1"/>
        <v>42651.144456018519</v>
      </c>
    </row>
    <row r="21" spans="1:7" x14ac:dyDescent="0.25">
      <c r="A21" s="8">
        <v>42651.1565162037</v>
      </c>
      <c r="B21" s="23" t="s">
        <v>384</v>
      </c>
      <c r="C21" s="23" t="s">
        <v>396</v>
      </c>
      <c r="D21" s="23">
        <v>1310000</v>
      </c>
      <c r="E21" s="23" t="s">
        <v>383</v>
      </c>
      <c r="F21" s="23" t="str">
        <f t="shared" si="0"/>
        <v>rtdc.l.rtdc.4038:itc</v>
      </c>
      <c r="G21" s="8">
        <f t="shared" si="1"/>
        <v>42651.1565162037</v>
      </c>
    </row>
    <row r="22" spans="1:7" x14ac:dyDescent="0.25">
      <c r="A22" s="29">
        <v>42651.161354166667</v>
      </c>
      <c r="B22" s="23" t="s">
        <v>168</v>
      </c>
      <c r="C22" s="23" t="s">
        <v>364</v>
      </c>
      <c r="D22" s="23">
        <v>630000</v>
      </c>
      <c r="E22" s="23" t="b">
        <v>1</v>
      </c>
      <c r="F22" s="23" t="str">
        <f t="shared" si="0"/>
        <v>rtdc.l.rtdc.4052:itc</v>
      </c>
      <c r="G22" s="8">
        <f t="shared" si="1"/>
        <v>42651.161354166667</v>
      </c>
    </row>
    <row r="23" spans="1:7" x14ac:dyDescent="0.25">
      <c r="A23" s="8">
        <v>42651.163738425923</v>
      </c>
      <c r="B23" s="23" t="s">
        <v>398</v>
      </c>
      <c r="C23" s="23" t="s">
        <v>399</v>
      </c>
      <c r="D23" s="23">
        <v>1260000</v>
      </c>
      <c r="E23" s="23" t="s">
        <v>400</v>
      </c>
      <c r="F23" s="23" t="str">
        <f t="shared" si="0"/>
        <v>rtdc.l.rtdc.4043:itc</v>
      </c>
      <c r="G23" s="8">
        <f t="shared" si="1"/>
        <v>42651.163738425923</v>
      </c>
    </row>
    <row r="24" spans="1:7" x14ac:dyDescent="0.25">
      <c r="A24" s="8">
        <v>42651.170208333337</v>
      </c>
      <c r="B24" s="23" t="s">
        <v>393</v>
      </c>
      <c r="C24" s="23" t="s">
        <v>401</v>
      </c>
      <c r="D24" s="23">
        <v>2010000</v>
      </c>
      <c r="E24" s="23" t="s">
        <v>271</v>
      </c>
      <c r="F24" s="23" t="str">
        <f t="shared" si="0"/>
        <v>rtdc.l.rtdc.4028:itc</v>
      </c>
      <c r="G24" s="8">
        <f t="shared" si="1"/>
        <v>42651.170208333337</v>
      </c>
    </row>
    <row r="25" spans="1:7" x14ac:dyDescent="0.25">
      <c r="A25" s="8">
        <v>42651.184398148151</v>
      </c>
      <c r="B25" s="23" t="s">
        <v>170</v>
      </c>
      <c r="C25" s="23" t="s">
        <v>402</v>
      </c>
      <c r="D25" s="23">
        <v>1990000</v>
      </c>
      <c r="E25" s="23" t="s">
        <v>382</v>
      </c>
      <c r="F25" s="23" t="str">
        <f t="shared" si="0"/>
        <v>rtdc.l.rtdc.4042:itc</v>
      </c>
      <c r="G25" s="8">
        <f t="shared" si="1"/>
        <v>42651.184398148151</v>
      </c>
    </row>
    <row r="26" spans="1:7" x14ac:dyDescent="0.25">
      <c r="A26" s="8">
        <v>42651.190312500003</v>
      </c>
      <c r="B26" s="23" t="s">
        <v>165</v>
      </c>
      <c r="C26" s="23" t="s">
        <v>403</v>
      </c>
      <c r="D26" s="23">
        <v>2030000</v>
      </c>
      <c r="E26" s="23" t="s">
        <v>404</v>
      </c>
      <c r="F26" s="23" t="str">
        <f t="shared" si="0"/>
        <v>rtdc.l.rtdc.4025:itc</v>
      </c>
      <c r="G26" s="8">
        <f t="shared" si="1"/>
        <v>42651.190312500003</v>
      </c>
    </row>
    <row r="27" spans="1:7" x14ac:dyDescent="0.25">
      <c r="A27" s="8">
        <v>42651.193298611113</v>
      </c>
      <c r="B27" s="23" t="s">
        <v>381</v>
      </c>
      <c r="C27" s="23" t="s">
        <v>405</v>
      </c>
      <c r="D27" s="23">
        <v>1310000</v>
      </c>
      <c r="E27" s="23" t="s">
        <v>383</v>
      </c>
      <c r="F27" s="23" t="str">
        <f t="shared" si="0"/>
        <v>rtdc.l.rtdc.4013:itc</v>
      </c>
      <c r="G27" s="8">
        <f t="shared" si="1"/>
        <v>42651.193298611113</v>
      </c>
    </row>
    <row r="28" spans="1:7" x14ac:dyDescent="0.25">
      <c r="A28" s="8">
        <v>42651.20484953704</v>
      </c>
      <c r="B28" s="23" t="s">
        <v>238</v>
      </c>
      <c r="C28" s="23" t="s">
        <v>406</v>
      </c>
      <c r="D28" s="23">
        <v>1100000</v>
      </c>
      <c r="E28" s="23" t="s">
        <v>260</v>
      </c>
      <c r="F28" s="23" t="str">
        <f t="shared" si="0"/>
        <v>rtdc.l.rtdc.4053:itc</v>
      </c>
      <c r="G28" s="8">
        <f t="shared" si="1"/>
        <v>42651.20484953704</v>
      </c>
    </row>
    <row r="29" spans="1:7" x14ac:dyDescent="0.25">
      <c r="A29" s="8">
        <v>42651.205833333333</v>
      </c>
      <c r="B29" s="23" t="s">
        <v>238</v>
      </c>
      <c r="C29" s="23" t="s">
        <v>406</v>
      </c>
      <c r="D29" s="23">
        <v>1100000</v>
      </c>
      <c r="E29" s="23" t="s">
        <v>260</v>
      </c>
      <c r="F29" s="23" t="str">
        <f t="shared" si="0"/>
        <v>rtdc.l.rtdc.4053:itc</v>
      </c>
      <c r="G29" s="8">
        <f t="shared" si="1"/>
        <v>42651.205833333333</v>
      </c>
    </row>
    <row r="30" spans="1:7" x14ac:dyDescent="0.25">
      <c r="A30" s="8">
        <v>42651.214444444442</v>
      </c>
      <c r="B30" s="23" t="s">
        <v>398</v>
      </c>
      <c r="C30" s="23" t="s">
        <v>407</v>
      </c>
      <c r="D30" s="23">
        <v>1260000</v>
      </c>
      <c r="E30" s="23" t="s">
        <v>400</v>
      </c>
      <c r="F30" s="23" t="str">
        <f t="shared" si="0"/>
        <v>rtdc.l.rtdc.4043:itc</v>
      </c>
      <c r="G30" s="8">
        <f t="shared" si="1"/>
        <v>42651.214444444442</v>
      </c>
    </row>
    <row r="31" spans="1:7" x14ac:dyDescent="0.25">
      <c r="A31" s="8">
        <v>42651.214884259258</v>
      </c>
      <c r="B31" s="23" t="s">
        <v>408</v>
      </c>
      <c r="C31" s="23" t="s">
        <v>409</v>
      </c>
      <c r="D31" s="23">
        <v>2010000</v>
      </c>
      <c r="E31" s="23" t="s">
        <v>271</v>
      </c>
      <c r="F31" s="23" t="str">
        <f t="shared" si="0"/>
        <v>rtdc.l.rtdc.4027:itc</v>
      </c>
      <c r="G31" s="8">
        <f t="shared" si="1"/>
        <v>42651.214884259258</v>
      </c>
    </row>
    <row r="32" spans="1:7" x14ac:dyDescent="0.25">
      <c r="A32" s="8">
        <v>42651.215995370374</v>
      </c>
      <c r="B32" s="23" t="s">
        <v>398</v>
      </c>
      <c r="C32" s="23" t="s">
        <v>407</v>
      </c>
      <c r="D32" s="23">
        <v>1260000</v>
      </c>
      <c r="E32" s="23" t="s">
        <v>400</v>
      </c>
      <c r="F32" s="23" t="str">
        <f t="shared" si="0"/>
        <v>rtdc.l.rtdc.4043:itc</v>
      </c>
      <c r="G32" s="8">
        <f t="shared" si="1"/>
        <v>42651.215995370374</v>
      </c>
    </row>
    <row r="33" spans="1:7" x14ac:dyDescent="0.25">
      <c r="A33" s="8">
        <v>42651.217592592591</v>
      </c>
      <c r="B33" s="23" t="s">
        <v>398</v>
      </c>
      <c r="C33" s="23" t="s">
        <v>407</v>
      </c>
      <c r="D33" s="23">
        <v>1260000</v>
      </c>
      <c r="E33" s="23" t="s">
        <v>400</v>
      </c>
      <c r="F33" s="23" t="str">
        <f t="shared" si="0"/>
        <v>rtdc.l.rtdc.4043:itc</v>
      </c>
      <c r="G33" s="8">
        <f t="shared" si="1"/>
        <v>42651.217592592591</v>
      </c>
    </row>
    <row r="34" spans="1:7" x14ac:dyDescent="0.25">
      <c r="A34" s="8">
        <v>42651.221828703703</v>
      </c>
      <c r="B34" s="23" t="s">
        <v>169</v>
      </c>
      <c r="C34" s="23" t="s">
        <v>410</v>
      </c>
      <c r="D34" s="23">
        <v>1990000</v>
      </c>
      <c r="E34" s="23" t="s">
        <v>382</v>
      </c>
      <c r="F34" s="23" t="str">
        <f t="shared" si="0"/>
        <v>rtdc.l.rtdc.4041:itc</v>
      </c>
      <c r="G34" s="8">
        <f t="shared" si="1"/>
        <v>42651.221828703703</v>
      </c>
    </row>
    <row r="35" spans="1:7" x14ac:dyDescent="0.25">
      <c r="A35" s="8">
        <v>42651.225474537037</v>
      </c>
      <c r="B35" s="23" t="s">
        <v>220</v>
      </c>
      <c r="C35" s="23" t="s">
        <v>411</v>
      </c>
      <c r="D35" s="23">
        <v>1830000</v>
      </c>
      <c r="E35" s="23" t="s">
        <v>412</v>
      </c>
      <c r="F35" s="23" t="str">
        <f t="shared" si="0"/>
        <v>rtdc.l.rtdc.4018:itc</v>
      </c>
      <c r="G35" s="8">
        <f t="shared" si="1"/>
        <v>42651.225474537037</v>
      </c>
    </row>
    <row r="36" spans="1:7" x14ac:dyDescent="0.25">
      <c r="A36" s="8">
        <v>42651.226423611108</v>
      </c>
      <c r="B36" s="23" t="s">
        <v>384</v>
      </c>
      <c r="C36" s="23" t="s">
        <v>413</v>
      </c>
      <c r="D36" s="23">
        <v>1760000</v>
      </c>
      <c r="E36" s="23" t="s">
        <v>272</v>
      </c>
      <c r="F36" s="23" t="str">
        <f t="shared" si="0"/>
        <v>rtdc.l.rtdc.4038:itc</v>
      </c>
      <c r="G36" s="8">
        <f t="shared" si="1"/>
        <v>42651.226423611108</v>
      </c>
    </row>
    <row r="37" spans="1:7" x14ac:dyDescent="0.25">
      <c r="A37" s="8">
        <v>42651.230752314812</v>
      </c>
      <c r="B37" s="23" t="s">
        <v>398</v>
      </c>
      <c r="C37" s="23" t="s">
        <v>407</v>
      </c>
      <c r="D37" s="23">
        <v>1260000</v>
      </c>
      <c r="E37" s="23" t="s">
        <v>400</v>
      </c>
      <c r="F37" s="23" t="str">
        <f t="shared" si="0"/>
        <v>rtdc.l.rtdc.4043:itc</v>
      </c>
      <c r="G37" s="8">
        <f t="shared" si="1"/>
        <v>42651.230752314812</v>
      </c>
    </row>
    <row r="38" spans="1:7" x14ac:dyDescent="0.25">
      <c r="A38" s="8">
        <v>42651.233993055554</v>
      </c>
      <c r="B38" s="23" t="s">
        <v>219</v>
      </c>
      <c r="C38" s="23" t="s">
        <v>414</v>
      </c>
      <c r="D38" s="23">
        <v>1830000</v>
      </c>
      <c r="E38" s="23" t="s">
        <v>412</v>
      </c>
      <c r="F38" s="23" t="str">
        <f t="shared" si="0"/>
        <v>rtdc.l.rtdc.4017:itc</v>
      </c>
      <c r="G38" s="8">
        <f t="shared" si="1"/>
        <v>42651.233993055554</v>
      </c>
    </row>
    <row r="39" spans="1:7" x14ac:dyDescent="0.25">
      <c r="A39" s="8">
        <v>42651.235844907409</v>
      </c>
      <c r="B39" s="23" t="s">
        <v>166</v>
      </c>
      <c r="C39" s="23" t="s">
        <v>415</v>
      </c>
      <c r="D39" s="23">
        <v>2030000</v>
      </c>
      <c r="E39" s="23" t="s">
        <v>404</v>
      </c>
      <c r="F39" s="23" t="str">
        <f t="shared" si="0"/>
        <v>rtdc.l.rtdc.4026:itc</v>
      </c>
      <c r="G39" s="8">
        <f t="shared" si="1"/>
        <v>42651.235844907409</v>
      </c>
    </row>
    <row r="40" spans="1:7" x14ac:dyDescent="0.25">
      <c r="A40" s="8">
        <v>42651.238078703704</v>
      </c>
      <c r="B40" s="28" t="s">
        <v>388</v>
      </c>
      <c r="C40" s="23" t="s">
        <v>416</v>
      </c>
      <c r="D40" s="23">
        <v>1310000</v>
      </c>
      <c r="E40" s="23" t="s">
        <v>383</v>
      </c>
      <c r="F40" s="23" t="str">
        <f t="shared" si="0"/>
        <v>rtdc.l.rtdc.4014:itc</v>
      </c>
      <c r="G40" s="8">
        <f t="shared" si="1"/>
        <v>42651.238078703704</v>
      </c>
    </row>
    <row r="41" spans="1:7" x14ac:dyDescent="0.25">
      <c r="A41" s="8">
        <v>42651.244652777779</v>
      </c>
      <c r="B41" s="23" t="s">
        <v>285</v>
      </c>
      <c r="C41" s="23" t="s">
        <v>417</v>
      </c>
      <c r="D41" s="23">
        <v>1100000</v>
      </c>
      <c r="E41" s="23" t="s">
        <v>260</v>
      </c>
      <c r="F41" s="23" t="str">
        <f t="shared" si="0"/>
        <v>rtdc.l.rtdc.4054:itc</v>
      </c>
      <c r="G41" s="8">
        <f t="shared" si="1"/>
        <v>42651.244652777779</v>
      </c>
    </row>
    <row r="42" spans="1:7" x14ac:dyDescent="0.25">
      <c r="A42" s="8">
        <v>42651.247604166667</v>
      </c>
      <c r="B42" s="23" t="s">
        <v>220</v>
      </c>
      <c r="C42" s="23" t="s">
        <v>418</v>
      </c>
      <c r="D42" s="23">
        <v>1830000</v>
      </c>
      <c r="E42" s="23" t="s">
        <v>412</v>
      </c>
      <c r="F42" s="23" t="str">
        <f t="shared" si="0"/>
        <v>rtdc.l.rtdc.4018:itc</v>
      </c>
      <c r="G42" s="8">
        <f t="shared" si="1"/>
        <v>42651.247604166667</v>
      </c>
    </row>
    <row r="43" spans="1:7" x14ac:dyDescent="0.25">
      <c r="A43" s="8">
        <v>42651.251446759263</v>
      </c>
      <c r="B43" s="23" t="s">
        <v>393</v>
      </c>
      <c r="C43" s="23" t="s">
        <v>419</v>
      </c>
      <c r="D43" s="23">
        <v>2010000</v>
      </c>
      <c r="E43" s="23" t="s">
        <v>271</v>
      </c>
      <c r="F43" s="23" t="str">
        <f t="shared" si="0"/>
        <v>rtdc.l.rtdc.4028:itc</v>
      </c>
      <c r="G43" s="8">
        <f t="shared" si="1"/>
        <v>42651.251446759263</v>
      </c>
    </row>
    <row r="44" spans="1:7" x14ac:dyDescent="0.25">
      <c r="A44" s="8">
        <v>42651.257523148146</v>
      </c>
      <c r="B44" s="23" t="s">
        <v>170</v>
      </c>
      <c r="C44" s="23" t="s">
        <v>420</v>
      </c>
      <c r="D44" s="23">
        <v>1990000</v>
      </c>
      <c r="E44" s="23" t="s">
        <v>382</v>
      </c>
      <c r="F44" s="23" t="str">
        <f t="shared" si="0"/>
        <v>rtdc.l.rtdc.4042:itc</v>
      </c>
      <c r="G44" s="8">
        <f t="shared" si="1"/>
        <v>42651.257523148146</v>
      </c>
    </row>
    <row r="45" spans="1:7" x14ac:dyDescent="0.25">
      <c r="A45" s="8">
        <v>42651.265289351853</v>
      </c>
      <c r="B45" s="23" t="s">
        <v>378</v>
      </c>
      <c r="C45" s="23" t="s">
        <v>421</v>
      </c>
      <c r="D45" s="23">
        <v>1760000</v>
      </c>
      <c r="E45" s="23" t="s">
        <v>272</v>
      </c>
      <c r="F45" s="23" t="str">
        <f t="shared" si="0"/>
        <v>rtdc.l.rtdc.4037:itc</v>
      </c>
      <c r="G45" s="8">
        <f t="shared" si="1"/>
        <v>42651.265289351853</v>
      </c>
    </row>
    <row r="46" spans="1:7" x14ac:dyDescent="0.25">
      <c r="A46" s="8">
        <v>42651.266319444447</v>
      </c>
      <c r="B46" s="23" t="s">
        <v>378</v>
      </c>
      <c r="C46" s="23" t="s">
        <v>421</v>
      </c>
      <c r="D46" s="23">
        <v>1760000</v>
      </c>
      <c r="E46" s="23" t="s">
        <v>272</v>
      </c>
      <c r="F46" s="23" t="str">
        <f t="shared" si="0"/>
        <v>rtdc.l.rtdc.4037:itc</v>
      </c>
      <c r="G46" s="8">
        <f t="shared" si="1"/>
        <v>42651.266319444447</v>
      </c>
    </row>
    <row r="47" spans="1:7" x14ac:dyDescent="0.25">
      <c r="A47" s="8">
        <v>42651.266550925924</v>
      </c>
      <c r="B47" s="23" t="s">
        <v>165</v>
      </c>
      <c r="C47" s="23" t="s">
        <v>422</v>
      </c>
      <c r="D47" s="23">
        <v>2030000</v>
      </c>
      <c r="E47" s="23" t="s">
        <v>404</v>
      </c>
      <c r="F47" s="23" t="str">
        <f t="shared" si="0"/>
        <v>rtdc.l.rtdc.4025:itc</v>
      </c>
      <c r="G47" s="8">
        <f t="shared" si="1"/>
        <v>42651.266550925924</v>
      </c>
    </row>
    <row r="48" spans="1:7" x14ac:dyDescent="0.25">
      <c r="A48" s="8">
        <v>42651.275497685187</v>
      </c>
      <c r="B48" s="23" t="s">
        <v>219</v>
      </c>
      <c r="C48" s="23" t="s">
        <v>423</v>
      </c>
      <c r="D48" s="23">
        <v>1830000</v>
      </c>
      <c r="E48" s="23" t="s">
        <v>412</v>
      </c>
      <c r="F48" s="23" t="str">
        <f t="shared" si="0"/>
        <v>rtdc.l.rtdc.4017:itc</v>
      </c>
      <c r="G48" s="8">
        <f t="shared" si="1"/>
        <v>42651.275497685187</v>
      </c>
    </row>
    <row r="49" spans="1:7" x14ac:dyDescent="0.25">
      <c r="A49" s="8">
        <v>42651.276678240742</v>
      </c>
      <c r="B49" s="23" t="s">
        <v>381</v>
      </c>
      <c r="C49" s="23" t="s">
        <v>424</v>
      </c>
      <c r="D49" s="23">
        <v>1310000</v>
      </c>
      <c r="E49" s="23" t="s">
        <v>383</v>
      </c>
      <c r="F49" s="23" t="str">
        <f t="shared" si="0"/>
        <v>rtdc.l.rtdc.4013:itc</v>
      </c>
      <c r="G49" s="8">
        <f t="shared" si="1"/>
        <v>42651.276678240742</v>
      </c>
    </row>
    <row r="50" spans="1:7" x14ac:dyDescent="0.25">
      <c r="A50" s="8">
        <v>42651.278182870374</v>
      </c>
      <c r="B50" s="23" t="s">
        <v>238</v>
      </c>
      <c r="C50" s="23" t="s">
        <v>425</v>
      </c>
      <c r="D50" s="23">
        <v>1100000</v>
      </c>
      <c r="E50" s="23" t="s">
        <v>260</v>
      </c>
      <c r="F50" s="23" t="str">
        <f t="shared" si="0"/>
        <v>rtdc.l.rtdc.4053:itc</v>
      </c>
      <c r="G50" s="8">
        <f t="shared" si="1"/>
        <v>42651.278182870374</v>
      </c>
    </row>
    <row r="51" spans="1:7" x14ac:dyDescent="0.25">
      <c r="A51" s="8">
        <v>42651.2887962963</v>
      </c>
      <c r="B51" s="23" t="s">
        <v>408</v>
      </c>
      <c r="C51" s="23" t="s">
        <v>426</v>
      </c>
      <c r="D51" s="23">
        <v>2010000</v>
      </c>
      <c r="E51" s="23" t="s">
        <v>271</v>
      </c>
      <c r="F51" s="23" t="str">
        <f t="shared" si="0"/>
        <v>rtdc.l.rtdc.4027:itc</v>
      </c>
      <c r="G51" s="8">
        <f t="shared" si="1"/>
        <v>42651.2887962963</v>
      </c>
    </row>
    <row r="52" spans="1:7" x14ac:dyDescent="0.25">
      <c r="A52" s="8">
        <v>42651.288877314815</v>
      </c>
      <c r="B52" s="23" t="s">
        <v>220</v>
      </c>
      <c r="C52" s="23" t="s">
        <v>427</v>
      </c>
      <c r="D52" s="23">
        <v>1830000</v>
      </c>
      <c r="E52" s="23" t="s">
        <v>412</v>
      </c>
      <c r="F52" s="23" t="str">
        <f t="shared" si="0"/>
        <v>rtdc.l.rtdc.4018:itc</v>
      </c>
      <c r="G52" s="8">
        <f t="shared" si="1"/>
        <v>42651.288877314815</v>
      </c>
    </row>
    <row r="53" spans="1:7" x14ac:dyDescent="0.25">
      <c r="A53" s="8">
        <v>42651.294791666667</v>
      </c>
      <c r="B53" s="23" t="s">
        <v>169</v>
      </c>
      <c r="C53" s="23" t="s">
        <v>428</v>
      </c>
      <c r="D53" s="23">
        <v>1990000</v>
      </c>
      <c r="E53" s="23" t="s">
        <v>382</v>
      </c>
      <c r="F53" s="23" t="str">
        <f t="shared" si="0"/>
        <v>rtdc.l.rtdc.4041:itc</v>
      </c>
      <c r="G53" s="8">
        <f t="shared" si="1"/>
        <v>42651.294791666667</v>
      </c>
    </row>
    <row r="54" spans="1:7" x14ac:dyDescent="0.25">
      <c r="A54" s="8">
        <v>42651.300324074073</v>
      </c>
      <c r="B54" s="23" t="s">
        <v>384</v>
      </c>
      <c r="C54" s="23" t="s">
        <v>429</v>
      </c>
      <c r="D54" s="23">
        <v>1760000</v>
      </c>
      <c r="E54" s="23" t="s">
        <v>272</v>
      </c>
      <c r="F54" s="23" t="str">
        <f t="shared" si="0"/>
        <v>rtdc.l.rtdc.4038:itc</v>
      </c>
      <c r="G54" s="8">
        <f t="shared" si="1"/>
        <v>42651.300324074073</v>
      </c>
    </row>
    <row r="55" spans="1:7" x14ac:dyDescent="0.25">
      <c r="A55" s="8">
        <v>42651.308993055558</v>
      </c>
      <c r="B55" s="23" t="s">
        <v>166</v>
      </c>
      <c r="C55" s="23" t="s">
        <v>430</v>
      </c>
      <c r="D55" s="23">
        <v>2030000</v>
      </c>
      <c r="E55" s="23" t="s">
        <v>404</v>
      </c>
      <c r="F55" s="23" t="str">
        <f t="shared" si="0"/>
        <v>rtdc.l.rtdc.4026:itc</v>
      </c>
      <c r="G55" s="8">
        <f t="shared" si="1"/>
        <v>42651.308993055558</v>
      </c>
    </row>
    <row r="56" spans="1:7" x14ac:dyDescent="0.25">
      <c r="A56" s="8">
        <v>42651.311400462961</v>
      </c>
      <c r="B56" s="23" t="s">
        <v>388</v>
      </c>
      <c r="C56" s="23" t="s">
        <v>431</v>
      </c>
      <c r="D56" s="23">
        <v>1310000</v>
      </c>
      <c r="E56" s="23" t="s">
        <v>383</v>
      </c>
      <c r="F56" s="23" t="str">
        <f t="shared" si="0"/>
        <v>rtdc.l.rtdc.4014:itc</v>
      </c>
      <c r="G56" s="8">
        <f t="shared" si="1"/>
        <v>42651.311400462961</v>
      </c>
    </row>
    <row r="57" spans="1:7" x14ac:dyDescent="0.25">
      <c r="A57" s="8">
        <v>42651.317523148151</v>
      </c>
      <c r="B57" s="23" t="s">
        <v>219</v>
      </c>
      <c r="C57" s="23" t="s">
        <v>432</v>
      </c>
      <c r="D57" s="23">
        <v>1830000</v>
      </c>
      <c r="E57" s="23" t="s">
        <v>412</v>
      </c>
      <c r="F57" s="23" t="str">
        <f t="shared" si="0"/>
        <v>rtdc.l.rtdc.4017:itc</v>
      </c>
      <c r="G57" s="8">
        <f t="shared" si="1"/>
        <v>42651.317523148151</v>
      </c>
    </row>
    <row r="58" spans="1:7" x14ac:dyDescent="0.25">
      <c r="A58" s="8">
        <v>42651.317962962959</v>
      </c>
      <c r="B58" s="23" t="s">
        <v>285</v>
      </c>
      <c r="C58" s="23" t="s">
        <v>433</v>
      </c>
      <c r="D58" s="23">
        <v>1100000</v>
      </c>
      <c r="E58" s="23" t="s">
        <v>260</v>
      </c>
      <c r="F58" s="23" t="str">
        <f t="shared" si="0"/>
        <v>rtdc.l.rtdc.4054:itc</v>
      </c>
      <c r="G58" s="8">
        <f t="shared" si="1"/>
        <v>42651.317962962959</v>
      </c>
    </row>
    <row r="59" spans="1:7" x14ac:dyDescent="0.25">
      <c r="A59" s="8">
        <v>42651.321620370371</v>
      </c>
      <c r="B59" s="23" t="s">
        <v>259</v>
      </c>
      <c r="C59" s="23" t="s">
        <v>434</v>
      </c>
      <c r="D59" s="23">
        <v>1260000</v>
      </c>
      <c r="E59" s="23" t="s">
        <v>400</v>
      </c>
      <c r="F59" s="23" t="str">
        <f t="shared" si="0"/>
        <v>rtdc.l.rtdc.4044:itc</v>
      </c>
      <c r="G59" s="8">
        <f t="shared" si="1"/>
        <v>42651.321620370371</v>
      </c>
    </row>
    <row r="60" spans="1:7" x14ac:dyDescent="0.25">
      <c r="A60" s="8">
        <v>42651.322511574072</v>
      </c>
      <c r="B60" s="23" t="s">
        <v>259</v>
      </c>
      <c r="C60" s="23" t="s">
        <v>434</v>
      </c>
      <c r="D60" s="23">
        <v>1260000</v>
      </c>
      <c r="E60" s="23" t="s">
        <v>400</v>
      </c>
      <c r="F60" s="23" t="str">
        <f t="shared" si="0"/>
        <v>rtdc.l.rtdc.4044:itc</v>
      </c>
      <c r="G60" s="8">
        <f t="shared" si="1"/>
        <v>42651.322511574072</v>
      </c>
    </row>
    <row r="61" spans="1:7" x14ac:dyDescent="0.25">
      <c r="A61" s="8">
        <v>42651.323159722226</v>
      </c>
      <c r="B61" s="23" t="s">
        <v>393</v>
      </c>
      <c r="C61" s="23" t="s">
        <v>435</v>
      </c>
      <c r="D61" s="23">
        <v>2010000</v>
      </c>
      <c r="E61" s="23" t="s">
        <v>271</v>
      </c>
      <c r="F61" s="23" t="str">
        <f t="shared" si="0"/>
        <v>rtdc.l.rtdc.4028:itc</v>
      </c>
      <c r="G61" s="8">
        <f t="shared" si="1"/>
        <v>42651.323159722226</v>
      </c>
    </row>
    <row r="62" spans="1:7" x14ac:dyDescent="0.25">
      <c r="A62" s="8">
        <v>42651.326620370368</v>
      </c>
      <c r="B62" s="23" t="s">
        <v>256</v>
      </c>
      <c r="C62" s="23" t="s">
        <v>436</v>
      </c>
      <c r="D62" s="23">
        <v>540000</v>
      </c>
      <c r="E62" s="23" t="s">
        <v>437</v>
      </c>
      <c r="F62" s="23" t="str">
        <f t="shared" si="0"/>
        <v>rtdc.l.rtdc.4001:itc</v>
      </c>
      <c r="G62" s="8">
        <f t="shared" si="1"/>
        <v>42651.326620370368</v>
      </c>
    </row>
    <row r="63" spans="1:7" x14ac:dyDescent="0.25">
      <c r="A63" s="8">
        <v>42651.329652777778</v>
      </c>
      <c r="B63" s="23" t="s">
        <v>170</v>
      </c>
      <c r="C63" s="23" t="s">
        <v>438</v>
      </c>
      <c r="D63" s="23">
        <v>1990000</v>
      </c>
      <c r="E63" s="23" t="s">
        <v>382</v>
      </c>
      <c r="F63" s="23" t="str">
        <f t="shared" si="0"/>
        <v>rtdc.l.rtdc.4042:itc</v>
      </c>
      <c r="G63" s="8">
        <f t="shared" si="1"/>
        <v>42651.329652777778</v>
      </c>
    </row>
    <row r="64" spans="1:7" x14ac:dyDescent="0.25">
      <c r="A64" s="29">
        <v>42651.336805555555</v>
      </c>
      <c r="B64" s="23" t="s">
        <v>220</v>
      </c>
      <c r="C64" s="23" t="s">
        <v>439</v>
      </c>
      <c r="D64" s="23">
        <v>1830000</v>
      </c>
      <c r="E64" s="23" t="s">
        <v>412</v>
      </c>
      <c r="F64" s="23" t="str">
        <f t="shared" si="0"/>
        <v>rtdc.l.rtdc.4018:itc</v>
      </c>
      <c r="G64" s="8">
        <f t="shared" si="1"/>
        <v>42651.336805555555</v>
      </c>
    </row>
    <row r="65" spans="1:7" x14ac:dyDescent="0.25">
      <c r="A65" s="8">
        <v>42651.337083333332</v>
      </c>
      <c r="B65" s="23" t="s">
        <v>378</v>
      </c>
      <c r="C65" s="23" t="s">
        <v>440</v>
      </c>
      <c r="D65" s="23">
        <v>1760000</v>
      </c>
      <c r="E65" s="23" t="s">
        <v>272</v>
      </c>
      <c r="F65" s="23" t="str">
        <f t="shared" si="0"/>
        <v>rtdc.l.rtdc.4037:itc</v>
      </c>
      <c r="G65" s="8">
        <f t="shared" si="1"/>
        <v>42651.337083333332</v>
      </c>
    </row>
    <row r="66" spans="1:7" x14ac:dyDescent="0.25">
      <c r="A66" s="8">
        <v>42651.340856481482</v>
      </c>
      <c r="B66" s="23" t="s">
        <v>257</v>
      </c>
      <c r="C66" s="23" t="s">
        <v>436</v>
      </c>
      <c r="D66" s="23">
        <v>540000</v>
      </c>
      <c r="E66" s="23" t="s">
        <v>437</v>
      </c>
      <c r="F66" s="23" t="str">
        <f t="shared" ref="F66:F129" si="2">B66</f>
        <v>rtdc.l.rtdc.4002:itc</v>
      </c>
      <c r="G66" s="8">
        <f t="shared" ref="G66:G129" si="3">A66</f>
        <v>42651.340856481482</v>
      </c>
    </row>
    <row r="67" spans="1:7" x14ac:dyDescent="0.25">
      <c r="A67" s="8">
        <v>42651.34171296296</v>
      </c>
      <c r="B67" s="23" t="s">
        <v>165</v>
      </c>
      <c r="C67" s="23" t="s">
        <v>441</v>
      </c>
      <c r="D67" s="23">
        <v>2030000</v>
      </c>
      <c r="E67" s="23" t="s">
        <v>404</v>
      </c>
      <c r="F67" s="23" t="str">
        <f t="shared" si="2"/>
        <v>rtdc.l.rtdc.4025:itc</v>
      </c>
      <c r="G67" s="8">
        <f t="shared" si="3"/>
        <v>42651.34171296296</v>
      </c>
    </row>
    <row r="68" spans="1:7" x14ac:dyDescent="0.25">
      <c r="A68" s="8">
        <v>42651.345104166663</v>
      </c>
      <c r="B68" s="23" t="s">
        <v>256</v>
      </c>
      <c r="C68" s="23" t="s">
        <v>436</v>
      </c>
      <c r="D68" s="23">
        <v>540000</v>
      </c>
      <c r="E68" s="23" t="s">
        <v>437</v>
      </c>
      <c r="F68" s="23" t="str">
        <f t="shared" si="2"/>
        <v>rtdc.l.rtdc.4001:itc</v>
      </c>
      <c r="G68" s="8">
        <f t="shared" si="3"/>
        <v>42651.345104166663</v>
      </c>
    </row>
    <row r="69" spans="1:7" x14ac:dyDescent="0.25">
      <c r="A69" s="8">
        <v>42651.350312499999</v>
      </c>
      <c r="B69" s="23" t="s">
        <v>381</v>
      </c>
      <c r="C69" s="23" t="s">
        <v>442</v>
      </c>
      <c r="D69" s="23">
        <v>1310000</v>
      </c>
      <c r="E69" s="23" t="s">
        <v>383</v>
      </c>
      <c r="F69" s="23" t="str">
        <f t="shared" si="2"/>
        <v>rtdc.l.rtdc.4013:itc</v>
      </c>
      <c r="G69" s="8">
        <f t="shared" si="3"/>
        <v>42651.350312499999</v>
      </c>
    </row>
    <row r="70" spans="1:7" x14ac:dyDescent="0.25">
      <c r="A70" s="8">
        <v>42651.352256944447</v>
      </c>
      <c r="B70" s="23" t="s">
        <v>238</v>
      </c>
      <c r="C70" s="23" t="s">
        <v>443</v>
      </c>
      <c r="D70" s="23">
        <v>1100000</v>
      </c>
      <c r="E70" s="23" t="s">
        <v>260</v>
      </c>
      <c r="F70" s="23" t="str">
        <f t="shared" si="2"/>
        <v>rtdc.l.rtdc.4053:itc</v>
      </c>
      <c r="G70" s="8">
        <f t="shared" si="3"/>
        <v>42651.352256944447</v>
      </c>
    </row>
    <row r="71" spans="1:7" x14ac:dyDescent="0.25">
      <c r="A71" s="8">
        <v>42651.35733796296</v>
      </c>
      <c r="B71" s="23" t="s">
        <v>398</v>
      </c>
      <c r="C71" s="23" t="s">
        <v>444</v>
      </c>
      <c r="D71" s="23">
        <v>1260000</v>
      </c>
      <c r="E71" s="23" t="s">
        <v>400</v>
      </c>
      <c r="F71" s="23" t="str">
        <f t="shared" si="2"/>
        <v>rtdc.l.rtdc.4043:itc</v>
      </c>
      <c r="G71" s="8">
        <f t="shared" si="3"/>
        <v>42651.35733796296</v>
      </c>
    </row>
    <row r="72" spans="1:7" x14ac:dyDescent="0.25">
      <c r="A72" s="8">
        <v>42651.359085648146</v>
      </c>
      <c r="B72" s="23" t="s">
        <v>219</v>
      </c>
      <c r="C72" s="23" t="s">
        <v>445</v>
      </c>
      <c r="D72" s="23">
        <v>1830000</v>
      </c>
      <c r="E72" s="23" t="s">
        <v>412</v>
      </c>
      <c r="F72" s="23" t="str">
        <f t="shared" si="2"/>
        <v>rtdc.l.rtdc.4017:itc</v>
      </c>
      <c r="G72" s="8">
        <f t="shared" si="3"/>
        <v>42651.359085648146</v>
      </c>
    </row>
    <row r="73" spans="1:7" x14ac:dyDescent="0.25">
      <c r="A73" s="8">
        <v>42651.359803240739</v>
      </c>
      <c r="B73" s="23" t="s">
        <v>408</v>
      </c>
      <c r="C73" s="23" t="s">
        <v>446</v>
      </c>
      <c r="D73" s="23">
        <v>2010000</v>
      </c>
      <c r="E73" s="23" t="s">
        <v>271</v>
      </c>
      <c r="F73" s="23" t="str">
        <f t="shared" si="2"/>
        <v>rtdc.l.rtdc.4027:itc</v>
      </c>
      <c r="G73" s="8">
        <f t="shared" si="3"/>
        <v>42651.359803240739</v>
      </c>
    </row>
    <row r="74" spans="1:7" x14ac:dyDescent="0.25">
      <c r="A74" s="8">
        <v>42651.368032407408</v>
      </c>
      <c r="B74" s="23" t="s">
        <v>169</v>
      </c>
      <c r="C74" s="23" t="s">
        <v>447</v>
      </c>
      <c r="D74" s="23">
        <v>1990000</v>
      </c>
      <c r="E74" s="23" t="s">
        <v>382</v>
      </c>
      <c r="F74" s="23" t="str">
        <f t="shared" si="2"/>
        <v>rtdc.l.rtdc.4041:itc</v>
      </c>
      <c r="G74" s="8">
        <f t="shared" si="3"/>
        <v>42651.368032407408</v>
      </c>
    </row>
    <row r="75" spans="1:7" x14ac:dyDescent="0.25">
      <c r="A75" s="8">
        <v>42651.371458333335</v>
      </c>
      <c r="B75" s="23" t="s">
        <v>384</v>
      </c>
      <c r="C75" s="23" t="s">
        <v>448</v>
      </c>
      <c r="D75" s="23">
        <v>1760000</v>
      </c>
      <c r="E75" s="23" t="s">
        <v>272</v>
      </c>
      <c r="F75" s="23" t="str">
        <f t="shared" si="2"/>
        <v>rtdc.l.rtdc.4038:itc</v>
      </c>
      <c r="G75" s="8">
        <f t="shared" si="3"/>
        <v>42651.371458333335</v>
      </c>
    </row>
    <row r="76" spans="1:7" x14ac:dyDescent="0.25">
      <c r="A76" s="8">
        <v>42651.372372685182</v>
      </c>
      <c r="B76" s="23" t="s">
        <v>166</v>
      </c>
      <c r="C76" s="23" t="s">
        <v>449</v>
      </c>
      <c r="D76" s="23">
        <v>2030000</v>
      </c>
      <c r="E76" s="23" t="s">
        <v>404</v>
      </c>
      <c r="F76" s="23" t="str">
        <f t="shared" si="2"/>
        <v>rtdc.l.rtdc.4026:itc</v>
      </c>
      <c r="G76" s="8">
        <f t="shared" si="3"/>
        <v>42651.372372685182</v>
      </c>
    </row>
    <row r="77" spans="1:7" x14ac:dyDescent="0.25">
      <c r="A77" s="8">
        <v>42651.372499999998</v>
      </c>
      <c r="B77" s="23" t="s">
        <v>220</v>
      </c>
      <c r="C77" s="23" t="s">
        <v>450</v>
      </c>
      <c r="D77" s="23">
        <v>1830000</v>
      </c>
      <c r="E77" s="23" t="s">
        <v>412</v>
      </c>
      <c r="F77" s="23" t="str">
        <f t="shared" si="2"/>
        <v>rtdc.l.rtdc.4018:itc</v>
      </c>
      <c r="G77" s="8">
        <f t="shared" si="3"/>
        <v>42651.372499999998</v>
      </c>
    </row>
    <row r="78" spans="1:7" x14ac:dyDescent="0.25">
      <c r="A78" s="8">
        <v>42651.384351851855</v>
      </c>
      <c r="B78" s="23" t="s">
        <v>388</v>
      </c>
      <c r="C78" s="23" t="s">
        <v>451</v>
      </c>
      <c r="D78" s="23">
        <v>1310000</v>
      </c>
      <c r="E78" s="23" t="s">
        <v>383</v>
      </c>
      <c r="F78" s="23" t="str">
        <f t="shared" si="2"/>
        <v>rtdc.l.rtdc.4014:itc</v>
      </c>
      <c r="G78" s="8">
        <f t="shared" si="3"/>
        <v>42651.384351851855</v>
      </c>
    </row>
    <row r="79" spans="1:7" x14ac:dyDescent="0.25">
      <c r="A79" s="8">
        <v>42651.388402777775</v>
      </c>
      <c r="B79" s="23" t="s">
        <v>285</v>
      </c>
      <c r="C79" s="23" t="s">
        <v>452</v>
      </c>
      <c r="D79" s="23">
        <v>1100000</v>
      </c>
      <c r="E79" s="23" t="s">
        <v>260</v>
      </c>
      <c r="F79" s="23" t="str">
        <f t="shared" si="2"/>
        <v>rtdc.l.rtdc.4054:itc</v>
      </c>
      <c r="G79" s="8">
        <f t="shared" si="3"/>
        <v>42651.388402777775</v>
      </c>
    </row>
    <row r="80" spans="1:7" x14ac:dyDescent="0.25">
      <c r="A80" s="8">
        <v>42651.391053240739</v>
      </c>
      <c r="B80" s="23" t="s">
        <v>259</v>
      </c>
      <c r="C80" s="23" t="s">
        <v>453</v>
      </c>
      <c r="D80" s="23">
        <v>1260000</v>
      </c>
      <c r="E80" s="23" t="s">
        <v>400</v>
      </c>
      <c r="F80" s="23" t="str">
        <f t="shared" si="2"/>
        <v>rtdc.l.rtdc.4044:itc</v>
      </c>
      <c r="G80" s="8">
        <f t="shared" si="3"/>
        <v>42651.391053240739</v>
      </c>
    </row>
    <row r="81" spans="1:7" x14ac:dyDescent="0.25">
      <c r="A81" s="8">
        <v>42651.398946759262</v>
      </c>
      <c r="B81" s="23" t="s">
        <v>393</v>
      </c>
      <c r="C81" s="23" t="s">
        <v>454</v>
      </c>
      <c r="D81" s="23">
        <v>2010000</v>
      </c>
      <c r="E81" s="23" t="s">
        <v>271</v>
      </c>
      <c r="F81" s="23" t="str">
        <f t="shared" si="2"/>
        <v>rtdc.l.rtdc.4028:itc</v>
      </c>
      <c r="G81" s="8">
        <f t="shared" si="3"/>
        <v>42651.398946759262</v>
      </c>
    </row>
    <row r="82" spans="1:7" x14ac:dyDescent="0.25">
      <c r="A82" s="8">
        <v>42651.40084490741</v>
      </c>
      <c r="B82" s="23" t="s">
        <v>219</v>
      </c>
      <c r="C82" s="23" t="s">
        <v>455</v>
      </c>
      <c r="D82" s="23">
        <v>1830000</v>
      </c>
      <c r="E82" s="23" t="s">
        <v>412</v>
      </c>
      <c r="F82" s="23" t="str">
        <f t="shared" si="2"/>
        <v>rtdc.l.rtdc.4017:itc</v>
      </c>
      <c r="G82" s="8">
        <f t="shared" si="3"/>
        <v>42651.40084490741</v>
      </c>
    </row>
    <row r="83" spans="1:7" x14ac:dyDescent="0.25">
      <c r="A83" s="8">
        <v>42651.401365740741</v>
      </c>
      <c r="B83" s="23" t="s">
        <v>170</v>
      </c>
      <c r="C83" s="23" t="s">
        <v>456</v>
      </c>
      <c r="D83" s="23">
        <v>1990000</v>
      </c>
      <c r="E83" s="23" t="s">
        <v>382</v>
      </c>
      <c r="F83" s="23" t="str">
        <f t="shared" si="2"/>
        <v>rtdc.l.rtdc.4042:itc</v>
      </c>
      <c r="G83" s="8">
        <f t="shared" si="3"/>
        <v>42651.401365740741</v>
      </c>
    </row>
    <row r="84" spans="1:7" x14ac:dyDescent="0.25">
      <c r="A84" s="8">
        <v>42651.40997685185</v>
      </c>
      <c r="B84" s="23" t="s">
        <v>378</v>
      </c>
      <c r="C84" s="23" t="s">
        <v>457</v>
      </c>
      <c r="D84" s="23">
        <v>1760000</v>
      </c>
      <c r="E84" s="23" t="s">
        <v>272</v>
      </c>
      <c r="F84" s="23" t="str">
        <f t="shared" si="2"/>
        <v>rtdc.l.rtdc.4037:itc</v>
      </c>
      <c r="G84" s="8">
        <f t="shared" si="3"/>
        <v>42651.40997685185</v>
      </c>
    </row>
    <row r="85" spans="1:7" x14ac:dyDescent="0.25">
      <c r="A85" s="8">
        <v>42651.412372685183</v>
      </c>
      <c r="B85" s="23" t="s">
        <v>165</v>
      </c>
      <c r="C85" s="23" t="s">
        <v>458</v>
      </c>
      <c r="D85" s="23">
        <v>2030000</v>
      </c>
      <c r="E85" s="23" t="s">
        <v>404</v>
      </c>
      <c r="F85" s="23" t="str">
        <f t="shared" si="2"/>
        <v>rtdc.l.rtdc.4025:itc</v>
      </c>
      <c r="G85" s="8">
        <f t="shared" si="3"/>
        <v>42651.412372685183</v>
      </c>
    </row>
    <row r="86" spans="1:7" x14ac:dyDescent="0.25">
      <c r="A86" s="8">
        <v>42651.413773148146</v>
      </c>
      <c r="B86" s="23" t="s">
        <v>220</v>
      </c>
      <c r="C86" s="23" t="s">
        <v>459</v>
      </c>
      <c r="D86" s="23">
        <v>1830000</v>
      </c>
      <c r="E86" s="23" t="s">
        <v>412</v>
      </c>
      <c r="F86" s="23" t="str">
        <f t="shared" si="2"/>
        <v>rtdc.l.rtdc.4018:itc</v>
      </c>
      <c r="G86" s="8">
        <f t="shared" si="3"/>
        <v>42651.413773148146</v>
      </c>
    </row>
    <row r="87" spans="1:7" x14ac:dyDescent="0.25">
      <c r="A87" s="8">
        <v>42651.422418981485</v>
      </c>
      <c r="B87" s="23" t="s">
        <v>381</v>
      </c>
      <c r="C87" s="23" t="s">
        <v>460</v>
      </c>
      <c r="D87" s="23">
        <v>1310000</v>
      </c>
      <c r="E87" s="23" t="s">
        <v>383</v>
      </c>
      <c r="F87" s="23" t="str">
        <f t="shared" si="2"/>
        <v>rtdc.l.rtdc.4013:itc</v>
      </c>
      <c r="G87" s="8">
        <f t="shared" si="3"/>
        <v>42651.422418981485</v>
      </c>
    </row>
    <row r="88" spans="1:7" x14ac:dyDescent="0.25">
      <c r="A88" s="8">
        <v>42651.423831018517</v>
      </c>
      <c r="B88" s="23" t="s">
        <v>238</v>
      </c>
      <c r="C88" s="23" t="s">
        <v>461</v>
      </c>
      <c r="D88" s="23">
        <v>1100000</v>
      </c>
      <c r="E88" s="23" t="s">
        <v>260</v>
      </c>
      <c r="F88" s="23" t="str">
        <f t="shared" si="2"/>
        <v>rtdc.l.rtdc.4053:itc</v>
      </c>
      <c r="G88" s="8">
        <f t="shared" si="3"/>
        <v>42651.423831018517</v>
      </c>
    </row>
    <row r="89" spans="1:7" x14ac:dyDescent="0.25">
      <c r="A89" s="8">
        <v>42651.429224537038</v>
      </c>
      <c r="B89" s="23" t="s">
        <v>398</v>
      </c>
      <c r="C89" s="23" t="s">
        <v>462</v>
      </c>
      <c r="D89" s="23">
        <v>1260000</v>
      </c>
      <c r="E89" s="23" t="s">
        <v>400</v>
      </c>
      <c r="F89" s="23" t="str">
        <f t="shared" si="2"/>
        <v>rtdc.l.rtdc.4043:itc</v>
      </c>
      <c r="G89" s="8">
        <f t="shared" si="3"/>
        <v>42651.429224537038</v>
      </c>
    </row>
    <row r="90" spans="1:7" x14ac:dyDescent="0.25">
      <c r="A90" s="8">
        <v>42651.43309027778</v>
      </c>
      <c r="B90" s="23" t="s">
        <v>408</v>
      </c>
      <c r="C90" s="23" t="s">
        <v>463</v>
      </c>
      <c r="D90" s="23">
        <v>930000</v>
      </c>
      <c r="E90" s="23" t="s">
        <v>386</v>
      </c>
      <c r="F90" s="23" t="str">
        <f t="shared" si="2"/>
        <v>rtdc.l.rtdc.4027:itc</v>
      </c>
      <c r="G90" s="8">
        <f t="shared" si="3"/>
        <v>42651.43309027778</v>
      </c>
    </row>
    <row r="91" spans="1:7" x14ac:dyDescent="0.25">
      <c r="A91" s="8">
        <v>42651.43854166667</v>
      </c>
      <c r="B91" s="23" t="s">
        <v>169</v>
      </c>
      <c r="C91" s="23" t="s">
        <v>464</v>
      </c>
      <c r="D91" s="23">
        <v>1990000</v>
      </c>
      <c r="E91" s="23" t="s">
        <v>382</v>
      </c>
      <c r="F91" s="23" t="str">
        <f t="shared" si="2"/>
        <v>rtdc.l.rtdc.4041:itc</v>
      </c>
      <c r="G91" s="8">
        <f t="shared" si="3"/>
        <v>42651.43854166667</v>
      </c>
    </row>
    <row r="92" spans="1:7" x14ac:dyDescent="0.25">
      <c r="A92" s="8">
        <v>42651.441574074073</v>
      </c>
      <c r="B92" s="23" t="s">
        <v>219</v>
      </c>
      <c r="C92" s="23" t="s">
        <v>465</v>
      </c>
      <c r="D92" s="23">
        <v>1830000</v>
      </c>
      <c r="E92" s="23" t="s">
        <v>412</v>
      </c>
      <c r="F92" s="23" t="str">
        <f t="shared" si="2"/>
        <v>rtdc.l.rtdc.4017:itc</v>
      </c>
      <c r="G92" s="8">
        <f t="shared" si="3"/>
        <v>42651.441574074073</v>
      </c>
    </row>
    <row r="93" spans="1:7" x14ac:dyDescent="0.25">
      <c r="A93" s="8">
        <v>42651.443368055552</v>
      </c>
      <c r="B93" s="23" t="s">
        <v>384</v>
      </c>
      <c r="C93" s="23" t="s">
        <v>466</v>
      </c>
      <c r="D93" s="23">
        <v>1760000</v>
      </c>
      <c r="E93" s="23" t="s">
        <v>272</v>
      </c>
      <c r="F93" s="23" t="str">
        <f t="shared" si="2"/>
        <v>rtdc.l.rtdc.4038:itc</v>
      </c>
      <c r="G93" s="8">
        <f t="shared" si="3"/>
        <v>42651.443368055552</v>
      </c>
    </row>
    <row r="94" spans="1:7" x14ac:dyDescent="0.25">
      <c r="A94" s="8">
        <v>42651.449236111112</v>
      </c>
      <c r="B94" s="23" t="s">
        <v>166</v>
      </c>
      <c r="C94" s="23" t="s">
        <v>467</v>
      </c>
      <c r="D94" s="23">
        <v>2030000</v>
      </c>
      <c r="E94" s="23" t="s">
        <v>404</v>
      </c>
      <c r="F94" s="23" t="str">
        <f t="shared" si="2"/>
        <v>rtdc.l.rtdc.4026:itc</v>
      </c>
      <c r="G94" s="8">
        <f t="shared" si="3"/>
        <v>42651.449236111112</v>
      </c>
    </row>
    <row r="95" spans="1:7" x14ac:dyDescent="0.25">
      <c r="A95" s="8">
        <v>42651.454467592594</v>
      </c>
      <c r="B95" s="23" t="s">
        <v>388</v>
      </c>
      <c r="C95" s="23" t="s">
        <v>468</v>
      </c>
      <c r="D95" s="23">
        <v>880000</v>
      </c>
      <c r="E95" s="23" t="s">
        <v>385</v>
      </c>
      <c r="F95" s="23" t="str">
        <f t="shared" si="2"/>
        <v>rtdc.l.rtdc.4014:itc</v>
      </c>
      <c r="G95" s="8">
        <f t="shared" si="3"/>
        <v>42651.454467592594</v>
      </c>
    </row>
    <row r="96" spans="1:7" x14ac:dyDescent="0.25">
      <c r="A96" s="8">
        <v>42651.455138888887</v>
      </c>
      <c r="B96" s="23" t="s">
        <v>235</v>
      </c>
      <c r="C96" s="23" t="s">
        <v>469</v>
      </c>
      <c r="D96" s="23">
        <v>2040000</v>
      </c>
      <c r="E96" s="23" t="s">
        <v>273</v>
      </c>
      <c r="F96" s="23" t="str">
        <f t="shared" si="2"/>
        <v>rtdc.l.rtdc.4010:itc</v>
      </c>
      <c r="G96" s="8">
        <f t="shared" si="3"/>
        <v>42651.455138888887</v>
      </c>
    </row>
    <row r="97" spans="1:7" x14ac:dyDescent="0.25">
      <c r="A97" s="8">
        <v>42651.462476851855</v>
      </c>
      <c r="B97" s="23" t="s">
        <v>285</v>
      </c>
      <c r="C97" s="23" t="s">
        <v>470</v>
      </c>
      <c r="D97" s="23">
        <v>1100000</v>
      </c>
      <c r="E97" s="23" t="s">
        <v>260</v>
      </c>
      <c r="F97" s="23" t="str">
        <f t="shared" si="2"/>
        <v>rtdc.l.rtdc.4054:itc</v>
      </c>
      <c r="G97" s="8">
        <f t="shared" si="3"/>
        <v>42651.462476851855</v>
      </c>
    </row>
    <row r="98" spans="1:7" x14ac:dyDescent="0.25">
      <c r="A98" s="8">
        <v>42651.465636574074</v>
      </c>
      <c r="B98" s="23" t="s">
        <v>259</v>
      </c>
      <c r="C98" s="23" t="s">
        <v>471</v>
      </c>
      <c r="D98" s="23">
        <v>1280000</v>
      </c>
      <c r="E98" s="23" t="s">
        <v>472</v>
      </c>
      <c r="F98" s="23" t="str">
        <f t="shared" si="2"/>
        <v>rtdc.l.rtdc.4044:itc</v>
      </c>
      <c r="G98" s="8">
        <f t="shared" si="3"/>
        <v>42651.465636574074</v>
      </c>
    </row>
    <row r="99" spans="1:7" x14ac:dyDescent="0.25">
      <c r="A99" s="8">
        <v>42651.47252314815</v>
      </c>
      <c r="B99" s="23" t="s">
        <v>220</v>
      </c>
      <c r="C99" s="23" t="s">
        <v>473</v>
      </c>
      <c r="D99" s="23">
        <v>1830000</v>
      </c>
      <c r="E99" s="23" t="s">
        <v>412</v>
      </c>
      <c r="F99" s="23" t="str">
        <f t="shared" si="2"/>
        <v>rtdc.l.rtdc.4018:itc</v>
      </c>
      <c r="G99" s="8">
        <f t="shared" si="3"/>
        <v>42651.47252314815</v>
      </c>
    </row>
    <row r="100" spans="1:7" x14ac:dyDescent="0.25">
      <c r="A100" s="8">
        <v>42651.474178240744</v>
      </c>
      <c r="B100" s="23" t="s">
        <v>393</v>
      </c>
      <c r="C100" s="23" t="s">
        <v>474</v>
      </c>
      <c r="D100" s="23">
        <v>930000</v>
      </c>
      <c r="E100" s="23" t="s">
        <v>386</v>
      </c>
      <c r="F100" s="23" t="str">
        <f t="shared" si="2"/>
        <v>rtdc.l.rtdc.4028:itc</v>
      </c>
      <c r="G100" s="8">
        <f t="shared" si="3"/>
        <v>42651.474178240744</v>
      </c>
    </row>
    <row r="101" spans="1:7" x14ac:dyDescent="0.25">
      <c r="A101" s="8">
        <v>42651.476898148147</v>
      </c>
      <c r="B101" s="23" t="s">
        <v>170</v>
      </c>
      <c r="C101" s="23" t="s">
        <v>475</v>
      </c>
      <c r="D101" s="23">
        <v>2040000</v>
      </c>
      <c r="E101" s="23" t="s">
        <v>273</v>
      </c>
      <c r="F101" s="23" t="str">
        <f t="shared" si="2"/>
        <v>rtdc.l.rtdc.4042:itc</v>
      </c>
      <c r="G101" s="8">
        <f t="shared" si="3"/>
        <v>42651.476898148147</v>
      </c>
    </row>
    <row r="102" spans="1:7" x14ac:dyDescent="0.25">
      <c r="A102" s="8">
        <v>42651.483622685184</v>
      </c>
      <c r="B102" s="23" t="s">
        <v>219</v>
      </c>
      <c r="C102" s="23" t="s">
        <v>476</v>
      </c>
      <c r="D102" s="23">
        <v>1830000</v>
      </c>
      <c r="E102" s="23" t="s">
        <v>412</v>
      </c>
      <c r="F102" s="23" t="str">
        <f t="shared" si="2"/>
        <v>rtdc.l.rtdc.4017:itc</v>
      </c>
      <c r="G102" s="8">
        <f t="shared" si="3"/>
        <v>42651.483622685184</v>
      </c>
    </row>
    <row r="103" spans="1:7" x14ac:dyDescent="0.25">
      <c r="A103" s="8">
        <v>42651.484074074076</v>
      </c>
      <c r="B103" s="23" t="s">
        <v>378</v>
      </c>
      <c r="C103" s="23" t="s">
        <v>477</v>
      </c>
      <c r="D103" s="23">
        <v>1760000</v>
      </c>
      <c r="E103" s="23" t="s">
        <v>272</v>
      </c>
      <c r="F103" s="23" t="str">
        <f t="shared" si="2"/>
        <v>rtdc.l.rtdc.4037:itc</v>
      </c>
      <c r="G103" s="8">
        <f t="shared" si="3"/>
        <v>42651.484074074076</v>
      </c>
    </row>
    <row r="104" spans="1:7" x14ac:dyDescent="0.25">
      <c r="A104" s="8">
        <v>42651.485474537039</v>
      </c>
      <c r="B104" s="23" t="s">
        <v>165</v>
      </c>
      <c r="C104" s="23" t="s">
        <v>478</v>
      </c>
      <c r="D104" s="23">
        <v>2020000</v>
      </c>
      <c r="E104" s="23" t="s">
        <v>287</v>
      </c>
      <c r="F104" s="23" t="str">
        <f t="shared" si="2"/>
        <v>rtdc.l.rtdc.4025:itc</v>
      </c>
      <c r="G104" s="8">
        <f t="shared" si="3"/>
        <v>42651.485474537039</v>
      </c>
    </row>
    <row r="105" spans="1:7" x14ac:dyDescent="0.25">
      <c r="A105" s="8">
        <v>42651.487997685188</v>
      </c>
      <c r="B105" s="23" t="s">
        <v>378</v>
      </c>
      <c r="C105" s="23" t="s">
        <v>477</v>
      </c>
      <c r="D105" s="23">
        <v>1760000</v>
      </c>
      <c r="E105" s="23" t="s">
        <v>272</v>
      </c>
      <c r="F105" s="23" t="str">
        <f t="shared" si="2"/>
        <v>rtdc.l.rtdc.4037:itc</v>
      </c>
      <c r="G105" s="8">
        <f t="shared" si="3"/>
        <v>42651.487997685188</v>
      </c>
    </row>
    <row r="106" spans="1:7" x14ac:dyDescent="0.25">
      <c r="A106" s="8">
        <v>42651.494386574072</v>
      </c>
      <c r="B106" s="23" t="s">
        <v>239</v>
      </c>
      <c r="C106" s="23" t="s">
        <v>479</v>
      </c>
      <c r="D106" s="23">
        <v>2030000</v>
      </c>
      <c r="E106" s="23" t="s">
        <v>404</v>
      </c>
      <c r="F106" s="23" t="str">
        <f t="shared" si="2"/>
        <v>rtdc.l.rtdc.4009:itc</v>
      </c>
      <c r="G106" s="8">
        <f t="shared" si="3"/>
        <v>42651.494386574072</v>
      </c>
    </row>
    <row r="107" spans="1:7" x14ac:dyDescent="0.25">
      <c r="A107" s="8">
        <v>42651.49596064815</v>
      </c>
      <c r="B107" s="23" t="s">
        <v>238</v>
      </c>
      <c r="C107" s="23" t="s">
        <v>480</v>
      </c>
      <c r="D107" s="23">
        <v>2150000</v>
      </c>
      <c r="E107" s="23" t="s">
        <v>389</v>
      </c>
      <c r="F107" s="23" t="str">
        <f t="shared" si="2"/>
        <v>rtdc.l.rtdc.4053:itc</v>
      </c>
      <c r="G107" s="8">
        <f t="shared" si="3"/>
        <v>42651.49596064815</v>
      </c>
    </row>
    <row r="108" spans="1:7" x14ac:dyDescent="0.25">
      <c r="A108" s="8">
        <v>42651.496458333335</v>
      </c>
      <c r="B108" s="23" t="s">
        <v>381</v>
      </c>
      <c r="C108" s="23" t="s">
        <v>481</v>
      </c>
      <c r="D108" s="23">
        <v>880000</v>
      </c>
      <c r="E108" s="23" t="s">
        <v>385</v>
      </c>
      <c r="F108" s="23" t="str">
        <f t="shared" si="2"/>
        <v>rtdc.l.rtdc.4013:itc</v>
      </c>
      <c r="G108" s="8">
        <f t="shared" si="3"/>
        <v>42651.496458333335</v>
      </c>
    </row>
    <row r="109" spans="1:7" x14ac:dyDescent="0.25">
      <c r="A109" s="8">
        <v>42651.497465277775</v>
      </c>
      <c r="B109" s="23" t="s">
        <v>398</v>
      </c>
      <c r="C109" s="23" t="s">
        <v>482</v>
      </c>
      <c r="D109" s="23">
        <v>1280000</v>
      </c>
      <c r="E109" s="23" t="s">
        <v>472</v>
      </c>
      <c r="F109" s="23" t="str">
        <f t="shared" si="2"/>
        <v>rtdc.l.rtdc.4043:itc</v>
      </c>
      <c r="G109" s="8">
        <f t="shared" si="3"/>
        <v>42651.497465277775</v>
      </c>
    </row>
    <row r="110" spans="1:7" x14ac:dyDescent="0.25">
      <c r="A110" s="8">
        <v>42651.497627314813</v>
      </c>
      <c r="B110" s="23" t="s">
        <v>220</v>
      </c>
      <c r="C110" s="23" t="s">
        <v>483</v>
      </c>
      <c r="D110" s="23">
        <v>1830000</v>
      </c>
      <c r="E110" s="23" t="s">
        <v>412</v>
      </c>
      <c r="F110" s="23" t="str">
        <f t="shared" si="2"/>
        <v>rtdc.l.rtdc.4018:itc</v>
      </c>
      <c r="G110" s="8">
        <f t="shared" si="3"/>
        <v>42651.497627314813</v>
      </c>
    </row>
    <row r="111" spans="1:7" x14ac:dyDescent="0.25">
      <c r="A111" s="8">
        <v>42651.506851851853</v>
      </c>
      <c r="B111" s="23" t="s">
        <v>408</v>
      </c>
      <c r="C111" s="23" t="s">
        <v>484</v>
      </c>
      <c r="D111" s="23">
        <v>930000</v>
      </c>
      <c r="E111" s="23" t="s">
        <v>386</v>
      </c>
      <c r="F111" s="23" t="str">
        <f t="shared" si="2"/>
        <v>rtdc.l.rtdc.4027:itc</v>
      </c>
      <c r="G111" s="8">
        <f t="shared" si="3"/>
        <v>42651.506851851853</v>
      </c>
    </row>
    <row r="112" spans="1:7" x14ac:dyDescent="0.25">
      <c r="A112" s="8">
        <v>42651.516018518516</v>
      </c>
      <c r="B112" s="23" t="s">
        <v>169</v>
      </c>
      <c r="C112" s="23" t="s">
        <v>485</v>
      </c>
      <c r="D112" s="23">
        <v>2040000</v>
      </c>
      <c r="E112" s="23" t="s">
        <v>273</v>
      </c>
      <c r="F112" s="23" t="str">
        <f t="shared" si="2"/>
        <v>rtdc.l.rtdc.4041:itc</v>
      </c>
      <c r="G112" s="8">
        <f t="shared" si="3"/>
        <v>42651.516018518516</v>
      </c>
    </row>
    <row r="113" spans="1:7" x14ac:dyDescent="0.25">
      <c r="A113" s="8">
        <v>42651.518680555557</v>
      </c>
      <c r="B113" s="23" t="s">
        <v>384</v>
      </c>
      <c r="C113" s="23" t="s">
        <v>486</v>
      </c>
      <c r="D113" s="23">
        <v>2110000</v>
      </c>
      <c r="E113" s="23" t="s">
        <v>487</v>
      </c>
      <c r="F113" s="23" t="str">
        <f t="shared" si="2"/>
        <v>rtdc.l.rtdc.4038:itc</v>
      </c>
      <c r="G113" s="8">
        <f t="shared" si="3"/>
        <v>42651.518680555557</v>
      </c>
    </row>
    <row r="114" spans="1:7" x14ac:dyDescent="0.25">
      <c r="A114" s="8">
        <v>42651.524548611109</v>
      </c>
      <c r="B114" s="23" t="s">
        <v>219</v>
      </c>
      <c r="C114" s="23" t="s">
        <v>488</v>
      </c>
      <c r="D114" s="23">
        <v>1830000</v>
      </c>
      <c r="E114" s="23" t="s">
        <v>412</v>
      </c>
      <c r="F114" s="23" t="str">
        <f t="shared" si="2"/>
        <v>rtdc.l.rtdc.4017:itc</v>
      </c>
      <c r="G114" s="8">
        <f t="shared" si="3"/>
        <v>42651.524548611109</v>
      </c>
    </row>
    <row r="115" spans="1:7" x14ac:dyDescent="0.25">
      <c r="A115" s="8">
        <v>42651.525081018517</v>
      </c>
      <c r="B115" s="23" t="s">
        <v>166</v>
      </c>
      <c r="C115" s="23" t="s">
        <v>489</v>
      </c>
      <c r="D115" s="23">
        <v>2020000</v>
      </c>
      <c r="E115" s="23" t="s">
        <v>287</v>
      </c>
      <c r="F115" s="23" t="str">
        <f t="shared" si="2"/>
        <v>rtdc.l.rtdc.4026:itc</v>
      </c>
      <c r="G115" s="8">
        <f t="shared" si="3"/>
        <v>42651.525081018517</v>
      </c>
    </row>
    <row r="116" spans="1:7" x14ac:dyDescent="0.25">
      <c r="A116" s="8">
        <v>42651.527118055557</v>
      </c>
      <c r="B116" s="23" t="s">
        <v>388</v>
      </c>
      <c r="C116" s="23" t="s">
        <v>490</v>
      </c>
      <c r="D116" s="23">
        <v>880000</v>
      </c>
      <c r="E116" s="23" t="s">
        <v>385</v>
      </c>
      <c r="F116" s="23" t="str">
        <f t="shared" si="2"/>
        <v>rtdc.l.rtdc.4014:itc</v>
      </c>
      <c r="G116" s="8">
        <f t="shared" si="3"/>
        <v>42651.527118055557</v>
      </c>
    </row>
    <row r="117" spans="1:7" x14ac:dyDescent="0.25">
      <c r="A117" s="8">
        <v>42651.530266203707</v>
      </c>
      <c r="B117" s="23" t="s">
        <v>285</v>
      </c>
      <c r="C117" s="23" t="s">
        <v>491</v>
      </c>
      <c r="D117" s="23">
        <v>2150000</v>
      </c>
      <c r="E117" s="23" t="s">
        <v>389</v>
      </c>
      <c r="F117" s="23" t="str">
        <f t="shared" si="2"/>
        <v>rtdc.l.rtdc.4054:itc</v>
      </c>
      <c r="G117" s="8">
        <f t="shared" si="3"/>
        <v>42651.530266203707</v>
      </c>
    </row>
    <row r="118" spans="1:7" x14ac:dyDescent="0.25">
      <c r="A118" s="8">
        <v>42651.538553240738</v>
      </c>
      <c r="B118" s="23" t="s">
        <v>259</v>
      </c>
      <c r="C118" s="23" t="s">
        <v>492</v>
      </c>
      <c r="D118" s="23">
        <v>1280000</v>
      </c>
      <c r="E118" s="23" t="s">
        <v>472</v>
      </c>
      <c r="F118" s="23" t="str">
        <f t="shared" si="2"/>
        <v>rtdc.l.rtdc.4044:itc</v>
      </c>
      <c r="G118" s="8">
        <f t="shared" si="3"/>
        <v>42651.538553240738</v>
      </c>
    </row>
    <row r="119" spans="1:7" x14ac:dyDescent="0.25">
      <c r="A119" s="8">
        <v>42651.539004629631</v>
      </c>
      <c r="B119" s="23" t="s">
        <v>220</v>
      </c>
      <c r="C119" s="23" t="s">
        <v>493</v>
      </c>
      <c r="D119" s="23">
        <v>1830000</v>
      </c>
      <c r="E119" s="23" t="s">
        <v>412</v>
      </c>
      <c r="F119" s="23" t="str">
        <f t="shared" si="2"/>
        <v>rtdc.l.rtdc.4018:itc</v>
      </c>
      <c r="G119" s="8">
        <f t="shared" si="3"/>
        <v>42651.539004629631</v>
      </c>
    </row>
    <row r="120" spans="1:7" x14ac:dyDescent="0.25">
      <c r="A120" s="8">
        <v>42651.543402777781</v>
      </c>
      <c r="B120" s="23" t="s">
        <v>393</v>
      </c>
      <c r="C120" s="23" t="s">
        <v>494</v>
      </c>
      <c r="D120" s="23">
        <v>930000</v>
      </c>
      <c r="E120" s="23" t="s">
        <v>386</v>
      </c>
      <c r="F120" s="23" t="str">
        <f t="shared" si="2"/>
        <v>rtdc.l.rtdc.4028:itc</v>
      </c>
      <c r="G120" s="8">
        <f t="shared" si="3"/>
        <v>42651.543402777781</v>
      </c>
    </row>
    <row r="121" spans="1:7" x14ac:dyDescent="0.25">
      <c r="A121" s="8">
        <v>42651.54991898148</v>
      </c>
      <c r="B121" s="23" t="s">
        <v>170</v>
      </c>
      <c r="C121" s="23" t="s">
        <v>495</v>
      </c>
      <c r="D121" s="23">
        <v>2040000</v>
      </c>
      <c r="E121" s="23" t="s">
        <v>273</v>
      </c>
      <c r="F121" s="23" t="str">
        <f t="shared" si="2"/>
        <v>rtdc.l.rtdc.4042:itc</v>
      </c>
      <c r="G121" s="8">
        <f t="shared" si="3"/>
        <v>42651.54991898148</v>
      </c>
    </row>
    <row r="122" spans="1:7" x14ac:dyDescent="0.25">
      <c r="A122" s="8">
        <v>42651.555034722223</v>
      </c>
      <c r="B122" s="28" t="s">
        <v>378</v>
      </c>
      <c r="C122" s="23" t="s">
        <v>496</v>
      </c>
      <c r="D122" s="23">
        <v>2110000</v>
      </c>
      <c r="E122" s="23" t="s">
        <v>487</v>
      </c>
      <c r="F122" s="23" t="str">
        <f t="shared" si="2"/>
        <v>rtdc.l.rtdc.4037:itc</v>
      </c>
      <c r="G122" s="8">
        <f t="shared" si="3"/>
        <v>42651.555034722223</v>
      </c>
    </row>
    <row r="123" spans="1:7" x14ac:dyDescent="0.25">
      <c r="A123" s="8">
        <v>42651.557939814818</v>
      </c>
      <c r="B123" s="23" t="s">
        <v>165</v>
      </c>
      <c r="C123" s="23" t="s">
        <v>497</v>
      </c>
      <c r="D123" s="23">
        <v>2020000</v>
      </c>
      <c r="E123" s="23" t="s">
        <v>287</v>
      </c>
      <c r="F123" s="23" t="str">
        <f t="shared" si="2"/>
        <v>rtdc.l.rtdc.4025:itc</v>
      </c>
      <c r="G123" s="8">
        <f t="shared" si="3"/>
        <v>42651.557939814818</v>
      </c>
    </row>
    <row r="124" spans="1:7" x14ac:dyDescent="0.25">
      <c r="A124" s="8">
        <v>42651.56821759259</v>
      </c>
      <c r="B124" s="23" t="s">
        <v>219</v>
      </c>
      <c r="C124" s="23" t="s">
        <v>498</v>
      </c>
      <c r="D124" s="23">
        <v>1830000</v>
      </c>
      <c r="E124" s="23" t="s">
        <v>412</v>
      </c>
      <c r="F124" s="23" t="str">
        <f t="shared" si="2"/>
        <v>rtdc.l.rtdc.4017:itc</v>
      </c>
      <c r="G124" s="8">
        <f t="shared" si="3"/>
        <v>42651.56821759259</v>
      </c>
    </row>
    <row r="125" spans="1:7" x14ac:dyDescent="0.25">
      <c r="A125" s="8">
        <v>42651.568854166668</v>
      </c>
      <c r="B125" s="23" t="s">
        <v>381</v>
      </c>
      <c r="C125" s="23" t="s">
        <v>499</v>
      </c>
      <c r="D125" s="23">
        <v>880000</v>
      </c>
      <c r="E125" s="23" t="s">
        <v>385</v>
      </c>
      <c r="F125" s="23" t="str">
        <f t="shared" si="2"/>
        <v>rtdc.l.rtdc.4013:itc</v>
      </c>
      <c r="G125" s="8">
        <f t="shared" si="3"/>
        <v>42651.568854166668</v>
      </c>
    </row>
    <row r="126" spans="1:7" x14ac:dyDescent="0.25">
      <c r="A126" s="8">
        <v>42651.568912037037</v>
      </c>
      <c r="B126" s="23" t="s">
        <v>238</v>
      </c>
      <c r="C126" s="23" t="s">
        <v>500</v>
      </c>
      <c r="D126" s="23">
        <v>2150000</v>
      </c>
      <c r="E126" s="23" t="s">
        <v>389</v>
      </c>
      <c r="F126" s="23" t="str">
        <f t="shared" si="2"/>
        <v>rtdc.l.rtdc.4053:itc</v>
      </c>
      <c r="G126" s="8">
        <f t="shared" si="3"/>
        <v>42651.568912037037</v>
      </c>
    </row>
    <row r="127" spans="1:7" x14ac:dyDescent="0.25">
      <c r="A127" s="8">
        <v>42651.570150462961</v>
      </c>
      <c r="B127" s="23" t="s">
        <v>398</v>
      </c>
      <c r="C127" s="23" t="s">
        <v>501</v>
      </c>
      <c r="D127" s="23">
        <v>1280000</v>
      </c>
      <c r="E127" s="23" t="s">
        <v>472</v>
      </c>
      <c r="F127" s="23" t="str">
        <f t="shared" si="2"/>
        <v>rtdc.l.rtdc.4043:itc</v>
      </c>
      <c r="G127" s="8">
        <f t="shared" si="3"/>
        <v>42651.570150462961</v>
      </c>
    </row>
    <row r="128" spans="1:7" x14ac:dyDescent="0.25">
      <c r="A128" s="8">
        <v>42651.580046296294</v>
      </c>
      <c r="B128" s="23" t="s">
        <v>408</v>
      </c>
      <c r="C128" s="23" t="s">
        <v>502</v>
      </c>
      <c r="D128" s="23">
        <v>930000</v>
      </c>
      <c r="E128" s="23" t="s">
        <v>386</v>
      </c>
      <c r="F128" s="23" t="str">
        <f t="shared" si="2"/>
        <v>rtdc.l.rtdc.4027:itc</v>
      </c>
      <c r="G128" s="8">
        <f t="shared" si="3"/>
        <v>42651.580046296294</v>
      </c>
    </row>
    <row r="129" spans="1:7" x14ac:dyDescent="0.25">
      <c r="A129" s="8">
        <v>42651.584872685184</v>
      </c>
      <c r="B129" s="23" t="s">
        <v>220</v>
      </c>
      <c r="C129" s="23" t="s">
        <v>503</v>
      </c>
      <c r="D129" s="23">
        <v>2270000</v>
      </c>
      <c r="E129" s="23" t="s">
        <v>504</v>
      </c>
      <c r="F129" s="23" t="str">
        <f t="shared" si="2"/>
        <v>rtdc.l.rtdc.4018:itc</v>
      </c>
      <c r="G129" s="8">
        <f t="shared" si="3"/>
        <v>42651.584872685184</v>
      </c>
    </row>
    <row r="130" spans="1:7" x14ac:dyDescent="0.25">
      <c r="A130" s="8">
        <v>42651.586909722224</v>
      </c>
      <c r="B130" s="23" t="s">
        <v>169</v>
      </c>
      <c r="C130" s="23" t="s">
        <v>505</v>
      </c>
      <c r="D130" s="23">
        <v>2040000</v>
      </c>
      <c r="E130" s="23" t="s">
        <v>273</v>
      </c>
      <c r="F130" s="23" t="str">
        <f t="shared" ref="F130:F193" si="4">B130</f>
        <v>rtdc.l.rtdc.4041:itc</v>
      </c>
      <c r="G130" s="8">
        <f t="shared" ref="G130:G193" si="5">A130</f>
        <v>42651.586909722224</v>
      </c>
    </row>
    <row r="131" spans="1:7" x14ac:dyDescent="0.25">
      <c r="A131" s="8">
        <v>42651.589814814812</v>
      </c>
      <c r="B131" s="23" t="s">
        <v>384</v>
      </c>
      <c r="C131" s="23" t="s">
        <v>506</v>
      </c>
      <c r="D131" s="23">
        <v>2110000</v>
      </c>
      <c r="E131" s="23" t="s">
        <v>487</v>
      </c>
      <c r="F131" s="23" t="str">
        <f t="shared" si="4"/>
        <v>rtdc.l.rtdc.4038:itc</v>
      </c>
      <c r="G131" s="8">
        <f t="shared" si="5"/>
        <v>42651.589814814812</v>
      </c>
    </row>
    <row r="132" spans="1:7" x14ac:dyDescent="0.25">
      <c r="A132" s="8">
        <v>42651.59547453704</v>
      </c>
      <c r="B132" s="23" t="s">
        <v>166</v>
      </c>
      <c r="C132" s="23" t="s">
        <v>507</v>
      </c>
      <c r="D132" s="23">
        <v>2020000</v>
      </c>
      <c r="E132" s="23" t="s">
        <v>287</v>
      </c>
      <c r="F132" s="23" t="str">
        <f t="shared" si="4"/>
        <v>rtdc.l.rtdc.4026:itc</v>
      </c>
      <c r="G132" s="8">
        <f t="shared" si="5"/>
        <v>42651.59547453704</v>
      </c>
    </row>
    <row r="133" spans="1:7" x14ac:dyDescent="0.25">
      <c r="A133" s="8">
        <v>42651.601446759261</v>
      </c>
      <c r="B133" s="23" t="s">
        <v>388</v>
      </c>
      <c r="C133" s="23" t="s">
        <v>508</v>
      </c>
      <c r="D133" s="23">
        <v>880000</v>
      </c>
      <c r="E133" s="23" t="s">
        <v>385</v>
      </c>
      <c r="F133" s="23" t="str">
        <f t="shared" si="4"/>
        <v>rtdc.l.rtdc.4014:itc</v>
      </c>
      <c r="G133" s="8">
        <f t="shared" si="5"/>
        <v>42651.601446759261</v>
      </c>
    </row>
    <row r="134" spans="1:7" x14ac:dyDescent="0.25">
      <c r="A134" s="8">
        <v>42651.602175925924</v>
      </c>
      <c r="B134" s="23" t="s">
        <v>285</v>
      </c>
      <c r="C134" s="23" t="s">
        <v>509</v>
      </c>
      <c r="D134" s="23">
        <v>2150000</v>
      </c>
      <c r="E134" s="23" t="s">
        <v>389</v>
      </c>
      <c r="F134" s="23" t="str">
        <f t="shared" si="4"/>
        <v>rtdc.l.rtdc.4054:itc</v>
      </c>
      <c r="G134" s="8">
        <f t="shared" si="5"/>
        <v>42651.602175925924</v>
      </c>
    </row>
    <row r="135" spans="1:7" x14ac:dyDescent="0.25">
      <c r="A135" s="8">
        <v>42651.609513888892</v>
      </c>
      <c r="B135" s="23" t="s">
        <v>219</v>
      </c>
      <c r="C135" s="23" t="s">
        <v>510</v>
      </c>
      <c r="D135" s="23">
        <v>2270000</v>
      </c>
      <c r="E135" s="23" t="s">
        <v>504</v>
      </c>
      <c r="F135" s="23" t="str">
        <f t="shared" si="4"/>
        <v>rtdc.l.rtdc.4017:itc</v>
      </c>
      <c r="G135" s="8">
        <f t="shared" si="5"/>
        <v>42651.609513888892</v>
      </c>
    </row>
    <row r="136" spans="1:7" x14ac:dyDescent="0.25">
      <c r="A136" s="8">
        <v>42651.610763888886</v>
      </c>
      <c r="B136" s="23" t="s">
        <v>259</v>
      </c>
      <c r="C136" s="23" t="s">
        <v>511</v>
      </c>
      <c r="D136" s="23">
        <v>1280000</v>
      </c>
      <c r="E136" s="23" t="s">
        <v>472</v>
      </c>
      <c r="F136" s="23" t="str">
        <f t="shared" si="4"/>
        <v>rtdc.l.rtdc.4044:itc</v>
      </c>
      <c r="G136" s="8">
        <f t="shared" si="5"/>
        <v>42651.610763888886</v>
      </c>
    </row>
    <row r="137" spans="1:7" x14ac:dyDescent="0.25">
      <c r="A137" s="8">
        <v>42651.6169212963</v>
      </c>
      <c r="B137" s="23" t="s">
        <v>393</v>
      </c>
      <c r="C137" s="23" t="s">
        <v>512</v>
      </c>
      <c r="D137" s="23">
        <v>930000</v>
      </c>
      <c r="E137" s="23" t="s">
        <v>386</v>
      </c>
      <c r="F137" s="23" t="str">
        <f t="shared" si="4"/>
        <v>rtdc.l.rtdc.4028:itc</v>
      </c>
      <c r="G137" s="8">
        <f t="shared" si="5"/>
        <v>42651.6169212963</v>
      </c>
    </row>
    <row r="138" spans="1:7" x14ac:dyDescent="0.25">
      <c r="A138" s="8">
        <v>42651.622719907406</v>
      </c>
      <c r="B138" s="23" t="s">
        <v>170</v>
      </c>
      <c r="C138" s="23" t="s">
        <v>513</v>
      </c>
      <c r="D138" s="23">
        <v>2040000</v>
      </c>
      <c r="E138" s="23" t="s">
        <v>273</v>
      </c>
      <c r="F138" s="23" t="str">
        <f t="shared" si="4"/>
        <v>rtdc.l.rtdc.4042:itc</v>
      </c>
      <c r="G138" s="8">
        <f t="shared" si="5"/>
        <v>42651.622719907406</v>
      </c>
    </row>
    <row r="139" spans="1:7" x14ac:dyDescent="0.25">
      <c r="A139" s="8">
        <v>42651.627824074072</v>
      </c>
      <c r="B139" s="23" t="s">
        <v>220</v>
      </c>
      <c r="C139" s="23" t="s">
        <v>514</v>
      </c>
      <c r="D139" s="23">
        <v>2270000</v>
      </c>
      <c r="E139" s="23" t="s">
        <v>504</v>
      </c>
      <c r="F139" s="23" t="str">
        <f t="shared" si="4"/>
        <v>rtdc.l.rtdc.4018:itc</v>
      </c>
      <c r="G139" s="8">
        <f t="shared" si="5"/>
        <v>42651.627824074072</v>
      </c>
    </row>
    <row r="140" spans="1:7" x14ac:dyDescent="0.25">
      <c r="A140" s="8">
        <v>42651.628587962965</v>
      </c>
      <c r="B140" s="23" t="s">
        <v>378</v>
      </c>
      <c r="C140" s="23" t="s">
        <v>515</v>
      </c>
      <c r="D140" s="23">
        <v>2110000</v>
      </c>
      <c r="E140" s="23" t="s">
        <v>487</v>
      </c>
      <c r="F140" s="23" t="str">
        <f t="shared" si="4"/>
        <v>rtdc.l.rtdc.4037:itc</v>
      </c>
      <c r="G140" s="8">
        <f t="shared" si="5"/>
        <v>42651.628587962965</v>
      </c>
    </row>
    <row r="141" spans="1:7" x14ac:dyDescent="0.25">
      <c r="A141" s="8">
        <v>42651.631620370368</v>
      </c>
      <c r="B141" s="23" t="s">
        <v>165</v>
      </c>
      <c r="C141" s="23" t="s">
        <v>516</v>
      </c>
      <c r="D141" s="23">
        <v>2020000</v>
      </c>
      <c r="E141" s="23" t="s">
        <v>287</v>
      </c>
      <c r="F141" s="23" t="str">
        <f t="shared" si="4"/>
        <v>rtdc.l.rtdc.4025:itc</v>
      </c>
      <c r="G141" s="8">
        <f t="shared" si="5"/>
        <v>42651.631620370368</v>
      </c>
    </row>
    <row r="142" spans="1:7" x14ac:dyDescent="0.25">
      <c r="A142" s="8">
        <v>42651.639733796299</v>
      </c>
      <c r="B142" s="23" t="s">
        <v>381</v>
      </c>
      <c r="C142" s="23" t="s">
        <v>517</v>
      </c>
      <c r="D142" s="23">
        <v>880000</v>
      </c>
      <c r="E142" s="23" t="s">
        <v>385</v>
      </c>
      <c r="F142" s="23" t="str">
        <f t="shared" si="4"/>
        <v>rtdc.l.rtdc.4013:itc</v>
      </c>
      <c r="G142" s="8">
        <f t="shared" si="5"/>
        <v>42651.639733796299</v>
      </c>
    </row>
    <row r="143" spans="1:7" x14ac:dyDescent="0.25">
      <c r="A143" s="8">
        <v>42651.642581018517</v>
      </c>
      <c r="B143" s="23" t="s">
        <v>238</v>
      </c>
      <c r="C143" s="23" t="s">
        <v>518</v>
      </c>
      <c r="D143" s="23">
        <v>2150000</v>
      </c>
      <c r="E143" s="23" t="s">
        <v>389</v>
      </c>
      <c r="F143" s="23" t="str">
        <f t="shared" si="4"/>
        <v>rtdc.l.rtdc.4053:itc</v>
      </c>
      <c r="G143" s="8">
        <f t="shared" si="5"/>
        <v>42651.642581018517</v>
      </c>
    </row>
    <row r="144" spans="1:7" x14ac:dyDescent="0.25">
      <c r="A144" s="8">
        <v>42651.643078703702</v>
      </c>
      <c r="B144" s="23" t="s">
        <v>398</v>
      </c>
      <c r="C144" s="23" t="s">
        <v>519</v>
      </c>
      <c r="D144" s="23">
        <v>1280000</v>
      </c>
      <c r="E144" s="23" t="s">
        <v>472</v>
      </c>
      <c r="F144" s="23" t="str">
        <f t="shared" si="4"/>
        <v>rtdc.l.rtdc.4043:itc</v>
      </c>
      <c r="G144" s="8">
        <f t="shared" si="5"/>
        <v>42651.643078703702</v>
      </c>
    </row>
    <row r="145" spans="1:7" x14ac:dyDescent="0.25">
      <c r="A145" s="8">
        <v>42651.650659722225</v>
      </c>
      <c r="B145" s="23" t="s">
        <v>219</v>
      </c>
      <c r="C145" s="23" t="s">
        <v>520</v>
      </c>
      <c r="D145" s="23">
        <v>2270000</v>
      </c>
      <c r="E145" s="23" t="s">
        <v>504</v>
      </c>
      <c r="F145" s="23" t="str">
        <f t="shared" si="4"/>
        <v>rtdc.l.rtdc.4017:itc</v>
      </c>
      <c r="G145" s="8">
        <f t="shared" si="5"/>
        <v>42651.650659722225</v>
      </c>
    </row>
    <row r="146" spans="1:7" x14ac:dyDescent="0.25">
      <c r="A146" s="8">
        <v>42651.653136574074</v>
      </c>
      <c r="B146" s="23" t="s">
        <v>408</v>
      </c>
      <c r="C146" s="23" t="s">
        <v>521</v>
      </c>
      <c r="D146" s="23">
        <v>730000</v>
      </c>
      <c r="E146" s="23" t="s">
        <v>522</v>
      </c>
      <c r="F146" s="23" t="str">
        <f t="shared" si="4"/>
        <v>rtdc.l.rtdc.4027:itc</v>
      </c>
      <c r="G146" s="8">
        <f t="shared" si="5"/>
        <v>42651.653136574074</v>
      </c>
    </row>
    <row r="147" spans="1:7" x14ac:dyDescent="0.25">
      <c r="A147" s="8">
        <v>42651.660590277781</v>
      </c>
      <c r="B147" s="23" t="s">
        <v>169</v>
      </c>
      <c r="C147" s="23" t="s">
        <v>523</v>
      </c>
      <c r="D147" s="23">
        <v>2040000</v>
      </c>
      <c r="E147" s="23" t="s">
        <v>273</v>
      </c>
      <c r="F147" s="23" t="str">
        <f t="shared" si="4"/>
        <v>rtdc.l.rtdc.4041:itc</v>
      </c>
      <c r="G147" s="8">
        <f t="shared" si="5"/>
        <v>42651.660590277781</v>
      </c>
    </row>
    <row r="148" spans="1:7" x14ac:dyDescent="0.25">
      <c r="A148" s="8">
        <v>42651.663159722222</v>
      </c>
      <c r="B148" s="23" t="s">
        <v>384</v>
      </c>
      <c r="C148" s="23" t="s">
        <v>524</v>
      </c>
      <c r="D148" s="23">
        <v>2110000</v>
      </c>
      <c r="E148" s="23" t="s">
        <v>487</v>
      </c>
      <c r="F148" s="23" t="str">
        <f t="shared" si="4"/>
        <v>rtdc.l.rtdc.4038:itc</v>
      </c>
      <c r="G148" s="8">
        <f t="shared" si="5"/>
        <v>42651.663159722222</v>
      </c>
    </row>
    <row r="149" spans="1:7" x14ac:dyDescent="0.25">
      <c r="A149" s="8">
        <v>42651.668807870374</v>
      </c>
      <c r="B149" s="23" t="s">
        <v>220</v>
      </c>
      <c r="C149" s="23" t="s">
        <v>525</v>
      </c>
      <c r="D149" s="23">
        <v>2270000</v>
      </c>
      <c r="E149" s="23" t="s">
        <v>504</v>
      </c>
      <c r="F149" s="23" t="str">
        <f t="shared" si="4"/>
        <v>rtdc.l.rtdc.4018:itc</v>
      </c>
      <c r="G149" s="8">
        <f t="shared" si="5"/>
        <v>42651.668807870374</v>
      </c>
    </row>
    <row r="150" spans="1:7" x14ac:dyDescent="0.25">
      <c r="A150" s="8">
        <v>42651.670254629629</v>
      </c>
      <c r="B150" s="23" t="s">
        <v>166</v>
      </c>
      <c r="C150" s="23" t="s">
        <v>526</v>
      </c>
      <c r="D150" s="23">
        <v>2020000</v>
      </c>
      <c r="E150" s="23" t="s">
        <v>287</v>
      </c>
      <c r="F150" s="23" t="str">
        <f t="shared" si="4"/>
        <v>rtdc.l.rtdc.4026:itc</v>
      </c>
      <c r="G150" s="8">
        <f t="shared" si="5"/>
        <v>42651.670254629629</v>
      </c>
    </row>
    <row r="151" spans="1:7" x14ac:dyDescent="0.25">
      <c r="A151" s="8">
        <v>42651.673645833333</v>
      </c>
      <c r="B151" s="23" t="s">
        <v>527</v>
      </c>
      <c r="C151" s="23" t="s">
        <v>528</v>
      </c>
      <c r="D151" s="23">
        <v>0</v>
      </c>
      <c r="E151" s="23" t="s">
        <v>529</v>
      </c>
      <c r="F151" s="23" t="str">
        <f t="shared" si="4"/>
        <v>rtdc.l.rtdc.4040:itc</v>
      </c>
      <c r="G151" s="8">
        <f t="shared" si="5"/>
        <v>42651.673645833333</v>
      </c>
    </row>
    <row r="152" spans="1:7" x14ac:dyDescent="0.25">
      <c r="A152" s="8">
        <v>42651.674212962964</v>
      </c>
      <c r="B152" s="23" t="s">
        <v>285</v>
      </c>
      <c r="C152" s="23" t="s">
        <v>530</v>
      </c>
      <c r="D152" s="23">
        <v>2150000</v>
      </c>
      <c r="E152" s="23" t="s">
        <v>389</v>
      </c>
      <c r="F152" s="23" t="str">
        <f t="shared" si="4"/>
        <v>rtdc.l.rtdc.4054:itc</v>
      </c>
      <c r="G152" s="8">
        <f t="shared" si="5"/>
        <v>42651.674212962964</v>
      </c>
    </row>
    <row r="153" spans="1:7" x14ac:dyDescent="0.25">
      <c r="A153" s="8">
        <v>42651.675358796296</v>
      </c>
      <c r="B153" s="23" t="s">
        <v>388</v>
      </c>
      <c r="C153" s="23" t="s">
        <v>531</v>
      </c>
      <c r="D153" s="23">
        <v>880000</v>
      </c>
      <c r="E153" s="23" t="s">
        <v>385</v>
      </c>
      <c r="F153" s="23" t="str">
        <f t="shared" si="4"/>
        <v>rtdc.l.rtdc.4014:itc</v>
      </c>
      <c r="G153" s="8">
        <f t="shared" si="5"/>
        <v>42651.675358796296</v>
      </c>
    </row>
    <row r="154" spans="1:7" x14ac:dyDescent="0.25">
      <c r="A154" s="8">
        <v>42651.685497685183</v>
      </c>
      <c r="B154" s="23" t="s">
        <v>393</v>
      </c>
      <c r="C154" s="23" t="s">
        <v>532</v>
      </c>
      <c r="D154" s="23">
        <v>730000</v>
      </c>
      <c r="E154" s="23" t="s">
        <v>522</v>
      </c>
      <c r="F154" s="23" t="str">
        <f t="shared" si="4"/>
        <v>rtdc.l.rtdc.4028:itc</v>
      </c>
      <c r="G154" s="8">
        <f t="shared" si="5"/>
        <v>42651.685497685183</v>
      </c>
    </row>
    <row r="155" spans="1:7" x14ac:dyDescent="0.25">
      <c r="A155" s="8">
        <v>42651.68577546296</v>
      </c>
      <c r="B155" s="23" t="s">
        <v>259</v>
      </c>
      <c r="C155" s="23" t="s">
        <v>533</v>
      </c>
      <c r="D155" s="23">
        <v>1280000</v>
      </c>
      <c r="E155" s="23" t="s">
        <v>472</v>
      </c>
      <c r="F155" s="23" t="str">
        <f t="shared" si="4"/>
        <v>rtdc.l.rtdc.4044:itc</v>
      </c>
      <c r="G155" s="8">
        <f t="shared" si="5"/>
        <v>42651.68577546296</v>
      </c>
    </row>
    <row r="156" spans="1:7" x14ac:dyDescent="0.25">
      <c r="A156" s="8">
        <v>42651.693159722221</v>
      </c>
      <c r="B156" s="23" t="s">
        <v>219</v>
      </c>
      <c r="C156" s="23" t="s">
        <v>534</v>
      </c>
      <c r="D156" s="23">
        <v>2270000</v>
      </c>
      <c r="E156" s="23" t="s">
        <v>504</v>
      </c>
      <c r="F156" s="23" t="str">
        <f t="shared" si="4"/>
        <v>rtdc.l.rtdc.4017:itc</v>
      </c>
      <c r="G156" s="8">
        <f t="shared" si="5"/>
        <v>42651.693159722221</v>
      </c>
    </row>
    <row r="157" spans="1:7" x14ac:dyDescent="0.25">
      <c r="A157" s="8">
        <v>42651.695289351854</v>
      </c>
      <c r="B157" s="23" t="s">
        <v>170</v>
      </c>
      <c r="C157" s="23" t="s">
        <v>535</v>
      </c>
      <c r="D157" s="23">
        <v>2040000</v>
      </c>
      <c r="E157" s="23" t="s">
        <v>273</v>
      </c>
      <c r="F157" s="23" t="str">
        <f t="shared" si="4"/>
        <v>rtdc.l.rtdc.4042:itc</v>
      </c>
      <c r="G157" s="8">
        <f t="shared" si="5"/>
        <v>42651.695289351854</v>
      </c>
    </row>
    <row r="158" spans="1:7" x14ac:dyDescent="0.25">
      <c r="A158" s="8">
        <v>42651.702407407407</v>
      </c>
      <c r="B158" s="23" t="s">
        <v>378</v>
      </c>
      <c r="C158" s="23" t="s">
        <v>536</v>
      </c>
      <c r="D158" s="23">
        <v>2110000</v>
      </c>
      <c r="E158" s="23" t="s">
        <v>487</v>
      </c>
      <c r="F158" s="23" t="str">
        <f t="shared" si="4"/>
        <v>rtdc.l.rtdc.4037:itc</v>
      </c>
      <c r="G158" s="8">
        <f t="shared" si="5"/>
        <v>42651.702407407407</v>
      </c>
    </row>
    <row r="159" spans="1:7" x14ac:dyDescent="0.25">
      <c r="A159" s="8">
        <v>42651.704236111109</v>
      </c>
      <c r="B159" s="23" t="s">
        <v>165</v>
      </c>
      <c r="C159" s="23" t="s">
        <v>537</v>
      </c>
      <c r="D159" s="23">
        <v>2020000</v>
      </c>
      <c r="E159" s="23" t="s">
        <v>287</v>
      </c>
      <c r="F159" s="23" t="str">
        <f t="shared" si="4"/>
        <v>rtdc.l.rtdc.4025:itc</v>
      </c>
      <c r="G159" s="8">
        <f t="shared" si="5"/>
        <v>42651.704236111109</v>
      </c>
    </row>
    <row r="160" spans="1:7" x14ac:dyDescent="0.25">
      <c r="A160" s="8">
        <v>42651.713634259257</v>
      </c>
      <c r="B160" s="23" t="s">
        <v>381</v>
      </c>
      <c r="C160" s="23" t="s">
        <v>538</v>
      </c>
      <c r="D160" s="23">
        <v>880000</v>
      </c>
      <c r="E160" s="23" t="s">
        <v>385</v>
      </c>
      <c r="F160" s="23" t="str">
        <f t="shared" si="4"/>
        <v>rtdc.l.rtdc.4013:itc</v>
      </c>
      <c r="G160" s="8">
        <f t="shared" si="5"/>
        <v>42651.713634259257</v>
      </c>
    </row>
    <row r="161" spans="1:7" x14ac:dyDescent="0.25">
      <c r="A161" s="8">
        <v>42651.714687500003</v>
      </c>
      <c r="B161" s="23" t="s">
        <v>238</v>
      </c>
      <c r="C161" s="23" t="s">
        <v>539</v>
      </c>
      <c r="D161" s="23">
        <v>2150000</v>
      </c>
      <c r="E161" s="23" t="s">
        <v>389</v>
      </c>
      <c r="F161" s="23" t="str">
        <f t="shared" si="4"/>
        <v>rtdc.l.rtdc.4053:itc</v>
      </c>
      <c r="G161" s="8">
        <f t="shared" si="5"/>
        <v>42651.714687500003</v>
      </c>
    </row>
    <row r="162" spans="1:7" x14ac:dyDescent="0.25">
      <c r="A162" s="8">
        <v>42651.715474537035</v>
      </c>
      <c r="B162" s="23" t="s">
        <v>220</v>
      </c>
      <c r="C162" s="23" t="s">
        <v>540</v>
      </c>
      <c r="D162" s="23">
        <v>2270000</v>
      </c>
      <c r="E162" s="23" t="s">
        <v>504</v>
      </c>
      <c r="F162" s="23" t="str">
        <f t="shared" si="4"/>
        <v>rtdc.l.rtdc.4018:itc</v>
      </c>
      <c r="G162" s="8">
        <f t="shared" si="5"/>
        <v>42651.715474537035</v>
      </c>
    </row>
    <row r="163" spans="1:7" x14ac:dyDescent="0.25">
      <c r="A163" s="8">
        <v>42651.715752314813</v>
      </c>
      <c r="B163" s="23" t="s">
        <v>398</v>
      </c>
      <c r="C163" s="23" t="s">
        <v>541</v>
      </c>
      <c r="D163" s="23">
        <v>1280000</v>
      </c>
      <c r="E163" s="23" t="s">
        <v>472</v>
      </c>
      <c r="F163" s="23" t="str">
        <f t="shared" si="4"/>
        <v>rtdc.l.rtdc.4043:itc</v>
      </c>
      <c r="G163" s="8">
        <f t="shared" si="5"/>
        <v>42651.715752314813</v>
      </c>
    </row>
    <row r="164" spans="1:7" x14ac:dyDescent="0.25">
      <c r="A164" s="8">
        <v>42651.716134259259</v>
      </c>
      <c r="B164" s="23" t="s">
        <v>235</v>
      </c>
      <c r="C164" s="23" t="s">
        <v>542</v>
      </c>
      <c r="D164" s="23">
        <v>1810000</v>
      </c>
      <c r="E164" s="23" t="s">
        <v>288</v>
      </c>
      <c r="F164" s="23" t="str">
        <f t="shared" si="4"/>
        <v>rtdc.l.rtdc.4010:itc</v>
      </c>
      <c r="G164" s="8">
        <f t="shared" si="5"/>
        <v>42651.716134259259</v>
      </c>
    </row>
    <row r="165" spans="1:7" x14ac:dyDescent="0.25">
      <c r="A165" s="8">
        <v>42651.730983796297</v>
      </c>
      <c r="B165" s="23" t="s">
        <v>408</v>
      </c>
      <c r="C165" s="23" t="s">
        <v>543</v>
      </c>
      <c r="D165" s="23">
        <v>730000</v>
      </c>
      <c r="E165" s="23" t="s">
        <v>522</v>
      </c>
      <c r="F165" s="23" t="str">
        <f t="shared" si="4"/>
        <v>rtdc.l.rtdc.4027:itc</v>
      </c>
      <c r="G165" s="8">
        <f t="shared" si="5"/>
        <v>42651.730983796297</v>
      </c>
    </row>
    <row r="166" spans="1:7" x14ac:dyDescent="0.25">
      <c r="A166" s="8">
        <v>42651.732361111113</v>
      </c>
      <c r="B166" s="23" t="s">
        <v>169</v>
      </c>
      <c r="C166" s="23" t="s">
        <v>544</v>
      </c>
      <c r="D166" s="23">
        <v>2040000</v>
      </c>
      <c r="E166" s="23" t="s">
        <v>273</v>
      </c>
      <c r="F166" s="23" t="str">
        <f t="shared" si="4"/>
        <v>rtdc.l.rtdc.4041:itc</v>
      </c>
      <c r="G166" s="8">
        <f t="shared" si="5"/>
        <v>42651.732361111113</v>
      </c>
    </row>
    <row r="167" spans="1:7" x14ac:dyDescent="0.25">
      <c r="A167" s="8">
        <v>42651.734340277777</v>
      </c>
      <c r="B167" s="23" t="s">
        <v>219</v>
      </c>
      <c r="C167" s="23" t="s">
        <v>545</v>
      </c>
      <c r="D167" s="23">
        <v>2270000</v>
      </c>
      <c r="E167" s="23" t="s">
        <v>504</v>
      </c>
      <c r="F167" s="23" t="str">
        <f t="shared" si="4"/>
        <v>rtdc.l.rtdc.4017:itc</v>
      </c>
      <c r="G167" s="8">
        <f t="shared" si="5"/>
        <v>42651.734340277777</v>
      </c>
    </row>
    <row r="168" spans="1:7" x14ac:dyDescent="0.25">
      <c r="A168" s="8">
        <v>42651.736064814817</v>
      </c>
      <c r="B168" s="23" t="s">
        <v>384</v>
      </c>
      <c r="C168" s="23" t="s">
        <v>546</v>
      </c>
      <c r="D168" s="23">
        <v>1810000</v>
      </c>
      <c r="E168" s="23" t="s">
        <v>288</v>
      </c>
      <c r="F168" s="23" t="str">
        <f t="shared" si="4"/>
        <v>rtdc.l.rtdc.4038:itc</v>
      </c>
      <c r="G168" s="8">
        <f t="shared" si="5"/>
        <v>42651.736064814817</v>
      </c>
    </row>
    <row r="169" spans="1:7" x14ac:dyDescent="0.25">
      <c r="A169" s="8">
        <v>42651.739386574074</v>
      </c>
      <c r="B169" s="23" t="s">
        <v>257</v>
      </c>
      <c r="C169" s="23" t="s">
        <v>547</v>
      </c>
      <c r="D169" s="23">
        <v>2140000</v>
      </c>
      <c r="E169" s="23" t="s">
        <v>548</v>
      </c>
      <c r="F169" s="23" t="str">
        <f t="shared" si="4"/>
        <v>rtdc.l.rtdc.4002:itc</v>
      </c>
      <c r="G169" s="8">
        <f t="shared" si="5"/>
        <v>42651.739386574074</v>
      </c>
    </row>
    <row r="170" spans="1:7" x14ac:dyDescent="0.25">
      <c r="A170" s="8">
        <v>42651.742638888885</v>
      </c>
      <c r="B170" s="23" t="s">
        <v>166</v>
      </c>
      <c r="C170" s="23" t="s">
        <v>549</v>
      </c>
      <c r="D170" s="23">
        <v>2020000</v>
      </c>
      <c r="E170" s="23" t="s">
        <v>287</v>
      </c>
      <c r="F170" s="23" t="str">
        <f t="shared" si="4"/>
        <v>rtdc.l.rtdc.4026:itc</v>
      </c>
      <c r="G170" s="8">
        <f t="shared" si="5"/>
        <v>42651.742638888885</v>
      </c>
    </row>
    <row r="171" spans="1:7" x14ac:dyDescent="0.25">
      <c r="A171" s="8">
        <v>42651.74759259259</v>
      </c>
      <c r="B171" s="23" t="s">
        <v>388</v>
      </c>
      <c r="C171" s="23" t="s">
        <v>550</v>
      </c>
      <c r="D171" s="23">
        <v>2110000</v>
      </c>
      <c r="E171" s="23" t="s">
        <v>487</v>
      </c>
      <c r="F171" s="23" t="str">
        <f t="shared" si="4"/>
        <v>rtdc.l.rtdc.4014:itc</v>
      </c>
      <c r="G171" s="8">
        <f t="shared" si="5"/>
        <v>42651.74759259259</v>
      </c>
    </row>
    <row r="172" spans="1:7" x14ac:dyDescent="0.25">
      <c r="A172" s="8">
        <v>42651.747777777775</v>
      </c>
      <c r="B172" s="23" t="s">
        <v>285</v>
      </c>
      <c r="C172" s="23" t="s">
        <v>551</v>
      </c>
      <c r="D172" s="23">
        <v>2150000</v>
      </c>
      <c r="E172" s="23" t="s">
        <v>389</v>
      </c>
      <c r="F172" s="23" t="str">
        <f t="shared" si="4"/>
        <v>rtdc.l.rtdc.4054:itc</v>
      </c>
      <c r="G172" s="8">
        <f t="shared" si="5"/>
        <v>42651.747777777775</v>
      </c>
    </row>
    <row r="173" spans="1:7" x14ac:dyDescent="0.25">
      <c r="A173" s="8">
        <v>42651.750567129631</v>
      </c>
      <c r="B173" s="23" t="s">
        <v>220</v>
      </c>
      <c r="C173" s="23" t="s">
        <v>552</v>
      </c>
      <c r="D173" s="23">
        <v>2270000</v>
      </c>
      <c r="E173" s="23" t="s">
        <v>504</v>
      </c>
      <c r="F173" s="23" t="str">
        <f t="shared" si="4"/>
        <v>rtdc.l.rtdc.4018:itc</v>
      </c>
      <c r="G173" s="8">
        <f t="shared" si="5"/>
        <v>42651.750567129631</v>
      </c>
    </row>
    <row r="174" spans="1:7" x14ac:dyDescent="0.25">
      <c r="A174" s="8">
        <v>42651.750983796293</v>
      </c>
      <c r="B174" s="23" t="s">
        <v>286</v>
      </c>
      <c r="C174" s="23" t="s">
        <v>553</v>
      </c>
      <c r="D174" s="23">
        <v>2260000</v>
      </c>
      <c r="E174" s="23" t="s">
        <v>387</v>
      </c>
      <c r="F174" s="23" t="str">
        <f t="shared" si="4"/>
        <v>rtdc.l.rtdc.4045:itc</v>
      </c>
      <c r="G174" s="8">
        <f t="shared" si="5"/>
        <v>42651.750983796293</v>
      </c>
    </row>
    <row r="175" spans="1:7" x14ac:dyDescent="0.25">
      <c r="A175" s="8">
        <v>42651.753020833334</v>
      </c>
      <c r="B175" s="23" t="s">
        <v>239</v>
      </c>
      <c r="C175" s="23" t="s">
        <v>554</v>
      </c>
      <c r="D175" s="23">
        <v>880000</v>
      </c>
      <c r="E175" s="23" t="s">
        <v>385</v>
      </c>
      <c r="F175" s="23" t="str">
        <f t="shared" si="4"/>
        <v>rtdc.l.rtdc.4009:itc</v>
      </c>
      <c r="G175" s="8">
        <f t="shared" si="5"/>
        <v>42651.753020833334</v>
      </c>
    </row>
    <row r="176" spans="1:7" x14ac:dyDescent="0.25">
      <c r="A176" s="8">
        <v>42651.75445601852</v>
      </c>
      <c r="B176" s="23" t="s">
        <v>380</v>
      </c>
      <c r="C176" s="23" t="s">
        <v>359</v>
      </c>
      <c r="D176" s="23">
        <v>1480000</v>
      </c>
      <c r="E176" s="23" t="s">
        <v>225</v>
      </c>
      <c r="F176" s="23" t="str">
        <f t="shared" si="4"/>
        <v>rtdc.l.rtdc.4019:itc</v>
      </c>
      <c r="G176" s="8">
        <f t="shared" si="5"/>
        <v>42651.75445601852</v>
      </c>
    </row>
    <row r="177" spans="1:7" x14ac:dyDescent="0.25">
      <c r="A177" s="8">
        <v>42651.75608796296</v>
      </c>
      <c r="B177" s="23" t="s">
        <v>380</v>
      </c>
      <c r="C177" s="23" t="s">
        <v>359</v>
      </c>
      <c r="D177" s="23">
        <v>1480000</v>
      </c>
      <c r="E177" s="23" t="s">
        <v>225</v>
      </c>
      <c r="F177" s="23" t="str">
        <f t="shared" si="4"/>
        <v>rtdc.l.rtdc.4019:itc</v>
      </c>
      <c r="G177" s="8">
        <f t="shared" si="5"/>
        <v>42651.75608796296</v>
      </c>
    </row>
    <row r="178" spans="1:7" x14ac:dyDescent="0.25">
      <c r="A178" s="8">
        <v>42651.759756944448</v>
      </c>
      <c r="B178" s="23" t="s">
        <v>259</v>
      </c>
      <c r="C178" s="23" t="s">
        <v>555</v>
      </c>
      <c r="D178" s="23">
        <v>1800000</v>
      </c>
      <c r="E178" s="23" t="s">
        <v>390</v>
      </c>
      <c r="F178" s="23" t="str">
        <f t="shared" si="4"/>
        <v>rtdc.l.rtdc.4044:itc</v>
      </c>
      <c r="G178" s="8">
        <f t="shared" si="5"/>
        <v>42651.759756944448</v>
      </c>
    </row>
    <row r="179" spans="1:7" x14ac:dyDescent="0.25">
      <c r="A179" s="8">
        <v>42651.765104166669</v>
      </c>
      <c r="B179" s="23" t="s">
        <v>393</v>
      </c>
      <c r="C179" s="23" t="s">
        <v>556</v>
      </c>
      <c r="D179" s="23">
        <v>930000</v>
      </c>
      <c r="E179" s="23" t="s">
        <v>386</v>
      </c>
      <c r="F179" s="23" t="str">
        <f t="shared" si="4"/>
        <v>rtdc.l.rtdc.4028:itc</v>
      </c>
      <c r="G179" s="8">
        <f t="shared" si="5"/>
        <v>42651.765104166669</v>
      </c>
    </row>
    <row r="180" spans="1:7" x14ac:dyDescent="0.25">
      <c r="A180" s="8">
        <v>42651.768159722225</v>
      </c>
      <c r="B180" s="23" t="s">
        <v>378</v>
      </c>
      <c r="C180" s="23" t="s">
        <v>557</v>
      </c>
      <c r="D180" s="23">
        <v>1810000</v>
      </c>
      <c r="E180" s="23" t="s">
        <v>288</v>
      </c>
      <c r="F180" s="23" t="str">
        <f t="shared" si="4"/>
        <v>rtdc.l.rtdc.4037:itc</v>
      </c>
      <c r="G180" s="8">
        <f t="shared" si="5"/>
        <v>42651.768159722225</v>
      </c>
    </row>
    <row r="181" spans="1:7" x14ac:dyDescent="0.25">
      <c r="A181" s="8">
        <v>42651.769305555557</v>
      </c>
      <c r="B181" s="23" t="s">
        <v>284</v>
      </c>
      <c r="C181" s="23" t="s">
        <v>558</v>
      </c>
      <c r="D181" s="23">
        <v>1480000</v>
      </c>
      <c r="E181" s="23" t="s">
        <v>225</v>
      </c>
      <c r="F181" s="23" t="str">
        <f t="shared" si="4"/>
        <v>rtdc.l.rtdc.4046:itc</v>
      </c>
      <c r="G181" s="8">
        <f t="shared" si="5"/>
        <v>42651.769305555557</v>
      </c>
    </row>
    <row r="182" spans="1:7" x14ac:dyDescent="0.25">
      <c r="A182" s="8">
        <v>42651.775821759256</v>
      </c>
      <c r="B182" s="23" t="s">
        <v>219</v>
      </c>
      <c r="C182" s="23" t="s">
        <v>559</v>
      </c>
      <c r="D182" s="23">
        <v>2270000</v>
      </c>
      <c r="E182" s="23" t="s">
        <v>504</v>
      </c>
      <c r="F182" s="23" t="str">
        <f t="shared" si="4"/>
        <v>rtdc.l.rtdc.4017:itc</v>
      </c>
      <c r="G182" s="8">
        <f t="shared" si="5"/>
        <v>42651.775821759256</v>
      </c>
    </row>
    <row r="183" spans="1:7" x14ac:dyDescent="0.25">
      <c r="A183" s="8">
        <v>42651.778043981481</v>
      </c>
      <c r="B183" s="23" t="s">
        <v>257</v>
      </c>
      <c r="C183" s="23" t="s">
        <v>547</v>
      </c>
      <c r="D183" s="23">
        <v>2140000</v>
      </c>
      <c r="E183" s="23" t="s">
        <v>548</v>
      </c>
      <c r="F183" s="23" t="str">
        <f t="shared" si="4"/>
        <v>rtdc.l.rtdc.4002:itc</v>
      </c>
      <c r="G183" s="8">
        <f t="shared" si="5"/>
        <v>42651.778043981481</v>
      </c>
    </row>
    <row r="184" spans="1:7" x14ac:dyDescent="0.25">
      <c r="A184" s="8">
        <v>42651.779537037037</v>
      </c>
      <c r="B184" s="23" t="s">
        <v>165</v>
      </c>
      <c r="C184" s="23" t="s">
        <v>560</v>
      </c>
      <c r="D184" s="23">
        <v>2020000</v>
      </c>
      <c r="E184" s="23" t="s">
        <v>287</v>
      </c>
      <c r="F184" s="23" t="str">
        <f t="shared" si="4"/>
        <v>rtdc.l.rtdc.4025:itc</v>
      </c>
      <c r="G184" s="8">
        <f t="shared" si="5"/>
        <v>42651.779537037037</v>
      </c>
    </row>
    <row r="185" spans="1:7" x14ac:dyDescent="0.25">
      <c r="A185" s="8">
        <v>42651.784328703703</v>
      </c>
      <c r="B185" s="23" t="s">
        <v>381</v>
      </c>
      <c r="C185" s="23" t="s">
        <v>561</v>
      </c>
      <c r="D185" s="23">
        <v>2110000</v>
      </c>
      <c r="E185" s="23" t="s">
        <v>487</v>
      </c>
      <c r="F185" s="23" t="str">
        <f t="shared" si="4"/>
        <v>rtdc.l.rtdc.4013:itc</v>
      </c>
      <c r="G185" s="8">
        <f t="shared" si="5"/>
        <v>42651.784328703703</v>
      </c>
    </row>
    <row r="186" spans="1:7" x14ac:dyDescent="0.25">
      <c r="A186" s="8">
        <v>42651.786574074074</v>
      </c>
      <c r="B186" s="23" t="s">
        <v>379</v>
      </c>
      <c r="C186" s="23" t="s">
        <v>562</v>
      </c>
      <c r="D186" s="23">
        <v>2040000</v>
      </c>
      <c r="E186" s="23" t="s">
        <v>273</v>
      </c>
      <c r="F186" s="23" t="str">
        <f t="shared" si="4"/>
        <v>rtdc.l.rtdc.4020:itc</v>
      </c>
      <c r="G186" s="8">
        <f t="shared" si="5"/>
        <v>42651.786574074074</v>
      </c>
    </row>
    <row r="187" spans="1:7" x14ac:dyDescent="0.25">
      <c r="A187" s="8">
        <v>42651.787800925929</v>
      </c>
      <c r="B187" s="23" t="s">
        <v>238</v>
      </c>
      <c r="C187" s="23" t="s">
        <v>563</v>
      </c>
      <c r="D187" s="23">
        <v>1300000</v>
      </c>
      <c r="E187" s="23" t="s">
        <v>121</v>
      </c>
      <c r="F187" s="23" t="str">
        <f t="shared" si="4"/>
        <v>rtdc.l.rtdc.4053:itc</v>
      </c>
      <c r="G187" s="8">
        <f t="shared" si="5"/>
        <v>42651.787800925929</v>
      </c>
    </row>
    <row r="188" spans="1:7" x14ac:dyDescent="0.25">
      <c r="A188" s="8">
        <v>42651.798993055556</v>
      </c>
      <c r="B188" s="23" t="s">
        <v>398</v>
      </c>
      <c r="C188" s="23" t="s">
        <v>564</v>
      </c>
      <c r="D188" s="23">
        <v>1800000</v>
      </c>
      <c r="E188" s="23" t="s">
        <v>390</v>
      </c>
      <c r="F188" s="23" t="str">
        <f t="shared" si="4"/>
        <v>rtdc.l.rtdc.4043:itc</v>
      </c>
      <c r="G188" s="8">
        <f t="shared" si="5"/>
        <v>42651.798993055556</v>
      </c>
    </row>
    <row r="189" spans="1:7" x14ac:dyDescent="0.25">
      <c r="A189" s="8">
        <v>42651.799537037034</v>
      </c>
      <c r="B189" s="23" t="s">
        <v>408</v>
      </c>
      <c r="C189" s="23" t="s">
        <v>565</v>
      </c>
      <c r="D189" s="23">
        <v>930000</v>
      </c>
      <c r="E189" s="23" t="s">
        <v>386</v>
      </c>
      <c r="F189" s="23" t="str">
        <f t="shared" si="4"/>
        <v>rtdc.l.rtdc.4027:itc</v>
      </c>
      <c r="G189" s="8">
        <f t="shared" si="5"/>
        <v>42651.799537037034</v>
      </c>
    </row>
    <row r="190" spans="1:7" x14ac:dyDescent="0.25">
      <c r="A190" s="8">
        <v>42651.79959490741</v>
      </c>
      <c r="B190" s="23" t="s">
        <v>220</v>
      </c>
      <c r="C190" s="23" t="s">
        <v>566</v>
      </c>
      <c r="D190" s="23">
        <v>2270000</v>
      </c>
      <c r="E190" s="23" t="s">
        <v>504</v>
      </c>
      <c r="F190" s="23" t="str">
        <f t="shared" si="4"/>
        <v>rtdc.l.rtdc.4018:itc</v>
      </c>
      <c r="G190" s="8">
        <f t="shared" si="5"/>
        <v>42651.79959490741</v>
      </c>
    </row>
    <row r="191" spans="1:7" x14ac:dyDescent="0.25">
      <c r="A191" s="8">
        <v>42651.802372685182</v>
      </c>
      <c r="B191" s="23" t="s">
        <v>286</v>
      </c>
      <c r="C191" s="23" t="s">
        <v>567</v>
      </c>
      <c r="D191" s="23">
        <v>1480000</v>
      </c>
      <c r="E191" s="23" t="s">
        <v>225</v>
      </c>
      <c r="F191" s="23" t="str">
        <f t="shared" si="4"/>
        <v>rtdc.l.rtdc.4045:itc</v>
      </c>
      <c r="G191" s="8">
        <f t="shared" si="5"/>
        <v>42651.802372685182</v>
      </c>
    </row>
    <row r="192" spans="1:7" x14ac:dyDescent="0.25">
      <c r="A192" s="8">
        <v>42651.808749999997</v>
      </c>
      <c r="B192" s="23" t="s">
        <v>384</v>
      </c>
      <c r="C192" s="23" t="s">
        <v>568</v>
      </c>
      <c r="D192" s="23">
        <v>1810000</v>
      </c>
      <c r="E192" s="23" t="s">
        <v>288</v>
      </c>
      <c r="F192" s="23" t="str">
        <f t="shared" si="4"/>
        <v>rtdc.l.rtdc.4038:itc</v>
      </c>
      <c r="G192" s="8">
        <f t="shared" si="5"/>
        <v>42651.808749999997</v>
      </c>
    </row>
    <row r="193" spans="1:7" x14ac:dyDescent="0.25">
      <c r="A193" s="8">
        <v>42651.820011574076</v>
      </c>
      <c r="B193" s="23" t="s">
        <v>388</v>
      </c>
      <c r="C193" s="23" t="s">
        <v>569</v>
      </c>
      <c r="D193" s="23">
        <v>2110000</v>
      </c>
      <c r="E193" s="23" t="s">
        <v>487</v>
      </c>
      <c r="F193" s="23" t="str">
        <f t="shared" si="4"/>
        <v>rtdc.l.rtdc.4014:itc</v>
      </c>
      <c r="G193" s="8">
        <f t="shared" si="5"/>
        <v>42651.820011574076</v>
      </c>
    </row>
    <row r="194" spans="1:7" x14ac:dyDescent="0.25">
      <c r="A194" s="8">
        <v>42651.820034722223</v>
      </c>
      <c r="B194" s="23" t="s">
        <v>219</v>
      </c>
      <c r="C194" s="23" t="s">
        <v>570</v>
      </c>
      <c r="D194" s="23">
        <v>2270000</v>
      </c>
      <c r="E194" s="23" t="s">
        <v>504</v>
      </c>
      <c r="F194" s="23" t="str">
        <f t="shared" ref="F194:F235" si="6">B194</f>
        <v>rtdc.l.rtdc.4017:itc</v>
      </c>
      <c r="G194" s="8">
        <f t="shared" ref="G194:G235" si="7">A194</f>
        <v>42651.820034722223</v>
      </c>
    </row>
    <row r="195" spans="1:7" x14ac:dyDescent="0.25">
      <c r="A195" s="8">
        <v>42651.82675925926</v>
      </c>
      <c r="B195" s="23" t="s">
        <v>398</v>
      </c>
      <c r="C195" s="23" t="s">
        <v>564</v>
      </c>
      <c r="D195" s="23">
        <v>1800000</v>
      </c>
      <c r="E195" s="23" t="s">
        <v>390</v>
      </c>
      <c r="F195" s="23" t="str">
        <f t="shared" si="6"/>
        <v>rtdc.l.rtdc.4043:itc</v>
      </c>
      <c r="G195" s="8">
        <f t="shared" si="7"/>
        <v>42651.82675925926</v>
      </c>
    </row>
    <row r="196" spans="1:7" x14ac:dyDescent="0.25">
      <c r="A196" s="8">
        <v>42651.827766203707</v>
      </c>
      <c r="B196" s="23" t="s">
        <v>285</v>
      </c>
      <c r="C196" s="23" t="s">
        <v>571</v>
      </c>
      <c r="D196" s="23">
        <v>1300000</v>
      </c>
      <c r="E196" s="23" t="s">
        <v>121</v>
      </c>
      <c r="F196" s="23" t="str">
        <f t="shared" si="6"/>
        <v>rtdc.l.rtdc.4054:itc</v>
      </c>
      <c r="G196" s="8">
        <f t="shared" si="7"/>
        <v>42651.827766203707</v>
      </c>
    </row>
    <row r="197" spans="1:7" x14ac:dyDescent="0.25">
      <c r="A197" s="8">
        <v>42651.832048611112</v>
      </c>
      <c r="B197" s="23" t="s">
        <v>398</v>
      </c>
      <c r="C197" s="23" t="s">
        <v>564</v>
      </c>
      <c r="D197" s="23">
        <v>1800000</v>
      </c>
      <c r="E197" s="23" t="s">
        <v>390</v>
      </c>
      <c r="F197" s="23" t="str">
        <f t="shared" si="6"/>
        <v>rtdc.l.rtdc.4043:itc</v>
      </c>
      <c r="G197" s="8">
        <f t="shared" si="7"/>
        <v>42651.832048611112</v>
      </c>
    </row>
    <row r="198" spans="1:7" x14ac:dyDescent="0.25">
      <c r="A198" s="8">
        <v>42651.8362037037</v>
      </c>
      <c r="B198" s="23" t="s">
        <v>398</v>
      </c>
      <c r="C198" s="23" t="s">
        <v>564</v>
      </c>
      <c r="D198" s="23">
        <v>1800000</v>
      </c>
      <c r="E198" s="23" t="s">
        <v>390</v>
      </c>
      <c r="F198" s="23" t="str">
        <f t="shared" si="6"/>
        <v>rtdc.l.rtdc.4043:itc</v>
      </c>
      <c r="G198" s="8">
        <f t="shared" si="7"/>
        <v>42651.8362037037</v>
      </c>
    </row>
    <row r="199" spans="1:7" x14ac:dyDescent="0.25">
      <c r="A199" s="8">
        <v>42651.843090277776</v>
      </c>
      <c r="B199" s="23" t="s">
        <v>220</v>
      </c>
      <c r="C199" s="23" t="s">
        <v>572</v>
      </c>
      <c r="D199" s="23">
        <v>2270000</v>
      </c>
      <c r="E199" s="23" t="s">
        <v>504</v>
      </c>
      <c r="F199" s="23" t="str">
        <f t="shared" si="6"/>
        <v>rtdc.l.rtdc.4018:itc</v>
      </c>
      <c r="G199" s="8">
        <f t="shared" si="7"/>
        <v>42651.843090277776</v>
      </c>
    </row>
    <row r="200" spans="1:7" x14ac:dyDescent="0.25">
      <c r="A200" s="8">
        <v>42651.852453703701</v>
      </c>
      <c r="B200" s="23" t="s">
        <v>378</v>
      </c>
      <c r="C200" s="23" t="s">
        <v>573</v>
      </c>
      <c r="D200" s="23">
        <v>1810000</v>
      </c>
      <c r="E200" s="23" t="s">
        <v>288</v>
      </c>
      <c r="F200" s="23" t="str">
        <f t="shared" si="6"/>
        <v>rtdc.l.rtdc.4037:itc</v>
      </c>
      <c r="G200" s="8">
        <f t="shared" si="7"/>
        <v>42651.852453703701</v>
      </c>
    </row>
    <row r="201" spans="1:7" x14ac:dyDescent="0.25">
      <c r="A201" s="8">
        <v>42651.853703703702</v>
      </c>
      <c r="B201" s="23" t="s">
        <v>259</v>
      </c>
      <c r="C201" s="23" t="s">
        <v>574</v>
      </c>
      <c r="D201" s="23">
        <v>1800000</v>
      </c>
      <c r="E201" s="23" t="s">
        <v>390</v>
      </c>
      <c r="F201" s="23" t="str">
        <f t="shared" si="6"/>
        <v>rtdc.l.rtdc.4044:itc</v>
      </c>
      <c r="G201" s="8">
        <f t="shared" si="7"/>
        <v>42651.853703703702</v>
      </c>
    </row>
    <row r="202" spans="1:7" x14ac:dyDescent="0.25">
      <c r="A202" s="29">
        <v>42651.854791666665</v>
      </c>
      <c r="B202" s="23" t="s">
        <v>259</v>
      </c>
      <c r="C202" s="23" t="s">
        <v>574</v>
      </c>
      <c r="D202" s="23">
        <v>1800000</v>
      </c>
      <c r="E202" s="23" t="s">
        <v>390</v>
      </c>
      <c r="F202" s="23" t="str">
        <f t="shared" si="6"/>
        <v>rtdc.l.rtdc.4044:itc</v>
      </c>
      <c r="G202" s="8">
        <f t="shared" si="7"/>
        <v>42651.854791666665</v>
      </c>
    </row>
    <row r="203" spans="1:7" x14ac:dyDescent="0.25">
      <c r="A203" s="8">
        <v>42651.859456018516</v>
      </c>
      <c r="B203" s="23" t="s">
        <v>219</v>
      </c>
      <c r="C203" s="23" t="s">
        <v>575</v>
      </c>
      <c r="D203" s="23">
        <v>2270000</v>
      </c>
      <c r="E203" s="23" t="s">
        <v>504</v>
      </c>
      <c r="F203" s="23" t="str">
        <f t="shared" si="6"/>
        <v>rtdc.l.rtdc.4017:itc</v>
      </c>
      <c r="G203" s="8">
        <f t="shared" si="7"/>
        <v>42651.859456018516</v>
      </c>
    </row>
    <row r="204" spans="1:7" x14ac:dyDescent="0.25">
      <c r="A204" s="8">
        <v>42651.872511574074</v>
      </c>
      <c r="B204" s="23" t="s">
        <v>238</v>
      </c>
      <c r="C204" s="23" t="s">
        <v>576</v>
      </c>
      <c r="D204" s="23">
        <v>1300000</v>
      </c>
      <c r="E204" s="23" t="s">
        <v>121</v>
      </c>
      <c r="F204" s="23" t="str">
        <f t="shared" si="6"/>
        <v>rtdc.l.rtdc.4053:itc</v>
      </c>
      <c r="G204" s="8">
        <f t="shared" si="7"/>
        <v>42651.872511574074</v>
      </c>
    </row>
    <row r="205" spans="1:7" x14ac:dyDescent="0.25">
      <c r="A205" s="8">
        <v>42651.876585648148</v>
      </c>
      <c r="B205" s="23" t="s">
        <v>236</v>
      </c>
      <c r="C205" s="23" t="s">
        <v>577</v>
      </c>
      <c r="D205" s="23">
        <v>2260000</v>
      </c>
      <c r="E205" s="23" t="s">
        <v>387</v>
      </c>
      <c r="F205" s="23" t="str">
        <f t="shared" si="6"/>
        <v>rtdc.l.rtdc.4032:itc</v>
      </c>
      <c r="G205" s="8">
        <f t="shared" si="7"/>
        <v>42651.876585648148</v>
      </c>
    </row>
    <row r="206" spans="1:7" x14ac:dyDescent="0.25">
      <c r="A206" s="8">
        <v>42651.885069444441</v>
      </c>
      <c r="B206" s="23" t="s">
        <v>220</v>
      </c>
      <c r="C206" s="23" t="s">
        <v>578</v>
      </c>
      <c r="D206" s="23">
        <v>2270000</v>
      </c>
      <c r="E206" s="23" t="s">
        <v>504</v>
      </c>
      <c r="F206" s="23" t="str">
        <f t="shared" si="6"/>
        <v>rtdc.l.rtdc.4018:itc</v>
      </c>
      <c r="G206" s="8">
        <f t="shared" si="7"/>
        <v>42651.885069444441</v>
      </c>
    </row>
    <row r="207" spans="1:7" x14ac:dyDescent="0.25">
      <c r="A207" s="8">
        <v>42651.888738425929</v>
      </c>
      <c r="B207" s="23" t="s">
        <v>384</v>
      </c>
      <c r="C207" s="23" t="s">
        <v>579</v>
      </c>
      <c r="D207" s="23">
        <v>1810000</v>
      </c>
      <c r="E207" s="23" t="s">
        <v>288</v>
      </c>
      <c r="F207" s="23" t="str">
        <f t="shared" si="6"/>
        <v>rtdc.l.rtdc.4038:itc</v>
      </c>
      <c r="G207" s="8">
        <f t="shared" si="7"/>
        <v>42651.888738425929</v>
      </c>
    </row>
    <row r="208" spans="1:7" x14ac:dyDescent="0.25">
      <c r="A208" s="8">
        <v>42651.892858796295</v>
      </c>
      <c r="B208" s="23" t="s">
        <v>398</v>
      </c>
      <c r="C208" s="23" t="s">
        <v>580</v>
      </c>
      <c r="D208" s="23">
        <v>1800000</v>
      </c>
      <c r="E208" s="23" t="s">
        <v>390</v>
      </c>
      <c r="F208" s="23" t="str">
        <f t="shared" si="6"/>
        <v>rtdc.l.rtdc.4043:itc</v>
      </c>
      <c r="G208" s="8">
        <f t="shared" si="7"/>
        <v>42651.892858796295</v>
      </c>
    </row>
    <row r="209" spans="1:7" x14ac:dyDescent="0.25">
      <c r="A209" s="8">
        <v>42651.900439814817</v>
      </c>
      <c r="B209" s="23" t="s">
        <v>219</v>
      </c>
      <c r="C209" s="23" t="s">
        <v>581</v>
      </c>
      <c r="D209" s="23">
        <v>2270000</v>
      </c>
      <c r="E209" s="23" t="s">
        <v>504</v>
      </c>
      <c r="F209" s="23" t="str">
        <f t="shared" si="6"/>
        <v>rtdc.l.rtdc.4017:itc</v>
      </c>
      <c r="G209" s="8">
        <f t="shared" si="7"/>
        <v>42651.900439814817</v>
      </c>
    </row>
    <row r="210" spans="1:7" x14ac:dyDescent="0.25">
      <c r="A210" s="8">
        <v>42651.911226851851</v>
      </c>
      <c r="B210" s="23" t="s">
        <v>285</v>
      </c>
      <c r="C210" s="23" t="s">
        <v>582</v>
      </c>
      <c r="D210" s="23">
        <v>1300000</v>
      </c>
      <c r="E210" s="23" t="s">
        <v>121</v>
      </c>
      <c r="F210" s="23" t="str">
        <f t="shared" si="6"/>
        <v>rtdc.l.rtdc.4054:itc</v>
      </c>
      <c r="G210" s="8">
        <f t="shared" si="7"/>
        <v>42651.911226851851</v>
      </c>
    </row>
    <row r="211" spans="1:7" x14ac:dyDescent="0.25">
      <c r="A211" s="8">
        <v>42651.924212962964</v>
      </c>
      <c r="B211" s="23" t="s">
        <v>378</v>
      </c>
      <c r="C211" s="23" t="s">
        <v>583</v>
      </c>
      <c r="D211" s="23">
        <v>1810000</v>
      </c>
      <c r="E211" s="23" t="s">
        <v>288</v>
      </c>
      <c r="F211" s="23" t="str">
        <f t="shared" si="6"/>
        <v>rtdc.l.rtdc.4037:itc</v>
      </c>
      <c r="G211" s="8">
        <f t="shared" si="7"/>
        <v>42651.924212962964</v>
      </c>
    </row>
    <row r="212" spans="1:7" x14ac:dyDescent="0.25">
      <c r="A212" s="8">
        <v>42651.92796296296</v>
      </c>
      <c r="B212" s="23" t="s">
        <v>220</v>
      </c>
      <c r="C212" s="23" t="s">
        <v>584</v>
      </c>
      <c r="D212" s="23">
        <v>2270000</v>
      </c>
      <c r="E212" s="23" t="s">
        <v>504</v>
      </c>
      <c r="F212" s="23" t="str">
        <f t="shared" si="6"/>
        <v>rtdc.l.rtdc.4018:itc</v>
      </c>
      <c r="G212" s="8">
        <f t="shared" si="7"/>
        <v>42651.92796296296</v>
      </c>
    </row>
    <row r="213" spans="1:7" x14ac:dyDescent="0.25">
      <c r="A213" s="8">
        <v>42651.936643518522</v>
      </c>
      <c r="B213" s="23" t="s">
        <v>259</v>
      </c>
      <c r="C213" s="23" t="s">
        <v>585</v>
      </c>
      <c r="D213" s="23">
        <v>1800000</v>
      </c>
      <c r="E213" s="23" t="s">
        <v>390</v>
      </c>
      <c r="F213" s="23" t="str">
        <f t="shared" si="6"/>
        <v>rtdc.l.rtdc.4044:itc</v>
      </c>
      <c r="G213" s="8">
        <f t="shared" si="7"/>
        <v>42651.936643518522</v>
      </c>
    </row>
    <row r="214" spans="1:7" x14ac:dyDescent="0.25">
      <c r="A214" s="8">
        <v>42651.94290509259</v>
      </c>
      <c r="B214" s="23" t="s">
        <v>219</v>
      </c>
      <c r="C214" s="23" t="s">
        <v>586</v>
      </c>
      <c r="D214" s="23">
        <v>2270000</v>
      </c>
      <c r="E214" s="23" t="s">
        <v>504</v>
      </c>
      <c r="F214" s="23" t="str">
        <f t="shared" si="6"/>
        <v>rtdc.l.rtdc.4017:itc</v>
      </c>
      <c r="G214" s="8">
        <f t="shared" si="7"/>
        <v>42651.94290509259</v>
      </c>
    </row>
    <row r="215" spans="1:7" x14ac:dyDescent="0.25">
      <c r="A215" s="8">
        <v>42651.947569444441</v>
      </c>
      <c r="B215" s="23" t="s">
        <v>236</v>
      </c>
      <c r="C215" s="23" t="s">
        <v>587</v>
      </c>
      <c r="D215" s="23">
        <v>1480000</v>
      </c>
      <c r="E215" s="23" t="s">
        <v>225</v>
      </c>
      <c r="F215" s="23" t="str">
        <f t="shared" si="6"/>
        <v>rtdc.l.rtdc.4032:itc</v>
      </c>
      <c r="G215" s="8">
        <f t="shared" si="7"/>
        <v>42651.947569444441</v>
      </c>
    </row>
    <row r="216" spans="1:7" x14ac:dyDescent="0.25">
      <c r="A216" s="8">
        <v>42651.953240740739</v>
      </c>
      <c r="B216" s="23" t="s">
        <v>238</v>
      </c>
      <c r="C216" s="23" t="s">
        <v>588</v>
      </c>
      <c r="D216" s="23">
        <v>1300000</v>
      </c>
      <c r="E216" s="23" t="s">
        <v>121</v>
      </c>
      <c r="F216" s="23" t="str">
        <f t="shared" si="6"/>
        <v>rtdc.l.rtdc.4053:itc</v>
      </c>
      <c r="G216" s="8">
        <f t="shared" si="7"/>
        <v>42651.953240740739</v>
      </c>
    </row>
    <row r="217" spans="1:7" x14ac:dyDescent="0.25">
      <c r="A217" s="8">
        <v>42651.971099537041</v>
      </c>
      <c r="B217" s="23" t="s">
        <v>384</v>
      </c>
      <c r="C217" s="23" t="s">
        <v>589</v>
      </c>
      <c r="D217" s="23">
        <v>1810000</v>
      </c>
      <c r="E217" s="23" t="s">
        <v>288</v>
      </c>
      <c r="F217" s="23" t="str">
        <f t="shared" si="6"/>
        <v>rtdc.l.rtdc.4038:itc</v>
      </c>
      <c r="G217" s="8">
        <f t="shared" si="7"/>
        <v>42651.971099537041</v>
      </c>
    </row>
    <row r="218" spans="1:7" x14ac:dyDescent="0.25">
      <c r="A218" s="8">
        <v>42651.97619212963</v>
      </c>
      <c r="B218" s="23" t="s">
        <v>398</v>
      </c>
      <c r="C218" s="23" t="s">
        <v>590</v>
      </c>
      <c r="D218" s="23">
        <v>1800000</v>
      </c>
      <c r="E218" s="23" t="s">
        <v>390</v>
      </c>
      <c r="F218" s="23" t="str">
        <f t="shared" si="6"/>
        <v>rtdc.l.rtdc.4043:itc</v>
      </c>
      <c r="G218" s="8">
        <f t="shared" si="7"/>
        <v>42651.97619212963</v>
      </c>
    </row>
    <row r="219" spans="1:7" x14ac:dyDescent="0.25">
      <c r="A219" s="8">
        <v>42651.991886574076</v>
      </c>
      <c r="B219" s="23" t="s">
        <v>237</v>
      </c>
      <c r="C219" s="23" t="s">
        <v>591</v>
      </c>
      <c r="D219" s="23">
        <v>1480000</v>
      </c>
      <c r="E219" s="23" t="s">
        <v>225</v>
      </c>
      <c r="F219" s="23" t="str">
        <f t="shared" si="6"/>
        <v>rtdc.l.rtdc.4031:itc</v>
      </c>
      <c r="G219" s="8">
        <f t="shared" si="7"/>
        <v>42651.991886574076</v>
      </c>
    </row>
    <row r="220" spans="1:7" x14ac:dyDescent="0.25">
      <c r="A220" s="8">
        <v>42651.994085648148</v>
      </c>
      <c r="B220" s="23" t="s">
        <v>285</v>
      </c>
      <c r="C220" s="23" t="s">
        <v>592</v>
      </c>
      <c r="D220" s="23">
        <v>1300000</v>
      </c>
      <c r="E220" s="23" t="s">
        <v>121</v>
      </c>
      <c r="F220" s="23" t="str">
        <f t="shared" si="6"/>
        <v>rtdc.l.rtdc.4054:itc</v>
      </c>
      <c r="G220" s="8">
        <f t="shared" si="7"/>
        <v>42651.994085648148</v>
      </c>
    </row>
    <row r="221" spans="1:7" x14ac:dyDescent="0.25">
      <c r="A221" s="8">
        <v>42652.015057870369</v>
      </c>
      <c r="B221" s="23" t="s">
        <v>378</v>
      </c>
      <c r="C221" s="23" t="s">
        <v>593</v>
      </c>
      <c r="D221" s="23">
        <v>1810000</v>
      </c>
      <c r="E221" s="23" t="s">
        <v>288</v>
      </c>
      <c r="F221" s="23" t="str">
        <f t="shared" si="6"/>
        <v>rtdc.l.rtdc.4037:itc</v>
      </c>
      <c r="G221" s="8">
        <f t="shared" si="7"/>
        <v>42652.015057870369</v>
      </c>
    </row>
    <row r="222" spans="1:7" x14ac:dyDescent="0.25">
      <c r="A222" s="8">
        <v>42652.019884259258</v>
      </c>
      <c r="B222" s="23" t="s">
        <v>259</v>
      </c>
      <c r="C222" s="23" t="s">
        <v>594</v>
      </c>
      <c r="D222" s="23">
        <v>1800000</v>
      </c>
      <c r="E222" s="23" t="s">
        <v>390</v>
      </c>
      <c r="F222" s="23" t="str">
        <f t="shared" si="6"/>
        <v>rtdc.l.rtdc.4044:itc</v>
      </c>
      <c r="G222" s="8">
        <f t="shared" si="7"/>
        <v>42652.019884259258</v>
      </c>
    </row>
    <row r="223" spans="1:7" x14ac:dyDescent="0.25">
      <c r="A223" s="8">
        <v>42652.035000000003</v>
      </c>
      <c r="B223" s="23" t="s">
        <v>238</v>
      </c>
      <c r="C223" s="23" t="s">
        <v>595</v>
      </c>
      <c r="D223" s="23">
        <v>1300000</v>
      </c>
      <c r="E223" s="23" t="s">
        <v>121</v>
      </c>
      <c r="F223" s="23" t="str">
        <f t="shared" si="6"/>
        <v>rtdc.l.rtdc.4053:itc</v>
      </c>
      <c r="G223" s="8">
        <f t="shared" si="7"/>
        <v>42652.035000000003</v>
      </c>
    </row>
    <row r="224" spans="1:7" x14ac:dyDescent="0.25">
      <c r="A224" s="8">
        <v>42652.035277777781</v>
      </c>
      <c r="B224" t="s">
        <v>236</v>
      </c>
      <c r="C224" t="s">
        <v>596</v>
      </c>
      <c r="D224">
        <v>1480000</v>
      </c>
      <c r="E224" t="s">
        <v>225</v>
      </c>
      <c r="F224" s="23" t="str">
        <f t="shared" si="6"/>
        <v>rtdc.l.rtdc.4032:itc</v>
      </c>
      <c r="G224" s="8">
        <f t="shared" si="7"/>
        <v>42652.035277777781</v>
      </c>
    </row>
    <row r="225" spans="1:7" x14ac:dyDescent="0.25">
      <c r="A225" s="8">
        <v>42652.047673611109</v>
      </c>
      <c r="B225" t="s">
        <v>384</v>
      </c>
      <c r="C225" t="s">
        <v>597</v>
      </c>
      <c r="D225">
        <v>1810000</v>
      </c>
      <c r="E225" t="s">
        <v>288</v>
      </c>
      <c r="F225" s="23" t="str">
        <f t="shared" si="6"/>
        <v>rtdc.l.rtdc.4038:itc</v>
      </c>
      <c r="G225" s="8">
        <f t="shared" si="7"/>
        <v>42652.047673611109</v>
      </c>
    </row>
    <row r="226" spans="1:7" x14ac:dyDescent="0.25">
      <c r="A226" s="8">
        <v>42652.058171296296</v>
      </c>
      <c r="B226" t="s">
        <v>398</v>
      </c>
      <c r="C226" t="s">
        <v>598</v>
      </c>
      <c r="D226">
        <v>1800000</v>
      </c>
      <c r="E226" t="s">
        <v>390</v>
      </c>
      <c r="F226" s="23" t="str">
        <f t="shared" si="6"/>
        <v>rtdc.l.rtdc.4043:itc</v>
      </c>
      <c r="G226" s="8">
        <f t="shared" si="7"/>
        <v>42652.058171296296</v>
      </c>
    </row>
    <row r="227" spans="1:7" x14ac:dyDescent="0.25">
      <c r="A227" s="8">
        <v>42652.069189814814</v>
      </c>
      <c r="B227" t="s">
        <v>237</v>
      </c>
      <c r="C227" t="s">
        <v>599</v>
      </c>
      <c r="D227">
        <v>1480000</v>
      </c>
      <c r="E227" t="s">
        <v>225</v>
      </c>
      <c r="F227" s="23" t="str">
        <f t="shared" si="6"/>
        <v>rtdc.l.rtdc.4031:itc</v>
      </c>
      <c r="G227" s="8">
        <f t="shared" si="7"/>
        <v>42652.069189814814</v>
      </c>
    </row>
    <row r="228" spans="1:7" x14ac:dyDescent="0.25">
      <c r="A228" s="8">
        <v>42652.078518518516</v>
      </c>
      <c r="B228" t="s">
        <v>285</v>
      </c>
      <c r="C228" t="s">
        <v>600</v>
      </c>
      <c r="D228">
        <v>1300000</v>
      </c>
      <c r="E228" t="s">
        <v>121</v>
      </c>
      <c r="F228" s="23" t="str">
        <f t="shared" si="6"/>
        <v>rtdc.l.rtdc.4054:itc</v>
      </c>
      <c r="G228" s="8">
        <f t="shared" si="7"/>
        <v>42652.078518518516</v>
      </c>
    </row>
    <row r="229" spans="1:7" x14ac:dyDescent="0.25">
      <c r="A229" s="8">
        <v>42652.090324074074</v>
      </c>
      <c r="B229" t="s">
        <v>259</v>
      </c>
      <c r="C229" t="s">
        <v>601</v>
      </c>
      <c r="D229">
        <v>1800000</v>
      </c>
      <c r="E229" t="s">
        <v>390</v>
      </c>
      <c r="F229" s="23" t="str">
        <f t="shared" si="6"/>
        <v>rtdc.l.rtdc.4044:itc</v>
      </c>
      <c r="G229" s="8">
        <f t="shared" si="7"/>
        <v>42652.090324074074</v>
      </c>
    </row>
    <row r="230" spans="1:7" x14ac:dyDescent="0.25">
      <c r="A230" s="8">
        <v>42652.108472222222</v>
      </c>
      <c r="B230" t="s">
        <v>238</v>
      </c>
      <c r="C230" t="s">
        <v>602</v>
      </c>
      <c r="D230">
        <v>1300000</v>
      </c>
      <c r="E230" t="s">
        <v>121</v>
      </c>
      <c r="F230" s="23" t="str">
        <f t="shared" si="6"/>
        <v>rtdc.l.rtdc.4053:itc</v>
      </c>
      <c r="G230" s="8">
        <f t="shared" si="7"/>
        <v>42652.108472222222</v>
      </c>
    </row>
    <row r="231" spans="1:7" x14ac:dyDescent="0.25">
      <c r="F231" s="23">
        <f t="shared" si="6"/>
        <v>0</v>
      </c>
      <c r="G231" s="8">
        <f t="shared" si="7"/>
        <v>0</v>
      </c>
    </row>
    <row r="232" spans="1:7" x14ac:dyDescent="0.25">
      <c r="A232" s="8">
        <v>42650.922291666669</v>
      </c>
      <c r="B232" t="s">
        <v>165</v>
      </c>
      <c r="C232" t="s">
        <v>376</v>
      </c>
      <c r="D232">
        <v>1810000</v>
      </c>
      <c r="E232" t="s">
        <v>288</v>
      </c>
      <c r="F232" s="23" t="str">
        <f t="shared" si="6"/>
        <v>rtdc.l.rtdc.4025:itc</v>
      </c>
      <c r="G232" s="8">
        <f t="shared" si="7"/>
        <v>42650.922291666669</v>
      </c>
    </row>
    <row r="233" spans="1:7" x14ac:dyDescent="0.25">
      <c r="A233" s="8">
        <v>42650.928576388891</v>
      </c>
      <c r="B233" t="s">
        <v>245</v>
      </c>
      <c r="C233" t="s">
        <v>336</v>
      </c>
      <c r="D233">
        <v>140000</v>
      </c>
      <c r="E233" t="s">
        <v>274</v>
      </c>
      <c r="F233" s="23" t="str">
        <f t="shared" si="6"/>
        <v>rtdc.l.rtdc.4004:itc</v>
      </c>
      <c r="G233" s="8">
        <f t="shared" si="7"/>
        <v>42650.928576388891</v>
      </c>
    </row>
    <row r="234" spans="1:7" x14ac:dyDescent="0.25">
      <c r="A234" s="8">
        <v>42650.929872685185</v>
      </c>
      <c r="B234" t="s">
        <v>245</v>
      </c>
      <c r="C234" t="s">
        <v>336</v>
      </c>
      <c r="D234">
        <v>140000</v>
      </c>
      <c r="E234" t="s">
        <v>274</v>
      </c>
      <c r="F234" s="23" t="str">
        <f t="shared" si="6"/>
        <v>rtdc.l.rtdc.4004:itc</v>
      </c>
      <c r="G234" s="8">
        <f t="shared" si="7"/>
        <v>42650.929872685185</v>
      </c>
    </row>
    <row r="235" spans="1:7" x14ac:dyDescent="0.25">
      <c r="A235" s="8">
        <v>42650.93341435185</v>
      </c>
      <c r="B235" t="s">
        <v>379</v>
      </c>
      <c r="C235" t="s">
        <v>338</v>
      </c>
      <c r="D235">
        <v>1480000</v>
      </c>
      <c r="E235" t="s">
        <v>225</v>
      </c>
      <c r="F235" s="23" t="str">
        <f t="shared" si="6"/>
        <v>rtdc.l.rtdc.4020:itc</v>
      </c>
      <c r="G235" s="8">
        <f t="shared" si="7"/>
        <v>42650.93341435185</v>
      </c>
    </row>
    <row r="236" spans="1:7" x14ac:dyDescent="0.25">
      <c r="A236" s="8">
        <v>42650.943171296298</v>
      </c>
      <c r="B236" t="s">
        <v>166</v>
      </c>
      <c r="C236" t="s">
        <v>377</v>
      </c>
      <c r="D236">
        <v>1810000</v>
      </c>
      <c r="E236" t="s">
        <v>288</v>
      </c>
      <c r="F236" s="23" t="str">
        <f t="shared" ref="F236:F265" si="8">B236</f>
        <v>rtdc.l.rtdc.4026:itc</v>
      </c>
      <c r="G236" s="8">
        <f t="shared" ref="G236:G265" si="9">A236</f>
        <v>42650.943171296298</v>
      </c>
    </row>
    <row r="237" spans="1:7" x14ac:dyDescent="0.25">
      <c r="A237" s="8">
        <v>42650.954467592594</v>
      </c>
      <c r="B237" t="s">
        <v>261</v>
      </c>
      <c r="C237" t="s">
        <v>340</v>
      </c>
      <c r="D237">
        <v>1300000</v>
      </c>
      <c r="E237" t="s">
        <v>121</v>
      </c>
      <c r="F237" s="23" t="str">
        <f t="shared" si="8"/>
        <v>rtdc.l.rtdc.4007:itc</v>
      </c>
      <c r="G237" s="8">
        <f t="shared" si="9"/>
        <v>42650.954467592594</v>
      </c>
    </row>
    <row r="238" spans="1:7" x14ac:dyDescent="0.25">
      <c r="A238" s="8">
        <v>42650.955381944441</v>
      </c>
      <c r="B238" t="s">
        <v>286</v>
      </c>
      <c r="C238" t="s">
        <v>337</v>
      </c>
      <c r="D238">
        <v>1800000</v>
      </c>
      <c r="E238" t="s">
        <v>390</v>
      </c>
      <c r="F238" s="23" t="str">
        <f t="shared" si="8"/>
        <v>rtdc.l.rtdc.4045:itc</v>
      </c>
      <c r="G238" s="8">
        <f t="shared" si="9"/>
        <v>42650.955381944441</v>
      </c>
    </row>
    <row r="239" spans="1:7" x14ac:dyDescent="0.25">
      <c r="A239" s="8">
        <v>42650.969409722224</v>
      </c>
      <c r="B239" t="s">
        <v>380</v>
      </c>
      <c r="C239" t="s">
        <v>339</v>
      </c>
      <c r="D239">
        <v>1480000</v>
      </c>
      <c r="E239" t="s">
        <v>225</v>
      </c>
      <c r="F239" s="23" t="str">
        <f t="shared" si="8"/>
        <v>rtdc.l.rtdc.4019:itc</v>
      </c>
      <c r="G239" s="8">
        <f t="shared" si="9"/>
        <v>42650.969409722224</v>
      </c>
    </row>
    <row r="240" spans="1:7" x14ac:dyDescent="0.25">
      <c r="A240" s="8">
        <v>42650.971296296295</v>
      </c>
      <c r="B240" t="s">
        <v>244</v>
      </c>
      <c r="C240" t="s">
        <v>342</v>
      </c>
      <c r="D240">
        <v>140000</v>
      </c>
      <c r="E240" t="s">
        <v>274</v>
      </c>
      <c r="F240" s="23" t="str">
        <f t="shared" si="8"/>
        <v>rtdc.l.rtdc.4003:itc</v>
      </c>
      <c r="G240" s="8">
        <f t="shared" si="9"/>
        <v>42650.971296296295</v>
      </c>
    </row>
    <row r="241" spans="1:7" x14ac:dyDescent="0.25">
      <c r="A241" s="8">
        <v>42650.995717592596</v>
      </c>
      <c r="B241" t="s">
        <v>258</v>
      </c>
      <c r="C241" t="s">
        <v>341</v>
      </c>
      <c r="D241">
        <v>1300000</v>
      </c>
      <c r="E241" t="s">
        <v>121</v>
      </c>
      <c r="F241" s="23" t="str">
        <f t="shared" si="8"/>
        <v>rtdc.l.rtdc.4008:itc</v>
      </c>
      <c r="G241" s="8">
        <f t="shared" si="9"/>
        <v>42650.995717592596</v>
      </c>
    </row>
    <row r="242" spans="1:7" x14ac:dyDescent="0.25">
      <c r="A242" s="8">
        <v>42650.995729166665</v>
      </c>
      <c r="B242" t="s">
        <v>284</v>
      </c>
      <c r="C242" t="s">
        <v>344</v>
      </c>
      <c r="D242">
        <v>1800000</v>
      </c>
      <c r="E242" t="s">
        <v>390</v>
      </c>
      <c r="F242" s="23" t="str">
        <f t="shared" si="8"/>
        <v>rtdc.l.rtdc.4046:itc</v>
      </c>
      <c r="G242" s="8">
        <f t="shared" si="9"/>
        <v>42650.995729166665</v>
      </c>
    </row>
    <row r="243" spans="1:7" x14ac:dyDescent="0.25">
      <c r="A243" s="8">
        <v>42651.008877314816</v>
      </c>
      <c r="B243" t="s">
        <v>167</v>
      </c>
      <c r="C243" t="s">
        <v>364</v>
      </c>
      <c r="D243">
        <v>630000</v>
      </c>
      <c r="E243" t="b">
        <v>1</v>
      </c>
      <c r="F243" s="23" t="str">
        <f t="shared" si="8"/>
        <v>rtdc.l.rtdc.4051:itc</v>
      </c>
      <c r="G243" s="8">
        <f t="shared" si="9"/>
        <v>42651.008877314816</v>
      </c>
    </row>
    <row r="244" spans="1:7" x14ac:dyDescent="0.25">
      <c r="A244" s="8">
        <v>42651.011863425927</v>
      </c>
      <c r="B244" t="s">
        <v>245</v>
      </c>
      <c r="C244" t="s">
        <v>343</v>
      </c>
      <c r="D244">
        <v>140000</v>
      </c>
      <c r="E244" t="s">
        <v>274</v>
      </c>
      <c r="F244" s="23" t="str">
        <f t="shared" si="8"/>
        <v>rtdc.l.rtdc.4004:itc</v>
      </c>
      <c r="G244" s="8">
        <f t="shared" si="9"/>
        <v>42651.011863425927</v>
      </c>
    </row>
    <row r="245" spans="1:7" x14ac:dyDescent="0.25">
      <c r="A245" s="8">
        <v>42651.013275462959</v>
      </c>
      <c r="B245" t="s">
        <v>167</v>
      </c>
      <c r="C245" t="s">
        <v>364</v>
      </c>
      <c r="D245">
        <v>630000</v>
      </c>
      <c r="E245" t="b">
        <v>1</v>
      </c>
      <c r="F245" s="23" t="str">
        <f t="shared" si="8"/>
        <v>rtdc.l.rtdc.4051:itc</v>
      </c>
      <c r="G245" s="8">
        <f t="shared" si="9"/>
        <v>42651.013275462959</v>
      </c>
    </row>
    <row r="246" spans="1:7" x14ac:dyDescent="0.25">
      <c r="A246" s="8">
        <v>42651.014050925929</v>
      </c>
      <c r="B246" t="s">
        <v>379</v>
      </c>
      <c r="C246" t="s">
        <v>346</v>
      </c>
      <c r="D246">
        <v>1480000</v>
      </c>
      <c r="E246" t="s">
        <v>225</v>
      </c>
      <c r="F246" s="23" t="str">
        <f t="shared" si="8"/>
        <v>rtdc.l.rtdc.4020:itc</v>
      </c>
      <c r="G246" s="8">
        <f t="shared" si="9"/>
        <v>42651.014050925929</v>
      </c>
    </row>
    <row r="247" spans="1:7" x14ac:dyDescent="0.25">
      <c r="A247" s="8">
        <v>42651.015648148146</v>
      </c>
      <c r="B247" t="s">
        <v>167</v>
      </c>
      <c r="C247" t="s">
        <v>362</v>
      </c>
      <c r="D247">
        <v>630000</v>
      </c>
      <c r="E247" t="b">
        <v>1</v>
      </c>
      <c r="F247" s="23" t="str">
        <f t="shared" si="8"/>
        <v>rtdc.l.rtdc.4051:itc</v>
      </c>
      <c r="G247" s="8">
        <f t="shared" si="9"/>
        <v>42651.015648148146</v>
      </c>
    </row>
    <row r="248" spans="1:7" x14ac:dyDescent="0.25">
      <c r="A248" s="8">
        <v>42651.036354166667</v>
      </c>
      <c r="B248" t="s">
        <v>286</v>
      </c>
      <c r="C248" t="s">
        <v>345</v>
      </c>
      <c r="D248">
        <v>1800000</v>
      </c>
      <c r="E248" t="s">
        <v>390</v>
      </c>
      <c r="F248" s="23" t="str">
        <f t="shared" si="8"/>
        <v>rtdc.l.rtdc.4045:itc</v>
      </c>
      <c r="G248" s="8">
        <f t="shared" si="9"/>
        <v>42651.036354166667</v>
      </c>
    </row>
    <row r="249" spans="1:7" x14ac:dyDescent="0.25">
      <c r="A249" s="8">
        <v>42651.038113425922</v>
      </c>
      <c r="B249" t="s">
        <v>261</v>
      </c>
      <c r="C249" t="s">
        <v>349</v>
      </c>
      <c r="D249">
        <v>1300000</v>
      </c>
      <c r="E249" t="s">
        <v>121</v>
      </c>
      <c r="F249" s="23" t="str">
        <f t="shared" si="8"/>
        <v>rtdc.l.rtdc.4007:itc</v>
      </c>
      <c r="G249" s="8">
        <f t="shared" si="9"/>
        <v>42651.038113425922</v>
      </c>
    </row>
    <row r="250" spans="1:7" x14ac:dyDescent="0.25">
      <c r="A250" s="8">
        <v>42651.048807870371</v>
      </c>
      <c r="B250" t="s">
        <v>244</v>
      </c>
      <c r="C250" t="s">
        <v>352</v>
      </c>
      <c r="D250">
        <v>140000</v>
      </c>
      <c r="E250" t="s">
        <v>274</v>
      </c>
      <c r="F250" s="23" t="str">
        <f t="shared" si="8"/>
        <v>rtdc.l.rtdc.4003:itc</v>
      </c>
      <c r="G250" s="8">
        <f t="shared" si="9"/>
        <v>42651.048807870371</v>
      </c>
    </row>
    <row r="251" spans="1:7" x14ac:dyDescent="0.25">
      <c r="A251" s="8">
        <v>42651.051481481481</v>
      </c>
      <c r="B251" t="s">
        <v>380</v>
      </c>
      <c r="C251" t="s">
        <v>347</v>
      </c>
      <c r="D251">
        <v>1480000</v>
      </c>
      <c r="E251" t="s">
        <v>225</v>
      </c>
      <c r="F251" s="23" t="str">
        <f t="shared" si="8"/>
        <v>rtdc.l.rtdc.4019:itc</v>
      </c>
      <c r="G251" s="8">
        <f t="shared" si="9"/>
        <v>42651.051481481481</v>
      </c>
    </row>
    <row r="252" spans="1:7" x14ac:dyDescent="0.25">
      <c r="A252" s="8">
        <v>42651.057025462964</v>
      </c>
      <c r="B252" t="s">
        <v>168</v>
      </c>
      <c r="C252" t="s">
        <v>364</v>
      </c>
      <c r="D252">
        <v>630000</v>
      </c>
      <c r="E252" t="b">
        <v>1</v>
      </c>
      <c r="F252" s="23" t="str">
        <f t="shared" si="8"/>
        <v>rtdc.l.rtdc.4052:itc</v>
      </c>
      <c r="G252" s="8">
        <f t="shared" si="9"/>
        <v>42651.057025462964</v>
      </c>
    </row>
    <row r="253" spans="1:7" x14ac:dyDescent="0.25">
      <c r="A253" s="8">
        <v>42651.069953703707</v>
      </c>
      <c r="B253" t="s">
        <v>284</v>
      </c>
      <c r="C253" t="s">
        <v>354</v>
      </c>
      <c r="D253">
        <v>1800000</v>
      </c>
      <c r="E253" t="s">
        <v>390</v>
      </c>
      <c r="F253" s="23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258</v>
      </c>
      <c r="C254" t="s">
        <v>350</v>
      </c>
      <c r="D254">
        <v>1300000</v>
      </c>
      <c r="E254" t="s">
        <v>121</v>
      </c>
      <c r="F254" s="23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167</v>
      </c>
      <c r="C255" t="s">
        <v>364</v>
      </c>
      <c r="D255">
        <v>630000</v>
      </c>
      <c r="E255" t="b">
        <v>1</v>
      </c>
      <c r="F255" s="23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167</v>
      </c>
      <c r="C256" t="s">
        <v>364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167</v>
      </c>
      <c r="C257" t="s">
        <v>359</v>
      </c>
      <c r="D257">
        <v>630000</v>
      </c>
      <c r="E257" t="b">
        <v>1</v>
      </c>
      <c r="F257" s="23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379</v>
      </c>
      <c r="C258" t="s">
        <v>355</v>
      </c>
      <c r="D258">
        <v>1480000</v>
      </c>
      <c r="E258" t="s">
        <v>225</v>
      </c>
      <c r="F258" s="23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261</v>
      </c>
      <c r="C259" t="s">
        <v>357</v>
      </c>
      <c r="D259">
        <v>1300000</v>
      </c>
      <c r="E259" t="s">
        <v>121</v>
      </c>
      <c r="F259" s="23" t="str">
        <f t="shared" si="8"/>
        <v>rtdc.l.rtdc.4007:itc</v>
      </c>
      <c r="G259" s="8">
        <f t="shared" si="9"/>
        <v>42651.110636574071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261</v>
      </c>
      <c r="C261" t="s">
        <v>290</v>
      </c>
      <c r="D261">
        <v>1180000</v>
      </c>
      <c r="E261" t="s">
        <v>222</v>
      </c>
      <c r="F261" s="23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167</v>
      </c>
      <c r="C262" t="s">
        <v>289</v>
      </c>
      <c r="D262">
        <v>630000</v>
      </c>
      <c r="E262" t="b">
        <v>1</v>
      </c>
      <c r="F262" s="23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235</v>
      </c>
      <c r="C263" t="s">
        <v>291</v>
      </c>
      <c r="D263">
        <v>1480000</v>
      </c>
      <c r="E263" t="s">
        <v>225</v>
      </c>
      <c r="F263" s="23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259</v>
      </c>
      <c r="C264" t="s">
        <v>292</v>
      </c>
      <c r="D264">
        <v>1300000</v>
      </c>
      <c r="E264" t="s">
        <v>121</v>
      </c>
      <c r="F264" s="23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168</v>
      </c>
      <c r="C265" t="s">
        <v>289</v>
      </c>
      <c r="D265">
        <v>630000</v>
      </c>
      <c r="E265" t="b">
        <v>1</v>
      </c>
      <c r="F265" s="23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167</v>
      </c>
      <c r="C266" t="s">
        <v>289</v>
      </c>
      <c r="D266">
        <v>630000</v>
      </c>
      <c r="E266" t="b">
        <v>1</v>
      </c>
      <c r="F266" s="23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167</v>
      </c>
      <c r="C267" t="s">
        <v>289</v>
      </c>
      <c r="D267">
        <v>630000</v>
      </c>
      <c r="E267" t="b">
        <v>1</v>
      </c>
      <c r="F267" s="23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167</v>
      </c>
      <c r="C268" t="s">
        <v>289</v>
      </c>
      <c r="D268">
        <v>630000</v>
      </c>
      <c r="E268" t="b">
        <v>1</v>
      </c>
      <c r="F268" s="23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167</v>
      </c>
      <c r="C269" t="s">
        <v>289</v>
      </c>
      <c r="D269">
        <v>630000</v>
      </c>
      <c r="E269" t="b">
        <v>1</v>
      </c>
      <c r="F269" s="23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239</v>
      </c>
      <c r="C270" t="s">
        <v>293</v>
      </c>
      <c r="D270">
        <v>1480000</v>
      </c>
      <c r="E270" t="s">
        <v>225</v>
      </c>
      <c r="F270" s="23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168</v>
      </c>
      <c r="C271" t="s">
        <v>289</v>
      </c>
      <c r="D271">
        <v>630000</v>
      </c>
      <c r="E271" t="b">
        <v>1</v>
      </c>
      <c r="F271" s="23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168</v>
      </c>
      <c r="C272" t="s">
        <v>289</v>
      </c>
      <c r="D272">
        <v>630000</v>
      </c>
      <c r="E272" t="b">
        <v>1</v>
      </c>
      <c r="F272" s="23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168</v>
      </c>
      <c r="C273" t="s">
        <v>289</v>
      </c>
      <c r="D273">
        <v>630000</v>
      </c>
      <c r="E273" t="b">
        <v>1</v>
      </c>
      <c r="F273" s="23" t="str">
        <f t="shared" si="10"/>
        <v>rtdc.l.rtdc.4052:itc</v>
      </c>
      <c r="G273" s="8">
        <f t="shared" si="11"/>
        <v>42650.103645833333</v>
      </c>
    </row>
    <row r="274" spans="1:7" x14ac:dyDescent="0.25">
      <c r="F274" s="23">
        <f t="shared" si="10"/>
        <v>0</v>
      </c>
      <c r="G274" s="8">
        <f t="shared" si="11"/>
        <v>0</v>
      </c>
    </row>
    <row r="275" spans="1:7" x14ac:dyDescent="0.25">
      <c r="F275" s="23">
        <f t="shared" si="10"/>
        <v>0</v>
      </c>
      <c r="G275" s="8">
        <f t="shared" si="11"/>
        <v>0</v>
      </c>
    </row>
    <row r="276" spans="1:7" x14ac:dyDescent="0.25">
      <c r="F276" s="23">
        <f t="shared" si="10"/>
        <v>0</v>
      </c>
      <c r="G276" s="8">
        <f t="shared" si="11"/>
        <v>0</v>
      </c>
    </row>
    <row r="277" spans="1:7" x14ac:dyDescent="0.25">
      <c r="F277" s="23">
        <f t="shared" si="10"/>
        <v>0</v>
      </c>
      <c r="G277" s="8">
        <f t="shared" si="11"/>
        <v>0</v>
      </c>
    </row>
    <row r="278" spans="1:7" x14ac:dyDescent="0.25">
      <c r="F278" s="23">
        <f t="shared" si="10"/>
        <v>0</v>
      </c>
      <c r="G278" s="8">
        <f t="shared" si="11"/>
        <v>0</v>
      </c>
    </row>
    <row r="279" spans="1:7" x14ac:dyDescent="0.25">
      <c r="F279" s="23">
        <f t="shared" si="10"/>
        <v>0</v>
      </c>
      <c r="G279" s="8">
        <f t="shared" si="11"/>
        <v>0</v>
      </c>
    </row>
    <row r="280" spans="1:7" x14ac:dyDescent="0.25">
      <c r="F280" s="23">
        <f t="shared" si="10"/>
        <v>0</v>
      </c>
      <c r="G280" s="8">
        <f t="shared" si="11"/>
        <v>0</v>
      </c>
    </row>
    <row r="281" spans="1:7" x14ac:dyDescent="0.25">
      <c r="F281" s="23">
        <f t="shared" si="10"/>
        <v>0</v>
      </c>
      <c r="G281" s="8">
        <f t="shared" si="11"/>
        <v>0</v>
      </c>
    </row>
    <row r="282" spans="1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3">
        <f t="shared" si="12"/>
        <v>0</v>
      </c>
      <c r="G283" s="8">
        <f t="shared" si="13"/>
        <v>0</v>
      </c>
    </row>
    <row r="284" spans="1:7" x14ac:dyDescent="0.25">
      <c r="F284" s="23">
        <f t="shared" si="12"/>
        <v>0</v>
      </c>
      <c r="G284" s="8">
        <f t="shared" si="13"/>
        <v>0</v>
      </c>
    </row>
    <row r="285" spans="1:7" x14ac:dyDescent="0.25">
      <c r="F285" s="23">
        <f t="shared" si="12"/>
        <v>0</v>
      </c>
      <c r="G285" s="8">
        <f t="shared" si="13"/>
        <v>0</v>
      </c>
    </row>
    <row r="286" spans="1:7" x14ac:dyDescent="0.25">
      <c r="F286" s="23">
        <f t="shared" si="12"/>
        <v>0</v>
      </c>
      <c r="G286" s="8">
        <f t="shared" si="13"/>
        <v>0</v>
      </c>
    </row>
    <row r="287" spans="1:7" x14ac:dyDescent="0.25">
      <c r="F287" s="23">
        <f t="shared" si="12"/>
        <v>0</v>
      </c>
      <c r="G287" s="8">
        <f t="shared" si="13"/>
        <v>0</v>
      </c>
    </row>
    <row r="288" spans="1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33"/>
    </sheetView>
  </sheetViews>
  <sheetFormatPr defaultRowHeight="15" x14ac:dyDescent="0.25"/>
  <cols>
    <col min="1" max="1" width="22.5703125" style="149" customWidth="1"/>
    <col min="2" max="2" width="8.140625" style="149" bestFit="1" customWidth="1"/>
    <col min="3" max="3" width="12.28515625" style="149" bestFit="1" customWidth="1"/>
    <col min="4" max="4" width="18.28515625" style="149" bestFit="1" customWidth="1"/>
    <col min="5" max="5" width="9.5703125" style="149" bestFit="1" customWidth="1"/>
    <col min="6" max="6" width="9" style="149" bestFit="1" customWidth="1"/>
    <col min="7" max="7" width="8.5703125" style="149" bestFit="1" customWidth="1"/>
    <col min="8" max="8" width="13.7109375" style="149" bestFit="1" customWidth="1"/>
    <col min="9" max="9" width="20.85546875" style="149" bestFit="1" customWidth="1"/>
    <col min="10" max="10" width="8.7109375" style="149" bestFit="1" customWidth="1"/>
    <col min="11" max="13" width="11" style="149" bestFit="1" customWidth="1"/>
    <col min="14" max="14" width="12.140625" style="149" bestFit="1" customWidth="1"/>
    <col min="15" max="15" width="14.5703125" style="149" bestFit="1" customWidth="1"/>
    <col min="16" max="16" width="16.42578125" style="149" bestFit="1" customWidth="1"/>
    <col min="17" max="17" width="9.140625" style="149"/>
    <col min="18" max="16384" width="9.140625" style="110"/>
  </cols>
  <sheetData>
    <row r="1" spans="1:17" s="151" customFormat="1" x14ac:dyDescent="0.25">
      <c r="A1" s="150" t="s">
        <v>180</v>
      </c>
      <c r="B1" s="150" t="s">
        <v>183</v>
      </c>
      <c r="C1" s="150" t="s">
        <v>176</v>
      </c>
      <c r="D1" s="150" t="s">
        <v>201</v>
      </c>
      <c r="E1" s="150" t="s">
        <v>177</v>
      </c>
      <c r="F1" s="150" t="s">
        <v>175</v>
      </c>
      <c r="G1" s="150" t="s">
        <v>173</v>
      </c>
      <c r="H1" s="150" t="s">
        <v>186</v>
      </c>
      <c r="I1" s="150" t="s">
        <v>187</v>
      </c>
      <c r="J1" s="150" t="s">
        <v>181</v>
      </c>
      <c r="K1" s="150" t="s">
        <v>179</v>
      </c>
      <c r="L1" s="150" t="s">
        <v>174</v>
      </c>
      <c r="M1" s="150" t="s">
        <v>184</v>
      </c>
      <c r="N1" s="150" t="s">
        <v>178</v>
      </c>
      <c r="O1" s="150" t="s">
        <v>185</v>
      </c>
      <c r="P1" s="150" t="s">
        <v>182</v>
      </c>
      <c r="Q1" s="150"/>
    </row>
    <row r="2" spans="1:17" x14ac:dyDescent="0.25">
      <c r="A2" s="149">
        <v>43.23</v>
      </c>
      <c r="B2" s="149">
        <v>0.13</v>
      </c>
      <c r="C2" s="149">
        <v>25.79</v>
      </c>
      <c r="D2" s="164">
        <v>42651</v>
      </c>
      <c r="E2" s="149">
        <v>0.47</v>
      </c>
      <c r="F2" s="149" t="s">
        <v>311</v>
      </c>
      <c r="G2" s="149">
        <v>293.33</v>
      </c>
      <c r="H2" s="149">
        <v>0</v>
      </c>
      <c r="I2" s="149">
        <v>0</v>
      </c>
      <c r="J2" s="149">
        <v>1021.96</v>
      </c>
      <c r="K2" s="149" t="s">
        <v>218</v>
      </c>
      <c r="L2" s="149">
        <v>44.86</v>
      </c>
      <c r="M2" s="149">
        <v>1475906400</v>
      </c>
      <c r="N2" s="149">
        <v>9.69</v>
      </c>
      <c r="O2" s="149">
        <v>232</v>
      </c>
      <c r="P2" s="149">
        <v>3.65</v>
      </c>
    </row>
    <row r="3" spans="1:17" x14ac:dyDescent="0.25">
      <c r="A3" s="149">
        <v>40.82</v>
      </c>
      <c r="B3" s="149">
        <v>0.1</v>
      </c>
      <c r="C3" s="149">
        <v>24.65</v>
      </c>
      <c r="D3" s="164">
        <v>42651.041666666664</v>
      </c>
      <c r="E3" s="149">
        <v>0.48</v>
      </c>
      <c r="F3" s="149" t="s">
        <v>311</v>
      </c>
      <c r="G3" s="149">
        <v>291.91000000000003</v>
      </c>
      <c r="H3" s="149">
        <v>0</v>
      </c>
      <c r="I3" s="149">
        <v>0</v>
      </c>
      <c r="J3" s="149">
        <v>1022.37</v>
      </c>
      <c r="K3" s="149" t="s">
        <v>218</v>
      </c>
      <c r="L3" s="149">
        <v>43.2</v>
      </c>
      <c r="M3" s="149">
        <v>1475910000</v>
      </c>
      <c r="N3" s="149">
        <v>9.7200000000000006</v>
      </c>
      <c r="O3" s="149">
        <v>226</v>
      </c>
      <c r="P3" s="149">
        <v>4.2300000000000004</v>
      </c>
    </row>
    <row r="4" spans="1:17" x14ac:dyDescent="0.25">
      <c r="A4" s="149">
        <v>40.46</v>
      </c>
      <c r="B4" s="149">
        <v>0.05</v>
      </c>
      <c r="C4" s="149">
        <v>24.69</v>
      </c>
      <c r="D4" s="164">
        <v>42651.083333333336</v>
      </c>
      <c r="E4" s="149">
        <v>0.49</v>
      </c>
      <c r="F4" s="149" t="s">
        <v>311</v>
      </c>
      <c r="G4" s="149">
        <v>290.49</v>
      </c>
      <c r="H4" s="149">
        <v>0</v>
      </c>
      <c r="I4" s="149">
        <v>0</v>
      </c>
      <c r="J4" s="149">
        <v>1022.75</v>
      </c>
      <c r="K4" s="149" t="s">
        <v>218</v>
      </c>
      <c r="L4" s="149">
        <v>42.68</v>
      </c>
      <c r="M4" s="149">
        <v>1475913600</v>
      </c>
      <c r="N4" s="149">
        <v>9.7200000000000006</v>
      </c>
      <c r="O4" s="149">
        <v>226</v>
      </c>
      <c r="P4" s="149">
        <v>3.95</v>
      </c>
    </row>
    <row r="5" spans="1:17" x14ac:dyDescent="0.25">
      <c r="A5" s="149">
        <v>38.700000000000003</v>
      </c>
      <c r="B5" s="149">
        <v>0.05</v>
      </c>
      <c r="C5" s="149">
        <v>23.8</v>
      </c>
      <c r="D5" s="164">
        <v>42651.125</v>
      </c>
      <c r="E5" s="149">
        <v>0.5</v>
      </c>
      <c r="F5" s="149" t="s">
        <v>311</v>
      </c>
      <c r="G5" s="149">
        <v>289.06</v>
      </c>
      <c r="H5" s="149">
        <v>0</v>
      </c>
      <c r="I5" s="149">
        <v>0</v>
      </c>
      <c r="J5" s="149">
        <v>1023.12</v>
      </c>
      <c r="K5" s="149" t="s">
        <v>218</v>
      </c>
      <c r="L5" s="149">
        <v>41.13</v>
      </c>
      <c r="M5" s="149">
        <v>1475917200</v>
      </c>
      <c r="N5" s="149">
        <v>9.66</v>
      </c>
      <c r="O5" s="149">
        <v>231</v>
      </c>
      <c r="P5" s="149">
        <v>3.93</v>
      </c>
    </row>
    <row r="6" spans="1:17" x14ac:dyDescent="0.25">
      <c r="A6" s="149">
        <v>37.909999999999997</v>
      </c>
      <c r="B6" s="149">
        <v>0.06</v>
      </c>
      <c r="C6" s="149">
        <v>22.93</v>
      </c>
      <c r="D6" s="164">
        <v>42651.166666666664</v>
      </c>
      <c r="E6" s="149">
        <v>0.49</v>
      </c>
      <c r="F6" s="149" t="s">
        <v>311</v>
      </c>
      <c r="G6" s="149">
        <v>288.04000000000002</v>
      </c>
      <c r="H6" s="149">
        <v>0</v>
      </c>
      <c r="I6" s="149">
        <v>0</v>
      </c>
      <c r="J6" s="149">
        <v>1023.32</v>
      </c>
      <c r="K6" s="149" t="s">
        <v>218</v>
      </c>
      <c r="L6" s="149">
        <v>40.57</v>
      </c>
      <c r="M6" s="149">
        <v>1475920800</v>
      </c>
      <c r="N6" s="149">
        <v>9.64</v>
      </c>
      <c r="O6" s="149">
        <v>230</v>
      </c>
      <c r="P6" s="149">
        <v>4.08</v>
      </c>
    </row>
    <row r="7" spans="1:17" x14ac:dyDescent="0.25">
      <c r="A7" s="149">
        <v>37.729999999999997</v>
      </c>
      <c r="B7" s="149">
        <v>0.05</v>
      </c>
      <c r="C7" s="149">
        <v>21.83</v>
      </c>
      <c r="D7" s="164">
        <v>42651.208333333336</v>
      </c>
      <c r="E7" s="149">
        <v>0.48</v>
      </c>
      <c r="F7" s="149" t="s">
        <v>311</v>
      </c>
      <c r="G7" s="149">
        <v>287.2</v>
      </c>
      <c r="H7" s="149">
        <v>0</v>
      </c>
      <c r="I7" s="149">
        <v>0</v>
      </c>
      <c r="J7" s="149">
        <v>1023.44</v>
      </c>
      <c r="K7" s="149" t="s">
        <v>218</v>
      </c>
      <c r="L7" s="149">
        <v>40.119999999999997</v>
      </c>
      <c r="M7" s="149">
        <v>1475924400</v>
      </c>
      <c r="N7" s="149">
        <v>9.74</v>
      </c>
      <c r="O7" s="149">
        <v>231</v>
      </c>
      <c r="P7" s="149">
        <v>3.71</v>
      </c>
    </row>
    <row r="8" spans="1:17" x14ac:dyDescent="0.25">
      <c r="A8" s="149">
        <v>37.89</v>
      </c>
      <c r="B8" s="149">
        <v>0.09</v>
      </c>
      <c r="C8" s="149">
        <v>21.26</v>
      </c>
      <c r="D8" s="164">
        <v>42651.25</v>
      </c>
      <c r="E8" s="149">
        <v>0.47</v>
      </c>
      <c r="F8" s="149" t="s">
        <v>311</v>
      </c>
      <c r="G8" s="149">
        <v>286.45999999999998</v>
      </c>
      <c r="H8" s="149">
        <v>0</v>
      </c>
      <c r="I8" s="149">
        <v>0</v>
      </c>
      <c r="J8" s="149">
        <v>1023.45</v>
      </c>
      <c r="K8" s="149" t="s">
        <v>218</v>
      </c>
      <c r="L8" s="149">
        <v>40.11</v>
      </c>
      <c r="M8" s="149">
        <v>1475928000</v>
      </c>
      <c r="N8" s="149">
        <v>9.5399999999999991</v>
      </c>
      <c r="O8" s="149">
        <v>240</v>
      </c>
      <c r="P8" s="149">
        <v>3.54</v>
      </c>
    </row>
    <row r="9" spans="1:17" x14ac:dyDescent="0.25">
      <c r="A9" s="149">
        <v>39.08</v>
      </c>
      <c r="B9" s="149">
        <v>0.09</v>
      </c>
      <c r="C9" s="149">
        <v>21.48</v>
      </c>
      <c r="D9" s="164">
        <v>42651.291666666664</v>
      </c>
      <c r="E9" s="149">
        <v>0.45</v>
      </c>
      <c r="F9" s="149" t="s">
        <v>311</v>
      </c>
      <c r="G9" s="149">
        <v>285.88</v>
      </c>
      <c r="H9" s="149">
        <v>0</v>
      </c>
      <c r="I9" s="149">
        <v>0</v>
      </c>
      <c r="J9" s="149">
        <v>1023.32</v>
      </c>
      <c r="K9" s="149" t="s">
        <v>218</v>
      </c>
      <c r="L9" s="149">
        <v>41.07</v>
      </c>
      <c r="M9" s="149">
        <v>1475931600</v>
      </c>
      <c r="N9" s="149">
        <v>9.34</v>
      </c>
      <c r="O9" s="149">
        <v>242</v>
      </c>
      <c r="P9" s="149">
        <v>3.46</v>
      </c>
    </row>
    <row r="10" spans="1:17" x14ac:dyDescent="0.25">
      <c r="A10" s="149">
        <v>44.26</v>
      </c>
      <c r="B10" s="149">
        <v>0.09</v>
      </c>
      <c r="C10" s="149">
        <v>23.37</v>
      </c>
      <c r="D10" s="164">
        <v>42651.333333333336</v>
      </c>
      <c r="E10" s="149">
        <v>0.43</v>
      </c>
      <c r="F10" s="149" t="s">
        <v>391</v>
      </c>
      <c r="G10" s="149">
        <v>285.39999999999998</v>
      </c>
      <c r="H10" s="149">
        <v>0</v>
      </c>
      <c r="I10" s="149">
        <v>0</v>
      </c>
      <c r="J10" s="149">
        <v>1023.05</v>
      </c>
      <c r="K10" s="149" t="s">
        <v>218</v>
      </c>
      <c r="L10" s="149">
        <v>44.26</v>
      </c>
      <c r="M10" s="149">
        <v>1475935200</v>
      </c>
      <c r="N10" s="149">
        <v>9.19</v>
      </c>
      <c r="O10" s="149">
        <v>244</v>
      </c>
      <c r="P10" s="149">
        <v>2.85</v>
      </c>
    </row>
    <row r="11" spans="1:17" x14ac:dyDescent="0.25">
      <c r="A11" s="149">
        <v>51.21</v>
      </c>
      <c r="B11" s="149">
        <v>0.12</v>
      </c>
      <c r="C11" s="149">
        <v>25.19</v>
      </c>
      <c r="D11" s="164">
        <v>42651.375</v>
      </c>
      <c r="E11" s="149">
        <v>0.36</v>
      </c>
      <c r="F11" s="149" t="s">
        <v>391</v>
      </c>
      <c r="G11" s="149">
        <v>284.75</v>
      </c>
      <c r="H11" s="149">
        <v>0</v>
      </c>
      <c r="I11" s="149">
        <v>0</v>
      </c>
      <c r="J11" s="149">
        <v>1022.62</v>
      </c>
      <c r="K11" s="149" t="s">
        <v>218</v>
      </c>
      <c r="L11" s="149">
        <v>51.21</v>
      </c>
      <c r="M11" s="149">
        <v>1475938800</v>
      </c>
      <c r="N11" s="149">
        <v>9.1199999999999992</v>
      </c>
      <c r="O11" s="149">
        <v>262</v>
      </c>
      <c r="P11" s="149">
        <v>1.95</v>
      </c>
    </row>
    <row r="12" spans="1:17" x14ac:dyDescent="0.25">
      <c r="A12" s="149">
        <v>57.42</v>
      </c>
      <c r="B12" s="149">
        <v>0.14000000000000001</v>
      </c>
      <c r="C12" s="149">
        <v>25.64</v>
      </c>
      <c r="D12" s="164">
        <v>42651.416666666664</v>
      </c>
      <c r="E12" s="149">
        <v>0.28999999999999998</v>
      </c>
      <c r="F12" s="149" t="s">
        <v>391</v>
      </c>
      <c r="G12" s="149">
        <v>283.64999999999998</v>
      </c>
      <c r="H12" s="149">
        <v>0</v>
      </c>
      <c r="I12" s="149">
        <v>0</v>
      </c>
      <c r="J12" s="149">
        <v>1021.98</v>
      </c>
      <c r="K12" s="149" t="s">
        <v>218</v>
      </c>
      <c r="L12" s="149">
        <v>57.42</v>
      </c>
      <c r="M12" s="149">
        <v>1475942400</v>
      </c>
      <c r="N12" s="149">
        <v>9.1</v>
      </c>
      <c r="O12" s="149">
        <v>258</v>
      </c>
      <c r="P12" s="149">
        <v>0.97</v>
      </c>
    </row>
    <row r="13" spans="1:17" x14ac:dyDescent="0.25">
      <c r="A13" s="149">
        <v>63.46</v>
      </c>
      <c r="B13" s="149">
        <v>0.13</v>
      </c>
      <c r="C13" s="149">
        <v>26.66</v>
      </c>
      <c r="D13" s="164">
        <v>42651.458333333336</v>
      </c>
      <c r="E13" s="149">
        <v>0.25</v>
      </c>
      <c r="F13" s="149" t="s">
        <v>391</v>
      </c>
      <c r="G13" s="149">
        <v>282.37</v>
      </c>
      <c r="H13" s="149">
        <v>0</v>
      </c>
      <c r="I13" s="149">
        <v>0</v>
      </c>
      <c r="J13" s="149">
        <v>1021.15</v>
      </c>
      <c r="K13" s="149" t="s">
        <v>218</v>
      </c>
      <c r="L13" s="149">
        <v>63.46</v>
      </c>
      <c r="M13" s="149">
        <v>1475946000</v>
      </c>
      <c r="N13" s="149">
        <v>9.11</v>
      </c>
      <c r="O13" s="149">
        <v>41</v>
      </c>
      <c r="P13" s="149">
        <v>0.87</v>
      </c>
    </row>
    <row r="14" spans="1:17" x14ac:dyDescent="0.25">
      <c r="A14" s="149">
        <v>67.45</v>
      </c>
      <c r="B14" s="149">
        <v>0.2</v>
      </c>
      <c r="C14" s="149">
        <v>25.98</v>
      </c>
      <c r="D14" s="164">
        <v>42651.5</v>
      </c>
      <c r="E14" s="149">
        <v>0.21</v>
      </c>
      <c r="F14" s="149" t="s">
        <v>391</v>
      </c>
      <c r="G14" s="149">
        <v>281.5</v>
      </c>
      <c r="H14" s="149">
        <v>0</v>
      </c>
      <c r="I14" s="149">
        <v>0</v>
      </c>
      <c r="J14" s="149">
        <v>1020.35</v>
      </c>
      <c r="K14" s="149" t="s">
        <v>218</v>
      </c>
      <c r="L14" s="149">
        <v>67.45</v>
      </c>
      <c r="M14" s="149">
        <v>1475949600</v>
      </c>
      <c r="N14" s="149">
        <v>9.15</v>
      </c>
      <c r="O14" s="149">
        <v>69</v>
      </c>
      <c r="P14" s="149">
        <v>2.57</v>
      </c>
    </row>
    <row r="15" spans="1:17" x14ac:dyDescent="0.25">
      <c r="A15" s="149">
        <v>71.209999999999994</v>
      </c>
      <c r="B15" s="149">
        <v>0.24</v>
      </c>
      <c r="C15" s="149">
        <v>25.27</v>
      </c>
      <c r="D15" s="164">
        <v>42651.541666666664</v>
      </c>
      <c r="E15" s="149">
        <v>0.18</v>
      </c>
      <c r="F15" s="149" t="s">
        <v>391</v>
      </c>
      <c r="G15" s="149">
        <v>281.58</v>
      </c>
      <c r="H15" s="149">
        <v>0</v>
      </c>
      <c r="I15" s="149">
        <v>0</v>
      </c>
      <c r="J15" s="149">
        <v>1019.58</v>
      </c>
      <c r="K15" s="149" t="s">
        <v>218</v>
      </c>
      <c r="L15" s="149">
        <v>71.209999999999994</v>
      </c>
      <c r="M15" s="149">
        <v>1475953200</v>
      </c>
      <c r="N15" s="149">
        <v>9.17</v>
      </c>
      <c r="O15" s="149">
        <v>91</v>
      </c>
      <c r="P15" s="149">
        <v>3.9</v>
      </c>
    </row>
    <row r="16" spans="1:17" x14ac:dyDescent="0.25">
      <c r="A16" s="149">
        <v>73.099999999999994</v>
      </c>
      <c r="B16" s="149">
        <v>0.27</v>
      </c>
      <c r="C16" s="149">
        <v>23.54</v>
      </c>
      <c r="D16" s="164">
        <v>42651.583333333336</v>
      </c>
      <c r="E16" s="149">
        <v>0.16</v>
      </c>
      <c r="F16" s="149" t="s">
        <v>744</v>
      </c>
      <c r="G16" s="149">
        <v>282.08</v>
      </c>
      <c r="H16" s="149">
        <v>0</v>
      </c>
      <c r="I16" s="149">
        <v>0</v>
      </c>
      <c r="J16" s="149">
        <v>1018.86</v>
      </c>
      <c r="K16" s="149" t="s">
        <v>745</v>
      </c>
      <c r="L16" s="149">
        <v>73.099999999999994</v>
      </c>
      <c r="M16" s="149">
        <v>1475956800</v>
      </c>
      <c r="N16" s="149">
        <v>9.18</v>
      </c>
      <c r="O16" s="149">
        <v>93</v>
      </c>
      <c r="P16" s="149">
        <v>5.37</v>
      </c>
    </row>
    <row r="17" spans="1:16" x14ac:dyDescent="0.25">
      <c r="A17" s="149">
        <v>74.27</v>
      </c>
      <c r="B17" s="149">
        <v>0.37</v>
      </c>
      <c r="C17" s="149">
        <v>22.78</v>
      </c>
      <c r="D17" s="164">
        <v>42651.625</v>
      </c>
      <c r="E17" s="149">
        <v>0.14000000000000001</v>
      </c>
      <c r="F17" s="149" t="s">
        <v>744</v>
      </c>
      <c r="G17" s="149">
        <v>281.93</v>
      </c>
      <c r="H17" s="149">
        <v>0</v>
      </c>
      <c r="I17" s="149">
        <v>0</v>
      </c>
      <c r="J17" s="149">
        <v>1018.35</v>
      </c>
      <c r="K17" s="149" t="s">
        <v>745</v>
      </c>
      <c r="L17" s="149">
        <v>74.27</v>
      </c>
      <c r="M17" s="149">
        <v>1475960400</v>
      </c>
      <c r="N17" s="149">
        <v>9.19</v>
      </c>
      <c r="O17" s="149">
        <v>94</v>
      </c>
      <c r="P17" s="149">
        <v>6.13</v>
      </c>
    </row>
    <row r="18" spans="1:16" x14ac:dyDescent="0.25">
      <c r="A18" s="149">
        <v>73.290000000000006</v>
      </c>
      <c r="B18" s="149">
        <v>0.52</v>
      </c>
      <c r="C18" s="149">
        <v>23.81</v>
      </c>
      <c r="D18" s="164">
        <v>42651.666666666664</v>
      </c>
      <c r="E18" s="149">
        <v>0.16</v>
      </c>
      <c r="F18" s="149" t="s">
        <v>744</v>
      </c>
      <c r="G18" s="149">
        <v>280.31</v>
      </c>
      <c r="H18" s="149">
        <v>0</v>
      </c>
      <c r="I18" s="149">
        <v>0</v>
      </c>
      <c r="J18" s="149">
        <v>1018.09</v>
      </c>
      <c r="K18" s="149" t="s">
        <v>745</v>
      </c>
      <c r="L18" s="149">
        <v>73.290000000000006</v>
      </c>
      <c r="M18" s="149">
        <v>1475964000</v>
      </c>
      <c r="N18" s="149">
        <v>9.2100000000000009</v>
      </c>
      <c r="O18" s="149">
        <v>97</v>
      </c>
      <c r="P18" s="149">
        <v>6.76</v>
      </c>
    </row>
    <row r="19" spans="1:16" x14ac:dyDescent="0.25">
      <c r="A19" s="149">
        <v>70.25</v>
      </c>
      <c r="B19" s="149">
        <v>0.68</v>
      </c>
      <c r="C19" s="149">
        <v>24.51</v>
      </c>
      <c r="D19" s="164">
        <v>42651.708333333336</v>
      </c>
      <c r="E19" s="149">
        <v>0.18</v>
      </c>
      <c r="F19" s="149" t="s">
        <v>744</v>
      </c>
      <c r="G19" s="149">
        <v>278.02999999999997</v>
      </c>
      <c r="H19" s="149">
        <v>0</v>
      </c>
      <c r="I19" s="149">
        <v>0</v>
      </c>
      <c r="J19" s="149">
        <v>1018.05</v>
      </c>
      <c r="K19" s="149" t="s">
        <v>746</v>
      </c>
      <c r="L19" s="149">
        <v>70.25</v>
      </c>
      <c r="M19" s="149">
        <v>1475967600</v>
      </c>
      <c r="N19" s="149">
        <v>9.26</v>
      </c>
      <c r="O19" s="149">
        <v>95</v>
      </c>
      <c r="P19" s="149">
        <v>6.89</v>
      </c>
    </row>
    <row r="20" spans="1:16" x14ac:dyDescent="0.25">
      <c r="A20" s="149">
        <v>66.39</v>
      </c>
      <c r="B20" s="149">
        <v>0.75</v>
      </c>
      <c r="C20" s="149">
        <v>26.31</v>
      </c>
      <c r="D20" s="164">
        <v>42651.75</v>
      </c>
      <c r="E20" s="149">
        <v>0.22</v>
      </c>
      <c r="F20" s="149" t="s">
        <v>744</v>
      </c>
      <c r="G20" s="149">
        <v>276.45999999999998</v>
      </c>
      <c r="H20" s="149">
        <v>0</v>
      </c>
      <c r="I20" s="149">
        <v>0</v>
      </c>
      <c r="J20" s="149">
        <v>1018.26</v>
      </c>
      <c r="K20" s="149" t="s">
        <v>746</v>
      </c>
      <c r="L20" s="149">
        <v>66.39</v>
      </c>
      <c r="M20" s="149">
        <v>1475971200</v>
      </c>
      <c r="N20" s="149">
        <v>9.34</v>
      </c>
      <c r="O20" s="149">
        <v>93</v>
      </c>
      <c r="P20" s="149">
        <v>6.37</v>
      </c>
    </row>
    <row r="21" spans="1:16" x14ac:dyDescent="0.25">
      <c r="A21" s="149">
        <v>62.45</v>
      </c>
      <c r="B21" s="149">
        <v>0.73</v>
      </c>
      <c r="C21" s="149">
        <v>25.49</v>
      </c>
      <c r="D21" s="164">
        <v>42651.791666666664</v>
      </c>
      <c r="E21" s="149">
        <v>0.24</v>
      </c>
      <c r="F21" s="149" t="s">
        <v>747</v>
      </c>
      <c r="G21" s="149">
        <v>276.29000000000002</v>
      </c>
      <c r="H21" s="149">
        <v>0</v>
      </c>
      <c r="I21" s="149">
        <v>0</v>
      </c>
      <c r="J21" s="149">
        <v>1019</v>
      </c>
      <c r="K21" s="149" t="s">
        <v>746</v>
      </c>
      <c r="L21" s="149">
        <v>62.45</v>
      </c>
      <c r="M21" s="149">
        <v>1475974800</v>
      </c>
      <c r="N21" s="149">
        <v>9.4600000000000009</v>
      </c>
      <c r="O21" s="149">
        <v>99</v>
      </c>
      <c r="P21" s="149">
        <v>3.96</v>
      </c>
    </row>
    <row r="22" spans="1:16" x14ac:dyDescent="0.25">
      <c r="A22" s="149">
        <v>57.99</v>
      </c>
      <c r="B22" s="149">
        <v>0.68</v>
      </c>
      <c r="C22" s="149">
        <v>25.23</v>
      </c>
      <c r="D22" s="164">
        <v>42651.833333333336</v>
      </c>
      <c r="E22" s="149">
        <v>0.28000000000000003</v>
      </c>
      <c r="F22" s="149" t="s">
        <v>747</v>
      </c>
      <c r="G22" s="149">
        <v>276.82</v>
      </c>
      <c r="H22" s="149">
        <v>0</v>
      </c>
      <c r="I22" s="149">
        <v>0</v>
      </c>
      <c r="J22" s="149">
        <v>1020.15</v>
      </c>
      <c r="K22" s="149" t="s">
        <v>746</v>
      </c>
      <c r="L22" s="149">
        <v>57.99</v>
      </c>
      <c r="M22" s="149">
        <v>1475978400</v>
      </c>
      <c r="N22" s="149">
        <v>9.6</v>
      </c>
      <c r="O22" s="149">
        <v>137</v>
      </c>
      <c r="P22" s="149">
        <v>2.14</v>
      </c>
    </row>
    <row r="23" spans="1:16" x14ac:dyDescent="0.25">
      <c r="A23" s="149">
        <v>55.07</v>
      </c>
      <c r="B23" s="149">
        <v>0.63</v>
      </c>
      <c r="C23" s="149">
        <v>25.61</v>
      </c>
      <c r="D23" s="164">
        <v>42651.875</v>
      </c>
      <c r="E23" s="149">
        <v>0.32</v>
      </c>
      <c r="F23" s="149" t="s">
        <v>747</v>
      </c>
      <c r="G23" s="149">
        <v>277.33</v>
      </c>
      <c r="H23" s="149">
        <v>0</v>
      </c>
      <c r="I23" s="149">
        <v>0</v>
      </c>
      <c r="J23" s="149">
        <v>1021.08</v>
      </c>
      <c r="K23" s="149" t="s">
        <v>746</v>
      </c>
      <c r="L23" s="149">
        <v>55.07</v>
      </c>
      <c r="M23" s="149">
        <v>1475982000</v>
      </c>
      <c r="N23" s="149">
        <v>9.75</v>
      </c>
      <c r="O23" s="149">
        <v>170</v>
      </c>
      <c r="P23" s="149">
        <v>2.52</v>
      </c>
    </row>
    <row r="24" spans="1:16" x14ac:dyDescent="0.25">
      <c r="A24" s="149">
        <v>53.15</v>
      </c>
      <c r="B24" s="149">
        <v>0.72</v>
      </c>
      <c r="C24" s="149">
        <v>26.03</v>
      </c>
      <c r="D24" s="164">
        <v>42651.916666666664</v>
      </c>
      <c r="E24" s="149">
        <v>0.35</v>
      </c>
      <c r="F24" s="149" t="s">
        <v>747</v>
      </c>
      <c r="G24" s="149">
        <v>277.58</v>
      </c>
      <c r="H24" s="149">
        <v>0</v>
      </c>
      <c r="I24" s="149">
        <v>0</v>
      </c>
      <c r="J24" s="149">
        <v>1021.5</v>
      </c>
      <c r="K24" s="149" t="s">
        <v>746</v>
      </c>
      <c r="L24" s="149">
        <v>53.15</v>
      </c>
      <c r="M24" s="149">
        <v>1475985600</v>
      </c>
      <c r="N24" s="149">
        <v>9.74</v>
      </c>
      <c r="O24" s="149">
        <v>173</v>
      </c>
      <c r="P24" s="149">
        <v>3.43</v>
      </c>
    </row>
    <row r="25" spans="1:16" x14ac:dyDescent="0.25">
      <c r="A25" s="149">
        <v>51.69</v>
      </c>
      <c r="B25" s="149">
        <v>0.7</v>
      </c>
      <c r="C25" s="149">
        <v>27.01</v>
      </c>
      <c r="D25" s="164">
        <v>42651.958333333336</v>
      </c>
      <c r="E25" s="149">
        <v>0.38</v>
      </c>
      <c r="F25" s="149" t="s">
        <v>747</v>
      </c>
      <c r="G25" s="149">
        <v>277.81</v>
      </c>
      <c r="H25" s="149">
        <v>0</v>
      </c>
      <c r="I25" s="149">
        <v>0</v>
      </c>
      <c r="J25" s="149">
        <v>1021.65</v>
      </c>
      <c r="K25" s="149" t="s">
        <v>746</v>
      </c>
      <c r="L25" s="149">
        <v>51.69</v>
      </c>
      <c r="M25" s="149">
        <v>1475989200</v>
      </c>
      <c r="N25" s="149">
        <v>9.69</v>
      </c>
      <c r="O25" s="149">
        <v>187</v>
      </c>
      <c r="P25" s="149">
        <v>3.81</v>
      </c>
    </row>
    <row r="26" spans="1:16" x14ac:dyDescent="0.25">
      <c r="A26" s="149">
        <v>49.09</v>
      </c>
      <c r="B26" s="149">
        <v>0.63</v>
      </c>
      <c r="C26" s="149">
        <v>27.89</v>
      </c>
      <c r="D26" s="164">
        <v>42652</v>
      </c>
      <c r="E26" s="149">
        <v>0.42</v>
      </c>
      <c r="F26" s="149" t="s">
        <v>747</v>
      </c>
      <c r="G26" s="149">
        <v>278.04000000000002</v>
      </c>
      <c r="H26" s="149">
        <v>0</v>
      </c>
      <c r="I26" s="149">
        <v>0</v>
      </c>
      <c r="J26" s="149">
        <v>1021.79</v>
      </c>
      <c r="K26" s="149" t="s">
        <v>746</v>
      </c>
      <c r="L26" s="149">
        <v>49.91</v>
      </c>
      <c r="M26" s="149">
        <v>1475992800</v>
      </c>
      <c r="N26" s="149">
        <v>9.73</v>
      </c>
      <c r="O26" s="149">
        <v>194</v>
      </c>
      <c r="P26" s="149">
        <v>3.57</v>
      </c>
    </row>
    <row r="27" spans="1:16" x14ac:dyDescent="0.25">
      <c r="A27" s="149">
        <v>47.44</v>
      </c>
      <c r="B27" s="149">
        <v>0.54</v>
      </c>
      <c r="C27" s="149">
        <v>27.29</v>
      </c>
      <c r="D27" s="164">
        <v>42652.041666666664</v>
      </c>
      <c r="E27" s="149">
        <v>0.43</v>
      </c>
      <c r="F27" s="149" t="s">
        <v>747</v>
      </c>
      <c r="G27" s="149">
        <v>278.24</v>
      </c>
      <c r="H27" s="149">
        <v>0</v>
      </c>
      <c r="I27" s="149">
        <v>0</v>
      </c>
      <c r="J27" s="149">
        <v>1022.05</v>
      </c>
      <c r="K27" s="149" t="s">
        <v>745</v>
      </c>
      <c r="L27" s="149">
        <v>48.57</v>
      </c>
      <c r="M27" s="149">
        <v>1475996400</v>
      </c>
      <c r="N27" s="149">
        <v>9.74</v>
      </c>
      <c r="O27" s="149">
        <v>192</v>
      </c>
      <c r="P27" s="149">
        <v>3.71</v>
      </c>
    </row>
    <row r="28" spans="1:16" x14ac:dyDescent="0.25">
      <c r="A28" s="149">
        <v>45.84</v>
      </c>
      <c r="B28" s="149">
        <v>0.56999999999999995</v>
      </c>
      <c r="C28" s="149">
        <v>26.24</v>
      </c>
      <c r="D28" s="164">
        <v>42652.083333333336</v>
      </c>
      <c r="E28" s="149">
        <v>0.44</v>
      </c>
      <c r="F28" s="149" t="s">
        <v>747</v>
      </c>
      <c r="G28" s="149">
        <v>278.44</v>
      </c>
      <c r="H28" s="149">
        <v>0</v>
      </c>
      <c r="I28" s="149">
        <v>0</v>
      </c>
      <c r="J28" s="149">
        <v>1022.28</v>
      </c>
      <c r="K28" s="149" t="s">
        <v>745</v>
      </c>
      <c r="L28" s="149">
        <v>46.89</v>
      </c>
      <c r="M28" s="149">
        <v>1476000000</v>
      </c>
      <c r="N28" s="149">
        <v>9.74</v>
      </c>
      <c r="O28" s="149">
        <v>195</v>
      </c>
      <c r="P28" s="149">
        <v>3.33</v>
      </c>
    </row>
    <row r="29" spans="1:16" x14ac:dyDescent="0.25">
      <c r="A29" s="149">
        <v>44.36</v>
      </c>
      <c r="B29" s="149">
        <v>0.48</v>
      </c>
      <c r="C29" s="149">
        <v>25.26</v>
      </c>
      <c r="D29" s="164">
        <v>42652.125</v>
      </c>
      <c r="E29" s="149">
        <v>0.45</v>
      </c>
      <c r="F29" s="149" t="s">
        <v>747</v>
      </c>
      <c r="G29" s="149">
        <v>278.64</v>
      </c>
      <c r="H29" s="149">
        <v>0</v>
      </c>
      <c r="I29" s="149">
        <v>0</v>
      </c>
      <c r="J29" s="149">
        <v>1022.48</v>
      </c>
      <c r="K29" s="149" t="s">
        <v>745</v>
      </c>
      <c r="L29" s="149">
        <v>45.4</v>
      </c>
      <c r="M29" s="149">
        <v>1476003600</v>
      </c>
      <c r="N29" s="149">
        <v>9.41</v>
      </c>
      <c r="O29" s="149">
        <v>215</v>
      </c>
      <c r="P29" s="149">
        <v>3.11</v>
      </c>
    </row>
    <row r="31" spans="1:16" x14ac:dyDescent="0.25">
      <c r="A31" s="149" t="s">
        <v>748</v>
      </c>
    </row>
    <row r="33" spans="1:1" x14ac:dyDescent="0.25">
      <c r="A33" s="149" t="s">
        <v>392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style="71" customWidth="1"/>
    <col min="4" max="4" width="19.140625" style="71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4" t="s">
        <v>107</v>
      </c>
      <c r="D1" s="175" t="s">
        <v>108</v>
      </c>
      <c r="J1" s="34" t="s">
        <v>109</v>
      </c>
      <c r="K1" s="34" t="s">
        <v>72</v>
      </c>
      <c r="L1" s="34" t="s">
        <v>73</v>
      </c>
      <c r="O1" s="72" t="s">
        <v>110</v>
      </c>
    </row>
    <row r="2" spans="1:16" ht="15.75" thickBot="1" x14ac:dyDescent="0.3">
      <c r="A2" s="14">
        <v>42651</v>
      </c>
      <c r="B2" s="4"/>
      <c r="C2" s="176">
        <v>50</v>
      </c>
      <c r="D2" s="177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09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4" t="s">
        <v>107</v>
      </c>
      <c r="D4" s="175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09">
        <f t="shared" si="0"/>
        <v>3.09</v>
      </c>
    </row>
    <row r="5" spans="1:16" x14ac:dyDescent="0.25">
      <c r="C5" s="71">
        <v>30</v>
      </c>
      <c r="D5" s="71">
        <v>9</v>
      </c>
      <c r="J5" s="35" t="s">
        <v>76</v>
      </c>
      <c r="K5" s="36">
        <v>3.3136000000000001</v>
      </c>
      <c r="L5" s="36">
        <v>3.3256999999999999</v>
      </c>
      <c r="M5" s="109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09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09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09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09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09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09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09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09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09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224</v>
      </c>
    </row>
    <row r="21" spans="10:13" x14ac:dyDescent="0.25">
      <c r="J21" s="23" t="s">
        <v>97</v>
      </c>
      <c r="K21" s="23" t="s">
        <v>98</v>
      </c>
      <c r="M21" s="70" t="s">
        <v>229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1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C:\Users\stu\Documents\GitHub\eaglep3-reporting\EC\2016-10-08-refined-times.txt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3" bestFit="1" customWidth="1"/>
    <col min="2" max="7" width="9.140625" style="123"/>
    <col min="8" max="8" width="17.7109375" style="123" bestFit="1" customWidth="1"/>
    <col min="9" max="9" width="9.140625" style="125"/>
    <col min="10" max="16384" width="9.140625" style="123"/>
  </cols>
  <sheetData>
    <row r="1" spans="1:11" x14ac:dyDescent="0.25">
      <c r="A1" s="122" t="s">
        <v>131</v>
      </c>
      <c r="B1" s="122" t="s">
        <v>132</v>
      </c>
      <c r="C1" s="123" t="s">
        <v>133</v>
      </c>
      <c r="H1" t="s">
        <v>127</v>
      </c>
      <c r="I1" s="124" t="s">
        <v>129</v>
      </c>
      <c r="J1"/>
    </row>
    <row r="2" spans="1:11" x14ac:dyDescent="0.25">
      <c r="A2" s="123" t="s">
        <v>134</v>
      </c>
      <c r="B2" s="123" t="s">
        <v>135</v>
      </c>
      <c r="C2" s="123" t="s">
        <v>136</v>
      </c>
      <c r="H2" t="s">
        <v>128</v>
      </c>
      <c r="I2" s="109" t="s">
        <v>130</v>
      </c>
      <c r="J2"/>
    </row>
    <row r="3" spans="1:11" x14ac:dyDescent="0.25">
      <c r="A3" s="123" t="s">
        <v>137</v>
      </c>
      <c r="B3" s="123" t="s">
        <v>138</v>
      </c>
      <c r="C3" s="123" t="s">
        <v>139</v>
      </c>
      <c r="H3" t="s">
        <v>153</v>
      </c>
      <c r="I3" s="109">
        <v>1</v>
      </c>
      <c r="J3"/>
      <c r="K3" s="70"/>
    </row>
    <row r="4" spans="1:11" x14ac:dyDescent="0.25">
      <c r="A4" s="123" t="s">
        <v>140</v>
      </c>
      <c r="C4" s="123" t="s">
        <v>141</v>
      </c>
      <c r="H4" t="s">
        <v>154</v>
      </c>
      <c r="I4" s="109">
        <v>2</v>
      </c>
      <c r="J4"/>
      <c r="K4" s="70"/>
    </row>
    <row r="5" spans="1:11" x14ac:dyDescent="0.25">
      <c r="A5" s="123" t="s">
        <v>142</v>
      </c>
      <c r="C5" s="123" t="s">
        <v>143</v>
      </c>
      <c r="H5" t="s">
        <v>155</v>
      </c>
      <c r="I5" s="109">
        <v>23</v>
      </c>
      <c r="J5"/>
      <c r="K5" s="70"/>
    </row>
    <row r="6" spans="1:11" x14ac:dyDescent="0.25">
      <c r="A6" s="123" t="s">
        <v>144</v>
      </c>
      <c r="C6" s="123" t="s">
        <v>145</v>
      </c>
      <c r="H6" s="126" t="s">
        <v>156</v>
      </c>
      <c r="I6" s="127" t="s">
        <v>135</v>
      </c>
    </row>
    <row r="7" spans="1:11" x14ac:dyDescent="0.25">
      <c r="A7" s="123" t="s">
        <v>146</v>
      </c>
      <c r="C7" s="123" t="s">
        <v>147</v>
      </c>
    </row>
    <row r="8" spans="1:11" x14ac:dyDescent="0.25">
      <c r="C8" s="123" t="s">
        <v>148</v>
      </c>
    </row>
    <row r="9" spans="1:11" x14ac:dyDescent="0.25">
      <c r="C9" s="126" t="s">
        <v>204</v>
      </c>
    </row>
    <row r="10" spans="1:11" x14ac:dyDescent="0.25">
      <c r="C10" s="123" t="s">
        <v>149</v>
      </c>
    </row>
    <row r="11" spans="1:11" x14ac:dyDescent="0.25">
      <c r="C11" s="123" t="s">
        <v>150</v>
      </c>
    </row>
    <row r="12" spans="1:11" x14ac:dyDescent="0.25">
      <c r="C12" s="123" t="s">
        <v>151</v>
      </c>
    </row>
    <row r="13" spans="1:11" x14ac:dyDescent="0.25">
      <c r="C13" s="123" t="s">
        <v>152</v>
      </c>
    </row>
    <row r="14" spans="1:11" x14ac:dyDescent="0.25">
      <c r="C14" s="126" t="s">
        <v>205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2016-10-10T18:38:01Z</dcterms:modified>
</cp:coreProperties>
</file>