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8" i="1" l="1"/>
  <c r="P77" i="1"/>
  <c r="K77" i="1"/>
  <c r="L77" i="1"/>
  <c r="M77" i="1"/>
  <c r="T77" i="1"/>
  <c r="V77" i="1"/>
  <c r="Y77" i="1"/>
  <c r="Z77" i="1"/>
  <c r="AA77" i="1" s="1"/>
  <c r="AB77" i="1"/>
  <c r="AC77" i="1"/>
  <c r="AD77" i="1"/>
  <c r="AG77" i="1" s="1"/>
  <c r="AE77" i="1"/>
  <c r="AF77" i="1"/>
  <c r="AH77" i="1"/>
  <c r="X77" i="1" l="1"/>
  <c r="W77" i="1"/>
  <c r="U77" i="1"/>
  <c r="S77" i="1" s="1"/>
  <c r="AI7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K18" i="1"/>
  <c r="L18" i="1"/>
  <c r="M18" i="1"/>
  <c r="N18" i="1" s="1"/>
  <c r="V18" i="1"/>
  <c r="S13" i="3" s="1"/>
  <c r="Y18" i="1"/>
  <c r="Z18" i="1"/>
  <c r="AB18" i="1"/>
  <c r="AC18" i="1"/>
  <c r="AD18" i="1"/>
  <c r="AE18" i="1"/>
  <c r="R13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S10" i="3" s="1"/>
  <c r="Y22" i="1"/>
  <c r="Z22" i="1"/>
  <c r="AB22" i="1"/>
  <c r="AC22" i="1"/>
  <c r="AD22" i="1"/>
  <c r="AE22" i="1"/>
  <c r="R10" i="3" s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S14" i="3" s="1"/>
  <c r="Y24" i="1"/>
  <c r="Z24" i="1"/>
  <c r="AB24" i="1"/>
  <c r="AC24" i="1"/>
  <c r="AD24" i="1"/>
  <c r="X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AA29" i="1" s="1"/>
  <c r="Z29" i="1"/>
  <c r="AB29" i="1"/>
  <c r="AC29" i="1"/>
  <c r="AD29" i="1"/>
  <c r="AG29" i="1" s="1"/>
  <c r="AI29" i="1" s="1"/>
  <c r="AE29" i="1"/>
  <c r="AF29" i="1"/>
  <c r="AH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P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R11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9" i="3" s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A55" i="1" s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K64" i="1"/>
  <c r="L64" i="1"/>
  <c r="M64" i="1"/>
  <c r="P64" i="1" s="1"/>
  <c r="V64" i="1"/>
  <c r="S12" i="3" s="1"/>
  <c r="Y64" i="1"/>
  <c r="Z64" i="1"/>
  <c r="AB64" i="1"/>
  <c r="AC64" i="1"/>
  <c r="AD64" i="1"/>
  <c r="X64" i="1" s="1"/>
  <c r="AE64" i="1"/>
  <c r="R7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8" i="1"/>
  <c r="L78" i="1"/>
  <c r="M78" i="1"/>
  <c r="N78" i="1" s="1"/>
  <c r="V78" i="1"/>
  <c r="S15" i="3" s="1"/>
  <c r="Y78" i="1"/>
  <c r="Z78" i="1"/>
  <c r="AB78" i="1"/>
  <c r="AC78" i="1"/>
  <c r="AD78" i="1"/>
  <c r="AG78" i="1" s="1"/>
  <c r="AE78" i="1"/>
  <c r="R15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V82" i="1"/>
  <c r="Y82" i="1"/>
  <c r="Z82" i="1"/>
  <c r="AA82" i="1" s="1"/>
  <c r="AB82" i="1"/>
  <c r="AC82" i="1"/>
  <c r="AD82" i="1"/>
  <c r="AE82" i="1"/>
  <c r="AF82" i="1"/>
  <c r="AH82" i="1"/>
  <c r="K83" i="1"/>
  <c r="L83" i="1"/>
  <c r="M83" i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R16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R26" i="3" s="1"/>
  <c r="AF161" i="1"/>
  <c r="AH97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98" i="1"/>
  <c r="K163" i="1"/>
  <c r="L163" i="1"/>
  <c r="M163" i="1"/>
  <c r="N163" i="1" s="1"/>
  <c r="V163" i="1"/>
  <c r="S27" i="3" s="1"/>
  <c r="Y163" i="1"/>
  <c r="Z163" i="1"/>
  <c r="AB163" i="1"/>
  <c r="AC163" i="1"/>
  <c r="AD163" i="1"/>
  <c r="AE163" i="1"/>
  <c r="R27" i="3" s="1"/>
  <c r="AF163" i="1"/>
  <c r="AH99" i="1"/>
  <c r="K164" i="1"/>
  <c r="L164" i="1"/>
  <c r="M164" i="1"/>
  <c r="N164" i="1"/>
  <c r="V164" i="1"/>
  <c r="S29" i="3" s="1"/>
  <c r="Y164" i="1"/>
  <c r="Z164" i="1"/>
  <c r="AB164" i="1"/>
  <c r="AC164" i="1"/>
  <c r="AD164" i="1"/>
  <c r="AG164" i="1" s="1"/>
  <c r="AE164" i="1"/>
  <c r="AF164" i="1"/>
  <c r="AH1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04" i="1"/>
  <c r="K168" i="1"/>
  <c r="L168" i="1"/>
  <c r="M168" i="1"/>
  <c r="N168" i="1" s="1"/>
  <c r="V168" i="1"/>
  <c r="Y168" i="1"/>
  <c r="AA168" i="1" s="1"/>
  <c r="Z168" i="1"/>
  <c r="AB168" i="1"/>
  <c r="AC168" i="1"/>
  <c r="AD168" i="1"/>
  <c r="T168" i="1" s="1"/>
  <c r="AE168" i="1"/>
  <c r="AF168" i="1"/>
  <c r="AH1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6" i="1"/>
  <c r="K170" i="1"/>
  <c r="L170" i="1"/>
  <c r="M170" i="1"/>
  <c r="N170" i="1" s="1"/>
  <c r="V170" i="1"/>
  <c r="S30" i="3" s="1"/>
  <c r="Y170" i="1"/>
  <c r="Z170" i="1"/>
  <c r="AB170" i="1"/>
  <c r="AC170" i="1"/>
  <c r="AD170" i="1"/>
  <c r="T170" i="1" s="1"/>
  <c r="AE170" i="1"/>
  <c r="AF170" i="1"/>
  <c r="AH1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0" i="1"/>
  <c r="K175" i="1"/>
  <c r="L175" i="1"/>
  <c r="M175" i="1"/>
  <c r="N175" i="1" s="1"/>
  <c r="V175" i="1"/>
  <c r="S25" i="3" s="1"/>
  <c r="Y175" i="1"/>
  <c r="Z175" i="1"/>
  <c r="AB175" i="1"/>
  <c r="AC175" i="1"/>
  <c r="AD175" i="1"/>
  <c r="T175" i="1" s="1"/>
  <c r="AE175" i="1"/>
  <c r="R28" i="3" s="1"/>
  <c r="AF175" i="1"/>
  <c r="AH11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2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3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4" i="1"/>
  <c r="K178" i="1"/>
  <c r="L178" i="1"/>
  <c r="M178" i="1"/>
  <c r="N178" i="1" s="1"/>
  <c r="V178" i="1"/>
  <c r="S24" i="3" s="1"/>
  <c r="Y178" i="1"/>
  <c r="Z178" i="1"/>
  <c r="AB178" i="1"/>
  <c r="AC178" i="1"/>
  <c r="AD178" i="1"/>
  <c r="T178" i="1" s="1"/>
  <c r="AE178" i="1"/>
  <c r="R24" i="3" s="1"/>
  <c r="AF178" i="1"/>
  <c r="AH115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116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K182" i="1"/>
  <c r="L182" i="1"/>
  <c r="M182" i="1"/>
  <c r="N182" i="1" s="1"/>
  <c r="V182" i="1"/>
  <c r="S23" i="3" s="1"/>
  <c r="Y182" i="1"/>
  <c r="Z182" i="1"/>
  <c r="AB182" i="1"/>
  <c r="AC182" i="1"/>
  <c r="AD182" i="1"/>
  <c r="T182" i="1" s="1"/>
  <c r="AE182" i="1"/>
  <c r="AF182" i="1"/>
  <c r="AH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0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1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2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123" i="1"/>
  <c r="K187" i="1"/>
  <c r="L187" i="1"/>
  <c r="M187" i="1"/>
  <c r="N187" i="1" s="1"/>
  <c r="V187" i="1"/>
  <c r="S32" i="3" s="1"/>
  <c r="Y187" i="1"/>
  <c r="Z187" i="1"/>
  <c r="AB187" i="1"/>
  <c r="AC187" i="1"/>
  <c r="AD187" i="1"/>
  <c r="T187" i="1" s="1"/>
  <c r="AE187" i="1"/>
  <c r="R32" i="3" s="1"/>
  <c r="AF187" i="1"/>
  <c r="AH124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25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K190" i="1"/>
  <c r="L190" i="1"/>
  <c r="M190" i="1"/>
  <c r="N190" i="1" s="1"/>
  <c r="V190" i="1"/>
  <c r="Y190" i="1"/>
  <c r="Z190" i="1"/>
  <c r="AI190" i="1" s="1"/>
  <c r="AB190" i="1"/>
  <c r="AC190" i="1"/>
  <c r="AD190" i="1"/>
  <c r="AG190" i="1" s="1"/>
  <c r="AE190" i="1"/>
  <c r="AF190" i="1"/>
  <c r="AH128" i="1"/>
  <c r="K191" i="1"/>
  <c r="L191" i="1"/>
  <c r="M191" i="1"/>
  <c r="N191" i="1"/>
  <c r="V191" i="1"/>
  <c r="Y191" i="1"/>
  <c r="Z191" i="1"/>
  <c r="AB191" i="1"/>
  <c r="AC191" i="1"/>
  <c r="AD191" i="1"/>
  <c r="T191" i="1" s="1"/>
  <c r="AE191" i="1"/>
  <c r="AF191" i="1"/>
  <c r="AH129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0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1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2" i="1"/>
  <c r="K100" i="1"/>
  <c r="L100" i="1"/>
  <c r="M100" i="1"/>
  <c r="N100" i="1"/>
  <c r="V100" i="1"/>
  <c r="Y100" i="1"/>
  <c r="Z100" i="1"/>
  <c r="AB100" i="1"/>
  <c r="AC100" i="1"/>
  <c r="AD100" i="1"/>
  <c r="T100" i="1" s="1"/>
  <c r="AE100" i="1"/>
  <c r="AF100" i="1"/>
  <c r="AH133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4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5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R17" i="3" s="1"/>
  <c r="AF103" i="1"/>
  <c r="AH13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3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38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9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0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1" i="1"/>
  <c r="K107" i="1"/>
  <c r="L107" i="1"/>
  <c r="M107" i="1"/>
  <c r="N107" i="1" s="1"/>
  <c r="V107" i="1"/>
  <c r="S18" i="3" s="1"/>
  <c r="Y107" i="1"/>
  <c r="Z107" i="1"/>
  <c r="AB107" i="1"/>
  <c r="AC107" i="1"/>
  <c r="AD107" i="1"/>
  <c r="AE107" i="1"/>
  <c r="AF107" i="1"/>
  <c r="AH142" i="1"/>
  <c r="AH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K109" i="1"/>
  <c r="L109" i="1"/>
  <c r="M109" i="1"/>
  <c r="N109" i="1"/>
  <c r="V109" i="1"/>
  <c r="Y109" i="1"/>
  <c r="Z109" i="1"/>
  <c r="AA109" i="1" s="1"/>
  <c r="AB109" i="1"/>
  <c r="AC109" i="1"/>
  <c r="AD109" i="1"/>
  <c r="AE109" i="1"/>
  <c r="AF109" i="1"/>
  <c r="AH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7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9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0" i="1"/>
  <c r="K115" i="1"/>
  <c r="L115" i="1"/>
  <c r="M115" i="1"/>
  <c r="N115" i="1" s="1"/>
  <c r="V115" i="1"/>
  <c r="S19" i="3" s="1"/>
  <c r="Y115" i="1"/>
  <c r="Z115" i="1"/>
  <c r="AB115" i="1"/>
  <c r="AC115" i="1"/>
  <c r="AD115" i="1"/>
  <c r="T115" i="1" s="1"/>
  <c r="AE115" i="1"/>
  <c r="R19" i="3" s="1"/>
  <c r="AF115" i="1"/>
  <c r="AH151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3" i="1"/>
  <c r="K118" i="1"/>
  <c r="L118" i="1"/>
  <c r="M118" i="1"/>
  <c r="N118" i="1"/>
  <c r="V118" i="1"/>
  <c r="Y118" i="1"/>
  <c r="Z118" i="1"/>
  <c r="AB118" i="1"/>
  <c r="AC118" i="1"/>
  <c r="AD118" i="1"/>
  <c r="AG118" i="1" s="1"/>
  <c r="AE118" i="1"/>
  <c r="AF118" i="1"/>
  <c r="AH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8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9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R22" i="3" s="1"/>
  <c r="AF126" i="1"/>
  <c r="AH161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4" i="1"/>
  <c r="K130" i="1"/>
  <c r="L130" i="1"/>
  <c r="M130" i="1"/>
  <c r="N130" i="1"/>
  <c r="V130" i="1"/>
  <c r="Y130" i="1"/>
  <c r="Z130" i="1"/>
  <c r="AB130" i="1"/>
  <c r="AC130" i="1"/>
  <c r="AD130" i="1"/>
  <c r="AG130" i="1" s="1"/>
  <c r="AE130" i="1"/>
  <c r="AF130" i="1"/>
  <c r="AH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K138" i="1"/>
  <c r="L138" i="1"/>
  <c r="M138" i="1"/>
  <c r="N138" i="1"/>
  <c r="V138" i="1"/>
  <c r="Y138" i="1"/>
  <c r="Z138" i="1"/>
  <c r="AB138" i="1"/>
  <c r="AC138" i="1"/>
  <c r="AD138" i="1"/>
  <c r="AG138" i="1" s="1"/>
  <c r="AE138" i="1"/>
  <c r="AF138" i="1"/>
  <c r="AH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3" i="1"/>
  <c r="K149" i="1"/>
  <c r="L149" i="1"/>
  <c r="M149" i="1"/>
  <c r="N149" i="1" s="1"/>
  <c r="V149" i="1"/>
  <c r="S21" i="3" s="1"/>
  <c r="Y149" i="1"/>
  <c r="Z149" i="1"/>
  <c r="AB149" i="1"/>
  <c r="AC149" i="1"/>
  <c r="AD149" i="1"/>
  <c r="AG149" i="1" s="1"/>
  <c r="AE149" i="1"/>
  <c r="R21" i="3" s="1"/>
  <c r="AF149" i="1"/>
  <c r="AH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H19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G204" i="1"/>
  <c r="AH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R34" i="3" s="1"/>
  <c r="AF208" i="1"/>
  <c r="AH208" i="1"/>
  <c r="K209" i="1"/>
  <c r="L209" i="1"/>
  <c r="M209" i="1"/>
  <c r="N209" i="1" s="1"/>
  <c r="V209" i="1"/>
  <c r="S33" i="3" s="1"/>
  <c r="Y209" i="1"/>
  <c r="Z209" i="1"/>
  <c r="AB209" i="1"/>
  <c r="AC209" i="1"/>
  <c r="AD209" i="1"/>
  <c r="AG209" i="1" s="1"/>
  <c r="AE209" i="1"/>
  <c r="R33" i="3" s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W21" i="3"/>
  <c r="V21" i="3"/>
  <c r="U21" i="3"/>
  <c r="AC21" i="3" s="1"/>
  <c r="W32" i="3"/>
  <c r="V32" i="3"/>
  <c r="U32" i="3"/>
  <c r="T32" i="3" s="1"/>
  <c r="W35" i="3"/>
  <c r="V35" i="3"/>
  <c r="U35" i="3"/>
  <c r="AC35" i="3" s="1"/>
  <c r="W22" i="3"/>
  <c r="V22" i="3"/>
  <c r="U22" i="3"/>
  <c r="T22" i="3" s="1"/>
  <c r="S22" i="3"/>
  <c r="W33" i="3"/>
  <c r="V33" i="3"/>
  <c r="U33" i="3"/>
  <c r="AC33" i="3" s="1"/>
  <c r="W23" i="3"/>
  <c r="V23" i="3"/>
  <c r="U23" i="3"/>
  <c r="T23" i="3" s="1"/>
  <c r="R23" i="3"/>
  <c r="W19" i="3"/>
  <c r="V19" i="3"/>
  <c r="U19" i="3"/>
  <c r="AC19" i="3" s="1"/>
  <c r="W18" i="3"/>
  <c r="Y18" i="3" s="1"/>
  <c r="V18" i="3"/>
  <c r="U18" i="3"/>
  <c r="T18" i="3" s="1"/>
  <c r="R18" i="3"/>
  <c r="W17" i="3"/>
  <c r="V17" i="3"/>
  <c r="U17" i="3"/>
  <c r="AC17" i="3" s="1"/>
  <c r="S17" i="3"/>
  <c r="W24" i="3"/>
  <c r="V24" i="3"/>
  <c r="U24" i="3"/>
  <c r="AC24" i="3" s="1"/>
  <c r="W31" i="3"/>
  <c r="V31" i="3"/>
  <c r="U31" i="3"/>
  <c r="AC31" i="3" s="1"/>
  <c r="R31" i="3"/>
  <c r="W16" i="3"/>
  <c r="V16" i="3"/>
  <c r="U16" i="3"/>
  <c r="T16" i="3" s="1"/>
  <c r="S16" i="3"/>
  <c r="W28" i="3"/>
  <c r="V28" i="3"/>
  <c r="U28" i="3"/>
  <c r="AC28" i="3" s="1"/>
  <c r="W25" i="3"/>
  <c r="V25" i="3"/>
  <c r="U25" i="3"/>
  <c r="AC25" i="3" s="1"/>
  <c r="W15" i="3"/>
  <c r="V15" i="3"/>
  <c r="U15" i="3"/>
  <c r="AC15" i="3" s="1"/>
  <c r="W34" i="3"/>
  <c r="V34" i="3"/>
  <c r="U34" i="3"/>
  <c r="T34" i="3" s="1"/>
  <c r="S34" i="3"/>
  <c r="W30" i="3"/>
  <c r="V30" i="3"/>
  <c r="U30" i="3"/>
  <c r="AC30" i="3" s="1"/>
  <c r="R30" i="3"/>
  <c r="W7" i="3"/>
  <c r="V7" i="3"/>
  <c r="U7" i="3"/>
  <c r="AC7" i="3" s="1"/>
  <c r="S7" i="3"/>
  <c r="W12" i="3"/>
  <c r="Y12" i="3" s="1"/>
  <c r="V12" i="3"/>
  <c r="U12" i="3"/>
  <c r="AC12" i="3" s="1"/>
  <c r="W9" i="3"/>
  <c r="V9" i="3"/>
  <c r="U9" i="3"/>
  <c r="T9" i="3" s="1"/>
  <c r="R9" i="3"/>
  <c r="W29" i="3"/>
  <c r="V29" i="3"/>
  <c r="U29" i="3"/>
  <c r="AC29" i="3" s="1"/>
  <c r="R29" i="3"/>
  <c r="W27" i="3"/>
  <c r="V27" i="3"/>
  <c r="U27" i="3"/>
  <c r="AC27" i="3" s="1"/>
  <c r="W26" i="3"/>
  <c r="V26" i="3"/>
  <c r="U26" i="3"/>
  <c r="AC26" i="3" s="1"/>
  <c r="S26" i="3"/>
  <c r="W11" i="3"/>
  <c r="V11" i="3"/>
  <c r="U11" i="3"/>
  <c r="AC11" i="3" s="1"/>
  <c r="S11" i="3"/>
  <c r="W14" i="3"/>
  <c r="V14" i="3"/>
  <c r="U14" i="3"/>
  <c r="AC14" i="3" s="1"/>
  <c r="R14" i="3"/>
  <c r="W10" i="3"/>
  <c r="V10" i="3"/>
  <c r="U10" i="3"/>
  <c r="AC10" i="3" s="1"/>
  <c r="W13" i="3"/>
  <c r="V13" i="3"/>
  <c r="U13" i="3"/>
  <c r="AC13" i="3" s="1"/>
  <c r="W8" i="3"/>
  <c r="V8" i="3"/>
  <c r="U8" i="3"/>
  <c r="T8" i="3" s="1"/>
  <c r="N21" i="3"/>
  <c r="M21" i="3"/>
  <c r="N32" i="3"/>
  <c r="M32" i="3"/>
  <c r="N35" i="3"/>
  <c r="M35" i="3"/>
  <c r="N22" i="3"/>
  <c r="M22" i="3"/>
  <c r="N33" i="3"/>
  <c r="M33" i="3"/>
  <c r="N23" i="3"/>
  <c r="M23" i="3"/>
  <c r="N19" i="3"/>
  <c r="M19" i="3"/>
  <c r="N18" i="3"/>
  <c r="M18" i="3"/>
  <c r="N17" i="3"/>
  <c r="M17" i="3"/>
  <c r="N24" i="3"/>
  <c r="M24" i="3"/>
  <c r="N31" i="3"/>
  <c r="M31" i="3"/>
  <c r="N16" i="3"/>
  <c r="M16" i="3"/>
  <c r="N28" i="3"/>
  <c r="M28" i="3"/>
  <c r="N25" i="3"/>
  <c r="M25" i="3"/>
  <c r="N15" i="3"/>
  <c r="M15" i="3"/>
  <c r="N34" i="3"/>
  <c r="M34" i="3"/>
  <c r="N30" i="3"/>
  <c r="M30" i="3"/>
  <c r="N7" i="3"/>
  <c r="M7" i="3"/>
  <c r="N12" i="3"/>
  <c r="M12" i="3"/>
  <c r="N9" i="3"/>
  <c r="M9" i="3"/>
  <c r="N29" i="3"/>
  <c r="M29" i="3"/>
  <c r="N27" i="3"/>
  <c r="M27" i="3"/>
  <c r="N26" i="3"/>
  <c r="M26" i="3"/>
  <c r="N11" i="3"/>
  <c r="M11" i="3"/>
  <c r="N14" i="3"/>
  <c r="M14" i="3"/>
  <c r="N10" i="3"/>
  <c r="M10" i="3"/>
  <c r="N13" i="3"/>
  <c r="M13" i="3"/>
  <c r="N8" i="3"/>
  <c r="M8" i="3"/>
  <c r="Y27" i="3" l="1"/>
  <c r="Y31" i="3"/>
  <c r="T27" i="3"/>
  <c r="Y22" i="3"/>
  <c r="AG27" i="1"/>
  <c r="AG157" i="1"/>
  <c r="X157" i="1"/>
  <c r="T156" i="1"/>
  <c r="X156" i="1"/>
  <c r="AA96" i="1"/>
  <c r="W96" i="1" s="1"/>
  <c r="X28" i="1"/>
  <c r="T163" i="1"/>
  <c r="X163" i="1"/>
  <c r="AG160" i="1"/>
  <c r="X160" i="1"/>
  <c r="T159" i="1"/>
  <c r="X159" i="1"/>
  <c r="T158" i="1"/>
  <c r="X158" i="1"/>
  <c r="AG107" i="1"/>
  <c r="X107" i="1"/>
  <c r="T109" i="1"/>
  <c r="X109" i="1"/>
  <c r="T36" i="1"/>
  <c r="U27" i="1"/>
  <c r="AG109" i="1"/>
  <c r="AG108" i="1"/>
  <c r="AI108" i="1" s="1"/>
  <c r="X108" i="1"/>
  <c r="AA108" i="1"/>
  <c r="AA205" i="1"/>
  <c r="AA102" i="1"/>
  <c r="W102" i="1" s="1"/>
  <c r="T97" i="1"/>
  <c r="AA176" i="1"/>
  <c r="AA171" i="1"/>
  <c r="W171" i="1" s="1"/>
  <c r="AA72" i="1"/>
  <c r="AA71" i="1"/>
  <c r="AA70" i="1"/>
  <c r="AA67" i="1"/>
  <c r="X62" i="1"/>
  <c r="AA60" i="1"/>
  <c r="AA59" i="1"/>
  <c r="T55" i="1"/>
  <c r="AI42" i="1"/>
  <c r="AA36" i="1"/>
  <c r="R8" i="3"/>
  <c r="T114" i="1"/>
  <c r="X114" i="1"/>
  <c r="T113" i="1"/>
  <c r="X113" i="1"/>
  <c r="AG112" i="1"/>
  <c r="X112" i="1"/>
  <c r="AG111" i="1"/>
  <c r="X111" i="1"/>
  <c r="T110" i="1"/>
  <c r="X110" i="1"/>
  <c r="AG95" i="1"/>
  <c r="AA174" i="1"/>
  <c r="AA86" i="1"/>
  <c r="AA85" i="1"/>
  <c r="W85" i="1" s="1"/>
  <c r="AI84" i="1"/>
  <c r="AA62" i="1"/>
  <c r="W62" i="1" s="1"/>
  <c r="T62" i="1"/>
  <c r="AA51" i="1"/>
  <c r="W51" i="1" s="1"/>
  <c r="AA50" i="1"/>
  <c r="W50" i="1" s="1"/>
  <c r="R12" i="3"/>
  <c r="AG20" i="1"/>
  <c r="AI85" i="1"/>
  <c r="AG72" i="1"/>
  <c r="AI72" i="1" s="1"/>
  <c r="AA37" i="1"/>
  <c r="T16" i="1"/>
  <c r="W168" i="1"/>
  <c r="AA107" i="1"/>
  <c r="AA190" i="1"/>
  <c r="AG168" i="1"/>
  <c r="AG158" i="1"/>
  <c r="AI158" i="1" s="1"/>
  <c r="AA93" i="1"/>
  <c r="W93" i="1" s="1"/>
  <c r="P82" i="1"/>
  <c r="T68" i="1"/>
  <c r="X68" i="1"/>
  <c r="T66" i="1"/>
  <c r="X66" i="1"/>
  <c r="AG65" i="1"/>
  <c r="X65" i="1"/>
  <c r="AG63" i="1"/>
  <c r="AI63" i="1" s="1"/>
  <c r="X63" i="1"/>
  <c r="S8" i="3"/>
  <c r="AI112" i="1"/>
  <c r="R25" i="3"/>
  <c r="S28" i="3"/>
  <c r="AI198" i="1"/>
  <c r="AA198" i="1"/>
  <c r="AA192" i="1"/>
  <c r="AA133" i="1"/>
  <c r="AA131" i="1"/>
  <c r="AA128" i="1"/>
  <c r="AA172" i="1"/>
  <c r="AG167" i="1"/>
  <c r="AA158" i="1"/>
  <c r="AI51" i="1"/>
  <c r="AI46" i="1"/>
  <c r="AA44" i="1"/>
  <c r="AG39" i="1"/>
  <c r="AA33" i="1"/>
  <c r="AA32" i="1"/>
  <c r="AA31" i="1"/>
  <c r="AA25" i="1"/>
  <c r="AA16" i="1"/>
  <c r="AG200" i="1"/>
  <c r="U200" i="1" s="1"/>
  <c r="S200" i="1" s="1"/>
  <c r="AG145" i="1"/>
  <c r="AG135" i="1"/>
  <c r="U135" i="1" s="1"/>
  <c r="S135" i="1" s="1"/>
  <c r="AI125" i="1"/>
  <c r="AA125" i="1"/>
  <c r="W125" i="1" s="1"/>
  <c r="AI96" i="1"/>
  <c r="AG37" i="1"/>
  <c r="AI37" i="1" s="1"/>
  <c r="X37" i="1"/>
  <c r="AG25" i="1"/>
  <c r="AI25" i="1" s="1"/>
  <c r="AG19" i="1"/>
  <c r="AG155" i="1"/>
  <c r="U155" i="1" s="1"/>
  <c r="S155" i="1" s="1"/>
  <c r="AI121" i="1"/>
  <c r="AA121" i="1"/>
  <c r="W121" i="1" s="1"/>
  <c r="AA119" i="1"/>
  <c r="AI118" i="1"/>
  <c r="X178" i="1"/>
  <c r="AA74" i="1"/>
  <c r="W74" i="1" s="1"/>
  <c r="T54" i="1"/>
  <c r="T49" i="1"/>
  <c r="U49" i="1" s="1"/>
  <c r="S49" i="1" s="1"/>
  <c r="X42" i="1"/>
  <c r="AG23" i="1"/>
  <c r="U23" i="1" s="1"/>
  <c r="S23" i="1" s="1"/>
  <c r="X21" i="1"/>
  <c r="AG16" i="1"/>
  <c r="R35" i="3"/>
  <c r="W29" i="1"/>
  <c r="AA206" i="1"/>
  <c r="X98" i="1"/>
  <c r="AA163" i="1"/>
  <c r="AA87" i="1"/>
  <c r="AG81" i="1"/>
  <c r="AA79" i="1"/>
  <c r="AG66" i="1"/>
  <c r="AI66" i="1" s="1"/>
  <c r="AA42" i="1"/>
  <c r="S31" i="3"/>
  <c r="AA208" i="1"/>
  <c r="W204" i="1"/>
  <c r="AG194" i="1"/>
  <c r="U194" i="1" s="1"/>
  <c r="S194" i="1" s="1"/>
  <c r="AA141" i="1"/>
  <c r="AA110" i="1"/>
  <c r="T107" i="1"/>
  <c r="U107" i="1" s="1"/>
  <c r="S107" i="1" s="1"/>
  <c r="AA103" i="1"/>
  <c r="W103" i="1" s="1"/>
  <c r="AA187" i="1"/>
  <c r="AG179" i="1"/>
  <c r="AG172" i="1"/>
  <c r="X94" i="1"/>
  <c r="AA202" i="1"/>
  <c r="AA200" i="1"/>
  <c r="AA157" i="1"/>
  <c r="W157" i="1" s="1"/>
  <c r="AG153" i="1"/>
  <c r="U153" i="1" s="1"/>
  <c r="S153" i="1" s="1"/>
  <c r="AA137" i="1"/>
  <c r="AA135" i="1"/>
  <c r="AA113" i="1"/>
  <c r="T206" i="1"/>
  <c r="U206" i="1" s="1"/>
  <c r="S206" i="1" s="1"/>
  <c r="AI101" i="1"/>
  <c r="AA99" i="1"/>
  <c r="W99" i="1" s="1"/>
  <c r="AA98" i="1"/>
  <c r="W98" i="1" s="1"/>
  <c r="AG187" i="1"/>
  <c r="U187" i="1" s="1"/>
  <c r="S187" i="1" s="1"/>
  <c r="X187" i="1"/>
  <c r="AA185" i="1"/>
  <c r="W185" i="1" s="1"/>
  <c r="AA184" i="1"/>
  <c r="W184" i="1" s="1"/>
  <c r="AA183" i="1"/>
  <c r="AA92" i="1"/>
  <c r="W92" i="1" s="1"/>
  <c r="AA91" i="1"/>
  <c r="AI50" i="1"/>
  <c r="AG45" i="1"/>
  <c r="AI45" i="1" s="1"/>
  <c r="X45" i="1"/>
  <c r="T32" i="1"/>
  <c r="S35" i="3"/>
  <c r="AI194" i="1"/>
  <c r="T157" i="1"/>
  <c r="U157" i="1" s="1"/>
  <c r="S157" i="1" s="1"/>
  <c r="T141" i="1"/>
  <c r="U141" i="1" s="1"/>
  <c r="S141" i="1" s="1"/>
  <c r="U204" i="1"/>
  <c r="S204" i="1" s="1"/>
  <c r="AA210" i="1"/>
  <c r="W210" i="1" s="1"/>
  <c r="AA197" i="1"/>
  <c r="AA196" i="1"/>
  <c r="AA195" i="1"/>
  <c r="W195" i="1" s="1"/>
  <c r="T195" i="1"/>
  <c r="U195" i="1" s="1"/>
  <c r="S195" i="1" s="1"/>
  <c r="AG192" i="1"/>
  <c r="U192" i="1" s="1"/>
  <c r="S192" i="1" s="1"/>
  <c r="AG151" i="1"/>
  <c r="U151" i="1" s="1"/>
  <c r="S151" i="1" s="1"/>
  <c r="AA149" i="1"/>
  <c r="W149" i="1" s="1"/>
  <c r="AA147" i="1"/>
  <c r="AA146" i="1"/>
  <c r="W146" i="1" s="1"/>
  <c r="T146" i="1"/>
  <c r="AG143" i="1"/>
  <c r="U143" i="1" s="1"/>
  <c r="S143" i="1" s="1"/>
  <c r="AG139" i="1"/>
  <c r="U139" i="1" s="1"/>
  <c r="S139" i="1" s="1"/>
  <c r="AA129" i="1"/>
  <c r="AA127" i="1"/>
  <c r="AA124" i="1"/>
  <c r="AA117" i="1"/>
  <c r="W117" i="1" s="1"/>
  <c r="AA105" i="1"/>
  <c r="AA104" i="1"/>
  <c r="W104" i="1" s="1"/>
  <c r="AA189" i="1"/>
  <c r="X186" i="1"/>
  <c r="AG182" i="1"/>
  <c r="AI182" i="1" s="1"/>
  <c r="X182" i="1"/>
  <c r="AA181" i="1"/>
  <c r="AA95" i="1"/>
  <c r="W95" i="1" s="1"/>
  <c r="AA175" i="1"/>
  <c r="AA167" i="1"/>
  <c r="W167" i="1" s="1"/>
  <c r="AA159" i="1"/>
  <c r="AI92" i="1"/>
  <c r="AG91" i="1"/>
  <c r="AI91" i="1" s="1"/>
  <c r="AG87" i="1"/>
  <c r="U87" i="1" s="1"/>
  <c r="S87" i="1" s="1"/>
  <c r="X87" i="1"/>
  <c r="AA83" i="1"/>
  <c r="AG79" i="1"/>
  <c r="AI79" i="1" s="1"/>
  <c r="AA75" i="1"/>
  <c r="T70" i="1"/>
  <c r="U70" i="1" s="1"/>
  <c r="S70" i="1" s="1"/>
  <c r="AA66" i="1"/>
  <c r="AA65" i="1"/>
  <c r="T65" i="1"/>
  <c r="U65" i="1" s="1"/>
  <c r="S65" i="1" s="1"/>
  <c r="AG57" i="1"/>
  <c r="AI57" i="1" s="1"/>
  <c r="AG48" i="1"/>
  <c r="U48" i="1" s="1"/>
  <c r="AG44" i="1"/>
  <c r="X44" i="1"/>
  <c r="X29" i="1"/>
  <c r="W179" i="1"/>
  <c r="AI95" i="1"/>
  <c r="AA164" i="1"/>
  <c r="W164" i="1" s="1"/>
  <c r="AA81" i="1"/>
  <c r="T78" i="1"/>
  <c r="U78" i="1" s="1"/>
  <c r="S78" i="1" s="1"/>
  <c r="T69" i="1"/>
  <c r="U69" i="1" s="1"/>
  <c r="S69" i="1" s="1"/>
  <c r="AA54" i="1"/>
  <c r="W54" i="1" s="1"/>
  <c r="AG53" i="1"/>
  <c r="U53" i="1" s="1"/>
  <c r="T50" i="1"/>
  <c r="U50" i="1" s="1"/>
  <c r="S50" i="1" s="1"/>
  <c r="AA45" i="1"/>
  <c r="W45" i="1" s="1"/>
  <c r="X36" i="1"/>
  <c r="AA34" i="1"/>
  <c r="AA22" i="1"/>
  <c r="AA21" i="1"/>
  <c r="X20" i="1"/>
  <c r="AA18" i="1"/>
  <c r="AA17" i="1"/>
  <c r="AA201" i="1"/>
  <c r="X195" i="1"/>
  <c r="AA153" i="1"/>
  <c r="AA151" i="1"/>
  <c r="X146" i="1"/>
  <c r="AA139" i="1"/>
  <c r="AG137" i="1"/>
  <c r="U137" i="1" s="1"/>
  <c r="S137" i="1" s="1"/>
  <c r="AA132" i="1"/>
  <c r="AA123" i="1"/>
  <c r="AA120" i="1"/>
  <c r="X104" i="1"/>
  <c r="AG181" i="1"/>
  <c r="U181" i="1" s="1"/>
  <c r="S181" i="1" s="1"/>
  <c r="AG176" i="1"/>
  <c r="U176" i="1" s="1"/>
  <c r="S176" i="1" s="1"/>
  <c r="T171" i="1"/>
  <c r="AA165" i="1"/>
  <c r="W165" i="1" s="1"/>
  <c r="AG86" i="1"/>
  <c r="AI86" i="1" s="1"/>
  <c r="X86" i="1"/>
  <c r="AA84" i="1"/>
  <c r="W84" i="1" s="1"/>
  <c r="AA78" i="1"/>
  <c r="W78" i="1" s="1"/>
  <c r="AA69" i="1"/>
  <c r="W69" i="1" s="1"/>
  <c r="AA64" i="1"/>
  <c r="AA57" i="1"/>
  <c r="AA56" i="1"/>
  <c r="W42" i="1"/>
  <c r="AA41" i="1"/>
  <c r="W37" i="1"/>
  <c r="AI206" i="1"/>
  <c r="AA207" i="1"/>
  <c r="AA203" i="1"/>
  <c r="W203" i="1" s="1"/>
  <c r="T203" i="1"/>
  <c r="T198" i="1"/>
  <c r="U198" i="1" s="1"/>
  <c r="S198" i="1" s="1"/>
  <c r="AA156" i="1"/>
  <c r="AA154" i="1"/>
  <c r="T154" i="1"/>
  <c r="T149" i="1"/>
  <c r="W141" i="1"/>
  <c r="AA140" i="1"/>
  <c r="AA138" i="1"/>
  <c r="W138" i="1" s="1"/>
  <c r="T138" i="1"/>
  <c r="T133" i="1"/>
  <c r="U133" i="1" s="1"/>
  <c r="S133" i="1" s="1"/>
  <c r="T129" i="1"/>
  <c r="T125" i="1"/>
  <c r="U125" i="1" s="1"/>
  <c r="S125" i="1" s="1"/>
  <c r="T121" i="1"/>
  <c r="T117" i="1"/>
  <c r="U117" i="1" s="1"/>
  <c r="S117" i="1" s="1"/>
  <c r="T101" i="1"/>
  <c r="U101" i="1" s="1"/>
  <c r="S101" i="1" s="1"/>
  <c r="U179" i="1"/>
  <c r="S179" i="1" s="1"/>
  <c r="X209" i="1"/>
  <c r="AG208" i="1"/>
  <c r="W208" i="1" s="1"/>
  <c r="AA199" i="1"/>
  <c r="W199" i="1" s="1"/>
  <c r="T199" i="1"/>
  <c r="U199" i="1" s="1"/>
  <c r="S199" i="1" s="1"/>
  <c r="AA152" i="1"/>
  <c r="AA150" i="1"/>
  <c r="W150" i="1" s="1"/>
  <c r="T150" i="1"/>
  <c r="U150" i="1" s="1"/>
  <c r="S150" i="1" s="1"/>
  <c r="X142" i="1"/>
  <c r="W137" i="1"/>
  <c r="AA136" i="1"/>
  <c r="AA134" i="1"/>
  <c r="W134" i="1" s="1"/>
  <c r="T134" i="1"/>
  <c r="AA130" i="1"/>
  <c r="T130" i="1"/>
  <c r="U130" i="1" s="1"/>
  <c r="S130" i="1" s="1"/>
  <c r="AA126" i="1"/>
  <c r="W126" i="1" s="1"/>
  <c r="T126" i="1"/>
  <c r="U126" i="1" s="1"/>
  <c r="S126" i="1" s="1"/>
  <c r="AA122" i="1"/>
  <c r="W122" i="1" s="1"/>
  <c r="T122" i="1"/>
  <c r="U122" i="1" s="1"/>
  <c r="S122" i="1" s="1"/>
  <c r="AI155" i="1"/>
  <c r="AA118" i="1"/>
  <c r="T118" i="1"/>
  <c r="U118" i="1" s="1"/>
  <c r="S118" i="1" s="1"/>
  <c r="AA115" i="1"/>
  <c r="AA114" i="1"/>
  <c r="AG113" i="1"/>
  <c r="U113" i="1" s="1"/>
  <c r="AA111" i="1"/>
  <c r="W111" i="1" s="1"/>
  <c r="AG110" i="1"/>
  <c r="U110" i="1" s="1"/>
  <c r="S110" i="1" s="1"/>
  <c r="T102" i="1"/>
  <c r="U63" i="1"/>
  <c r="S63" i="1" s="1"/>
  <c r="W59" i="1"/>
  <c r="U55" i="1"/>
  <c r="S55" i="1" s="1"/>
  <c r="AI55" i="1"/>
  <c r="X154" i="1"/>
  <c r="X138" i="1"/>
  <c r="W133" i="1"/>
  <c r="W129" i="1"/>
  <c r="W107" i="1"/>
  <c r="T104" i="1"/>
  <c r="U104" i="1" s="1"/>
  <c r="S104" i="1" s="1"/>
  <c r="AA101" i="1"/>
  <c r="W101" i="1" s="1"/>
  <c r="AA100" i="1"/>
  <c r="T98" i="1"/>
  <c r="U98" i="1" s="1"/>
  <c r="S98" i="1" s="1"/>
  <c r="AI70" i="1"/>
  <c r="AI59" i="1"/>
  <c r="X203" i="1"/>
  <c r="AG202" i="1"/>
  <c r="AI202" i="1" s="1"/>
  <c r="W198" i="1"/>
  <c r="AA209" i="1"/>
  <c r="W209" i="1" s="1"/>
  <c r="T209" i="1"/>
  <c r="U209" i="1" s="1"/>
  <c r="S209" i="1" s="1"/>
  <c r="X199" i="1"/>
  <c r="AG196" i="1"/>
  <c r="U196" i="1" s="1"/>
  <c r="S196" i="1" s="1"/>
  <c r="AA194" i="1"/>
  <c r="W194" i="1" s="1"/>
  <c r="AA193" i="1"/>
  <c r="X150" i="1"/>
  <c r="AG147" i="1"/>
  <c r="AI147" i="1" s="1"/>
  <c r="AA145" i="1"/>
  <c r="W145" i="1" s="1"/>
  <c r="AA144" i="1"/>
  <c r="AA142" i="1"/>
  <c r="W142" i="1" s="1"/>
  <c r="T142" i="1"/>
  <c r="U142" i="1" s="1"/>
  <c r="S142" i="1" s="1"/>
  <c r="X134" i="1"/>
  <c r="AG131" i="1"/>
  <c r="W131" i="1" s="1"/>
  <c r="X130" i="1"/>
  <c r="AG127" i="1"/>
  <c r="W127" i="1" s="1"/>
  <c r="X126" i="1"/>
  <c r="AG123" i="1"/>
  <c r="X122" i="1"/>
  <c r="AG119" i="1"/>
  <c r="W119" i="1" s="1"/>
  <c r="X118" i="1"/>
  <c r="AG115" i="1"/>
  <c r="U115" i="1" s="1"/>
  <c r="S115" i="1" s="1"/>
  <c r="X102" i="1"/>
  <c r="AA97" i="1"/>
  <c r="W97" i="1" s="1"/>
  <c r="AI74" i="1"/>
  <c r="T74" i="1"/>
  <c r="U74" i="1" s="1"/>
  <c r="S74" i="1" s="1"/>
  <c r="X73" i="1"/>
  <c r="W70" i="1"/>
  <c r="AG68" i="1"/>
  <c r="U68" i="1" s="1"/>
  <c r="T59" i="1"/>
  <c r="U59" i="1" s="1"/>
  <c r="S59" i="1" s="1"/>
  <c r="X58" i="1"/>
  <c r="W55" i="1"/>
  <c r="T41" i="1"/>
  <c r="T33" i="1"/>
  <c r="AA30" i="1"/>
  <c r="T29" i="1"/>
  <c r="U29" i="1" s="1"/>
  <c r="S29" i="1" s="1"/>
  <c r="AA28" i="1"/>
  <c r="T28" i="1"/>
  <c r="AA26" i="1"/>
  <c r="T25" i="1"/>
  <c r="AA24" i="1"/>
  <c r="T24" i="1"/>
  <c r="AG21" i="1"/>
  <c r="AA15" i="1"/>
  <c r="AA191" i="1"/>
  <c r="AA188" i="1"/>
  <c r="W188" i="1" s="1"/>
  <c r="AG183" i="1"/>
  <c r="U183" i="1" s="1"/>
  <c r="S183" i="1" s="1"/>
  <c r="X175" i="1"/>
  <c r="AG174" i="1"/>
  <c r="W174" i="1" s="1"/>
  <c r="AA170" i="1"/>
  <c r="AA169" i="1"/>
  <c r="AG163" i="1"/>
  <c r="U163" i="1" s="1"/>
  <c r="S163" i="1" s="1"/>
  <c r="AA161" i="1"/>
  <c r="AG159" i="1"/>
  <c r="X84" i="1"/>
  <c r="AG83" i="1"/>
  <c r="AI83" i="1" s="1"/>
  <c r="AA76" i="1"/>
  <c r="X69" i="1"/>
  <c r="X54" i="1"/>
  <c r="X46" i="1"/>
  <c r="AA43" i="1"/>
  <c r="W43" i="1" s="1"/>
  <c r="AG41" i="1"/>
  <c r="W41" i="1" s="1"/>
  <c r="AG40" i="1"/>
  <c r="U40" i="1" s="1"/>
  <c r="S40" i="1" s="1"/>
  <c r="X40" i="1"/>
  <c r="W36" i="1"/>
  <c r="AG33" i="1"/>
  <c r="AG31" i="1"/>
  <c r="U31" i="1" s="1"/>
  <c r="T17" i="1"/>
  <c r="AA14" i="1"/>
  <c r="X96" i="1"/>
  <c r="AA178" i="1"/>
  <c r="AA177" i="1"/>
  <c r="W177" i="1" s="1"/>
  <c r="X171" i="1"/>
  <c r="AG170" i="1"/>
  <c r="U168" i="1"/>
  <c r="S168" i="1" s="1"/>
  <c r="AA94" i="1"/>
  <c r="W94" i="1" s="1"/>
  <c r="T94" i="1"/>
  <c r="AA166" i="1"/>
  <c r="U91" i="1"/>
  <c r="S91" i="1" s="1"/>
  <c r="AA89" i="1"/>
  <c r="AA80" i="1"/>
  <c r="AG76" i="1"/>
  <c r="U76" i="1" s="1"/>
  <c r="S76" i="1" s="1"/>
  <c r="AA73" i="1"/>
  <c r="T73" i="1"/>
  <c r="U73" i="1" s="1"/>
  <c r="S73" i="1" s="1"/>
  <c r="AG61" i="1"/>
  <c r="U61" i="1" s="1"/>
  <c r="S61" i="1" s="1"/>
  <c r="AA58" i="1"/>
  <c r="T58" i="1"/>
  <c r="U58" i="1" s="1"/>
  <c r="S58" i="1" s="1"/>
  <c r="AA47" i="1"/>
  <c r="T42" i="1"/>
  <c r="AA38" i="1"/>
  <c r="AG35" i="1"/>
  <c r="U35" i="1" s="1"/>
  <c r="S35" i="1" s="1"/>
  <c r="AG32" i="1"/>
  <c r="AG28" i="1"/>
  <c r="AG24" i="1"/>
  <c r="AA20" i="1"/>
  <c r="W20" i="1" s="1"/>
  <c r="U19" i="1"/>
  <c r="AG17" i="1"/>
  <c r="AG15" i="1"/>
  <c r="U15" i="1" s="1"/>
  <c r="AI122" i="1"/>
  <c r="AA180" i="1"/>
  <c r="AA173" i="1"/>
  <c r="U167" i="1"/>
  <c r="S167" i="1" s="1"/>
  <c r="T164" i="1"/>
  <c r="U164" i="1" s="1"/>
  <c r="S164" i="1" s="1"/>
  <c r="AA160" i="1"/>
  <c r="W160" i="1" s="1"/>
  <c r="T92" i="1"/>
  <c r="U92" i="1" s="1"/>
  <c r="S92" i="1" s="1"/>
  <c r="AA88" i="1"/>
  <c r="T84" i="1"/>
  <c r="U81" i="1"/>
  <c r="S81" i="1" s="1"/>
  <c r="U79" i="1"/>
  <c r="S79" i="1" s="1"/>
  <c r="AA52" i="1"/>
  <c r="AA46" i="1"/>
  <c r="W46" i="1" s="1"/>
  <c r="AA40" i="1"/>
  <c r="U37" i="1"/>
  <c r="S37" i="1" s="1"/>
  <c r="W31" i="1"/>
  <c r="U134" i="1"/>
  <c r="S134" i="1" s="1"/>
  <c r="AI165" i="1"/>
  <c r="AI154" i="1"/>
  <c r="AI185" i="1"/>
  <c r="AI210" i="1"/>
  <c r="AI181" i="1"/>
  <c r="U146" i="1"/>
  <c r="S146" i="1" s="1"/>
  <c r="U131" i="1"/>
  <c r="U123" i="1"/>
  <c r="W112" i="1"/>
  <c r="AI141" i="1"/>
  <c r="AI209" i="1"/>
  <c r="W154" i="1"/>
  <c r="AI177" i="1"/>
  <c r="U203" i="1"/>
  <c r="S203" i="1" s="1"/>
  <c r="U154" i="1"/>
  <c r="S154" i="1" s="1"/>
  <c r="U138" i="1"/>
  <c r="S138" i="1" s="1"/>
  <c r="W130" i="1"/>
  <c r="W118" i="1"/>
  <c r="X210" i="1"/>
  <c r="T210" i="1"/>
  <c r="U210" i="1" s="1"/>
  <c r="S210" i="1" s="1"/>
  <c r="X204" i="1"/>
  <c r="X200" i="1"/>
  <c r="X196" i="1"/>
  <c r="X192" i="1"/>
  <c r="X155" i="1"/>
  <c r="X151" i="1"/>
  <c r="X147" i="1"/>
  <c r="X143" i="1"/>
  <c r="X139" i="1"/>
  <c r="X135" i="1"/>
  <c r="X131" i="1"/>
  <c r="X127" i="1"/>
  <c r="X123" i="1"/>
  <c r="X119" i="1"/>
  <c r="X115" i="1"/>
  <c r="AG114" i="1"/>
  <c r="AI114" i="1" s="1"/>
  <c r="AI146" i="1"/>
  <c r="AI142" i="1"/>
  <c r="T205" i="1"/>
  <c r="X205" i="1"/>
  <c r="AG205" i="1"/>
  <c r="AI205" i="1" s="1"/>
  <c r="X206" i="1"/>
  <c r="AI134" i="1"/>
  <c r="U202" i="1"/>
  <c r="S202" i="1" s="1"/>
  <c r="U149" i="1"/>
  <c r="S149" i="1" s="1"/>
  <c r="U145" i="1"/>
  <c r="S145" i="1" s="1"/>
  <c r="S131" i="1"/>
  <c r="U129" i="1"/>
  <c r="S129" i="1" s="1"/>
  <c r="U121" i="1"/>
  <c r="S121" i="1" s="1"/>
  <c r="S113" i="1"/>
  <c r="AI145" i="1"/>
  <c r="X208" i="1"/>
  <c r="AG207" i="1"/>
  <c r="X202" i="1"/>
  <c r="AG201" i="1"/>
  <c r="W201" i="1" s="1"/>
  <c r="X198" i="1"/>
  <c r="AG197" i="1"/>
  <c r="AI197" i="1" s="1"/>
  <c r="X194" i="1"/>
  <c r="AG193" i="1"/>
  <c r="AI193" i="1" s="1"/>
  <c r="AG156" i="1"/>
  <c r="X153" i="1"/>
  <c r="AG152" i="1"/>
  <c r="X149" i="1"/>
  <c r="AG148" i="1"/>
  <c r="AI148" i="1" s="1"/>
  <c r="X145" i="1"/>
  <c r="AG144" i="1"/>
  <c r="X141" i="1"/>
  <c r="AG140" i="1"/>
  <c r="X137" i="1"/>
  <c r="AG136" i="1"/>
  <c r="X133" i="1"/>
  <c r="AG132" i="1"/>
  <c r="AI132" i="1" s="1"/>
  <c r="X129" i="1"/>
  <c r="AG128" i="1"/>
  <c r="AI128" i="1" s="1"/>
  <c r="X125" i="1"/>
  <c r="AG124" i="1"/>
  <c r="AI124" i="1" s="1"/>
  <c r="X121" i="1"/>
  <c r="AG120" i="1"/>
  <c r="AI120" i="1" s="1"/>
  <c r="X117" i="1"/>
  <c r="AG116" i="1"/>
  <c r="AI116" i="1" s="1"/>
  <c r="T111" i="1"/>
  <c r="U111" i="1" s="1"/>
  <c r="S111" i="1" s="1"/>
  <c r="T108" i="1"/>
  <c r="U108" i="1" s="1"/>
  <c r="S108" i="1" s="1"/>
  <c r="AA106" i="1"/>
  <c r="W106" i="1" s="1"/>
  <c r="AG105" i="1"/>
  <c r="T105" i="1"/>
  <c r="X105" i="1"/>
  <c r="W206" i="1"/>
  <c r="U102" i="1"/>
  <c r="S102" i="1" s="1"/>
  <c r="W190" i="1"/>
  <c r="X207" i="1"/>
  <c r="AI204" i="1"/>
  <c r="X201" i="1"/>
  <c r="X197" i="1"/>
  <c r="X193" i="1"/>
  <c r="AI192" i="1"/>
  <c r="AI188" i="1"/>
  <c r="X152" i="1"/>
  <c r="AI184" i="1"/>
  <c r="X148" i="1"/>
  <c r="AI180" i="1"/>
  <c r="X144" i="1"/>
  <c r="X140" i="1"/>
  <c r="X136" i="1"/>
  <c r="AI168" i="1"/>
  <c r="X132" i="1"/>
  <c r="AI164" i="1"/>
  <c r="X128" i="1"/>
  <c r="AI160" i="1"/>
  <c r="X124" i="1"/>
  <c r="AI157" i="1"/>
  <c r="X120" i="1"/>
  <c r="X116" i="1"/>
  <c r="AI149" i="1"/>
  <c r="T112" i="1"/>
  <c r="U112" i="1" s="1"/>
  <c r="S112" i="1" s="1"/>
  <c r="W109" i="1"/>
  <c r="U109" i="1"/>
  <c r="S109" i="1" s="1"/>
  <c r="T106" i="1"/>
  <c r="U106" i="1" s="1"/>
  <c r="S106" i="1" s="1"/>
  <c r="X106" i="1"/>
  <c r="AI138" i="1"/>
  <c r="X103" i="1"/>
  <c r="T103" i="1"/>
  <c r="U103" i="1" s="1"/>
  <c r="S103" i="1" s="1"/>
  <c r="X99" i="1"/>
  <c r="T99" i="1"/>
  <c r="U99" i="1" s="1"/>
  <c r="S99" i="1" s="1"/>
  <c r="X190" i="1"/>
  <c r="T190" i="1"/>
  <c r="U190" i="1" s="1"/>
  <c r="S190" i="1" s="1"/>
  <c r="AG189" i="1"/>
  <c r="AI189" i="1" s="1"/>
  <c r="X189" i="1"/>
  <c r="AI126" i="1"/>
  <c r="T96" i="1"/>
  <c r="U96" i="1" s="1"/>
  <c r="S96" i="1" s="1"/>
  <c r="T185" i="1"/>
  <c r="U185" i="1" s="1"/>
  <c r="S185" i="1" s="1"/>
  <c r="X185" i="1"/>
  <c r="X184" i="1"/>
  <c r="X183" i="1"/>
  <c r="AA182" i="1"/>
  <c r="W182" i="1" s="1"/>
  <c r="AG178" i="1"/>
  <c r="AI178" i="1" s="1"/>
  <c r="X179" i="1"/>
  <c r="T177" i="1"/>
  <c r="U177" i="1" s="1"/>
  <c r="S177" i="1" s="1"/>
  <c r="U174" i="1"/>
  <c r="S174" i="1" s="1"/>
  <c r="T173" i="1"/>
  <c r="X173" i="1"/>
  <c r="AG173" i="1"/>
  <c r="AI173" i="1" s="1"/>
  <c r="AI107" i="1"/>
  <c r="T169" i="1"/>
  <c r="X169" i="1"/>
  <c r="AG169" i="1"/>
  <c r="AI169" i="1" s="1"/>
  <c r="AI103" i="1"/>
  <c r="T166" i="1"/>
  <c r="X166" i="1"/>
  <c r="AG166" i="1"/>
  <c r="AI166" i="1" s="1"/>
  <c r="U159" i="1"/>
  <c r="S159" i="1" s="1"/>
  <c r="T71" i="1"/>
  <c r="X71" i="1"/>
  <c r="AG71" i="1"/>
  <c r="W71" i="1" s="1"/>
  <c r="T56" i="1"/>
  <c r="X56" i="1"/>
  <c r="AG56" i="1"/>
  <c r="W56" i="1" s="1"/>
  <c r="T22" i="1"/>
  <c r="X22" i="1"/>
  <c r="AG22" i="1"/>
  <c r="U97" i="1"/>
  <c r="S97" i="1" s="1"/>
  <c r="T188" i="1"/>
  <c r="U188" i="1" s="1"/>
  <c r="S188" i="1" s="1"/>
  <c r="X188" i="1"/>
  <c r="W180" i="1"/>
  <c r="T180" i="1"/>
  <c r="U180" i="1" s="1"/>
  <c r="S180" i="1" s="1"/>
  <c r="U95" i="1"/>
  <c r="S95" i="1" s="1"/>
  <c r="AI73" i="1"/>
  <c r="AI58" i="1"/>
  <c r="X101" i="1"/>
  <c r="AG100" i="1"/>
  <c r="AI100" i="1" s="1"/>
  <c r="X97" i="1"/>
  <c r="AG191" i="1"/>
  <c r="T186" i="1"/>
  <c r="U182" i="1"/>
  <c r="S182" i="1" s="1"/>
  <c r="AI117" i="1"/>
  <c r="X177" i="1"/>
  <c r="AI99" i="1"/>
  <c r="X91" i="1"/>
  <c r="X90" i="1"/>
  <c r="AG90" i="1"/>
  <c r="AG88" i="1"/>
  <c r="X88" i="1"/>
  <c r="T88" i="1"/>
  <c r="X100" i="1"/>
  <c r="AI130" i="1"/>
  <c r="X191" i="1"/>
  <c r="AG186" i="1"/>
  <c r="AI186" i="1" s="1"/>
  <c r="T184" i="1"/>
  <c r="U184" i="1" s="1"/>
  <c r="S184" i="1" s="1"/>
  <c r="X180" i="1"/>
  <c r="W178" i="1"/>
  <c r="AG175" i="1"/>
  <c r="W175" i="1" s="1"/>
  <c r="X176" i="1"/>
  <c r="U171" i="1"/>
  <c r="S171" i="1" s="1"/>
  <c r="U94" i="1"/>
  <c r="S94" i="1" s="1"/>
  <c r="AI104" i="1"/>
  <c r="T161" i="1"/>
  <c r="AG161" i="1"/>
  <c r="AI161" i="1" s="1"/>
  <c r="AI93" i="1"/>
  <c r="AG82" i="1"/>
  <c r="W82" i="1" s="1"/>
  <c r="X83" i="1"/>
  <c r="T82" i="1"/>
  <c r="X82" i="1"/>
  <c r="AI78" i="1"/>
  <c r="AA49" i="1"/>
  <c r="W49" i="1" s="1"/>
  <c r="X181" i="1"/>
  <c r="X95" i="1"/>
  <c r="X174" i="1"/>
  <c r="X170" i="1"/>
  <c r="X167" i="1"/>
  <c r="T165" i="1"/>
  <c r="U165" i="1" s="1"/>
  <c r="S165" i="1" s="1"/>
  <c r="X165" i="1"/>
  <c r="X164" i="1"/>
  <c r="AA162" i="1"/>
  <c r="T85" i="1"/>
  <c r="U85" i="1" s="1"/>
  <c r="S85" i="1" s="1"/>
  <c r="X85" i="1"/>
  <c r="T80" i="1"/>
  <c r="X80" i="1"/>
  <c r="AG80" i="1"/>
  <c r="AI76" i="1"/>
  <c r="T75" i="1"/>
  <c r="X75" i="1"/>
  <c r="AG75" i="1"/>
  <c r="W75" i="1" s="1"/>
  <c r="AA68" i="1"/>
  <c r="W65" i="1"/>
  <c r="U62" i="1"/>
  <c r="S62" i="1" s="1"/>
  <c r="AI62" i="1"/>
  <c r="AI61" i="1"/>
  <c r="T60" i="1"/>
  <c r="X60" i="1"/>
  <c r="AG60" i="1"/>
  <c r="AA53" i="1"/>
  <c r="W53" i="1" s="1"/>
  <c r="AI49" i="1"/>
  <c r="AI43" i="1"/>
  <c r="T162" i="1"/>
  <c r="AI94" i="1"/>
  <c r="T89" i="1"/>
  <c r="X89" i="1"/>
  <c r="AI65" i="1"/>
  <c r="T64" i="1"/>
  <c r="AG64" i="1"/>
  <c r="U45" i="1"/>
  <c r="S45" i="1" s="1"/>
  <c r="T38" i="1"/>
  <c r="X38" i="1"/>
  <c r="AG38" i="1"/>
  <c r="W38" i="1" s="1"/>
  <c r="X172" i="1"/>
  <c r="X168" i="1"/>
  <c r="AG162" i="1"/>
  <c r="AI162" i="1" s="1"/>
  <c r="T160" i="1"/>
  <c r="U160" i="1" s="1"/>
  <c r="S160" i="1" s="1"/>
  <c r="T93" i="1"/>
  <c r="U93" i="1" s="1"/>
  <c r="S93" i="1" s="1"/>
  <c r="X93" i="1"/>
  <c r="X92" i="1"/>
  <c r="AA90" i="1"/>
  <c r="AG89" i="1"/>
  <c r="W89" i="1" s="1"/>
  <c r="U84" i="1"/>
  <c r="S84" i="1" s="1"/>
  <c r="W73" i="1"/>
  <c r="AI69" i="1"/>
  <c r="S68" i="1"/>
  <c r="T67" i="1"/>
  <c r="AG67" i="1"/>
  <c r="AA61" i="1"/>
  <c r="W61" i="1" s="1"/>
  <c r="W58" i="1"/>
  <c r="U54" i="1"/>
  <c r="S54" i="1" s="1"/>
  <c r="AI54" i="1"/>
  <c r="S53" i="1"/>
  <c r="AI53" i="1"/>
  <c r="T52" i="1"/>
  <c r="X52" i="1"/>
  <c r="AG52" i="1"/>
  <c r="T47" i="1"/>
  <c r="X47" i="1"/>
  <c r="X48" i="1"/>
  <c r="AG47" i="1"/>
  <c r="AI39" i="1"/>
  <c r="U39" i="1"/>
  <c r="S39" i="1" s="1"/>
  <c r="X81" i="1"/>
  <c r="X76" i="1"/>
  <c r="X72" i="1"/>
  <c r="X61" i="1"/>
  <c r="X57" i="1"/>
  <c r="X53" i="1"/>
  <c r="T51" i="1"/>
  <c r="U51" i="1" s="1"/>
  <c r="S51" i="1" s="1"/>
  <c r="X51" i="1"/>
  <c r="X50" i="1"/>
  <c r="X49" i="1"/>
  <c r="AA48" i="1"/>
  <c r="W48" i="1" s="1"/>
  <c r="U42" i="1"/>
  <c r="S42" i="1" s="1"/>
  <c r="T34" i="1"/>
  <c r="X34" i="1"/>
  <c r="AG34" i="1"/>
  <c r="W34" i="1" s="1"/>
  <c r="AA27" i="1"/>
  <c r="W27" i="1" s="1"/>
  <c r="S19" i="1"/>
  <c r="AI19" i="1"/>
  <c r="T18" i="1"/>
  <c r="X18" i="1"/>
  <c r="AG18" i="1"/>
  <c r="AI44" i="1"/>
  <c r="AA39" i="1"/>
  <c r="W39" i="1" s="1"/>
  <c r="U36" i="1"/>
  <c r="S36" i="1" s="1"/>
  <c r="AI31" i="1"/>
  <c r="T30" i="1"/>
  <c r="X30" i="1"/>
  <c r="AG30" i="1"/>
  <c r="W30" i="1" s="1"/>
  <c r="AA23" i="1"/>
  <c r="W23" i="1" s="1"/>
  <c r="U20" i="1"/>
  <c r="S20" i="1" s="1"/>
  <c r="S15" i="1"/>
  <c r="AI15" i="1"/>
  <c r="T14" i="1"/>
  <c r="AG14" i="1"/>
  <c r="W14" i="1" s="1"/>
  <c r="X79" i="1"/>
  <c r="X74" i="1"/>
  <c r="X70" i="1"/>
  <c r="X59" i="1"/>
  <c r="X55" i="1"/>
  <c r="S48" i="1"/>
  <c r="AI48" i="1"/>
  <c r="T46" i="1"/>
  <c r="U46" i="1" s="1"/>
  <c r="S46" i="1" s="1"/>
  <c r="T43" i="1"/>
  <c r="U43" i="1" s="1"/>
  <c r="S43" i="1" s="1"/>
  <c r="X43" i="1"/>
  <c r="AA35" i="1"/>
  <c r="S27" i="1"/>
  <c r="AI27" i="1"/>
  <c r="T26" i="1"/>
  <c r="X26" i="1"/>
  <c r="AG26" i="1"/>
  <c r="W26" i="1" s="1"/>
  <c r="AA19" i="1"/>
  <c r="W19" i="1" s="1"/>
  <c r="X39" i="1"/>
  <c r="AI36" i="1"/>
  <c r="X35" i="1"/>
  <c r="AI32" i="1"/>
  <c r="X31" i="1"/>
  <c r="AI28" i="1"/>
  <c r="X27" i="1"/>
  <c r="AI24" i="1"/>
  <c r="X23" i="1"/>
  <c r="AI20" i="1"/>
  <c r="X19" i="1"/>
  <c r="AI16" i="1"/>
  <c r="X15" i="1"/>
  <c r="Y11" i="3"/>
  <c r="Y29" i="3"/>
  <c r="Y25" i="3"/>
  <c r="Y10" i="3"/>
  <c r="T11" i="3"/>
  <c r="Y34" i="3"/>
  <c r="T25" i="3"/>
  <c r="Y28" i="3"/>
  <c r="Y33" i="3"/>
  <c r="Y21" i="3"/>
  <c r="AC22" i="3"/>
  <c r="AC8" i="3"/>
  <c r="AC9" i="3"/>
  <c r="AC16" i="3"/>
  <c r="Y8" i="3"/>
  <c r="T10" i="3"/>
  <c r="Y14" i="3"/>
  <c r="Y9" i="3"/>
  <c r="T7" i="3"/>
  <c r="Y30" i="3"/>
  <c r="Y16" i="3"/>
  <c r="T24" i="3"/>
  <c r="Y17" i="3"/>
  <c r="Y23" i="3"/>
  <c r="Y32" i="3"/>
  <c r="AC34" i="3"/>
  <c r="AC18" i="3"/>
  <c r="Y13" i="3"/>
  <c r="AC23" i="3"/>
  <c r="Y26" i="3"/>
  <c r="Y7" i="3"/>
  <c r="Y15" i="3"/>
  <c r="Y24" i="3"/>
  <c r="Y19" i="3"/>
  <c r="Y35" i="3"/>
  <c r="AC32" i="3"/>
  <c r="T13" i="3"/>
  <c r="T14" i="3"/>
  <c r="T26" i="3"/>
  <c r="T29" i="3"/>
  <c r="T12" i="3"/>
  <c r="T30" i="3"/>
  <c r="T15" i="3"/>
  <c r="T28" i="3"/>
  <c r="T31" i="3"/>
  <c r="T17" i="3"/>
  <c r="T19" i="3"/>
  <c r="T33" i="3"/>
  <c r="T35" i="3"/>
  <c r="T21" i="3"/>
  <c r="W20" i="3"/>
  <c r="Y20" i="3" s="1"/>
  <c r="V20" i="3"/>
  <c r="U20" i="3"/>
  <c r="AC20" i="3" s="1"/>
  <c r="S20" i="3"/>
  <c r="R20" i="3"/>
  <c r="N20" i="3"/>
  <c r="M20" i="3"/>
  <c r="W33" i="1" l="1"/>
  <c r="W72" i="1"/>
  <c r="AI119" i="1"/>
  <c r="AI208" i="1"/>
  <c r="U158" i="1"/>
  <c r="S158" i="1" s="1"/>
  <c r="W173" i="1"/>
  <c r="W16" i="1"/>
  <c r="W64" i="1"/>
  <c r="U208" i="1"/>
  <c r="S208" i="1" s="1"/>
  <c r="W123" i="1"/>
  <c r="W108" i="1"/>
  <c r="W35" i="1"/>
  <c r="W158" i="1"/>
  <c r="AI35" i="1"/>
  <c r="W90" i="1"/>
  <c r="W86" i="1"/>
  <c r="W159" i="1"/>
  <c r="W153" i="1"/>
  <c r="W25" i="1"/>
  <c r="W172" i="1"/>
  <c r="U66" i="1"/>
  <c r="S66" i="1" s="1"/>
  <c r="W163" i="1"/>
  <c r="U57" i="1"/>
  <c r="S57" i="1" s="1"/>
  <c r="U72" i="1"/>
  <c r="S72" i="1" s="1"/>
  <c r="U86" i="1"/>
  <c r="S86" i="1" s="1"/>
  <c r="AI153" i="1"/>
  <c r="W63" i="1"/>
  <c r="W17" i="1"/>
  <c r="U24" i="1"/>
  <c r="S24" i="1" s="1"/>
  <c r="AI143" i="1"/>
  <c r="W57" i="1"/>
  <c r="AI23" i="1"/>
  <c r="W83" i="1"/>
  <c r="W81" i="1"/>
  <c r="U83" i="1"/>
  <c r="W18" i="1"/>
  <c r="W88" i="1"/>
  <c r="W152" i="1"/>
  <c r="W87" i="1"/>
  <c r="U172" i="1"/>
  <c r="S172" i="1" s="1"/>
  <c r="W196" i="1"/>
  <c r="W66" i="1"/>
  <c r="W200" i="1"/>
  <c r="W187" i="1"/>
  <c r="W52" i="1"/>
  <c r="AI68" i="1"/>
  <c r="AI87" i="1"/>
  <c r="W68" i="1"/>
  <c r="AI81" i="1"/>
  <c r="AI172" i="1"/>
  <c r="AI196" i="1"/>
  <c r="AI135" i="1"/>
  <c r="U147" i="1"/>
  <c r="S147" i="1" s="1"/>
  <c r="U16" i="1"/>
  <c r="S16" i="1" s="1"/>
  <c r="U32" i="1"/>
  <c r="S32" i="1" s="1"/>
  <c r="U44" i="1"/>
  <c r="S44" i="1" s="1"/>
  <c r="U25" i="1"/>
  <c r="S25" i="1" s="1"/>
  <c r="W44" i="1"/>
  <c r="AI151" i="1"/>
  <c r="W155" i="1"/>
  <c r="AI40" i="1"/>
  <c r="S31" i="1"/>
  <c r="AI113" i="1"/>
  <c r="W205" i="1"/>
  <c r="AI176" i="1"/>
  <c r="AI200" i="1"/>
  <c r="S123" i="1"/>
  <c r="AI131" i="1"/>
  <c r="U127" i="1"/>
  <c r="S127" i="1" s="1"/>
  <c r="AI139" i="1"/>
  <c r="W139" i="1"/>
  <c r="W135" i="1"/>
  <c r="W166" i="1"/>
  <c r="W76" i="1"/>
  <c r="W79" i="1"/>
  <c r="W176" i="1"/>
  <c r="W91" i="1"/>
  <c r="U119" i="1"/>
  <c r="S119" i="1" s="1"/>
  <c r="W28" i="1"/>
  <c r="W183" i="1"/>
  <c r="W151" i="1"/>
  <c r="W192" i="1"/>
  <c r="W40" i="1"/>
  <c r="W181" i="1"/>
  <c r="W143" i="1"/>
  <c r="W193" i="1"/>
  <c r="AI110" i="1"/>
  <c r="AI174" i="1"/>
  <c r="W24" i="1"/>
  <c r="W115" i="1"/>
  <c r="W147" i="1"/>
  <c r="W186" i="1"/>
  <c r="AI201" i="1"/>
  <c r="U33" i="1"/>
  <c r="S33" i="1" s="1"/>
  <c r="AI33" i="1"/>
  <c r="W15" i="1"/>
  <c r="W110" i="1"/>
  <c r="W169" i="1"/>
  <c r="W105" i="1"/>
  <c r="AI105" i="1"/>
  <c r="W136" i="1"/>
  <c r="AI136" i="1"/>
  <c r="W144" i="1"/>
  <c r="AI144" i="1"/>
  <c r="U17" i="1"/>
  <c r="S17" i="1"/>
  <c r="AI17" i="1"/>
  <c r="U28" i="1"/>
  <c r="S28" i="1" s="1"/>
  <c r="U41" i="1"/>
  <c r="S41" i="1" s="1"/>
  <c r="AI41" i="1"/>
  <c r="U21" i="1"/>
  <c r="S21" i="1" s="1"/>
  <c r="AI21" i="1"/>
  <c r="W21" i="1"/>
  <c r="W113" i="1"/>
  <c r="U170" i="1"/>
  <c r="S170" i="1" s="1"/>
  <c r="AI170" i="1"/>
  <c r="W170" i="1"/>
  <c r="W32" i="1"/>
  <c r="W202" i="1"/>
  <c r="AI80" i="1"/>
  <c r="U80" i="1"/>
  <c r="S80" i="1" s="1"/>
  <c r="AI22" i="1"/>
  <c r="U22" i="1"/>
  <c r="S22" i="1" s="1"/>
  <c r="AI97" i="1"/>
  <c r="U161" i="1"/>
  <c r="S161" i="1" s="1"/>
  <c r="U100" i="1"/>
  <c r="S100" i="1" s="1"/>
  <c r="AI133" i="1"/>
  <c r="W80" i="1"/>
  <c r="AI106" i="1"/>
  <c r="U169" i="1"/>
  <c r="S169" i="1" s="1"/>
  <c r="U116" i="1"/>
  <c r="S116" i="1" s="1"/>
  <c r="AI152" i="1"/>
  <c r="U124" i="1"/>
  <c r="S124" i="1" s="1"/>
  <c r="AI159" i="1"/>
  <c r="U132" i="1"/>
  <c r="S132" i="1"/>
  <c r="AI167" i="1"/>
  <c r="U140" i="1"/>
  <c r="S140" i="1" s="1"/>
  <c r="AI175" i="1"/>
  <c r="U148" i="1"/>
  <c r="S148" i="1" s="1"/>
  <c r="AI183" i="1"/>
  <c r="U156" i="1"/>
  <c r="S156" i="1" s="1"/>
  <c r="AI191" i="1"/>
  <c r="U197" i="1"/>
  <c r="S197" i="1" s="1"/>
  <c r="AI199" i="1"/>
  <c r="U207" i="1"/>
  <c r="S207" i="1" s="1"/>
  <c r="AI207" i="1"/>
  <c r="W140" i="1"/>
  <c r="W207" i="1"/>
  <c r="AI60" i="1"/>
  <c r="U60" i="1"/>
  <c r="S60" i="1" s="1"/>
  <c r="U88" i="1"/>
  <c r="S88" i="1" s="1"/>
  <c r="AI88" i="1"/>
  <c r="U189" i="1"/>
  <c r="S189" i="1" s="1"/>
  <c r="AI127" i="1"/>
  <c r="AI150" i="1"/>
  <c r="U114" i="1"/>
  <c r="S114" i="1" s="1"/>
  <c r="AI47" i="1"/>
  <c r="U47" i="1"/>
  <c r="S47" i="1" s="1"/>
  <c r="AI90" i="1"/>
  <c r="U90" i="1"/>
  <c r="S90" i="1" s="1"/>
  <c r="W161" i="1"/>
  <c r="W22" i="1"/>
  <c r="AI18" i="1"/>
  <c r="U18" i="1"/>
  <c r="S18" i="1" s="1"/>
  <c r="AI34" i="1"/>
  <c r="U34" i="1"/>
  <c r="S34" i="1" s="1"/>
  <c r="AI52" i="1"/>
  <c r="U52" i="1"/>
  <c r="S52" i="1" s="1"/>
  <c r="AI67" i="1"/>
  <c r="U67" i="1"/>
  <c r="S67" i="1" s="1"/>
  <c r="AI64" i="1"/>
  <c r="U64" i="1"/>
  <c r="S64" i="1" s="1"/>
  <c r="W67" i="1"/>
  <c r="U175" i="1"/>
  <c r="S175" i="1" s="1"/>
  <c r="AI111" i="1"/>
  <c r="AI123" i="1"/>
  <c r="U186" i="1"/>
  <c r="S186" i="1" s="1"/>
  <c r="W189" i="1"/>
  <c r="AI71" i="1"/>
  <c r="U71" i="1"/>
  <c r="S71" i="1" s="1"/>
  <c r="AI109" i="1"/>
  <c r="U173" i="1"/>
  <c r="S173" i="1" s="1"/>
  <c r="U178" i="1"/>
  <c r="S178" i="1" s="1"/>
  <c r="AI115" i="1"/>
  <c r="W148" i="1"/>
  <c r="U89" i="1"/>
  <c r="S89" i="1" s="1"/>
  <c r="AI89" i="1"/>
  <c r="S166" i="1"/>
  <c r="AI102" i="1"/>
  <c r="U166" i="1"/>
  <c r="W114" i="1"/>
  <c r="AI26" i="1"/>
  <c r="U26" i="1"/>
  <c r="S26" i="1" s="1"/>
  <c r="AI14" i="1"/>
  <c r="U14" i="1"/>
  <c r="S14" i="1" s="1"/>
  <c r="AI30" i="1"/>
  <c r="U30" i="1"/>
  <c r="S30" i="1" s="1"/>
  <c r="AI98" i="1"/>
  <c r="U162" i="1"/>
  <c r="S162" i="1" s="1"/>
  <c r="AI38" i="1"/>
  <c r="U38" i="1"/>
  <c r="S38" i="1" s="1"/>
  <c r="W47" i="1"/>
  <c r="AI75" i="1"/>
  <c r="U75" i="1"/>
  <c r="S75" i="1" s="1"/>
  <c r="W162" i="1"/>
  <c r="U82" i="1"/>
  <c r="AI82" i="1"/>
  <c r="W60" i="1"/>
  <c r="U191" i="1"/>
  <c r="S191" i="1" s="1"/>
  <c r="AI129" i="1"/>
  <c r="AI56" i="1"/>
  <c r="U56" i="1"/>
  <c r="S56" i="1" s="1"/>
  <c r="U105" i="1"/>
  <c r="S105" i="1" s="1"/>
  <c r="AI140" i="1"/>
  <c r="U120" i="1"/>
  <c r="S120" i="1" s="1"/>
  <c r="AI156" i="1"/>
  <c r="U128" i="1"/>
  <c r="S128" i="1" s="1"/>
  <c r="AI163" i="1"/>
  <c r="U136" i="1"/>
  <c r="S136" i="1" s="1"/>
  <c r="AI171" i="1"/>
  <c r="U144" i="1"/>
  <c r="S144" i="1" s="1"/>
  <c r="AI179" i="1"/>
  <c r="U152" i="1"/>
  <c r="S152" i="1" s="1"/>
  <c r="AI187" i="1"/>
  <c r="U193" i="1"/>
  <c r="S193" i="1" s="1"/>
  <c r="AI195" i="1"/>
  <c r="U201" i="1"/>
  <c r="S201" i="1" s="1"/>
  <c r="AI203" i="1"/>
  <c r="W191" i="1"/>
  <c r="W100" i="1"/>
  <c r="U205" i="1"/>
  <c r="S205" i="1" s="1"/>
  <c r="AI137" i="1"/>
  <c r="W156" i="1"/>
  <c r="W116" i="1"/>
  <c r="W120" i="1"/>
  <c r="W124" i="1"/>
  <c r="W128" i="1"/>
  <c r="W132" i="1"/>
  <c r="W197" i="1"/>
  <c r="T20" i="3"/>
  <c r="S82" i="1" l="1"/>
  <c r="X14" i="3"/>
  <c r="X25" i="3"/>
  <c r="X31" i="3"/>
  <c r="X11" i="3"/>
  <c r="X20" i="3"/>
  <c r="X28" i="3"/>
  <c r="X22" i="3"/>
  <c r="X15" i="3"/>
  <c r="X7" i="3"/>
  <c r="X26" i="3"/>
  <c r="X13" i="3"/>
  <c r="X30" i="3"/>
  <c r="X16" i="3"/>
  <c r="X23" i="3"/>
  <c r="X17" i="3"/>
  <c r="X21" i="3"/>
  <c r="X19" i="3"/>
  <c r="X10" i="3"/>
  <c r="X32" i="3"/>
  <c r="X36" i="3"/>
  <c r="X9" i="3"/>
  <c r="X29" i="3"/>
  <c r="X35" i="3"/>
  <c r="X27" i="3"/>
  <c r="X8" i="3"/>
  <c r="X12" i="3"/>
  <c r="X33" i="3"/>
  <c r="X24" i="3"/>
  <c r="X34" i="3"/>
  <c r="X18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<sst xmlns="http://schemas.openxmlformats.org/spreadsheetml/2006/main" count="2105" uniqueCount="773">
  <si>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</si>
  <si>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</si>
  <si>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</si>
  <si>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</si>
  <si>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</si>
  <si>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</si>
  <si>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</si>
  <si>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</si>
  <si>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</si>
  <si>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</si>
  <si>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</si>
  <si>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</si>
  <si>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</si>
  <si>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</si>
  <si>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</si>
  <si>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</si>
  <si>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</si>
  <si>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</si>
  <si>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</si>
  <si>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</si>
  <si>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</si>
  <si>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</si>
  <si>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</si>
  <si>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</si>
  <si>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</si>
  <si>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</si>
  <si>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</si>
  <si>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</si>
  <si>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</si>
  <si>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</si>
  <si>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</si>
  <si>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</si>
  <si>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</si>
  <si>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</si>
  <si>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</si>
  <si>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</si>
  <si>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</si>
  <si>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</si>
  <si>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</si>
  <si>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</si>
  <si>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</si>
  <si>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</si>
  <si>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</si>
  <si>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</si>
  <si>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</si>
  <si>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</si>
  <si>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</si>
  <si>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</si>
  <si>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</si>
  <si>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</si>
  <si>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</si>
  <si>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</si>
  <si>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</si>
  <si>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</si>
  <si>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</si>
  <si>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</si>
  <si>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</si>
  <si>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</si>
  <si>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</si>
  <si>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</si>
  <si>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</si>
  <si>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</si>
  <si>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</si>
  <si>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</si>
  <si>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</si>
  <si>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</si>
  <si>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</si>
  <si>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</si>
  <si>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</si>
  <si>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</si>
  <si>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</si>
  <si>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</si>
  <si>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</si>
  <si>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</si>
  <si>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</si>
  <si>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</si>
  <si>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</si>
  <si>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</si>
  <si>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</si>
  <si>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</si>
  <si>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</si>
  <si>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</si>
  <si>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</si>
  <si>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</si>
  <si>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</si>
  <si>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</si>
  <si>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</si>
  <si>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</si>
  <si>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</si>
  <si>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</si>
  <si>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</si>
  <si>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</si>
  <si>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</si>
  <si>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</si>
  <si>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</si>
  <si>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</si>
  <si>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</si>
  <si>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</si>
  <si>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</si>
  <si>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</si>
  <si>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</si>
  <si>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</si>
  <si>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</si>
  <si>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</si>
  <si>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</si>
  <si>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</si>
  <si>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</si>
  <si>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</si>
  <si>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</si>
  <si>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</si>
  <si>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</si>
  <si>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</si>
  <si>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</si>
  <si>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</si>
  <si>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</si>
  <si>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</si>
  <si>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</si>
  <si>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</si>
  <si>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</si>
  <si>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</si>
  <si>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</si>
  <si>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</si>
  <si>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</si>
  <si>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</si>
  <si>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</si>
  <si>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</si>
  <si>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</si>
  <si>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</si>
  <si>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</si>
  <si>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</si>
  <si>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</si>
  <si>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</si>
  <si>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</si>
  <si>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</si>
  <si>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</si>
  <si>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</si>
  <si>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</si>
  <si>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</si>
  <si>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</si>
  <si>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</si>
  <si>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</si>
  <si>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</si>
  <si>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</si>
  <si>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</si>
  <si>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</si>
  <si>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</si>
  <si>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</si>
  <si>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</si>
  <si>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</si>
  <si>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</si>
  <si>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</si>
  <si>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</si>
  <si>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</si>
  <si>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</si>
  <si>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</si>
  <si>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</si>
  <si>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</si>
  <si>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</si>
  <si>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</si>
  <si>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</si>
  <si>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</si>
  <si>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</si>
  <si>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</si>
  <si>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</si>
  <si>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</si>
  <si>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</si>
  <si>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</si>
  <si>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</si>
  <si>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</si>
  <si>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</si>
  <si>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</si>
  <si>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</si>
  <si>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</si>
  <si>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</si>
  <si>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</si>
  <si>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</si>
  <si>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</si>
  <si>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</si>
  <si>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</si>
  <si>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</si>
  <si>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</si>
  <si>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</si>
  <si>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</si>
  <si>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</si>
  <si>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</si>
  <si>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</si>
  <si>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</si>
  <si>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</si>
  <si>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</si>
  <si>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</si>
  <si>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</si>
  <si>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</si>
  <si>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</si>
  <si>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</si>
  <si>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</si>
  <si>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</si>
  <si>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</si>
  <si>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</si>
  <si>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</si>
  <si>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</si>
  <si>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</si>
  <si>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</si>
  <si>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</si>
  <si>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</si>
  <si>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</si>
  <si>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</si>
  <si>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</si>
  <si>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</si>
  <si>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</si>
  <si>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</si>
  <si>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</si>
  <si>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</si>
  <si>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</si>
  <si>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rtdc.l.rtdc.4039:itc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</si>
  <si>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</si>
  <si>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</si>
  <si>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</si>
  <si>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</si>
  <si>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</si>
  <si>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</si>
  <si>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</si>
  <si>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</si>
  <si>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</si>
  <si>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</si>
  <si>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</si>
  <si>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</si>
  <si>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</si>
  <si>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</si>
  <si>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</si>
  <si>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</si>
  <si>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</si>
  <si>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204:134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</si>
  <si>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</si>
  <si>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</si>
  <si>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</si>
  <si>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</si>
  <si>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</si>
  <si>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</si>
  <si>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</si>
  <si>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</si>
  <si>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</si>
  <si>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</si>
  <si>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</si>
  <si>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</si>
  <si>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</si>
  <si>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</si>
  <si>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</si>
  <si>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</si>
  <si>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</si>
  <si>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</si>
  <si>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</si>
  <si>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</si>
  <si>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</si>
  <si>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</si>
  <si>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</si>
  <si>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204:233301</t>
  </si>
  <si>
    <t>204:232994</t>
  </si>
  <si>
    <t>204:232991</t>
  </si>
  <si>
    <t>204:471</t>
  </si>
  <si>
    <t>AWS CP Commands</t>
  </si>
  <si>
    <t>rtdc.l.rtdc.4012:itc</t>
  </si>
  <si>
    <t>204:444</t>
  </si>
  <si>
    <t>clear-day</t>
  </si>
  <si>
    <t>204:156</t>
  </si>
  <si>
    <t>rtdc.l.rtdc.4029:itc</t>
  </si>
  <si>
    <t>rtdc.l.rtdc.4030:itc</t>
  </si>
  <si>
    <t>BERLING</t>
  </si>
  <si>
    <t>204:139</t>
  </si>
  <si>
    <t>204:233278</t>
  </si>
  <si>
    <t>204:233304</t>
  </si>
  <si>
    <t>rtdc.l.rtdc.4054:itc</t>
  </si>
  <si>
    <t>rtdc.l.rtdc.4053:itc</t>
  </si>
  <si>
    <t>DELGADO</t>
  </si>
  <si>
    <t>MATTHEWS</t>
  </si>
  <si>
    <t>204:232983</t>
  </si>
  <si>
    <t>204:449</t>
  </si>
  <si>
    <t>204:232986</t>
  </si>
  <si>
    <t>204:138</t>
  </si>
  <si>
    <t>204:232990</t>
  </si>
  <si>
    <t>300:58613</t>
  </si>
  <si>
    <t>300:58928</t>
  </si>
  <si>
    <t>rtdc.l.rtdc.4016:itc</t>
  </si>
  <si>
    <t>rtdc.l.rtdc.4015:itc</t>
  </si>
  <si>
    <t>54-18</t>
  </si>
  <si>
    <t>PINCURA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</si>
  <si>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</si>
  <si>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</si>
  <si>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</si>
  <si>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</si>
  <si>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</si>
  <si>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</si>
  <si>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</si>
  <si>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</si>
  <si>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</si>
  <si>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</si>
  <si>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</si>
  <si>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</si>
  <si>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</si>
  <si>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</si>
  <si>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</si>
  <si>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204:232984</t>
  </si>
  <si>
    <t>204:462</t>
  </si>
  <si>
    <t>Y</t>
  </si>
  <si>
    <t>MAELZER</t>
  </si>
  <si>
    <t>ADANE</t>
  </si>
  <si>
    <t>MOSES</t>
  </si>
  <si>
    <t>YOUNG</t>
  </si>
  <si>
    <t>204:232989</t>
  </si>
  <si>
    <t>204:232993</t>
  </si>
  <si>
    <t>204:440</t>
  </si>
  <si>
    <t>204:233310</t>
  </si>
  <si>
    <t>204:233302</t>
  </si>
  <si>
    <t>Reactive Warning (1)</t>
  </si>
  <si>
    <t>rtdc.l.rtdc.4037:itc</t>
  </si>
  <si>
    <t>rtdc.l.rtdc.4005:itc</t>
  </si>
  <si>
    <t>YORK</t>
  </si>
  <si>
    <t>rtdc.l.rtdc.4038:itc</t>
  </si>
  <si>
    <t>SHOOK</t>
  </si>
  <si>
    <t>NEWELL</t>
  </si>
  <si>
    <t>204:233006</t>
  </si>
  <si>
    <t>204:233309</t>
  </si>
  <si>
    <t>204:467</t>
  </si>
  <si>
    <t>204:163</t>
  </si>
  <si>
    <t>204:136</t>
  </si>
  <si>
    <t>204:233320</t>
  </si>
  <si>
    <t>300:58609</t>
  </si>
  <si>
    <t>300:58929</t>
  </si>
  <si>
    <t>300:58924</t>
  </si>
  <si>
    <t>204:747</t>
  </si>
  <si>
    <t>rtdc.l.rtdc.4045:itc</t>
  </si>
  <si>
    <t>rtdc.l.rtdc.4013:itc</t>
  </si>
  <si>
    <t>rtdc.l.rtdc.4014:itc</t>
  </si>
  <si>
    <t>234-21</t>
  </si>
  <si>
    <t>rtdc.l.rtdc.4027:itc</t>
  </si>
  <si>
    <t>241-21</t>
  </si>
  <si>
    <t>DAVIS</t>
  </si>
  <si>
    <t>MALAVE</t>
  </si>
  <si>
    <t>STEWART</t>
  </si>
  <si>
    <t>CLARK</t>
  </si>
  <si>
    <t>HAITHCOX</t>
  </si>
  <si>
    <t>239-21</t>
  </si>
  <si>
    <t>236-21</t>
  </si>
  <si>
    <t>238-21</t>
  </si>
  <si>
    <t>240-21</t>
  </si>
  <si>
    <t>243-21</t>
  </si>
  <si>
    <t>242-21</t>
  </si>
  <si>
    <t>245-21</t>
  </si>
  <si>
    <t>309-21</t>
  </si>
  <si>
    <t>244-21</t>
  </si>
  <si>
    <t>311-21</t>
  </si>
  <si>
    <t>246-21</t>
  </si>
  <si>
    <t>313-21</t>
  </si>
  <si>
    <t>partly-cloudy-day</t>
  </si>
  <si>
    <t>204:233291</t>
  </si>
  <si>
    <t>204:232971</t>
  </si>
  <si>
    <t>204:232985</t>
  </si>
  <si>
    <t>204:233289</t>
  </si>
  <si>
    <t>204:233305</t>
  </si>
  <si>
    <t>204:233298</t>
  </si>
  <si>
    <t>204:442</t>
  </si>
  <si>
    <t>204:233307</t>
  </si>
  <si>
    <t>204:478</t>
  </si>
  <si>
    <t>204:232963</t>
  </si>
  <si>
    <t>204:233288</t>
  </si>
  <si>
    <t>204:233323</t>
  </si>
  <si>
    <t>204:232969</t>
  </si>
  <si>
    <t>204:233286</t>
  </si>
  <si>
    <t>204:233306</t>
  </si>
  <si>
    <t>300:23306</t>
  </si>
  <si>
    <t>300:58922</t>
  </si>
  <si>
    <t>rtdc.l.rtdc.4011:itc</t>
  </si>
  <si>
    <t>ACKERMAN</t>
  </si>
  <si>
    <t>BARTLETT</t>
  </si>
  <si>
    <t>BRUDER</t>
  </si>
  <si>
    <t>BRANDNER</t>
  </si>
  <si>
    <t>ARVIDSON</t>
  </si>
  <si>
    <t>rtdc.l.rtdc.4006:itc</t>
  </si>
  <si>
    <t>245-22</t>
  </si>
  <si>
    <t>242-22</t>
  </si>
  <si>
    <t>309-22</t>
  </si>
  <si>
    <t>244-22</t>
  </si>
  <si>
    <t>311-22</t>
  </si>
  <si>
    <t>246-22</t>
  </si>
  <si>
    <t>313-22</t>
  </si>
  <si>
    <t>315-22</t>
  </si>
  <si>
    <t>204:233325</t>
  </si>
  <si>
    <t>204:130</t>
  </si>
  <si>
    <t>204:165</t>
  </si>
  <si>
    <t>204:233308</t>
  </si>
  <si>
    <t>204:477</t>
  </si>
  <si>
    <t>204:233276</t>
  </si>
  <si>
    <t>204:232961</t>
  </si>
  <si>
    <t>204:457</t>
  </si>
  <si>
    <t>204:232987</t>
  </si>
  <si>
    <t>204:233314</t>
  </si>
  <si>
    <t>204:1028</t>
  </si>
  <si>
    <t>204:752</t>
  </si>
  <si>
    <t>300:58918</t>
  </si>
  <si>
    <t>300:58975</t>
  </si>
  <si>
    <t>204:232979</t>
  </si>
  <si>
    <t>204:167</t>
  </si>
  <si>
    <t>204:232992</t>
  </si>
  <si>
    <t>204:178</t>
  </si>
  <si>
    <t>204:233303</t>
  </si>
  <si>
    <t>204:431</t>
  </si>
  <si>
    <t>300:22966</t>
  </si>
  <si>
    <t>300:23299</t>
  </si>
  <si>
    <t>102-23</t>
  </si>
  <si>
    <t>rtdc.l.rtdc.4021:itc</t>
  </si>
  <si>
    <t>106-23</t>
  </si>
  <si>
    <t>110-23</t>
  </si>
  <si>
    <t>rtdc.l.rtdc.4026:itc</t>
  </si>
  <si>
    <t>112-23</t>
  </si>
  <si>
    <t>129-23</t>
  </si>
  <si>
    <t>1803-23</t>
  </si>
  <si>
    <t>1805-23</t>
  </si>
  <si>
    <t>1806-23</t>
  </si>
  <si>
    <t>142-23</t>
  </si>
  <si>
    <t>152-23</t>
  </si>
  <si>
    <t>1812-23</t>
  </si>
  <si>
    <t>51-23</t>
  </si>
  <si>
    <t>166-23</t>
  </si>
  <si>
    <t>1817-23</t>
  </si>
  <si>
    <t>176-23</t>
  </si>
  <si>
    <t>1820-23</t>
  </si>
  <si>
    <t>190-23</t>
  </si>
  <si>
    <t>194-23</t>
  </si>
  <si>
    <t>202-23</t>
  </si>
  <si>
    <t>1824-23</t>
  </si>
  <si>
    <t>60-23</t>
  </si>
  <si>
    <t>213-23</t>
  </si>
  <si>
    <t>1829-23</t>
  </si>
  <si>
    <t>236-23</t>
  </si>
  <si>
    <t>302-23</t>
  </si>
  <si>
    <t>ROBINSON</t>
  </si>
  <si>
    <t>101-23</t>
  </si>
  <si>
    <t>304-23</t>
  </si>
  <si>
    <t>103-23</t>
  </si>
  <si>
    <t>306-23</t>
  </si>
  <si>
    <t>308-23</t>
  </si>
  <si>
    <t>rtdc.l.rtdc.4040:itc</t>
  </si>
  <si>
    <t>105-23</t>
  </si>
  <si>
    <t>109-23</t>
  </si>
  <si>
    <t>310-23</t>
  </si>
  <si>
    <t>107-23</t>
  </si>
  <si>
    <t>104-23</t>
  </si>
  <si>
    <t>rtdc.l.rtdc.4025:itc</t>
  </si>
  <si>
    <t>111-23</t>
  </si>
  <si>
    <t>STAMBAUGH</t>
  </si>
  <si>
    <t>113-23</t>
  </si>
  <si>
    <t>108-23</t>
  </si>
  <si>
    <t>1901-23</t>
  </si>
  <si>
    <t>STARKS</t>
  </si>
  <si>
    <t>115-23</t>
  </si>
  <si>
    <t>117-23</t>
  </si>
  <si>
    <t>1800-23</t>
  </si>
  <si>
    <t>119-23</t>
  </si>
  <si>
    <t>1801-23</t>
  </si>
  <si>
    <t>114-23</t>
  </si>
  <si>
    <t>116-23</t>
  </si>
  <si>
    <t>121-23</t>
  </si>
  <si>
    <t>123-23</t>
  </si>
  <si>
    <t>118-23</t>
  </si>
  <si>
    <t>1802-23</t>
  </si>
  <si>
    <t>125-23</t>
  </si>
  <si>
    <t>120-23</t>
  </si>
  <si>
    <t>127-23</t>
  </si>
  <si>
    <t>122-23</t>
  </si>
  <si>
    <t>124-23</t>
  </si>
  <si>
    <t>131-23</t>
  </si>
  <si>
    <t>126-23</t>
  </si>
  <si>
    <t>1804-23</t>
  </si>
  <si>
    <t>133-23</t>
  </si>
  <si>
    <t>128-23</t>
  </si>
  <si>
    <t>130-23</t>
  </si>
  <si>
    <t>135-23</t>
  </si>
  <si>
    <t>137-23</t>
  </si>
  <si>
    <t>132-23</t>
  </si>
  <si>
    <t>139-23</t>
  </si>
  <si>
    <t>134-23</t>
  </si>
  <si>
    <t>141-23</t>
  </si>
  <si>
    <t>136-23</t>
  </si>
  <si>
    <t>143-23</t>
  </si>
  <si>
    <t>145-23</t>
  </si>
  <si>
    <t>138-23</t>
  </si>
  <si>
    <t>1807-23</t>
  </si>
  <si>
    <t>140-23</t>
  </si>
  <si>
    <t>147-23</t>
  </si>
  <si>
    <t>1808-23</t>
  </si>
  <si>
    <t>144-23</t>
  </si>
  <si>
    <t>149-23</t>
  </si>
  <si>
    <t>151-23</t>
  </si>
  <si>
    <t>146-23</t>
  </si>
  <si>
    <t>153-23</t>
  </si>
  <si>
    <t>148-23</t>
  </si>
  <si>
    <t>1809-23</t>
  </si>
  <si>
    <t>155-23</t>
  </si>
  <si>
    <t>150-23</t>
  </si>
  <si>
    <t>1810-23</t>
  </si>
  <si>
    <t>157-23</t>
  </si>
  <si>
    <t>159-23</t>
  </si>
  <si>
    <t>50-23</t>
  </si>
  <si>
    <t>154-23</t>
  </si>
  <si>
    <t>161-23</t>
  </si>
  <si>
    <t>156-23</t>
  </si>
  <si>
    <t>1811-23</t>
  </si>
  <si>
    <t>158-23</t>
  </si>
  <si>
    <t>163-23</t>
  </si>
  <si>
    <t>165-23</t>
  </si>
  <si>
    <t>160-23</t>
  </si>
  <si>
    <t>162-23</t>
  </si>
  <si>
    <t>167-23</t>
  </si>
  <si>
    <t>169-23</t>
  </si>
  <si>
    <t>1813-23</t>
  </si>
  <si>
    <t>164-23</t>
  </si>
  <si>
    <t>171-23</t>
  </si>
  <si>
    <t>1814-23</t>
  </si>
  <si>
    <t>173-23</t>
  </si>
  <si>
    <t>168-23</t>
  </si>
  <si>
    <t>175-23</t>
  </si>
  <si>
    <t>170-23</t>
  </si>
  <si>
    <t>177-23</t>
  </si>
  <si>
    <t>1815-23</t>
  </si>
  <si>
    <t>172-23</t>
  </si>
  <si>
    <t>179-23</t>
  </si>
  <si>
    <t>174-23</t>
  </si>
  <si>
    <t>1816-23</t>
  </si>
  <si>
    <t>181-23</t>
  </si>
  <si>
    <t>178-23</t>
  </si>
  <si>
    <t>183-23</t>
  </si>
  <si>
    <t>185-23</t>
  </si>
  <si>
    <t>180-23</t>
  </si>
  <si>
    <t>187-23</t>
  </si>
  <si>
    <t>182-23</t>
  </si>
  <si>
    <t>189-23</t>
  </si>
  <si>
    <t>1818-23</t>
  </si>
  <si>
    <t>184-23</t>
  </si>
  <si>
    <t>191-23</t>
  </si>
  <si>
    <t>186-23</t>
  </si>
  <si>
    <t>193-23</t>
  </si>
  <si>
    <t>1819-23</t>
  </si>
  <si>
    <t>188-23</t>
  </si>
  <si>
    <t>195-23</t>
  </si>
  <si>
    <t>197-23</t>
  </si>
  <si>
    <t>192-23</t>
  </si>
  <si>
    <t>199-23</t>
  </si>
  <si>
    <t>201-23</t>
  </si>
  <si>
    <t>196-23</t>
  </si>
  <si>
    <t>1821-23</t>
  </si>
  <si>
    <t>JACKSON</t>
  </si>
  <si>
    <t>203-23</t>
  </si>
  <si>
    <t>198-23</t>
  </si>
  <si>
    <t>205-23</t>
  </si>
  <si>
    <t>1822-23</t>
  </si>
  <si>
    <t>200-23</t>
  </si>
  <si>
    <t>207-23</t>
  </si>
  <si>
    <t>rtdc.l.rtdc.4022:itc</t>
  </si>
  <si>
    <t>63-23</t>
  </si>
  <si>
    <t>1823-23</t>
  </si>
  <si>
    <t>204-23</t>
  </si>
  <si>
    <t>209-23</t>
  </si>
  <si>
    <t>211-23</t>
  </si>
  <si>
    <t>206-23</t>
  </si>
  <si>
    <t>208-23</t>
  </si>
  <si>
    <t>215-23</t>
  </si>
  <si>
    <t>210-23</t>
  </si>
  <si>
    <t>217-23</t>
  </si>
  <si>
    <t>1825-23</t>
  </si>
  <si>
    <t>212-23</t>
  </si>
  <si>
    <t>219-23</t>
  </si>
  <si>
    <t>214-23</t>
  </si>
  <si>
    <t>1826-23</t>
  </si>
  <si>
    <t>303-23</t>
  </si>
  <si>
    <t>216-23</t>
  </si>
  <si>
    <t>221-23</t>
  </si>
  <si>
    <t>218-23</t>
  </si>
  <si>
    <t>305-23</t>
  </si>
  <si>
    <t>1827-23</t>
  </si>
  <si>
    <t>220-23</t>
  </si>
  <si>
    <t>223-23</t>
  </si>
  <si>
    <t>307-23</t>
  </si>
  <si>
    <t>1828-23</t>
  </si>
  <si>
    <t>225-23</t>
  </si>
  <si>
    <t>222-23</t>
  </si>
  <si>
    <t>224-23</t>
  </si>
  <si>
    <t>227-23</t>
  </si>
  <si>
    <t>226-23</t>
  </si>
  <si>
    <t>1830-23</t>
  </si>
  <si>
    <t>229-23</t>
  </si>
  <si>
    <t>231-23</t>
  </si>
  <si>
    <t>228-23</t>
  </si>
  <si>
    <t>1831-23</t>
  </si>
  <si>
    <t>233-23</t>
  </si>
  <si>
    <t>1832-23</t>
  </si>
  <si>
    <t>230-23</t>
  </si>
  <si>
    <t>1833-23</t>
  </si>
  <si>
    <t>232-23</t>
  </si>
  <si>
    <t>235-23</t>
  </si>
  <si>
    <t>1902-23</t>
  </si>
  <si>
    <t>234-23</t>
  </si>
  <si>
    <t>237-23</t>
  </si>
  <si>
    <t>239-23</t>
  </si>
  <si>
    <t>241-23</t>
  </si>
  <si>
    <t>238-23</t>
  </si>
  <si>
    <t>240-23</t>
  </si>
  <si>
    <t>243-23</t>
  </si>
  <si>
    <t>309-23</t>
  </si>
  <si>
    <t>242-23</t>
  </si>
  <si>
    <t>311-23</t>
  </si>
  <si>
    <t>244-23</t>
  </si>
  <si>
    <t>313-23</t>
  </si>
  <si>
    <t>partly-cloudy-night</t>
  </si>
  <si>
    <t>Mostly Cloudy</t>
  </si>
  <si>
    <t>204:1171</t>
  </si>
  <si>
    <t>204:232968</t>
  </si>
  <si>
    <t>204:875</t>
  </si>
  <si>
    <t>204:704</t>
  </si>
  <si>
    <t>204:233370</t>
  </si>
  <si>
    <t>204:232731</t>
  </si>
  <si>
    <t>204:795</t>
  </si>
  <si>
    <t>204:233334</t>
  </si>
  <si>
    <t>204:232677</t>
  </si>
  <si>
    <t>204:938</t>
  </si>
  <si>
    <t>204:619</t>
  </si>
  <si>
    <t>204:232957</t>
  </si>
  <si>
    <t>204:327</t>
  </si>
  <si>
    <t>204:761</t>
  </si>
  <si>
    <t>204:232978</t>
  </si>
  <si>
    <t>204:770</t>
  </si>
  <si>
    <t>204:232988</t>
  </si>
  <si>
    <t>204:233282</t>
  </si>
  <si>
    <t>204:37191</t>
  </si>
  <si>
    <t>204:233274</t>
  </si>
  <si>
    <t>204:232955</t>
  </si>
  <si>
    <t>204:433</t>
  </si>
  <si>
    <t>204:232982</t>
  </si>
  <si>
    <t>204:232998</t>
  </si>
  <si>
    <t>204:232981</t>
  </si>
  <si>
    <t>204:116</t>
  </si>
  <si>
    <t>204:153994</t>
  </si>
  <si>
    <t>204:232946</t>
  </si>
  <si>
    <t>204:438</t>
  </si>
  <si>
    <t>204:233008</t>
  </si>
  <si>
    <t>204:207</t>
  </si>
  <si>
    <t>204:198</t>
  </si>
  <si>
    <t>204:86349</t>
  </si>
  <si>
    <t>204:85218</t>
  </si>
  <si>
    <t>204:233364</t>
  </si>
  <si>
    <t>204:233046</t>
  </si>
  <si>
    <t>204:233343</t>
  </si>
  <si>
    <t>204:240</t>
  </si>
  <si>
    <t>204:233315</t>
  </si>
  <si>
    <t>204:524</t>
  </si>
  <si>
    <t>300:58619</t>
  </si>
  <si>
    <t>204:731</t>
  </si>
  <si>
    <t>204:1014</t>
  </si>
  <si>
    <t>300:58623</t>
  </si>
  <si>
    <t>204:1007</t>
  </si>
  <si>
    <t>300:58935</t>
  </si>
  <si>
    <t>204:701</t>
  </si>
  <si>
    <t>204:988</t>
  </si>
  <si>
    <t>300:58604</t>
  </si>
  <si>
    <t>204:820</t>
  </si>
  <si>
    <t>204:1112</t>
  </si>
  <si>
    <t>300:58931</t>
  </si>
  <si>
    <t>300:58628</t>
  </si>
  <si>
    <t>204:993</t>
  </si>
  <si>
    <t>204:502</t>
  </si>
  <si>
    <t>204:733</t>
  </si>
  <si>
    <t>204:1011</t>
  </si>
  <si>
    <t>204:1053</t>
  </si>
  <si>
    <t>300:58933</t>
  </si>
  <si>
    <t>204:726</t>
  </si>
  <si>
    <t>300:58624</t>
  </si>
  <si>
    <t>204:736</t>
  </si>
  <si>
    <t>204:1020</t>
  </si>
  <si>
    <t>300:58661</t>
  </si>
  <si>
    <t>204:708</t>
  </si>
  <si>
    <t>204:974</t>
  </si>
  <si>
    <t>300:58954</t>
  </si>
  <si>
    <t>204:233002</t>
  </si>
  <si>
    <t>204:191</t>
  </si>
  <si>
    <t>300:58638</t>
  </si>
  <si>
    <t>204:638</t>
  </si>
  <si>
    <t>204:927</t>
  </si>
  <si>
    <t>300:58611</t>
  </si>
  <si>
    <t>204:710</t>
  </si>
  <si>
    <t>204:990</t>
  </si>
  <si>
    <t>204:694</t>
  </si>
  <si>
    <t>204:979</t>
  </si>
  <si>
    <t>300:58944</t>
  </si>
  <si>
    <t>300:58636</t>
  </si>
  <si>
    <t>204:654</t>
  </si>
  <si>
    <t>204:930</t>
  </si>
  <si>
    <t>300:58956</t>
  </si>
  <si>
    <t>300:58643</t>
  </si>
  <si>
    <t>204:981</t>
  </si>
  <si>
    <t>204:935</t>
  </si>
  <si>
    <t>204:450</t>
  </si>
  <si>
    <t>204:233327</t>
  </si>
  <si>
    <t>204:544</t>
  </si>
  <si>
    <t>300:29893</t>
  </si>
  <si>
    <t>300:21445</t>
  </si>
  <si>
    <t>204:486</t>
  </si>
  <si>
    <t>204:234</t>
  </si>
  <si>
    <t>204:497</t>
  </si>
  <si>
    <t>204:174</t>
  </si>
  <si>
    <t>204:233329</t>
  </si>
  <si>
    <t>204:233355</t>
  </si>
  <si>
    <t>204:233034</t>
  </si>
  <si>
    <t>204:232996</t>
  </si>
  <si>
    <t>204:212</t>
  </si>
  <si>
    <t>204:491</t>
  </si>
  <si>
    <t>204:233326</t>
  </si>
  <si>
    <t>204:233007</t>
  </si>
  <si>
    <t>204:557</t>
  </si>
  <si>
    <t>204:137</t>
  </si>
  <si>
    <t>204:426</t>
  </si>
  <si>
    <t>204:120</t>
  </si>
  <si>
    <t>204:437</t>
  </si>
  <si>
    <t>204:233113</t>
  </si>
  <si>
    <t>204:232800</t>
  </si>
  <si>
    <t>204:506</t>
  </si>
  <si>
    <t>204:233359</t>
  </si>
  <si>
    <t>204:233025</t>
  </si>
  <si>
    <t>204:157</t>
  </si>
  <si>
    <t>204:233268</t>
  </si>
  <si>
    <t>204:475</t>
  </si>
  <si>
    <t>204:114</t>
  </si>
  <si>
    <t>204:232953</t>
  </si>
  <si>
    <t>204:1003</t>
  </si>
  <si>
    <t>204:189</t>
  </si>
  <si>
    <t>204:920</t>
  </si>
  <si>
    <t>300:23044</t>
  </si>
  <si>
    <t>300:21303</t>
  </si>
  <si>
    <t>204:424</t>
  </si>
  <si>
    <t>300:26984</t>
  </si>
  <si>
    <t>300:22478</t>
  </si>
  <si>
    <t>204:85</t>
  </si>
  <si>
    <t>204:408</t>
  </si>
  <si>
    <t>300:28656</t>
  </si>
  <si>
    <t>300:23288</t>
  </si>
  <si>
    <t>204:459</t>
  </si>
  <si>
    <t>300:26906</t>
  </si>
  <si>
    <t>300:23459</t>
  </si>
  <si>
    <t>300:31146</t>
  </si>
  <si>
    <t>300:23446</t>
  </si>
  <si>
    <t>300:23308</t>
  </si>
  <si>
    <t>300:23502</t>
  </si>
  <si>
    <t>204:867</t>
  </si>
  <si>
    <t>204:1175</t>
  </si>
  <si>
    <t>300:24218</t>
  </si>
  <si>
    <t>300:25601</t>
  </si>
  <si>
    <t>204:926</t>
  </si>
  <si>
    <t>204:1464</t>
  </si>
  <si>
    <t>300:21083</t>
  </si>
  <si>
    <t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t>
  </si>
  <si>
    <t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t>
  </si>
  <si>
    <t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t>
  </si>
  <si>
    <t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t>
  </si>
  <si>
    <t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t>
  </si>
  <si>
    <t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t>
  </si>
  <si>
    <t>Onboard in-route failure</t>
  </si>
  <si>
    <t xml:space="preserve">multiple cpu faults @ 2016-10-23 06:55:53 </t>
  </si>
  <si>
    <t xml:space="preserve">multiple cpu faults @ 2016-10-23 10:56:54 </t>
  </si>
  <si>
    <t>Slice failure at 13:34:45</t>
  </si>
  <si>
    <t>Slice state change at 15:38, but didn't affect run</t>
  </si>
  <si>
    <t>Multiple cpu faults at 2016-10-23 11:50:32</t>
  </si>
  <si>
    <t>Mechanical - braking issues</t>
  </si>
  <si>
    <t>Early arrival</t>
  </si>
  <si>
    <t>Overspeed</t>
  </si>
  <si>
    <t>http://stevetu21.github.io/eaglep3/load_kml.html?kml=http://rtdc.gmaps-snips.s3.amazonaws.com/d303b0ad-be61-4b71-a3f5-49528ced1d1b.kml</t>
  </si>
  <si>
    <t>Wi-MAX outage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</si>
</sst>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60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8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42666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COUNTIFS($N$13:$N$9411,"&gt;0",$AG$13:$AG$9411,I1)</f>
        <v>140</v>
      </c>
      <c r="K5" s="44"/>
      <c r="L5" s="44"/>
      <c r="M5" s="45">
        <f>AVERAGEIFS($N$13:$N$9411,$AG$13:$AG$9411,I1)</f>
        <v>37.807619047858417</v>
      </c>
      <c r="N5" s="43">
        <f t="array" ref="N5">MIN(IF($AG$13:$AG$9411=I1,IF(ISNUMBER($N$13:$N$9411),IF($N$13:$N$9411&gt;0,$N$13:$N$9411))))</f>
        <v>34.533333338331431</v>
      </c>
      <c r="O5" s="3">
        <f t="array" ref="O5">MAX(IF($AG$13:$AG$9411=I1,IF(ISNUMBER($N$13:$N$9411),IF($N$13:$N$9411&gt;0,$N$13:$N$9411))))</f>
        <v>47.283333332743496</v>
      </c>
      <c r="P5" s="2"/>
      <c r="R5" s="80" t="s">
        <v>17</v>
      </c>
      <c r="S5" s="55">
        <f>COUNTIFS($N$13:$N$9411,"&gt;0",$AG$13:$AG$9411,R1)</f>
        <v>34</v>
      </c>
      <c r="T5" s="44"/>
      <c r="U5" s="175"/>
      <c r="V5" s="45">
        <f>AVERAGEIFS($N$13:$N$9411,$AG$13:$AG$9411,R1)</f>
        <v>16.136274509994752</v>
      </c>
      <c r="W5" s="43">
        <f t="array" ref="W5">MIN(IF($AG$13:$AG$9411=R1,IF(ISNUMBER($N$13:$N$9411),IF($N$13:$N$9411&gt;0,$N$13:$N$9411))))</f>
        <v>13.16666666418314</v>
      </c>
      <c r="X5" s="167">
        <f t="array" ref="X5">MAX(IF($AG$13:$AG$9411=R1,IF(ISNUMBER($N$13:$N$9411),IF($N$13:$N$9411&gt;0,$N$13:$N$9411))))</f>
        <v>34.016666666138917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COUNT($O$13:$O$181)</f>
        <v>0</v>
      </c>
      <c r="K6" s="44"/>
      <c r="L6" s="44"/>
      <c r="M6" s="45">
        <f>IFERROR(AVERAGE($O$13:$O$181),0)</f>
        <v>0</v>
      </c>
      <c r="N6" s="43">
        <f>MIN($O$13:$O$181)</f>
        <v>0</v>
      </c>
      <c r="O6" s="3">
        <f>MAX($O$13:$O$181)</f>
        <v>0</v>
      </c>
      <c r="P6" s="2"/>
      <c r="R6" s="81" t="s">
        <v>43</v>
      </c>
      <c r="S6" s="55">
        <f>COUNT($O$13:$O$181)</f>
        <v>0</v>
      </c>
      <c r="T6" s="44"/>
      <c r="U6" s="175"/>
      <c r="V6" s="45">
        <f>IFERROR(AVERAGE($O$13:$O$181),0)</f>
        <v>0</v>
      </c>
      <c r="W6" s="43">
        <f>MIN($O$13:$O$181)</f>
        <v>0</v>
      </c>
      <c r="X6" s="167">
        <f>MAX($O$13:$O$181)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COUNTIFS($P$13:$P$9411,"&gt;0",$AG$13:$AG$9411,I1)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COUNTIFS($P$13:$P$9411,"&gt;0",$AG$13:$AG$9411,R1)</f>
        <v>0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37.807619047858417</v>
      </c>
      <c r="N8" s="43">
        <f>N5</f>
        <v>34.533333338331431</v>
      </c>
      <c r="O8" s="3">
        <f>O5</f>
        <v>47.283333332743496</v>
      </c>
      <c r="P8" s="2"/>
      <c r="R8" s="80" t="s">
        <v>16</v>
      </c>
      <c r="S8" s="55">
        <f>S5</f>
        <v>34</v>
      </c>
      <c r="T8" s="44"/>
      <c r="U8" s="175"/>
      <c r="V8" s="45">
        <f>V5</f>
        <v>16.136274509994752</v>
      </c>
      <c r="W8" s="43">
        <f>W5</f>
        <v>13.16666666418314</v>
      </c>
      <c r="X8" s="167">
        <f>X5</f>
        <v>34.016666666138917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- 2016-10-23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AVERAGE(S13:S113)</f>
        <v>0.98750000000000004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435</v>
      </c>
      <c r="B13" s="7">
        <v>4014</v>
      </c>
      <c r="C13" s="22" t="s">
        <v>99</v>
      </c>
      <c r="D13" s="22" t="s">
        <v>613</v>
      </c>
      <c r="E13" s="13">
        <v>42666.137962962966</v>
      </c>
      <c r="F13" s="13">
        <v>42666.139965277776</v>
      </c>
      <c r="G13" s="7">
        <v>1</v>
      </c>
      <c r="H13" s="13" t="s">
        <v>223</v>
      </c>
      <c r="I13" s="13">
        <v>42666.165370370371</v>
      </c>
      <c r="J13" s="7">
        <v>0</v>
      </c>
      <c r="K13" s="112" t="str">
        <f t="shared" ref="K13:K44" si="0">IF(ISEVEN(B13),(B13-1)&amp;"/"&amp;B13,B13&amp;"/"&amp;(B13+1))</f>
        <v>4013/4014</v>
      </c>
      <c r="L13" s="22" t="str">
        <f>VLOOKUP(A13,'Trips&amp;Operators'!$C$1:$E$10000,3,FALSE)</f>
        <v>ROBINSON</v>
      </c>
      <c r="M13" s="6">
        <f t="shared" ref="M13:M44" si="1">I13-F13</f>
        <v>2.5405092594155576E-2</v>
      </c>
      <c r="N13" s="7">
        <f t="shared" ref="N13:P44" si="2">24*60*SUM($M13:$M13)</f>
        <v>36.58333333558403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44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https://search-rtdc-monitor-bjffxe2xuh6vdkpspy63sjmuny.us-east-1.es.amazonaws.com/_plugin/kibana/#/discover/Steve-Slow-Train-Analysis-(2080s-and-2083s)?_g=(refreshInterval:(display:Off,section:0,value:0),time:(from:'2016-10-23 02:18:40-0600',mode:absolute,to:'2016-10-23 04:58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" s="52" t="str">
        <f t="shared" ref="W13:W44" si="6">IF(AA13&lt;IF(AG13="EC",23,5.65),"Y","N")</f>
        <v>N</v>
      </c>
      <c r="X13" s="171" t="e">
        <f t="shared" ref="X13:X44" si="7">VALUE(LEFT(AD13,4))-VALUE(LEFT(AD12,4))</f>
        <v>#VALUE!</v>
      </c>
      <c r="Y13" s="67">
        <f t="shared" ref="Y13:Y44" si="8">RIGHT(D13,LEN(D13)-4)/10000</f>
        <v>0.1171</v>
      </c>
      <c r="Z13" s="67">
        <f t="shared" ref="Z13:Z44" si="9">RIGHT(H13,LEN(H13)-4)/10000</f>
        <v>23.3293</v>
      </c>
      <c r="AA13" s="67">
        <f t="shared" ref="AA13:AA44" si="10">ABS(Z13-Y13)</f>
        <v>23.212199999999999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44" si="11">IF(LEN(A13)=6,"0"&amp;A13,A13)</f>
        <v>0101-23</v>
      </c>
      <c r="AE13" s="91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"%USERPROFILE%\AppData\Local\Temp\OnboardLogs"\RTDC4014\2016-10-23 --exclude "*" --recursive --include "*20161023*" &amp; "%USERPROFILE%\Documents\GitHub\mrs-test-scripts\Headless Mode &amp; Sideloading\WalkAndUnGZ.bat" "%USERPROFILE%\AppData\Local\Temp\OnboardLogs"\RTDC4014\2016-10-23 &amp; 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</v>
      </c>
      <c r="AF13" s="88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/stypes="app*4014*20161023*" /stext=" 09:.+((SYSTEM_STATE.+slice.+state.+changed )|(ment ac)|(system.+state.+changed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4014 --swversion DE.1.0.7.0 --startMP 204:1171 --initTime 2016-10-23T03:18:40 --startdatetime 2016-10-23T03:21:33 --delay 1 --endMP 204:233293 --enddatetime 2016-10-23T03:58:08 --enforcementcount 0 &gt;&gt;C:\Users\stu\Documents\GitHub\eaglep3-reporting\EC\2016-10-23-refined-times.txt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{"issue":{"subject":"","project_id":79,"tracker_id":40,"status_id":1,"priority_id":2,"assigned_to_id":23,"start_date":"2016-10-23","description":"","custom_fields":[{"id":1,"name":"Subdivision","value":"EC"},{"id":4,"name":"Milepost","value":"23.3293"},{"id":17,"name":"Train ID","value":"101-23"},{"id":16,"name":"Locomotive ID","value":"4014"},{"id":130,"name":"Impact","value":""},{"id":150,"name":"Time of Event (Mountain Time)","value":"03:58:08"},{"id":151,"name":"Denver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407</v>
      </c>
      <c r="B14" s="7">
        <v>4013</v>
      </c>
      <c r="C14" s="22" t="s">
        <v>99</v>
      </c>
      <c r="D14" s="22" t="s">
        <v>614</v>
      </c>
      <c r="E14" s="13">
        <v>42666.171493055554</v>
      </c>
      <c r="F14" s="13">
        <v>42666.17528935185</v>
      </c>
      <c r="G14" s="7">
        <v>2</v>
      </c>
      <c r="H14" s="13" t="s">
        <v>615</v>
      </c>
      <c r="I14" s="13">
        <v>42666.204108796293</v>
      </c>
      <c r="J14" s="7">
        <v>0</v>
      </c>
      <c r="K14" s="112" t="str">
        <f t="shared" si="0"/>
        <v>4013/4014</v>
      </c>
      <c r="L14" s="22" t="str">
        <f>VLOOKUP(A14,'Trips&amp;Operators'!$C$1:$E$10000,3,FALSE)</f>
        <v>YOUNG</v>
      </c>
      <c r="M14" s="6">
        <f t="shared" si="1"/>
        <v>2.8819444443797693E-2</v>
      </c>
      <c r="N14" s="7">
        <f t="shared" si="2"/>
        <v>41.499999999068677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03:06:57-0600',mode:absolute,to:'2016-10-23 05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23.296800000000001</v>
      </c>
      <c r="Z14" s="67">
        <f t="shared" si="9"/>
        <v>8.7499999999999994E-2</v>
      </c>
      <c r="AA14" s="67">
        <f t="shared" si="10"/>
        <v>23.209300000000002</v>
      </c>
      <c r="AB14" s="64" t="str">
        <f>VLOOKUP(A14,Enforcements!$C$7:$K$21,8,0)</f>
        <v>Form based authority (4)</v>
      </c>
      <c r="AC14" s="60" t="str">
        <f>VLOOKUP(A14,Enforcements!$C$7:$E$21,3,0)</f>
        <v>TRACK WARRANT AUTHORITY</v>
      </c>
      <c r="AD14" s="61" t="str">
        <f t="shared" si="11"/>
        <v>0102-23</v>
      </c>
      <c r="AE14" s="91" t="str">
        <f t="shared" si="12"/>
        <v>aws s3 cp s3://rtdc.mdm.uploadarchive.raw/RTDC4013/ "%USERPROFILE%\AppData\Local\Temp\OnboardLogs"\RTDC4013\2016-10-23 --exclude "*" --recursive --include "*20161023*" &amp; "%USERPROFILE%\Documents\GitHub\mrs-test-scripts\Headless Mode &amp; Sideloading\WalkAndUnGZ.bat" "%USERPROFILE%\AppData\Local\Temp\OnboardLogs"\RTDC4013\2016-10-23 &amp; 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</v>
      </c>
      <c r="AF14" s="88" t="str">
        <f t="shared" si="13"/>
        <v>"C:\Program Files (x86)\AstroGrep\AstroGrep.exe" /spath="%USERPROFILE%\AppData\Local\Temp\OnboardLogs" /stypes="app*4013*20161023*"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4013 --swversion DE.1.0.7.0 --startMP 204:232968 --initTime 2016-10-23T04:06:57 --startdatetime 2016-10-23T04:12:25 --delay 2 --endMP 204:875 --enddatetime 2016-10-23T04:53:55 --enforcementcount 0 &gt;&gt;C:\Users\stu\Documents\GitHub\eaglep3-reporting\EC\2016-10-23-refined-times.txt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{"issue":{"subject":"","project_id":79,"tracker_id":40,"status_id":1,"priority_id":2,"assigned_to_id":23,"start_date":"2016-10-23","description":"","custom_fields":[{"id":1,"name":"Subdivision","value":"EC"},{"id":4,"name":"Milepost","value":"0.0875"},{"id":17,"name":"Train ID","value":"102-23"},{"id":16,"name":"Locomotive ID","value":"4013"},{"id":130,"name":"Impact","value":""},{"id":150,"name":"Time of Event (Mountain Time)","value":"04:53:55"},{"id":151,"name":"Denver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437</v>
      </c>
      <c r="B15" s="7">
        <v>4018</v>
      </c>
      <c r="C15" s="22" t="s">
        <v>99</v>
      </c>
      <c r="D15" s="22" t="s">
        <v>616</v>
      </c>
      <c r="E15" s="13">
        <v>42666.152407407404</v>
      </c>
      <c r="F15" s="13">
        <v>42666.156493055554</v>
      </c>
      <c r="G15" s="7">
        <v>2</v>
      </c>
      <c r="H15" s="13" t="s">
        <v>617</v>
      </c>
      <c r="I15" s="13">
        <v>42666.181886574072</v>
      </c>
      <c r="J15" s="7">
        <v>0</v>
      </c>
      <c r="K15" s="112" t="str">
        <f t="shared" si="0"/>
        <v>4017/4018</v>
      </c>
      <c r="L15" s="22" t="str">
        <f>VLOOKUP(A15,'Trips&amp;Operators'!$C$1:$E$10000,3,FALSE)</f>
        <v>ACKERMAN</v>
      </c>
      <c r="M15" s="6">
        <f t="shared" si="1"/>
        <v>2.5393518517375924E-2</v>
      </c>
      <c r="N15" s="7">
        <f t="shared" si="2"/>
        <v>36.56666666502133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02:39:28-0600',mode:absolute,to:'2016-10-23 05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7.0400000000000004E-2</v>
      </c>
      <c r="Z15" s="67">
        <f t="shared" si="9"/>
        <v>23.337</v>
      </c>
      <c r="AA15" s="67">
        <f t="shared" si="10"/>
        <v>23.2666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0103-23</v>
      </c>
      <c r="AE15" s="91" t="str">
        <f t="shared" si="12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5" s="88" t="str">
        <f t="shared" si="13"/>
        <v>"C:\Program Files (x86)\AstroGrep\AstroGrep.exe" /spath="%USERPROFILE%\AppData\Local\Temp\OnboardLogs" /stypes="app*4018*20161023*"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103-23 --locoid 4018 --swversion DE.1.0.7.0 --startMP 204:704 --initTime 2016-10-23T03:39:28 --startdatetime 2016-10-23T03:45:21 --delay 2 --endMP 204:233370 --enddatetime 2016-10-23T04:21:55 --enforcementcount 0 &gt;&gt;C:\Users\stu\Documents\GitHub\eaglep3-reporting\EC\2016-10-23-refined-times.txt</v>
      </c>
      <c r="AI1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{"issue":{"subject":"","project_id":79,"tracker_id":40,"status_id":1,"priority_id":2,"assigned_to_id":23,"start_date":"2016-10-23","description":"","custom_fields":[{"id":1,"name":"Subdivision","value":"EC"},{"id":4,"name":"Milepost","value":"23.337"},{"id":17,"name":"Train ID","value":"103-23"},{"id":16,"name":"Locomotive ID","value":"4018"},{"id":130,"name":"Impact","value":""},{"id":150,"name":"Time of Event (Mountain Time)","value":"04:21:55"},{"id":151,"name":"Denver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445</v>
      </c>
      <c r="B16" s="7">
        <v>4010</v>
      </c>
      <c r="C16" s="22" t="s">
        <v>99</v>
      </c>
      <c r="D16" s="22" t="s">
        <v>618</v>
      </c>
      <c r="E16" s="13">
        <v>42666.189351851855</v>
      </c>
      <c r="F16" s="13">
        <v>42666.195347222223</v>
      </c>
      <c r="G16" s="7">
        <v>1</v>
      </c>
      <c r="H16" s="13" t="s">
        <v>322</v>
      </c>
      <c r="I16" s="13">
        <v>42666.222453703704</v>
      </c>
      <c r="J16" s="7">
        <v>0</v>
      </c>
      <c r="K16" s="112" t="str">
        <f t="shared" si="0"/>
        <v>4009/4010</v>
      </c>
      <c r="L16" s="22" t="str">
        <f>VLOOKUP(A16,'Trips&amp;Operators'!$C$1:$E$10000,3,FALSE)</f>
        <v>ACKERMAN</v>
      </c>
      <c r="M16" s="6">
        <f t="shared" si="1"/>
        <v>2.7106481480586808E-2</v>
      </c>
      <c r="N16" s="7">
        <f t="shared" si="2"/>
        <v>39.033333332045004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03:32:40-0600',mode:absolute,to:'2016-10-23 06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23.273099999999999</v>
      </c>
      <c r="Z16" s="67">
        <f t="shared" si="9"/>
        <v>1.6299999999999999E-2</v>
      </c>
      <c r="AA16" s="67">
        <f t="shared" si="10"/>
        <v>23.256799999999998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0104-23</v>
      </c>
      <c r="AE16" s="91" t="str">
        <f t="shared" si="12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6" s="88" t="str">
        <f t="shared" si="13"/>
        <v>"C:\Program Files (x86)\AstroGrep\AstroGrep.exe" /spath="%USERPROFILE%\AppData\Local\Temp\OnboardLogs" /stypes="app*4010*20161023*"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104-23 --locoid 4010 --swversion DE.1.0.7.0 --startMP 204:232731 --initTime 2016-10-23T04:32:40 --startdatetime 2016-10-23T04:41:18 --delay 1 --endMP 204:163 --enddatetime 2016-10-23T05:20:20 --enforcementcount 0 &gt;&gt;C:\Users\stu\Documents\GitHub\eaglep3-reporting\EC\2016-10-23-refined-times.txt</v>
      </c>
      <c r="AI1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{"issue":{"subject":"","project_id":79,"tracker_id":40,"status_id":1,"priority_id":2,"assigned_to_id":23,"start_date":"2016-10-23","description":"","custom_fields":[{"id":1,"name":"Subdivision","value":"EC"},{"id":4,"name":"Milepost","value":"0.0163"},{"id":17,"name":"Train ID","value":"104-23"},{"id":16,"name":"Locomotive ID","value":"4010"},{"id":130,"name":"Impact","value":""},{"id":150,"name":"Time of Event (Mountain Time)","value":"05:20:20"},{"id":151,"name":"Denver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441</v>
      </c>
      <c r="B17" s="7">
        <v>4040</v>
      </c>
      <c r="C17" s="22" t="s">
        <v>99</v>
      </c>
      <c r="D17" s="22" t="s">
        <v>619</v>
      </c>
      <c r="E17" s="13">
        <v>42666.173622685186</v>
      </c>
      <c r="F17" s="13">
        <v>42666.177395833336</v>
      </c>
      <c r="G17" s="7">
        <v>1</v>
      </c>
      <c r="H17" s="13" t="s">
        <v>620</v>
      </c>
      <c r="I17" s="13">
        <v>42666.203217592592</v>
      </c>
      <c r="J17" s="7">
        <v>0</v>
      </c>
      <c r="K17" s="112" t="str">
        <f t="shared" si="0"/>
        <v>4039/4040</v>
      </c>
      <c r="L17" s="22" t="str">
        <f>VLOOKUP(A17,'Trips&amp;Operators'!$C$1:$E$10000,3,FALSE)</f>
        <v>MAELZER</v>
      </c>
      <c r="M17" s="6">
        <f t="shared" si="1"/>
        <v>2.5821759256359655E-2</v>
      </c>
      <c r="N17" s="7">
        <f t="shared" si="2"/>
        <v>37.183333329157904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03:10:01-0600',mode:absolute,to:'2016-10-23 05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7.9500000000000001E-2</v>
      </c>
      <c r="Z17" s="67">
        <f t="shared" si="9"/>
        <v>23.333400000000001</v>
      </c>
      <c r="AA17" s="67">
        <f t="shared" si="10"/>
        <v>23.253900000000002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0105-23</v>
      </c>
      <c r="AE17" s="91" t="str">
        <f t="shared" si="12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7" s="88" t="str">
        <f t="shared" si="13"/>
        <v>"C:\Program Files (x86)\AstroGrep\AstroGrep.exe" /spath="%USERPROFILE%\AppData\Local\Temp\OnboardLogs" /stypes="app*4040*20161023*"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105-23 --locoid 4040 --swversion DE.1.0.7.0 --startMP 204:795 --initTime 2016-10-23T04:10:01 --startdatetime 2016-10-23T04:15:27 --delay 1 --endMP 204:233334 --enddatetime 2016-10-23T04:52:38 --enforcementcount 0 &gt;&gt;C:\Users\stu\Documents\GitHub\eaglep3-reporting\EC\2016-10-23-refined-times.txt</v>
      </c>
      <c r="AI1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{"issue":{"subject":"","project_id":79,"tracker_id":40,"status_id":1,"priority_id":2,"assigned_to_id":23,"start_date":"2016-10-23","description":"","custom_fields":[{"id":1,"name":"Subdivision","value":"EC"},{"id":4,"name":"Milepost","value":"23.3334"},{"id":17,"name":"Train ID","value":"105-23"},{"id":16,"name":"Locomotive ID","value":"4040"},{"id":130,"name":"Impact","value":""},{"id":150,"name":"Time of Event (Mountain Time)","value":"04:52:38"},{"id":151,"name":"Denver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409</v>
      </c>
      <c r="B18" s="7">
        <v>4021</v>
      </c>
      <c r="C18" s="22" t="s">
        <v>99</v>
      </c>
      <c r="D18" s="22" t="s">
        <v>621</v>
      </c>
      <c r="E18" s="13">
        <v>42666.211875000001</v>
      </c>
      <c r="F18" s="13">
        <v>42666.216284722221</v>
      </c>
      <c r="G18" s="7">
        <v>1</v>
      </c>
      <c r="H18" s="13" t="s">
        <v>220</v>
      </c>
      <c r="I18" s="13">
        <v>42666.244421296295</v>
      </c>
      <c r="J18" s="7">
        <v>0</v>
      </c>
      <c r="K18" s="112" t="str">
        <f t="shared" si="0"/>
        <v>4021/4022</v>
      </c>
      <c r="L18" s="22" t="str">
        <f>VLOOKUP(A18,'Trips&amp;Operators'!$C$1:$E$10000,3,FALSE)</f>
        <v>MAELZER</v>
      </c>
      <c r="M18" s="6">
        <f t="shared" si="1"/>
        <v>2.8136574073869269E-2</v>
      </c>
      <c r="N18" s="7">
        <f t="shared" si="2"/>
        <v>40.516666666371748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04:05:06-0600',mode:absolute,to:'2016-10-23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23.267700000000001</v>
      </c>
      <c r="Z18" s="67">
        <f t="shared" si="9"/>
        <v>1.4500000000000001E-2</v>
      </c>
      <c r="AA18" s="67">
        <f t="shared" si="10"/>
        <v>23.2532</v>
      </c>
      <c r="AB18" s="64" t="str">
        <f>VLOOKUP(A18,Enforcements!$C$7:$K$21,8,0)</f>
        <v>Bulletin (2)</v>
      </c>
      <c r="AC18" s="60" t="str">
        <f>VLOOKUP(A18,Enforcements!$C$7:$E$21,3,0)</f>
        <v>GRADE CROSSING</v>
      </c>
      <c r="AD18" s="61" t="str">
        <f t="shared" si="11"/>
        <v>0106-23</v>
      </c>
      <c r="AE18" s="91" t="str">
        <f t="shared" si="12"/>
        <v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v>
      </c>
      <c r="AF18" s="88" t="str">
        <f t="shared" si="13"/>
        <v>"C:\Program Files (x86)\AstroGrep\AstroGrep.exe" /spath="%USERPROFILE%\AppData\Local\Temp\OnboardLogs" /stypes="app*4021*20161023*"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106-23 --locoid 4021 --swversion DE.1.0.7.0 --startMP 204:232677 --initTime 2016-10-23T05:05:06 --startdatetime 2016-10-23T05:11:27 --delay 1 --endMP 204:145 --enddatetime 2016-10-23T05:51:58 --enforcementcount 0 &gt;&gt;C:\Users\stu\Documents\GitHub\eaglep3-reporting\EC\2016-10-23-refined-times.txt</v>
      </c>
      <c r="AI1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ID","value":"106-23"},{"id":16,"name":"Locomotive ID","value":"4021"},{"id":130,"name":"Impact","value":""},{"id":150,"name":"Time of Event (Mountain Time)","value":"05:51:58"},{"id":151,"name":"Denver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444</v>
      </c>
      <c r="B19" s="7">
        <v>4046</v>
      </c>
      <c r="C19" s="22" t="s">
        <v>99</v>
      </c>
      <c r="D19" s="22" t="s">
        <v>622</v>
      </c>
      <c r="E19" s="13">
        <v>42666.185925925929</v>
      </c>
      <c r="F19" s="13">
        <v>42666.1877662037</v>
      </c>
      <c r="G19" s="7">
        <v>1</v>
      </c>
      <c r="H19" s="13" t="s">
        <v>223</v>
      </c>
      <c r="I19" s="13">
        <v>42666.214212962965</v>
      </c>
      <c r="J19" s="7">
        <v>0</v>
      </c>
      <c r="K19" s="112" t="str">
        <f t="shared" si="0"/>
        <v>4045/4046</v>
      </c>
      <c r="L19" s="22" t="str">
        <f>VLOOKUP(A19,'Trips&amp;Operators'!$C$1:$E$10000,3,FALSE)</f>
        <v>DAVIS</v>
      </c>
      <c r="M19" s="6">
        <f t="shared" si="1"/>
        <v>2.644675926421769E-2</v>
      </c>
      <c r="N19" s="7">
        <f t="shared" si="2"/>
        <v>38.083333340473473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03:27:44-0600',mode:absolute,to:'2016-10-23 06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9.3799999999999994E-2</v>
      </c>
      <c r="Z19" s="67">
        <f t="shared" si="9"/>
        <v>23.3293</v>
      </c>
      <c r="AA19" s="67">
        <f t="shared" si="10"/>
        <v>23.235499999999998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0107-23</v>
      </c>
      <c r="AE19" s="91" t="str">
        <f t="shared" si="12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9" s="88" t="str">
        <f t="shared" si="13"/>
        <v>"C:\Program Files (x86)\AstroGrep\AstroGrep.exe" /spath="%USERPROFILE%\AppData\Local\Temp\OnboardLogs" /stypes="app*4046*20161023*"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107-23 --locoid 4046 --swversion DE.1.0.7.0 --startMP 204:938 --initTime 2016-10-23T04:27:44 --startdatetime 2016-10-23T04:30:23 --delay 1 --endMP 204:233293 --enddatetime 2016-10-23T05:08:28 --enforcementcount 0 &gt;&gt;C:\Users\stu\Documents\GitHub\eaglep3-reporting\EC\2016-10-23-refined-times.txt</v>
      </c>
      <c r="AI1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{"issue":{"subject":"","project_id":79,"tracker_id":40,"status_id":1,"priority_id":2,"assigned_to_id":23,"start_date":"2016-10-23","description":"","custom_fields":[{"id":1,"name":"Subdivision","value":"EC"},{"id":4,"name":"Milepost","value":"23.3293"},{"id":17,"name":"Train ID","value":"107-23"},{"id":16,"name":"Locomotive ID","value":"4046"},{"id":130,"name":"Impact","value":""},{"id":150,"name":"Time of Event (Mountain Time)","value":"05:08:28"},{"id":151,"name":"Denver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450</v>
      </c>
      <c r="B20" s="7">
        <v>4045</v>
      </c>
      <c r="C20" s="22" t="s">
        <v>99</v>
      </c>
      <c r="D20" s="22" t="s">
        <v>308</v>
      </c>
      <c r="E20" s="13">
        <v>42666.219236111108</v>
      </c>
      <c r="F20" s="13">
        <v>42666.226550925923</v>
      </c>
      <c r="G20" s="7">
        <v>1</v>
      </c>
      <c r="H20" s="13" t="s">
        <v>182</v>
      </c>
      <c r="I20" s="13">
        <v>42666.254999999997</v>
      </c>
      <c r="J20" s="7">
        <v>0</v>
      </c>
      <c r="K20" s="112" t="str">
        <f t="shared" si="0"/>
        <v>4045/4046</v>
      </c>
      <c r="L20" s="22" t="str">
        <f>VLOOKUP(A20,'Trips&amp;Operators'!$C$1:$E$10000,3,FALSE)</f>
        <v>DAVIS</v>
      </c>
      <c r="M20" s="6">
        <f t="shared" si="1"/>
        <v>2.8449074074160308E-2</v>
      </c>
      <c r="N20" s="7">
        <f t="shared" si="2"/>
        <v>40.966666666790843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04:15:42-0600',mode:absolute,to:'2016-10-23 07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23.299299999999999</v>
      </c>
      <c r="Z20" s="67">
        <f t="shared" si="9"/>
        <v>1.41E-2</v>
      </c>
      <c r="AA20" s="67">
        <f t="shared" si="10"/>
        <v>23.2852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0108-23</v>
      </c>
      <c r="AE20" s="91" t="str">
        <f t="shared" si="12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20" s="88" t="str">
        <f t="shared" si="13"/>
        <v>"C:\Program Files (x86)\AstroGrep\AstroGrep.exe" /spath="%USERPROFILE%\AppData\Local\Temp\OnboardLogs" /stypes="app*4045*20161023*"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108-23 --locoid 4045 --swversion DE.1.0.7.0 --startMP 204:232993 --initTime 2016-10-23T05:15:42 --startdatetime 2016-10-23T05:26:14 --delay 1 --endMP 204:141 --enddatetime 2016-10-23T06:07:12 --enforcementcount 0 &gt;&gt;C:\Users\stu\Documents\GitHub\eaglep3-reporting\EC\2016-10-23-refined-times.txt</v>
      </c>
      <c r="AI2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{"issue":{"subject":"","project_id":79,"tracker_id":40,"status_id":1,"priority_id":2,"assigned_to_id":23,"start_date":"2016-10-23","description":"","custom_fields":[{"id":1,"name":"Subdivision","value":"EC"},{"id":4,"name":"Milepost","value":"0.0141"},{"id":17,"name":"Train ID","value":"108-23"},{"id":16,"name":"Locomotive ID","value":"4045"},{"id":130,"name":"Impact","value":""},{"id":150,"name":"Time of Event (Mountain Time)","value":"06:07:12"},{"id":151,"name":"Denver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442</v>
      </c>
      <c r="B21" s="7">
        <v>4016</v>
      </c>
      <c r="C21" s="22" t="s">
        <v>99</v>
      </c>
      <c r="D21" s="22" t="s">
        <v>623</v>
      </c>
      <c r="E21" s="13">
        <v>42666.191701388889</v>
      </c>
      <c r="F21" s="13">
        <v>42666.198252314818</v>
      </c>
      <c r="G21" s="7">
        <v>5</v>
      </c>
      <c r="H21" s="13" t="s">
        <v>390</v>
      </c>
      <c r="I21" s="13">
        <v>42666.223310185182</v>
      </c>
      <c r="J21" s="7">
        <v>0</v>
      </c>
      <c r="K21" s="112" t="str">
        <f t="shared" si="0"/>
        <v>4015/4016</v>
      </c>
      <c r="L21" s="22" t="str">
        <f>VLOOKUP(A21,'Trips&amp;Operators'!$C$1:$E$10000,3,FALSE)</f>
        <v>MALAVE</v>
      </c>
      <c r="M21" s="6">
        <f t="shared" si="1"/>
        <v>2.5057870363525581E-2</v>
      </c>
      <c r="N21" s="7">
        <f t="shared" si="2"/>
        <v>36.083333323476836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03:36:03-0600',mode:absolute,to:'2016-10-23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6.1899999999999997E-2</v>
      </c>
      <c r="Z21" s="67">
        <f t="shared" si="9"/>
        <v>23.3276</v>
      </c>
      <c r="AA21" s="67">
        <f t="shared" si="10"/>
        <v>23.265699999999999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0109-23</v>
      </c>
      <c r="AE21" s="91" t="str">
        <f t="shared" si="12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21" s="88" t="str">
        <f t="shared" si="13"/>
        <v>"C:\Program Files (x86)\AstroGrep\AstroGrep.exe" /spath="%USERPROFILE%\AppData\Local\Temp\OnboardLogs" /stypes="app*4016*20161023*"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109-23 --locoid 4016 --swversion DE.1.0.7.0 --startMP 204:619 --initTime 2016-10-23T04:36:03 --startdatetime 2016-10-23T04:45:29 --delay 5 --endMP 204:233276 --enddatetime 2016-10-23T05:21:34 --enforcementcount 0 &gt;&gt;C:\Users\stu\Documents\GitHub\eaglep3-reporting\EC\2016-10-23-refined-times.txt</v>
      </c>
      <c r="AI2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{"issue":{"subject":"","project_id":79,"tracker_id":40,"status_id":1,"priority_id":2,"assigned_to_id":23,"start_date":"2016-10-23","description":"","custom_fields":[{"id":1,"name":"Subdivision","value":"EC"},{"id":4,"name":"Milepost","value":"23.3276"},{"id":17,"name":"Train ID","value":"109-23"},{"id":16,"name":"Locomotive ID","value":"4016"},{"id":130,"name":"Impact","value":""},{"id":150,"name":"Time of Event (Mountain Time)","value":"05:21:34"},{"id":151,"name":"Denver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410</v>
      </c>
      <c r="B22" s="7">
        <v>4015</v>
      </c>
      <c r="C22" s="22" t="s">
        <v>99</v>
      </c>
      <c r="D22" s="22" t="s">
        <v>624</v>
      </c>
      <c r="E22" s="13">
        <v>42666.233252314814</v>
      </c>
      <c r="F22" s="13">
        <v>42666.237013888887</v>
      </c>
      <c r="G22" s="7">
        <v>5</v>
      </c>
      <c r="H22" s="13" t="s">
        <v>387</v>
      </c>
      <c r="I22" s="13">
        <v>42666.263472222221</v>
      </c>
      <c r="J22" s="7">
        <v>0</v>
      </c>
      <c r="K22" s="112" t="str">
        <f t="shared" si="0"/>
        <v>4015/4016</v>
      </c>
      <c r="L22" s="22" t="str">
        <f>VLOOKUP(A22,'Trips&amp;Operators'!$C$1:$E$10000,3,FALSE)</f>
        <v>MALAVE</v>
      </c>
      <c r="M22" s="6">
        <f t="shared" si="1"/>
        <v>2.6458333333721384E-2</v>
      </c>
      <c r="N22" s="7">
        <f t="shared" si="2"/>
        <v>38.100000000558794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04:35:53-0600',mode:absolute,to:'2016-10-23 07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" s="52" t="str">
        <f t="shared" si="6"/>
        <v>N</v>
      </c>
      <c r="X22" s="171">
        <f t="shared" si="7"/>
        <v>1</v>
      </c>
      <c r="Y22" s="67">
        <f t="shared" si="8"/>
        <v>23.2957</v>
      </c>
      <c r="Z22" s="67">
        <f t="shared" si="9"/>
        <v>1.6500000000000001E-2</v>
      </c>
      <c r="AA22" s="67">
        <f t="shared" si="10"/>
        <v>23.279199999999999</v>
      </c>
      <c r="AB22" s="64" t="str">
        <f>VLOOKUP(A22,Enforcements!$C$7:$K$21,8,0)</f>
        <v>Speed (6)</v>
      </c>
      <c r="AC22" s="60" t="str">
        <f>VLOOKUP(A22,Enforcements!$C$7:$E$21,3,0)</f>
        <v>PERMANENT SPEED RESTRICTION</v>
      </c>
      <c r="AD22" s="61" t="str">
        <f t="shared" si="11"/>
        <v>0110-23</v>
      </c>
      <c r="AE22" s="91" t="str">
        <f t="shared" si="12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22" s="88" t="str">
        <f t="shared" si="13"/>
        <v>"C:\Program Files (x86)\AstroGrep\AstroGrep.exe" /spath="%USERPROFILE%\AppData\Local\Temp\OnboardLogs" /stypes="app*4015*20161023*"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110-23 --locoid 4015 --swversion DE.1.0.7.0 --startMP 204:232957 --initTime 2016-10-23T05:35:53 --startdatetime 2016-10-23T05:41:18 --delay 5 --endMP 204:165 --enddatetime 2016-10-23T06:19:24 --enforcementcount 0 &gt;&gt;C:\Users\stu\Documents\GitHub\eaglep3-reporting\EC\2016-10-23-refined-times.txt</v>
      </c>
      <c r="AI2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{"issue":{"subject":"","project_id":79,"tracker_id":40,"status_id":1,"priority_id":2,"assigned_to_id":23,"start_date":"2016-10-23","description":"","custom_fields":[{"id":1,"name":"Subdivision","value":"EC"},{"id":4,"name":"Milepost","value":"0.0165"},{"id":17,"name":"Train ID","value":"110-23"},{"id":16,"name":"Locomotive ID","value":"4015"},{"id":130,"name":"Impact","value":""},{"id":150,"name":"Time of Event (Mountain Time)","value":"06:19:24"},{"id":151,"name":"Denver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447</v>
      </c>
      <c r="B23" s="7">
        <v>4025</v>
      </c>
      <c r="C23" s="22" t="s">
        <v>99</v>
      </c>
      <c r="D23" s="22" t="s">
        <v>237</v>
      </c>
      <c r="E23" s="13">
        <v>42666.203356481485</v>
      </c>
      <c r="F23" s="13">
        <v>42666.20857638889</v>
      </c>
      <c r="G23" s="7">
        <v>2</v>
      </c>
      <c r="H23" s="13" t="s">
        <v>311</v>
      </c>
      <c r="I23" s="13">
        <v>42666.233113425929</v>
      </c>
      <c r="J23" s="7">
        <v>0</v>
      </c>
      <c r="K23" s="112" t="str">
        <f t="shared" si="0"/>
        <v>4025/4026</v>
      </c>
      <c r="L23" s="22" t="str">
        <f>VLOOKUP(A23,'Trips&amp;Operators'!$C$1:$E$10000,3,FALSE)</f>
        <v>STAMBAUGH</v>
      </c>
      <c r="M23" s="6">
        <f t="shared" si="1"/>
        <v>2.453703703940846E-2</v>
      </c>
      <c r="N23" s="7">
        <f t="shared" si="2"/>
        <v>35.333333336748183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03:52:50-0600',mode:absolute,to:'2016-10-23 06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" s="52" t="str">
        <f t="shared" si="6"/>
        <v>N</v>
      </c>
      <c r="X23" s="171">
        <f t="shared" si="7"/>
        <v>1</v>
      </c>
      <c r="Y23" s="67">
        <f t="shared" si="8"/>
        <v>4.5999999999999999E-2</v>
      </c>
      <c r="Z23" s="67">
        <f t="shared" si="9"/>
        <v>23.330200000000001</v>
      </c>
      <c r="AA23" s="67">
        <f t="shared" si="10"/>
        <v>23.284200000000002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0111-23</v>
      </c>
      <c r="AE23" s="91" t="str">
        <f t="shared" si="12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23" s="88" t="str">
        <f t="shared" si="13"/>
        <v>"C:\Program Files (x86)\AstroGrep\AstroGrep.exe" /spath="%USERPROFILE%\AppData\Local\Temp\OnboardLogs" /stypes="app*4025*20161023*"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111-23 --locoid 4025 --swversion DE.1.0.7.0 --startMP 204:460 --initTime 2016-10-23T04:52:50 --startdatetime 2016-10-23T05:00:21 --delay 2 --endMP 204:233302 --enddatetime 2016-10-23T05:35:41 --enforcementcount 0 &gt;&gt;C:\Users\stu\Documents\GitHub\eaglep3-reporting\EC\2016-10-23-refined-times.txt</v>
      </c>
      <c r="AI2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{"issue":{"subject":"","project_id":79,"tracker_id":40,"status_id":1,"priority_id":2,"assigned_to_id":23,"start_date":"2016-10-23","description":"","custom_fields":[{"id":1,"name":"Subdivision","value":"EC"},{"id":4,"name":"Milepost","value":"23.3302"},{"id":17,"name":"Train ID","value":"111-23"},{"id":16,"name":"Locomotive ID","value":"4025"},{"id":130,"name":"Impact","value":""},{"id":150,"name":"Time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412</v>
      </c>
      <c r="B24" s="7">
        <v>4026</v>
      </c>
      <c r="C24" s="22" t="s">
        <v>99</v>
      </c>
      <c r="D24" s="22" t="s">
        <v>274</v>
      </c>
      <c r="E24" s="13">
        <v>42666.24287037037</v>
      </c>
      <c r="F24" s="13">
        <v>42666.247569444444</v>
      </c>
      <c r="G24" s="7">
        <v>1</v>
      </c>
      <c r="H24" s="13" t="s">
        <v>322</v>
      </c>
      <c r="I24" s="13">
        <v>42666.273668981485</v>
      </c>
      <c r="J24" s="7">
        <v>0</v>
      </c>
      <c r="K24" s="112" t="str">
        <f t="shared" si="0"/>
        <v>4025/4026</v>
      </c>
      <c r="L24" s="22" t="str">
        <f>VLOOKUP(A24,'Trips&amp;Operators'!$C$1:$E$10000,3,FALSE)</f>
        <v>STAMBAUGH</v>
      </c>
      <c r="M24" s="6">
        <f t="shared" si="1"/>
        <v>2.6099537040863652E-2</v>
      </c>
      <c r="N24" s="7">
        <f t="shared" si="2"/>
        <v>37.583333338843659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04:49:44-0600',mode:absolute,to:'2016-10-23 07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23.298300000000001</v>
      </c>
      <c r="Z24" s="67">
        <f t="shared" si="9"/>
        <v>1.6299999999999999E-2</v>
      </c>
      <c r="AA24" s="67">
        <f t="shared" si="10"/>
        <v>23.282</v>
      </c>
      <c r="AB24" s="64" t="str">
        <f>VLOOKUP(A24,Enforcements!$C$7:$K$21,8,0)</f>
        <v>Form based authority (4)</v>
      </c>
      <c r="AC24" s="60" t="str">
        <f>VLOOKUP(A24,Enforcements!$C$7:$E$21,3,0)</f>
        <v>TRACK WARRANT AUTHORITY</v>
      </c>
      <c r="AD24" s="61" t="str">
        <f t="shared" si="11"/>
        <v>0112-23</v>
      </c>
      <c r="AE24" s="91" t="str">
        <f t="shared" si="12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24" s="88" t="str">
        <f t="shared" si="13"/>
        <v>"C:\Program Files (x86)\AstroGrep\AstroGrep.exe" /spath="%USERPROFILE%\AppData\Local\Temp\OnboardLogs" /stypes="app*4026*20161023*"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112-23 --locoid 4026 --swversion DE.1.0.7.0 --startMP 204:232983 --initTime 2016-10-23T05:49:44 --startdatetime 2016-10-23T05:56:30 --delay 1 --endMP 204:163 --enddatetime 2016-10-23T06:34:05 --enforcementcount 0 &gt;&gt;C:\Users\stu\Documents\GitHub\eaglep3-reporting\EC\2016-10-23-refined-times.txt</v>
      </c>
      <c r="AI2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{"issue":{"subject":"","project_id":79,"tracker_id":40,"status_id":1,"priority_id":2,"assigned_to_id":23,"start_date":"2016-10-23","description":"","custom_fields":[{"id":1,"name":"Subdivision","value":"EC"},{"id":4,"name":"Milepost","value":"0.0163"},{"id":17,"name":"Train ID","value":"112-23"},{"id":16,"name":"Locomotive ID","value":"4026"},{"id":130,"name":"Impact","value":""},{"id":150,"name":"Time of Event (Mountain Time)","value":"06:34:05"},{"id":151,"name":"Denver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449</v>
      </c>
      <c r="B25" s="7">
        <v>4027</v>
      </c>
      <c r="C25" s="22" t="s">
        <v>99</v>
      </c>
      <c r="D25" s="22" t="s">
        <v>625</v>
      </c>
      <c r="E25" s="13">
        <v>42666.214594907404</v>
      </c>
      <c r="F25" s="13">
        <v>42666.218900462962</v>
      </c>
      <c r="G25" s="7">
        <v>1</v>
      </c>
      <c r="H25" s="13" t="s">
        <v>366</v>
      </c>
      <c r="I25" s="13">
        <v>42666.244016203702</v>
      </c>
      <c r="J25" s="7">
        <v>0</v>
      </c>
      <c r="K25" s="112" t="str">
        <f t="shared" si="0"/>
        <v>4027/4028</v>
      </c>
      <c r="L25" s="22" t="str">
        <f>VLOOKUP(A25,'Trips&amp;Operators'!$C$1:$E$10000,3,FALSE)</f>
        <v>ROBINSON</v>
      </c>
      <c r="M25" s="6">
        <f t="shared" si="1"/>
        <v>2.5115740740147885E-2</v>
      </c>
      <c r="N25" s="7">
        <f t="shared" si="2"/>
        <v>36.166666665812954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04:09:01-0600',mode:absolute,to:'2016-10-23 06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3.27E-2</v>
      </c>
      <c r="Z25" s="67">
        <f t="shared" si="9"/>
        <v>23.328600000000002</v>
      </c>
      <c r="AA25" s="67">
        <f t="shared" si="10"/>
        <v>23.295900000000003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0113-23</v>
      </c>
      <c r="AE25" s="91" t="str">
        <f t="shared" si="12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25" s="88" t="str">
        <f t="shared" si="13"/>
        <v>"C:\Program Files (x86)\AstroGrep\AstroGrep.exe" /spath="%USERPROFILE%\AppData\Local\Temp\OnboardLogs" /stypes="app*4027*20161023*"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113-23 --locoid 4027 --swversion DE.1.0.7.0 --startMP 204:327 --initTime 2016-10-23T05:09:01 --startdatetime 2016-10-23T05:15:13 --delay 1 --endMP 204:233286 --enddatetime 2016-10-23T05:51:23 --enforcementcount 0 &gt;&gt;C:\Users\stu\Documents\GitHub\eaglep3-reporting\EC\2016-10-23-refined-times.txt</v>
      </c>
      <c r="AI2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{"issue":{"subject":"","project_id":79,"tracker_id":40,"status_id":1,"priority_id":2,"assigned_to_id":23,"start_date":"2016-10-23","description":"","custom_fields":[{"id":1,"name":"Subdivision","value":"EC"},{"id":4,"name":"Milepost","value":"23.3286"},{"id":17,"name":"Train ID","value":"113-23"},{"id":16,"name":"Locomotive ID","value":"4027"},{"id":130,"name":"Impact","value":""},{"id":150,"name":"Time of Event (Mountain Time)","value":"05:51:23"},{"id":151,"name":"Denver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458</v>
      </c>
      <c r="B26" s="7">
        <v>4028</v>
      </c>
      <c r="C26" s="22" t="s">
        <v>99</v>
      </c>
      <c r="D26" s="22" t="s">
        <v>362</v>
      </c>
      <c r="E26" s="13">
        <v>42666.250821759262</v>
      </c>
      <c r="F26" s="13">
        <v>42666.257777777777</v>
      </c>
      <c r="G26" s="7">
        <v>1</v>
      </c>
      <c r="H26" s="13" t="s">
        <v>177</v>
      </c>
      <c r="I26" s="13">
        <v>42666.28502314815</v>
      </c>
      <c r="J26" s="7">
        <v>0</v>
      </c>
      <c r="K26" s="112" t="str">
        <f t="shared" si="0"/>
        <v>4027/4028</v>
      </c>
      <c r="L26" s="22" t="str">
        <f>VLOOKUP(A26,'Trips&amp;Operators'!$C$1:$E$10000,3,FALSE)</f>
        <v>ROBINSON</v>
      </c>
      <c r="M26" s="6">
        <f t="shared" si="1"/>
        <v>2.7245370372838806E-2</v>
      </c>
      <c r="N26" s="7">
        <f t="shared" si="2"/>
        <v>39.233333336887881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05:01:11-0600',mode:absolute,to:'2016-10-23 07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6" s="52" t="str">
        <f t="shared" si="6"/>
        <v>N</v>
      </c>
      <c r="X26" s="171">
        <f t="shared" si="7"/>
        <v>1</v>
      </c>
      <c r="Y26" s="67">
        <f t="shared" si="8"/>
        <v>23.296299999999999</v>
      </c>
      <c r="Z26" s="67">
        <f t="shared" si="9"/>
        <v>1.52E-2</v>
      </c>
      <c r="AA26" s="67">
        <f t="shared" si="10"/>
        <v>23.281099999999999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0114-23</v>
      </c>
      <c r="AE26" s="91" t="str">
        <f t="shared" si="12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26" s="88" t="str">
        <f t="shared" si="13"/>
        <v>"C:\Program Files (x86)\AstroGrep\AstroGrep.exe" /spath="%USERPROFILE%\AppData\Local\Temp\OnboardLogs" /stypes="app*4028*20161023*"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114-23 --locoid 4028 --swversion DE.1.0.7.0 --startMP 204:232963 --initTime 2016-10-23T06:01:11 --startdatetime 2016-10-23T06:11:12 --delay 1 --endMP 204:152 --enddatetime 2016-10-23T06:50:26 --enforcementcount 0 &gt;&gt;C:\Users\stu\Documents\GitHub\eaglep3-reporting\EC\2016-10-23-refined-times.txt</v>
      </c>
      <c r="AI2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{"issue":{"subject":"","project_id":79,"tracker_id":40,"status_id":1,"priority_id":2,"assigned_to_id":23,"start_date":"2016-10-23","description":"","custom_fields":[{"id":1,"name":"Subdivision","value":"EC"},{"id":4,"name":"Milepost","value":"0.0152"},{"id":17,"name":"Train ID","value":"114-23"},{"id":16,"name":"Locomotive ID","value":"4028"},{"id":130,"name":"Impact","value":""},{"id":150,"name":"Time of Event (Mountain Time)","value":"06:50:26"},{"id":151,"name":"Denver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453</v>
      </c>
      <c r="B27" s="7">
        <v>4018</v>
      </c>
      <c r="C27" s="22" t="s">
        <v>99</v>
      </c>
      <c r="D27" s="22" t="s">
        <v>626</v>
      </c>
      <c r="E27" s="13">
        <v>42666.224594907406</v>
      </c>
      <c r="F27" s="13">
        <v>42666.229432870372</v>
      </c>
      <c r="G27" s="7">
        <v>1</v>
      </c>
      <c r="H27" s="13" t="s">
        <v>353</v>
      </c>
      <c r="I27" s="13">
        <v>42666.253935185188</v>
      </c>
      <c r="J27" s="7">
        <v>0</v>
      </c>
      <c r="K27" s="112" t="str">
        <f t="shared" si="0"/>
        <v>4017/4018</v>
      </c>
      <c r="L27" s="22" t="str">
        <f>VLOOKUP(A27,'Trips&amp;Operators'!$C$1:$E$10000,3,FALSE)</f>
        <v>YORK</v>
      </c>
      <c r="M27" s="6">
        <f t="shared" si="1"/>
        <v>2.4502314816345461E-2</v>
      </c>
      <c r="N27" s="7">
        <f t="shared" si="2"/>
        <v>35.283333335537463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04:23:25-0600',mode:absolute,to:'2016-10-23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7.6100000000000001E-2</v>
      </c>
      <c r="Z27" s="67">
        <f t="shared" si="9"/>
        <v>23.3291</v>
      </c>
      <c r="AA27" s="67">
        <f t="shared" si="10"/>
        <v>23.253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0115-23</v>
      </c>
      <c r="AE27" s="91" t="str">
        <f t="shared" si="12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27" s="88" t="str">
        <f t="shared" si="13"/>
        <v>"C:\Program Files (x86)\AstroGrep\AstroGrep.exe" /spath="%USERPROFILE%\AppData\Local\Temp\OnboardLogs" /stypes="app*4018*20161023*"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115-23 --locoid 4018 --swversion DE.1.0.7.0 --startMP 204:761 --initTime 2016-10-23T05:23:25 --startdatetime 2016-10-23T05:30:23 --delay 1 --endMP 204:233291 --enddatetime 2016-10-23T06:05:40 --enforcementcount 0 &gt;&gt;C:\Users\stu\Documents\GitHub\eaglep3-reporting\EC\2016-10-23-refined-times.txt</v>
      </c>
      <c r="AI2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{"issue":{"subject":"","project_id":79,"tracker_id":40,"status_id":1,"priority_id":2,"assigned_to_id":23,"start_date":"2016-10-23","description":"","custom_fields":[{"id":1,"name":"Subdivision","value":"EC"},{"id":4,"name":"Milepost","value":"23.3291"},{"id":17,"name":"Train ID","value":"115-23"},{"id":16,"name":"Locomotive ID","value":"4018"},{"id":130,"name":"Impact","value":""},{"id":150,"name":"Time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459</v>
      </c>
      <c r="B28" s="7">
        <v>4017</v>
      </c>
      <c r="C28" s="22" t="s">
        <v>99</v>
      </c>
      <c r="D28" s="22" t="s">
        <v>254</v>
      </c>
      <c r="E28" s="13">
        <v>42666.254907407405</v>
      </c>
      <c r="F28" s="13">
        <v>42666.268368055556</v>
      </c>
      <c r="G28" s="7">
        <v>1</v>
      </c>
      <c r="H28" s="13" t="s">
        <v>225</v>
      </c>
      <c r="I28" s="13">
        <v>42666.294675925928</v>
      </c>
      <c r="J28" s="7">
        <v>0</v>
      </c>
      <c r="K28" s="112" t="str">
        <f t="shared" si="0"/>
        <v>4017/4018</v>
      </c>
      <c r="L28" s="22" t="str">
        <f>VLOOKUP(A28,'Trips&amp;Operators'!$C$1:$E$10000,3,FALSE)</f>
        <v>YORK</v>
      </c>
      <c r="M28" s="6">
        <f t="shared" si="1"/>
        <v>2.6307870371965691E-2</v>
      </c>
      <c r="N28" s="7">
        <f t="shared" si="2"/>
        <v>37.883333335630596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05:07:04-0600',mode:absolute,to:'2016-10-23 08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23.297699999999999</v>
      </c>
      <c r="Z28" s="67">
        <f t="shared" si="9"/>
        <v>1.4999999999999999E-2</v>
      </c>
      <c r="AA28" s="67">
        <f t="shared" si="10"/>
        <v>23.282699999999998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0116-23</v>
      </c>
      <c r="AE28" s="91" t="str">
        <f t="shared" si="12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28" s="88" t="str">
        <f t="shared" si="13"/>
        <v>"C:\Program Files (x86)\AstroGrep\AstroGrep.exe" /spath="%USERPROFILE%\AppData\Local\Temp\OnboardLogs" /stypes="app*4017*20161023*"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116-23 --locoid 4017 --swversion DE.1.0.7.0 --startMP 204:232977 --initTime 2016-10-23T06:07:04 --startdatetime 2016-10-23T06:26:27 --delay 1 --endMP 204:150 --enddatetime 2016-10-23T07:04:20 --enforcementcount 0 &gt;&gt;C:\Users\stu\Documents\GitHub\eaglep3-reporting\EC\2016-10-23-refined-times.txt</v>
      </c>
      <c r="AI2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{"issue":{"subject":"","project_id":79,"tracker_id":40,"status_id":1,"priority_id":2,"assigned_to_id":23,"start_date":"2016-10-23","description":"","custom_fields":[{"id":1,"name":"Subdivision","value":"EC"},{"id":4,"name":"Milepost","value":"0.015"},{"id":17,"name":"Train ID","value":"116-23"},{"id":16,"name":"Locomotive ID","value":"4017"},{"id":130,"name":"Impact","value":""},{"id":150,"name":"Time of Event (Mountain Time)","value":"07:04:20"},{"id":151,"name":"Denver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454</v>
      </c>
      <c r="B29" s="7">
        <v>4009</v>
      </c>
      <c r="C29" s="22" t="s">
        <v>99</v>
      </c>
      <c r="D29" s="22" t="s">
        <v>392</v>
      </c>
      <c r="E29" s="13">
        <v>42666.23228009259</v>
      </c>
      <c r="F29" s="13">
        <v>42666.23978009259</v>
      </c>
      <c r="G29" s="7">
        <v>2</v>
      </c>
      <c r="H29" s="13" t="s">
        <v>353</v>
      </c>
      <c r="I29" s="13">
        <v>42666.264675925922</v>
      </c>
      <c r="J29" s="7">
        <v>0</v>
      </c>
      <c r="K29" s="112" t="str">
        <f t="shared" si="0"/>
        <v>4009/4010</v>
      </c>
      <c r="L29" s="22" t="str">
        <f>VLOOKUP(A29,'Trips&amp;Operators'!$C$1:$E$10000,3,FALSE)</f>
        <v>ACKERMAN</v>
      </c>
      <c r="M29" s="6">
        <f t="shared" si="1"/>
        <v>2.4895833332266193E-2</v>
      </c>
      <c r="N29" s="7">
        <f t="shared" si="2"/>
        <v>35.849999998463318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04:34:29-0600',mode:absolute,to:'2016-10-23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4.5699999999999998E-2</v>
      </c>
      <c r="Z29" s="67">
        <f t="shared" si="9"/>
        <v>23.3291</v>
      </c>
      <c r="AA29" s="67">
        <f t="shared" si="10"/>
        <v>23.2834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0117-23</v>
      </c>
      <c r="AE29" s="91" t="str">
        <f t="shared" si="12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29" s="88" t="str">
        <f t="shared" si="13"/>
        <v>"C:\Program Files (x86)\AstroGrep\AstroGrep.exe" /spath="%USERPROFILE%\AppData\Local\Temp\OnboardLogs" /stypes="app*4009*20161023*"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117-23 --locoid 4009 --swversion DE.1.0.7.0 --startMP 204:457 --initTime 2016-10-23T05:34:29 --startdatetime 2016-10-23T05:45:17 --delay 2 --endMP 204:233291 --enddatetime 2016-10-23T06:21:08 --enforcementcount 0 &gt;&gt;C:\Users\stu\Documents\GitHub\eaglep3-reporting\EC\2016-10-23-refined-times.txt</v>
      </c>
      <c r="AI2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{"issue":{"subject":"","project_id":79,"tracker_id":40,"status_id":1,"priority_id":2,"assigned_to_id":23,"start_date":"2016-10-23","description":"","custom_fields":[{"id":1,"name":"Subdivision","value":"EC"},{"id":4,"name":"Milepost","value":"23.3291"},{"id":17,"name":"Train ID","value":"117-23"},{"id":16,"name":"Locomotive ID","value":"4009"},{"id":130,"name":"Impact","value":""},{"id":150,"name":"Time of Event (Mountain Time)","value":"06:21:08"},{"id":151,"name":"Denver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462</v>
      </c>
      <c r="B30" s="7">
        <v>4010</v>
      </c>
      <c r="C30" s="22" t="s">
        <v>99</v>
      </c>
      <c r="D30" s="22" t="s">
        <v>627</v>
      </c>
      <c r="E30" s="13">
        <v>42666.271273148152</v>
      </c>
      <c r="F30" s="13">
        <v>42666.278692129628</v>
      </c>
      <c r="G30" s="7">
        <v>1</v>
      </c>
      <c r="H30" s="13" t="s">
        <v>231</v>
      </c>
      <c r="I30" s="13">
        <v>42666.305972222224</v>
      </c>
      <c r="J30" s="7">
        <v>0</v>
      </c>
      <c r="K30" s="112" t="str">
        <f t="shared" si="0"/>
        <v>4009/4010</v>
      </c>
      <c r="L30" s="22" t="str">
        <f>VLOOKUP(A30,'Trips&amp;Operators'!$C$1:$E$10000,3,FALSE)</f>
        <v>ACKERMAN</v>
      </c>
      <c r="M30" s="6">
        <f t="shared" si="1"/>
        <v>2.7280092595901806E-2</v>
      </c>
      <c r="N30" s="7">
        <f t="shared" si="2"/>
        <v>39.283333338098601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05:30:38-0600',mode:absolute,to:'2016-10-23 08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23.297799999999999</v>
      </c>
      <c r="Z30" s="67">
        <f t="shared" si="9"/>
        <v>1.34E-2</v>
      </c>
      <c r="AA30" s="67">
        <f t="shared" si="10"/>
        <v>23.284399999999998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0118-23</v>
      </c>
      <c r="AE30" s="91" t="str">
        <f t="shared" si="12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30" s="88" t="str">
        <f t="shared" si="13"/>
        <v>"C:\Program Files (x86)\AstroGrep\AstroGrep.exe" /spath="%USERPROFILE%\AppData\Local\Temp\OnboardLogs" /stypes="app*4010*20161023*"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118-23 --locoid 4010 --swversion DE.1.0.7.0 --startMP 204:232978 --initTime 2016-10-23T06:30:38 --startdatetime 2016-10-23T06:41:19 --delay 1 --endMP 204:134 --enddatetime 2016-10-23T07:20:36 --enforcementcount 0 &gt;&gt;C:\Users\stu\Documents\GitHub\eaglep3-reporting\EC\2016-10-23-refined-times.txt</v>
      </c>
      <c r="AI3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{"issue":{"subject":"","project_id":79,"tracker_id":40,"status_id":1,"priority_id":2,"assigned_to_id":23,"start_date":"2016-10-23","description":"","custom_fields":[{"id":1,"name":"Subdivision","value":"EC"},{"id":4,"name":"Milepost","value":"0.0134"},{"id":17,"name":"Train ID","value":"118-23"},{"id":16,"name":"Locomotive ID","value":"4010"},{"id":130,"name":"Impact","value":""},{"id":150,"name":"Time of Event (Mountain Time)","value":"07:20:36"},{"id":151,"name":"Denver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456</v>
      </c>
      <c r="B31" s="7">
        <v>4040</v>
      </c>
      <c r="C31" s="22" t="s">
        <v>99</v>
      </c>
      <c r="D31" s="22" t="s">
        <v>628</v>
      </c>
      <c r="E31" s="13">
        <v>42666.248692129629</v>
      </c>
      <c r="F31" s="13">
        <v>42666.250613425924</v>
      </c>
      <c r="G31" s="7">
        <v>1</v>
      </c>
      <c r="H31" s="13" t="s">
        <v>310</v>
      </c>
      <c r="I31" s="13">
        <v>42666.276504629626</v>
      </c>
      <c r="J31" s="7">
        <v>0</v>
      </c>
      <c r="K31" s="112" t="str">
        <f t="shared" si="0"/>
        <v>4039/4040</v>
      </c>
      <c r="L31" s="22" t="str">
        <f>VLOOKUP(A31,'Trips&amp;Operators'!$C$1:$E$10000,3,FALSE)</f>
        <v>MAELZER</v>
      </c>
      <c r="M31" s="6">
        <f t="shared" si="1"/>
        <v>2.5891203702485655E-2</v>
      </c>
      <c r="N31" s="7">
        <f t="shared" si="2"/>
        <v>37.283333331579342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04:58:07-0600',mode:absolute,to:'2016-10-23 07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1" s="52" t="str">
        <f t="shared" si="6"/>
        <v>N</v>
      </c>
      <c r="X31" s="171">
        <f t="shared" si="7"/>
        <v>1</v>
      </c>
      <c r="Y31" s="67">
        <f t="shared" si="8"/>
        <v>7.6999999999999999E-2</v>
      </c>
      <c r="Z31" s="67">
        <f t="shared" si="9"/>
        <v>23.331</v>
      </c>
      <c r="AA31" s="67">
        <f t="shared" si="10"/>
        <v>23.253999999999998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0119-23</v>
      </c>
      <c r="AE31" s="91" t="str">
        <f t="shared" si="12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31" s="88" t="str">
        <f t="shared" si="13"/>
        <v>"C:\Program Files (x86)\AstroGrep\AstroGrep.exe" /spath="%USERPROFILE%\AppData\Local\Temp\OnboardLogs" /stypes="app*4040*20161023*"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119-23 --locoid 4040 --swversion DE.1.0.7.0 --startMP 204:770 --initTime 2016-10-23T05:58:07 --startdatetime 2016-10-23T06:00:53 --delay 1 --endMP 204:233310 --enddatetime 2016-10-23T06:38:10 --enforcementcount 0 &gt;&gt;C:\Users\stu\Documents\GitHub\eaglep3-reporting\EC\2016-10-23-refined-times.txt</v>
      </c>
      <c r="AI3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{"issue":{"subject":"","project_id":79,"tracker_id":40,"status_id":1,"priority_id":2,"assigned_to_id":23,"start_date":"2016-10-23","description":"","custom_fields":[{"id":1,"name":"Subdivision","value":"EC"},{"id":4,"name":"Milepost","value":"23.331"},{"id":17,"name":"Train ID","value":"119-23"},{"id":16,"name":"Locomotive ID","value":"4040"},{"id":130,"name":"Impact","value":""},{"id":150,"name":"Time of Event (Mountain Time)","value":"06:38:10"},{"id":151,"name":"Denver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465</v>
      </c>
      <c r="B32" s="7">
        <v>4039</v>
      </c>
      <c r="C32" s="22" t="s">
        <v>99</v>
      </c>
      <c r="D32" s="22" t="s">
        <v>355</v>
      </c>
      <c r="E32" s="13">
        <v>42666.282222222224</v>
      </c>
      <c r="F32" s="13">
        <v>42666.289247685185</v>
      </c>
      <c r="G32" s="7">
        <v>1</v>
      </c>
      <c r="H32" s="13" t="s">
        <v>220</v>
      </c>
      <c r="I32" s="13">
        <v>42666.315821759257</v>
      </c>
      <c r="J32" s="7">
        <v>0</v>
      </c>
      <c r="K32" s="112" t="str">
        <f t="shared" si="0"/>
        <v>4039/4040</v>
      </c>
      <c r="L32" s="22" t="str">
        <f>VLOOKUP(A32,'Trips&amp;Operators'!$C$1:$E$10000,3,FALSE)</f>
        <v>MAELZER</v>
      </c>
      <c r="M32" s="6">
        <f t="shared" si="1"/>
        <v>2.6574074072414078E-2</v>
      </c>
      <c r="N32" s="7">
        <f t="shared" si="2"/>
        <v>38.266666664276272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05:46:24-0600',mode:absolute,to:'2016-10-23 08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2" s="52" t="str">
        <f t="shared" si="6"/>
        <v>N</v>
      </c>
      <c r="X32" s="171">
        <f t="shared" si="7"/>
        <v>1</v>
      </c>
      <c r="Y32" s="67">
        <f t="shared" si="8"/>
        <v>23.298500000000001</v>
      </c>
      <c r="Z32" s="67">
        <f t="shared" si="9"/>
        <v>1.4500000000000001E-2</v>
      </c>
      <c r="AA32" s="67">
        <f t="shared" si="10"/>
        <v>23.283999999999999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0120-23</v>
      </c>
      <c r="AE32" s="91" t="str">
        <f t="shared" si="12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32" s="88" t="str">
        <f t="shared" si="13"/>
        <v>"C:\Program Files (x86)\AstroGrep\AstroGrep.exe" /spath="%USERPROFILE%\AppData\Local\Temp\OnboardLogs" /stypes="app*4039*20161023*"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120-23 --locoid 4039 --swversion DE.1.0.7.0 --startMP 204:232985 --initTime 2016-10-23T06:46:24 --startdatetime 2016-10-23T06:56:31 --delay 1 --endMP 204:145 --enddatetime 2016-10-23T07:34:47 --enforcementcount 0 &gt;&gt;C:\Users\stu\Documents\GitHub\eaglep3-reporting\EC\2016-10-23-refined-times.txt</v>
      </c>
      <c r="AI3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ID","value":"120-23"},{"id":16,"name":"Locomotive ID","value":"4039"},{"id":130,"name":"Impact","value":""},{"id":150,"name":"Time of Event (Mountain Time)","value":"07:34:47"},{"id":151,"name":"Denver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460</v>
      </c>
      <c r="B33" s="7">
        <v>4046</v>
      </c>
      <c r="C33" s="22" t="s">
        <v>99</v>
      </c>
      <c r="D33" s="22" t="s">
        <v>301</v>
      </c>
      <c r="E33" s="13">
        <v>42666.256168981483</v>
      </c>
      <c r="F33" s="13">
        <v>42666.26059027778</v>
      </c>
      <c r="G33" s="7">
        <v>1</v>
      </c>
      <c r="H33" s="13" t="s">
        <v>255</v>
      </c>
      <c r="I33" s="13">
        <v>42666.286932870367</v>
      </c>
      <c r="J33" s="7">
        <v>0</v>
      </c>
      <c r="K33" s="112" t="str">
        <f t="shared" si="0"/>
        <v>4045/4046</v>
      </c>
      <c r="L33" s="22" t="str">
        <f>VLOOKUP(A33,'Trips&amp;Operators'!$C$1:$E$10000,3,FALSE)</f>
        <v>DAVIS</v>
      </c>
      <c r="M33" s="6">
        <f t="shared" si="1"/>
        <v>2.6342592587752733E-2</v>
      </c>
      <c r="N33" s="7">
        <f t="shared" si="2"/>
        <v>37.933333326363936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05:08:53-0600',mode:absolute,to:'2016-10-23 07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4.6199999999999998E-2</v>
      </c>
      <c r="Z33" s="67">
        <f t="shared" si="9"/>
        <v>23.330100000000002</v>
      </c>
      <c r="AA33" s="67">
        <f t="shared" si="10"/>
        <v>23.283900000000003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0121-23</v>
      </c>
      <c r="AE33" s="91" t="str">
        <f t="shared" si="12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33" s="88" t="str">
        <f t="shared" si="13"/>
        <v>"C:\Program Files (x86)\AstroGrep\AstroGrep.exe" /spath="%USERPROFILE%\AppData\Local\Temp\OnboardLogs" /stypes="app*4046*20161023*"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121-23 --locoid 4046 --swversion DE.1.0.7.0 --startMP 204:462 --initTime 2016-10-23T06:08:53 --startdatetime 2016-10-23T06:15:15 --delay 1 --endMP 204:233301 --enddatetime 2016-10-23T06:53:11 --enforcementcount 0 &gt;&gt;C:\Users\stu\Documents\GitHub\eaglep3-reporting\EC\2016-10-23-refined-times.txt</v>
      </c>
      <c r="AI3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{"issue":{"subject":"","project_id":79,"tracker_id":40,"status_id":1,"priority_id":2,"assigned_to_id":23,"start_date":"2016-10-23","description":"","custom_fields":[{"id":1,"name":"Subdivision","value":"EC"},{"id":4,"name":"Milepost","value":"23.3301"},{"id":17,"name":"Train ID","value":"121-23"},{"id":16,"name":"Locomotive ID","value":"4046"},{"id":130,"name":"Impact","value":""},{"id":150,"name":"Time of Event (Mountain Time)","value":"06:53:11"},{"id":151,"name":"Denver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467</v>
      </c>
      <c r="B34" s="7">
        <v>4045</v>
      </c>
      <c r="C34" s="22" t="s">
        <v>99</v>
      </c>
      <c r="D34" s="22" t="s">
        <v>629</v>
      </c>
      <c r="E34" s="13">
        <v>42666.292071759257</v>
      </c>
      <c r="F34" s="13">
        <v>42666.299444444441</v>
      </c>
      <c r="G34" s="7">
        <v>1</v>
      </c>
      <c r="H34" s="13" t="s">
        <v>267</v>
      </c>
      <c r="I34" s="13">
        <v>42666.327592592592</v>
      </c>
      <c r="J34" s="7">
        <v>0</v>
      </c>
      <c r="K34" s="112" t="str">
        <f t="shared" si="0"/>
        <v>4045/4046</v>
      </c>
      <c r="L34" s="22" t="str">
        <f>VLOOKUP(A34,'Trips&amp;Operators'!$C$1:$E$10000,3,FALSE)</f>
        <v>DAVIS</v>
      </c>
      <c r="M34" s="6">
        <f t="shared" si="1"/>
        <v>2.8148148150648922E-2</v>
      </c>
      <c r="N34" s="7">
        <f t="shared" si="2"/>
        <v>40.533333336934447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06:00:35-0600',mode:absolute,to:'2016-10-23 08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23.2988</v>
      </c>
      <c r="Z34" s="67">
        <f t="shared" si="9"/>
        <v>1.3899999999999999E-2</v>
      </c>
      <c r="AA34" s="67">
        <f t="shared" si="10"/>
        <v>23.2849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0122-23</v>
      </c>
      <c r="AE34" s="91" t="str">
        <f t="shared" si="12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34" s="88" t="str">
        <f t="shared" si="13"/>
        <v>"C:\Program Files (x86)\AstroGrep\AstroGrep.exe" /spath="%USERPROFILE%\AppData\Local\Temp\OnboardLogs" /stypes="app*4045*20161023*"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122-23 --locoid 4045 --swversion DE.1.0.7.0 --startMP 204:232988 --initTime 2016-10-23T07:00:35 --startdatetime 2016-10-23T07:11:12 --delay 1 --endMP 204:139 --enddatetime 2016-10-23T07:51:44 --enforcementcount 0 &gt;&gt;C:\Users\stu\Documents\GitHub\eaglep3-reporting\EC\2016-10-23-refined-times.txt</v>
      </c>
      <c r="AI3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ID","value":"122-23"},{"id":16,"name":"Locomotive ID","value":"4045"},{"id":130,"name":"Impact","value":""},{"id":150,"name":"Time of Event (Mountain Time)","value":"07:51:44"},{"id":151,"name":"Denver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461</v>
      </c>
      <c r="B35" s="7">
        <v>4016</v>
      </c>
      <c r="C35" s="22" t="s">
        <v>99</v>
      </c>
      <c r="D35" s="22" t="s">
        <v>230</v>
      </c>
      <c r="E35" s="13">
        <v>42666.269282407404</v>
      </c>
      <c r="F35" s="13">
        <v>42666.271134259259</v>
      </c>
      <c r="G35" s="7">
        <v>1</v>
      </c>
      <c r="H35" s="13" t="s">
        <v>630</v>
      </c>
      <c r="I35" s="13">
        <v>42666.296400462961</v>
      </c>
      <c r="J35" s="7">
        <v>0</v>
      </c>
      <c r="K35" s="112" t="str">
        <f t="shared" si="0"/>
        <v>4015/4016</v>
      </c>
      <c r="L35" s="22" t="str">
        <f>VLOOKUP(A35,'Trips&amp;Operators'!$C$1:$E$10000,3,FALSE)</f>
        <v>MALAVE</v>
      </c>
      <c r="M35" s="6">
        <f t="shared" si="1"/>
        <v>2.5266203701903578E-2</v>
      </c>
      <c r="N35" s="7">
        <f t="shared" si="2"/>
        <v>36.383333330741152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05:27:46-0600',mode:absolute,to:'2016-10-23 08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4.5499999999999999E-2</v>
      </c>
      <c r="Z35" s="67">
        <f t="shared" si="9"/>
        <v>23.328199999999999</v>
      </c>
      <c r="AA35" s="67">
        <f t="shared" si="10"/>
        <v>23.282699999999998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0123-23</v>
      </c>
      <c r="AE35" s="91" t="str">
        <f t="shared" si="12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35" s="88" t="str">
        <f t="shared" si="13"/>
        <v>"C:\Program Files (x86)\AstroGrep\AstroGrep.exe" /spath="%USERPROFILE%\AppData\Local\Temp\OnboardLogs" /stypes="app*4016*20161023*"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123-23 --locoid 4016 --swversion DE.1.0.7.0 --startMP 204:455 --initTime 2016-10-23T06:27:46 --startdatetime 2016-10-23T06:30:26 --delay 1 --endMP 204:233282 --enddatetime 2016-10-23T07:06:49 --enforcementcount 0 &gt;&gt;C:\Users\stu\Documents\GitHub\eaglep3-reporting\EC\2016-10-23-refined-times.txt</v>
      </c>
      <c r="AI3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{"issue":{"subject":"","project_id":79,"tracker_id":40,"status_id":1,"priority_id":2,"assigned_to_id":23,"start_date":"2016-10-23","description":"","custom_fields":[{"id":1,"name":"Subdivision","value":"EC"},{"id":4,"name":"Milepost","value":"23.3282"},{"id":17,"name":"Train ID","value":"123-23"},{"id":16,"name":"Locomotive ID","value":"4016"},{"id":130,"name":"Impact","value":""},{"id":150,"name":"Time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468</v>
      </c>
      <c r="B36" s="7">
        <v>4015</v>
      </c>
      <c r="C36" s="22" t="s">
        <v>99</v>
      </c>
      <c r="D36" s="22" t="s">
        <v>257</v>
      </c>
      <c r="E36" s="13">
        <v>42666.307500000003</v>
      </c>
      <c r="F36" s="13">
        <v>42666.31</v>
      </c>
      <c r="G36" s="7">
        <v>3</v>
      </c>
      <c r="H36" s="13" t="s">
        <v>222</v>
      </c>
      <c r="I36" s="13">
        <v>42666.336412037039</v>
      </c>
      <c r="J36" s="7">
        <v>0</v>
      </c>
      <c r="K36" s="112" t="str">
        <f t="shared" si="0"/>
        <v>4015/4016</v>
      </c>
      <c r="L36" s="22" t="str">
        <f>VLOOKUP(A36,'Trips&amp;Operators'!$C$1:$E$10000,3,FALSE)</f>
        <v>MALAVE</v>
      </c>
      <c r="M36" s="6">
        <f t="shared" si="1"/>
        <v>2.641203704115469E-2</v>
      </c>
      <c r="N36" s="7">
        <f t="shared" si="2"/>
        <v>38.033333339262754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06:22:48-0600',mode:absolute,to:'2016-10-23 09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23.299099999999999</v>
      </c>
      <c r="Z36" s="67">
        <f t="shared" si="9"/>
        <v>1.49E-2</v>
      </c>
      <c r="AA36" s="67">
        <f t="shared" si="10"/>
        <v>23.284199999999998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0124-23</v>
      </c>
      <c r="AE36" s="91" t="str">
        <f t="shared" si="12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36" s="88" t="str">
        <f t="shared" si="13"/>
        <v>"C:\Program Files (x86)\AstroGrep\AstroGrep.exe" /spath="%USERPROFILE%\AppData\Local\Temp\OnboardLogs" /stypes="app*4015*20161023*"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124-23 --locoid 4015 --swversion DE.1.0.7.0 --startMP 204:232991 --initTime 2016-10-23T07:22:48 --startdatetime 2016-10-23T07:26:24 --delay 3 --endMP 204:149 --enddatetime 2016-10-23T08:04:26 --enforcementcount 0 &gt;&gt;C:\Users\stu\Documents\GitHub\eaglep3-reporting\EC\2016-10-23-refined-times.txt</v>
      </c>
      <c r="AI3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ID","value":"124-23"},{"id":16,"name":"Locomotive ID","value":"4015"},{"id":130,"name":"Impact","value":""},{"id":150,"name":"Time of Event (Mountain Time)","value":"08:04:26"},{"id":151,"name":"Denver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464</v>
      </c>
      <c r="B37" s="7">
        <v>4025</v>
      </c>
      <c r="C37" s="22" t="s">
        <v>99</v>
      </c>
      <c r="D37" s="22" t="s">
        <v>237</v>
      </c>
      <c r="E37" s="13">
        <v>42666.275567129633</v>
      </c>
      <c r="F37" s="13">
        <v>42666.2815625</v>
      </c>
      <c r="G37" s="7">
        <v>5</v>
      </c>
      <c r="H37" s="13" t="s">
        <v>630</v>
      </c>
      <c r="I37" s="13">
        <v>42666.305717592593</v>
      </c>
      <c r="J37" s="7">
        <v>0</v>
      </c>
      <c r="K37" s="112" t="str">
        <f t="shared" si="0"/>
        <v>4025/4026</v>
      </c>
      <c r="L37" s="22" t="str">
        <f>VLOOKUP(A37,'Trips&amp;Operators'!$C$1:$E$10000,3,FALSE)</f>
        <v>STAMBAUGH</v>
      </c>
      <c r="M37" s="6">
        <f t="shared" si="1"/>
        <v>2.4155092592991423E-2</v>
      </c>
      <c r="N37" s="7">
        <f t="shared" si="2"/>
        <v>34.783333333907649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05:36:49-0600',mode:absolute,to:'2016-10-23 08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4.5999999999999999E-2</v>
      </c>
      <c r="Z37" s="67">
        <f t="shared" si="9"/>
        <v>23.328199999999999</v>
      </c>
      <c r="AA37" s="67">
        <f t="shared" si="10"/>
        <v>23.2822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0125-23</v>
      </c>
      <c r="AE37" s="91" t="str">
        <f t="shared" si="12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37" s="88" t="str">
        <f t="shared" si="13"/>
        <v>"C:\Program Files (x86)\AstroGrep\AstroGrep.exe" /spath="%USERPROFILE%\AppData\Local\Temp\OnboardLogs" /stypes="app*4025*20161023*"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125-23 --locoid 4025 --swversion DE.1.0.7.0 --startMP 204:460 --initTime 2016-10-23T06:36:49 --startdatetime 2016-10-23T06:45:27 --delay 5 --endMP 204:233282 --enddatetime 2016-10-23T07:20:14 --enforcementcount 0 &gt;&gt;C:\Users\stu\Documents\GitHub\eaglep3-reporting\EC\2016-10-23-refined-times.txt</v>
      </c>
      <c r="AI3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{"issue":{"subject":"","project_id":79,"tracker_id":40,"status_id":1,"priority_id":2,"assigned_to_id":23,"start_date":"2016-10-23","description":"","custom_fields":[{"id":1,"name":"Subdivision","value":"EC"},{"id":4,"name":"Milepost","value":"23.3282"},{"id":17,"name":"Train ID","value":"125-23"},{"id":16,"name":"Locomotive ID","value":"4025"},{"id":130,"name":"Impact","value":""},{"id":150,"name":"Time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470</v>
      </c>
      <c r="B38" s="7">
        <v>4026</v>
      </c>
      <c r="C38" s="22" t="s">
        <v>99</v>
      </c>
      <c r="D38" s="22" t="s">
        <v>354</v>
      </c>
      <c r="E38" s="13">
        <v>42666.316516203704</v>
      </c>
      <c r="F38" s="13">
        <v>42666.3205787037</v>
      </c>
      <c r="G38" s="7">
        <v>1</v>
      </c>
      <c r="H38" s="13" t="s">
        <v>222</v>
      </c>
      <c r="I38" s="13">
        <v>42666.346585648149</v>
      </c>
      <c r="J38" s="7">
        <v>0</v>
      </c>
      <c r="K38" s="112" t="str">
        <f t="shared" si="0"/>
        <v>4025/4026</v>
      </c>
      <c r="L38" s="22" t="str">
        <f>VLOOKUP(A38,'Trips&amp;Operators'!$C$1:$E$10000,3,FALSE)</f>
        <v>STAMBAUGH</v>
      </c>
      <c r="M38" s="6">
        <f t="shared" si="1"/>
        <v>2.6006944448454306E-2</v>
      </c>
      <c r="N38" s="7">
        <f t="shared" si="2"/>
        <v>37.4500000057742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06:35:47-0600',mode:absolute,to:'2016-10-23 09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23.2971</v>
      </c>
      <c r="Z38" s="67">
        <f t="shared" si="9"/>
        <v>1.49E-2</v>
      </c>
      <c r="AA38" s="67">
        <f t="shared" si="10"/>
        <v>23.2822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0126-23</v>
      </c>
      <c r="AE38" s="91" t="str">
        <f t="shared" si="12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38" s="88" t="str">
        <f t="shared" si="13"/>
        <v>"C:\Program Files (x86)\AstroGrep\AstroGrep.exe" /spath="%USERPROFILE%\AppData\Local\Temp\OnboardLogs" /stypes="app*4026*20161023*"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126-23 --locoid 4026 --swversion DE.1.0.7.0 --startMP 204:232971 --initTime 2016-10-23T07:35:47 --startdatetime 2016-10-23T07:41:38 --delay 1 --endMP 204:149 --enddatetime 2016-10-23T08:19:05 --enforcementcount 0 &gt;&gt;C:\Users\stu\Documents\GitHub\eaglep3-reporting\EC\2016-10-23-refined-times.txt</v>
      </c>
      <c r="AI3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ID","value":"126-23"},{"id":16,"name":"Locomotive ID","value":"4026"},{"id":130,"name":"Impact","value":""},{"id":150,"name":"Time of Event (Mountain Time)","value":"08:19:05"},{"id":151,"name":"Denver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466</v>
      </c>
      <c r="B39" s="7">
        <v>4027</v>
      </c>
      <c r="C39" s="22" t="s">
        <v>99</v>
      </c>
      <c r="D39" s="22" t="s">
        <v>631</v>
      </c>
      <c r="E39" s="13">
        <v>42666.286874999998</v>
      </c>
      <c r="F39" s="13">
        <v>42666.29960648148</v>
      </c>
      <c r="G39" s="7">
        <v>17</v>
      </c>
      <c r="H39" s="13" t="s">
        <v>195</v>
      </c>
      <c r="I39" s="13">
        <v>42666.317546296297</v>
      </c>
      <c r="J39" s="7">
        <v>0</v>
      </c>
      <c r="K39" s="112" t="str">
        <f t="shared" si="0"/>
        <v>4027/4028</v>
      </c>
      <c r="L39" s="22" t="str">
        <f>VLOOKUP(A39,'Trips&amp;Operators'!$C$1:$E$10000,3,FALSE)</f>
        <v>ROBINSON</v>
      </c>
      <c r="M39" s="6">
        <f t="shared" si="1"/>
        <v>1.7939814817509614E-2</v>
      </c>
      <c r="N39" s="7"/>
      <c r="O39" s="7"/>
      <c r="P39" s="7">
        <f t="shared" si="2"/>
        <v>25.833333337213844</v>
      </c>
      <c r="Q39" s="23"/>
      <c r="R39" s="23" t="s">
        <v>762</v>
      </c>
      <c r="S39" s="35">
        <f t="shared" si="3"/>
        <v>0.75</v>
      </c>
      <c r="T39" s="50" t="str">
        <f t="shared" si="4"/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9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05:53:06-0600',mode:absolute,to:'2016-10-23 08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9" s="52" t="str">
        <f t="shared" si="6"/>
        <v>Y</v>
      </c>
      <c r="X39" s="171">
        <f t="shared" si="7"/>
        <v>1</v>
      </c>
      <c r="Y39" s="67">
        <f t="shared" si="8"/>
        <v>3.7191000000000001</v>
      </c>
      <c r="Z39" s="67">
        <f t="shared" si="9"/>
        <v>23.329699999999999</v>
      </c>
      <c r="AA39" s="67">
        <f t="shared" si="10"/>
        <v>19.610599999999998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0127-23</v>
      </c>
      <c r="AE39" s="91" t="str">
        <f t="shared" si="12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39" s="88" t="str">
        <f t="shared" si="13"/>
        <v>"C:\Program Files (x86)\AstroGrep\AstroGrep.exe" /spath="%USERPROFILE%\AppData\Local\Temp\OnboardLogs" /stypes="app*4027*20161023*"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127-23 --locoid 4027 --swversion DE.1.0.7.0 --startMP 204:37191 --initTime 2016-10-23T06:53:06 --startdatetime 2016-10-23T07:11:26 --delay 17 --endMP 204:233297 --enddatetime 2016-10-23T07:37:16 --enforcementcount 0 &gt;&gt;C:\Users\stu\Documents\GitHub\eaglep3-reporting\EC\2016-10-23-refined-times.txt</v>
      </c>
      <c r="AI39" s="122" t="str">
        <f t="shared" si="18"/>
        <v>echo {"issue":{"subject":"Onboard in-route failure","project_id":79,"tracker_id":40,"status_id":1,"priority_id":2,"assigned_to_id":23,"start_date":"2016-10-23","description":"multiple cpu faults @ 2016-10-23 06:55:53 ","custom_fields":[{"id":1,"name":"Subdivision","value":"EC"},{"id":4,"name":"Milepost","value":"23.3297"},{"id":17,"name":"Train ID","value":"127-23"},{"id":16,"name":"Locomotive ID","value":"4027"},{"id":130,"name":"Impact","value":"Failed State"},{"id":150,"name":"Time of Event (Mountain Time)","value":"07:37:16"},{"id":151,"name":"Denver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9" s="53" t="s">
        <v>763</v>
      </c>
      <c r="AK39" s="53" t="s">
        <v>129</v>
      </c>
      <c r="AL39" s="53" t="s">
        <v>179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473</v>
      </c>
      <c r="B40" s="7">
        <v>4028</v>
      </c>
      <c r="C40" s="22" t="s">
        <v>99</v>
      </c>
      <c r="D40" s="22" t="s">
        <v>254</v>
      </c>
      <c r="E40" s="13">
        <v>42666.321388888886</v>
      </c>
      <c r="F40" s="13">
        <v>42666.330729166664</v>
      </c>
      <c r="G40" s="7">
        <v>1</v>
      </c>
      <c r="H40" s="13" t="s">
        <v>176</v>
      </c>
      <c r="I40" s="13">
        <v>42666.356956018521</v>
      </c>
      <c r="J40" s="7">
        <v>0</v>
      </c>
      <c r="K40" s="112" t="str">
        <f t="shared" si="0"/>
        <v>4027/4028</v>
      </c>
      <c r="L40" s="22" t="str">
        <f>VLOOKUP(A40,'Trips&amp;Operators'!$C$1:$E$10000,3,FALSE)</f>
        <v>ROBINSON</v>
      </c>
      <c r="M40" s="6">
        <f t="shared" si="1"/>
        <v>2.6226851856335998E-2</v>
      </c>
      <c r="N40" s="7">
        <f t="shared" si="2"/>
        <v>37.766666673123837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06:42:48-0600',mode:absolute,to:'2016-10-23 09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23.297699999999999</v>
      </c>
      <c r="Z40" s="67">
        <f t="shared" si="9"/>
        <v>1.47E-2</v>
      </c>
      <c r="AA40" s="67">
        <f t="shared" si="10"/>
        <v>23.282999999999998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0128-23</v>
      </c>
      <c r="AE40" s="91" t="str">
        <f t="shared" si="12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40" s="88" t="str">
        <f t="shared" si="13"/>
        <v>"C:\Program Files (x86)\AstroGrep\AstroGrep.exe" /spath="%USERPROFILE%\AppData\Local\Temp\OnboardLogs" /stypes="app*4028*20161023*"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128-23 --locoid 4028 --swversion DE.1.0.7.0 --startMP 204:232977 --initTime 2016-10-23T07:42:48 --startdatetime 2016-10-23T07:56:15 --delay 1 --endMP 204:147 --enddatetime 2016-10-23T08:34:01 --enforcementcount 0 &gt;&gt;C:\Users\stu\Documents\GitHub\eaglep3-reporting\EC\2016-10-23-refined-times.txt</v>
      </c>
      <c r="AI4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{"issue":{"subject":"","project_id":79,"tracker_id":40,"status_id":1,"priority_id":2,"assigned_to_id":23,"start_date":"2016-10-23","description":"","custom_fields":[{"id":1,"name":"Subdivision","value":"EC"},{"id":4,"name":"Milepost","value":"0.0147"},{"id":17,"name":"Train ID","value":"128-23"},{"id":16,"name":"Locomotive ID","value":"4028"},{"id":130,"name":"Impact","value":""},{"id":150,"name":"Time of Event (Mountain Time)","value":"08:34:01"},{"id":151,"name":"Denver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413</v>
      </c>
      <c r="B41" s="7">
        <v>4018</v>
      </c>
      <c r="C41" s="22" t="s">
        <v>99</v>
      </c>
      <c r="D41" s="22" t="s">
        <v>392</v>
      </c>
      <c r="E41" s="13">
        <v>42666.295844907407</v>
      </c>
      <c r="F41" s="13">
        <v>42666.30232638889</v>
      </c>
      <c r="G41" s="7">
        <v>1</v>
      </c>
      <c r="H41" s="13" t="s">
        <v>632</v>
      </c>
      <c r="I41" s="13">
        <v>42666.326689814814</v>
      </c>
      <c r="J41" s="7">
        <v>0</v>
      </c>
      <c r="K41" s="112" t="str">
        <f t="shared" si="0"/>
        <v>4017/4018</v>
      </c>
      <c r="L41" s="22" t="str">
        <f>VLOOKUP(A41,'Trips&amp;Operators'!$C$1:$E$10000,3,FALSE)</f>
        <v>YORK</v>
      </c>
      <c r="M41" s="6">
        <f t="shared" si="1"/>
        <v>2.4363425924093463E-2</v>
      </c>
      <c r="N41" s="7">
        <f t="shared" si="2"/>
        <v>35.083333330694586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06:06:01-0600',mode:absolute,to:'2016-10-23 08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4.5699999999999998E-2</v>
      </c>
      <c r="Z41" s="67">
        <f t="shared" si="9"/>
        <v>23.327400000000001</v>
      </c>
      <c r="AA41" s="67">
        <f t="shared" si="10"/>
        <v>23.281700000000001</v>
      </c>
      <c r="AB41" s="64" t="str">
        <f>VLOOKUP(A41,Enforcements!$C$7:$K$21,8,0)</f>
        <v>Signal based authority (5)</v>
      </c>
      <c r="AC41" s="60" t="str">
        <f>VLOOKUP(A41,Enforcements!$C$7:$E$21,3,0)</f>
        <v>SIGNAL</v>
      </c>
      <c r="AD41" s="61" t="str">
        <f t="shared" si="11"/>
        <v>0129-23</v>
      </c>
      <c r="AE41" s="91" t="str">
        <f t="shared" si="12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41" s="88" t="str">
        <f t="shared" si="13"/>
        <v>"C:\Program Files (x86)\AstroGrep\AstroGrep.exe" /spath="%USERPROFILE%\AppData\Local\Temp\OnboardLogs" /stypes="app*4018*20161023*"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129-23 --locoid 4018 --swversion DE.1.0.7.0 --startMP 204:457 --initTime 2016-10-23T07:06:01 --startdatetime 2016-10-23T07:15:21 --delay 1 --endMP 204:233274 --enddatetime 2016-10-23T07:50:26 --enforcementcount 0 &gt;&gt;C:\Users\stu\Documents\GitHub\eaglep3-reporting\EC\2016-10-23-refined-times.txt</v>
      </c>
      <c r="AI4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{"issue":{"subject":"","project_id":79,"tracker_id":40,"status_id":1,"priority_id":2,"assigned_to_id":23,"start_date":"2016-10-23","description":"","custom_fields":[{"id":1,"name":"Subdivision","value":"EC"},{"id":4,"name":"Milepost","value":"23.3274"},{"id":17,"name":"Train ID","value":"129-23"},{"id":16,"name":"Locomotive ID","value":"4018"},{"id":130,"name":"Impact","value":""},{"id":150,"name":"Time of Event (Mountain Time)","value":"07:50:26"},{"id":151,"name":"Denver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474</v>
      </c>
      <c r="B42" s="7">
        <v>4017</v>
      </c>
      <c r="C42" s="22" t="s">
        <v>99</v>
      </c>
      <c r="D42" s="22" t="s">
        <v>633</v>
      </c>
      <c r="E42" s="13">
        <v>42666.327766203707</v>
      </c>
      <c r="F42" s="13">
        <v>42666.341469907406</v>
      </c>
      <c r="G42" s="7">
        <v>1</v>
      </c>
      <c r="H42" s="13" t="s">
        <v>219</v>
      </c>
      <c r="I42" s="13">
        <v>42666.367083333331</v>
      </c>
      <c r="J42" s="7">
        <v>0</v>
      </c>
      <c r="K42" s="112" t="str">
        <f t="shared" si="0"/>
        <v>4017/4018</v>
      </c>
      <c r="L42" s="22" t="str">
        <f>VLOOKUP(A42,'Trips&amp;Operators'!$C$1:$E$10000,3,FALSE)</f>
        <v>YORK</v>
      </c>
      <c r="M42" s="6">
        <f t="shared" si="1"/>
        <v>2.5613425925257616E-2</v>
      </c>
      <c r="N42" s="7">
        <f t="shared" si="2"/>
        <v>36.883333332370967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06:51:59-0600',mode:absolute,to:'2016-10-23 09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52" t="str">
        <f t="shared" si="6"/>
        <v>N</v>
      </c>
      <c r="X42" s="171">
        <f t="shared" si="7"/>
        <v>1</v>
      </c>
      <c r="Y42" s="67">
        <f t="shared" si="8"/>
        <v>23.295500000000001</v>
      </c>
      <c r="Z42" s="67">
        <f t="shared" si="9"/>
        <v>1.54E-2</v>
      </c>
      <c r="AA42" s="67">
        <f t="shared" si="10"/>
        <v>23.280100000000001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0130-23</v>
      </c>
      <c r="AE42" s="91" t="str">
        <f t="shared" si="12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42" s="88" t="str">
        <f t="shared" si="13"/>
        <v>"C:\Program Files (x86)\AstroGrep\AstroGrep.exe" /spath="%USERPROFILE%\AppData\Local\Temp\OnboardLogs" /stypes="app*4017*20161023*"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130-23 --locoid 4017 --swversion DE.1.0.7.0 --startMP 204:232955 --initTime 2016-10-23T07:51:59 --startdatetime 2016-10-23T08:11:43 --delay 1 --endMP 204:154 --enddatetime 2016-10-23T08:48:36 --enforcementcount 0 &gt;&gt;C:\Users\stu\Documents\GitHub\eaglep3-reporting\EC\2016-10-23-refined-times.txt</v>
      </c>
      <c r="AI4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{"issue":{"subject":"","project_id":79,"tracker_id":40,"status_id":1,"priority_id":2,"assigned_to_id":23,"start_date":"2016-10-23","description":"","custom_fields":[{"id":1,"name":"Subdivision","value":"EC"},{"id":4,"name":"Milepost","value":"0.0154"},{"id":17,"name":"Train ID","value":"130-23"},{"id":16,"name":"Locomotive ID","value":"4017"},{"id":130,"name":"Impact","value":""},{"id":150,"name":"Time of Event (Mountain Time)","value":"08:48:36"},{"id":151,"name":"Denver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469</v>
      </c>
      <c r="B43" s="7">
        <v>4009</v>
      </c>
      <c r="C43" s="22" t="s">
        <v>99</v>
      </c>
      <c r="D43" s="22" t="s">
        <v>359</v>
      </c>
      <c r="E43" s="13">
        <v>42666.30741898148</v>
      </c>
      <c r="F43" s="13">
        <v>42666.312685185185</v>
      </c>
      <c r="G43" s="7">
        <v>1</v>
      </c>
      <c r="H43" s="13" t="s">
        <v>311</v>
      </c>
      <c r="I43" s="13">
        <v>42666.337256944447</v>
      </c>
      <c r="J43" s="7">
        <v>0</v>
      </c>
      <c r="K43" s="112" t="str">
        <f t="shared" si="0"/>
        <v>4009/4010</v>
      </c>
      <c r="L43" s="22" t="str">
        <f>VLOOKUP(A43,'Trips&amp;Operators'!$C$1:$E$10000,3,FALSE)</f>
        <v>ACKERMAN</v>
      </c>
      <c r="M43" s="6">
        <f t="shared" si="1"/>
        <v>2.457175926247146E-2</v>
      </c>
      <c r="N43" s="7">
        <f t="shared" si="2"/>
        <v>35.383333337958902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06:22:41-0600',mode:absolute,to:'2016-10-23 09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4.4200000000000003E-2</v>
      </c>
      <c r="Z43" s="67">
        <f t="shared" si="9"/>
        <v>23.330200000000001</v>
      </c>
      <c r="AA43" s="67">
        <f t="shared" si="10"/>
        <v>23.286000000000001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0131-23</v>
      </c>
      <c r="AE43" s="91" t="str">
        <f t="shared" si="12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43" s="88" t="str">
        <f t="shared" si="13"/>
        <v>"C:\Program Files (x86)\AstroGrep\AstroGrep.exe" /spath="%USERPROFILE%\AppData\Local\Temp\OnboardLogs" /stypes="app*4009*20161023*"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131-23 --locoid 4009 --swversion DE.1.0.7.0 --startMP 204:442 --initTime 2016-10-23T07:22:41 --startdatetime 2016-10-23T07:30:16 --delay 1 --endMP 204:233302 --enddatetime 2016-10-23T08:05:39 --enforcementcount 0 &gt;&gt;C:\Users\stu\Documents\GitHub\eaglep3-reporting\EC\2016-10-23-refined-times.txt</v>
      </c>
      <c r="AI4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{"issue":{"subject":"","project_id":79,"tracker_id":40,"status_id":1,"priority_id":2,"assigned_to_id":23,"start_date":"2016-10-23","description":"","custom_fields":[{"id":1,"name":"Subdivision","value":"EC"},{"id":4,"name":"Milepost","value":"23.3302"},{"id":17,"name":"Train ID","value":"131-23"},{"id":16,"name":"Locomotive ID","value":"4009"},{"id":130,"name":"Impact","value":""},{"id":150,"name":"Time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477</v>
      </c>
      <c r="B44" s="7">
        <v>4010</v>
      </c>
      <c r="C44" s="22" t="s">
        <v>99</v>
      </c>
      <c r="D44" s="22" t="s">
        <v>399</v>
      </c>
      <c r="E44" s="13">
        <v>42666.34511574074</v>
      </c>
      <c r="F44" s="13">
        <v>42666.351678240739</v>
      </c>
      <c r="G44" s="7">
        <v>1</v>
      </c>
      <c r="H44" s="13" t="s">
        <v>222</v>
      </c>
      <c r="I44" s="13">
        <v>42666.378148148149</v>
      </c>
      <c r="J44" s="7">
        <v>0</v>
      </c>
      <c r="K44" s="112" t="str">
        <f t="shared" si="0"/>
        <v>4009/4010</v>
      </c>
      <c r="L44" s="22" t="str">
        <f>VLOOKUP(A44,'Trips&amp;Operators'!$C$1:$E$10000,3,FALSE)</f>
        <v>ACKERMAN</v>
      </c>
      <c r="M44" s="6">
        <f t="shared" si="1"/>
        <v>2.6469907410501037E-2</v>
      </c>
      <c r="N44" s="7">
        <f t="shared" si="2"/>
        <v>38.116666671121493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07:16:58-0600',mode:absolute,to:'2016-10-23 10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4" s="52" t="str">
        <f t="shared" si="6"/>
        <v>N</v>
      </c>
      <c r="X44" s="171">
        <f t="shared" si="7"/>
        <v>1</v>
      </c>
      <c r="Y44" s="67">
        <f t="shared" si="8"/>
        <v>23.297899999999998</v>
      </c>
      <c r="Z44" s="67">
        <f t="shared" si="9"/>
        <v>1.49E-2</v>
      </c>
      <c r="AA44" s="67">
        <f t="shared" si="10"/>
        <v>23.282999999999998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0132-23</v>
      </c>
      <c r="AE44" s="91" t="str">
        <f t="shared" si="12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44" s="88" t="str">
        <f t="shared" si="13"/>
        <v>"C:\Program Files (x86)\AstroGrep\AstroGrep.exe" /spath="%USERPROFILE%\AppData\Local\Temp\OnboardLogs" /stypes="app*4010*20161023*"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132-23 --locoid 4010 --swversion DE.1.0.7.0 --startMP 204:232979 --initTime 2016-10-23T08:16:58 --startdatetime 2016-10-23T08:26:25 --delay 1 --endMP 204:149 --enddatetime 2016-10-23T09:04:32 --enforcementcount 0 &gt;&gt;C:\Users\stu\Documents\GitHub\eaglep3-reporting\EC\2016-10-23-refined-times.txt</v>
      </c>
      <c r="AI4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ID","value":"132-23"},{"id":16,"name":"Locomotive ID","value":"4010"},{"id":130,"name":"Impact","value":""},{"id":150,"name":"Time of Event (Mountain Time)","value":"09:04:32"},{"id":151,"name":"Denver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472</v>
      </c>
      <c r="B45" s="7">
        <v>4040</v>
      </c>
      <c r="C45" s="22" t="s">
        <v>99</v>
      </c>
      <c r="D45" s="22" t="s">
        <v>634</v>
      </c>
      <c r="E45" s="13">
        <v>42666.317789351851</v>
      </c>
      <c r="F45" s="13">
        <v>42666.323217592595</v>
      </c>
      <c r="G45" s="7">
        <v>1</v>
      </c>
      <c r="H45" s="13" t="s">
        <v>363</v>
      </c>
      <c r="I45" s="13">
        <v>42666.348344907405</v>
      </c>
      <c r="J45" s="7">
        <v>0</v>
      </c>
      <c r="K45" s="112" t="str">
        <f t="shared" ref="K45:K75" si="19">IF(ISEVEN(B45),(B45-1)&amp;"/"&amp;B45,B45&amp;"/"&amp;(B45+1))</f>
        <v>4039/4040</v>
      </c>
      <c r="L45" s="22" t="str">
        <f>VLOOKUP(A45,'Trips&amp;Operators'!$C$1:$E$10000,3,FALSE)</f>
        <v>MAELZER</v>
      </c>
      <c r="M45" s="6">
        <f t="shared" ref="M45:M75" si="20">I45-F45</f>
        <v>2.512731480965158E-2</v>
      </c>
      <c r="N45" s="7">
        <f t="shared" ref="N45:P75" si="21">24*60*SUM($M45:$M45)</f>
        <v>36.183333325898275</v>
      </c>
      <c r="O45" s="7"/>
      <c r="P45" s="7"/>
      <c r="Q45" s="23"/>
      <c r="R45" s="23"/>
      <c r="S45" s="35">
        <f t="shared" ref="S45:S75" si="22">SUM(U45:U45)/IF(AG45="EC",12,1)</f>
        <v>1</v>
      </c>
      <c r="T45" s="50" t="str">
        <f t="shared" ref="T45:T75" si="23">IF(ISEVEN(LEFT(AD45,4)),"Southbound","NorthBound")</f>
        <v>NorthBound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ref="V45:V75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https://search-rtdc-monitor-bjffxe2xuh6vdkpspy63sjmuny.us-east-1.es.amazonaws.com/_plugin/kibana/#/discover/Steve-Slow-Train-Analysis-(2080s-and-2083s)?_g=(refreshInterval:(display:Off,section:0,value:0),time:(from:'2016-10-23 06:37:37-0600',mode:absolute,to:'2016-10-23 09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5" s="52" t="str">
        <f t="shared" ref="W45:W75" si="25">IF(AA45&lt;IF(AG45="EC",23,5.65),"Y","N")</f>
        <v>N</v>
      </c>
      <c r="X45" s="171">
        <f t="shared" ref="X45:X75" si="26">VALUE(LEFT(AD45,4))-VALUE(LEFT(AD44,4))</f>
        <v>1</v>
      </c>
      <c r="Y45" s="67">
        <f t="shared" ref="Y45:Y75" si="27">RIGHT(D45,LEN(D45)-4)/10000</f>
        <v>4.3299999999999998E-2</v>
      </c>
      <c r="Z45" s="67">
        <f t="shared" ref="Z45:Z75" si="28">RIGHT(H45,LEN(H45)-4)/10000</f>
        <v>23.328800000000001</v>
      </c>
      <c r="AA45" s="67">
        <f t="shared" ref="AA45:AA75" si="29">ABS(Z45-Y45)</f>
        <v>23.285500000000003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ref="AD45:AD75" si="30">IF(LEN(A45)=6,"0"&amp;A45,A45)</f>
        <v>0133-23</v>
      </c>
      <c r="AE45" s="91" t="str">
        <f t="shared" ref="AE45:AE75" si="31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45" s="88" t="str">
        <f t="shared" ref="AF45:AF75" si="32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/stypes="app*4040*20161023*" /stext=" 14:.+((SYSTEM_STATE.+slice.+state.+changed )|(ment ac)|(system.+state.+changed )|(\[timeout)|(PRM\|1\|D)|(kpr)|(kdp)|(\|lc)|(penalty))" /e /r /s</v>
      </c>
      <c r="AG45" s="1" t="str">
        <f t="shared" ref="AG45:AG75" si="33">IFERROR(IF(VALUE(LEFT(AD45,2))&lt;=2,"EC",IF(OR(VALUE(LEFT(AD45,2))=8,VALUE(LEFT(AD45,2))=18),"NW","Other")),"Other")</f>
        <v>EC</v>
      </c>
      <c r="AH45" s="92" t="str">
        <f t="shared" si="17"/>
        <v>"%USERPROFILE%\Documents\GitHub\eaglep3\Utilities\RefineRTDCRunTimes.py" --tripid 133-23 --locoid 4040 --swversion DE.1.0.7.0 --startMP 204:433 --initTime 2016-10-23T07:37:37 --startdatetime 2016-10-23T07:45:26 --delay 1 --endMP 204:233288 --enddatetime 2016-10-23T08:21:37 --enforcementcount 0 &gt;&gt;C:\Users\stu\Documents\GitHub\eaglep3-reporting\EC\2016-10-23-refined-times.txt</v>
      </c>
      <c r="AI4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{"issue":{"subject":"","project_id":79,"tracker_id":40,"status_id":1,"priority_id":2,"assigned_to_id":23,"start_date":"2016-10-23","description":"","custom_fields":[{"id":1,"name":"Subdivision","value":"EC"},{"id":4,"name":"Milepost","value":"23.3288"},{"id":17,"name":"Train ID","value":"133-23"},{"id":16,"name":"Locomotive ID","value":"4040"},{"id":130,"name":"Impact","value":""},{"id":150,"name":"Time of Event (Mountain Time)","value":"08:21:37"},{"id":151,"name":"Denver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479</v>
      </c>
      <c r="B46" s="7">
        <v>4039</v>
      </c>
      <c r="C46" s="22" t="s">
        <v>99</v>
      </c>
      <c r="D46" s="22" t="s">
        <v>635</v>
      </c>
      <c r="E46" s="13">
        <v>42666.357002314813</v>
      </c>
      <c r="F46" s="13">
        <v>42666.36209490741</v>
      </c>
      <c r="G46" s="7">
        <v>1</v>
      </c>
      <c r="H46" s="13" t="s">
        <v>267</v>
      </c>
      <c r="I46" s="13">
        <v>42666.388726851852</v>
      </c>
      <c r="J46" s="7">
        <v>0</v>
      </c>
      <c r="K46" s="112" t="str">
        <f t="shared" si="19"/>
        <v>4039/4040</v>
      </c>
      <c r="L46" s="22" t="str">
        <f>VLOOKUP(A46,'Trips&amp;Operators'!$C$1:$E$10000,3,FALSE)</f>
        <v>MAELZER</v>
      </c>
      <c r="M46" s="6">
        <f t="shared" si="20"/>
        <v>2.6631944441760425E-2</v>
      </c>
      <c r="N46" s="7">
        <f t="shared" si="21"/>
        <v>38.349999996135011</v>
      </c>
      <c r="O46" s="7"/>
      <c r="P46" s="7"/>
      <c r="Q46" s="23"/>
      <c r="R46" s="23"/>
      <c r="S46" s="35">
        <f t="shared" si="22"/>
        <v>1</v>
      </c>
      <c r="T46" s="50" t="str">
        <f t="shared" si="23"/>
        <v>Southbound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07:34:05-0600',mode:absolute,to:'2016-10-23 10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6" s="52" t="str">
        <f t="shared" si="25"/>
        <v>N</v>
      </c>
      <c r="X46" s="171">
        <f t="shared" si="26"/>
        <v>1</v>
      </c>
      <c r="Y46" s="67">
        <f t="shared" si="27"/>
        <v>23.298200000000001</v>
      </c>
      <c r="Z46" s="67">
        <f t="shared" si="28"/>
        <v>1.3899999999999999E-2</v>
      </c>
      <c r="AA46" s="67">
        <f t="shared" si="29"/>
        <v>23.284300000000002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30"/>
        <v>0134-23</v>
      </c>
      <c r="AE46" s="91" t="str">
        <f t="shared" si="31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46" s="88" t="str">
        <f t="shared" si="32"/>
        <v>"C:\Program Files (x86)\AstroGrep\AstroGrep.exe" /spath="%USERPROFILE%\AppData\Local\Temp\OnboardLogs" /stypes="app*4039*20161023*" /stext=" 15:.+((SYSTEM_STATE.+slice.+state.+changed )|(ment ac)|(system.+state.+changed )|(\[timeout)|(PRM\|1\|D)|(kpr)|(kdp)|(\|lc)|(penalty))" /e /r /s</v>
      </c>
      <c r="AG46" s="1" t="str">
        <f t="shared" si="33"/>
        <v>EC</v>
      </c>
      <c r="AH46" s="92" t="str">
        <f t="shared" si="17"/>
        <v>"%USERPROFILE%\Documents\GitHub\eaglep3\Utilities\RefineRTDCRunTimes.py" --tripid 134-23 --locoid 4039 --swversion DE.1.0.7.0 --startMP 204:232982 --initTime 2016-10-23T08:34:05 --startdatetime 2016-10-23T08:41:25 --delay 1 --endMP 204:139 --enddatetime 2016-10-23T09:19:46 --enforcementcount 0 &gt;&gt;C:\Users\stu\Documents\GitHub\eaglep3-reporting\EC\2016-10-23-refined-times.txt</v>
      </c>
      <c r="AI4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ID","value":"134-23"},{"id":16,"name":"Locomotive ID","value":"4039"},{"id":130,"name":"Impact","value":""},{"id":150,"name":"Time of Event (Mountain Time)","value":"09:19:46"},{"id":151,"name":"Denver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475</v>
      </c>
      <c r="B47" s="7">
        <v>4046</v>
      </c>
      <c r="C47" s="22" t="s">
        <v>99</v>
      </c>
      <c r="D47" s="22" t="s">
        <v>309</v>
      </c>
      <c r="E47" s="13">
        <v>42666.329247685186</v>
      </c>
      <c r="F47" s="13">
        <v>42666.33353009259</v>
      </c>
      <c r="G47" s="7">
        <v>1</v>
      </c>
      <c r="H47" s="13" t="s">
        <v>364</v>
      </c>
      <c r="I47" s="13">
        <v>42666.359826388885</v>
      </c>
      <c r="J47" s="7">
        <v>0</v>
      </c>
      <c r="K47" s="112" t="str">
        <f t="shared" si="19"/>
        <v>4045/4046</v>
      </c>
      <c r="L47" s="22" t="str">
        <f>VLOOKUP(A47,'Trips&amp;Operators'!$C$1:$E$10000,3,FALSE)</f>
        <v>DAVIS</v>
      </c>
      <c r="M47" s="6">
        <f t="shared" si="20"/>
        <v>2.6296296295186039E-2</v>
      </c>
      <c r="N47" s="7">
        <f t="shared" si="21"/>
        <v>37.866666665067896</v>
      </c>
      <c r="O47" s="7"/>
      <c r="P47" s="7"/>
      <c r="Q47" s="23"/>
      <c r="R47" s="23"/>
      <c r="S47" s="35">
        <f t="shared" si="22"/>
        <v>1</v>
      </c>
      <c r="T47" s="50" t="str">
        <f t="shared" si="23"/>
        <v>NorthBound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06:54:07-0600',mode:absolute,to:'2016-10-23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7" s="52" t="str">
        <f t="shared" si="25"/>
        <v>N</v>
      </c>
      <c r="X47" s="171">
        <f t="shared" si="26"/>
        <v>1</v>
      </c>
      <c r="Y47" s="67">
        <f t="shared" si="27"/>
        <v>4.3999999999999997E-2</v>
      </c>
      <c r="Z47" s="67">
        <f t="shared" si="28"/>
        <v>23.3323</v>
      </c>
      <c r="AA47" s="67">
        <f t="shared" si="29"/>
        <v>23.2883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30"/>
        <v>0135-23</v>
      </c>
      <c r="AE47" s="91" t="str">
        <f t="shared" si="31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47" s="88" t="str">
        <f t="shared" si="32"/>
        <v>"C:\Program Files (x86)\AstroGrep\AstroGrep.exe" /spath="%USERPROFILE%\AppData\Local\Temp\OnboardLogs" /stypes="app*4046*20161023*" /stext=" 14:.+((SYSTEM_STATE.+slice.+state.+changed )|(ment ac)|(system.+state.+changed )|(\[timeout)|(PRM\|1\|D)|(kpr)|(kdp)|(\|lc)|(penalty))" /e /r /s</v>
      </c>
      <c r="AG47" s="1" t="str">
        <f t="shared" si="33"/>
        <v>EC</v>
      </c>
      <c r="AH47" s="92" t="str">
        <f t="shared" si="17"/>
        <v>"%USERPROFILE%\Documents\GitHub\eaglep3\Utilities\RefineRTDCRunTimes.py" --tripid 135-23 --locoid 4046 --swversion DE.1.0.7.0 --startMP 204:440 --initTime 2016-10-23T07:54:07 --startdatetime 2016-10-23T08:00:17 --delay 1 --endMP 204:233323 --enddatetime 2016-10-23T08:38:09 --enforcementcount 0 &gt;&gt;C:\Users\stu\Documents\GitHub\eaglep3-reporting\EC\2016-10-23-refined-times.txt</v>
      </c>
      <c r="AI4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{"issue":{"subject":"","project_id":79,"tracker_id":40,"status_id":1,"priority_id":2,"assigned_to_id":23,"start_date":"2016-10-23","description":"","custom_fields":[{"id":1,"name":"Subdivision","value":"EC"},{"id":4,"name":"Milepost","value":"23.3323"},{"id":17,"name":"Train ID","value":"135-23"},{"id":16,"name":"Locomotive ID","value":"4046"},{"id":130,"name":"Impact","value":""},{"id":150,"name":"Time of Event (Mountain Time)","value":"08:38:09"},{"id":151,"name":"Denver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481</v>
      </c>
      <c r="B48" s="7">
        <v>4045</v>
      </c>
      <c r="C48" s="22" t="s">
        <v>99</v>
      </c>
      <c r="D48" s="22" t="s">
        <v>308</v>
      </c>
      <c r="E48" s="13">
        <v>42666.37023148148</v>
      </c>
      <c r="F48" s="13">
        <v>42666.372372685182</v>
      </c>
      <c r="G48" s="7">
        <v>0</v>
      </c>
      <c r="H48" s="13" t="s">
        <v>224</v>
      </c>
      <c r="I48" s="13">
        <v>42666.400046296294</v>
      </c>
      <c r="J48" s="7">
        <v>0</v>
      </c>
      <c r="K48" s="112" t="str">
        <f t="shared" si="19"/>
        <v>4045/4046</v>
      </c>
      <c r="L48" s="22" t="str">
        <f>VLOOKUP(A48,'Trips&amp;Operators'!$C$1:$E$10000,3,FALSE)</f>
        <v>DAVIS</v>
      </c>
      <c r="M48" s="6">
        <f t="shared" si="20"/>
        <v>2.7673611111822538E-2</v>
      </c>
      <c r="N48" s="7">
        <f t="shared" si="21"/>
        <v>39.850000001024455</v>
      </c>
      <c r="O48" s="7"/>
      <c r="P48" s="7"/>
      <c r="Q48" s="23"/>
      <c r="R48" s="23"/>
      <c r="S48" s="35">
        <f t="shared" si="22"/>
        <v>1</v>
      </c>
      <c r="T48" s="50" t="str">
        <f t="shared" si="23"/>
        <v>Southbound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07:53:08-0600',mode:absolute,to:'2016-10-23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8" s="52" t="str">
        <f t="shared" si="25"/>
        <v>N</v>
      </c>
      <c r="X48" s="171">
        <f t="shared" si="26"/>
        <v>1</v>
      </c>
      <c r="Y48" s="67">
        <f t="shared" si="27"/>
        <v>23.299299999999999</v>
      </c>
      <c r="Z48" s="67">
        <f t="shared" si="28"/>
        <v>1.43E-2</v>
      </c>
      <c r="AA48" s="67">
        <f t="shared" si="29"/>
        <v>23.285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30"/>
        <v>0136-23</v>
      </c>
      <c r="AE48" s="91" t="str">
        <f t="shared" si="31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48" s="88" t="str">
        <f t="shared" si="32"/>
        <v>"C:\Program Files (x86)\AstroGrep\AstroGrep.exe" /spath="%USERPROFILE%\AppData\Local\Temp\OnboardLogs" /stypes="app*4045*20161023*" /stext=" 15:.+((SYSTEM_STATE.+slice.+state.+changed )|(ment ac)|(system.+state.+changed )|(\[timeout)|(PRM\|1\|D)|(kpr)|(kdp)|(\|lc)|(penalty))" /e /r /s</v>
      </c>
      <c r="AG48" s="1" t="str">
        <f t="shared" si="33"/>
        <v>EC</v>
      </c>
      <c r="AH48" s="92" t="str">
        <f t="shared" si="17"/>
        <v>"%USERPROFILE%\Documents\GitHub\eaglep3\Utilities\RefineRTDCRunTimes.py" --tripid 136-23 --locoid 4045 --swversion DE.1.0.7.0 --startMP 204:232993 --initTime 2016-10-23T08:53:08 --startdatetime 2016-10-23T08:56:13 --delay 0 --endMP 204:143 --enddatetime 2016-10-23T09:36:04 --enforcementcount 0 &gt;&gt;C:\Users\stu\Documents\GitHub\eaglep3-reporting\EC\2016-10-23-refined-times.txt</v>
      </c>
      <c r="AI4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{"issue":{"subject":"","project_id":79,"tracker_id":40,"status_id":1,"priority_id":2,"assigned_to_id":23,"start_date":"2016-10-23","description":"","custom_fields":[{"id":1,"name":"Subdivision","value":"EC"},{"id":4,"name":"Milepost","value":"0.0143"},{"id":17,"name":"Train ID","value":"136-23"},{"id":16,"name":"Locomotive ID","value":"4045"},{"id":130,"name":"Impact","value":""},{"id":150,"name":"Time of Event (Mountain Time)","value":"09:36:04"},{"id":151,"name":"Denver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476</v>
      </c>
      <c r="B49" s="7">
        <v>4016</v>
      </c>
      <c r="C49" s="22" t="s">
        <v>99</v>
      </c>
      <c r="D49" s="22" t="s">
        <v>229</v>
      </c>
      <c r="E49" s="13">
        <v>42666.341365740744</v>
      </c>
      <c r="F49" s="13">
        <v>42666.343969907408</v>
      </c>
      <c r="G49" s="7">
        <v>1</v>
      </c>
      <c r="H49" s="13" t="s">
        <v>630</v>
      </c>
      <c r="I49" s="13">
        <v>42666.368506944447</v>
      </c>
      <c r="J49" s="7">
        <v>0</v>
      </c>
      <c r="K49" s="112" t="str">
        <f t="shared" si="19"/>
        <v>4015/4016</v>
      </c>
      <c r="L49" s="22" t="str">
        <f>VLOOKUP(A49,'Trips&amp;Operators'!$C$1:$E$10000,3,FALSE)</f>
        <v>MALAVE</v>
      </c>
      <c r="M49" s="6">
        <f t="shared" si="20"/>
        <v>2.453703703940846E-2</v>
      </c>
      <c r="N49" s="7">
        <f t="shared" si="21"/>
        <v>35.333333336748183</v>
      </c>
      <c r="O49" s="7"/>
      <c r="P49" s="7"/>
      <c r="Q49" s="23"/>
      <c r="R49" s="23"/>
      <c r="S49" s="35">
        <f t="shared" si="22"/>
        <v>1</v>
      </c>
      <c r="T49" s="50" t="str">
        <f t="shared" si="23"/>
        <v>NorthBound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07:11:34-0600',mode:absolute,to:'2016-10-23 09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9" s="52" t="str">
        <f t="shared" si="25"/>
        <v>N</v>
      </c>
      <c r="X49" s="171">
        <f t="shared" si="26"/>
        <v>1</v>
      </c>
      <c r="Y49" s="67">
        <f t="shared" si="27"/>
        <v>4.6399999999999997E-2</v>
      </c>
      <c r="Z49" s="67">
        <f t="shared" si="28"/>
        <v>23.328199999999999</v>
      </c>
      <c r="AA49" s="67">
        <f t="shared" si="29"/>
        <v>23.2818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30"/>
        <v>0137-23</v>
      </c>
      <c r="AE49" s="91" t="str">
        <f t="shared" si="31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49" s="88" t="str">
        <f t="shared" si="32"/>
        <v>"C:\Program Files (x86)\AstroGrep\AstroGrep.exe" /spath="%USERPROFILE%\AppData\Local\Temp\OnboardLogs" /stypes="app*4016*20161023*" /stext=" 14:.+((SYSTEM_STATE.+slice.+state.+changed )|(ment ac)|(system.+state.+changed )|(\[timeout)|(PRM\|1\|D)|(kpr)|(kdp)|(\|lc)|(penalty))" /e /r /s</v>
      </c>
      <c r="AG49" s="1" t="str">
        <f t="shared" si="33"/>
        <v>EC</v>
      </c>
      <c r="AH49" s="92" t="str">
        <f t="shared" si="17"/>
        <v>"%USERPROFILE%\Documents\GitHub\eaglep3\Utilities\RefineRTDCRunTimes.py" --tripid 137-23 --locoid 4016 --swversion DE.1.0.7.0 --startMP 204:464 --initTime 2016-10-23T08:11:34 --startdatetime 2016-10-23T08:15:19 --delay 1 --endMP 204:233282 --enddatetime 2016-10-23T08:50:39 --enforcementcount 0 &gt;&gt;C:\Users\stu\Documents\GitHub\eaglep3-reporting\EC\2016-10-23-refined-times.txt</v>
      </c>
      <c r="AI4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{"issue":{"subject":"","project_id":79,"tracker_id":40,"status_id":1,"priority_id":2,"assigned_to_id":23,"start_date":"2016-10-23","description":"","custom_fields":[{"id":1,"name":"Subdivision","value":"EC"},{"id":4,"name":"Milepost","value":"23.3282"},{"id":17,"name":"Train ID","value":"137-23"},{"id":16,"name":"Locomotive ID","value":"4016"},{"id":130,"name":"Impact","value":""},{"id":150,"name":"Time of Event (Mountain Time)","value":"08:50:39"},{"id":151,"name":"Denver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484</v>
      </c>
      <c r="B50" s="7">
        <v>4015</v>
      </c>
      <c r="C50" s="22" t="s">
        <v>99</v>
      </c>
      <c r="D50" s="22" t="s">
        <v>254</v>
      </c>
      <c r="E50" s="13">
        <v>42666.380069444444</v>
      </c>
      <c r="F50" s="13">
        <v>42666.3828587963</v>
      </c>
      <c r="G50" s="7">
        <v>1</v>
      </c>
      <c r="H50" s="13" t="s">
        <v>263</v>
      </c>
      <c r="I50" s="13">
        <v>42666.409351851849</v>
      </c>
      <c r="J50" s="7">
        <v>0</v>
      </c>
      <c r="K50" s="112" t="str">
        <f t="shared" si="19"/>
        <v>4015/4016</v>
      </c>
      <c r="L50" s="22" t="str">
        <f>VLOOKUP(A50,'Trips&amp;Operators'!$C$1:$E$10000,3,FALSE)</f>
        <v>MALAVE</v>
      </c>
      <c r="M50" s="6">
        <f t="shared" si="20"/>
        <v>2.6493055549508426E-2</v>
      </c>
      <c r="N50" s="7">
        <f t="shared" si="21"/>
        <v>38.149999991292134</v>
      </c>
      <c r="O50" s="7"/>
      <c r="P50" s="7"/>
      <c r="Q50" s="23"/>
      <c r="R50" s="23"/>
      <c r="S50" s="35">
        <f t="shared" si="22"/>
        <v>1</v>
      </c>
      <c r="T50" s="50" t="str">
        <f t="shared" si="23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08:07:18-0600',mode:absolute,to:'2016-10-23 10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0" s="52" t="str">
        <f t="shared" si="25"/>
        <v>N</v>
      </c>
      <c r="X50" s="171">
        <f t="shared" si="26"/>
        <v>1</v>
      </c>
      <c r="Y50" s="67">
        <f t="shared" si="27"/>
        <v>23.297699999999999</v>
      </c>
      <c r="Z50" s="67">
        <f t="shared" si="28"/>
        <v>1.5599999999999999E-2</v>
      </c>
      <c r="AA50" s="67">
        <f t="shared" si="29"/>
        <v>23.2821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30"/>
        <v>0138-23</v>
      </c>
      <c r="AE50" s="91" t="str">
        <f t="shared" si="31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50" s="88" t="str">
        <f t="shared" si="32"/>
        <v>"C:\Program Files (x86)\AstroGrep\AstroGrep.exe" /spath="%USERPROFILE%\AppData\Local\Temp\OnboardLogs" /stypes="app*4015*20161023*" /stext=" 15:.+((SYSTEM_STATE.+slice.+state.+changed )|(ment ac)|(system.+state.+changed )|(\[timeout)|(PRM\|1\|D)|(kpr)|(kdp)|(\|lc)|(penalty))" /e /r /s</v>
      </c>
      <c r="AG50" s="1" t="str">
        <f t="shared" si="33"/>
        <v>EC</v>
      </c>
      <c r="AH50" s="92" t="str">
        <f t="shared" si="17"/>
        <v>"%USERPROFILE%\Documents\GitHub\eaglep3\Utilities\RefineRTDCRunTimes.py" --tripid 138-23 --locoid 4015 --swversion DE.1.0.7.0 --startMP 204:232977 --initTime 2016-10-23T09:07:18 --startdatetime 2016-10-23T09:11:19 --delay 1 --endMP 204:156 --enddatetime 2016-10-23T09:49:28 --enforcementcount 0 &gt;&gt;C:\Users\stu\Documents\GitHub\eaglep3-reporting\EC\2016-10-23-refined-times.txt</v>
      </c>
      <c r="AI5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{"issue":{"subject":"","project_id":79,"tracker_id":40,"status_id":1,"priority_id":2,"assigned_to_id":23,"start_date":"2016-10-23","description":"","custom_fields":[{"id":1,"name":"Subdivision","value":"EC"},{"id":4,"name":"Milepost","value":"0.0156"},{"id":17,"name":"Train ID","value":"138-23"},{"id":16,"name":"Locomotive ID","value":"4015"},{"id":130,"name":"Impact","value":""},{"id":150,"name":"Time of Event (Mountain Time)","value":"09:49:28"},{"id":151,"name":"Denver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478</v>
      </c>
      <c r="B51" s="7">
        <v>4025</v>
      </c>
      <c r="C51" s="22" t="s">
        <v>99</v>
      </c>
      <c r="D51" s="22" t="s">
        <v>239</v>
      </c>
      <c r="E51" s="13">
        <v>42666.350069444445</v>
      </c>
      <c r="F51" s="13">
        <v>42666.354780092595</v>
      </c>
      <c r="G51" s="7">
        <v>1</v>
      </c>
      <c r="H51" s="13" t="s">
        <v>367</v>
      </c>
      <c r="I51" s="13">
        <v>42666.379340277781</v>
      </c>
      <c r="J51" s="7">
        <v>0</v>
      </c>
      <c r="K51" s="112" t="str">
        <f t="shared" si="19"/>
        <v>4025/4026</v>
      </c>
      <c r="L51" s="22" t="str">
        <f>VLOOKUP(A51,'Trips&amp;Operators'!$C$1:$E$10000,3,FALSE)</f>
        <v>STAMBAUGH</v>
      </c>
      <c r="M51" s="6">
        <f t="shared" si="20"/>
        <v>2.4560185185691807E-2</v>
      </c>
      <c r="N51" s="7">
        <f t="shared" si="21"/>
        <v>35.366666667396203</v>
      </c>
      <c r="O51" s="7"/>
      <c r="P51" s="7"/>
      <c r="Q51" s="23"/>
      <c r="R51" s="23"/>
      <c r="S51" s="35">
        <f t="shared" si="22"/>
        <v>1</v>
      </c>
      <c r="T51" s="50" t="str">
        <f t="shared" si="23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07:24:06-0600',mode:absolute,to:'2016-10-23 10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1" s="52" t="str">
        <f t="shared" si="25"/>
        <v>N</v>
      </c>
      <c r="X51" s="171">
        <f t="shared" si="26"/>
        <v>1</v>
      </c>
      <c r="Y51" s="67">
        <f t="shared" si="27"/>
        <v>4.5100000000000001E-2</v>
      </c>
      <c r="Z51" s="67">
        <f t="shared" si="28"/>
        <v>23.3306</v>
      </c>
      <c r="AA51" s="67">
        <f t="shared" si="29"/>
        <v>23.285499999999999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30"/>
        <v>0139-23</v>
      </c>
      <c r="AE51" s="91" t="str">
        <f t="shared" si="31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51" s="88" t="str">
        <f t="shared" si="32"/>
        <v>"C:\Program Files (x86)\AstroGrep\AstroGrep.exe" /spath="%USERPROFILE%\AppData\Local\Temp\OnboardLogs" /stypes="app*4025*20161023*" /stext=" 15:.+((SYSTEM_STATE.+slice.+state.+changed )|(ment ac)|(system.+state.+changed )|(\[timeout)|(PRM\|1\|D)|(kpr)|(kdp)|(\|lc)|(penalty))" /e /r /s</v>
      </c>
      <c r="AG51" s="1" t="str">
        <f t="shared" si="33"/>
        <v>EC</v>
      </c>
      <c r="AH51" s="92" t="str">
        <f t="shared" si="17"/>
        <v>"%USERPROFILE%\Documents\GitHub\eaglep3\Utilities\RefineRTDCRunTimes.py" --tripid 139-23 --locoid 4025 --swversion DE.1.0.7.0 --startMP 204:451 --initTime 2016-10-23T08:24:06 --startdatetime 2016-10-23T08:30:53 --delay 1 --endMP 204:233306 --enddatetime 2016-10-23T09:06:15 --enforcementcount 0 &gt;&gt;C:\Users\stu\Documents\GitHub\eaglep3-reporting\EC\2016-10-23-refined-times.txt</v>
      </c>
      <c r="AI5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{"issue":{"subject":"","project_id":79,"tracker_id":40,"status_id":1,"priority_id":2,"assigned_to_id":23,"start_date":"2016-10-23","description":"","custom_fields":[{"id":1,"name":"Subdivision","value":"EC"},{"id":4,"name":"Milepost","value":"23.3306"},{"id":17,"name":"Train ID","value":"139-23"},{"id":16,"name":"Locomotive ID","value":"4025"},{"id":130,"name":"Impact","value":""},{"id":150,"name":"Time of Event (Mountain Time)","value":"09:06:15"},{"id":151,"name":"Denver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486</v>
      </c>
      <c r="B52" s="7">
        <v>4026</v>
      </c>
      <c r="C52" s="22" t="s">
        <v>99</v>
      </c>
      <c r="D52" s="22" t="s">
        <v>399</v>
      </c>
      <c r="E52" s="13">
        <v>42666.389421296299</v>
      </c>
      <c r="F52" s="13">
        <v>42666.393449074072</v>
      </c>
      <c r="G52" s="7">
        <v>1</v>
      </c>
      <c r="H52" s="13" t="s">
        <v>386</v>
      </c>
      <c r="I52" s="13">
        <v>42666.419456018521</v>
      </c>
      <c r="J52" s="7">
        <v>0</v>
      </c>
      <c r="K52" s="112" t="str">
        <f t="shared" si="19"/>
        <v>4025/4026</v>
      </c>
      <c r="L52" s="22" t="str">
        <f>VLOOKUP(A52,'Trips&amp;Operators'!$C$1:$E$10000,3,FALSE)</f>
        <v>STAMBAUGH</v>
      </c>
      <c r="M52" s="6">
        <f t="shared" si="20"/>
        <v>2.6006944448454306E-2</v>
      </c>
      <c r="N52" s="7">
        <f t="shared" si="21"/>
        <v>37.4500000057742</v>
      </c>
      <c r="O52" s="7"/>
      <c r="P52" s="7"/>
      <c r="Q52" s="23"/>
      <c r="R52" s="23"/>
      <c r="S52" s="35">
        <f t="shared" si="22"/>
        <v>1</v>
      </c>
      <c r="T52" s="50" t="str">
        <f t="shared" si="23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08:20:46-0600',mode:absolute,to:'2016-10-23 11:04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2" s="52" t="str">
        <f t="shared" si="25"/>
        <v>N</v>
      </c>
      <c r="X52" s="171">
        <f t="shared" si="26"/>
        <v>1</v>
      </c>
      <c r="Y52" s="67">
        <f t="shared" si="27"/>
        <v>23.297899999999998</v>
      </c>
      <c r="Z52" s="67">
        <f t="shared" si="28"/>
        <v>1.2999999999999999E-2</v>
      </c>
      <c r="AA52" s="67">
        <f t="shared" si="29"/>
        <v>23.284899999999997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30"/>
        <v>0140-23</v>
      </c>
      <c r="AE52" s="91" t="str">
        <f t="shared" si="31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52" s="88" t="str">
        <f t="shared" si="32"/>
        <v>"C:\Program Files (x86)\AstroGrep\AstroGrep.exe" /spath="%USERPROFILE%\AppData\Local\Temp\OnboardLogs" /stypes="app*4026*20161023*" /stext=" 16:.+((SYSTEM_STATE.+slice.+state.+changed )|(ment ac)|(system.+state.+changed )|(\[timeout)|(PRM\|1\|D)|(kpr)|(kdp)|(\|lc)|(penalty))" /e /r /s</v>
      </c>
      <c r="AG52" s="1" t="str">
        <f t="shared" si="33"/>
        <v>EC</v>
      </c>
      <c r="AH52" s="92" t="str">
        <f t="shared" si="17"/>
        <v>"%USERPROFILE%\Documents\GitHub\eaglep3\Utilities\RefineRTDCRunTimes.py" --tripid 140-23 --locoid 4026 --swversion DE.1.0.7.0 --startMP 204:232979 --initTime 2016-10-23T09:20:46 --startdatetime 2016-10-23T09:26:34 --delay 1 --endMP 204:130 --enddatetime 2016-10-23T10:04:01 --enforcementcount 0 &gt;&gt;C:\Users\stu\Documents\GitHub\eaglep3-reporting\EC\2016-10-23-refined-times.txt</v>
      </c>
      <c r="AI5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{"issue":{"subject":"","project_id":79,"tracker_id":40,"status_id":1,"priority_id":2,"assigned_to_id":23,"start_date":"2016-10-23","description":"","custom_fields":[{"id":1,"name":"Subdivision","value":"EC"},{"id":4,"name":"Milepost","value":"0.013"},{"id":17,"name":"Train ID","value":"140-23"},{"id":16,"name":"Locomotive ID","value":"4026"},{"id":130,"name":"Impact","value":""},{"id":150,"name":"Time of Event (Mountain Time)","value":"10:04:01"},{"id":151,"name":"Denver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480</v>
      </c>
      <c r="B53" s="7">
        <v>4027</v>
      </c>
      <c r="C53" s="22" t="s">
        <v>99</v>
      </c>
      <c r="D53" s="22" t="s">
        <v>404</v>
      </c>
      <c r="E53" s="13">
        <v>42666.358449074076</v>
      </c>
      <c r="F53" s="13">
        <v>42666.364733796298</v>
      </c>
      <c r="G53" s="7">
        <v>1</v>
      </c>
      <c r="H53" s="13" t="s">
        <v>324</v>
      </c>
      <c r="I53" s="13">
        <v>42666.389305555553</v>
      </c>
      <c r="J53" s="7">
        <v>0</v>
      </c>
      <c r="K53" s="112" t="str">
        <f t="shared" si="19"/>
        <v>4027/4028</v>
      </c>
      <c r="L53" s="22" t="str">
        <f>VLOOKUP(A53,'Trips&amp;Operators'!$C$1:$E$10000,3,FALSE)</f>
        <v>ROBINSON</v>
      </c>
      <c r="M53" s="6">
        <f t="shared" si="20"/>
        <v>2.4571759255195502E-2</v>
      </c>
      <c r="N53" s="7">
        <f t="shared" si="21"/>
        <v>35.383333327481523</v>
      </c>
      <c r="O53" s="7"/>
      <c r="P53" s="7"/>
      <c r="Q53" s="23"/>
      <c r="R53" s="23"/>
      <c r="S53" s="35">
        <f t="shared" si="22"/>
        <v>1</v>
      </c>
      <c r="T53" s="50" t="str">
        <f t="shared" si="23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07:36:10-0600',mode:absolute,to:'2016-10-23 10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3" s="52" t="str">
        <f t="shared" si="25"/>
        <v>N</v>
      </c>
      <c r="X53" s="171">
        <f t="shared" si="26"/>
        <v>1</v>
      </c>
      <c r="Y53" s="67">
        <f t="shared" si="27"/>
        <v>4.3099999999999999E-2</v>
      </c>
      <c r="Z53" s="67">
        <f t="shared" si="28"/>
        <v>23.332000000000001</v>
      </c>
      <c r="AA53" s="67">
        <f t="shared" si="29"/>
        <v>23.288900000000002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30"/>
        <v>0141-23</v>
      </c>
      <c r="AE53" s="91" t="str">
        <f t="shared" si="31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53" s="88" t="str">
        <f t="shared" si="32"/>
        <v>"C:\Program Files (x86)\AstroGrep\AstroGrep.exe" /spath="%USERPROFILE%\AppData\Local\Temp\OnboardLogs" /stypes="app*4027*20161023*" /stext=" 15:.+((SYSTEM_STATE.+slice.+state.+changed )|(ment ac)|(system.+state.+changed )|(\[timeout)|(PRM\|1\|D)|(kpr)|(kdp)|(\|lc)|(penalty))" /e /r /s</v>
      </c>
      <c r="AG53" s="1" t="str">
        <f t="shared" si="33"/>
        <v>EC</v>
      </c>
      <c r="AH53" s="92" t="str">
        <f t="shared" si="17"/>
        <v>"%USERPROFILE%\Documents\GitHub\eaglep3\Utilities\RefineRTDCRunTimes.py" --tripid 141-23 --locoid 4027 --swversion DE.1.0.7.0 --startMP 204:431 --initTime 2016-10-23T08:36:10 --startdatetime 2016-10-23T08:45:13 --delay 1 --endMP 204:233320 --enddatetime 2016-10-23T09:20:36 --enforcementcount 0 &gt;&gt;C:\Users\stu\Documents\GitHub\eaglep3-reporting\EC\2016-10-23-refined-times.txt</v>
      </c>
      <c r="AI5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{"issue":{"subject":"","project_id":79,"tracker_id":40,"status_id":1,"priority_id":2,"assigned_to_id":23,"start_date":"2016-10-23","description":"","custom_fields":[{"id":1,"name":"Subdivision","value":"EC"},{"id":4,"name":"Milepost","value":"23.332"},{"id":17,"name":"Train ID","value":"141-23"},{"id":16,"name":"Locomotive ID","value":"4027"},{"id":130,"name":"Impact","value":""},{"id":150,"name":"Time of Event (Mountain Time)","value":"09:20:36"},{"id":151,"name":"Denver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417</v>
      </c>
      <c r="B54" s="7">
        <v>4028</v>
      </c>
      <c r="C54" s="22" t="s">
        <v>99</v>
      </c>
      <c r="D54" s="22" t="s">
        <v>636</v>
      </c>
      <c r="E54" s="13">
        <v>42666.390520833331</v>
      </c>
      <c r="F54" s="13">
        <v>42666.403657407405</v>
      </c>
      <c r="G54" s="7">
        <v>1</v>
      </c>
      <c r="H54" s="13" t="s">
        <v>323</v>
      </c>
      <c r="I54" s="13">
        <v>42666.431747685187</v>
      </c>
      <c r="J54" s="7">
        <v>0</v>
      </c>
      <c r="K54" s="112" t="str">
        <f t="shared" si="19"/>
        <v>4027/4028</v>
      </c>
      <c r="L54" s="22" t="str">
        <f>VLOOKUP(A54,'Trips&amp;Operators'!$C$1:$E$10000,3,FALSE)</f>
        <v>ROBINSON</v>
      </c>
      <c r="M54" s="6">
        <f t="shared" si="20"/>
        <v>2.8090277781302575E-2</v>
      </c>
      <c r="N54" s="7">
        <f t="shared" si="21"/>
        <v>40.450000005075708</v>
      </c>
      <c r="O54" s="7"/>
      <c r="P54" s="7"/>
      <c r="Q54" s="23"/>
      <c r="R54" s="23"/>
      <c r="S54" s="35">
        <f t="shared" si="22"/>
        <v>1</v>
      </c>
      <c r="T54" s="50" t="str">
        <f t="shared" si="23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08:22:21-0600',mode:absolute,to:'2016-10-23 11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4" s="52" t="str">
        <f t="shared" si="25"/>
        <v>N</v>
      </c>
      <c r="X54" s="171">
        <f t="shared" si="26"/>
        <v>1</v>
      </c>
      <c r="Y54" s="67">
        <f t="shared" si="27"/>
        <v>23.299800000000001</v>
      </c>
      <c r="Z54" s="67">
        <f t="shared" si="28"/>
        <v>1.3599999999999999E-2</v>
      </c>
      <c r="AA54" s="67">
        <f t="shared" si="29"/>
        <v>23.286200000000001</v>
      </c>
      <c r="AB54" s="64" t="str">
        <f>VLOOKUP(A54,Enforcements!$C$7:$K$21,8,0)</f>
        <v>Bulletin (2)</v>
      </c>
      <c r="AC54" s="60" t="str">
        <f>VLOOKUP(A54,Enforcements!$C$7:$E$21,3,0)</f>
        <v>GRADE CROSSING</v>
      </c>
      <c r="AD54" s="61" t="str">
        <f t="shared" si="30"/>
        <v>0142-23</v>
      </c>
      <c r="AE54" s="91" t="str">
        <f t="shared" si="31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54" s="88" t="str">
        <f t="shared" si="32"/>
        <v>"C:\Program Files (x86)\AstroGrep\AstroGrep.exe" /spath="%USERPROFILE%\AppData\Local\Temp\OnboardLogs" /stypes="app*4028*20161023*" /stext=" 16:.+((SYSTEM_STATE.+slice.+state.+changed )|(ment ac)|(system.+state.+changed )|(\[timeout)|(PRM\|1\|D)|(kpr)|(kdp)|(\|lc)|(penalty))" /e /r /s</v>
      </c>
      <c r="AG54" s="1" t="str">
        <f t="shared" si="33"/>
        <v>EC</v>
      </c>
      <c r="AH54" s="92" t="str">
        <f t="shared" si="17"/>
        <v>"%USERPROFILE%\Documents\GitHub\eaglep3\Utilities\RefineRTDCRunTimes.py" --tripid 142-23 --locoid 4028 --swversion DE.1.0.7.0 --startMP 204:232998 --initTime 2016-10-23T09:22:21 --startdatetime 2016-10-23T09:41:16 --delay 1 --endMP 204:136 --enddatetime 2016-10-23T10:21:43 --enforcementcount 0 &gt;&gt;C:\Users\stu\Documents\GitHub\eaglep3-reporting\EC\2016-10-23-refined-times.txt</v>
      </c>
      <c r="AI5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{"issue":{"subject":"","project_id":79,"tracker_id":40,"status_id":1,"priority_id":2,"assigned_to_id":23,"start_date":"2016-10-23","description":"","custom_fields":[{"id":1,"name":"Subdivision","value":"EC"},{"id":4,"name":"Milepost","value":"0.0136"},{"id":17,"name":"Train ID","value":"142-23"},{"id":16,"name":"Locomotive ID","value":"4028"},{"id":130,"name":"Impact","value":""},{"id":150,"name":"Time of Event (Mountain Time)","value":"10:21:43"},{"id":151,"name":"Denver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482</v>
      </c>
      <c r="B55" s="7">
        <v>4018</v>
      </c>
      <c r="C55" s="22" t="s">
        <v>99</v>
      </c>
      <c r="D55" s="22" t="s">
        <v>258</v>
      </c>
      <c r="E55" s="13">
        <v>42666.372349537036</v>
      </c>
      <c r="F55" s="13">
        <v>42666.375358796293</v>
      </c>
      <c r="G55" s="7">
        <v>1</v>
      </c>
      <c r="H55" s="13" t="s">
        <v>228</v>
      </c>
      <c r="I55" s="13">
        <v>42666.399444444447</v>
      </c>
      <c r="J55" s="7">
        <v>0</v>
      </c>
      <c r="K55" s="112" t="str">
        <f t="shared" si="19"/>
        <v>4017/4018</v>
      </c>
      <c r="L55" s="22" t="str">
        <f>VLOOKUP(A55,'Trips&amp;Operators'!$C$1:$E$10000,3,FALSE)</f>
        <v>YORK</v>
      </c>
      <c r="M55" s="6">
        <f t="shared" si="20"/>
        <v>2.4085648154141381E-2</v>
      </c>
      <c r="N55" s="7">
        <f t="shared" si="21"/>
        <v>34.683333341963589</v>
      </c>
      <c r="O55" s="7"/>
      <c r="P55" s="7"/>
      <c r="Q55" s="23"/>
      <c r="R55" s="23"/>
      <c r="S55" s="35">
        <f t="shared" si="22"/>
        <v>1</v>
      </c>
      <c r="T55" s="50" t="str">
        <f t="shared" si="23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07:56:11-0600',mode:absolute,to:'2016-10-23 10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5" s="52" t="str">
        <f t="shared" si="25"/>
        <v>N</v>
      </c>
      <c r="X55" s="171">
        <f t="shared" si="26"/>
        <v>1</v>
      </c>
      <c r="Y55" s="67">
        <f t="shared" si="27"/>
        <v>4.7100000000000003E-2</v>
      </c>
      <c r="Z55" s="67">
        <f t="shared" si="28"/>
        <v>23.33</v>
      </c>
      <c r="AA55" s="67">
        <f t="shared" si="29"/>
        <v>23.282899999999998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30"/>
        <v>0143-23</v>
      </c>
      <c r="AE55" s="91" t="str">
        <f t="shared" si="31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55" s="88" t="str">
        <f t="shared" si="32"/>
        <v>"C:\Program Files (x86)\AstroGrep\AstroGrep.exe" /spath="%USERPROFILE%\AppData\Local\Temp\OnboardLogs" /stypes="app*4018*20161023*" /stext=" 15:.+((SYSTEM_STATE.+slice.+state.+changed )|(ment ac)|(system.+state.+changed )|(\[timeout)|(PRM\|1\|D)|(kpr)|(kdp)|(\|lc)|(penalty))" /e /r /s</v>
      </c>
      <c r="AG55" s="1" t="str">
        <f t="shared" si="33"/>
        <v>EC</v>
      </c>
      <c r="AH55" s="92" t="str">
        <f t="shared" si="17"/>
        <v>"%USERPROFILE%\Documents\GitHub\eaglep3\Utilities\RefineRTDCRunTimes.py" --tripid 143-23 --locoid 4018 --swversion DE.1.0.7.0 --startMP 204:471 --initTime 2016-10-23T08:56:11 --startdatetime 2016-10-23T09:00:31 --delay 1 --endMP 204:233300 --enddatetime 2016-10-23T09:35:12 --enforcementcount 0 &gt;&gt;C:\Users\stu\Documents\GitHub\eaglep3-reporting\EC\2016-10-23-refined-times.txt</v>
      </c>
      <c r="AI5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{"issue":{"subject":"","project_id":79,"tracker_id":40,"status_id":1,"priority_id":2,"assigned_to_id":23,"start_date":"2016-10-23","description":"","custom_fields":[{"id":1,"name":"Subdivision","value":"EC"},{"id":4,"name":"Milepost","value":"23.33"},{"id":17,"name":"Train ID","value":"143-23"},{"id":16,"name":"Locomotive ID","value":"4018"},{"id":130,"name":"Impact","value":""},{"id":150,"name":"Time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489</v>
      </c>
      <c r="B56" s="7">
        <v>4017</v>
      </c>
      <c r="C56" s="22" t="s">
        <v>99</v>
      </c>
      <c r="D56" s="22" t="s">
        <v>307</v>
      </c>
      <c r="E56" s="13">
        <v>42666.401030092595</v>
      </c>
      <c r="F56" s="13">
        <v>42666.414537037039</v>
      </c>
      <c r="G56" s="7">
        <v>0</v>
      </c>
      <c r="H56" s="13" t="s">
        <v>222</v>
      </c>
      <c r="I56" s="13">
        <v>42666.439895833333</v>
      </c>
      <c r="J56" s="7">
        <v>0</v>
      </c>
      <c r="K56" s="112" t="str">
        <f t="shared" si="19"/>
        <v>4017/4018</v>
      </c>
      <c r="L56" s="22" t="str">
        <f>VLOOKUP(A56,'Trips&amp;Operators'!$C$1:$E$10000,3,FALSE)</f>
        <v>YORK</v>
      </c>
      <c r="M56" s="6">
        <f t="shared" si="20"/>
        <v>2.5358796294312924E-2</v>
      </c>
      <c r="N56" s="7">
        <f t="shared" si="21"/>
        <v>36.516666663810611</v>
      </c>
      <c r="O56" s="7"/>
      <c r="P56" s="7"/>
      <c r="Q56" s="23"/>
      <c r="R56" s="23"/>
      <c r="S56" s="35">
        <f t="shared" si="22"/>
        <v>1</v>
      </c>
      <c r="T56" s="50" t="str">
        <f t="shared" si="23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08:37:29-0600',mode:absolute,to:'2016-10-23 11:33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6" s="52" t="str">
        <f t="shared" si="25"/>
        <v>N</v>
      </c>
      <c r="X56" s="171">
        <f t="shared" si="26"/>
        <v>1</v>
      </c>
      <c r="Y56" s="67">
        <f t="shared" si="27"/>
        <v>23.2989</v>
      </c>
      <c r="Z56" s="67">
        <f t="shared" si="28"/>
        <v>1.49E-2</v>
      </c>
      <c r="AA56" s="67">
        <f t="shared" si="29"/>
        <v>23.283999999999999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30"/>
        <v>0144-23</v>
      </c>
      <c r="AE56" s="91" t="str">
        <f t="shared" si="31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56" s="88" t="str">
        <f t="shared" si="32"/>
        <v>"C:\Program Files (x86)\AstroGrep\AstroGrep.exe" /spath="%USERPROFILE%\AppData\Local\Temp\OnboardLogs" /stypes="app*4017*20161023*" /stext=" 16:.+((SYSTEM_STATE.+slice.+state.+changed )|(ment ac)|(system.+state.+changed )|(\[timeout)|(PRM\|1\|D)|(kpr)|(kdp)|(\|lc)|(penalty))" /e /r /s</v>
      </c>
      <c r="AG56" s="1" t="str">
        <f t="shared" si="33"/>
        <v>EC</v>
      </c>
      <c r="AH56" s="92" t="str">
        <f t="shared" si="17"/>
        <v>"%USERPROFILE%\Documents\GitHub\eaglep3\Utilities\RefineRTDCRunTimes.py" --tripid 144-23 --locoid 4017 --swversion DE.1.0.7.0 --startMP 204:232989 --initTime 2016-10-23T09:37:29 --startdatetime 2016-10-23T09:56:56 --delay 0 --endMP 204:149 --enddatetime 2016-10-23T10:33:27 --enforcementcount 0 &gt;&gt;C:\Users\stu\Documents\GitHub\eaglep3-reporting\EC\2016-10-23-refined-times.txt</v>
      </c>
      <c r="AI5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ID","value":"144-23"},{"id":16,"name":"Locomotive ID","value":"4017"},{"id":130,"name":"Impact","value":""},{"id":150,"name":"Time of Event (Mountain Time)","value":"10:33:27"},{"id":151,"name":"Denver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483</v>
      </c>
      <c r="B57" s="7">
        <v>4009</v>
      </c>
      <c r="C57" s="22" t="s">
        <v>99</v>
      </c>
      <c r="D57" s="22" t="s">
        <v>221</v>
      </c>
      <c r="E57" s="13">
        <v>42666.379756944443</v>
      </c>
      <c r="F57" s="13">
        <v>42666.385625000003</v>
      </c>
      <c r="G57" s="7">
        <v>1</v>
      </c>
      <c r="H57" s="13" t="s">
        <v>235</v>
      </c>
      <c r="I57" s="13">
        <v>42666.409872685188</v>
      </c>
      <c r="J57" s="7">
        <v>0</v>
      </c>
      <c r="K57" s="112" t="str">
        <f t="shared" si="19"/>
        <v>4009/4010</v>
      </c>
      <c r="L57" s="22" t="str">
        <f>VLOOKUP(A57,'Trips&amp;Operators'!$C$1:$E$10000,3,FALSE)</f>
        <v>ACKERMAN</v>
      </c>
      <c r="M57" s="6">
        <f t="shared" si="20"/>
        <v>2.4247685185400769E-2</v>
      </c>
      <c r="N57" s="7">
        <f t="shared" si="21"/>
        <v>34.916666666977108</v>
      </c>
      <c r="O57" s="7"/>
      <c r="P57" s="7"/>
      <c r="Q57" s="23"/>
      <c r="R57" s="23"/>
      <c r="S57" s="35">
        <f t="shared" si="22"/>
        <v>1</v>
      </c>
      <c r="T57" s="50" t="str">
        <f t="shared" si="23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08:06:51-0600',mode:absolute,to:'2016-10-23 10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7" s="52" t="str">
        <f t="shared" si="25"/>
        <v>N</v>
      </c>
      <c r="X57" s="171">
        <f t="shared" si="26"/>
        <v>1</v>
      </c>
      <c r="Y57" s="67">
        <f t="shared" si="27"/>
        <v>4.58E-2</v>
      </c>
      <c r="Z57" s="67">
        <f t="shared" si="28"/>
        <v>23.329899999999999</v>
      </c>
      <c r="AA57" s="67">
        <f t="shared" si="29"/>
        <v>23.284099999999999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30"/>
        <v>0145-23</v>
      </c>
      <c r="AE57" s="91" t="str">
        <f t="shared" si="31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57" s="88" t="str">
        <f t="shared" si="32"/>
        <v>"C:\Program Files (x86)\AstroGrep\AstroGrep.exe" /spath="%USERPROFILE%\AppData\Local\Temp\OnboardLogs" /stypes="app*4009*20161023*" /stext=" 15:.+((SYSTEM_STATE.+slice.+state.+changed )|(ment ac)|(system.+state.+changed )|(\[timeout)|(PRM\|1\|D)|(kpr)|(kdp)|(\|lc)|(penalty))" /e /r /s</v>
      </c>
      <c r="AG57" s="1" t="str">
        <f t="shared" si="33"/>
        <v>EC</v>
      </c>
      <c r="AH57" s="92" t="str">
        <f t="shared" si="17"/>
        <v>"%USERPROFILE%\Documents\GitHub\eaglep3\Utilities\RefineRTDCRunTimes.py" --tripid 145-23 --locoid 4009 --swversion DE.1.0.7.0 --startMP 204:458 --initTime 2016-10-23T09:06:51 --startdatetime 2016-10-23T09:15:18 --delay 1 --endMP 204:233299 --enddatetime 2016-10-23T09:50:13 --enforcementcount 0 &gt;&gt;C:\Users\stu\Documents\GitHub\eaglep3-reporting\EC\2016-10-23-refined-times.txt</v>
      </c>
      <c r="AI5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{"issue":{"subject":"","project_id":79,"tracker_id":40,"status_id":1,"priority_id":2,"assigned_to_id":23,"start_date":"2016-10-23","description":"","custom_fields":[{"id":1,"name":"Subdivision","value":"EC"},{"id":4,"name":"Milepost","value":"23.3299"},{"id":17,"name":"Train ID","value":"145-23"},{"id":16,"name":"Locomotive ID","value":"4009"},{"id":130,"name":"Impact","value":""},{"id":150,"name":"Time of Event (Mountain Time)","value":"09:50:13"},{"id":151,"name":"Denver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492</v>
      </c>
      <c r="B58" s="7">
        <v>4010</v>
      </c>
      <c r="C58" s="22" t="s">
        <v>99</v>
      </c>
      <c r="D58" s="22" t="s">
        <v>300</v>
      </c>
      <c r="E58" s="13">
        <v>42666.417870370373</v>
      </c>
      <c r="F58" s="13">
        <v>42666.424537037034</v>
      </c>
      <c r="G58" s="7">
        <v>1</v>
      </c>
      <c r="H58" s="13" t="s">
        <v>177</v>
      </c>
      <c r="I58" s="13">
        <v>42666.450972222221</v>
      </c>
      <c r="J58" s="7">
        <v>0</v>
      </c>
      <c r="K58" s="112" t="str">
        <f t="shared" si="19"/>
        <v>4009/4010</v>
      </c>
      <c r="L58" s="22" t="str">
        <f>VLOOKUP(A58,'Trips&amp;Operators'!$C$1:$E$10000,3,FALSE)</f>
        <v>ACKERMAN</v>
      </c>
      <c r="M58" s="6">
        <f t="shared" si="20"/>
        <v>2.6435185187438037E-2</v>
      </c>
      <c r="N58" s="7">
        <f t="shared" si="21"/>
        <v>38.066666669910774</v>
      </c>
      <c r="O58" s="7"/>
      <c r="P58" s="7"/>
      <c r="Q58" s="23"/>
      <c r="R58" s="23"/>
      <c r="S58" s="35">
        <f t="shared" si="22"/>
        <v>1</v>
      </c>
      <c r="T58" s="50" t="str">
        <f t="shared" si="23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09:01:44-0600',mode:absolute,to:'2016-10-23 11:49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8" s="52" t="str">
        <f t="shared" si="25"/>
        <v>N</v>
      </c>
      <c r="X58" s="171">
        <f t="shared" si="26"/>
        <v>1</v>
      </c>
      <c r="Y58" s="67">
        <f t="shared" si="27"/>
        <v>23.298400000000001</v>
      </c>
      <c r="Z58" s="67">
        <f t="shared" si="28"/>
        <v>1.52E-2</v>
      </c>
      <c r="AA58" s="67">
        <f t="shared" si="29"/>
        <v>23.283200000000001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30"/>
        <v>0146-23</v>
      </c>
      <c r="AE58" s="91" t="str">
        <f t="shared" si="31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58" s="88" t="str">
        <f t="shared" si="32"/>
        <v>"C:\Program Files (x86)\AstroGrep\AstroGrep.exe" /spath="%USERPROFILE%\AppData\Local\Temp\OnboardLogs" /stypes="app*4010*20161023*" /stext=" 16:.+((SYSTEM_STATE.+slice.+state.+changed )|(ment ac)|(system.+state.+changed )|(\[timeout)|(PRM\|1\|D)|(kpr)|(kdp)|(\|lc)|(penalty))" /e /r /s</v>
      </c>
      <c r="AG58" s="1" t="str">
        <f t="shared" si="33"/>
        <v>EC</v>
      </c>
      <c r="AH58" s="92" t="str">
        <f t="shared" si="17"/>
        <v>"%USERPROFILE%\Documents\GitHub\eaglep3\Utilities\RefineRTDCRunTimes.py" --tripid 146-23 --locoid 4010 --swversion DE.1.0.7.0 --startMP 204:232984 --initTime 2016-10-23T10:01:44 --startdatetime 2016-10-23T10:11:20 --delay 1 --endMP 204:152 --enddatetime 2016-10-23T10:49:24 --enforcementcount 0 &gt;&gt;C:\Users\stu\Documents\GitHub\eaglep3-reporting\EC\2016-10-23-refined-times.txt</v>
      </c>
      <c r="AI5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{"issue":{"subject":"","project_id":79,"tracker_id":40,"status_id":1,"priority_id":2,"assigned_to_id":23,"start_date":"2016-10-23","description":"","custom_fields":[{"id":1,"name":"Subdivision","value":"EC"},{"id":4,"name":"Milepost","value":"0.0152"},{"id":17,"name":"Train ID","value":"146-23"},{"id":16,"name":"Locomotive ID","value":"4010"},{"id":130,"name":"Impact","value":""},{"id":150,"name":"Time of Event (Mountain Time)","value":"10:49:24"},{"id":151,"name":"Denver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487</v>
      </c>
      <c r="B59" s="7">
        <v>4040</v>
      </c>
      <c r="C59" s="22" t="s">
        <v>99</v>
      </c>
      <c r="D59" s="22" t="s">
        <v>226</v>
      </c>
      <c r="E59" s="13">
        <v>42666.390381944446</v>
      </c>
      <c r="F59" s="13">
        <v>42666.396122685182</v>
      </c>
      <c r="G59" s="7">
        <v>1</v>
      </c>
      <c r="H59" s="13" t="s">
        <v>367</v>
      </c>
      <c r="I59" s="13">
        <v>42666.421585648146</v>
      </c>
      <c r="J59" s="7">
        <v>0</v>
      </c>
      <c r="K59" s="112" t="str">
        <f t="shared" si="19"/>
        <v>4039/4040</v>
      </c>
      <c r="L59" s="22" t="str">
        <f>VLOOKUP(A59,'Trips&amp;Operators'!$C$1:$E$10000,3,FALSE)</f>
        <v>MAELZER</v>
      </c>
      <c r="M59" s="6">
        <f t="shared" si="20"/>
        <v>2.5462962963501923E-2</v>
      </c>
      <c r="N59" s="7">
        <f t="shared" si="21"/>
        <v>36.666666667442769</v>
      </c>
      <c r="O59" s="7"/>
      <c r="P59" s="7"/>
      <c r="Q59" s="23"/>
      <c r="R59" s="23"/>
      <c r="S59" s="35">
        <f t="shared" si="22"/>
        <v>1</v>
      </c>
      <c r="T59" s="50" t="str">
        <f t="shared" si="23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08:22:09-0600',mode:absolute,to:'2016-10-23 11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9" s="52" t="str">
        <f t="shared" si="25"/>
        <v>N</v>
      </c>
      <c r="X59" s="171">
        <f t="shared" si="26"/>
        <v>1</v>
      </c>
      <c r="Y59" s="67">
        <f t="shared" si="27"/>
        <v>4.4699999999999997E-2</v>
      </c>
      <c r="Z59" s="67">
        <f t="shared" si="28"/>
        <v>23.3306</v>
      </c>
      <c r="AA59" s="67">
        <f t="shared" si="29"/>
        <v>23.285900000000002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30"/>
        <v>0147-23</v>
      </c>
      <c r="AE59" s="91" t="str">
        <f t="shared" si="31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59" s="88" t="str">
        <f t="shared" si="32"/>
        <v>"C:\Program Files (x86)\AstroGrep\AstroGrep.exe" /spath="%USERPROFILE%\AppData\Local\Temp\OnboardLogs" /stypes="app*4040*20161023*" /stext=" 16:.+((SYSTEM_STATE.+slice.+state.+changed )|(ment ac)|(system.+state.+changed )|(\[timeout)|(PRM\|1\|D)|(kpr)|(kdp)|(\|lc)|(penalty))" /e /r /s</v>
      </c>
      <c r="AG59" s="1" t="str">
        <f t="shared" si="33"/>
        <v>EC</v>
      </c>
      <c r="AH59" s="92" t="str">
        <f t="shared" si="17"/>
        <v>"%USERPROFILE%\Documents\GitHub\eaglep3\Utilities\RefineRTDCRunTimes.py" --tripid 147-23 --locoid 4040 --swversion DE.1.0.7.0 --startMP 204:447 --initTime 2016-10-23T09:22:09 --startdatetime 2016-10-23T09:30:25 --delay 1 --endMP 204:233306 --enddatetime 2016-10-23T10:07:05 --enforcementcount 0 &gt;&gt;C:\Users\stu\Documents\GitHub\eaglep3-reporting\EC\2016-10-23-refined-times.txt</v>
      </c>
      <c r="AI5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{"issue":{"subject":"","project_id":79,"tracker_id":40,"status_id":1,"priority_id":2,"assigned_to_id":23,"start_date":"2016-10-23","description":"","custom_fields":[{"id":1,"name":"Subdivision","value":"EC"},{"id":4,"name":"Milepost","value":"23.3306"},{"id":17,"name":"Train ID","value":"147-23"},{"id":16,"name":"Locomotive ID","value":"4040"},{"id":130,"name":"Impact","value":""},{"id":150,"name":"Time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494</v>
      </c>
      <c r="B60" s="7">
        <v>4039</v>
      </c>
      <c r="C60" s="22" t="s">
        <v>99</v>
      </c>
      <c r="D60" s="22" t="s">
        <v>637</v>
      </c>
      <c r="E60" s="13">
        <v>42666.426574074074</v>
      </c>
      <c r="F60" s="13">
        <v>42666.435046296298</v>
      </c>
      <c r="G60" s="7">
        <v>0</v>
      </c>
      <c r="H60" s="13" t="s">
        <v>638</v>
      </c>
      <c r="I60" s="13">
        <v>42666.461736111109</v>
      </c>
      <c r="J60" s="7">
        <v>0</v>
      </c>
      <c r="K60" s="112" t="str">
        <f t="shared" si="19"/>
        <v>4039/4040</v>
      </c>
      <c r="L60" s="22" t="str">
        <f>VLOOKUP(A60,'Trips&amp;Operators'!$C$1:$E$10000,3,FALSE)</f>
        <v>MAELZER</v>
      </c>
      <c r="M60" s="6">
        <f t="shared" si="20"/>
        <v>2.6689814811106771E-2</v>
      </c>
      <c r="N60" s="7">
        <f t="shared" si="21"/>
        <v>38.433333327993751</v>
      </c>
      <c r="O60" s="7"/>
      <c r="P60" s="7"/>
      <c r="Q60" s="23"/>
      <c r="R60" s="23"/>
      <c r="S60" s="35">
        <f t="shared" si="22"/>
        <v>1</v>
      </c>
      <c r="T60" s="50" t="str">
        <f t="shared" si="23"/>
        <v>Southbound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09:14:16-0600',mode:absolute,to:'2016-10-23 12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0" s="52" t="str">
        <f t="shared" si="25"/>
        <v>N</v>
      </c>
      <c r="X60" s="171">
        <f t="shared" si="26"/>
        <v>1</v>
      </c>
      <c r="Y60" s="67">
        <f t="shared" si="27"/>
        <v>23.298100000000002</v>
      </c>
      <c r="Z60" s="67">
        <f t="shared" si="28"/>
        <v>1.1599999999999999E-2</v>
      </c>
      <c r="AA60" s="67">
        <f t="shared" si="29"/>
        <v>23.2865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30"/>
        <v>0148-23</v>
      </c>
      <c r="AE60" s="91" t="str">
        <f t="shared" si="31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60" s="88" t="str">
        <f t="shared" si="32"/>
        <v>"C:\Program Files (x86)\AstroGrep\AstroGrep.exe" /spath="%USERPROFILE%\AppData\Local\Temp\OnboardLogs" /stypes="app*4039*20161023*" /stext=" 17:.+((SYSTEM_STATE.+slice.+state.+changed )|(ment ac)|(system.+state.+changed )|(\[timeout)|(PRM\|1\|D)|(kpr)|(kdp)|(\|lc)|(penalty))" /e /r /s</v>
      </c>
      <c r="AG60" s="1" t="str">
        <f t="shared" si="33"/>
        <v>EC</v>
      </c>
      <c r="AH60" s="92" t="str">
        <f t="shared" si="17"/>
        <v>"%USERPROFILE%\Documents\GitHub\eaglep3\Utilities\RefineRTDCRunTimes.py" --tripid 148-23 --locoid 4039 --swversion DE.1.0.7.0 --startMP 204:232981 --initTime 2016-10-23T10:14:16 --startdatetime 2016-10-23T10:26:28 --delay 0 --endMP 204:116 --enddatetime 2016-10-23T11:04:54 --enforcementcount 0 &gt;&gt;C:\Users\stu\Documents\GitHub\eaglep3-reporting\EC\2016-10-23-refined-times.txt</v>
      </c>
      <c r="AI6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{"issue":{"subject":"","project_id":79,"tracker_id":40,"status_id":1,"priority_id":2,"assigned_to_id":23,"start_date":"2016-10-23","description":"","custom_fields":[{"id":1,"name":"Subdivision","value":"EC"},{"id":4,"name":"Milepost","value":"0.0116"},{"id":17,"name":"Train ID","value":"148-23"},{"id":16,"name":"Locomotive ID","value":"4039"},{"id":130,"name":"Impact","value":""},{"id":150,"name":"Time of Event (Mountain Time)","value":"11:04:54"},{"id":151,"name":"Denver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490</v>
      </c>
      <c r="B61" s="7">
        <v>4046</v>
      </c>
      <c r="C61" s="22" t="s">
        <v>99</v>
      </c>
      <c r="D61" s="22" t="s">
        <v>404</v>
      </c>
      <c r="E61" s="13">
        <v>42666.401354166665</v>
      </c>
      <c r="F61" s="13">
        <v>42666.406400462962</v>
      </c>
      <c r="G61" s="7">
        <v>1</v>
      </c>
      <c r="H61" s="13" t="s">
        <v>360</v>
      </c>
      <c r="I61" s="13">
        <v>42666.431944444441</v>
      </c>
      <c r="J61" s="7">
        <v>0</v>
      </c>
      <c r="K61" s="112" t="str">
        <f t="shared" si="19"/>
        <v>4045/4046</v>
      </c>
      <c r="L61" s="22" t="str">
        <f>VLOOKUP(A61,'Trips&amp;Operators'!$C$1:$E$10000,3,FALSE)</f>
        <v>DAVIS</v>
      </c>
      <c r="M61" s="6">
        <f t="shared" si="20"/>
        <v>2.5543981479131617E-2</v>
      </c>
      <c r="N61" s="7">
        <f t="shared" si="21"/>
        <v>36.783333329949528</v>
      </c>
      <c r="O61" s="7"/>
      <c r="P61" s="7"/>
      <c r="Q61" s="23"/>
      <c r="R61" s="23"/>
      <c r="S61" s="35">
        <f t="shared" si="22"/>
        <v>1</v>
      </c>
      <c r="T61" s="50" t="str">
        <f t="shared" si="23"/>
        <v>NorthBound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08:37:57-0600',mode:absolute,to:'2016-10-23 11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1" s="52" t="str">
        <f t="shared" si="25"/>
        <v>N</v>
      </c>
      <c r="X61" s="171">
        <f t="shared" si="26"/>
        <v>1</v>
      </c>
      <c r="Y61" s="67">
        <f t="shared" si="27"/>
        <v>4.3099999999999999E-2</v>
      </c>
      <c r="Z61" s="67">
        <f t="shared" si="28"/>
        <v>23.3307</v>
      </c>
      <c r="AA61" s="67">
        <f t="shared" si="29"/>
        <v>23.287600000000001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30"/>
        <v>0149-23</v>
      </c>
      <c r="AE61" s="91" t="str">
        <f t="shared" si="31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61" s="88" t="str">
        <f t="shared" si="32"/>
        <v>"C:\Program Files (x86)\AstroGrep\AstroGrep.exe" /spath="%USERPROFILE%\AppData\Local\Temp\OnboardLogs" /stypes="app*4046*20161023*" /stext=" 16:.+((SYSTEM_STATE.+slice.+state.+changed )|(ment ac)|(system.+state.+changed )|(\[timeout)|(PRM\|1\|D)|(kpr)|(kdp)|(\|lc)|(penalty))" /e /r /s</v>
      </c>
      <c r="AG61" s="1" t="str">
        <f t="shared" si="33"/>
        <v>EC</v>
      </c>
      <c r="AH61" s="92" t="str">
        <f t="shared" si="17"/>
        <v>"%USERPROFILE%\Documents\GitHub\eaglep3\Utilities\RefineRTDCRunTimes.py" --tripid 149-23 --locoid 4046 --swversion DE.1.0.7.0 --startMP 204:431 --initTime 2016-10-23T09:37:57 --startdatetime 2016-10-23T09:45:13 --delay 1 --endMP 204:233307 --enddatetime 2016-10-23T10:22:00 --enforcementcount 0 &gt;&gt;C:\Users\stu\Documents\GitHub\eaglep3-reporting\EC\2016-10-23-refined-times.txt</v>
      </c>
      <c r="AI6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{"issue":{"subject":"","project_id":79,"tracker_id":40,"status_id":1,"priority_id":2,"assigned_to_id":23,"start_date":"2016-10-23","description":"","custom_fields":[{"id":1,"name":"Subdivision","value":"EC"},{"id":4,"name":"Milepost","value":"23.3307"},{"id":17,"name":"Train ID","value":"149-23"},{"id":16,"name":"Locomotive ID","value":"4046"},{"id":130,"name":"Impact","value":""},{"id":150,"name":"Time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497</v>
      </c>
      <c r="B62" s="7">
        <v>4045</v>
      </c>
      <c r="C62" s="22" t="s">
        <v>99</v>
      </c>
      <c r="D62" s="22" t="s">
        <v>256</v>
      </c>
      <c r="E62" s="13">
        <v>42666.440983796296</v>
      </c>
      <c r="F62" s="13">
        <v>42666.445289351854</v>
      </c>
      <c r="G62" s="7">
        <v>1</v>
      </c>
      <c r="H62" s="13" t="s">
        <v>220</v>
      </c>
      <c r="I62" s="13">
        <v>42666.473715277774</v>
      </c>
      <c r="J62" s="7">
        <v>0</v>
      </c>
      <c r="K62" s="112" t="str">
        <f t="shared" si="19"/>
        <v>4045/4046</v>
      </c>
      <c r="L62" s="22" t="str">
        <f>VLOOKUP(A62,'Trips&amp;Operators'!$C$1:$E$10000,3,FALSE)</f>
        <v>DAVIS</v>
      </c>
      <c r="M62" s="6">
        <f t="shared" si="20"/>
        <v>2.8425925920601003E-2</v>
      </c>
      <c r="N62" s="7">
        <f t="shared" si="21"/>
        <v>40.933333325665444</v>
      </c>
      <c r="O62" s="7"/>
      <c r="P62" s="7"/>
      <c r="Q62" s="23"/>
      <c r="R62" s="23"/>
      <c r="S62" s="35">
        <f t="shared" si="22"/>
        <v>1</v>
      </c>
      <c r="T62" s="50" t="str">
        <f t="shared" si="23"/>
        <v>Southbound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09:35:01-0600',mode:absolute,to:'2016-10-23 12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2" s="52" t="str">
        <f t="shared" si="25"/>
        <v>N</v>
      </c>
      <c r="X62" s="171">
        <f t="shared" si="26"/>
        <v>1</v>
      </c>
      <c r="Y62" s="67">
        <f t="shared" si="27"/>
        <v>23.299399999999999</v>
      </c>
      <c r="Z62" s="67">
        <f t="shared" si="28"/>
        <v>1.4500000000000001E-2</v>
      </c>
      <c r="AA62" s="67">
        <f t="shared" si="29"/>
        <v>23.284899999999997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30"/>
        <v>0150-23</v>
      </c>
      <c r="AE62" s="91" t="str">
        <f t="shared" si="31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62" s="88" t="str">
        <f t="shared" si="32"/>
        <v>"C:\Program Files (x86)\AstroGrep\AstroGrep.exe" /spath="%USERPROFILE%\AppData\Local\Temp\OnboardLogs" /stypes="app*4045*20161023*" /stext=" 17:.+((SYSTEM_STATE.+slice.+state.+changed )|(ment ac)|(system.+state.+changed )|(\[timeout)|(PRM\|1\|D)|(kpr)|(kdp)|(\|lc)|(penalty))" /e /r /s</v>
      </c>
      <c r="AG62" s="1" t="str">
        <f t="shared" si="33"/>
        <v>EC</v>
      </c>
      <c r="AH62" s="92" t="str">
        <f t="shared" si="17"/>
        <v>"%USERPROFILE%\Documents\GitHub\eaglep3\Utilities\RefineRTDCRunTimes.py" --tripid 150-23 --locoid 4045 --swversion DE.1.0.7.0 --startMP 204:232994 --initTime 2016-10-23T10:35:01 --startdatetime 2016-10-23T10:41:13 --delay 1 --endMP 204:145 --enddatetime 2016-10-23T11:22:09 --enforcementcount 0 &gt;&gt;C:\Users\stu\Documents\GitHub\eaglep3-reporting\EC\2016-10-23-refined-times.txt</v>
      </c>
      <c r="AI6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ID","value":"150-23"},{"id":16,"name":"Locomotive ID","value":"4045"},{"id":130,"name":"Impact","value":""},{"id":150,"name":"Time of Event (Mountain Time)","value":"11:22:09"},{"id":151,"name":"Denver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491</v>
      </c>
      <c r="B63" s="7">
        <v>4016</v>
      </c>
      <c r="C63" s="22" t="s">
        <v>99</v>
      </c>
      <c r="D63" s="22" t="s">
        <v>230</v>
      </c>
      <c r="E63" s="13">
        <v>42666.414872685185</v>
      </c>
      <c r="F63" s="13">
        <v>42666.416979166665</v>
      </c>
      <c r="G63" s="7">
        <v>1</v>
      </c>
      <c r="H63" s="13" t="s">
        <v>358</v>
      </c>
      <c r="I63" s="13">
        <v>42666.442766203705</v>
      </c>
      <c r="J63" s="7">
        <v>0</v>
      </c>
      <c r="K63" s="112" t="str">
        <f t="shared" si="19"/>
        <v>4015/4016</v>
      </c>
      <c r="L63" s="22" t="str">
        <f>VLOOKUP(A63,'Trips&amp;Operators'!$C$1:$E$10000,3,FALSE)</f>
        <v>MALAVE</v>
      </c>
      <c r="M63" s="6">
        <f t="shared" si="20"/>
        <v>2.5787037040572613E-2</v>
      </c>
      <c r="N63" s="7">
        <f t="shared" si="21"/>
        <v>37.133333338424563</v>
      </c>
      <c r="O63" s="7"/>
      <c r="P63" s="7"/>
      <c r="Q63" s="23"/>
      <c r="R63" s="23"/>
      <c r="S63" s="35">
        <f t="shared" si="22"/>
        <v>1</v>
      </c>
      <c r="T63" s="50" t="str">
        <f t="shared" si="23"/>
        <v>NorthBound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08:57:25-0600',mode:absolute,to:'2016-10-23 11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3" s="52" t="str">
        <f t="shared" si="25"/>
        <v>N</v>
      </c>
      <c r="X63" s="171">
        <f t="shared" si="26"/>
        <v>1</v>
      </c>
      <c r="Y63" s="67">
        <f t="shared" si="27"/>
        <v>4.5499999999999999E-2</v>
      </c>
      <c r="Z63" s="67">
        <f t="shared" si="28"/>
        <v>23.329799999999999</v>
      </c>
      <c r="AA63" s="67">
        <f t="shared" si="29"/>
        <v>23.284299999999998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30"/>
        <v>0151-23</v>
      </c>
      <c r="AE63" s="91" t="str">
        <f t="shared" si="31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63" s="88" t="str">
        <f t="shared" si="32"/>
        <v>"C:\Program Files (x86)\AstroGrep\AstroGrep.exe" /spath="%USERPROFILE%\AppData\Local\Temp\OnboardLogs" /stypes="app*4016*20161023*" /stext=" 16:.+((SYSTEM_STATE.+slice.+state.+changed )|(ment ac)|(system.+state.+changed )|(\[timeout)|(PRM\|1\|D)|(kpr)|(kdp)|(\|lc)|(penalty))" /e /r /s</v>
      </c>
      <c r="AG63" s="1" t="str">
        <f t="shared" si="33"/>
        <v>EC</v>
      </c>
      <c r="AH63" s="92" t="str">
        <f t="shared" si="17"/>
        <v>"%USERPROFILE%\Documents\GitHub\eaglep3\Utilities\RefineRTDCRunTimes.py" --tripid 151-23 --locoid 4016 --swversion DE.1.0.7.0 --startMP 204:455 --initTime 2016-10-23T09:57:25 --startdatetime 2016-10-23T10:00:27 --delay 1 --endMP 204:233298 --enddatetime 2016-10-23T10:37:35 --enforcementcount 0 &gt;&gt;C:\Users\stu\Documents\GitHub\eaglep3-reporting\EC\2016-10-23-refined-times.txt</v>
      </c>
      <c r="AI6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{"issue":{"subject":"","project_id":79,"tracker_id":40,"status_id":1,"priority_id":2,"assigned_to_id":23,"start_date":"2016-10-23","description":"","custom_fields":[{"id":1,"name":"Subdivision","value":"EC"},{"id":4,"name":"Milepost","value":"23.3298"},{"id":17,"name":"Train ID","value":"151-23"},{"id":16,"name":"Locomotive ID","value":"4016"},{"id":130,"name":"Impact","value":""},{"id":150,"name":"Time of Event (Mountain Time)","value":"10:37:35"},{"id":151,"name":"Denver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418</v>
      </c>
      <c r="B64" s="7">
        <v>4015</v>
      </c>
      <c r="C64" s="22" t="s">
        <v>99</v>
      </c>
      <c r="D64" s="22" t="s">
        <v>639</v>
      </c>
      <c r="E64" s="13">
        <v>42666.461944444447</v>
      </c>
      <c r="F64" s="13">
        <v>42666.467638888891</v>
      </c>
      <c r="G64" s="7">
        <v>7</v>
      </c>
      <c r="H64" s="13" t="s">
        <v>236</v>
      </c>
      <c r="I64" s="13">
        <v>42666.489282407405</v>
      </c>
      <c r="J64" s="7">
        <v>0</v>
      </c>
      <c r="K64" s="112" t="str">
        <f t="shared" si="19"/>
        <v>4015/4016</v>
      </c>
      <c r="L64" s="22" t="str">
        <f>VLOOKUP(A64,'Trips&amp;Operators'!$C$1:$E$10000,3,FALSE)</f>
        <v>MALAVE</v>
      </c>
      <c r="M64" s="6">
        <f t="shared" si="20"/>
        <v>2.1643518513883464E-2</v>
      </c>
      <c r="N64" s="7"/>
      <c r="O64" s="7"/>
      <c r="P64" s="7">
        <f t="shared" si="21"/>
        <v>31.166666659992188</v>
      </c>
      <c r="Q64" s="23"/>
      <c r="R64" s="23" t="s">
        <v>762</v>
      </c>
      <c r="S64" s="35">
        <f t="shared" si="22"/>
        <v>1</v>
      </c>
      <c r="T64" s="50" t="str">
        <f t="shared" si="23"/>
        <v>Southbound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10:05:12-0600',mode:absolute,to:'2016-10-23 12:44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4" s="52" t="str">
        <f t="shared" si="25"/>
        <v>Y</v>
      </c>
      <c r="X64" s="171">
        <f t="shared" si="26"/>
        <v>1</v>
      </c>
      <c r="Y64" s="67">
        <f t="shared" si="27"/>
        <v>15.3994</v>
      </c>
      <c r="Z64" s="67">
        <f t="shared" si="28"/>
        <v>1.6E-2</v>
      </c>
      <c r="AA64" s="67">
        <f t="shared" si="29"/>
        <v>15.3834</v>
      </c>
      <c r="AB64" s="64" t="str">
        <f>VLOOKUP(A64,Enforcements!$C$7:$K$21,8,0)</f>
        <v>Bulletin (2)</v>
      </c>
      <c r="AC64" s="60" t="str">
        <f>VLOOKUP(A64,Enforcements!$C$7:$E$21,3,0)</f>
        <v>GRADE CROSSING</v>
      </c>
      <c r="AD64" s="61" t="str">
        <f t="shared" si="30"/>
        <v>0152-23</v>
      </c>
      <c r="AE64" s="91" t="str">
        <f t="shared" si="31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64" s="88" t="str">
        <f t="shared" si="32"/>
        <v>"C:\Program Files (x86)\AstroGrep\AstroGrep.exe" /spath="%USERPROFILE%\AppData\Local\Temp\OnboardLogs" /stypes="app*4015*20161023*" /stext=" 17:.+((SYSTEM_STATE.+slice.+state.+changed )|(ment ac)|(system.+state.+changed )|(\[timeout)|(PRM\|1\|D)|(kpr)|(kdp)|(\|lc)|(penalty))" /e /r /s</v>
      </c>
      <c r="AG64" s="1" t="str">
        <f t="shared" si="33"/>
        <v>EC</v>
      </c>
      <c r="AH64" s="92" t="str">
        <f t="shared" si="17"/>
        <v>"%USERPROFILE%\Documents\GitHub\eaglep3\Utilities\RefineRTDCRunTimes.py" --tripid 152-23 --locoid 4015 --swversion DE.1.0.7.0 --startMP 204:153994 --initTime 2016-10-23T11:05:12 --startdatetime 2016-10-23T11:13:24 --delay 7 --endMP 204:160 --enddatetime 2016-10-23T11:44:34 --enforcementcount 0 &gt;&gt;C:\Users\stu\Documents\GitHub\eaglep3-reporting\EC\2016-10-23-refined-times.txt</v>
      </c>
      <c r="AI64" s="122" t="str">
        <f t="shared" si="18"/>
        <v>echo {"issue":{"subject":"Onboard in-route failure","project_id":79,"tracker_id":40,"status_id":1,"priority_id":2,"assigned_to_id":23,"start_date":"2016-10-23","description":"multiple cpu faults @ 2016-10-23 10:56:54 ","custom_fields":[{"id":1,"name":"Subdivision","value":"EC"},{"id":4,"name":"Milepost","value":"0.016"},{"id":17,"name":"Train ID","value":"152-23"},{"id":16,"name":"Locomotive ID","value":"4015"},{"id":130,"name":"Impact","value":"Failed State"},{"id":150,"name":"Time of Event (Mountain Time)","value":"11:44:34"},{"id":151,"name":"Denver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4" s="53" t="s">
        <v>764</v>
      </c>
      <c r="AK64" s="53" t="s">
        <v>129</v>
      </c>
      <c r="AL64" s="53" t="s">
        <v>179</v>
      </c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493</v>
      </c>
      <c r="B65" s="7">
        <v>4025</v>
      </c>
      <c r="C65" s="22" t="s">
        <v>99</v>
      </c>
      <c r="D65" s="22" t="s">
        <v>261</v>
      </c>
      <c r="E65" s="13">
        <v>42666.422986111109</v>
      </c>
      <c r="F65" s="13">
        <v>42666.427615740744</v>
      </c>
      <c r="G65" s="7">
        <v>1</v>
      </c>
      <c r="H65" s="13" t="s">
        <v>320</v>
      </c>
      <c r="I65" s="13">
        <v>42666.451666666668</v>
      </c>
      <c r="J65" s="7">
        <v>0</v>
      </c>
      <c r="K65" s="112" t="str">
        <f t="shared" si="19"/>
        <v>4025/4026</v>
      </c>
      <c r="L65" s="22" t="str">
        <f>VLOOKUP(A65,'Trips&amp;Operators'!$C$1:$E$10000,3,FALSE)</f>
        <v>STAMBAUGH</v>
      </c>
      <c r="M65" s="6">
        <f t="shared" si="20"/>
        <v>2.4050925923802424E-2</v>
      </c>
      <c r="N65" s="7">
        <f t="shared" si="21"/>
        <v>34.633333330275491</v>
      </c>
      <c r="O65" s="7"/>
      <c r="P65" s="7"/>
      <c r="Q65" s="23"/>
      <c r="R65" s="23"/>
      <c r="S65" s="35">
        <f t="shared" si="22"/>
        <v>1</v>
      </c>
      <c r="T65" s="50" t="str">
        <f t="shared" si="23"/>
        <v>NorthBound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09:09:06-0600',mode:absolute,to:'2016-10-23 11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5" s="52" t="str">
        <f t="shared" si="25"/>
        <v>N</v>
      </c>
      <c r="X65" s="171">
        <f t="shared" si="26"/>
        <v>1</v>
      </c>
      <c r="Y65" s="67">
        <f t="shared" si="27"/>
        <v>4.4400000000000002E-2</v>
      </c>
      <c r="Z65" s="67">
        <f t="shared" si="28"/>
        <v>23.3309</v>
      </c>
      <c r="AA65" s="67">
        <f t="shared" si="29"/>
        <v>23.2865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30"/>
        <v>0153-23</v>
      </c>
      <c r="AE65" s="91" t="str">
        <f t="shared" si="31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65" s="88" t="str">
        <f t="shared" si="32"/>
        <v>"C:\Program Files (x86)\AstroGrep\AstroGrep.exe" /spath="%USERPROFILE%\AppData\Local\Temp\OnboardLogs" /stypes="app*4025*20161023*" /stext=" 16:.+((SYSTEM_STATE.+slice.+state.+changed )|(ment ac)|(system.+state.+changed )|(\[timeout)|(PRM\|1\|D)|(kpr)|(kdp)|(\|lc)|(penalty))" /e /r /s</v>
      </c>
      <c r="AG65" s="1" t="str">
        <f t="shared" si="33"/>
        <v>EC</v>
      </c>
      <c r="AH65" s="92" t="str">
        <f t="shared" si="17"/>
        <v>"%USERPROFILE%\Documents\GitHub\eaglep3\Utilities\RefineRTDCRunTimes.py" --tripid 153-23 --locoid 4025 --swversion DE.1.0.7.0 --startMP 204:444 --initTime 2016-10-23T10:09:06 --startdatetime 2016-10-23T10:15:46 --delay 1 --endMP 204:233309 --enddatetime 2016-10-23T10:50:24 --enforcementcount 0 &gt;&gt;C:\Users\stu\Documents\GitHub\eaglep3-reporting\EC\2016-10-23-refined-times.txt</v>
      </c>
      <c r="AI6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{"issue":{"subject":"","project_id":79,"tracker_id":40,"status_id":1,"priority_id":2,"assigned_to_id":23,"start_date":"2016-10-23","description":"","custom_fields":[{"id":1,"name":"Subdivision","value":"EC"},{"id":4,"name":"Milepost","value":"23.3309"},{"id":17,"name":"Train ID","value":"153-23"},{"id":16,"name":"Locomotive ID","value":"4025"},{"id":130,"name":"Impact","value":""},{"id":150,"name":"Time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502</v>
      </c>
      <c r="B66" s="7">
        <v>4026</v>
      </c>
      <c r="C66" s="22" t="s">
        <v>99</v>
      </c>
      <c r="D66" s="22" t="s">
        <v>635</v>
      </c>
      <c r="E66" s="13">
        <v>42666.462800925925</v>
      </c>
      <c r="F66" s="13">
        <v>42666.46665509259</v>
      </c>
      <c r="G66" s="7">
        <v>1</v>
      </c>
      <c r="H66" s="13" t="s">
        <v>225</v>
      </c>
      <c r="I66" s="13">
        <v>42666.493217592593</v>
      </c>
      <c r="J66" s="7">
        <v>0</v>
      </c>
      <c r="K66" s="112" t="str">
        <f t="shared" si="19"/>
        <v>4025/4026</v>
      </c>
      <c r="L66" s="22" t="str">
        <f>VLOOKUP(A66,'Trips&amp;Operators'!$C$1:$E$10000,3,FALSE)</f>
        <v>STAMBAUGH</v>
      </c>
      <c r="M66" s="6">
        <f t="shared" si="20"/>
        <v>2.6562500002910383E-2</v>
      </c>
      <c r="N66" s="7">
        <f t="shared" si="21"/>
        <v>38.250000004190952</v>
      </c>
      <c r="O66" s="7"/>
      <c r="P66" s="7"/>
      <c r="Q66" s="23"/>
      <c r="R66" s="23"/>
      <c r="S66" s="35">
        <f t="shared" si="22"/>
        <v>1</v>
      </c>
      <c r="T66" s="50" t="str">
        <f t="shared" si="23"/>
        <v>Southbound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10:06:26-0600',mode:absolute,to:'2016-10-23 12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6" s="52" t="str">
        <f t="shared" si="25"/>
        <v>N</v>
      </c>
      <c r="X66" s="171">
        <f t="shared" si="26"/>
        <v>1</v>
      </c>
      <c r="Y66" s="67">
        <f t="shared" si="27"/>
        <v>23.298200000000001</v>
      </c>
      <c r="Z66" s="67">
        <f t="shared" si="28"/>
        <v>1.4999999999999999E-2</v>
      </c>
      <c r="AA66" s="67">
        <f t="shared" si="29"/>
        <v>23.283200000000001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30"/>
        <v>0154-23</v>
      </c>
      <c r="AE66" s="91" t="str">
        <f t="shared" si="31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66" s="88" t="str">
        <f t="shared" si="32"/>
        <v>"C:\Program Files (x86)\AstroGrep\AstroGrep.exe" /spath="%USERPROFILE%\AppData\Local\Temp\OnboardLogs" /stypes="app*4026*20161023*" /stext=" 17:.+((SYSTEM_STATE.+slice.+state.+changed )|(ment ac)|(system.+state.+changed )|(\[timeout)|(PRM\|1\|D)|(kpr)|(kdp)|(\|lc)|(penalty))" /e /r /s</v>
      </c>
      <c r="AG66" s="1" t="str">
        <f t="shared" si="33"/>
        <v>EC</v>
      </c>
      <c r="AH66" s="92" t="str">
        <f t="shared" si="17"/>
        <v>"%USERPROFILE%\Documents\GitHub\eaglep3\Utilities\RefineRTDCRunTimes.py" --tripid 154-23 --locoid 4026 --swversion DE.1.0.7.0 --startMP 204:232982 --initTime 2016-10-23T11:06:26 --startdatetime 2016-10-23T11:11:59 --delay 1 --endMP 204:150 --enddatetime 2016-10-23T11:50:14 --enforcementcount 0 &gt;&gt;C:\Users\stu\Documents\GitHub\eaglep3-reporting\EC\2016-10-23-refined-times.txt</v>
      </c>
      <c r="AI6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{"issue":{"subject":"","project_id":79,"tracker_id":40,"status_id":1,"priority_id":2,"assigned_to_id":23,"start_date":"2016-10-23","description":"","custom_fields":[{"id":1,"name":"Subdivision","value":"EC"},{"id":4,"name":"Milepost","value":"0.015"},{"id":17,"name":"Train ID","value":"154-23"},{"id":16,"name":"Locomotive ID","value":"4026"},{"id":130,"name":"Impact","value":""},{"id":150,"name":"Time of Event (Mountain Time)","value":"11:50:14"},{"id":151,"name":"Denver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496</v>
      </c>
      <c r="B67" s="7">
        <v>4027</v>
      </c>
      <c r="C67" s="22" t="s">
        <v>99</v>
      </c>
      <c r="D67" s="22" t="s">
        <v>309</v>
      </c>
      <c r="E67" s="13">
        <v>42666.43409722222</v>
      </c>
      <c r="F67" s="13">
        <v>42666.437696759262</v>
      </c>
      <c r="G67" s="7">
        <v>1</v>
      </c>
      <c r="H67" s="13" t="s">
        <v>269</v>
      </c>
      <c r="I67" s="13">
        <v>42666.463680555556</v>
      </c>
      <c r="J67" s="7">
        <v>0</v>
      </c>
      <c r="K67" s="112" t="str">
        <f t="shared" si="19"/>
        <v>4027/4028</v>
      </c>
      <c r="L67" s="22" t="str">
        <f>VLOOKUP(A67,'Trips&amp;Operators'!$C$1:$E$10000,3,FALSE)</f>
        <v>CLARK</v>
      </c>
      <c r="M67" s="6">
        <f t="shared" si="20"/>
        <v>2.5983796294895001E-2</v>
      </c>
      <c r="N67" s="7">
        <f t="shared" si="21"/>
        <v>37.416666664648801</v>
      </c>
      <c r="O67" s="7"/>
      <c r="P67" s="7"/>
      <c r="Q67" s="23"/>
      <c r="R67" s="23"/>
      <c r="S67" s="35">
        <f t="shared" si="22"/>
        <v>1</v>
      </c>
      <c r="T67" s="50" t="str">
        <f t="shared" si="23"/>
        <v>NorthBound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09:25:06-0600',mode:absolute,to:'2016-10-23 12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7" s="52" t="str">
        <f t="shared" si="25"/>
        <v>N</v>
      </c>
      <c r="X67" s="171">
        <f t="shared" si="26"/>
        <v>1</v>
      </c>
      <c r="Y67" s="67">
        <f t="shared" si="27"/>
        <v>4.3999999999999997E-2</v>
      </c>
      <c r="Z67" s="67">
        <f t="shared" si="28"/>
        <v>23.330400000000001</v>
      </c>
      <c r="AA67" s="67">
        <f t="shared" si="29"/>
        <v>23.2864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30"/>
        <v>0155-23</v>
      </c>
      <c r="AE67" s="91" t="str">
        <f t="shared" si="31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67" s="88" t="str">
        <f t="shared" si="32"/>
        <v>"C:\Program Files (x86)\AstroGrep\AstroGrep.exe" /spath="%USERPROFILE%\AppData\Local\Temp\OnboardLogs" /stypes="app*4027*20161023*" /stext=" 17:.+((SYSTEM_STATE.+slice.+state.+changed )|(ment ac)|(system.+state.+changed )|(\[timeout)|(PRM\|1\|D)|(kpr)|(kdp)|(\|lc)|(penalty))" /e /r /s</v>
      </c>
      <c r="AG67" s="1" t="str">
        <f t="shared" si="33"/>
        <v>EC</v>
      </c>
      <c r="AH67" s="92" t="str">
        <f t="shared" si="17"/>
        <v>"%USERPROFILE%\Documents\GitHub\eaglep3\Utilities\RefineRTDCRunTimes.py" --tripid 155-23 --locoid 4027 --swversion DE.1.0.7.0 --startMP 204:440 --initTime 2016-10-23T10:25:06 --startdatetime 2016-10-23T10:30:17 --delay 1 --endMP 204:233304 --enddatetime 2016-10-23T11:07:42 --enforcementcount 0 &gt;&gt;C:\Users\stu\Documents\GitHub\eaglep3-reporting\EC\2016-10-23-refined-times.txt</v>
      </c>
      <c r="AI6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{"issue":{"subject":"","project_id":79,"tracker_id":40,"status_id":1,"priority_id":2,"assigned_to_id":23,"start_date":"2016-10-23","description":"","custom_fields":[{"id":1,"name":"Subdivision","value":"EC"},{"id":4,"name":"Milepost","value":"23.3304"},{"id":17,"name":"Train ID","value":"155-23"},{"id":16,"name":"Locomotive ID","value":"4027"},{"id":130,"name":"Impact","value":""},{"id":150,"name":"Time of Event (Mountain Time)","value":"11:07:42"},{"id":151,"name":"Denver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504</v>
      </c>
      <c r="B68" s="7">
        <v>4028</v>
      </c>
      <c r="C68" s="22" t="s">
        <v>99</v>
      </c>
      <c r="D68" s="22" t="s">
        <v>307</v>
      </c>
      <c r="E68" s="13">
        <v>42666.470520833333</v>
      </c>
      <c r="F68" s="13">
        <v>42666.4765625</v>
      </c>
      <c r="G68" s="7">
        <v>1</v>
      </c>
      <c r="H68" s="13" t="s">
        <v>277</v>
      </c>
      <c r="I68" s="13">
        <v>42666.506539351853</v>
      </c>
      <c r="J68" s="7">
        <v>0</v>
      </c>
      <c r="K68" s="112" t="str">
        <f t="shared" si="19"/>
        <v>4027/4028</v>
      </c>
      <c r="L68" s="22" t="str">
        <f>VLOOKUP(A68,'Trips&amp;Operators'!$C$1:$E$10000,3,FALSE)</f>
        <v>CLARK</v>
      </c>
      <c r="M68" s="6">
        <f t="shared" si="20"/>
        <v>2.99768518525525E-2</v>
      </c>
      <c r="N68" s="7">
        <f t="shared" si="21"/>
        <v>43.166666667675599</v>
      </c>
      <c r="O68" s="7"/>
      <c r="P68" s="7"/>
      <c r="Q68" s="23"/>
      <c r="R68" s="23"/>
      <c r="S68" s="35">
        <f t="shared" si="22"/>
        <v>1</v>
      </c>
      <c r="T68" s="50" t="str">
        <f t="shared" si="23"/>
        <v>Southbound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10:17:33-0600',mode:absolute,to:'2016-10-23 13:09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8" s="52" t="str">
        <f t="shared" si="25"/>
        <v>N</v>
      </c>
      <c r="X68" s="171">
        <f t="shared" si="26"/>
        <v>1</v>
      </c>
      <c r="Y68" s="67">
        <f t="shared" si="27"/>
        <v>23.2989</v>
      </c>
      <c r="Z68" s="67">
        <f t="shared" si="28"/>
        <v>1.38E-2</v>
      </c>
      <c r="AA68" s="67">
        <f t="shared" si="29"/>
        <v>23.2851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30"/>
        <v>0156-23</v>
      </c>
      <c r="AE68" s="91" t="str">
        <f t="shared" si="31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68" s="88" t="str">
        <f t="shared" si="32"/>
        <v>"C:\Program Files (x86)\AstroGrep\AstroGrep.exe" /spath="%USERPROFILE%\AppData\Local\Temp\OnboardLogs" /stypes="app*4028*20161023*" /stext=" 18:.+((SYSTEM_STATE.+slice.+state.+changed )|(ment ac)|(system.+state.+changed )|(\[timeout)|(PRM\|1\|D)|(kpr)|(kdp)|(\|lc)|(penalty))" /e /r /s</v>
      </c>
      <c r="AG68" s="1" t="str">
        <f t="shared" si="33"/>
        <v>EC</v>
      </c>
      <c r="AH68" s="92" t="str">
        <f t="shared" si="17"/>
        <v>"%USERPROFILE%\Documents\GitHub\eaglep3\Utilities\RefineRTDCRunTimes.py" --tripid 156-23 --locoid 4028 --swversion DE.1.0.7.0 --startMP 204:232989 --initTime 2016-10-23T11:17:33 --startdatetime 2016-10-23T11:26:15 --delay 1 --endMP 204:138 --enddatetime 2016-10-23T12:09:25 --enforcementcount 0 &gt;&gt;C:\Users\stu\Documents\GitHub\eaglep3-reporting\EC\2016-10-23-refined-times.txt</v>
      </c>
      <c r="AI6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{"issue":{"subject":"","project_id":79,"tracker_id":40,"status_id":1,"priority_id":2,"assigned_to_id":23,"start_date":"2016-10-23","description":"","custom_fields":[{"id":1,"name":"Subdivision","value":"EC"},{"id":4,"name":"Milepost","value":"0.0138"},{"id":17,"name":"Train ID","value":"156-23"},{"id":16,"name":"Locomotive ID","value":"4028"},{"id":130,"name":"Impact","value":""},{"id":150,"name":"Time of Event (Mountain Time)","value":"12:09:25"},{"id":151,"name":"Denver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499</v>
      </c>
      <c r="B69" s="7">
        <v>4018</v>
      </c>
      <c r="C69" s="22" t="s">
        <v>99</v>
      </c>
      <c r="D69" s="22" t="s">
        <v>361</v>
      </c>
      <c r="E69" s="13">
        <v>42666.441967592589</v>
      </c>
      <c r="F69" s="13">
        <v>42666.448287037034</v>
      </c>
      <c r="G69" s="7">
        <v>1</v>
      </c>
      <c r="H69" s="13" t="s">
        <v>268</v>
      </c>
      <c r="I69" s="13">
        <v>42666.472268518519</v>
      </c>
      <c r="J69" s="7">
        <v>0</v>
      </c>
      <c r="K69" s="112" t="str">
        <f t="shared" si="19"/>
        <v>4017/4018</v>
      </c>
      <c r="L69" s="22" t="str">
        <f>VLOOKUP(A69,'Trips&amp;Operators'!$C$1:$E$10000,3,FALSE)</f>
        <v>YORK</v>
      </c>
      <c r="M69" s="6">
        <f t="shared" si="20"/>
        <v>2.3981481484952383E-2</v>
      </c>
      <c r="N69" s="7">
        <f t="shared" si="21"/>
        <v>34.533333338331431</v>
      </c>
      <c r="O69" s="7"/>
      <c r="P69" s="7"/>
      <c r="Q69" s="23"/>
      <c r="R69" s="23"/>
      <c r="S69" s="35">
        <f t="shared" si="22"/>
        <v>1</v>
      </c>
      <c r="T69" s="50" t="str">
        <f t="shared" si="23"/>
        <v>NorthBound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09:36:26-0600',mode:absolute,to:'2016-10-23 12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9" s="52" t="str">
        <f t="shared" si="25"/>
        <v>N</v>
      </c>
      <c r="X69" s="171">
        <f t="shared" si="26"/>
        <v>1</v>
      </c>
      <c r="Y69" s="67">
        <f t="shared" si="27"/>
        <v>4.7800000000000002E-2</v>
      </c>
      <c r="Z69" s="67">
        <f t="shared" si="28"/>
        <v>23.3278</v>
      </c>
      <c r="AA69" s="67">
        <f t="shared" si="29"/>
        <v>23.28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30"/>
        <v>0157-23</v>
      </c>
      <c r="AE69" s="91" t="str">
        <f t="shared" si="31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69" s="88" t="str">
        <f t="shared" si="32"/>
        <v>"C:\Program Files (x86)\AstroGrep\AstroGrep.exe" /spath="%USERPROFILE%\AppData\Local\Temp\OnboardLogs" /stypes="app*4018*20161023*" /stext=" 17:.+((SYSTEM_STATE.+slice.+state.+changed )|(ment ac)|(system.+state.+changed )|(\[timeout)|(PRM\|1\|D)|(kpr)|(kdp)|(\|lc)|(penalty))" /e /r /s</v>
      </c>
      <c r="AG69" s="1" t="str">
        <f t="shared" si="33"/>
        <v>EC</v>
      </c>
      <c r="AH69" s="92" t="str">
        <f t="shared" si="17"/>
        <v>"%USERPROFILE%\Documents\GitHub\eaglep3\Utilities\RefineRTDCRunTimes.py" --tripid 157-23 --locoid 4018 --swversion DE.1.0.7.0 --startMP 204:478 --initTime 2016-10-23T10:36:26 --startdatetime 2016-10-23T10:45:32 --delay 1 --endMP 204:233278 --enddatetime 2016-10-23T11:20:04 --enforcementcount 0 &gt;&gt;C:\Users\stu\Documents\GitHub\eaglep3-reporting\EC\2016-10-23-refined-times.txt</v>
      </c>
      <c r="AI6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{"issue":{"subject":"","project_id":79,"tracker_id":40,"status_id":1,"priority_id":2,"assigned_to_id":23,"start_date":"2016-10-23","description":"","custom_fields":[{"id":1,"name":"Subdivision","value":"EC"},{"id":4,"name":"Milepost","value":"23.3278"},{"id":17,"name":"Train ID","value":"157-23"},{"id":16,"name":"Locomotive ID","value":"4018"},{"id":130,"name":"Impact","value":""},{"id":150,"name":"Time of Event (Mountain Time)","value":"11:20:04"},{"id":151,"name":"Denver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506</v>
      </c>
      <c r="B70" s="7">
        <v>4017</v>
      </c>
      <c r="C70" s="22" t="s">
        <v>99</v>
      </c>
      <c r="D70" s="22" t="s">
        <v>640</v>
      </c>
      <c r="E70" s="13">
        <v>42666.473263888889</v>
      </c>
      <c r="F70" s="13">
        <v>42666.487210648149</v>
      </c>
      <c r="G70" s="7">
        <v>1</v>
      </c>
      <c r="H70" s="13" t="s">
        <v>220</v>
      </c>
      <c r="I70" s="13">
        <v>42666.512569444443</v>
      </c>
      <c r="J70" s="7">
        <v>0</v>
      </c>
      <c r="K70" s="112" t="str">
        <f t="shared" si="19"/>
        <v>4017/4018</v>
      </c>
      <c r="L70" s="22" t="str">
        <f>VLOOKUP(A70,'Trips&amp;Operators'!$C$1:$E$10000,3,FALSE)</f>
        <v>YORK</v>
      </c>
      <c r="M70" s="6">
        <f t="shared" si="20"/>
        <v>2.5358796294312924E-2</v>
      </c>
      <c r="N70" s="7">
        <f t="shared" si="21"/>
        <v>36.516666663810611</v>
      </c>
      <c r="O70" s="7"/>
      <c r="P70" s="7"/>
      <c r="Q70" s="23"/>
      <c r="R70" s="23"/>
      <c r="S70" s="35">
        <f t="shared" si="22"/>
        <v>1</v>
      </c>
      <c r="T70" s="50" t="str">
        <f t="shared" si="23"/>
        <v>Southbound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10:21:30-0600',mode:absolute,to:'2016-10-23 13:18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0" s="52" t="str">
        <f t="shared" si="25"/>
        <v>N</v>
      </c>
      <c r="X70" s="171">
        <f t="shared" si="26"/>
        <v>1</v>
      </c>
      <c r="Y70" s="67">
        <f t="shared" si="27"/>
        <v>23.294599999999999</v>
      </c>
      <c r="Z70" s="67">
        <f t="shared" si="28"/>
        <v>1.4500000000000001E-2</v>
      </c>
      <c r="AA70" s="67">
        <f t="shared" si="29"/>
        <v>23.280099999999997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30"/>
        <v>0158-23</v>
      </c>
      <c r="AE70" s="91" t="str">
        <f t="shared" si="31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70" s="88" t="str">
        <f t="shared" si="32"/>
        <v>"C:\Program Files (x86)\AstroGrep\AstroGrep.exe" /spath="%USERPROFILE%\AppData\Local\Temp\OnboardLogs" /stypes="app*4017*20161023*" /stext=" 18:.+((SYSTEM_STATE.+slice.+state.+changed )|(ment ac)|(system.+state.+changed )|(\[timeout)|(PRM\|1\|D)|(kpr)|(kdp)|(\|lc)|(penalty))" /e /r /s</v>
      </c>
      <c r="AG70" s="1" t="str">
        <f t="shared" si="33"/>
        <v>EC</v>
      </c>
      <c r="AH70" s="92" t="str">
        <f t="shared" si="17"/>
        <v>"%USERPROFILE%\Documents\GitHub\eaglep3\Utilities\RefineRTDCRunTimes.py" --tripid 158-23 --locoid 4017 --swversion DE.1.0.7.0 --startMP 204:232946 --initTime 2016-10-23T11:21:30 --startdatetime 2016-10-23T11:41:35 --delay 1 --endMP 204:145 --enddatetime 2016-10-23T12:18:06 --enforcementcount 0 &gt;&gt;C:\Users\stu\Documents\GitHub\eaglep3-reporting\EC\2016-10-23-refined-times.txt</v>
      </c>
      <c r="AI7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ID","value":"158-23"},{"id":16,"name":"Locomotive ID","value":"4017"},{"id":130,"name":"Impact","value":""},{"id":150,"name":"Time of Event (Mountain Time)","value":"12:18:06"},{"id":151,"name":"Denver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500</v>
      </c>
      <c r="B71" s="7">
        <v>4009</v>
      </c>
      <c r="C71" s="22" t="s">
        <v>99</v>
      </c>
      <c r="D71" s="22" t="s">
        <v>361</v>
      </c>
      <c r="E71" s="13">
        <v>42666.453043981484</v>
      </c>
      <c r="F71" s="13">
        <v>42666.458611111113</v>
      </c>
      <c r="G71" s="7">
        <v>2</v>
      </c>
      <c r="H71" s="13" t="s">
        <v>228</v>
      </c>
      <c r="I71" s="13">
        <v>42666.485555555555</v>
      </c>
      <c r="J71" s="7">
        <v>0</v>
      </c>
      <c r="K71" s="112" t="str">
        <f t="shared" si="19"/>
        <v>4009/4010</v>
      </c>
      <c r="L71" s="22" t="str">
        <f>VLOOKUP(A71,'Trips&amp;Operators'!$C$1:$E$10000,3,FALSE)</f>
        <v>STEWART</v>
      </c>
      <c r="M71" s="6">
        <f t="shared" si="20"/>
        <v>2.6944444442051463E-2</v>
      </c>
      <c r="N71" s="7">
        <f t="shared" si="21"/>
        <v>38.799999996554106</v>
      </c>
      <c r="O71" s="7"/>
      <c r="P71" s="7"/>
      <c r="Q71" s="23"/>
      <c r="R71" s="23"/>
      <c r="S71" s="35">
        <f t="shared" si="22"/>
        <v>1</v>
      </c>
      <c r="T71" s="50" t="str">
        <f t="shared" si="23"/>
        <v>NorthBound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09:52:23-0600',mode:absolute,to:'2016-10-23 12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1" s="52" t="str">
        <f t="shared" si="25"/>
        <v>N</v>
      </c>
      <c r="X71" s="171">
        <f t="shared" si="26"/>
        <v>1</v>
      </c>
      <c r="Y71" s="67">
        <f t="shared" si="27"/>
        <v>4.7800000000000002E-2</v>
      </c>
      <c r="Z71" s="67">
        <f t="shared" si="28"/>
        <v>23.33</v>
      </c>
      <c r="AA71" s="67">
        <f t="shared" si="29"/>
        <v>23.2822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30"/>
        <v>0159-23</v>
      </c>
      <c r="AE71" s="91" t="str">
        <f t="shared" si="31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71" s="88" t="str">
        <f t="shared" si="32"/>
        <v>"C:\Program Files (x86)\AstroGrep\AstroGrep.exe" /spath="%USERPROFILE%\AppData\Local\Temp\OnboardLogs" /stypes="app*4009*20161023*" /stext=" 17:.+((SYSTEM_STATE.+slice.+state.+changed )|(ment ac)|(system.+state.+changed )|(\[timeout)|(PRM\|1\|D)|(kpr)|(kdp)|(\|lc)|(penalty))" /e /r /s</v>
      </c>
      <c r="AG71" s="1" t="str">
        <f t="shared" si="33"/>
        <v>EC</v>
      </c>
      <c r="AH71" s="92" t="str">
        <f t="shared" si="17"/>
        <v>"%USERPROFILE%\Documents\GitHub\eaglep3\Utilities\RefineRTDCRunTimes.py" --tripid 159-23 --locoid 4009 --swversion DE.1.0.7.0 --startMP 204:478 --initTime 2016-10-23T10:52:23 --startdatetime 2016-10-23T11:00:24 --delay 2 --endMP 204:233300 --enddatetime 2016-10-23T11:39:12 --enforcementcount 0 &gt;&gt;C:\Users\stu\Documents\GitHub\eaglep3-reporting\EC\2016-10-23-refined-times.txt</v>
      </c>
      <c r="AI7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{"issue":{"subject":"","project_id":79,"tracker_id":40,"status_id":1,"priority_id":2,"assigned_to_id":23,"start_date":"2016-10-23","description":"","custom_fields":[{"id":1,"name":"Subdivision","value":"EC"},{"id":4,"name":"Milepost","value":"23.33"},{"id":17,"name":"Train ID","value":"159-23"},{"id":16,"name":"Locomotive ID","value":"4009"},{"id":130,"name":"Impact","value":""},{"id":150,"name":"Time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509</v>
      </c>
      <c r="B72" s="7">
        <v>4010</v>
      </c>
      <c r="C72" s="22" t="s">
        <v>99</v>
      </c>
      <c r="D72" s="22" t="s">
        <v>307</v>
      </c>
      <c r="E72" s="13">
        <v>42666.493391203701</v>
      </c>
      <c r="F72" s="13">
        <v>42666.497615740744</v>
      </c>
      <c r="G72" s="7">
        <v>1</v>
      </c>
      <c r="H72" s="13" t="s">
        <v>236</v>
      </c>
      <c r="I72" s="13">
        <v>42666.525150462963</v>
      </c>
      <c r="J72" s="7">
        <v>0</v>
      </c>
      <c r="K72" s="112" t="str">
        <f t="shared" si="19"/>
        <v>4009/4010</v>
      </c>
      <c r="L72" s="22" t="str">
        <f>VLOOKUP(A72,'Trips&amp;Operators'!$C$1:$E$10000,3,FALSE)</f>
        <v>STEWART</v>
      </c>
      <c r="M72" s="6">
        <f t="shared" si="20"/>
        <v>2.753472221957054E-2</v>
      </c>
      <c r="N72" s="7">
        <f t="shared" si="21"/>
        <v>39.649999996181577</v>
      </c>
      <c r="O72" s="7"/>
      <c r="P72" s="7"/>
      <c r="Q72" s="23"/>
      <c r="R72" s="23"/>
      <c r="S72" s="35">
        <f t="shared" si="22"/>
        <v>1</v>
      </c>
      <c r="T72" s="50" t="str">
        <f t="shared" si="23"/>
        <v>Southbound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10:50:29-0600',mode:absolute,to:'2016-10-23 13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2" s="52" t="str">
        <f t="shared" si="25"/>
        <v>N</v>
      </c>
      <c r="X72" s="171">
        <f t="shared" si="26"/>
        <v>1</v>
      </c>
      <c r="Y72" s="67">
        <f t="shared" si="27"/>
        <v>23.2989</v>
      </c>
      <c r="Z72" s="67">
        <f t="shared" si="28"/>
        <v>1.6E-2</v>
      </c>
      <c r="AA72" s="67">
        <f t="shared" si="29"/>
        <v>23.282900000000001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30"/>
        <v>0160-23</v>
      </c>
      <c r="AE72" s="91" t="str">
        <f t="shared" si="31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72" s="88" t="str">
        <f t="shared" si="32"/>
        <v>"C:\Program Files (x86)\AstroGrep\AstroGrep.exe" /spath="%USERPROFILE%\AppData\Local\Temp\OnboardLogs" /stypes="app*4010*20161023*" /stext=" 18:.+((SYSTEM_STATE.+slice.+state.+changed )|(ment ac)|(system.+state.+changed )|(\[timeout)|(PRM\|1\|D)|(kpr)|(kdp)|(\|lc)|(penalty))" /e /r /s</v>
      </c>
      <c r="AG72" s="1" t="str">
        <f t="shared" si="33"/>
        <v>EC</v>
      </c>
      <c r="AH72" s="92" t="str">
        <f t="shared" si="17"/>
        <v>"%USERPROFILE%\Documents\GitHub\eaglep3\Utilities\RefineRTDCRunTimes.py" --tripid 160-23 --locoid 4010 --swversion DE.1.0.7.0 --startMP 204:232989 --initTime 2016-10-23T11:50:29 --startdatetime 2016-10-23T11:56:34 --delay 1 --endMP 204:160 --enddatetime 2016-10-23T12:36:13 --enforcementcount 0 &gt;&gt;C:\Users\stu\Documents\GitHub\eaglep3-reporting\EC\2016-10-23-refined-times.txt</v>
      </c>
      <c r="AI7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{"issue":{"subject":"","project_id":79,"tracker_id":40,"status_id":1,"priority_id":2,"assigned_to_id":23,"start_date":"2016-10-23","description":"","custom_fields":[{"id":1,"name":"Subdivision","value":"EC"},{"id":4,"name":"Milepost","value":"0.016"},{"id":17,"name":"Train ID","value":"160-23"},{"id":16,"name":"Locomotive ID","value":"4010"},{"id":130,"name":"Impact","value":""},{"id":150,"name":"Time of Event (Mountain Time)","value":"12:36:13"},{"id":151,"name":"Denver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503</v>
      </c>
      <c r="B73" s="7">
        <v>4040</v>
      </c>
      <c r="C73" s="22" t="s">
        <v>99</v>
      </c>
      <c r="D73" s="22" t="s">
        <v>641</v>
      </c>
      <c r="E73" s="13">
        <v>42666.463379629633</v>
      </c>
      <c r="F73" s="13">
        <v>42666.468958333331</v>
      </c>
      <c r="G73" s="7">
        <v>1</v>
      </c>
      <c r="H73" s="13" t="s">
        <v>356</v>
      </c>
      <c r="I73" s="13">
        <v>42666.494317129633</v>
      </c>
      <c r="J73" s="7">
        <v>0</v>
      </c>
      <c r="K73" s="112" t="str">
        <f t="shared" si="19"/>
        <v>4039/4040</v>
      </c>
      <c r="L73" s="22" t="str">
        <f>VLOOKUP(A73,'Trips&amp;Operators'!$C$1:$E$10000,3,FALSE)</f>
        <v>BARTLETT</v>
      </c>
      <c r="M73" s="6">
        <f t="shared" si="20"/>
        <v>2.5358796301588882E-2</v>
      </c>
      <c r="N73" s="7">
        <f t="shared" si="21"/>
        <v>36.51666667428799</v>
      </c>
      <c r="O73" s="7"/>
      <c r="P73" s="7"/>
      <c r="Q73" s="23"/>
      <c r="R73" s="23"/>
      <c r="S73" s="35">
        <f t="shared" si="22"/>
        <v>1</v>
      </c>
      <c r="T73" s="50" t="str">
        <f t="shared" si="23"/>
        <v>NorthBound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10:07:16-0600',mode:absolute,to:'2016-10-23 12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3" s="52" t="str">
        <f t="shared" si="25"/>
        <v>N</v>
      </c>
      <c r="X73" s="171">
        <f t="shared" si="26"/>
        <v>1</v>
      </c>
      <c r="Y73" s="67">
        <f t="shared" si="27"/>
        <v>4.3799999999999999E-2</v>
      </c>
      <c r="Z73" s="67">
        <f t="shared" si="28"/>
        <v>23.328900000000001</v>
      </c>
      <c r="AA73" s="67">
        <f t="shared" si="29"/>
        <v>23.2851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30"/>
        <v>0161-23</v>
      </c>
      <c r="AE73" s="91" t="str">
        <f t="shared" si="31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73" s="88" t="str">
        <f t="shared" si="32"/>
        <v>"C:\Program Files (x86)\AstroGrep\AstroGrep.exe" /spath="%USERPROFILE%\AppData\Local\Temp\OnboardLogs" /stypes="app*4040*20161023*" /stext=" 17:.+((SYSTEM_STATE.+slice.+state.+changed )|(ment ac)|(system.+state.+changed )|(\[timeout)|(PRM\|1\|D)|(kpr)|(kdp)|(\|lc)|(penalty))" /e /r /s</v>
      </c>
      <c r="AG73" s="1" t="str">
        <f t="shared" si="33"/>
        <v>EC</v>
      </c>
      <c r="AH73" s="92" t="str">
        <f t="shared" si="17"/>
        <v>"%USERPROFILE%\Documents\GitHub\eaglep3\Utilities\RefineRTDCRunTimes.py" --tripid 161-23 --locoid 4040 --swversion DE.1.0.7.0 --startMP 204:438 --initTime 2016-10-23T11:07:16 --startdatetime 2016-10-23T11:15:18 --delay 1 --endMP 204:233289 --enddatetime 2016-10-23T11:51:49 --enforcementcount 0 &gt;&gt;C:\Users\stu\Documents\GitHub\eaglep3-reporting\EC\2016-10-23-refined-times.txt</v>
      </c>
      <c r="AI7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{"issue":{"subject":"","project_id":79,"tracker_id":40,"status_id":1,"priority_id":2,"assigned_to_id":23,"start_date":"2016-10-23","description":"","custom_fields":[{"id":1,"name":"Subdivision","value":"EC"},{"id":4,"name":"Milepost","value":"23.3289"},{"id":17,"name":"Train ID","value":"161-23"},{"id":16,"name":"Locomotive ID","value":"4040"},{"id":130,"name":"Impact","value":""},{"id":150,"name":"Time of Event (Mountain Time)","value":"11:51:49"},{"id":151,"name":"Denver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510</v>
      </c>
      <c r="B74" s="7">
        <v>4039</v>
      </c>
      <c r="C74" s="22" t="s">
        <v>99</v>
      </c>
      <c r="D74" s="22" t="s">
        <v>636</v>
      </c>
      <c r="E74" s="13">
        <v>42666.496678240743</v>
      </c>
      <c r="F74" s="13">
        <v>42666.507974537039</v>
      </c>
      <c r="G74" s="7">
        <v>2</v>
      </c>
      <c r="H74" s="13" t="s">
        <v>219</v>
      </c>
      <c r="I74" s="13">
        <v>42666.534409722219</v>
      </c>
      <c r="J74" s="7">
        <v>0</v>
      </c>
      <c r="K74" s="112" t="str">
        <f t="shared" si="19"/>
        <v>4039/4040</v>
      </c>
      <c r="L74" s="22" t="str">
        <f>VLOOKUP(A74,'Trips&amp;Operators'!$C$1:$E$10000,3,FALSE)</f>
        <v>BARTLETT</v>
      </c>
      <c r="M74" s="6">
        <f t="shared" si="20"/>
        <v>2.643518518016208E-2</v>
      </c>
      <c r="N74" s="7">
        <f t="shared" si="21"/>
        <v>38.066666659433395</v>
      </c>
      <c r="O74" s="7"/>
      <c r="P74" s="7"/>
      <c r="Q74" s="23"/>
      <c r="R74" s="23"/>
      <c r="S74" s="35">
        <f t="shared" si="22"/>
        <v>1</v>
      </c>
      <c r="T74" s="50" t="str">
        <f t="shared" si="23"/>
        <v>Southbound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10:55:13-0600',mode:absolute,to:'2016-10-23 13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4" s="52" t="str">
        <f t="shared" si="25"/>
        <v>N</v>
      </c>
      <c r="X74" s="171">
        <f t="shared" si="26"/>
        <v>1</v>
      </c>
      <c r="Y74" s="67">
        <f t="shared" si="27"/>
        <v>23.299800000000001</v>
      </c>
      <c r="Z74" s="67">
        <f t="shared" si="28"/>
        <v>1.54E-2</v>
      </c>
      <c r="AA74" s="67">
        <f t="shared" si="29"/>
        <v>23.284400000000002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30"/>
        <v>0162-23</v>
      </c>
      <c r="AE74" s="91" t="str">
        <f t="shared" si="31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74" s="88" t="str">
        <f t="shared" si="32"/>
        <v>"C:\Program Files (x86)\AstroGrep\AstroGrep.exe" /spath="%USERPROFILE%\AppData\Local\Temp\OnboardLogs" /stypes="app*4039*20161023*" /stext=" 18:.+((SYSTEM_STATE.+slice.+state.+changed )|(ment ac)|(system.+state.+changed )|(\[timeout)|(PRM\|1\|D)|(kpr)|(kdp)|(\|lc)|(penalty))" /e /r /s</v>
      </c>
      <c r="AG74" s="1" t="str">
        <f t="shared" si="33"/>
        <v>EC</v>
      </c>
      <c r="AH74" s="92" t="str">
        <f t="shared" si="17"/>
        <v>"%USERPROFILE%\Documents\GitHub\eaglep3\Utilities\RefineRTDCRunTimes.py" --tripid 162-23 --locoid 4039 --swversion DE.1.0.7.0 --startMP 204:232998 --initTime 2016-10-23T11:55:13 --startdatetime 2016-10-23T12:11:29 --delay 2 --endMP 204:154 --enddatetime 2016-10-23T12:49:33 --enforcementcount 0 &gt;&gt;C:\Users\stu\Documents\GitHub\eaglep3-reporting\EC\2016-10-23-refined-times.txt</v>
      </c>
      <c r="AI7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{"issue":{"subject":"","project_id":79,"tracker_id":40,"status_id":1,"priority_id":2,"assigned_to_id":23,"start_date":"2016-10-23","description":"","custom_fields":[{"id":1,"name":"Subdivision","value":"EC"},{"id":4,"name":"Milepost","value":"0.0154"},{"id":17,"name":"Train ID","value":"162-23"},{"id":16,"name":"Locomotive ID","value":"4039"},{"id":130,"name":"Impact","value":""},{"id":150,"name":"Time of Event (Mountain Time)","value":"12:49:33"},{"id":151,"name":"Denver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507</v>
      </c>
      <c r="B75" s="7">
        <v>4046</v>
      </c>
      <c r="C75" s="22" t="s">
        <v>99</v>
      </c>
      <c r="D75" s="22" t="s">
        <v>392</v>
      </c>
      <c r="E75" s="13">
        <v>42666.476643518516</v>
      </c>
      <c r="F75" s="13">
        <v>42666.479525462964</v>
      </c>
      <c r="G75" s="7">
        <v>1</v>
      </c>
      <c r="H75" s="13" t="s">
        <v>195</v>
      </c>
      <c r="I75" s="13">
        <v>42666.504513888889</v>
      </c>
      <c r="J75" s="7">
        <v>0</v>
      </c>
      <c r="K75" s="112" t="str">
        <f t="shared" si="19"/>
        <v>4045/4046</v>
      </c>
      <c r="L75" s="22" t="str">
        <f>VLOOKUP(A75,'Trips&amp;Operators'!$C$1:$E$10000,3,FALSE)</f>
        <v>BRUDER</v>
      </c>
      <c r="M75" s="6">
        <f t="shared" si="20"/>
        <v>2.4988425924675539E-2</v>
      </c>
      <c r="N75" s="7">
        <f t="shared" si="21"/>
        <v>35.983333331532776</v>
      </c>
      <c r="O75" s="7"/>
      <c r="P75" s="7"/>
      <c r="Q75" s="23"/>
      <c r="R75" s="23"/>
      <c r="S75" s="35">
        <f t="shared" si="22"/>
        <v>1</v>
      </c>
      <c r="T75" s="50" t="str">
        <f t="shared" si="23"/>
        <v>NorthBound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10:26:22-0600',mode:absolute,to:'2016-10-23 13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5" s="52" t="str">
        <f t="shared" si="25"/>
        <v>N</v>
      </c>
      <c r="X75" s="171">
        <f t="shared" si="26"/>
        <v>1</v>
      </c>
      <c r="Y75" s="67">
        <f t="shared" si="27"/>
        <v>4.5699999999999998E-2</v>
      </c>
      <c r="Z75" s="67">
        <f t="shared" si="28"/>
        <v>23.329699999999999</v>
      </c>
      <c r="AA75" s="67">
        <f t="shared" si="29"/>
        <v>23.283999999999999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30"/>
        <v>0163-23</v>
      </c>
      <c r="AE75" s="91" t="str">
        <f t="shared" si="31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75" s="88" t="str">
        <f t="shared" si="32"/>
        <v>"C:\Program Files (x86)\AstroGrep\AstroGrep.exe" /spath="%USERPROFILE%\AppData\Local\Temp\OnboardLogs" /stypes="app*4046*20161023*" /stext=" 18:.+((SYSTEM_STATE.+slice.+state.+changed )|(ment ac)|(system.+state.+changed )|(\[timeout)|(PRM\|1\|D)|(kpr)|(kdp)|(\|lc)|(penalty))" /e /r /s</v>
      </c>
      <c r="AG75" s="1" t="str">
        <f t="shared" si="33"/>
        <v>EC</v>
      </c>
      <c r="AH75" s="92" t="str">
        <f t="shared" si="17"/>
        <v>"%USERPROFILE%\Documents\GitHub\eaglep3\Utilities\RefineRTDCRunTimes.py" --tripid 163-23 --locoid 4046 --swversion DE.1.0.7.0 --startMP 204:457 --initTime 2016-10-23T11:26:22 --startdatetime 2016-10-23T11:30:31 --delay 1 --endMP 204:233297 --enddatetime 2016-10-23T12:06:30 --enforcementcount 0 &gt;&gt;C:\Users\stu\Documents\GitHub\eaglep3-reporting\EC\2016-10-23-refined-times.txt</v>
      </c>
      <c r="AI7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{"issue":{"subject":"","project_id":79,"tracker_id":40,"status_id":1,"priority_id":2,"assigned_to_id":23,"start_date":"2016-10-23","description":"","custom_fields":[{"id":1,"name":"Subdivision","value":"EC"},{"id":4,"name":"Milepost","value":"23.3297"},{"id":17,"name":"Train ID","value":"163-23"},{"id":16,"name":"Locomotive ID","value":"4046"},{"id":130,"name":"Impact","value":""},{"id":150,"name":"Time of Event (Mountain Time)","value":"12:06:30"},{"id":151,"name":"Denver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514</v>
      </c>
      <c r="B76" s="7">
        <v>4045</v>
      </c>
      <c r="C76" s="22" t="s">
        <v>99</v>
      </c>
      <c r="D76" s="22" t="s">
        <v>308</v>
      </c>
      <c r="E76" s="13">
        <v>42666.513483796298</v>
      </c>
      <c r="F76" s="13">
        <v>42666.518310185187</v>
      </c>
      <c r="G76" s="7">
        <v>2</v>
      </c>
      <c r="H76" s="13" t="s">
        <v>236</v>
      </c>
      <c r="I76" s="13">
        <v>42666.544618055559</v>
      </c>
      <c r="J76" s="7">
        <v>0</v>
      </c>
      <c r="K76" s="112" t="str">
        <f t="shared" ref="K76:K107" si="34">IF(ISEVEN(B76),(B76-1)&amp;"/"&amp;B76,B76&amp;"/"&amp;(B76+1))</f>
        <v>4045/4046</v>
      </c>
      <c r="L76" s="22" t="str">
        <f>VLOOKUP(A76,'Trips&amp;Operators'!$C$1:$E$10000,3,FALSE)</f>
        <v>BRUDER</v>
      </c>
      <c r="M76" s="6">
        <f t="shared" ref="M76:M107" si="35">I76-F76</f>
        <v>2.6307870371965691E-2</v>
      </c>
      <c r="N76" s="7">
        <f t="shared" ref="N76:P107" si="36">24*60*SUM($M76:$M76)</f>
        <v>37.883333335630596</v>
      </c>
      <c r="O76" s="7"/>
      <c r="P76" s="7"/>
      <c r="Q76" s="23"/>
      <c r="R76" s="23"/>
      <c r="S76" s="35">
        <f t="shared" ref="S76:S107" si="37">SUM(U76:U76)/IF(AG76="EC",12,1)</f>
        <v>1</v>
      </c>
      <c r="T76" s="50" t="str">
        <f t="shared" ref="T76:T107" si="38">IF(ISEVEN(LEFT(AD76,4)),"Southbound","NorthBound")</f>
        <v>Southbound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07" si="39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https://search-rtdc-monitor-bjffxe2xuh6vdkpspy63sjmuny.us-east-1.es.amazonaws.com/_plugin/kibana/#/discover/Steve-Slow-Train-Analysis-(2080s-and-2083s)?_g=(refreshInterval:(display:Off,section:0,value:0),time:(from:'2016-10-23 11:19:25-0600',mode:absolute,to:'2016-10-23 14:04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6" s="52" t="str">
        <f t="shared" ref="W76:W107" si="40">IF(AA76&lt;IF(AG76="EC",23,5.65),"Y","N")</f>
        <v>N</v>
      </c>
      <c r="X76" s="171">
        <f t="shared" ref="X76:X114" si="41">VALUE(LEFT(AD76,4))-VALUE(LEFT(AD75,4))</f>
        <v>1</v>
      </c>
      <c r="Y76" s="67">
        <f t="shared" ref="Y76:Y107" si="42">RIGHT(D76,LEN(D76)-4)/10000</f>
        <v>23.299299999999999</v>
      </c>
      <c r="Z76" s="67">
        <f t="shared" ref="Z76:Z107" si="43">RIGHT(H76,LEN(H76)-4)/10000</f>
        <v>1.6E-2</v>
      </c>
      <c r="AA76" s="67">
        <f t="shared" ref="AA76:AA107" si="44">ABS(Z76-Y76)</f>
        <v>23.283300000000001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07" si="45">IF(LEN(A76)=6,"0"&amp;A76,A76)</f>
        <v>0164-23</v>
      </c>
      <c r="AE76" s="91" t="str">
        <f t="shared" ref="AE76:AE107" si="46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76" s="88" t="str">
        <f t="shared" ref="AF76:AF107" si="47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/stypes="app*4045*20161023*" /stext=" 19:.+((SYSTEM_STATE.+slice.+state.+changed )|(ment ac)|(system.+state.+changed )|(\[timeout)|(PRM\|1\|D)|(kpr)|(kdp)|(\|lc)|(penalty))" /e /r /s</v>
      </c>
      <c r="AG76" s="1" t="str">
        <f t="shared" ref="AG76:AG107" si="48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164-23 --locoid 4045 --swversion DE.1.0.7.0 --startMP 204:232993 --initTime 2016-10-23T12:19:25 --startdatetime 2016-10-23T12:26:22 --delay 2 --endMP 204:160 --enddatetime 2016-10-23T13:04:15 --enforcementcount 0 &gt;&gt;C:\Users\stu\Documents\GitHub\eaglep3-reporting\EC\2016-10-23-refined-times.txt</v>
      </c>
      <c r="AI7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{"issue":{"subject":"","project_id":79,"tracker_id":40,"status_id":1,"priority_id":2,"assigned_to_id":23,"start_date":"2016-10-23","description":"","custom_fields":[{"id":1,"name":"Subdivision","value":"EC"},{"id":4,"name":"Milepost","value":"0.016"},{"id":17,"name":"Train ID","value":"164-23"},{"id":16,"name":"Locomotive ID","value":"4045"},{"id":130,"name":"Impact","value":""},{"id":150,"name":"Time of Event (Mountain Time)","value":"13:04:15"},{"id":151,"name":"Denver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508</v>
      </c>
      <c r="B77" s="7">
        <v>4016</v>
      </c>
      <c r="C77" s="22" t="s">
        <v>99</v>
      </c>
      <c r="D77" s="22" t="s">
        <v>308</v>
      </c>
      <c r="E77" s="13">
        <v>42666.513483796298</v>
      </c>
      <c r="F77" s="13">
        <v>42666.491539351853</v>
      </c>
      <c r="G77" s="7">
        <v>2</v>
      </c>
      <c r="H77" s="13" t="s">
        <v>236</v>
      </c>
      <c r="I77" s="13">
        <v>42666.493576388886</v>
      </c>
      <c r="J77" s="7">
        <v>0</v>
      </c>
      <c r="K77" s="112" t="str">
        <f t="shared" ref="K77" si="49">IF(ISEVEN(B77),(B77-1)&amp;"/"&amp;B77,B77&amp;"/"&amp;(B77+1))</f>
        <v>4015/4016</v>
      </c>
      <c r="L77" s="22" t="str">
        <f>VLOOKUP(A77,'Trips&amp;Operators'!$C$1:$E$10000,3,FALSE)</f>
        <v>MOSES</v>
      </c>
      <c r="M77" s="6">
        <f t="shared" ref="M77" si="50">I77-F77</f>
        <v>2.0370370330056176E-3</v>
      </c>
      <c r="N77" s="7"/>
      <c r="O77" s="7"/>
      <c r="P77" s="7">
        <f t="shared" si="36"/>
        <v>2.9333333275280893</v>
      </c>
      <c r="Q77" s="23"/>
      <c r="R77" s="23" t="s">
        <v>762</v>
      </c>
      <c r="S77" s="35">
        <f t="shared" ref="S77" si="51">SUM(U77:U77)/IF(AG77="EC",12,1)</f>
        <v>0</v>
      </c>
      <c r="T77" s="50" t="str">
        <f t="shared" ref="T77" si="52">IF(ISEVEN(LEFT(AD77,4)),"Southbound","NorthBound")</f>
        <v>NorthBound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98" t="str">
        <f t="shared" ref="V77" si="53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https://search-rtdc-monitor-bjffxe2xuh6vdkpspy63sjmuny.us-east-1.es.amazonaws.com/_plugin/kibana/#/discover/Steve-Slow-Train-Analysis-(2080s-and-2083s)?_g=(refreshInterval:(display:Off,section:0,value:0),time:(from:'2016-10-23 11:19:25-0600',mode:absolute,to:'2016-10-23 12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7" s="52" t="str">
        <f t="shared" ref="W77" si="54">IF(AA77&lt;IF(AG77="EC",23,5.65),"Y","N")</f>
        <v>N</v>
      </c>
      <c r="X77" s="171">
        <f t="shared" ref="X77:X78" si="55">VALUE(LEFT(AD77,4))-VALUE(LEFT(AD76,4))</f>
        <v>1</v>
      </c>
      <c r="Y77" s="67">
        <f t="shared" ref="Y77" si="56">RIGHT(D77,LEN(D77)-4)/10000</f>
        <v>23.299299999999999</v>
      </c>
      <c r="Z77" s="67">
        <f t="shared" ref="Z77" si="57">RIGHT(H77,LEN(H77)-4)/10000</f>
        <v>1.6E-2</v>
      </c>
      <c r="AA77" s="67">
        <f t="shared" ref="AA77" si="58">ABS(Z77-Y77)</f>
        <v>23.283300000000001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" si="59">IF(LEN(A77)=6,"0"&amp;A77,A77)</f>
        <v>0165-23</v>
      </c>
      <c r="AE77" s="91" t="str">
        <f t="shared" ref="AE77" si="6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77" s="88" t="str">
        <f t="shared" ref="AF77" si="61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/stypes="app*4016*20161023*" /stext=" 17:.+((SYSTEM_STATE.+slice.+state.+changed )|(ment ac)|(system.+state.+changed )|(\[timeout)|(PRM\|1\|D)|(kpr)|(kdp)|(\|lc)|(penalty))" /e /r /s</v>
      </c>
      <c r="AG77" s="1" t="str">
        <f t="shared" ref="AG77" si="62">IFERROR(IF(VALUE(LEFT(AD77,2))&lt;=2,"EC",IF(OR(VALUE(LEFT(AD77,2))=8,VALUE(LEFT(AD77,2))=18),"NW","Other")),"Other")</f>
        <v>EC</v>
      </c>
      <c r="AH77" s="92" t="str">
        <f t="shared" ref="AH77" si="63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165-23 --locoid 4016 --swversion DE.1.0.7.0 --startMP 204:232993 --initTime 2016-10-23T12:19:25 --startdatetime 2016-10-23T11:47:49 --delay 2 --endMP 204:160 --enddatetime 2016-10-23T11:50:45 --enforcementcount 0 &gt;&gt;C:\Users\stu\Documents\GitHub\eaglep3-reporting\EC\2016-10-23-refined-times.txt</v>
      </c>
      <c r="AI77" s="122" t="str">
        <f t="shared" ref="AI77" si="64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failure","project_id":79,"tracker_id":40,"status_id":1,"priority_id":2,"assigned_to_id":23,"start_date":"2016-10-23","description":"Multiple cpu faults at 2016-10-23 11:50:32","custom_fields":[{"id":1,"name":"Subdivision","value":"EC"},{"id":4,"name":"Milepost","value":"0.016"},{"id":17,"name":"Train ID","value":"165-23"},{"id":16,"name":"Locomotive ID","value":"4016"},{"id":130,"name":"Impact","value":"Failed State"},{"id":150,"name":"Time of Event (Mountain Time)","value":"11:50:45"},{"id":151,"name":"Denver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7" s="53" t="s">
        <v>767</v>
      </c>
      <c r="AK77" s="53" t="s">
        <v>129</v>
      </c>
      <c r="AL77" s="53" t="s">
        <v>179</v>
      </c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</row>
    <row r="78" spans="1:91" s="1" customFormat="1" x14ac:dyDescent="0.25">
      <c r="A78" s="37" t="s">
        <v>421</v>
      </c>
      <c r="B78" s="7">
        <v>4015</v>
      </c>
      <c r="C78" s="22" t="s">
        <v>99</v>
      </c>
      <c r="D78" s="22" t="s">
        <v>642</v>
      </c>
      <c r="E78" s="13">
        <v>42666.527013888888</v>
      </c>
      <c r="F78" s="13">
        <v>42666.529618055552</v>
      </c>
      <c r="G78" s="7">
        <v>2</v>
      </c>
      <c r="H78" s="13" t="s">
        <v>643</v>
      </c>
      <c r="I78" s="13">
        <v>42666.556550925925</v>
      </c>
      <c r="J78" s="7">
        <v>0</v>
      </c>
      <c r="K78" s="112" t="str">
        <f t="shared" si="34"/>
        <v>4015/4016</v>
      </c>
      <c r="L78" s="22" t="str">
        <f>VLOOKUP(A78,'Trips&amp;Operators'!$C$1:$E$10000,3,FALSE)</f>
        <v>MOSES</v>
      </c>
      <c r="M78" s="6">
        <f t="shared" si="35"/>
        <v>2.6932870372547768E-2</v>
      </c>
      <c r="N78" s="7">
        <f t="shared" si="36"/>
        <v>38.783333336468786</v>
      </c>
      <c r="O78" s="7"/>
      <c r="P78" s="7"/>
      <c r="Q78" s="23"/>
      <c r="R78" s="23"/>
      <c r="S78" s="35">
        <f t="shared" si="37"/>
        <v>1</v>
      </c>
      <c r="T78" s="50" t="str">
        <f t="shared" si="38"/>
        <v>Southbound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11:38:54-0600',mode:absolute,to:'2016-10-23 14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8" s="52" t="str">
        <f t="shared" si="40"/>
        <v>N</v>
      </c>
      <c r="X78" s="171">
        <f t="shared" si="55"/>
        <v>1</v>
      </c>
      <c r="Y78" s="67">
        <f t="shared" si="42"/>
        <v>23.300799999999999</v>
      </c>
      <c r="Z78" s="67">
        <f t="shared" si="43"/>
        <v>2.07E-2</v>
      </c>
      <c r="AA78" s="67">
        <f t="shared" si="44"/>
        <v>23.280099999999997</v>
      </c>
      <c r="AB78" s="64" t="str">
        <f>VLOOKUP(A78,Enforcements!$C$7:$K$21,8,0)</f>
        <v>Form based authority (4)</v>
      </c>
      <c r="AC78" s="60" t="str">
        <f>VLOOKUP(A78,Enforcements!$C$7:$E$21,3,0)</f>
        <v>TRACK WARRANT AUTHORITY</v>
      </c>
      <c r="AD78" s="61" t="str">
        <f t="shared" si="45"/>
        <v>0166-23</v>
      </c>
      <c r="AE78" s="91" t="str">
        <f t="shared" si="46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78" s="88" t="str">
        <f t="shared" si="47"/>
        <v>"C:\Program Files (x86)\AstroGrep\AstroGrep.exe" /spath="%USERPROFILE%\AppData\Local\Temp\OnboardLogs" /stypes="app*4015*20161023*" /stext=" 19:.+((SYSTEM_STATE.+slice.+state.+changed )|(ment ac)|(system.+state.+changed )|(\[timeout)|(PRM\|1\|D)|(kpr)|(kdp)|(\|lc)|(penalty))" /e /r /s</v>
      </c>
      <c r="AG78" s="1" t="str">
        <f t="shared" si="48"/>
        <v>EC</v>
      </c>
      <c r="AH78" s="92" t="str">
        <f t="shared" ref="AH78:AH140" si="6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4015 --swversion DE.1.0.7.0 --startMP 204:233008 --initTime 2016-10-23T12:38:54 --startdatetime 2016-10-23T12:42:39 --delay 2 --endMP 204:207 --enddatetime 2016-10-23T13:21:26 --enforcementcount 0 &gt;&gt;C:\Users\stu\Documents\GitHub\eaglep3-reporting\EC\2016-10-23-refined-times.txt</v>
      </c>
      <c r="AI78" s="122" t="str">
        <f t="shared" ref="AI78:AI140" si="6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{"issue":{"subject":"","project_id":79,"tracker_id":40,"status_id":1,"priority_id":2,"assigned_to_id":23,"start_date":"2016-10-23","description":"","custom_fields":[{"id":1,"name":"Subdivision","value":"EC"},{"id":4,"name":"Milepost","value":"0.0207"},{"id":17,"name":"Train ID","value":"166-23"},{"id":16,"name":"Locomotive ID","value":"4015"},{"id":130,"name":"Impact","value":""},{"id":150,"name":"Time of Event (Mountain Time)","value":"13:21:26"},{"id":151,"name":"Denver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511</v>
      </c>
      <c r="B79" s="7">
        <v>4025</v>
      </c>
      <c r="C79" s="22" t="s">
        <v>99</v>
      </c>
      <c r="D79" s="22" t="s">
        <v>232</v>
      </c>
      <c r="E79" s="13">
        <v>42666.496458333335</v>
      </c>
      <c r="F79" s="13">
        <v>42666.500231481485</v>
      </c>
      <c r="G79" s="7">
        <v>2</v>
      </c>
      <c r="H79" s="13" t="s">
        <v>195</v>
      </c>
      <c r="I79" s="13">
        <v>42666.533067129632</v>
      </c>
      <c r="J79" s="7">
        <v>0</v>
      </c>
      <c r="K79" s="112" t="str">
        <f t="shared" si="34"/>
        <v>4025/4026</v>
      </c>
      <c r="L79" s="22" t="str">
        <f>VLOOKUP(A79,'Trips&amp;Operators'!$C$1:$E$10000,3,FALSE)</f>
        <v>YOUNG</v>
      </c>
      <c r="M79" s="6">
        <f t="shared" si="35"/>
        <v>3.2835648147738539E-2</v>
      </c>
      <c r="N79" s="7">
        <f t="shared" si="36"/>
        <v>47.283333332743496</v>
      </c>
      <c r="O79" s="7"/>
      <c r="P79" s="7"/>
      <c r="Q79" s="23"/>
      <c r="R79" s="23"/>
      <c r="S79" s="35">
        <f t="shared" si="37"/>
        <v>1</v>
      </c>
      <c r="T79" s="50" t="str">
        <f t="shared" si="38"/>
        <v>NorthBound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10:54:54-0600',mode:absolute,to:'2016-10-23 13:47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9" s="52" t="str">
        <f t="shared" si="40"/>
        <v>N</v>
      </c>
      <c r="X79" s="171">
        <f t="shared" si="41"/>
        <v>1</v>
      </c>
      <c r="Y79" s="67">
        <f t="shared" si="42"/>
        <v>4.6600000000000003E-2</v>
      </c>
      <c r="Z79" s="67">
        <f t="shared" si="43"/>
        <v>23.329699999999999</v>
      </c>
      <c r="AA79" s="67">
        <f t="shared" si="44"/>
        <v>23.283099999999997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5"/>
        <v>0167-23</v>
      </c>
      <c r="AE79" s="91" t="str">
        <f t="shared" si="46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79" s="88" t="str">
        <f t="shared" si="47"/>
        <v>"C:\Program Files (x86)\AstroGrep\AstroGrep.exe" /spath="%USERPROFILE%\AppData\Local\Temp\OnboardLogs" /stypes="app*4025*20161023*" /stext=" 18:.+((SYSTEM_STATE.+slice.+state.+changed )|(ment ac)|(system.+state.+changed )|(\[timeout)|(PRM\|1\|D)|(kpr)|(kdp)|(\|lc)|(penalty))" /e /r /s</v>
      </c>
      <c r="AG79" s="1" t="str">
        <f t="shared" si="48"/>
        <v>EC</v>
      </c>
      <c r="AH79" s="92" t="str">
        <f t="shared" si="65"/>
        <v>"%USERPROFILE%\Documents\GitHub\eaglep3\Utilities\RefineRTDCRunTimes.py" --tripid 167-23 --locoid 4025 --swversion DE.1.0.7.0 --startMP 204:466 --initTime 2016-10-23T11:54:54 --startdatetime 2016-10-23T12:00:20 --delay 2 --endMP 204:233297 --enddatetime 2016-10-23T12:47:37 --enforcementcount 0 &gt;&gt;C:\Users\stu\Documents\GitHub\eaglep3-reporting\EC\2016-10-23-refined-times.txt</v>
      </c>
      <c r="AI7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{"issue":{"subject":"","project_id":79,"tracker_id":40,"status_id":1,"priority_id":2,"assigned_to_id":23,"start_date":"2016-10-23","description":"","custom_fields":[{"id":1,"name":"Subdivision","value":"EC"},{"id":4,"name":"Milepost","value":"23.3297"},{"id":17,"name":"Train ID","value":"167-23"},{"id":16,"name":"Locomotive ID","value":"4025"},{"id":130,"name":"Impact","value":""},{"id":150,"name":"Time of Event (Mountain Time)","value":"12:47:37"},{"id":151,"name":"Denver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518</v>
      </c>
      <c r="B80" s="7">
        <v>4026</v>
      </c>
      <c r="C80" s="22" t="s">
        <v>99</v>
      </c>
      <c r="D80" s="22" t="s">
        <v>276</v>
      </c>
      <c r="E80" s="13">
        <v>42666.534525462965</v>
      </c>
      <c r="F80" s="13">
        <v>42666.539212962962</v>
      </c>
      <c r="G80" s="7">
        <v>1</v>
      </c>
      <c r="H80" s="13" t="s">
        <v>644</v>
      </c>
      <c r="I80" s="13">
        <v>42666.567858796298</v>
      </c>
      <c r="J80" s="7">
        <v>0</v>
      </c>
      <c r="K80" s="112" t="str">
        <f t="shared" si="34"/>
        <v>4025/4026</v>
      </c>
      <c r="L80" s="22" t="str">
        <f>VLOOKUP(A80,'Trips&amp;Operators'!$C$1:$E$10000,3,FALSE)</f>
        <v>YOUNG</v>
      </c>
      <c r="M80" s="6">
        <f t="shared" si="35"/>
        <v>2.8645833335758653E-2</v>
      </c>
      <c r="N80" s="7">
        <f t="shared" si="36"/>
        <v>41.25000000349246</v>
      </c>
      <c r="O80" s="7"/>
      <c r="P80" s="7"/>
      <c r="Q80" s="23"/>
      <c r="R80" s="23"/>
      <c r="S80" s="35">
        <f t="shared" si="37"/>
        <v>1</v>
      </c>
      <c r="T80" s="50" t="str">
        <f t="shared" si="38"/>
        <v>Southbound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11:49:43-0600',mode:absolute,to:'2016-10-23 14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0" s="52" t="str">
        <f t="shared" si="40"/>
        <v>N</v>
      </c>
      <c r="X80" s="171">
        <f t="shared" si="41"/>
        <v>1</v>
      </c>
      <c r="Y80" s="67">
        <f t="shared" si="42"/>
        <v>23.2986</v>
      </c>
      <c r="Z80" s="67">
        <f t="shared" si="43"/>
        <v>1.9800000000000002E-2</v>
      </c>
      <c r="AA80" s="67">
        <f t="shared" si="44"/>
        <v>23.2788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5"/>
        <v>0168-23</v>
      </c>
      <c r="AE80" s="91" t="str">
        <f t="shared" si="46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80" s="88" t="str">
        <f t="shared" si="47"/>
        <v>"C:\Program Files (x86)\AstroGrep\AstroGrep.exe" /spath="%USERPROFILE%\AppData\Local\Temp\OnboardLogs" /stypes="app*4026*20161023*" /stext=" 19:.+((SYSTEM_STATE.+slice.+state.+changed )|(ment ac)|(system.+state.+changed )|(\[timeout)|(PRM\|1\|D)|(kpr)|(kdp)|(\|lc)|(penalty))" /e /r /s</v>
      </c>
      <c r="AG80" s="1" t="str">
        <f t="shared" si="48"/>
        <v>EC</v>
      </c>
      <c r="AH80" s="92" t="str">
        <f t="shared" si="65"/>
        <v>"%USERPROFILE%\Documents\GitHub\eaglep3\Utilities\RefineRTDCRunTimes.py" --tripid 168-23 --locoid 4026 --swversion DE.1.0.7.0 --startMP 204:232986 --initTime 2016-10-23T12:49:43 --startdatetime 2016-10-23T12:56:28 --delay 1 --endMP 204:198 --enddatetime 2016-10-23T13:37:43 --enforcementcount 0 &gt;&gt;C:\Users\stu\Documents\GitHub\eaglep3-reporting\EC\2016-10-23-refined-times.txt</v>
      </c>
      <c r="AI8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{"issue":{"subject":"","project_id":79,"tracker_id":40,"status_id":1,"priority_id":2,"assigned_to_id":23,"start_date":"2016-10-23","description":"","custom_fields":[{"id":1,"name":"Subdivision","value":"EC"},{"id":4,"name":"Milepost","value":"0.0198"},{"id":17,"name":"Train ID","value":"168-23"},{"id":16,"name":"Locomotive ID","value":"4026"},{"id":130,"name":"Impact","value":""},{"id":150,"name":"Time of Event (Mountain Time)","value":"13:37:43"},{"id":151,"name":"Denver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512</v>
      </c>
      <c r="B81" s="7">
        <v>4027</v>
      </c>
      <c r="C81" s="22" t="s">
        <v>99</v>
      </c>
      <c r="D81" s="22" t="s">
        <v>392</v>
      </c>
      <c r="E81" s="13">
        <v>42666.508020833331</v>
      </c>
      <c r="F81" s="13">
        <v>42666.51059027778</v>
      </c>
      <c r="G81" s="7">
        <v>1</v>
      </c>
      <c r="H81" s="13" t="s">
        <v>367</v>
      </c>
      <c r="I81" s="13">
        <v>42666.536261574074</v>
      </c>
      <c r="J81" s="7">
        <v>0</v>
      </c>
      <c r="K81" s="112" t="str">
        <f t="shared" si="34"/>
        <v>4027/4028</v>
      </c>
      <c r="L81" s="22" t="str">
        <f>VLOOKUP(A81,'Trips&amp;Operators'!$C$1:$E$10000,3,FALSE)</f>
        <v>CLARK</v>
      </c>
      <c r="M81" s="6">
        <f t="shared" si="35"/>
        <v>2.5671296294603962E-2</v>
      </c>
      <c r="N81" s="7">
        <f t="shared" si="36"/>
        <v>36.966666664229706</v>
      </c>
      <c r="O81" s="7"/>
      <c r="P81" s="7"/>
      <c r="Q81" s="23"/>
      <c r="R81" s="23"/>
      <c r="S81" s="35">
        <f t="shared" si="37"/>
        <v>1</v>
      </c>
      <c r="T81" s="50" t="str">
        <f t="shared" si="38"/>
        <v>NorthBound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11:11:33-0600',mode:absolute,to:'2016-10-23 13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1" s="52" t="str">
        <f t="shared" si="40"/>
        <v>N</v>
      </c>
      <c r="X81" s="171">
        <f t="shared" si="41"/>
        <v>1</v>
      </c>
      <c r="Y81" s="67">
        <f t="shared" si="42"/>
        <v>4.5699999999999998E-2</v>
      </c>
      <c r="Z81" s="67">
        <f t="shared" si="43"/>
        <v>23.3306</v>
      </c>
      <c r="AA81" s="67">
        <f t="shared" si="44"/>
        <v>23.2849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5"/>
        <v>0169-23</v>
      </c>
      <c r="AE81" s="91" t="str">
        <f t="shared" si="46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81" s="88" t="str">
        <f t="shared" si="47"/>
        <v>"C:\Program Files (x86)\AstroGrep\AstroGrep.exe" /spath="%USERPROFILE%\AppData\Local\Temp\OnboardLogs" /stypes="app*4027*20161023*" /stext=" 18:.+((SYSTEM_STATE.+slice.+state.+changed )|(ment ac)|(system.+state.+changed )|(\[timeout)|(PRM\|1\|D)|(kpr)|(kdp)|(\|lc)|(penalty))" /e /r /s</v>
      </c>
      <c r="AG81" s="1" t="str">
        <f t="shared" si="48"/>
        <v>EC</v>
      </c>
      <c r="AH81" s="92" t="str">
        <f t="shared" si="65"/>
        <v>"%USERPROFILE%\Documents\GitHub\eaglep3\Utilities\RefineRTDCRunTimes.py" --tripid 169-23 --locoid 4027 --swversion DE.1.0.7.0 --startMP 204:457 --initTime 2016-10-23T12:11:33 --startdatetime 2016-10-23T12:15:15 --delay 1 --endMP 204:233306 --enddatetime 2016-10-23T12:52:13 --enforcementcount 0 &gt;&gt;C:\Users\stu\Documents\GitHub\eaglep3-reporting\EC\2016-10-23-refined-times.txt</v>
      </c>
      <c r="AI8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{"issue":{"subject":"","project_id":79,"tracker_id":40,"status_id":1,"priority_id":2,"assigned_to_id":23,"start_date":"2016-10-23","description":"","custom_fields":[{"id":1,"name":"Subdivision","value":"EC"},{"id":4,"name":"Milepost","value":"23.3306"},{"id":17,"name":"Train ID","value":"169-23"},{"id":16,"name":"Locomotive ID","value":"4027"},{"id":130,"name":"Impact","value":""},{"id":150,"name":"Time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520</v>
      </c>
      <c r="B82" s="7">
        <v>4028</v>
      </c>
      <c r="C82" s="22" t="s">
        <v>99</v>
      </c>
      <c r="D82" s="22" t="s">
        <v>256</v>
      </c>
      <c r="E82" s="13">
        <v>42666.544421296298</v>
      </c>
      <c r="F82" s="13">
        <v>42666.545416666668</v>
      </c>
      <c r="G82" s="7">
        <v>1</v>
      </c>
      <c r="H82" s="13" t="s">
        <v>645</v>
      </c>
      <c r="I82" s="13">
        <v>42666.565613425926</v>
      </c>
      <c r="J82" s="7">
        <v>0</v>
      </c>
      <c r="K82" s="112" t="str">
        <f t="shared" si="34"/>
        <v>4027/4028</v>
      </c>
      <c r="L82" s="22" t="str">
        <f>VLOOKUP(A82,'Trips&amp;Operators'!$C$1:$E$10000,3,FALSE)</f>
        <v>CLARK</v>
      </c>
      <c r="M82" s="6">
        <f t="shared" si="35"/>
        <v>2.0196759258396924E-2</v>
      </c>
      <c r="N82" s="7"/>
      <c r="O82" s="7"/>
      <c r="P82" s="7">
        <f>24*60*SUM($M82:$M83)</f>
        <v>50.283333332045004</v>
      </c>
      <c r="Q82" s="23"/>
      <c r="R82" s="23" t="s">
        <v>762</v>
      </c>
      <c r="S82" s="35">
        <f>SUM(U82:U83)/IF(AG82="EC",12,1)</f>
        <v>1</v>
      </c>
      <c r="T82" s="50" t="str">
        <f t="shared" si="38"/>
        <v>Southbound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12:03:58-0600',mode:absolute,to:'2016-10-23 14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2" s="52" t="str">
        <f t="shared" si="40"/>
        <v>Y</v>
      </c>
      <c r="X82" s="171">
        <f t="shared" si="41"/>
        <v>1</v>
      </c>
      <c r="Y82" s="67">
        <f t="shared" si="42"/>
        <v>23.299399999999999</v>
      </c>
      <c r="Z82" s="67">
        <f t="shared" si="43"/>
        <v>8.6349</v>
      </c>
      <c r="AA82" s="67">
        <f t="shared" si="44"/>
        <v>14.664499999999999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5"/>
        <v>0170-23</v>
      </c>
      <c r="AE82" s="91" t="str">
        <f t="shared" si="46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82" s="88" t="str">
        <f t="shared" si="47"/>
        <v>"C:\Program Files (x86)\AstroGrep\AstroGrep.exe" /spath="%USERPROFILE%\AppData\Local\Temp\OnboardLogs" /stypes="app*4028*20161023*" /stext=" 19:.+((SYSTEM_STATE.+slice.+state.+changed )|(ment ac)|(system.+state.+changed )|(\[timeout)|(PRM\|1\|D)|(kpr)|(kdp)|(\|lc)|(penalty))" /e /r /s</v>
      </c>
      <c r="AG82" s="1" t="str">
        <f t="shared" si="48"/>
        <v>EC</v>
      </c>
      <c r="AH82" s="92" t="str">
        <f t="shared" si="65"/>
        <v>"%USERPROFILE%\Documents\GitHub\eaglep3\Utilities\RefineRTDCRunTimes.py" --tripid 170-23 --locoid 4028 --swversion DE.1.0.7.0 --startMP 204:232994 --initTime 2016-10-23T13:03:58 --startdatetime 2016-10-23T13:05:24 --delay 1 --endMP 204:86349 --enddatetime 2016-10-23T13:34:29 --enforcementcount 0 &gt;&gt;C:\Users\stu\Documents\GitHub\eaglep3-reporting\EC\2016-10-23-refined-times.txt</v>
      </c>
      <c r="AI82" s="122" t="str">
        <f t="shared" si="66"/>
        <v>echo {"issue":{"subject":"Onboard in-route failure","project_id":79,"tracker_id":40,"status_id":1,"priority_id":2,"assigned_to_id":23,"start_date":"2016-10-23","description":"Slice failure at 13:34:45","custom_fields":[{"id":1,"name":"Subdivision","value":"EC"},{"id":4,"name":"Milepost","value":"8.6349"},{"id":17,"name":"Train ID","value":"170-23"},{"id":16,"name":"Locomotive ID","value":"4028"},{"id":130,"name":"Impact","value":"Failed State"},{"id":150,"name":"Time of Event (Mountain Time)","value":"13:34:29"},{"id":151,"name":"Denver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82" s="53" t="s">
        <v>765</v>
      </c>
      <c r="AK82" s="53" t="s">
        <v>129</v>
      </c>
      <c r="AL82" s="53" t="s">
        <v>179</v>
      </c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520</v>
      </c>
      <c r="B83" s="7">
        <v>4028</v>
      </c>
      <c r="C83" s="22" t="s">
        <v>99</v>
      </c>
      <c r="D83" s="22" t="s">
        <v>646</v>
      </c>
      <c r="E83" s="13">
        <v>42666.567939814813</v>
      </c>
      <c r="F83" s="13">
        <v>42666.568888888891</v>
      </c>
      <c r="G83" s="7">
        <v>1</v>
      </c>
      <c r="H83" s="13" t="s">
        <v>387</v>
      </c>
      <c r="I83" s="13">
        <v>42666.583611111113</v>
      </c>
      <c r="J83" s="7">
        <v>0</v>
      </c>
      <c r="K83" s="112" t="str">
        <f t="shared" si="34"/>
        <v>4027/4028</v>
      </c>
      <c r="L83" s="22" t="str">
        <f>VLOOKUP(A83,'Trips&amp;Operators'!$C$1:$E$10000,3,FALSE)</f>
        <v>CLARK</v>
      </c>
      <c r="M83" s="6">
        <f t="shared" si="35"/>
        <v>1.4722222222189885E-2</v>
      </c>
      <c r="N83" s="7"/>
      <c r="O83" s="7"/>
      <c r="P83" s="7"/>
      <c r="Q83" s="23"/>
      <c r="R83" s="23"/>
      <c r="S83" s="35"/>
      <c r="T83" s="50" t="str">
        <f t="shared" si="38"/>
        <v>Southbound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10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12:37:50-0600',mode:absolute,to:'2016-10-23 15:00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3" s="52" t="str">
        <f t="shared" si="40"/>
        <v>Y</v>
      </c>
      <c r="X83" s="171">
        <f t="shared" si="41"/>
        <v>0</v>
      </c>
      <c r="Y83" s="67">
        <f t="shared" si="42"/>
        <v>8.5218000000000007</v>
      </c>
      <c r="Z83" s="67">
        <f t="shared" si="43"/>
        <v>1.6500000000000001E-2</v>
      </c>
      <c r="AA83" s="67">
        <f t="shared" si="44"/>
        <v>8.5053000000000001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5"/>
        <v>0170-23</v>
      </c>
      <c r="AE83" s="91" t="str">
        <f t="shared" si="46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83" s="88" t="str">
        <f t="shared" si="47"/>
        <v>"C:\Program Files (x86)\AstroGrep\AstroGrep.exe" /spath="%USERPROFILE%\AppData\Local\Temp\OnboardLogs" /stypes="app*4028*20161023*" /stext=" 20:.+((SYSTEM_STATE.+slice.+state.+changed )|(ment ac)|(system.+state.+changed )|(\[timeout)|(PRM\|1\|D)|(kpr)|(kdp)|(\|lc)|(penalty))" /e /r /s</v>
      </c>
      <c r="AG83" s="1" t="str">
        <f t="shared" si="48"/>
        <v>EC</v>
      </c>
      <c r="AH83" s="92" t="str">
        <f t="shared" si="65"/>
        <v>"%USERPROFILE%\Documents\GitHub\eaglep3\Utilities\RefineRTDCRunTimes.py" --tripid 170-23 --locoid 4028 --swversion DE.1.0.7.0 --startMP 204:85218 --initTime 2016-10-23T13:37:50 --startdatetime 2016-10-23T13:39:12 --delay 1 --endMP 204:165 --enddatetime 2016-10-23T14:00:24 --enforcementcount 0 &gt;&gt;C:\Users\stu\Documents\GitHub\eaglep3-reporting\EC\2016-10-23-refined-times.txt</v>
      </c>
      <c r="AI8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{"issue":{"subject":"","project_id":79,"tracker_id":40,"status_id":1,"priority_id":2,"assigned_to_id":23,"start_date":"2016-10-23","description":"","custom_fields":[{"id":1,"name":"Subdivision","value":"EC"},{"id":4,"name":"Milepost","value":"0.0165"},{"id":17,"name":"Train ID","value":"170-23"},{"id":16,"name":"Locomotive ID","value":"4028"},{"id":130,"name":"Impact","value":""},{"id":150,"name":"Time of Event (Mountain Time)","value":"14:00:24"},{"id":151,"name":"Denver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515</v>
      </c>
      <c r="B84" s="7">
        <v>4018</v>
      </c>
      <c r="C84" s="22" t="s">
        <v>99</v>
      </c>
      <c r="D84" s="22" t="s">
        <v>226</v>
      </c>
      <c r="E84" s="13">
        <v>42666.514513888891</v>
      </c>
      <c r="F84" s="13">
        <v>42666.521087962959</v>
      </c>
      <c r="G84" s="7">
        <v>1</v>
      </c>
      <c r="H84" s="13" t="s">
        <v>647</v>
      </c>
      <c r="I84" s="13">
        <v>42666.5471412037</v>
      </c>
      <c r="J84" s="7">
        <v>0</v>
      </c>
      <c r="K84" s="112" t="str">
        <f t="shared" si="34"/>
        <v>4017/4018</v>
      </c>
      <c r="L84" s="22" t="str">
        <f>VLOOKUP(A84,'Trips&amp;Operators'!$C$1:$E$10000,3,FALSE)</f>
        <v>SHOOK</v>
      </c>
      <c r="M84" s="6">
        <f t="shared" si="35"/>
        <v>2.6053240741021E-2</v>
      </c>
      <c r="N84" s="7">
        <f t="shared" si="36"/>
        <v>37.51666666707024</v>
      </c>
      <c r="O84" s="7"/>
      <c r="P84" s="7"/>
      <c r="Q84" s="23"/>
      <c r="R84" s="23"/>
      <c r="S84" s="35">
        <f t="shared" si="37"/>
        <v>1</v>
      </c>
      <c r="T84" s="50" t="str">
        <f t="shared" si="38"/>
        <v>NorthBound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11:20:54-0600',mode:absolute,to:'2016-10-23 14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4" s="52" t="str">
        <f t="shared" si="40"/>
        <v>N</v>
      </c>
      <c r="X84" s="171">
        <f t="shared" si="41"/>
        <v>1</v>
      </c>
      <c r="Y84" s="67">
        <f t="shared" si="42"/>
        <v>4.4699999999999997E-2</v>
      </c>
      <c r="Z84" s="67">
        <f t="shared" si="43"/>
        <v>23.336400000000001</v>
      </c>
      <c r="AA84" s="67">
        <f t="shared" si="44"/>
        <v>23.291700000000002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5"/>
        <v>0171-23</v>
      </c>
      <c r="AE84" s="91" t="str">
        <f t="shared" si="46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84" s="88" t="str">
        <f t="shared" si="47"/>
        <v>"C:\Program Files (x86)\AstroGrep\AstroGrep.exe" /spath="%USERPROFILE%\AppData\Local\Temp\OnboardLogs" /stypes="app*4018*20161023*" /stext=" 19:.+((SYSTEM_STATE.+slice.+state.+changed )|(ment ac)|(system.+state.+changed )|(\[timeout)|(PRM\|1\|D)|(kpr)|(kdp)|(\|lc)|(penalty))" /e /r /s</v>
      </c>
      <c r="AG84" s="1" t="str">
        <f t="shared" si="48"/>
        <v>EC</v>
      </c>
      <c r="AH84" s="92" t="str">
        <f t="shared" si="65"/>
        <v>"%USERPROFILE%\Documents\GitHub\eaglep3\Utilities\RefineRTDCRunTimes.py" --tripid 171-23 --locoid 4018 --swversion DE.1.0.7.0 --startMP 204:447 --initTime 2016-10-23T12:20:54 --startdatetime 2016-10-23T12:30:22 --delay 1 --endMP 204:233364 --enddatetime 2016-10-23T13:07:53 --enforcementcount 0 &gt;&gt;C:\Users\stu\Documents\GitHub\eaglep3-reporting\EC\2016-10-23-refined-times.txt</v>
      </c>
      <c r="AI8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{"issue":{"subject":"","project_id":79,"tracker_id":40,"status_id":1,"priority_id":2,"assigned_to_id":23,"start_date":"2016-10-23","description":"","custom_fields":[{"id":1,"name":"Subdivision","value":"EC"},{"id":4,"name":"Milepost","value":"23.3364"},{"id":17,"name":"Train ID","value":"171-23"},{"id":16,"name":"Locomotive ID","value":"4018"},{"id":130,"name":"Impact","value":""},{"id":150,"name":"Time of Event (Mountain Time)","value":"13:07:53"},{"id":151,"name":"Denver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523</v>
      </c>
      <c r="B85" s="7">
        <v>4017</v>
      </c>
      <c r="C85" s="22" t="s">
        <v>99</v>
      </c>
      <c r="D85" s="22" t="s">
        <v>648</v>
      </c>
      <c r="E85" s="13">
        <v>42666.555983796294</v>
      </c>
      <c r="F85" s="13">
        <v>42666.559942129628</v>
      </c>
      <c r="G85" s="7">
        <v>1</v>
      </c>
      <c r="H85" s="13" t="s">
        <v>231</v>
      </c>
      <c r="I85" s="13">
        <v>42666.58666666667</v>
      </c>
      <c r="J85" s="7">
        <v>0</v>
      </c>
      <c r="K85" s="112" t="str">
        <f t="shared" si="34"/>
        <v>4017/4018</v>
      </c>
      <c r="L85" s="22" t="str">
        <f>VLOOKUP(A85,'Trips&amp;Operators'!$C$1:$E$10000,3,FALSE)</f>
        <v>SHOOK</v>
      </c>
      <c r="M85" s="6">
        <f t="shared" si="35"/>
        <v>2.6724537041445728E-2</v>
      </c>
      <c r="N85" s="7">
        <f t="shared" si="36"/>
        <v>38.483333339681849</v>
      </c>
      <c r="O85" s="7"/>
      <c r="P85" s="7"/>
      <c r="Q85" s="23"/>
      <c r="R85" s="23"/>
      <c r="S85" s="35">
        <f t="shared" si="37"/>
        <v>1</v>
      </c>
      <c r="T85" s="50" t="str">
        <f t="shared" si="38"/>
        <v>Southbound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12:20:37-0600',mode:absolute,to:'2016-10-23 15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5" s="52" t="str">
        <f t="shared" si="40"/>
        <v>N</v>
      </c>
      <c r="X85" s="171">
        <f t="shared" si="41"/>
        <v>1</v>
      </c>
      <c r="Y85" s="67">
        <f t="shared" si="42"/>
        <v>23.304600000000001</v>
      </c>
      <c r="Z85" s="67">
        <f t="shared" si="43"/>
        <v>1.34E-2</v>
      </c>
      <c r="AA85" s="67">
        <f t="shared" si="44"/>
        <v>23.2912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5"/>
        <v>0172-23</v>
      </c>
      <c r="AE85" s="91" t="str">
        <f t="shared" si="46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85" s="88" t="str">
        <f t="shared" si="47"/>
        <v>"C:\Program Files (x86)\AstroGrep\AstroGrep.exe" /spath="%USERPROFILE%\AppData\Local\Temp\OnboardLogs" /stypes="app*4017*20161023*" /stext=" 20:.+((SYSTEM_STATE.+slice.+state.+changed )|(ment ac)|(system.+state.+changed )|(\[timeout)|(PRM\|1\|D)|(kpr)|(kdp)|(\|lc)|(penalty))" /e /r /s</v>
      </c>
      <c r="AG85" s="1" t="str">
        <f t="shared" si="48"/>
        <v>EC</v>
      </c>
      <c r="AH85" s="92" t="str">
        <f t="shared" si="65"/>
        <v>"%USERPROFILE%\Documents\GitHub\eaglep3\Utilities\RefineRTDCRunTimes.py" --tripid 172-23 --locoid 4017 --swversion DE.1.0.7.0 --startMP 204:233046 --initTime 2016-10-23T13:20:37 --startdatetime 2016-10-23T13:26:19 --delay 1 --endMP 204:134 --enddatetime 2016-10-23T14:04:48 --enforcementcount 0 &gt;&gt;C:\Users\stu\Documents\GitHub\eaglep3-reporting\EC\2016-10-23-refined-times.txt</v>
      </c>
      <c r="AI8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{"issue":{"subject":"","project_id":79,"tracker_id":40,"status_id":1,"priority_id":2,"assigned_to_id":23,"start_date":"2016-10-23","description":"","custom_fields":[{"id":1,"name":"Subdivision","value":"EC"},{"id":4,"name":"Milepost","value":"0.0134"},{"id":17,"name":"Train ID","value":"172-23"},{"id":16,"name":"Locomotive ID","value":"4017"},{"id":130,"name":"Impact","value":""},{"id":150,"name":"Time of Event (Mountain Time)","value":"14:04:48"},{"id":151,"name":"Denver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517</v>
      </c>
      <c r="B86" s="7">
        <v>4009</v>
      </c>
      <c r="C86" s="22" t="s">
        <v>99</v>
      </c>
      <c r="D86" s="22" t="s">
        <v>275</v>
      </c>
      <c r="E86" s="13">
        <v>42666.52721064815</v>
      </c>
      <c r="F86" s="13">
        <v>42666.531655092593</v>
      </c>
      <c r="G86" s="7">
        <v>2</v>
      </c>
      <c r="H86" s="13" t="s">
        <v>269</v>
      </c>
      <c r="I86" s="13">
        <v>42666.557037037041</v>
      </c>
      <c r="J86" s="7">
        <v>0</v>
      </c>
      <c r="K86" s="112" t="str">
        <f t="shared" si="34"/>
        <v>4009/4010</v>
      </c>
      <c r="L86" s="22" t="str">
        <f>VLOOKUP(A86,'Trips&amp;Operators'!$C$1:$E$10000,3,FALSE)</f>
        <v>STEWART</v>
      </c>
      <c r="M86" s="6">
        <f t="shared" si="35"/>
        <v>2.5381944447872229E-2</v>
      </c>
      <c r="N86" s="7">
        <f t="shared" si="36"/>
        <v>36.55000000493601</v>
      </c>
      <c r="O86" s="7"/>
      <c r="P86" s="7"/>
      <c r="Q86" s="23"/>
      <c r="R86" s="23"/>
      <c r="S86" s="35">
        <f t="shared" si="37"/>
        <v>1</v>
      </c>
      <c r="T86" s="50" t="str">
        <f t="shared" si="38"/>
        <v>NorthBound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11:39:11-0600',mode:absolute,to:'2016-10-23 14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6" s="52" t="str">
        <f t="shared" si="40"/>
        <v>N</v>
      </c>
      <c r="X86" s="171">
        <f t="shared" si="41"/>
        <v>1</v>
      </c>
      <c r="Y86" s="67">
        <f t="shared" si="42"/>
        <v>4.4900000000000002E-2</v>
      </c>
      <c r="Z86" s="67">
        <f t="shared" si="43"/>
        <v>23.330400000000001</v>
      </c>
      <c r="AA86" s="67">
        <f t="shared" si="44"/>
        <v>23.285500000000003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5"/>
        <v>0173-23</v>
      </c>
      <c r="AE86" s="91" t="str">
        <f t="shared" si="46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86" s="88" t="str">
        <f t="shared" si="47"/>
        <v>"C:\Program Files (x86)\AstroGrep\AstroGrep.exe" /spath="%USERPROFILE%\AppData\Local\Temp\OnboardLogs" /stypes="app*4009*20161023*" /stext=" 19:.+((SYSTEM_STATE.+slice.+state.+changed )|(ment ac)|(system.+state.+changed )|(\[timeout)|(PRM\|1\|D)|(kpr)|(kdp)|(\|lc)|(penalty))" /e /r /s</v>
      </c>
      <c r="AG86" s="1" t="str">
        <f t="shared" si="48"/>
        <v>EC</v>
      </c>
      <c r="AH86" s="92" t="str">
        <f t="shared" si="65"/>
        <v>"%USERPROFILE%\Documents\GitHub\eaglep3\Utilities\RefineRTDCRunTimes.py" --tripid 173-23 --locoid 4009 --swversion DE.1.0.7.0 --startMP 204:449 --initTime 2016-10-23T12:39:11 --startdatetime 2016-10-23T12:45:35 --delay 2 --endMP 204:233304 --enddatetime 2016-10-23T13:22:08 --enforcementcount 0 &gt;&gt;C:\Users\stu\Documents\GitHub\eaglep3-reporting\EC\2016-10-23-refined-times.txt</v>
      </c>
      <c r="AI8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{"issue":{"subject":"","project_id":79,"tracker_id":40,"status_id":1,"priority_id":2,"assigned_to_id":23,"start_date":"2016-10-23","description":"","custom_fields":[{"id":1,"name":"Subdivision","value":"EC"},{"id":4,"name":"Milepost","value":"23.3304"},{"id":17,"name":"Train ID","value":"173-23"},{"id":16,"name":"Locomotive ID","value":"4009"},{"id":130,"name":"Impact","value":""},{"id":150,"name":"Time of Event (Mountain Time)","value":"13:22:08"},{"id":151,"name":"Denver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525</v>
      </c>
      <c r="B87" s="7">
        <v>4010</v>
      </c>
      <c r="C87" s="22" t="s">
        <v>99</v>
      </c>
      <c r="D87" s="22" t="s">
        <v>393</v>
      </c>
      <c r="E87" s="13">
        <v>42666.566400462965</v>
      </c>
      <c r="F87" s="13">
        <v>42666.570439814815</v>
      </c>
      <c r="G87" s="7">
        <v>1</v>
      </c>
      <c r="H87" s="13" t="s">
        <v>220</v>
      </c>
      <c r="I87" s="13">
        <v>42666.597372685188</v>
      </c>
      <c r="J87" s="7">
        <v>0</v>
      </c>
      <c r="K87" s="112" t="str">
        <f t="shared" si="34"/>
        <v>4009/4010</v>
      </c>
      <c r="L87" s="22" t="str">
        <f>VLOOKUP(A87,'Trips&amp;Operators'!$C$1:$E$10000,3,FALSE)</f>
        <v>STEWART</v>
      </c>
      <c r="M87" s="6">
        <f t="shared" si="35"/>
        <v>2.6932870372547768E-2</v>
      </c>
      <c r="N87" s="7">
        <f t="shared" si="36"/>
        <v>38.783333336468786</v>
      </c>
      <c r="O87" s="7"/>
      <c r="P87" s="7"/>
      <c r="Q87" s="23"/>
      <c r="R87" s="23"/>
      <c r="S87" s="35">
        <f t="shared" si="37"/>
        <v>1</v>
      </c>
      <c r="T87" s="50" t="str">
        <f t="shared" si="38"/>
        <v>Southbound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12:35:37-0600',mode:absolute,to:'2016-10-23 15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7" s="52" t="str">
        <f t="shared" si="40"/>
        <v>N</v>
      </c>
      <c r="X87" s="171">
        <f t="shared" si="41"/>
        <v>1</v>
      </c>
      <c r="Y87" s="67">
        <f t="shared" si="42"/>
        <v>23.2987</v>
      </c>
      <c r="Z87" s="67">
        <f t="shared" si="43"/>
        <v>1.4500000000000001E-2</v>
      </c>
      <c r="AA87" s="67">
        <f t="shared" si="44"/>
        <v>23.284199999999998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5"/>
        <v>0174-23</v>
      </c>
      <c r="AE87" s="91" t="str">
        <f t="shared" si="46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87" s="88" t="str">
        <f t="shared" si="47"/>
        <v>"C:\Program Files (x86)\AstroGrep\AstroGrep.exe" /spath="%USERPROFILE%\AppData\Local\Temp\OnboardLogs" /stypes="app*4010*20161023*" /stext=" 20:.+((SYSTEM_STATE.+slice.+state.+changed )|(ment ac)|(system.+state.+changed )|(\[timeout)|(PRM\|1\|D)|(kpr)|(kdp)|(\|lc)|(penalty))" /e /r /s</v>
      </c>
      <c r="AG87" s="1" t="str">
        <f t="shared" si="48"/>
        <v>EC</v>
      </c>
      <c r="AH87" s="92" t="str">
        <f t="shared" si="65"/>
        <v>"%USERPROFILE%\Documents\GitHub\eaglep3\Utilities\RefineRTDCRunTimes.py" --tripid 174-23 --locoid 4010 --swversion DE.1.0.7.0 --startMP 204:232987 --initTime 2016-10-23T13:35:37 --startdatetime 2016-10-23T13:41:26 --delay 1 --endMP 204:145 --enddatetime 2016-10-23T14:20:13 --enforcementcount 0 &gt;&gt;C:\Users\stu\Documents\GitHub\eaglep3-reporting\EC\2016-10-23-refined-times.txt</v>
      </c>
      <c r="AI8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ID","value":"174-23"},{"id":16,"name":"Locomotive ID","value":"4010"},{"id":130,"name":"Impact","value":""},{"id":150,"name":"Time of Event (Mountain Time)","value":"14:20:13"},{"id":151,"name":"Denver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519</v>
      </c>
      <c r="B88" s="7">
        <v>4040</v>
      </c>
      <c r="C88" s="22" t="s">
        <v>99</v>
      </c>
      <c r="D88" s="22" t="s">
        <v>229</v>
      </c>
      <c r="E88" s="13">
        <v>42666.536203703705</v>
      </c>
      <c r="F88" s="13">
        <v>42666.541921296295</v>
      </c>
      <c r="G88" s="7">
        <v>1</v>
      </c>
      <c r="H88" s="13" t="s">
        <v>649</v>
      </c>
      <c r="I88" s="13">
        <v>42666.567511574074</v>
      </c>
      <c r="J88" s="7">
        <v>0</v>
      </c>
      <c r="K88" s="112" t="str">
        <f t="shared" si="34"/>
        <v>4039/4040</v>
      </c>
      <c r="L88" s="22" t="str">
        <f>VLOOKUP(A88,'Trips&amp;Operators'!$C$1:$E$10000,3,FALSE)</f>
        <v>BARTLETT</v>
      </c>
      <c r="M88" s="6">
        <f t="shared" si="35"/>
        <v>2.5590277778974269E-2</v>
      </c>
      <c r="N88" s="7">
        <f t="shared" si="36"/>
        <v>36.850000001722947</v>
      </c>
      <c r="O88" s="7"/>
      <c r="P88" s="7"/>
      <c r="Q88" s="23"/>
      <c r="R88" s="23"/>
      <c r="S88" s="35">
        <f t="shared" si="37"/>
        <v>1</v>
      </c>
      <c r="T88" s="50" t="str">
        <f t="shared" si="38"/>
        <v>NorthBound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11:52:08-0600',mode:absolute,to:'2016-10-23 14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8" s="52" t="str">
        <f t="shared" si="40"/>
        <v>N</v>
      </c>
      <c r="X88" s="171">
        <f t="shared" si="41"/>
        <v>1</v>
      </c>
      <c r="Y88" s="67">
        <f t="shared" si="42"/>
        <v>4.6399999999999997E-2</v>
      </c>
      <c r="Z88" s="67">
        <f t="shared" si="43"/>
        <v>23.334299999999999</v>
      </c>
      <c r="AA88" s="67">
        <f t="shared" si="44"/>
        <v>23.2879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5"/>
        <v>0175-23</v>
      </c>
      <c r="AE88" s="91" t="str">
        <f t="shared" si="46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88" s="88" t="str">
        <f t="shared" si="47"/>
        <v>"C:\Program Files (x86)\AstroGrep\AstroGrep.exe" /spath="%USERPROFILE%\AppData\Local\Temp\OnboardLogs" /stypes="app*4040*20161023*" /stext=" 19:.+((SYSTEM_STATE.+slice.+state.+changed )|(ment ac)|(system.+state.+changed )|(\[timeout)|(PRM\|1\|D)|(kpr)|(kdp)|(\|lc)|(penalty))" /e /r /s</v>
      </c>
      <c r="AG88" s="1" t="str">
        <f t="shared" si="48"/>
        <v>EC</v>
      </c>
      <c r="AH88" s="92" t="str">
        <f t="shared" si="65"/>
        <v>"%USERPROFILE%\Documents\GitHub\eaglep3\Utilities\RefineRTDCRunTimes.py" --tripid 175-23 --locoid 4040 --swversion DE.1.0.7.0 --startMP 204:464 --initTime 2016-10-23T12:52:08 --startdatetime 2016-10-23T13:00:22 --delay 1 --endMP 204:233343 --enddatetime 2016-10-23T13:37:13 --enforcementcount 0 &gt;&gt;C:\Users\stu\Documents\GitHub\eaglep3-reporting\EC\2016-10-23-refined-times.txt</v>
      </c>
      <c r="AI8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{"issue":{"subject":"","project_id":79,"tracker_id":40,"status_id":1,"priority_id":2,"assigned_to_id":23,"start_date":"2016-10-23","description":"","custom_fields":[{"id":1,"name":"Subdivision","value":"EC"},{"id":4,"name":"Milepost","value":"23.3343"},{"id":17,"name":"Train ID","value":"175-23"},{"id":16,"name":"Locomotive ID","value":"4040"},{"id":130,"name":"Impact","value":""},{"id":150,"name":"Time of Event (Mountain Time)","value":"13:37:13"},{"id":151,"name":"Denver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423</v>
      </c>
      <c r="B89" s="7">
        <v>4039</v>
      </c>
      <c r="C89" s="22" t="s">
        <v>99</v>
      </c>
      <c r="D89" s="22" t="s">
        <v>401</v>
      </c>
      <c r="E89" s="13">
        <v>42666.570254629631</v>
      </c>
      <c r="F89" s="13">
        <v>42666.58084490741</v>
      </c>
      <c r="G89" s="7">
        <v>1</v>
      </c>
      <c r="H89" s="13" t="s">
        <v>650</v>
      </c>
      <c r="I89" s="13">
        <v>42666.607997685183</v>
      </c>
      <c r="J89" s="7">
        <v>0</v>
      </c>
      <c r="K89" s="112" t="str">
        <f t="shared" si="34"/>
        <v>4039/4040</v>
      </c>
      <c r="L89" s="22" t="str">
        <f>VLOOKUP(A89,'Trips&amp;Operators'!$C$1:$E$10000,3,FALSE)</f>
        <v>BARTLETT</v>
      </c>
      <c r="M89" s="6">
        <f t="shared" si="35"/>
        <v>2.7152777773153502E-2</v>
      </c>
      <c r="N89" s="7">
        <f t="shared" si="36"/>
        <v>39.099999993341044</v>
      </c>
      <c r="O89" s="7"/>
      <c r="P89" s="7"/>
      <c r="Q89" s="23"/>
      <c r="R89" s="23"/>
      <c r="S89" s="35">
        <f t="shared" si="37"/>
        <v>1</v>
      </c>
      <c r="T89" s="50" t="str">
        <f t="shared" si="38"/>
        <v>Southbound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12:41:10-0600',mode:absolute,to:'2016-10-23 15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9" s="52" t="str">
        <f t="shared" si="40"/>
        <v>N</v>
      </c>
      <c r="X89" s="171">
        <f t="shared" si="41"/>
        <v>1</v>
      </c>
      <c r="Y89" s="67">
        <f t="shared" si="42"/>
        <v>23.299199999999999</v>
      </c>
      <c r="Z89" s="67">
        <f t="shared" si="43"/>
        <v>2.4E-2</v>
      </c>
      <c r="AA89" s="67">
        <f t="shared" si="44"/>
        <v>23.275199999999998</v>
      </c>
      <c r="AB89" s="64" t="str">
        <f>VLOOKUP(A89,Enforcements!$C$7:$K$21,8,0)</f>
        <v>Form based authority (4)</v>
      </c>
      <c r="AC89" s="60" t="str">
        <f>VLOOKUP(A89,Enforcements!$C$7:$E$21,3,0)</f>
        <v>TRACK WARRANT AUTHORITY</v>
      </c>
      <c r="AD89" s="61" t="str">
        <f t="shared" si="45"/>
        <v>0176-23</v>
      </c>
      <c r="AE89" s="91" t="str">
        <f t="shared" si="46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89" s="88" t="str">
        <f t="shared" si="47"/>
        <v>"C:\Program Files (x86)\AstroGrep\AstroGrep.exe" /spath="%USERPROFILE%\AppData\Local\Temp\OnboardLogs" /stypes="app*4039*20161023*" /stext=" 20:.+((SYSTEM_STATE.+slice.+state.+changed )|(ment ac)|(system.+state.+changed )|(\[timeout)|(PRM\|1\|D)|(kpr)|(kdp)|(\|lc)|(penalty))" /e /r /s</v>
      </c>
      <c r="AG89" s="1" t="str">
        <f t="shared" si="48"/>
        <v>EC</v>
      </c>
      <c r="AH89" s="92" t="str">
        <f t="shared" si="65"/>
        <v>"%USERPROFILE%\Documents\GitHub\eaglep3\Utilities\RefineRTDCRunTimes.py" --tripid 176-23 --locoid 4039 --swversion DE.1.0.7.0 --startMP 204:232992 --initTime 2016-10-23T13:41:10 --startdatetime 2016-10-23T13:56:25 --delay 1 --endMP 204:240 --enddatetime 2016-10-23T14:35:31 --enforcementcount 0 &gt;&gt;C:\Users\stu\Documents\GitHub\eaglep3-reporting\EC\2016-10-23-refined-times.txt</v>
      </c>
      <c r="AI8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{"issue":{"subject":"","project_id":79,"tracker_id":40,"status_id":1,"priority_id":2,"assigned_to_id":23,"start_date":"2016-10-23","description":"","custom_fields":[{"id":1,"name":"Subdivision","value":"EC"},{"id":4,"name":"Milepost","value":"0.024"},{"id":17,"name":"Train ID","value":"176-23"},{"id":16,"name":"Locomotive ID","value":"4039"},{"id":130,"name":"Impact","value":""},{"id":150,"name":"Time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521</v>
      </c>
      <c r="B90" s="7">
        <v>4046</v>
      </c>
      <c r="C90" s="22" t="s">
        <v>99</v>
      </c>
      <c r="D90" s="22" t="s">
        <v>227</v>
      </c>
      <c r="E90" s="13">
        <v>42666.546435185184</v>
      </c>
      <c r="F90" s="13">
        <v>42666.552291666667</v>
      </c>
      <c r="G90" s="7">
        <v>1</v>
      </c>
      <c r="H90" s="13" t="s">
        <v>651</v>
      </c>
      <c r="I90" s="13">
        <v>42666.577118055553</v>
      </c>
      <c r="J90" s="7">
        <v>0</v>
      </c>
      <c r="K90" s="112" t="str">
        <f t="shared" si="34"/>
        <v>4045/4046</v>
      </c>
      <c r="L90" s="22" t="str">
        <f>VLOOKUP(A90,'Trips&amp;Operators'!$C$1:$E$10000,3,FALSE)</f>
        <v>BRUDER</v>
      </c>
      <c r="M90" s="6">
        <f t="shared" si="35"/>
        <v>2.4826388886140194E-2</v>
      </c>
      <c r="N90" s="7">
        <f t="shared" si="36"/>
        <v>35.749999996041879</v>
      </c>
      <c r="O90" s="7"/>
      <c r="P90" s="7"/>
      <c r="Q90" s="23"/>
      <c r="R90" s="23"/>
      <c r="S90" s="35">
        <f t="shared" si="37"/>
        <v>1</v>
      </c>
      <c r="T90" s="50" t="str">
        <f t="shared" si="38"/>
        <v>NorthBound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12:06:52-0600',mode:absolute,to:'2016-10-23 14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0" s="52" t="str">
        <f t="shared" si="40"/>
        <v>N</v>
      </c>
      <c r="X90" s="171">
        <f t="shared" si="41"/>
        <v>1</v>
      </c>
      <c r="Y90" s="67">
        <f t="shared" si="42"/>
        <v>4.53E-2</v>
      </c>
      <c r="Z90" s="67">
        <f t="shared" si="43"/>
        <v>23.331499999999998</v>
      </c>
      <c r="AA90" s="67">
        <f t="shared" si="44"/>
        <v>23.286199999999997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5"/>
        <v>0177-23</v>
      </c>
      <c r="AE90" s="91" t="str">
        <f t="shared" si="46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90" s="88" t="str">
        <f t="shared" si="47"/>
        <v>"C:\Program Files (x86)\AstroGrep\AstroGrep.exe" /spath="%USERPROFILE%\AppData\Local\Temp\OnboardLogs" /stypes="app*4046*20161023*" /stext=" 19:.+((SYSTEM_STATE.+slice.+state.+changed )|(ment ac)|(system.+state.+changed )|(\[timeout)|(PRM\|1\|D)|(kpr)|(kdp)|(\|lc)|(penalty))" /e /r /s</v>
      </c>
      <c r="AG90" s="1" t="str">
        <f t="shared" si="48"/>
        <v>EC</v>
      </c>
      <c r="AH90" s="92" t="str">
        <f t="shared" si="65"/>
        <v>"%USERPROFILE%\Documents\GitHub\eaglep3\Utilities\RefineRTDCRunTimes.py" --tripid 177-23 --locoid 4046 --swversion DE.1.0.7.0 --startMP 204:453 --initTime 2016-10-23T13:06:52 --startdatetime 2016-10-23T13:15:18 --delay 1 --endMP 204:233315 --enddatetime 2016-10-23T13:51:03 --enforcementcount 0 &gt;&gt;C:\Users\stu\Documents\GitHub\eaglep3-reporting\EC\2016-10-23-refined-times.txt</v>
      </c>
      <c r="AI9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{"issue":{"subject":"","project_id":79,"tracker_id":40,"status_id":1,"priority_id":2,"assigned_to_id":23,"start_date":"2016-10-23","description":"","custom_fields":[{"id":1,"name":"Subdivision","value":"EC"},{"id":4,"name":"Milepost","value":"23.3315"},{"id":17,"name":"Train ID","value":"177-23"},{"id":16,"name":"Locomotive ID","value":"4046"},{"id":130,"name":"Impact","value":""},{"id":150,"name":"Time of Event (Mountain Time)","value":"13:51:03"},{"id":151,"name":"Denver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528</v>
      </c>
      <c r="B91" s="7">
        <v>4045</v>
      </c>
      <c r="C91" s="22" t="s">
        <v>99</v>
      </c>
      <c r="D91" s="22" t="s">
        <v>636</v>
      </c>
      <c r="E91" s="13">
        <v>42666.584074074075</v>
      </c>
      <c r="F91" s="13">
        <v>42666.591319444444</v>
      </c>
      <c r="G91" s="7">
        <v>1</v>
      </c>
      <c r="H91" s="13" t="s">
        <v>222</v>
      </c>
      <c r="I91" s="13">
        <v>42666.618611111109</v>
      </c>
      <c r="J91" s="7">
        <v>0</v>
      </c>
      <c r="K91" s="112" t="str">
        <f t="shared" si="34"/>
        <v>4045/4046</v>
      </c>
      <c r="L91" s="22" t="str">
        <f>VLOOKUP(A91,'Trips&amp;Operators'!$C$1:$E$10000,3,FALSE)</f>
        <v>BRUDER</v>
      </c>
      <c r="M91" s="6">
        <f t="shared" si="35"/>
        <v>2.7291666665405501E-2</v>
      </c>
      <c r="N91" s="7">
        <f t="shared" si="36"/>
        <v>39.299999998183921</v>
      </c>
      <c r="O91" s="7"/>
      <c r="P91" s="7"/>
      <c r="Q91" s="23"/>
      <c r="R91" s="23"/>
      <c r="S91" s="35">
        <f t="shared" si="37"/>
        <v>1</v>
      </c>
      <c r="T91" s="50" t="str">
        <f t="shared" si="38"/>
        <v>Southbound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13:01:04-0600',mode:absolute,to:'2016-10-23 15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1" s="52" t="str">
        <f t="shared" si="40"/>
        <v>N</v>
      </c>
      <c r="X91" s="171">
        <f t="shared" si="41"/>
        <v>1</v>
      </c>
      <c r="Y91" s="67">
        <f t="shared" si="42"/>
        <v>23.299800000000001</v>
      </c>
      <c r="Z91" s="67">
        <f t="shared" si="43"/>
        <v>1.49E-2</v>
      </c>
      <c r="AA91" s="67">
        <f t="shared" si="44"/>
        <v>23.2849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5"/>
        <v>0178-23</v>
      </c>
      <c r="AE91" s="91" t="str">
        <f t="shared" si="46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91" s="88" t="str">
        <f t="shared" si="47"/>
        <v>"C:\Program Files (x86)\AstroGrep\AstroGrep.exe" /spath="%USERPROFILE%\AppData\Local\Temp\OnboardLogs" /stypes="app*4045*20161023*" /stext=" 20:.+((SYSTEM_STATE.+slice.+state.+changed )|(ment ac)|(system.+state.+changed )|(\[timeout)|(PRM\|1\|D)|(kpr)|(kdp)|(\|lc)|(penalty))" /e /r /s</v>
      </c>
      <c r="AG91" s="1" t="str">
        <f t="shared" si="48"/>
        <v>EC</v>
      </c>
      <c r="AH91" s="92" t="str">
        <f t="shared" si="65"/>
        <v>"%USERPROFILE%\Documents\GitHub\eaglep3\Utilities\RefineRTDCRunTimes.py" --tripid 178-23 --locoid 4045 --swversion DE.1.0.7.0 --startMP 204:232998 --initTime 2016-10-23T14:01:04 --startdatetime 2016-10-23T14:11:30 --delay 1 --endMP 204:149 --enddatetime 2016-10-23T14:50:48 --enforcementcount 0 &gt;&gt;C:\Users\stu\Documents\GitHub\eaglep3-reporting\EC\2016-10-23-refined-times.txt</v>
      </c>
      <c r="AI9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ID","value":"178-23"},{"id":16,"name":"Locomotive ID","value":"4045"},{"id":130,"name":"Impact","value":""},{"id":150,"name":"Time of Event (Mountain Time)","value":"14:50:48"},{"id":151,"name":"Denver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524</v>
      </c>
      <c r="B92" s="7">
        <v>4016</v>
      </c>
      <c r="C92" s="22" t="s">
        <v>99</v>
      </c>
      <c r="D92" s="22" t="s">
        <v>652</v>
      </c>
      <c r="E92" s="13">
        <v>42666.561944444446</v>
      </c>
      <c r="F92" s="13">
        <v>42666.563807870371</v>
      </c>
      <c r="G92" s="7">
        <v>1</v>
      </c>
      <c r="H92" s="13" t="s">
        <v>320</v>
      </c>
      <c r="I92" s="13">
        <v>42666.589317129627</v>
      </c>
      <c r="J92" s="7">
        <v>0</v>
      </c>
      <c r="K92" s="112" t="str">
        <f t="shared" si="34"/>
        <v>4015/4016</v>
      </c>
      <c r="L92" s="22" t="str">
        <f>VLOOKUP(A92,'Trips&amp;Operators'!$C$1:$E$10000,3,FALSE)</f>
        <v>MOSES</v>
      </c>
      <c r="M92" s="6">
        <f t="shared" si="35"/>
        <v>2.5509259256068617E-2</v>
      </c>
      <c r="N92" s="7">
        <f t="shared" si="36"/>
        <v>36.733333328738809</v>
      </c>
      <c r="O92" s="7"/>
      <c r="P92" s="7"/>
      <c r="Q92" s="23"/>
      <c r="R92" s="23"/>
      <c r="S92" s="35">
        <f t="shared" si="37"/>
        <v>1</v>
      </c>
      <c r="T92" s="50" t="str">
        <f t="shared" si="38"/>
        <v>NorthBound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12:29:12-0600',mode:absolute,to:'2016-10-23 15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2" s="52" t="str">
        <f t="shared" si="40"/>
        <v>N</v>
      </c>
      <c r="X92" s="171">
        <f t="shared" si="41"/>
        <v>1</v>
      </c>
      <c r="Y92" s="67">
        <f t="shared" si="42"/>
        <v>5.2400000000000002E-2</v>
      </c>
      <c r="Z92" s="67">
        <f t="shared" si="43"/>
        <v>23.3309</v>
      </c>
      <c r="AA92" s="67">
        <f t="shared" si="44"/>
        <v>23.278500000000001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5"/>
        <v>0179-23</v>
      </c>
      <c r="AE92" s="91" t="str">
        <f t="shared" si="46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92" s="88" t="str">
        <f t="shared" si="47"/>
        <v>"C:\Program Files (x86)\AstroGrep\AstroGrep.exe" /spath="%USERPROFILE%\AppData\Local\Temp\OnboardLogs" /stypes="app*4016*20161023*" /stext=" 20:.+((SYSTEM_STATE.+slice.+state.+changed )|(ment ac)|(system.+state.+changed )|(\[timeout)|(PRM\|1\|D)|(kpr)|(kdp)|(\|lc)|(penalty))" /e /r /s</v>
      </c>
      <c r="AG92" s="1" t="str">
        <f t="shared" si="48"/>
        <v>EC</v>
      </c>
      <c r="AH92" s="92" t="str">
        <f t="shared" si="65"/>
        <v>"%USERPROFILE%\Documents\GitHub\eaglep3\Utilities\RefineRTDCRunTimes.py" --tripid 179-23 --locoid 4016 --swversion DE.1.0.7.0 --startMP 204:524 --initTime 2016-10-23T13:29:12 --startdatetime 2016-10-23T13:31:53 --delay 1 --endMP 204:233309 --enddatetime 2016-10-23T14:08:37 --enforcementcount 0 &gt;&gt;C:\Users\stu\Documents\GitHub\eaglep3-reporting\EC\2016-10-23-refined-times.txt</v>
      </c>
      <c r="AI9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{"issue":{"subject":"","project_id":79,"tracker_id":40,"status_id":1,"priority_id":2,"assigned_to_id":23,"start_date":"2016-10-23","description":"","custom_fields":[{"id":1,"name":"Subdivision","value":"EC"},{"id":4,"name":"Milepost","value":"23.3309"},{"id":17,"name":"Train ID","value":"179-23"},{"id":16,"name":"Locomotive ID","value":"4016"},{"id":130,"name":"Impact","value":""},{"id":150,"name":"Time of Event (Mountain Time)","value":"14:08:37"},{"id":151,"name":"Denver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531</v>
      </c>
      <c r="B93" s="7">
        <v>4015</v>
      </c>
      <c r="C93" s="22" t="s">
        <v>99</v>
      </c>
      <c r="D93" s="22" t="s">
        <v>635</v>
      </c>
      <c r="E93" s="13">
        <v>42666.597974537035</v>
      </c>
      <c r="F93" s="13">
        <v>42666.601550925923</v>
      </c>
      <c r="G93" s="7">
        <v>1</v>
      </c>
      <c r="H93" s="13" t="s">
        <v>182</v>
      </c>
      <c r="I93" s="13">
        <v>42666.629884259259</v>
      </c>
      <c r="J93" s="7">
        <v>0</v>
      </c>
      <c r="K93" s="112" t="str">
        <f t="shared" si="34"/>
        <v>4015/4016</v>
      </c>
      <c r="L93" s="22" t="str">
        <f>VLOOKUP(A93,'Trips&amp;Operators'!$C$1:$E$10000,3,FALSE)</f>
        <v>MOSES</v>
      </c>
      <c r="M93" s="6">
        <f t="shared" si="35"/>
        <v>2.8333333335467614E-2</v>
      </c>
      <c r="N93" s="7">
        <f t="shared" si="36"/>
        <v>40.800000003073364</v>
      </c>
      <c r="O93" s="7"/>
      <c r="P93" s="7"/>
      <c r="Q93" s="23"/>
      <c r="R93" s="23"/>
      <c r="S93" s="35">
        <f t="shared" si="37"/>
        <v>1</v>
      </c>
      <c r="T93" s="50" t="str">
        <f t="shared" si="38"/>
        <v>Southbound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13:21:05-0600',mode:absolute,to:'2016-10-23 16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3" s="52" t="str">
        <f t="shared" si="40"/>
        <v>N</v>
      </c>
      <c r="X93" s="171">
        <f t="shared" si="41"/>
        <v>1</v>
      </c>
      <c r="Y93" s="67">
        <f t="shared" si="42"/>
        <v>23.298200000000001</v>
      </c>
      <c r="Z93" s="67">
        <f t="shared" si="43"/>
        <v>1.41E-2</v>
      </c>
      <c r="AA93" s="67">
        <f t="shared" si="44"/>
        <v>23.284100000000002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5"/>
        <v>0180-23</v>
      </c>
      <c r="AE93" s="91" t="str">
        <f t="shared" si="46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93" s="88" t="str">
        <f t="shared" si="47"/>
        <v>"C:\Program Files (x86)\AstroGrep\AstroGrep.exe" /spath="%USERPROFILE%\AppData\Local\Temp\OnboardLogs" /stypes="app*4015*20161023*" /stext=" 21:.+((SYSTEM_STATE.+slice.+state.+changed )|(ment ac)|(system.+state.+changed )|(\[timeout)|(PRM\|1\|D)|(kpr)|(kdp)|(\|lc)|(penalty))" /e /r /s</v>
      </c>
      <c r="AG93" s="1" t="str">
        <f t="shared" si="48"/>
        <v>EC</v>
      </c>
      <c r="AH93" s="92" t="str">
        <f t="shared" si="65"/>
        <v>"%USERPROFILE%\Documents\GitHub\eaglep3\Utilities\RefineRTDCRunTimes.py" --tripid 180-23 --locoid 4015 --swversion DE.1.0.7.0 --startMP 204:232982 --initTime 2016-10-23T14:21:05 --startdatetime 2016-10-23T14:26:14 --delay 1 --endMP 204:141 --enddatetime 2016-10-23T15:07:02 --enforcementcount 0 &gt;&gt;C:\Users\stu\Documents\GitHub\eaglep3-reporting\EC\2016-10-23-refined-times.txt</v>
      </c>
      <c r="AI9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{"issue":{"subject":"","project_id":79,"tracker_id":40,"status_id":1,"priority_id":2,"assigned_to_id":23,"start_date":"2016-10-23","description":"","custom_fields":[{"id":1,"name":"Subdivision","value":"EC"},{"id":4,"name":"Milepost","value":"0.0141"},{"id":17,"name":"Train ID","value":"180-23"},{"id":16,"name":"Locomotive ID","value":"4015"},{"id":130,"name":"Impact","value":""},{"id":150,"name":"Time of Event (Mountain Time)","value":"15:07:02"},{"id":151,"name":"Denver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527</v>
      </c>
      <c r="B94" s="7">
        <v>4025</v>
      </c>
      <c r="C94" s="22" t="s">
        <v>99</v>
      </c>
      <c r="D94" s="22" t="s">
        <v>667</v>
      </c>
      <c r="E94" s="13">
        <v>42666.569571759261</v>
      </c>
      <c r="F94" s="13">
        <v>42666.573171296295</v>
      </c>
      <c r="G94" s="7">
        <v>1</v>
      </c>
      <c r="H94" s="13" t="s">
        <v>388</v>
      </c>
      <c r="I94" s="13">
        <v>42666.599618055552</v>
      </c>
      <c r="J94" s="7">
        <v>0</v>
      </c>
      <c r="K94" s="112" t="str">
        <f t="shared" si="34"/>
        <v>4025/4026</v>
      </c>
      <c r="L94" s="22" t="str">
        <f>VLOOKUP(A94,'Trips&amp;Operators'!$C$1:$E$10000,3,FALSE)</f>
        <v>YOUNG</v>
      </c>
      <c r="M94" s="6">
        <f t="shared" si="35"/>
        <v>2.6446759256941732E-2</v>
      </c>
      <c r="N94" s="7">
        <f t="shared" si="36"/>
        <v>38.083333329996094</v>
      </c>
      <c r="O94" s="7"/>
      <c r="P94" s="7"/>
      <c r="Q94" s="23"/>
      <c r="R94" s="23"/>
      <c r="S94" s="35">
        <f t="shared" si="37"/>
        <v>1</v>
      </c>
      <c r="T94" s="50" t="str">
        <f t="shared" si="38"/>
        <v>NorthBound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12:40:11-0600',mode:absolute,to:'2016-10-23 15:23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4" s="52" t="str">
        <f t="shared" si="40"/>
        <v>N</v>
      </c>
      <c r="X94" s="171">
        <f t="shared" si="41"/>
        <v>1</v>
      </c>
      <c r="Y94" s="67">
        <f t="shared" si="42"/>
        <v>5.0200000000000002E-2</v>
      </c>
      <c r="Z94" s="67">
        <f t="shared" si="43"/>
        <v>23.3308</v>
      </c>
      <c r="AA94" s="67">
        <f t="shared" si="44"/>
        <v>23.2806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5"/>
        <v>0181-23</v>
      </c>
      <c r="AE94" s="91" t="str">
        <f t="shared" si="46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94" s="88" t="str">
        <f t="shared" si="47"/>
        <v>"C:\Program Files (x86)\AstroGrep\AstroGrep.exe" /spath="%USERPROFILE%\AppData\Local\Temp\OnboardLogs" /stypes="app*4025*20161023*" /stext=" 20:.+((SYSTEM_STATE.+slice.+state.+changed )|(ment ac)|(system.+state.+changed )|(\[timeout)|(PRM\|1\|D)|(kpr)|(kdp)|(\|lc)|(penalty))" /e /r /s</v>
      </c>
      <c r="AG94" s="1" t="str">
        <f t="shared" si="48"/>
        <v>EC</v>
      </c>
      <c r="AH94" s="92" t="str">
        <f t="shared" si="65"/>
        <v>"%USERPROFILE%\Documents\GitHub\eaglep3\Utilities\RefineRTDCRunTimes.py" --tripid 181-23 --locoid 4025 --swversion DE.1.0.7.0 --startMP 204:502 --initTime 2016-10-23T13:40:11 --startdatetime 2016-10-23T13:45:22 --delay 1 --endMP 204:233308 --enddatetime 2016-10-23T14:23:27 --enforcementcount 0 &gt;&gt;C:\Users\stu\Documents\GitHub\eaglep3-reporting\EC\2016-10-23-refined-times.txt</v>
      </c>
      <c r="AI9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{"issue":{"subject":"","project_id":79,"tracker_id":40,"status_id":1,"priority_id":2,"assigned_to_id":23,"start_date":"2016-10-23","description":"","custom_fields":[{"id":1,"name":"Subdivision","value":"EC"},{"id":4,"name":"Milepost","value":"23.3308"},{"id":17,"name":"Train ID","value":"181-23"},{"id":16,"name":"Locomotive ID","value":"4025"},{"id":130,"name":"Impact","value":""},{"id":150,"name":"Time of Event (Mountain Time)","value":"14:23:27"},{"id":151,"name":"Denver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533</v>
      </c>
      <c r="B95" s="7">
        <v>4026</v>
      </c>
      <c r="C95" s="22" t="s">
        <v>99</v>
      </c>
      <c r="D95" s="22" t="s">
        <v>680</v>
      </c>
      <c r="E95" s="13">
        <v>42666.603310185186</v>
      </c>
      <c r="F95" s="13">
        <v>42666.612025462964</v>
      </c>
      <c r="G95" s="7">
        <v>1</v>
      </c>
      <c r="H95" s="13" t="s">
        <v>681</v>
      </c>
      <c r="I95" s="13">
        <v>42666.640717592592</v>
      </c>
      <c r="J95" s="7">
        <v>0</v>
      </c>
      <c r="K95" s="112" t="str">
        <f t="shared" si="34"/>
        <v>4025/4026</v>
      </c>
      <c r="L95" s="22" t="str">
        <f>VLOOKUP(A95,'Trips&amp;Operators'!$C$1:$E$10000,3,FALSE)</f>
        <v>YOUNG</v>
      </c>
      <c r="M95" s="6">
        <f t="shared" si="35"/>
        <v>2.8692129628325347E-2</v>
      </c>
      <c r="N95" s="7">
        <f t="shared" si="36"/>
        <v>41.316666664788499</v>
      </c>
      <c r="O95" s="7"/>
      <c r="P95" s="7"/>
      <c r="Q95" s="23"/>
      <c r="R95" s="23"/>
      <c r="S95" s="35">
        <f t="shared" si="37"/>
        <v>1</v>
      </c>
      <c r="T95" s="50" t="str">
        <f t="shared" si="38"/>
        <v>Southbound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13:28:46-0600',mode:absolute,to:'2016-10-23 16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5" s="52" t="str">
        <f t="shared" si="40"/>
        <v>N</v>
      </c>
      <c r="X95" s="171">
        <f t="shared" si="41"/>
        <v>1</v>
      </c>
      <c r="Y95" s="67">
        <f t="shared" si="42"/>
        <v>23.3002</v>
      </c>
      <c r="Z95" s="67">
        <f t="shared" si="43"/>
        <v>1.9099999999999999E-2</v>
      </c>
      <c r="AA95" s="67">
        <f t="shared" si="44"/>
        <v>23.281099999999999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5"/>
        <v>0182-23</v>
      </c>
      <c r="AE95" s="91" t="str">
        <f t="shared" si="46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95" s="88" t="str">
        <f t="shared" si="47"/>
        <v>"C:\Program Files (x86)\AstroGrep\AstroGrep.exe" /spath="%USERPROFILE%\AppData\Local\Temp\OnboardLogs" /stypes="app*4026*20161023*" /stext=" 21:.+((SYSTEM_STATE.+slice.+state.+changed )|(ment ac)|(system.+state.+changed )|(\[timeout)|(PRM\|1\|D)|(kpr)|(kdp)|(\|lc)|(penalty))" /e /r /s</v>
      </c>
      <c r="AG95" s="1" t="str">
        <f t="shared" si="48"/>
        <v>EC</v>
      </c>
      <c r="AH95" s="92" t="str">
        <f t="shared" si="65"/>
        <v>"%USERPROFILE%\Documents\GitHub\eaglep3\Utilities\RefineRTDCRunTimes.py" --tripid 182-23 --locoid 4026 --swversion DE.1.0.7.0 --startMP 204:233002 --initTime 2016-10-23T14:28:46 --startdatetime 2016-10-23T14:41:19 --delay 1 --endMP 204:191 --enddatetime 2016-10-23T15:22:38 --enforcementcount 0 &gt;&gt;C:\Users\stu\Documents\GitHub\eaglep3-reporting\EC\2016-10-23-refined-times.txt</v>
      </c>
      <c r="AI9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{"issue":{"subject":"","project_id":79,"tracker_id":40,"status_id":1,"priority_id":2,"assigned_to_id":23,"start_date":"2016-10-23","description":"","custom_fields":[{"id":1,"name":"Subdivision","value":"EC"},{"id":4,"name":"Milepost","value":"0.0191"},{"id":17,"name":"Train ID","value":"182-23"},{"id":16,"name":"Locomotive ID","value":"4026"},{"id":130,"name":"Impact","value":""},{"id":150,"name":"Time of Event (Mountain Time)","value":"15:22:38"},{"id":151,"name":"Denver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529</v>
      </c>
      <c r="B96" s="7">
        <v>4027</v>
      </c>
      <c r="C96" s="22" t="s">
        <v>99</v>
      </c>
      <c r="D96" s="22" t="s">
        <v>258</v>
      </c>
      <c r="E96" s="13">
        <v>42666.584340277775</v>
      </c>
      <c r="F96" s="13">
        <v>42666.586087962962</v>
      </c>
      <c r="G96" s="7">
        <v>1</v>
      </c>
      <c r="H96" s="13" t="s">
        <v>403</v>
      </c>
      <c r="I96" s="13">
        <v>42666.611134259256</v>
      </c>
      <c r="J96" s="7">
        <v>0</v>
      </c>
      <c r="K96" s="112" t="str">
        <f t="shared" si="34"/>
        <v>4027/4028</v>
      </c>
      <c r="L96" s="22" t="str">
        <f>VLOOKUP(A96,'Trips&amp;Operators'!$C$1:$E$10000,3,FALSE)</f>
        <v>CLARK</v>
      </c>
      <c r="M96" s="6">
        <f t="shared" si="35"/>
        <v>2.5046296294021886E-2</v>
      </c>
      <c r="N96" s="7">
        <f t="shared" si="36"/>
        <v>36.066666663391516</v>
      </c>
      <c r="O96" s="7"/>
      <c r="P96" s="7"/>
      <c r="Q96" s="23"/>
      <c r="R96" s="23"/>
      <c r="S96" s="35">
        <f t="shared" si="37"/>
        <v>1</v>
      </c>
      <c r="T96" s="50" t="str">
        <f t="shared" si="38"/>
        <v>NorthBound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13:01:27-0600',mode:absolute,to:'2016-10-23 15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6" s="52" t="str">
        <f t="shared" si="40"/>
        <v>N</v>
      </c>
      <c r="X96" s="171">
        <f t="shared" si="41"/>
        <v>1</v>
      </c>
      <c r="Y96" s="67">
        <f t="shared" si="42"/>
        <v>4.7100000000000003E-2</v>
      </c>
      <c r="Z96" s="67">
        <f t="shared" si="43"/>
        <v>23.330300000000001</v>
      </c>
      <c r="AA96" s="67">
        <f t="shared" si="44"/>
        <v>23.283200000000001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5"/>
        <v>0183-23</v>
      </c>
      <c r="AE96" s="91" t="str">
        <f t="shared" si="46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96" s="88" t="str">
        <f t="shared" si="47"/>
        <v>"C:\Program Files (x86)\AstroGrep\AstroGrep.exe" /spath="%USERPROFILE%\AppData\Local\Temp\OnboardLogs" /stypes="app*4027*20161023*" /stext=" 20:.+((SYSTEM_STATE.+slice.+state.+changed )|(ment ac)|(system.+state.+changed )|(\[timeout)|(PRM\|1\|D)|(kpr)|(kdp)|(\|lc)|(penalty))" /e /r /s</v>
      </c>
      <c r="AG96" s="1" t="str">
        <f t="shared" si="48"/>
        <v>EC</v>
      </c>
      <c r="AH96" s="92" t="str">
        <f t="shared" si="65"/>
        <v>"%USERPROFILE%\Documents\GitHub\eaglep3\Utilities\RefineRTDCRunTimes.py" --tripid 183-23 --locoid 4027 --swversion DE.1.0.7.0 --startMP 204:471 --initTime 2016-10-23T14:01:27 --startdatetime 2016-10-23T14:03:58 --delay 1 --endMP 204:233303 --enddatetime 2016-10-23T14:40:02 --enforcementcount 0 &gt;&gt;C:\Users\stu\Documents\GitHub\eaglep3-reporting\EC\2016-10-23-refined-times.txt</v>
      </c>
      <c r="AI9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{"issue":{"subject":"","project_id":79,"tracker_id":40,"status_id":1,"priority_id":2,"assigned_to_id":23,"start_date":"2016-10-23","description":"","custom_fields":[{"id":1,"name":"Subdivision","value":"EC"},{"id":4,"name":"Milepost","value":"23.3303"},{"id":17,"name":"Train ID","value":"183-23"},{"id":16,"name":"Locomotive ID","value":"4027"},{"id":130,"name":"Impact","value":""},{"id":150,"name":"Time of Event (Mountain Time)","value":"14:40:02"},{"id":151,"name":"Denver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536</v>
      </c>
      <c r="B97" s="7">
        <v>4028</v>
      </c>
      <c r="C97" s="22" t="s">
        <v>99</v>
      </c>
      <c r="D97" s="22" t="s">
        <v>635</v>
      </c>
      <c r="E97" s="13">
        <v>42666.619074074071</v>
      </c>
      <c r="F97" s="13">
        <v>42666.622465277775</v>
      </c>
      <c r="G97" s="7">
        <v>1</v>
      </c>
      <c r="H97" s="13" t="s">
        <v>224</v>
      </c>
      <c r="I97" s="13">
        <v>42666.65053240741</v>
      </c>
      <c r="J97" s="7">
        <v>0</v>
      </c>
      <c r="K97" s="112" t="str">
        <f t="shared" si="34"/>
        <v>4027/4028</v>
      </c>
      <c r="L97" s="22" t="str">
        <f>VLOOKUP(A97,'Trips&amp;Operators'!$C$1:$E$10000,3,FALSE)</f>
        <v>CLARK</v>
      </c>
      <c r="M97" s="6">
        <f t="shared" si="35"/>
        <v>2.8067129635019228E-2</v>
      </c>
      <c r="N97" s="7">
        <f t="shared" si="36"/>
        <v>40.416666674427688</v>
      </c>
      <c r="O97" s="7"/>
      <c r="P97" s="7"/>
      <c r="Q97" s="23"/>
      <c r="R97" s="23"/>
      <c r="S97" s="35">
        <f t="shared" si="37"/>
        <v>1</v>
      </c>
      <c r="T97" s="50" t="str">
        <f t="shared" si="38"/>
        <v>Southbound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13:51:28-0600',mode:absolute,to:'2016-10-23 16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7" s="52" t="str">
        <f t="shared" si="40"/>
        <v>N</v>
      </c>
      <c r="X97" s="171">
        <f t="shared" si="41"/>
        <v>1</v>
      </c>
      <c r="Y97" s="67">
        <f t="shared" si="42"/>
        <v>23.298200000000001</v>
      </c>
      <c r="Z97" s="67">
        <f t="shared" si="43"/>
        <v>1.43E-2</v>
      </c>
      <c r="AA97" s="67">
        <f t="shared" si="44"/>
        <v>23.283900000000003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5"/>
        <v>0184-23</v>
      </c>
      <c r="AE97" s="91" t="str">
        <f t="shared" si="46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97" s="88" t="str">
        <f t="shared" si="47"/>
        <v>"C:\Program Files (x86)\AstroGrep\AstroGrep.exe" /spath="%USERPROFILE%\AppData\Local\Temp\OnboardLogs" /stypes="app*4028*20161023*" /stext=" 21:.+((SYSTEM_STATE.+slice.+state.+changed )|(ment ac)|(system.+state.+changed )|(\[timeout)|(PRM\|1\|D)|(kpr)|(kdp)|(\|lc)|(penalty))" /e /r /s</v>
      </c>
      <c r="AG97" s="1" t="str">
        <f t="shared" si="48"/>
        <v>EC</v>
      </c>
      <c r="AH97" s="92" t="str">
        <f t="shared" si="65"/>
        <v>"%USERPROFILE%\Documents\GitHub\eaglep3\Utilities\RefineRTDCRunTimes.py" --tripid 184-23 --locoid 4028 --swversion DE.1.0.7.0 --startMP 204:232982 --initTime 2016-10-23T14:51:28 --startdatetime 2016-10-23T14:56:21 --delay 1 --endMP 204:143 --enddatetime 2016-10-23T15:36:46 --enforcementcount 0 &gt;&gt;C:\Users\stu\Documents\GitHub\eaglep3-reporting\EC\2016-10-23-refined-times.txt</v>
      </c>
      <c r="AI9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{"issue":{"subject":"","project_id":79,"tracker_id":40,"status_id":1,"priority_id":2,"assigned_to_id":23,"start_date":"2016-10-23","description":"","custom_fields":[{"id":1,"name":"Subdivision","value":"EC"},{"id":4,"name":"Milepost","value":"0.0143"},{"id":17,"name":"Train ID","value":"184-23"},{"id":16,"name":"Locomotive ID","value":"4028"},{"id":130,"name":"Impact","value":""},{"id":150,"name":"Time of Event (Mountain Time)","value":"15:36:46"},{"id":151,"name":"Denver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530</v>
      </c>
      <c r="B98" s="7">
        <v>4018</v>
      </c>
      <c r="C98" s="22" t="s">
        <v>99</v>
      </c>
      <c r="D98" s="22" t="s">
        <v>230</v>
      </c>
      <c r="E98" s="13">
        <v>42666.588402777779</v>
      </c>
      <c r="F98" s="13">
        <v>42666.593946759262</v>
      </c>
      <c r="G98" s="7">
        <v>2</v>
      </c>
      <c r="H98" s="13" t="s">
        <v>699</v>
      </c>
      <c r="I98" s="13">
        <v>42666.619560185187</v>
      </c>
      <c r="J98" s="7">
        <v>0</v>
      </c>
      <c r="K98" s="112" t="str">
        <f t="shared" si="34"/>
        <v>4017/4018</v>
      </c>
      <c r="L98" s="22" t="str">
        <f>VLOOKUP(A98,'Trips&amp;Operators'!$C$1:$E$10000,3,FALSE)</f>
        <v>SHOOK</v>
      </c>
      <c r="M98" s="6">
        <f t="shared" si="35"/>
        <v>2.5613425925257616E-2</v>
      </c>
      <c r="N98" s="7">
        <f t="shared" si="36"/>
        <v>36.883333332370967</v>
      </c>
      <c r="O98" s="7"/>
      <c r="P98" s="7"/>
      <c r="Q98" s="23"/>
      <c r="R98" s="23"/>
      <c r="S98" s="35">
        <f t="shared" si="37"/>
        <v>1</v>
      </c>
      <c r="T98" s="50" t="str">
        <f t="shared" si="38"/>
        <v>NorthBound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13:07:18-0600',mode:absolute,to:'2016-10-23 15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8" s="52" t="str">
        <f t="shared" si="40"/>
        <v>N</v>
      </c>
      <c r="X98" s="171">
        <f t="shared" si="41"/>
        <v>1</v>
      </c>
      <c r="Y98" s="67">
        <f t="shared" si="42"/>
        <v>4.5499999999999999E-2</v>
      </c>
      <c r="Z98" s="67">
        <f t="shared" si="43"/>
        <v>23.332699999999999</v>
      </c>
      <c r="AA98" s="67">
        <f t="shared" si="44"/>
        <v>23.287199999999999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5"/>
        <v>0185-23</v>
      </c>
      <c r="AE98" s="91" t="str">
        <f t="shared" si="46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98" s="88" t="str">
        <f t="shared" si="47"/>
        <v>"C:\Program Files (x86)\AstroGrep\AstroGrep.exe" /spath="%USERPROFILE%\AppData\Local\Temp\OnboardLogs" /stypes="app*4018*20161023*" /stext=" 20:.+((SYSTEM_STATE.+slice.+state.+changed )|(ment ac)|(system.+state.+changed )|(\[timeout)|(PRM\|1\|D)|(kpr)|(kdp)|(\|lc)|(penalty))" /e /r /s</v>
      </c>
      <c r="AG98" s="1" t="str">
        <f t="shared" si="48"/>
        <v>EC</v>
      </c>
      <c r="AH98" s="92" t="str">
        <f t="shared" si="65"/>
        <v>"%USERPROFILE%\Documents\GitHub\eaglep3\Utilities\RefineRTDCRunTimes.py" --tripid 185-23 --locoid 4018 --swversion DE.1.0.7.0 --startMP 204:455 --initTime 2016-10-23T14:07:18 --startdatetime 2016-10-23T14:15:17 --delay 2 --endMP 204:233327 --enddatetime 2016-10-23T14:52:10 --enforcementcount 0 &gt;&gt;C:\Users\stu\Documents\GitHub\eaglep3-reporting\EC\2016-10-23-refined-times.txt</v>
      </c>
      <c r="AI9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{"issue":{"subject":"","project_id":79,"tracker_id":40,"status_id":1,"priority_id":2,"assigned_to_id":23,"start_date":"2016-10-23","description":"","custom_fields":[{"id":1,"name":"Subdivision","value":"EC"},{"id":4,"name":"Milepost","value":"23.3327"},{"id":17,"name":"Train ID","value":"185-23"},{"id":16,"name":"Locomotive ID","value":"4018"},{"id":130,"name":"Impact","value":""},{"id":150,"name":"Time of Event (Mountain Time)","value":"14:52:10"},{"id":151,"name":"Denver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538</v>
      </c>
      <c r="B99" s="7">
        <v>4017</v>
      </c>
      <c r="C99" s="22" t="s">
        <v>99</v>
      </c>
      <c r="D99" s="22" t="s">
        <v>319</v>
      </c>
      <c r="E99" s="13">
        <v>42666.628148148149</v>
      </c>
      <c r="F99" s="13">
        <v>42666.632893518516</v>
      </c>
      <c r="G99" s="7">
        <v>2</v>
      </c>
      <c r="H99" s="13" t="s">
        <v>220</v>
      </c>
      <c r="I99" s="13">
        <v>42666.659085648149</v>
      </c>
      <c r="J99" s="7">
        <v>0</v>
      </c>
      <c r="K99" s="112" t="str">
        <f t="shared" si="34"/>
        <v>4017/4018</v>
      </c>
      <c r="L99" s="22" t="str">
        <f>VLOOKUP(A99,'Trips&amp;Operators'!$C$1:$E$10000,3,FALSE)</f>
        <v>SHOOK</v>
      </c>
      <c r="M99" s="6">
        <f t="shared" si="35"/>
        <v>2.6192129633272998E-2</v>
      </c>
      <c r="N99" s="7">
        <f t="shared" si="36"/>
        <v>37.716666671913117</v>
      </c>
      <c r="O99" s="7"/>
      <c r="P99" s="7"/>
      <c r="Q99" s="23"/>
      <c r="R99" s="23"/>
      <c r="S99" s="35">
        <f t="shared" si="37"/>
        <v>1</v>
      </c>
      <c r="T99" s="50" t="str">
        <f t="shared" si="38"/>
        <v>Southbound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14:04:32-0600',mode:absolute,to:'2016-10-23 16:49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9" s="52" t="str">
        <f t="shared" si="40"/>
        <v>N</v>
      </c>
      <c r="X99" s="171">
        <f t="shared" si="41"/>
        <v>1</v>
      </c>
      <c r="Y99" s="67">
        <f t="shared" si="42"/>
        <v>23.300599999999999</v>
      </c>
      <c r="Z99" s="67">
        <f t="shared" si="43"/>
        <v>1.4500000000000001E-2</v>
      </c>
      <c r="AA99" s="67">
        <f t="shared" si="44"/>
        <v>23.286099999999998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5"/>
        <v>0186-23</v>
      </c>
      <c r="AE99" s="91" t="str">
        <f t="shared" si="46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99" s="88" t="str">
        <f t="shared" si="47"/>
        <v>"C:\Program Files (x86)\AstroGrep\AstroGrep.exe" /spath="%USERPROFILE%\AppData\Local\Temp\OnboardLogs" /stypes="app*4017*20161023*" /stext=" 21:.+((SYSTEM_STATE.+slice.+state.+changed )|(ment ac)|(system.+state.+changed )|(\[timeout)|(PRM\|1\|D)|(kpr)|(kdp)|(\|lc)|(penalty))" /e /r /s</v>
      </c>
      <c r="AG99" s="1" t="str">
        <f t="shared" si="48"/>
        <v>EC</v>
      </c>
      <c r="AH99" s="92" t="str">
        <f t="shared" si="65"/>
        <v>"%USERPROFILE%\Documents\GitHub\eaglep3\Utilities\RefineRTDCRunTimes.py" --tripid 186-23 --locoid 4017 --swversion DE.1.0.7.0 --startMP 204:233006 --initTime 2016-10-23T15:04:32 --startdatetime 2016-10-23T15:11:22 --delay 2 --endMP 204:145 --enddatetime 2016-10-23T15:49:05 --enforcementcount 0 &gt;&gt;C:\Users\stu\Documents\GitHub\eaglep3-reporting\EC\2016-10-23-refined-times.txt</v>
      </c>
      <c r="AI9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ID","value":"186-23"},{"id":16,"name":"Locomotive ID","value":"4017"},{"id":130,"name":"Impact","value":""},{"id":150,"name":"Time of Event (Mountain Time)","value":"15:49:05"},{"id":151,"name":"Denver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532</v>
      </c>
      <c r="B100" s="7">
        <v>4009</v>
      </c>
      <c r="C100" s="22" t="s">
        <v>99</v>
      </c>
      <c r="D100" s="22" t="s">
        <v>667</v>
      </c>
      <c r="E100" s="13">
        <v>42666.599618055552</v>
      </c>
      <c r="F100" s="13">
        <v>42666.604386574072</v>
      </c>
      <c r="G100" s="7">
        <v>1</v>
      </c>
      <c r="H100" s="13" t="s">
        <v>235</v>
      </c>
      <c r="I100" s="13">
        <v>42666.629328703704</v>
      </c>
      <c r="J100" s="7">
        <v>0</v>
      </c>
      <c r="K100" s="112" t="str">
        <f t="shared" si="34"/>
        <v>4009/4010</v>
      </c>
      <c r="L100" s="22" t="str">
        <f>VLOOKUP(A100,'Trips&amp;Operators'!$C$1:$E$10000,3,FALSE)</f>
        <v>STEWART</v>
      </c>
      <c r="M100" s="6">
        <f t="shared" si="35"/>
        <v>2.4942129632108845E-2</v>
      </c>
      <c r="N100" s="7">
        <f t="shared" si="36"/>
        <v>35.916666670236737</v>
      </c>
      <c r="O100" s="7"/>
      <c r="P100" s="7"/>
      <c r="Q100" s="23"/>
      <c r="R100" s="23"/>
      <c r="S100" s="35">
        <f t="shared" si="37"/>
        <v>1</v>
      </c>
      <c r="T100" s="50" t="str">
        <f t="shared" si="38"/>
        <v>NorthBound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13:23:27-0600',mode:absolute,to:'2016-10-23 16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0" s="52" t="str">
        <f t="shared" si="40"/>
        <v>N</v>
      </c>
      <c r="X100" s="171">
        <f t="shared" si="41"/>
        <v>1</v>
      </c>
      <c r="Y100" s="67">
        <f t="shared" si="42"/>
        <v>5.0200000000000002E-2</v>
      </c>
      <c r="Z100" s="67">
        <f t="shared" si="43"/>
        <v>23.329899999999999</v>
      </c>
      <c r="AA100" s="67">
        <f t="shared" si="44"/>
        <v>23.279699999999998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5"/>
        <v>0187-23</v>
      </c>
      <c r="AE100" s="91" t="str">
        <f t="shared" si="46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100" s="88" t="str">
        <f t="shared" si="47"/>
        <v>"C:\Program Files (x86)\AstroGrep\AstroGrep.exe" /spath="%USERPROFILE%\AppData\Local\Temp\OnboardLogs" /stypes="app*4009*20161023*" /stext=" 21:.+((SYSTEM_STATE.+slice.+state.+changed )|(ment ac)|(system.+state.+changed )|(\[timeout)|(PRM\|1\|D)|(kpr)|(kdp)|(\|lc)|(penalty))" /e /r /s</v>
      </c>
      <c r="AG100" s="1" t="str">
        <f t="shared" si="48"/>
        <v>EC</v>
      </c>
      <c r="AH100" s="92" t="str">
        <f t="shared" si="65"/>
        <v>"%USERPROFILE%\Documents\GitHub\eaglep3\Utilities\RefineRTDCRunTimes.py" --tripid 187-23 --locoid 4009 --swversion DE.1.0.7.0 --startMP 204:502 --initTime 2016-10-23T14:23:27 --startdatetime 2016-10-23T14:30:19 --delay 1 --endMP 204:233299 --enddatetime 2016-10-23T15:06:14 --enforcementcount 0 &gt;&gt;C:\Users\stu\Documents\GitHub\eaglep3-reporting\EC\2016-10-23-refined-times.txt</v>
      </c>
      <c r="AI10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{"issue":{"subject":"","project_id":79,"tracker_id":40,"status_id":1,"priority_id":2,"assigned_to_id":23,"start_date":"2016-10-23","description":"","custom_fields":[{"id":1,"name":"Subdivision","value":"EC"},{"id":4,"name":"Milepost","value":"23.3299"},{"id":17,"name":"Train ID","value":"187-23"},{"id":16,"name":"Locomotive ID","value":"4009"},{"id":130,"name":"Impact","value":""},{"id":150,"name":"Time of Event (Mountain Time)","value":"15:06:14"},{"id":151,"name":"Denver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541</v>
      </c>
      <c r="B101" s="7">
        <v>4010</v>
      </c>
      <c r="C101" s="22" t="s">
        <v>99</v>
      </c>
      <c r="D101" s="22" t="s">
        <v>365</v>
      </c>
      <c r="E101" s="13">
        <v>42666.63894675926</v>
      </c>
      <c r="F101" s="13">
        <v>42666.643275462964</v>
      </c>
      <c r="G101" s="7">
        <v>2</v>
      </c>
      <c r="H101" s="13" t="s">
        <v>225</v>
      </c>
      <c r="I101" s="13">
        <v>42666.670092592591</v>
      </c>
      <c r="J101" s="7">
        <v>0</v>
      </c>
      <c r="K101" s="112" t="str">
        <f t="shared" si="34"/>
        <v>4009/4010</v>
      </c>
      <c r="L101" s="22" t="str">
        <f>VLOOKUP(A101,'Trips&amp;Operators'!$C$1:$E$10000,3,FALSE)</f>
        <v>STEWART</v>
      </c>
      <c r="M101" s="6">
        <f t="shared" si="35"/>
        <v>2.6817129626579117E-2</v>
      </c>
      <c r="N101" s="7">
        <f t="shared" si="36"/>
        <v>38.616666662273929</v>
      </c>
      <c r="O101" s="7"/>
      <c r="P101" s="7"/>
      <c r="Q101" s="23"/>
      <c r="R101" s="23"/>
      <c r="S101" s="35">
        <f t="shared" si="37"/>
        <v>1</v>
      </c>
      <c r="T101" s="50" t="str">
        <f t="shared" si="38"/>
        <v>Southbound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14:20:05-0600',mode:absolute,to:'2016-10-23 17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1" s="52" t="str">
        <f t="shared" si="40"/>
        <v>N</v>
      </c>
      <c r="X101" s="171">
        <f t="shared" si="41"/>
        <v>1</v>
      </c>
      <c r="Y101" s="67">
        <f t="shared" si="42"/>
        <v>23.296900000000001</v>
      </c>
      <c r="Z101" s="67">
        <f t="shared" si="43"/>
        <v>1.4999999999999999E-2</v>
      </c>
      <c r="AA101" s="67">
        <f t="shared" si="44"/>
        <v>23.2819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5"/>
        <v>0188-23</v>
      </c>
      <c r="AE101" s="91" t="str">
        <f t="shared" si="46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01" s="88" t="str">
        <f t="shared" si="47"/>
        <v>"C:\Program Files (x86)\AstroGrep\AstroGrep.exe" /spath="%USERPROFILE%\AppData\Local\Temp\OnboardLogs" /stypes="app*4010*20161023*" /stext=" 22:.+((SYSTEM_STATE.+slice.+state.+changed )|(ment ac)|(system.+state.+changed )|(\[timeout)|(PRM\|1\|D)|(kpr)|(kdp)|(\|lc)|(penalty))" /e /r /s</v>
      </c>
      <c r="AG101" s="1" t="str">
        <f t="shared" si="48"/>
        <v>EC</v>
      </c>
      <c r="AH101" s="92" t="str">
        <f t="shared" si="65"/>
        <v>"%USERPROFILE%\Documents\GitHub\eaglep3\Utilities\RefineRTDCRunTimes.py" --tripid 188-23 --locoid 4010 --swversion DE.1.0.7.0 --startMP 204:232969 --initTime 2016-10-23T15:20:05 --startdatetime 2016-10-23T15:26:19 --delay 2 --endMP 204:150 --enddatetime 2016-10-23T16:04:56 --enforcementcount 0 &gt;&gt;C:\Users\stu\Documents\GitHub\eaglep3-reporting\EC\2016-10-23-refined-times.txt</v>
      </c>
      <c r="AI10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{"issue":{"subject":"","project_id":79,"tracker_id":40,"status_id":1,"priority_id":2,"assigned_to_id":23,"start_date":"2016-10-23","description":"","custom_fields":[{"id":1,"name":"Subdivision","value":"EC"},{"id":4,"name":"Milepost","value":"0.015"},{"id":17,"name":"Train ID","value":"188-23"},{"id":16,"name":"Locomotive ID","value":"4010"},{"id":130,"name":"Impact","value":""},{"id":150,"name":"Time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534</v>
      </c>
      <c r="B102" s="7">
        <v>4040</v>
      </c>
      <c r="C102" s="22" t="s">
        <v>99</v>
      </c>
      <c r="D102" s="22" t="s">
        <v>700</v>
      </c>
      <c r="E102" s="13">
        <v>42666.610196759262</v>
      </c>
      <c r="F102" s="13">
        <v>42666.614930555559</v>
      </c>
      <c r="G102" s="7">
        <v>1</v>
      </c>
      <c r="H102" s="13" t="s">
        <v>358</v>
      </c>
      <c r="I102" s="13">
        <v>42666.639768518522</v>
      </c>
      <c r="J102" s="7">
        <v>0</v>
      </c>
      <c r="K102" s="112" t="str">
        <f t="shared" si="34"/>
        <v>4039/4040</v>
      </c>
      <c r="L102" s="22" t="str">
        <f>VLOOKUP(A102,'Trips&amp;Operators'!$C$1:$E$10000,3,FALSE)</f>
        <v>BARTLETT</v>
      </c>
      <c r="M102" s="6">
        <f t="shared" si="35"/>
        <v>2.4837962962919846E-2</v>
      </c>
      <c r="N102" s="7">
        <f t="shared" si="36"/>
        <v>35.766666666604578</v>
      </c>
      <c r="O102" s="7"/>
      <c r="P102" s="7"/>
      <c r="Q102" s="23"/>
      <c r="R102" s="23"/>
      <c r="S102" s="35">
        <f t="shared" si="37"/>
        <v>1</v>
      </c>
      <c r="T102" s="50" t="str">
        <f t="shared" si="38"/>
        <v>NorthBound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13:38:41-0600',mode:absolute,to:'2016-10-23 16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2" s="52" t="str">
        <f t="shared" si="40"/>
        <v>N</v>
      </c>
      <c r="X102" s="171">
        <f t="shared" si="41"/>
        <v>1</v>
      </c>
      <c r="Y102" s="67">
        <f t="shared" si="42"/>
        <v>5.4399999999999997E-2</v>
      </c>
      <c r="Z102" s="67">
        <f t="shared" si="43"/>
        <v>23.329799999999999</v>
      </c>
      <c r="AA102" s="67">
        <f t="shared" si="44"/>
        <v>23.275399999999998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5"/>
        <v>0189-23</v>
      </c>
      <c r="AE102" s="91" t="str">
        <f t="shared" si="46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02" s="88" t="str">
        <f t="shared" si="47"/>
        <v>"C:\Program Files (x86)\AstroGrep\AstroGrep.exe" /spath="%USERPROFILE%\AppData\Local\Temp\OnboardLogs" /stypes="app*4040*20161023*" /stext=" 21:.+((SYSTEM_STATE.+slice.+state.+changed )|(ment ac)|(system.+state.+changed )|(\[timeout)|(PRM\|1\|D)|(kpr)|(kdp)|(\|lc)|(penalty))" /e /r /s</v>
      </c>
      <c r="AG102" s="1" t="str">
        <f t="shared" si="48"/>
        <v>EC</v>
      </c>
      <c r="AH102" s="92" t="str">
        <f t="shared" si="65"/>
        <v>"%USERPROFILE%\Documents\GitHub\eaglep3\Utilities\RefineRTDCRunTimes.py" --tripid 189-23 --locoid 4040 --swversion DE.1.0.7.0 --startMP 204:544 --initTime 2016-10-23T14:38:41 --startdatetime 2016-10-23T14:45:30 --delay 1 --endMP 204:233298 --enddatetime 2016-10-23T15:21:16 --enforcementcount 0 &gt;&gt;C:\Users\stu\Documents\GitHub\eaglep3-reporting\EC\2016-10-23-refined-times.txt</v>
      </c>
      <c r="AI10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{"issue":{"subject":"","project_id":79,"tracker_id":40,"status_id":1,"priority_id":2,"assigned_to_id":23,"start_date":"2016-10-23","description":"","custom_fields":[{"id":1,"name":"Subdivision","value":"EC"},{"id":4,"name":"Milepost","value":"23.3298"},{"id":17,"name":"Train ID","value":"189-23"},{"id":16,"name":"Locomotive ID","value":"4040"},{"id":130,"name":"Impact","value":""},{"id":150,"name":"Time of Event (Mountain Time)","value":"15:21:16"},{"id":151,"name":"Denver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425</v>
      </c>
      <c r="B103" s="7">
        <v>4039</v>
      </c>
      <c r="C103" s="22" t="s">
        <v>99</v>
      </c>
      <c r="D103" s="22" t="s">
        <v>393</v>
      </c>
      <c r="E103" s="13">
        <v>42666.641597222224</v>
      </c>
      <c r="F103" s="13">
        <v>42666.653692129628</v>
      </c>
      <c r="G103" s="7">
        <v>1</v>
      </c>
      <c r="H103" s="13" t="s">
        <v>402</v>
      </c>
      <c r="I103" s="13">
        <v>42666.680104166669</v>
      </c>
      <c r="J103" s="7">
        <v>0</v>
      </c>
      <c r="K103" s="112" t="str">
        <f t="shared" si="34"/>
        <v>4039/4040</v>
      </c>
      <c r="L103" s="22" t="str">
        <f>VLOOKUP(A103,'Trips&amp;Operators'!$C$1:$E$10000,3,FALSE)</f>
        <v>BARTLETT</v>
      </c>
      <c r="M103" s="6">
        <f t="shared" si="35"/>
        <v>2.641203704115469E-2</v>
      </c>
      <c r="N103" s="7">
        <f t="shared" si="36"/>
        <v>38.033333339262754</v>
      </c>
      <c r="O103" s="7"/>
      <c r="P103" s="7"/>
      <c r="Q103" s="23"/>
      <c r="R103" s="23"/>
      <c r="S103" s="35">
        <f t="shared" si="37"/>
        <v>1</v>
      </c>
      <c r="T103" s="50" t="str">
        <f t="shared" si="38"/>
        <v>Southbound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14:23:54-0600',mode:absolute,to:'2016-10-23 17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3" s="52" t="str">
        <f t="shared" si="40"/>
        <v>N</v>
      </c>
      <c r="X103" s="171">
        <f t="shared" si="41"/>
        <v>1</v>
      </c>
      <c r="Y103" s="67">
        <f t="shared" si="42"/>
        <v>23.2987</v>
      </c>
      <c r="Z103" s="67">
        <f t="shared" si="43"/>
        <v>1.78E-2</v>
      </c>
      <c r="AA103" s="67">
        <f t="shared" si="44"/>
        <v>23.280899999999999</v>
      </c>
      <c r="AB103" s="64" t="str">
        <f>VLOOKUP(A103,Enforcements!$C$7:$K$21,8,0)</f>
        <v>Form based authority (4)</v>
      </c>
      <c r="AC103" s="60" t="str">
        <f>VLOOKUP(A103,Enforcements!$C$7:$E$21,3,0)</f>
        <v>TRACK WARRANT AUTHORITY</v>
      </c>
      <c r="AD103" s="61" t="str">
        <f t="shared" si="45"/>
        <v>0190-23</v>
      </c>
      <c r="AE103" s="91" t="str">
        <f t="shared" si="46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03" s="88" t="str">
        <f t="shared" si="47"/>
        <v>"C:\Program Files (x86)\AstroGrep\AstroGrep.exe" /spath="%USERPROFILE%\AppData\Local\Temp\OnboardLogs" /stypes="app*4039*20161023*" /stext=" 22:.+((SYSTEM_STATE.+slice.+state.+changed )|(ment ac)|(system.+state.+changed )|(\[timeout)|(PRM\|1\|D)|(kpr)|(kdp)|(\|lc)|(penalty))" /e /r /s</v>
      </c>
      <c r="AG103" s="1" t="str">
        <f t="shared" si="48"/>
        <v>EC</v>
      </c>
      <c r="AH103" s="92" t="str">
        <f t="shared" si="65"/>
        <v>"%USERPROFILE%\Documents\GitHub\eaglep3\Utilities\RefineRTDCRunTimes.py" --tripid 190-23 --locoid 4039 --swversion DE.1.0.7.0 --startMP 204:232987 --initTime 2016-10-23T15:23:54 --startdatetime 2016-10-23T15:41:19 --delay 1 --endMP 204:178 --enddatetime 2016-10-23T16:19:21 --enforcementcount 0 &gt;&gt;C:\Users\stu\Documents\GitHub\eaglep3-reporting\EC\2016-10-23-refined-times.txt</v>
      </c>
      <c r="AI10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{"issue":{"subject":"","project_id":79,"tracker_id":40,"status_id":1,"priority_id":2,"assigned_to_id":23,"start_date":"2016-10-23","description":"","custom_fields":[{"id":1,"name":"Subdivision","value":"EC"},{"id":4,"name":"Milepost","value":"0.0178"},{"id":17,"name":"Train ID","value":"190-23"},{"id":16,"name":"Locomotive ID","value":"4039"},{"id":130,"name":"Impact","value":""},{"id":150,"name":"Time of Event (Mountain Time)","value":"16:19:21"},{"id":151,"name":"Denver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537</v>
      </c>
      <c r="B104" s="7">
        <v>4046</v>
      </c>
      <c r="C104" s="22" t="s">
        <v>99</v>
      </c>
      <c r="D104" s="22" t="s">
        <v>703</v>
      </c>
      <c r="E104" s="13">
        <v>42666.620138888888</v>
      </c>
      <c r="F104" s="13">
        <v>42666.625254629631</v>
      </c>
      <c r="G104" s="7">
        <v>1</v>
      </c>
      <c r="H104" s="13" t="s">
        <v>403</v>
      </c>
      <c r="I104" s="13">
        <v>42666.649953703702</v>
      </c>
      <c r="J104" s="7">
        <v>0</v>
      </c>
      <c r="K104" s="112" t="str">
        <f t="shared" si="34"/>
        <v>4045/4046</v>
      </c>
      <c r="L104" s="22" t="str">
        <f>VLOOKUP(A104,'Trips&amp;Operators'!$C$1:$E$10000,3,FALSE)</f>
        <v>BRUDER</v>
      </c>
      <c r="M104" s="6">
        <f t="shared" si="35"/>
        <v>2.4699074070667848E-2</v>
      </c>
      <c r="N104" s="7">
        <f t="shared" si="36"/>
        <v>35.566666661761701</v>
      </c>
      <c r="O104" s="7"/>
      <c r="P104" s="7"/>
      <c r="Q104" s="23"/>
      <c r="R104" s="23"/>
      <c r="S104" s="35">
        <f t="shared" si="37"/>
        <v>1</v>
      </c>
      <c r="T104" s="50" t="str">
        <f t="shared" si="38"/>
        <v>NorthBound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13:53:00-0600',mode:absolute,to:'2016-10-23 16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4" s="52" t="str">
        <f t="shared" si="40"/>
        <v>N</v>
      </c>
      <c r="X104" s="171">
        <f t="shared" si="41"/>
        <v>1</v>
      </c>
      <c r="Y104" s="67">
        <f t="shared" si="42"/>
        <v>4.8599999999999997E-2</v>
      </c>
      <c r="Z104" s="67">
        <f t="shared" si="43"/>
        <v>23.330300000000001</v>
      </c>
      <c r="AA104" s="67">
        <f t="shared" si="44"/>
        <v>23.281700000000001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5"/>
        <v>0191-23</v>
      </c>
      <c r="AE104" s="91" t="str">
        <f t="shared" si="46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04" s="88" t="str">
        <f t="shared" si="47"/>
        <v>"C:\Program Files (x86)\AstroGrep\AstroGrep.exe" /spath="%USERPROFILE%\AppData\Local\Temp\OnboardLogs" /stypes="app*4046*20161023*" /stext=" 21:.+((SYSTEM_STATE.+slice.+state.+changed )|(ment ac)|(system.+state.+changed )|(\[timeout)|(PRM\|1\|D)|(kpr)|(kdp)|(\|lc)|(penalty))" /e /r /s</v>
      </c>
      <c r="AG104" s="1" t="str">
        <f t="shared" si="48"/>
        <v>EC</v>
      </c>
      <c r="AH104" s="92" t="str">
        <f t="shared" si="65"/>
        <v>"%USERPROFILE%\Documents\GitHub\eaglep3\Utilities\RefineRTDCRunTimes.py" --tripid 191-23 --locoid 4046 --swversion DE.1.0.7.0 --startMP 204:486 --initTime 2016-10-23T14:53:00 --startdatetime 2016-10-23T15:00:22 --delay 1 --endMP 204:233303 --enddatetime 2016-10-23T15:35:56 --enforcementcount 0 &gt;&gt;C:\Users\stu\Documents\GitHub\eaglep3-reporting\EC\2016-10-23-refined-times.txt</v>
      </c>
      <c r="AI10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{"issue":{"subject":"","project_id":79,"tracker_id":40,"status_id":1,"priority_id":2,"assigned_to_id":23,"start_date":"2016-10-23","description":"","custom_fields":[{"id":1,"name":"Subdivision","value":"EC"},{"id":4,"name":"Milepost","value":"23.3303"},{"id":17,"name":"Train ID","value":"191-23"},{"id":16,"name":"Locomotive ID","value":"4046"},{"id":130,"name":"Impact","value":""},{"id":150,"name":"Time of Event (Mountain Time)","value":"15:35:56"},{"id":151,"name":"Denver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544</v>
      </c>
      <c r="B105" s="7">
        <v>4045</v>
      </c>
      <c r="C105" s="22" t="s">
        <v>99</v>
      </c>
      <c r="D105" s="22" t="s">
        <v>254</v>
      </c>
      <c r="E105" s="13">
        <v>42666.658842592595</v>
      </c>
      <c r="F105" s="13">
        <v>42666.664074074077</v>
      </c>
      <c r="G105" s="7">
        <v>1</v>
      </c>
      <c r="H105" s="13" t="s">
        <v>267</v>
      </c>
      <c r="I105" s="13">
        <v>42666.690752314818</v>
      </c>
      <c r="J105" s="7">
        <v>0</v>
      </c>
      <c r="K105" s="112" t="str">
        <f t="shared" si="34"/>
        <v>4045/4046</v>
      </c>
      <c r="L105" s="22" t="str">
        <f>VLOOKUP(A105,'Trips&amp;Operators'!$C$1:$E$10000,3,FALSE)</f>
        <v>BRUDER</v>
      </c>
      <c r="M105" s="6">
        <f t="shared" si="35"/>
        <v>2.6678240741603076E-2</v>
      </c>
      <c r="N105" s="7">
        <f t="shared" si="36"/>
        <v>38.41666666790843</v>
      </c>
      <c r="O105" s="7"/>
      <c r="P105" s="7"/>
      <c r="Q105" s="23"/>
      <c r="R105" s="23"/>
      <c r="S105" s="35">
        <f t="shared" si="37"/>
        <v>1</v>
      </c>
      <c r="T105" s="50" t="str">
        <f t="shared" si="38"/>
        <v>Southbound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14:48:44-0600',mode:absolute,to:'2016-10-23 17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5" s="52" t="str">
        <f t="shared" si="40"/>
        <v>N</v>
      </c>
      <c r="X105" s="171">
        <f t="shared" si="41"/>
        <v>1</v>
      </c>
      <c r="Y105" s="67">
        <f t="shared" si="42"/>
        <v>23.297699999999999</v>
      </c>
      <c r="Z105" s="67">
        <f t="shared" si="43"/>
        <v>1.3899999999999999E-2</v>
      </c>
      <c r="AA105" s="67">
        <f t="shared" si="44"/>
        <v>23.283799999999999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5"/>
        <v>0192-23</v>
      </c>
      <c r="AE105" s="91" t="str">
        <f t="shared" si="46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05" s="88" t="str">
        <f t="shared" si="47"/>
        <v>"C:\Program Files (x86)\AstroGrep\AstroGrep.exe" /spath="%USERPROFILE%\AppData\Local\Temp\OnboardLogs" /stypes="app*4045*20161023*" /stext=" 22:.+((SYSTEM_STATE.+slice.+state.+changed )|(ment ac)|(system.+state.+changed )|(\[timeout)|(PRM\|1\|D)|(kpr)|(kdp)|(\|lc)|(penalty))" /e /r /s</v>
      </c>
      <c r="AG105" s="1" t="str">
        <f t="shared" si="48"/>
        <v>EC</v>
      </c>
      <c r="AH105" s="92" t="str">
        <f t="shared" si="65"/>
        <v>"%USERPROFILE%\Documents\GitHub\eaglep3\Utilities\RefineRTDCRunTimes.py" --tripid 192-23 --locoid 4045 --swversion DE.1.0.7.0 --startMP 204:232977 --initTime 2016-10-23T15:48:44 --startdatetime 2016-10-23T15:56:16 --delay 1 --endMP 204:139 --enddatetime 2016-10-23T16:34:41 --enforcementcount 0 &gt;&gt;C:\Users\stu\Documents\GitHub\eaglep3-reporting\EC\2016-10-23-refined-times.txt</v>
      </c>
      <c r="AI10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ID","value":"192-23"},{"id":16,"name":"Locomotive ID","value":"4045"},{"id":130,"name":"Impact","value":""},{"id":150,"name":"Time of Event (Mountain Time)","value":"16:34:41"},{"id":151,"name":"Denver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539</v>
      </c>
      <c r="B106" s="7">
        <v>4016</v>
      </c>
      <c r="C106" s="22" t="s">
        <v>99</v>
      </c>
      <c r="D106" s="22" t="s">
        <v>237</v>
      </c>
      <c r="E106" s="13">
        <v>42666.633101851854</v>
      </c>
      <c r="F106" s="13">
        <v>42666.635925925926</v>
      </c>
      <c r="G106" s="7">
        <v>1</v>
      </c>
      <c r="H106" s="13" t="s">
        <v>310</v>
      </c>
      <c r="I106" s="13">
        <v>42666.66097222222</v>
      </c>
      <c r="J106" s="7">
        <v>0</v>
      </c>
      <c r="K106" s="112" t="str">
        <f t="shared" si="34"/>
        <v>4015/4016</v>
      </c>
      <c r="L106" s="22" t="str">
        <f>VLOOKUP(A106,'Trips&amp;Operators'!$C$1:$E$10000,3,FALSE)</f>
        <v>MOSES</v>
      </c>
      <c r="M106" s="6">
        <f t="shared" si="35"/>
        <v>2.5046296294021886E-2</v>
      </c>
      <c r="N106" s="7">
        <f t="shared" si="36"/>
        <v>36.066666663391516</v>
      </c>
      <c r="O106" s="7"/>
      <c r="P106" s="7"/>
      <c r="Q106" s="23"/>
      <c r="R106" s="23"/>
      <c r="S106" s="35">
        <f t="shared" si="37"/>
        <v>1</v>
      </c>
      <c r="T106" s="50" t="str">
        <f t="shared" si="38"/>
        <v>NorthBound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14:11:40-0600',mode:absolute,to:'2016-10-23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6" s="52" t="str">
        <f t="shared" si="40"/>
        <v>N</v>
      </c>
      <c r="X106" s="171">
        <f t="shared" si="41"/>
        <v>1</v>
      </c>
      <c r="Y106" s="67">
        <f t="shared" si="42"/>
        <v>4.5999999999999999E-2</v>
      </c>
      <c r="Z106" s="67">
        <f t="shared" si="43"/>
        <v>23.331</v>
      </c>
      <c r="AA106" s="67">
        <f t="shared" si="44"/>
        <v>23.285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5"/>
        <v>0193-23</v>
      </c>
      <c r="AE106" s="91" t="str">
        <f t="shared" si="46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106" s="88" t="str">
        <f t="shared" si="47"/>
        <v>"C:\Program Files (x86)\AstroGrep\AstroGrep.exe" /spath="%USERPROFILE%\AppData\Local\Temp\OnboardLogs" /stypes="app*4016*20161023*" /stext=" 21:.+((SYSTEM_STATE.+slice.+state.+changed )|(ment ac)|(system.+state.+changed )|(\[timeout)|(PRM\|1\|D)|(kpr)|(kdp)|(\|lc)|(penalty))" /e /r /s</v>
      </c>
      <c r="AG106" s="1" t="str">
        <f t="shared" si="48"/>
        <v>EC</v>
      </c>
      <c r="AH106" s="92" t="str">
        <f t="shared" si="65"/>
        <v>"%USERPROFILE%\Documents\GitHub\eaglep3\Utilities\RefineRTDCRunTimes.py" --tripid 193-23 --locoid 4016 --swversion DE.1.0.7.0 --startMP 204:460 --initTime 2016-10-23T15:11:40 --startdatetime 2016-10-23T15:15:44 --delay 1 --endMP 204:233310 --enddatetime 2016-10-23T15:51:48 --enforcementcount 0 &gt;&gt;C:\Users\stu\Documents\GitHub\eaglep3-reporting\EC\2016-10-23-refined-times.txt</v>
      </c>
      <c r="AI10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{"issue":{"subject":"","project_id":79,"tracker_id":40,"status_id":1,"priority_id":2,"assigned_to_id":23,"start_date":"2016-10-23","description":"","custom_fields":[{"id":1,"name":"Subdivision","value":"EC"},{"id":4,"name":"Milepost","value":"23.331"},{"id":17,"name":"Train ID","value":"193-23"},{"id":16,"name":"Locomotive ID","value":"4016"},{"id":130,"name":"Impact","value":""},{"id":150,"name":"Time of Event (Mountain Time)","value":"15:51:48"},{"id":151,"name":"Denver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426</v>
      </c>
      <c r="B107" s="7">
        <v>4015</v>
      </c>
      <c r="C107" s="22" t="s">
        <v>99</v>
      </c>
      <c r="D107" s="22" t="s">
        <v>355</v>
      </c>
      <c r="E107" s="13">
        <v>42666.672291666669</v>
      </c>
      <c r="F107" s="13">
        <v>42666.674490740741</v>
      </c>
      <c r="G107" s="7">
        <v>1</v>
      </c>
      <c r="H107" s="13" t="s">
        <v>704</v>
      </c>
      <c r="I107" s="13">
        <v>42666.701770833337</v>
      </c>
      <c r="J107" s="7">
        <v>0</v>
      </c>
      <c r="K107" s="112" t="str">
        <f t="shared" si="34"/>
        <v>4015/4016</v>
      </c>
      <c r="L107" s="22" t="str">
        <f>VLOOKUP(A107,'Trips&amp;Operators'!$C$1:$E$10000,3,FALSE)</f>
        <v>MOSES</v>
      </c>
      <c r="M107" s="6">
        <f t="shared" si="35"/>
        <v>2.7280092595901806E-2</v>
      </c>
      <c r="N107" s="7">
        <f t="shared" si="36"/>
        <v>39.283333338098601</v>
      </c>
      <c r="O107" s="7"/>
      <c r="P107" s="7"/>
      <c r="Q107" s="23"/>
      <c r="R107" s="23"/>
      <c r="S107" s="35">
        <f t="shared" si="37"/>
        <v>1</v>
      </c>
      <c r="T107" s="50" t="str">
        <f t="shared" si="38"/>
        <v>Southbound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15:08:06-0600',mode:absolute,to:'2016-10-23 17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7" s="52" t="str">
        <f t="shared" si="40"/>
        <v>N</v>
      </c>
      <c r="X107" s="171">
        <f t="shared" si="41"/>
        <v>1</v>
      </c>
      <c r="Y107" s="67">
        <f t="shared" si="42"/>
        <v>23.298500000000001</v>
      </c>
      <c r="Z107" s="67">
        <f t="shared" si="43"/>
        <v>2.3400000000000001E-2</v>
      </c>
      <c r="AA107" s="67">
        <f t="shared" si="44"/>
        <v>23.275100000000002</v>
      </c>
      <c r="AB107" s="64" t="str">
        <f>VLOOKUP(A107,Enforcements!$C$7:$K$21,8,0)</f>
        <v>Form based authority (4)</v>
      </c>
      <c r="AC107" s="60" t="str">
        <f>VLOOKUP(A107,Enforcements!$C$7:$E$21,3,0)</f>
        <v>TRACK WARRANT AUTHORITY</v>
      </c>
      <c r="AD107" s="61" t="str">
        <f t="shared" si="45"/>
        <v>0194-23</v>
      </c>
      <c r="AE107" s="91" t="str">
        <f t="shared" si="46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107" s="88" t="str">
        <f t="shared" si="47"/>
        <v>"C:\Program Files (x86)\AstroGrep\AstroGrep.exe" /spath="%USERPROFILE%\AppData\Local\Temp\OnboardLogs" /stypes="app*4015*20161023*" /stext=" 22:.+((SYSTEM_STATE.+slice.+state.+changed )|(ment ac)|(system.+state.+changed )|(\[timeout)|(PRM\|1\|D)|(kpr)|(kdp)|(\|lc)|(penalty))" /e /r /s</v>
      </c>
      <c r="AG107" s="1" t="str">
        <f t="shared" si="48"/>
        <v>EC</v>
      </c>
      <c r="AH107" s="92" t="str">
        <f t="shared" si="65"/>
        <v>"%USERPROFILE%\Documents\GitHub\eaglep3\Utilities\RefineRTDCRunTimes.py" --tripid 194-23 --locoid 4015 --swversion DE.1.0.7.0 --startMP 204:232985 --initTime 2016-10-23T16:08:06 --startdatetime 2016-10-23T16:11:16 --delay 1 --endMP 204:234 --enddatetime 2016-10-23T16:50:33 --enforcementcount 0 &gt;&gt;C:\Users\stu\Documents\GitHub\eaglep3-reporting\EC\2016-10-23-refined-times.txt</v>
      </c>
      <c r="AI10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{"issue":{"subject":"","project_id":79,"tracker_id":40,"status_id":1,"priority_id":2,"assigned_to_id":23,"start_date":"2016-10-23","description":"","custom_fields":[{"id":1,"name":"Subdivision","value":"EC"},{"id":4,"name":"Milepost","value":"0.0234"},{"id":17,"name":"Train ID","value":"194-23"},{"id":16,"name":"Locomotive ID","value":"4015"},{"id":130,"name":"Impact","value":""},{"id":150,"name":"Time of Event (Mountain Time)","value":"16:50:33"},{"id":151,"name":"Denver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542</v>
      </c>
      <c r="B108" s="7">
        <v>4025</v>
      </c>
      <c r="C108" s="22" t="s">
        <v>99</v>
      </c>
      <c r="D108" s="22" t="s">
        <v>705</v>
      </c>
      <c r="E108" s="13">
        <v>42666.642418981479</v>
      </c>
      <c r="F108" s="13">
        <v>42666.646435185183</v>
      </c>
      <c r="G108" s="7">
        <v>1</v>
      </c>
      <c r="H108" s="13" t="s">
        <v>324</v>
      </c>
      <c r="I108" s="13">
        <v>42666.672314814816</v>
      </c>
      <c r="J108" s="7">
        <v>0</v>
      </c>
      <c r="K108" s="112" t="str">
        <f t="shared" ref="K108:K139" si="67">IF(ISEVEN(B108),(B108-1)&amp;"/"&amp;B108,B108&amp;"/"&amp;(B108+1))</f>
        <v>4025/4026</v>
      </c>
      <c r="L108" s="22" t="str">
        <f>VLOOKUP(A108,'Trips&amp;Operators'!$C$1:$E$10000,3,FALSE)</f>
        <v>YOUNG</v>
      </c>
      <c r="M108" s="6">
        <f t="shared" ref="M108:M139" si="68">I108-F108</f>
        <v>2.587962963298196E-2</v>
      </c>
      <c r="N108" s="7">
        <f t="shared" ref="N108:N139" si="69">24*60*SUM($M108:$M108)</f>
        <v>37.266666671494022</v>
      </c>
      <c r="O108" s="7"/>
      <c r="P108" s="7"/>
      <c r="Q108" s="23"/>
      <c r="R108" s="23" t="s">
        <v>766</v>
      </c>
      <c r="S108" s="35">
        <f t="shared" ref="S108:S139" si="70">SUM(U108:U108)/IF(AG108="EC",12,1)</f>
        <v>1</v>
      </c>
      <c r="T108" s="50" t="str">
        <f t="shared" ref="T108:T139" si="71">IF(ISEVEN(LEFT(AD108,4)),"Southbound","NorthBound")</f>
        <v>NorthBound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ref="V108:V139" si="72"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https://search-rtdc-monitor-bjffxe2xuh6vdkpspy63sjmuny.us-east-1.es.amazonaws.com/_plugin/kibana/#/discover/Steve-Slow-Train-Analysis-(2080s-and-2083s)?_g=(refreshInterval:(display:Off,section:0,value:0),time:(from:'2016-10-23 14:25:05-0600',mode:absolute,to:'2016-10-23 17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8" s="52" t="str">
        <f t="shared" ref="W108:W139" si="73">IF(AA108&lt;IF(AG108="EC",23,5.65),"Y","N")</f>
        <v>N</v>
      </c>
      <c r="X108" s="171">
        <f t="shared" si="41"/>
        <v>1</v>
      </c>
      <c r="Y108" s="67">
        <f t="shared" ref="Y108:Y139" si="74">RIGHT(D108,LEN(D108)-4)/10000</f>
        <v>4.9700000000000001E-2</v>
      </c>
      <c r="Z108" s="67">
        <f t="shared" ref="Z108:Z139" si="75">RIGHT(H108,LEN(H108)-4)/10000</f>
        <v>23.332000000000001</v>
      </c>
      <c r="AA108" s="67">
        <f t="shared" ref="AA108:AA139" si="76">ABS(Z108-Y108)</f>
        <v>23.282299999999999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ref="AD108:AD139" si="77">IF(LEN(A108)=6,"0"&amp;A108,A108)</f>
        <v>0195-23</v>
      </c>
      <c r="AE108" s="91" t="str">
        <f t="shared" ref="AE108:AE139" si="78"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08" s="88" t="str">
        <f t="shared" ref="AF108:AF139" si="79"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/stypes="app*4025*20161023*" /stext=" 22:.+((SYSTEM_STATE.+slice.+state.+changed )|(ment ac)|(system.+state.+changed )|(\[timeout)|(PRM\|1\|D)|(kpr)|(kdp)|(\|lc)|(penalty))" /e /r /s</v>
      </c>
      <c r="AG108" s="1" t="str">
        <f t="shared" ref="AG108:AG139" si="80">IFERROR(IF(VALUE(LEFT(AD108,2))&lt;=2,"EC",IF(OR(VALUE(LEFT(AD108,2))=8,VALUE(LEFT(AD108,2))=18),"NW","Other")),"Other")</f>
        <v>EC</v>
      </c>
      <c r="AH108" s="92" t="str">
        <f t="shared" si="65"/>
        <v>"%USERPROFILE%\Documents\GitHub\eaglep3\Utilities\RefineRTDCRunTimes.py" --tripid 195-23 --locoid 4025 --swversion DE.1.0.7.0 --startMP 204:497 --initTime 2016-10-23T15:25:05 --startdatetime 2016-10-23T15:30:52 --delay 1 --endMP 204:233320 --enddatetime 2016-10-23T16:08:08 --enforcementcount 0 &gt;&gt;C:\Users\stu\Documents\GitHub\eaglep3-reporting\EC\2016-10-23-refined-times.txt</v>
      </c>
      <c r="AI108" s="122" t="str">
        <f t="shared" si="66"/>
        <v>echo {"issue":{"subject":"Slice state change at 15:38, but didn't affect run","project_id":79,"tracker_id":40,"status_id":1,"priority_id":2,"assigned_to_id":23,"start_date":"2016-10-23","description":"","custom_fields":[{"id":1,"name":"Subdivision","value":"EC"},{"id":4,"name":"Milepost","value":"23.332"},{"id":17,"name":"Train ID","value":"195-23"},{"id":16,"name":"Locomotive ID","value":"4025"},{"id":130,"name":"Impact","value":""},{"id":150,"name":"Time of Event (Mountain Time)","value":"16:08:08"},{"id":151,"name":"Denver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547</v>
      </c>
      <c r="B109" s="7">
        <v>4026</v>
      </c>
      <c r="C109" s="22" t="s">
        <v>99</v>
      </c>
      <c r="D109" s="22" t="s">
        <v>276</v>
      </c>
      <c r="E109" s="13">
        <v>42666.677662037036</v>
      </c>
      <c r="F109" s="13">
        <v>42666.684953703705</v>
      </c>
      <c r="G109" s="7">
        <v>1</v>
      </c>
      <c r="H109" s="13" t="s">
        <v>706</v>
      </c>
      <c r="I109" s="13">
        <v>42666.713217592594</v>
      </c>
      <c r="J109" s="7">
        <v>0</v>
      </c>
      <c r="K109" s="112" t="str">
        <f t="shared" si="67"/>
        <v>4025/4026</v>
      </c>
      <c r="L109" s="22" t="str">
        <f>VLOOKUP(A109,'Trips&amp;Operators'!$C$1:$E$10000,3,FALSE)</f>
        <v>YOUNG</v>
      </c>
      <c r="M109" s="6">
        <f t="shared" si="68"/>
        <v>2.8263888889341615E-2</v>
      </c>
      <c r="N109" s="7">
        <f t="shared" si="69"/>
        <v>40.700000000651926</v>
      </c>
      <c r="O109" s="7"/>
      <c r="P109" s="7"/>
      <c r="Q109" s="23"/>
      <c r="R109" s="23"/>
      <c r="S109" s="35">
        <f t="shared" si="70"/>
        <v>1</v>
      </c>
      <c r="T109" s="50" t="str">
        <f t="shared" si="71"/>
        <v>Southbound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15:15:50-0600',mode:absolute,to:'2016-10-23 18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9" s="52" t="str">
        <f t="shared" si="73"/>
        <v>N</v>
      </c>
      <c r="X109" s="171">
        <f t="shared" si="41"/>
        <v>1</v>
      </c>
      <c r="Y109" s="67">
        <f t="shared" si="74"/>
        <v>23.2986</v>
      </c>
      <c r="Z109" s="67">
        <f t="shared" si="75"/>
        <v>1.7399999999999999E-2</v>
      </c>
      <c r="AA109" s="67">
        <f t="shared" si="76"/>
        <v>23.281200000000002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77"/>
        <v>0196-23</v>
      </c>
      <c r="AE109" s="91" t="str">
        <f t="shared" si="78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09" s="88" t="str">
        <f t="shared" si="79"/>
        <v>"C:\Program Files (x86)\AstroGrep\AstroGrep.exe" /spath="%USERPROFILE%\AppData\Local\Temp\OnboardLogs" /stypes="app*4026*20161023*" /stext=" 23:.+((SYSTEM_STATE.+slice.+state.+changed )|(ment ac)|(system.+state.+changed )|(\[timeout)|(PRM\|1\|D)|(kpr)|(kdp)|(\|lc)|(penalty))" /e /r /s</v>
      </c>
      <c r="AG109" s="1" t="str">
        <f t="shared" si="80"/>
        <v>EC</v>
      </c>
      <c r="AH109" s="92" t="str">
        <f t="shared" si="65"/>
        <v>"%USERPROFILE%\Documents\GitHub\eaglep3\Utilities\RefineRTDCRunTimes.py" --tripid 196-23 --locoid 4026 --swversion DE.1.0.7.0 --startMP 204:232986 --initTime 2016-10-23T16:15:50 --startdatetime 2016-10-23T16:26:20 --delay 1 --endMP 204:174 --enddatetime 2016-10-23T17:07:02 --enforcementcount 0 &gt;&gt;C:\Users\stu\Documents\GitHub\eaglep3-reporting\EC\2016-10-23-refined-times.txt</v>
      </c>
      <c r="AI10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{"issue":{"subject":"","project_id":79,"tracker_id":40,"status_id":1,"priority_id":2,"assigned_to_id":23,"start_date":"2016-10-23","description":"","custom_fields":[{"id":1,"name":"Subdivision","value":"EC"},{"id":4,"name":"Milepost","value":"0.0174"},{"id":17,"name":"Train ID","value":"196-23"},{"id":16,"name":"Locomotive ID","value":"4026"},{"id":130,"name":"Impact","value":""},{"id":150,"name":"Time of Event (Mountain Time)","value":"17:07:02"},{"id":151,"name":"Denver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543</v>
      </c>
      <c r="B110" s="7">
        <v>4027</v>
      </c>
      <c r="C110" s="22" t="s">
        <v>99</v>
      </c>
      <c r="D110" s="22" t="s">
        <v>234</v>
      </c>
      <c r="E110" s="13">
        <v>42666.651944444442</v>
      </c>
      <c r="F110" s="13">
        <v>42666.656412037039</v>
      </c>
      <c r="G110" s="7">
        <v>1</v>
      </c>
      <c r="H110" s="13" t="s">
        <v>707</v>
      </c>
      <c r="I110" s="13">
        <v>42666.682222222225</v>
      </c>
      <c r="J110" s="7">
        <v>0</v>
      </c>
      <c r="K110" s="112" t="str">
        <f t="shared" si="67"/>
        <v>4027/4028</v>
      </c>
      <c r="L110" s="22" t="str">
        <f>VLOOKUP(A110,'Trips&amp;Operators'!$C$1:$E$10000,3,FALSE)</f>
        <v>CLARK</v>
      </c>
      <c r="M110" s="6">
        <f t="shared" si="68"/>
        <v>2.5810185186855961E-2</v>
      </c>
      <c r="N110" s="7">
        <f t="shared" si="69"/>
        <v>37.166666669072583</v>
      </c>
      <c r="O110" s="7"/>
      <c r="P110" s="7"/>
      <c r="Q110" s="23"/>
      <c r="R110" s="23"/>
      <c r="S110" s="35">
        <f t="shared" si="70"/>
        <v>1</v>
      </c>
      <c r="T110" s="50" t="str">
        <f t="shared" si="71"/>
        <v>NorthBound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14:38:48-0600',mode:absolute,to:'2016-10-23 17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0" s="52" t="str">
        <f t="shared" si="73"/>
        <v>N</v>
      </c>
      <c r="X110" s="171">
        <f t="shared" si="41"/>
        <v>1</v>
      </c>
      <c r="Y110" s="67">
        <f t="shared" si="74"/>
        <v>4.4600000000000001E-2</v>
      </c>
      <c r="Z110" s="67">
        <f t="shared" si="75"/>
        <v>23.332899999999999</v>
      </c>
      <c r="AA110" s="67">
        <f t="shared" si="76"/>
        <v>23.2883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77"/>
        <v>0197-23</v>
      </c>
      <c r="AE110" s="91" t="str">
        <f t="shared" si="78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110" s="88" t="str">
        <f t="shared" si="79"/>
        <v>"C:\Program Files (x86)\AstroGrep\AstroGrep.exe" /spath="%USERPROFILE%\AppData\Local\Temp\OnboardLogs" /stypes="app*4027*20161023*" /stext=" 22:.+((SYSTEM_STATE.+slice.+state.+changed )|(ment ac)|(system.+state.+changed )|(\[timeout)|(PRM\|1\|D)|(kpr)|(kdp)|(\|lc)|(penalty))" /e /r /s</v>
      </c>
      <c r="AG110" s="1" t="str">
        <f t="shared" si="80"/>
        <v>EC</v>
      </c>
      <c r="AH110" s="92" t="str">
        <f t="shared" si="65"/>
        <v>"%USERPROFILE%\Documents\GitHub\eaglep3\Utilities\RefineRTDCRunTimes.py" --tripid 197-23 --locoid 4027 --swversion DE.1.0.7.0 --startMP 204:446 --initTime 2016-10-23T15:38:48 --startdatetime 2016-10-23T15:45:14 --delay 1 --endMP 204:233329 --enddatetime 2016-10-23T16:22:24 --enforcementcount 0 &gt;&gt;C:\Users\stu\Documents\GitHub\eaglep3-reporting\EC\2016-10-23-refined-times.txt</v>
      </c>
      <c r="AI11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{"issue":{"subject":"","project_id":79,"tracker_id":40,"status_id":1,"priority_id":2,"assigned_to_id":23,"start_date":"2016-10-23","description":"","custom_fields":[{"id":1,"name":"Subdivision","value":"EC"},{"id":4,"name":"Milepost","value":"23.3329"},{"id":17,"name":"Train ID","value":"197-23"},{"id":16,"name":"Locomotive ID","value":"4027"},{"id":130,"name":"Impact","value":""},{"id":150,"name":"Time of Event (Mountain Time)","value":"16:22:24"},{"id":151,"name":"Denver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551</v>
      </c>
      <c r="B111" s="7">
        <v>4028</v>
      </c>
      <c r="C111" s="22" t="s">
        <v>99</v>
      </c>
      <c r="D111" s="22" t="s">
        <v>319</v>
      </c>
      <c r="E111" s="13">
        <v>42666.687534722223</v>
      </c>
      <c r="F111" s="13">
        <v>42666.695347222223</v>
      </c>
      <c r="G111" s="7">
        <v>1</v>
      </c>
      <c r="H111" s="13" t="s">
        <v>387</v>
      </c>
      <c r="I111" s="13">
        <v>42666.72388888889</v>
      </c>
      <c r="J111" s="7">
        <v>0</v>
      </c>
      <c r="K111" s="112" t="str">
        <f t="shared" si="67"/>
        <v>4027/4028</v>
      </c>
      <c r="L111" s="22" t="str">
        <f>VLOOKUP(A111,'Trips&amp;Operators'!$C$1:$E$10000,3,FALSE)</f>
        <v>CLARK</v>
      </c>
      <c r="M111" s="6">
        <f t="shared" si="68"/>
        <v>2.8541666666569654E-2</v>
      </c>
      <c r="N111" s="7">
        <f t="shared" si="69"/>
        <v>41.099999999860302</v>
      </c>
      <c r="O111" s="7"/>
      <c r="P111" s="7"/>
      <c r="Q111" s="23"/>
      <c r="R111" s="23"/>
      <c r="S111" s="35">
        <f t="shared" si="70"/>
        <v>1</v>
      </c>
      <c r="T111" s="50" t="str">
        <f t="shared" si="71"/>
        <v>Southbound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15:30:03-0600',mode:absolute,to:'2016-10-23 18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1" s="52" t="str">
        <f t="shared" si="73"/>
        <v>N</v>
      </c>
      <c r="X111" s="171">
        <f t="shared" si="41"/>
        <v>1</v>
      </c>
      <c r="Y111" s="67">
        <f t="shared" si="74"/>
        <v>23.300599999999999</v>
      </c>
      <c r="Z111" s="67">
        <f t="shared" si="75"/>
        <v>1.6500000000000001E-2</v>
      </c>
      <c r="AA111" s="67">
        <f t="shared" si="76"/>
        <v>23.284099999999999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77"/>
        <v>0198-23</v>
      </c>
      <c r="AE111" s="91" t="str">
        <f t="shared" si="78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111" s="88" t="str">
        <f t="shared" si="79"/>
        <v>"C:\Program Files (x86)\AstroGrep\AstroGrep.exe" /spath="%USERPROFILE%\AppData\Local\Temp\OnboardLogs" /stypes="app*4028*20161023*" /stext=" 23:.+((SYSTEM_STATE.+slice.+state.+changed )|(ment ac)|(system.+state.+changed )|(\[timeout)|(PRM\|1\|D)|(kpr)|(kdp)|(\|lc)|(penalty))" /e /r /s</v>
      </c>
      <c r="AG111" s="1" t="str">
        <f t="shared" si="80"/>
        <v>EC</v>
      </c>
      <c r="AH111" s="92" t="str">
        <f t="shared" si="65"/>
        <v>"%USERPROFILE%\Documents\GitHub\eaglep3\Utilities\RefineRTDCRunTimes.py" --tripid 198-23 --locoid 4028 --swversion DE.1.0.7.0 --startMP 204:233006 --initTime 2016-10-23T16:30:03 --startdatetime 2016-10-23T16:41:18 --delay 1 --endMP 204:165 --enddatetime 2016-10-23T17:22:24 --enforcementcount 0 &gt;&gt;C:\Users\stu\Documents\GitHub\eaglep3-reporting\EC\2016-10-23-refined-times.txt</v>
      </c>
      <c r="AI11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{"issue":{"subject":"","project_id":79,"tracker_id":40,"status_id":1,"priority_id":2,"assigned_to_id":23,"start_date":"2016-10-23","description":"","custom_fields":[{"id":1,"name":"Subdivision","value":"EC"},{"id":4,"name":"Milepost","value":"0.0165"},{"id":17,"name":"Train ID","value":"198-23"},{"id":16,"name":"Locomotive ID","value":"4028"},{"id":130,"name":"Impact","value":""},{"id":150,"name":"Time of Event (Mountain Time)","value":"17:22:24"},{"id":151,"name":"Denver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545</v>
      </c>
      <c r="B112" s="7">
        <v>4018</v>
      </c>
      <c r="C112" s="22" t="s">
        <v>99</v>
      </c>
      <c r="D112" s="22" t="s">
        <v>239</v>
      </c>
      <c r="E112" s="13">
        <v>42666.661145833335</v>
      </c>
      <c r="F112" s="13">
        <v>42666.666851851849</v>
      </c>
      <c r="G112" s="7">
        <v>1</v>
      </c>
      <c r="H112" s="13" t="s">
        <v>708</v>
      </c>
      <c r="I112" s="13">
        <v>42666.692106481481</v>
      </c>
      <c r="J112" s="7">
        <v>0</v>
      </c>
      <c r="K112" s="112" t="str">
        <f t="shared" si="67"/>
        <v>4017/4018</v>
      </c>
      <c r="L112" s="22" t="str">
        <f>VLOOKUP(A112,'Trips&amp;Operators'!$C$1:$E$10000,3,FALSE)</f>
        <v>SHOOK</v>
      </c>
      <c r="M112" s="6">
        <f t="shared" si="68"/>
        <v>2.5254629632399883E-2</v>
      </c>
      <c r="N112" s="7">
        <f t="shared" si="69"/>
        <v>36.366666670655832</v>
      </c>
      <c r="O112" s="7"/>
      <c r="P112" s="7"/>
      <c r="Q112" s="23"/>
      <c r="R112" s="23"/>
      <c r="S112" s="35">
        <f t="shared" si="70"/>
        <v>1</v>
      </c>
      <c r="T112" s="50" t="str">
        <f t="shared" si="71"/>
        <v>NorthBound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14:52:03-0600',mode:absolute,to:'2016-10-23 17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2" s="52" t="str">
        <f t="shared" si="73"/>
        <v>N</v>
      </c>
      <c r="X112" s="171">
        <f t="shared" si="41"/>
        <v>1</v>
      </c>
      <c r="Y112" s="67">
        <f t="shared" si="74"/>
        <v>4.5100000000000001E-2</v>
      </c>
      <c r="Z112" s="67">
        <f t="shared" si="75"/>
        <v>23.3355</v>
      </c>
      <c r="AA112" s="67">
        <f t="shared" si="76"/>
        <v>23.290399999999998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77"/>
        <v>0199-23</v>
      </c>
      <c r="AE112" s="91" t="str">
        <f t="shared" si="78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12" s="88" t="str">
        <f t="shared" si="79"/>
        <v>"C:\Program Files (x86)\AstroGrep\AstroGrep.exe" /spath="%USERPROFILE%\AppData\Local\Temp\OnboardLogs" /stypes="app*4018*20161023*" /stext=" 22:.+((SYSTEM_STATE.+slice.+state.+changed )|(ment ac)|(system.+state.+changed )|(\[timeout)|(PRM\|1\|D)|(kpr)|(kdp)|(\|lc)|(penalty))" /e /r /s</v>
      </c>
      <c r="AG112" s="1" t="str">
        <f t="shared" si="80"/>
        <v>EC</v>
      </c>
      <c r="AH112" s="92" t="str">
        <f t="shared" si="65"/>
        <v>"%USERPROFILE%\Documents\GitHub\eaglep3\Utilities\RefineRTDCRunTimes.py" --tripid 199-23 --locoid 4018 --swversion DE.1.0.7.0 --startMP 204:451 --initTime 2016-10-23T15:52:03 --startdatetime 2016-10-23T16:00:16 --delay 1 --endMP 204:233355 --enddatetime 2016-10-23T16:36:38 --enforcementcount 0 &gt;&gt;C:\Users\stu\Documents\GitHub\eaglep3-reporting\EC\2016-10-23-refined-times.txt</v>
      </c>
      <c r="AI11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{"issue":{"subject":"","project_id":79,"tracker_id":40,"status_id":1,"priority_id":2,"assigned_to_id":23,"start_date":"2016-10-23","description":"","custom_fields":[{"id":1,"name":"Subdivision","value":"EC"},{"id":4,"name":"Milepost","value":"23.3355"},{"id":17,"name":"Train ID","value":"199-23"},{"id":16,"name":"Locomotive ID","value":"4018"},{"id":130,"name":"Impact","value":""},{"id":150,"name":"Time of Event (Mountain Time)","value":"16:36:38"},{"id":151,"name":"Denver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554</v>
      </c>
      <c r="B113" s="7">
        <v>4017</v>
      </c>
      <c r="C113" s="22" t="s">
        <v>99</v>
      </c>
      <c r="D113" s="22" t="s">
        <v>709</v>
      </c>
      <c r="E113" s="13">
        <v>42666.701365740744</v>
      </c>
      <c r="F113" s="13">
        <v>42666.705763888887</v>
      </c>
      <c r="G113" s="7">
        <v>1</v>
      </c>
      <c r="H113" s="13" t="s">
        <v>225</v>
      </c>
      <c r="I113" s="13">
        <v>42666.73228009259</v>
      </c>
      <c r="J113" s="7">
        <v>0</v>
      </c>
      <c r="K113" s="112" t="str">
        <f t="shared" si="67"/>
        <v>4017/4018</v>
      </c>
      <c r="L113" s="22" t="str">
        <f>VLOOKUP(A113,'Trips&amp;Operators'!$C$1:$E$10000,3,FALSE)</f>
        <v>SHOOK</v>
      </c>
      <c r="M113" s="6">
        <f t="shared" si="68"/>
        <v>2.6516203703067731E-2</v>
      </c>
      <c r="N113" s="7">
        <f t="shared" si="69"/>
        <v>38.183333332417533</v>
      </c>
      <c r="O113" s="7"/>
      <c r="P113" s="7"/>
      <c r="Q113" s="23"/>
      <c r="R113" s="23"/>
      <c r="S113" s="35">
        <f t="shared" si="70"/>
        <v>1</v>
      </c>
      <c r="T113" s="50" t="str">
        <f t="shared" si="71"/>
        <v>Southbound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15:49:58-0600',mode:absolute,to:'2016-10-23 18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3" s="52" t="str">
        <f t="shared" si="73"/>
        <v>N</v>
      </c>
      <c r="X113" s="171">
        <f t="shared" si="41"/>
        <v>1</v>
      </c>
      <c r="Y113" s="67">
        <f t="shared" si="74"/>
        <v>23.3034</v>
      </c>
      <c r="Z113" s="67">
        <f t="shared" si="75"/>
        <v>1.4999999999999999E-2</v>
      </c>
      <c r="AA113" s="67">
        <f t="shared" si="76"/>
        <v>23.288399999999999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77"/>
        <v>0200-23</v>
      </c>
      <c r="AE113" s="91" t="str">
        <f t="shared" si="78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113" s="88" t="str">
        <f t="shared" si="79"/>
        <v>"C:\Program Files (x86)\AstroGrep\AstroGrep.exe" /spath="%USERPROFILE%\AppData\Local\Temp\OnboardLogs" /stypes="app*4017*20161023*" /stext=" 23:.+((SYSTEM_STATE.+slice.+state.+changed )|(ment ac)|(system.+state.+changed )|(\[timeout)|(PRM\|1\|D)|(kpr)|(kdp)|(\|lc)|(penalty))" /e /r /s</v>
      </c>
      <c r="AG113" s="1" t="str">
        <f t="shared" si="80"/>
        <v>EC</v>
      </c>
      <c r="AH113" s="92" t="str">
        <f t="shared" si="65"/>
        <v>"%USERPROFILE%\Documents\GitHub\eaglep3\Utilities\RefineRTDCRunTimes.py" --tripid 200-23 --locoid 4017 --swversion DE.1.0.7.0 --startMP 204:233034 --initTime 2016-10-23T16:49:58 --startdatetime 2016-10-23T16:56:18 --delay 1 --endMP 204:150 --enddatetime 2016-10-23T17:34:29 --enforcementcount 0 &gt;&gt;C:\Users\stu\Documents\GitHub\eaglep3-reporting\EC\2016-10-23-refined-times.txt</v>
      </c>
      <c r="AI11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{"issue":{"subject":"","project_id":79,"tracker_id":40,"status_id":1,"priority_id":2,"assigned_to_id":23,"start_date":"2016-10-23","description":"","custom_fields":[{"id":1,"name":"Subdivision","value":"EC"},{"id":4,"name":"Milepost","value":"0.015"},{"id":17,"name":"Train ID","value":"200-23"},{"id":16,"name":"Locomotive ID","value":"4017"},{"id":130,"name":"Impact","value":""},{"id":150,"name":"Time of Event (Mountain Time)","value":"17:34:29"},{"id":151,"name":"Denver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546</v>
      </c>
      <c r="B114" s="7">
        <v>4009</v>
      </c>
      <c r="C114" s="22" t="s">
        <v>99</v>
      </c>
      <c r="D114" s="22" t="s">
        <v>261</v>
      </c>
      <c r="E114" s="13">
        <v>42666.672592592593</v>
      </c>
      <c r="F114" s="13">
        <v>42666.677476851852</v>
      </c>
      <c r="G114" s="7">
        <v>1</v>
      </c>
      <c r="H114" s="13" t="s">
        <v>310</v>
      </c>
      <c r="I114" s="13">
        <v>42666.703055555554</v>
      </c>
      <c r="J114" s="7">
        <v>0</v>
      </c>
      <c r="K114" s="112" t="str">
        <f t="shared" si="67"/>
        <v>4009/4010</v>
      </c>
      <c r="L114" s="22" t="str">
        <f>VLOOKUP(A114,'Trips&amp;Operators'!$C$1:$E$10000,3,FALSE)</f>
        <v>STEWART</v>
      </c>
      <c r="M114" s="6">
        <f t="shared" si="68"/>
        <v>2.5578703702194616E-2</v>
      </c>
      <c r="N114" s="7">
        <f t="shared" si="69"/>
        <v>36.833333331160247</v>
      </c>
      <c r="O114" s="7"/>
      <c r="P114" s="7"/>
      <c r="Q114" s="23"/>
      <c r="R114" s="23"/>
      <c r="S114" s="35">
        <f t="shared" si="70"/>
        <v>1</v>
      </c>
      <c r="T114" s="50" t="str">
        <f t="shared" si="71"/>
        <v>NorthBound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15:08:32-0600',mode:absolute,to:'2016-10-23 17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4" s="52" t="str">
        <f t="shared" si="73"/>
        <v>N</v>
      </c>
      <c r="X114" s="171">
        <f t="shared" si="41"/>
        <v>1</v>
      </c>
      <c r="Y114" s="67">
        <f t="shared" si="74"/>
        <v>4.4400000000000002E-2</v>
      </c>
      <c r="Z114" s="67">
        <f t="shared" si="75"/>
        <v>23.331</v>
      </c>
      <c r="AA114" s="67">
        <f t="shared" si="76"/>
        <v>23.2866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77"/>
        <v>0201-23</v>
      </c>
      <c r="AE114" s="91" t="str">
        <f t="shared" si="78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114" s="88" t="str">
        <f t="shared" si="79"/>
        <v>"C:\Program Files (x86)\AstroGrep\AstroGrep.exe" /spath="%USERPROFILE%\AppData\Local\Temp\OnboardLogs" /stypes="app*4009*20161023*" /stext=" 22:.+((SYSTEM_STATE.+slice.+state.+changed )|(ment ac)|(system.+state.+changed )|(\[timeout)|(PRM\|1\|D)|(kpr)|(kdp)|(\|lc)|(penalty))" /e /r /s</v>
      </c>
      <c r="AG114" s="1" t="str">
        <f t="shared" si="80"/>
        <v>EC</v>
      </c>
      <c r="AH114" s="92" t="str">
        <f t="shared" si="65"/>
        <v>"%USERPROFILE%\Documents\GitHub\eaglep3\Utilities\RefineRTDCRunTimes.py" --tripid 201-23 --locoid 4009 --swversion DE.1.0.7.0 --startMP 204:444 --initTime 2016-10-23T16:08:32 --startdatetime 2016-10-23T16:15:34 --delay 1 --endMP 204:233310 --enddatetime 2016-10-23T16:52:24 --enforcementcount 0 &gt;&gt;C:\Users\stu\Documents\GitHub\eaglep3-reporting\EC\2016-10-23-refined-times.txt</v>
      </c>
      <c r="AI11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{"issue":{"subject":"","project_id":79,"tracker_id":40,"status_id":1,"priority_id":2,"assigned_to_id":23,"start_date":"2016-10-23","description":"","custom_fields":[{"id":1,"name":"Subdivision","value":"EC"},{"id":4,"name":"Milepost","value":"23.331"},{"id":17,"name":"Train ID","value":"201-23"},{"id":16,"name":"Locomotive ID","value":"4009"},{"id":130,"name":"Impact","value":""},{"id":150,"name":"Time of Event (Mountain Time)","value":"16:52:24"},{"id":151,"name":"Denver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427</v>
      </c>
      <c r="B115" s="7">
        <v>4010</v>
      </c>
      <c r="C115" s="22" t="s">
        <v>99</v>
      </c>
      <c r="D115" s="22" t="s">
        <v>710</v>
      </c>
      <c r="E115" s="13">
        <v>42666.713541666664</v>
      </c>
      <c r="F115" s="13">
        <v>42666.716261574074</v>
      </c>
      <c r="G115" s="7">
        <v>1</v>
      </c>
      <c r="H115" s="13" t="s">
        <v>711</v>
      </c>
      <c r="I115" s="13">
        <v>42666.742592592593</v>
      </c>
      <c r="J115" s="7">
        <v>0</v>
      </c>
      <c r="K115" s="112" t="str">
        <f t="shared" si="67"/>
        <v>4009/4010</v>
      </c>
      <c r="L115" s="22" t="str">
        <f>VLOOKUP(A115,'Trips&amp;Operators'!$C$1:$E$10000,3,FALSE)</f>
        <v>STEWART</v>
      </c>
      <c r="M115" s="6">
        <f t="shared" si="68"/>
        <v>2.6331018518249039E-2</v>
      </c>
      <c r="N115" s="7">
        <f t="shared" si="69"/>
        <v>37.916666666278616</v>
      </c>
      <c r="O115" s="7"/>
      <c r="P115" s="7"/>
      <c r="Q115" s="23"/>
      <c r="R115" s="23"/>
      <c r="S115" s="35">
        <f t="shared" si="70"/>
        <v>1</v>
      </c>
      <c r="T115" s="50" t="str">
        <f t="shared" si="71"/>
        <v>Southbound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16:07:30-0600',mode:absolute,to:'2016-10-23 18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5" s="52" t="str">
        <f t="shared" si="73"/>
        <v>N</v>
      </c>
      <c r="X115" s="171">
        <f t="shared" ref="X115:X139" si="81">VALUE(LEFT(AD115,4))-VALUE(LEFT(AD114,4))</f>
        <v>1</v>
      </c>
      <c r="Y115" s="67">
        <f t="shared" si="74"/>
        <v>23.299600000000002</v>
      </c>
      <c r="Z115" s="67">
        <f t="shared" si="75"/>
        <v>2.12E-2</v>
      </c>
      <c r="AA115" s="67">
        <f t="shared" si="76"/>
        <v>23.278400000000001</v>
      </c>
      <c r="AB115" s="64" t="str">
        <f>VLOOKUP(A115,Enforcements!$C$7:$K$21,8,0)</f>
        <v>Form based authority (4)</v>
      </c>
      <c r="AC115" s="60" t="str">
        <f>VLOOKUP(A115,Enforcements!$C$7:$E$21,3,0)</f>
        <v>TRACK WARRANT AUTHORITY</v>
      </c>
      <c r="AD115" s="61" t="str">
        <f t="shared" si="77"/>
        <v>0202-23</v>
      </c>
      <c r="AE115" s="91" t="str">
        <f t="shared" si="78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15" s="88" t="str">
        <f t="shared" si="79"/>
        <v>"C:\Program Files (x86)\AstroGrep\AstroGrep.exe" /spath="%USERPROFILE%\AppData\Local\Temp\OnboardLogs" /stypes="app*4010*20161023*" /stext=" 23:.+((SYSTEM_STATE.+slice.+state.+changed )|(ment ac)|(system.+state.+changed )|(\[timeout)|(PRM\|1\|D)|(kpr)|(kdp)|(\|lc)|(penalty))" /e /r /s</v>
      </c>
      <c r="AG115" s="1" t="str">
        <f t="shared" si="80"/>
        <v>EC</v>
      </c>
      <c r="AH115" s="92" t="str">
        <f t="shared" si="65"/>
        <v>"%USERPROFILE%\Documents\GitHub\eaglep3\Utilities\RefineRTDCRunTimes.py" --tripid 202-23 --locoid 4010 --swversion DE.1.0.7.0 --startMP 204:232996 --initTime 2016-10-23T17:07:30 --startdatetime 2016-10-23T17:11:25 --delay 1 --endMP 204:212 --enddatetime 2016-10-23T17:49:20 --enforcementcount 0 &gt;&gt;C:\Users\stu\Documents\GitHub\eaglep3-reporting\EC\2016-10-23-refined-times.txt</v>
      </c>
      <c r="AI11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{"issue":{"subject":"","project_id":79,"tracker_id":40,"status_id":1,"priority_id":2,"assigned_to_id":23,"start_date":"2016-10-23","description":"","custom_fields":[{"id":1,"name":"Subdivision","value":"EC"},{"id":4,"name":"Milepost","value":"0.0212"},{"id":17,"name":"Train ID","value":"202-23"},{"id":16,"name":"Locomotive ID","value":"4010"},{"id":130,"name":"Impact","value":""},{"id":150,"name":"Time of Event (Mountain Time)","value":"17:49:20"},{"id":151,"name":"Denver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550</v>
      </c>
      <c r="B116" s="7">
        <v>4040</v>
      </c>
      <c r="C116" s="22" t="s">
        <v>99</v>
      </c>
      <c r="D116" s="22" t="s">
        <v>712</v>
      </c>
      <c r="E116" s="13">
        <v>42666.682326388887</v>
      </c>
      <c r="F116" s="13">
        <v>42666.687754629631</v>
      </c>
      <c r="G116" s="7">
        <v>1</v>
      </c>
      <c r="H116" s="13" t="s">
        <v>713</v>
      </c>
      <c r="I116" s="13">
        <v>42666.712523148148</v>
      </c>
      <c r="J116" s="7">
        <v>0</v>
      </c>
      <c r="K116" s="112" t="str">
        <f t="shared" si="67"/>
        <v>4039/4040</v>
      </c>
      <c r="L116" s="22" t="str">
        <f>VLOOKUP(A116,'Trips&amp;Operators'!$C$1:$E$10000,3,FALSE)</f>
        <v>BARTLETT</v>
      </c>
      <c r="M116" s="6">
        <f t="shared" si="68"/>
        <v>2.4768518516793847E-2</v>
      </c>
      <c r="N116" s="7">
        <f t="shared" si="69"/>
        <v>35.66666666418314</v>
      </c>
      <c r="O116" s="7"/>
      <c r="P116" s="7"/>
      <c r="Q116" s="23"/>
      <c r="R116" s="23"/>
      <c r="S116" s="35">
        <f t="shared" si="70"/>
        <v>1</v>
      </c>
      <c r="T116" s="50" t="str">
        <f t="shared" si="71"/>
        <v>NorthBound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15:22:33-0600',mode:absolute,to:'2016-10-23 18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6" s="52" t="str">
        <f t="shared" si="73"/>
        <v>N</v>
      </c>
      <c r="X116" s="171">
        <f t="shared" si="81"/>
        <v>1</v>
      </c>
      <c r="Y116" s="67">
        <f t="shared" si="74"/>
        <v>4.9099999999999998E-2</v>
      </c>
      <c r="Z116" s="67">
        <f t="shared" si="75"/>
        <v>23.332599999999999</v>
      </c>
      <c r="AA116" s="67">
        <f t="shared" si="76"/>
        <v>23.2835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77"/>
        <v>0203-23</v>
      </c>
      <c r="AE116" s="91" t="str">
        <f t="shared" si="78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16" s="88" t="str">
        <f t="shared" si="79"/>
        <v>"C:\Program Files (x86)\AstroGrep\AstroGrep.exe" /spath="%USERPROFILE%\AppData\Local\Temp\OnboardLogs" /stypes="app*4040*20161023*" /stext=" 23:.+((SYSTEM_STATE.+slice.+state.+changed )|(ment ac)|(system.+state.+changed )|(\[timeout)|(PRM\|1\|D)|(kpr)|(kdp)|(\|lc)|(penalty))" /e /r /s</v>
      </c>
      <c r="AG116" s="1" t="str">
        <f t="shared" si="80"/>
        <v>EC</v>
      </c>
      <c r="AH116" s="92" t="str">
        <f t="shared" si="65"/>
        <v>"%USERPROFILE%\Documents\GitHub\eaglep3\Utilities\RefineRTDCRunTimes.py" --tripid 203-23 --locoid 4040 --swversion DE.1.0.7.0 --startMP 204:491 --initTime 2016-10-23T16:22:33 --startdatetime 2016-10-23T16:30:22 --delay 1 --endMP 204:233326 --enddatetime 2016-10-23T17:06:02 --enforcementcount 0 &gt;&gt;C:\Users\stu\Documents\GitHub\eaglep3-reporting\EC\2016-10-23-refined-times.txt</v>
      </c>
      <c r="AI11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{"issue":{"subject":"","project_id":79,"tracker_id":40,"status_id":1,"priority_id":2,"assigned_to_id":23,"start_date":"2016-10-23","description":"","custom_fields":[{"id":1,"name":"Subdivision","value":"EC"},{"id":4,"name":"Milepost","value":"23.3326"},{"id":17,"name":"Train ID","value":"203-23"},{"id":16,"name":"Locomotive ID","value":"4040"},{"id":130,"name":"Impact","value":""},{"id":150,"name":"Time of Event (Mountain Time)","value":"17:06:02"},{"id":151,"name":"Denver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559</v>
      </c>
      <c r="B117" s="7">
        <v>4039</v>
      </c>
      <c r="C117" s="22" t="s">
        <v>99</v>
      </c>
      <c r="D117" s="22" t="s">
        <v>714</v>
      </c>
      <c r="E117" s="13">
        <v>42666.715752314813</v>
      </c>
      <c r="F117" s="13">
        <v>42666.7266087963</v>
      </c>
      <c r="G117" s="7">
        <v>1</v>
      </c>
      <c r="H117" s="13" t="s">
        <v>400</v>
      </c>
      <c r="I117" s="13">
        <v>42666.753229166665</v>
      </c>
      <c r="J117" s="7">
        <v>0</v>
      </c>
      <c r="K117" s="112" t="str">
        <f t="shared" si="67"/>
        <v>4039/4040</v>
      </c>
      <c r="L117" s="22" t="str">
        <f>VLOOKUP(A117,'Trips&amp;Operators'!$C$1:$E$10000,3,FALSE)</f>
        <v>BARTLETT</v>
      </c>
      <c r="M117" s="6">
        <f t="shared" si="68"/>
        <v>2.6620370364980772E-2</v>
      </c>
      <c r="N117" s="7">
        <f t="shared" si="69"/>
        <v>38.333333325572312</v>
      </c>
      <c r="O117" s="7"/>
      <c r="P117" s="7"/>
      <c r="Q117" s="23"/>
      <c r="R117" s="23"/>
      <c r="S117" s="35">
        <f t="shared" si="70"/>
        <v>1</v>
      </c>
      <c r="T117" s="50" t="str">
        <f t="shared" si="71"/>
        <v>Southbound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16:10:41-0600',mode:absolute,to:'2016-10-23 19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7" s="52" t="str">
        <f t="shared" si="73"/>
        <v>N</v>
      </c>
      <c r="X117" s="171">
        <f t="shared" si="81"/>
        <v>1</v>
      </c>
      <c r="Y117" s="67">
        <f t="shared" si="74"/>
        <v>23.300699999999999</v>
      </c>
      <c r="Z117" s="67">
        <f t="shared" si="75"/>
        <v>1.67E-2</v>
      </c>
      <c r="AA117" s="67">
        <f t="shared" si="76"/>
        <v>23.283999999999999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77"/>
        <v>0204-23</v>
      </c>
      <c r="AE117" s="91" t="str">
        <f t="shared" si="78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17" s="88" t="str">
        <f t="shared" si="79"/>
        <v>"C:\Program Files (x86)\AstroGrep\AstroGrep.exe" /spath="%USERPROFILE%\AppData\Local\Temp\OnboardLogs" /stypes="app*4039*20161024*" /stext=" 00:.+((SYSTEM_STATE.+slice.+state.+changed )|(ment ac)|(system.+state.+changed )|(\[timeout)|(PRM\|1\|D)|(kpr)|(kdp)|(\|lc)|(penalty))" /e /r /s</v>
      </c>
      <c r="AG117" s="1" t="str">
        <f t="shared" si="80"/>
        <v>EC</v>
      </c>
      <c r="AH117" s="92" t="str">
        <f t="shared" si="65"/>
        <v>"%USERPROFILE%\Documents\GitHub\eaglep3\Utilities\RefineRTDCRunTimes.py" --tripid 204-23 --locoid 4039 --swversion DE.1.0.7.0 --startMP 204:233007 --initTime 2016-10-23T17:10:41 --startdatetime 2016-10-23T17:26:19 --delay 1 --endMP 204:167 --enddatetime 2016-10-23T18:04:39 --enforcementcount 0 &gt;&gt;C:\Users\stu\Documents\GitHub\eaglep3-reporting\EC\2016-10-23-refined-times.txt</v>
      </c>
      <c r="AI11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{"issue":{"subject":"","project_id":79,"tracker_id":40,"status_id":1,"priority_id":2,"assigned_to_id":23,"start_date":"2016-10-23","description":"","custom_fields":[{"id":1,"name":"Subdivision","value":"EC"},{"id":4,"name":"Milepost","value":"0.0167"},{"id":17,"name":"Train ID","value":"204-23"},{"id":16,"name":"Locomotive ID","value":"4039"},{"id":130,"name":"Impact","value":""},{"id":150,"name":"Time of Event (Mountain Time)","value":"18:04:39"},{"id":151,"name":"Denver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552</v>
      </c>
      <c r="B118" s="7">
        <v>4046</v>
      </c>
      <c r="C118" s="22" t="s">
        <v>99</v>
      </c>
      <c r="D118" s="22" t="s">
        <v>227</v>
      </c>
      <c r="E118" s="13">
        <v>42666.692627314813</v>
      </c>
      <c r="F118" s="13">
        <v>42666.698125000003</v>
      </c>
      <c r="G118" s="7">
        <v>1</v>
      </c>
      <c r="H118" s="13" t="s">
        <v>394</v>
      </c>
      <c r="I118" s="13">
        <v>42666.72283564815</v>
      </c>
      <c r="J118" s="7">
        <v>0</v>
      </c>
      <c r="K118" s="112" t="str">
        <f t="shared" si="67"/>
        <v>4045/4046</v>
      </c>
      <c r="L118" s="22" t="str">
        <f>VLOOKUP(A118,'Trips&amp;Operators'!$C$1:$E$10000,3,FALSE)</f>
        <v>BRUDER</v>
      </c>
      <c r="M118" s="6">
        <f t="shared" si="68"/>
        <v>2.47106481474475E-2</v>
      </c>
      <c r="N118" s="7">
        <f t="shared" si="69"/>
        <v>35.583333332324401</v>
      </c>
      <c r="O118" s="7"/>
      <c r="P118" s="7"/>
      <c r="Q118" s="23"/>
      <c r="R118" s="23"/>
      <c r="S118" s="35">
        <f t="shared" si="70"/>
        <v>1</v>
      </c>
      <c r="T118" s="50" t="str">
        <f t="shared" si="71"/>
        <v>NorthBound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15:37:23-0600',mode:absolute,to:'2016-10-23 18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8" s="52" t="str">
        <f t="shared" si="73"/>
        <v>N</v>
      </c>
      <c r="X118" s="171">
        <f t="shared" si="81"/>
        <v>1</v>
      </c>
      <c r="Y118" s="67">
        <f t="shared" si="74"/>
        <v>4.53E-2</v>
      </c>
      <c r="Z118" s="67">
        <f t="shared" si="75"/>
        <v>23.331399999999999</v>
      </c>
      <c r="AA118" s="67">
        <f t="shared" si="76"/>
        <v>23.286099999999998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77"/>
        <v>0205-23</v>
      </c>
      <c r="AE118" s="91" t="str">
        <f t="shared" si="78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18" s="88" t="str">
        <f t="shared" si="79"/>
        <v>"C:\Program Files (x86)\AstroGrep\AstroGrep.exe" /spath="%USERPROFILE%\AppData\Local\Temp\OnboardLogs" /stypes="app*4046*20161023*" /stext=" 23:.+((SYSTEM_STATE.+slice.+state.+changed )|(ment ac)|(system.+state.+changed )|(\[timeout)|(PRM\|1\|D)|(kpr)|(kdp)|(\|lc)|(penalty))" /e /r /s</v>
      </c>
      <c r="AG118" s="1" t="str">
        <f t="shared" si="80"/>
        <v>EC</v>
      </c>
      <c r="AH118" s="92" t="str">
        <f t="shared" si="65"/>
        <v>"%USERPROFILE%\Documents\GitHub\eaglep3\Utilities\RefineRTDCRunTimes.py" --tripid 205-23 --locoid 4046 --swversion DE.1.0.7.0 --startMP 204:453 --initTime 2016-10-23T16:37:23 --startdatetime 2016-10-23T16:45:18 --delay 1 --endMP 204:233314 --enddatetime 2016-10-23T17:20:53 --enforcementcount 0 &gt;&gt;C:\Users\stu\Documents\GitHub\eaglep3-reporting\EC\2016-10-23-refined-times.txt</v>
      </c>
      <c r="AI11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{"issue":{"subject":"","project_id":79,"tracker_id":40,"status_id":1,"priority_id":2,"assigned_to_id":23,"start_date":"2016-10-23","description":"","custom_fields":[{"id":1,"name":"Subdivision","value":"EC"},{"id":4,"name":"Milepost","value":"23.3314"},{"id":17,"name":"Train ID","value":"205-23"},{"id":16,"name":"Locomotive ID","value":"4046"},{"id":130,"name":"Impact","value":""},{"id":150,"name":"Time of Event (Mountain Time)","value":"17:20:53"},{"id":151,"name":"Denver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562</v>
      </c>
      <c r="B119" s="7">
        <v>4045</v>
      </c>
      <c r="C119" s="22" t="s">
        <v>99</v>
      </c>
      <c r="D119" s="22" t="s">
        <v>308</v>
      </c>
      <c r="E119" s="13">
        <v>42666.729872685188</v>
      </c>
      <c r="F119" s="13">
        <v>42666.737013888887</v>
      </c>
      <c r="G119" s="7">
        <v>1</v>
      </c>
      <c r="H119" s="13" t="s">
        <v>236</v>
      </c>
      <c r="I119" s="13">
        <v>42666.763194444444</v>
      </c>
      <c r="J119" s="7">
        <v>0</v>
      </c>
      <c r="K119" s="112" t="str">
        <f t="shared" si="67"/>
        <v>4045/4046</v>
      </c>
      <c r="L119" s="22" t="str">
        <f>VLOOKUP(A119,'Trips&amp;Operators'!$C$1:$E$10000,3,FALSE)</f>
        <v>BRUDER</v>
      </c>
      <c r="M119" s="6">
        <f t="shared" si="68"/>
        <v>2.6180555556493346E-2</v>
      </c>
      <c r="N119" s="7">
        <f t="shared" si="69"/>
        <v>37.700000001350418</v>
      </c>
      <c r="O119" s="7"/>
      <c r="P119" s="7"/>
      <c r="Q119" s="23"/>
      <c r="R119" s="23"/>
      <c r="S119" s="35">
        <f t="shared" si="70"/>
        <v>1</v>
      </c>
      <c r="T119" s="50" t="str">
        <f t="shared" si="71"/>
        <v>Southbound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16:31:01-0600',mode:absolute,to:'2016-10-23 19:19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9" s="52" t="str">
        <f t="shared" si="73"/>
        <v>N</v>
      </c>
      <c r="X119" s="171">
        <f t="shared" si="81"/>
        <v>1</v>
      </c>
      <c r="Y119" s="67">
        <f t="shared" si="74"/>
        <v>23.299299999999999</v>
      </c>
      <c r="Z119" s="67">
        <f t="shared" si="75"/>
        <v>1.6E-2</v>
      </c>
      <c r="AA119" s="67">
        <f t="shared" si="76"/>
        <v>23.283300000000001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77"/>
        <v>0206-23</v>
      </c>
      <c r="AE119" s="91" t="str">
        <f t="shared" si="78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19" s="88" t="str">
        <f t="shared" si="79"/>
        <v>"C:\Program Files (x86)\AstroGrep\AstroGrep.exe" /spath="%USERPROFILE%\AppData\Local\Temp\OnboardLogs" /stypes="app*4045*20161024*" /stext=" 00:.+((SYSTEM_STATE.+slice.+state.+changed )|(ment ac)|(system.+state.+changed )|(\[timeout)|(PRM\|1\|D)|(kpr)|(kdp)|(\|lc)|(penalty))" /e /r /s</v>
      </c>
      <c r="AG119" s="1" t="str">
        <f t="shared" si="80"/>
        <v>EC</v>
      </c>
      <c r="AH119" s="92" t="str">
        <f t="shared" si="65"/>
        <v>"%USERPROFILE%\Documents\GitHub\eaglep3\Utilities\RefineRTDCRunTimes.py" --tripid 206-23 --locoid 4045 --swversion DE.1.0.7.0 --startMP 204:232993 --initTime 2016-10-23T17:31:01 --startdatetime 2016-10-23T17:41:18 --delay 1 --endMP 204:160 --enddatetime 2016-10-23T18:19:00 --enforcementcount 0 &gt;&gt;C:\Users\stu\Documents\GitHub\eaglep3-reporting\EC\2016-10-23-refined-times.txt</v>
      </c>
      <c r="AI11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{"issue":{"subject":"","project_id":79,"tracker_id":40,"status_id":1,"priority_id":2,"assigned_to_id":23,"start_date":"2016-10-23","description":"","custom_fields":[{"id":1,"name":"Subdivision","value":"EC"},{"id":4,"name":"Milepost","value":"0.016"},{"id":17,"name":"Train ID","value":"206-23"},{"id":16,"name":"Locomotive ID","value":"4045"},{"id":130,"name":"Impact","value":""},{"id":150,"name":"Time of Event (Mountain Time)","value":"18:19:00"},{"id":151,"name":"Denver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555</v>
      </c>
      <c r="B120" s="7">
        <v>4016</v>
      </c>
      <c r="C120" s="22" t="s">
        <v>99</v>
      </c>
      <c r="D120" s="22" t="s">
        <v>715</v>
      </c>
      <c r="E120" s="13">
        <v>42666.705810185187</v>
      </c>
      <c r="F120" s="13">
        <v>42666.708518518521</v>
      </c>
      <c r="G120" s="7">
        <v>1</v>
      </c>
      <c r="H120" s="13" t="s">
        <v>233</v>
      </c>
      <c r="I120" s="13">
        <v>42666.73332175926</v>
      </c>
      <c r="J120" s="7">
        <v>0</v>
      </c>
      <c r="K120" s="112" t="str">
        <f t="shared" si="67"/>
        <v>4015/4016</v>
      </c>
      <c r="L120" s="22" t="str">
        <f>VLOOKUP(A120,'Trips&amp;Operators'!$C$1:$E$10000,3,FALSE)</f>
        <v>MOSES</v>
      </c>
      <c r="M120" s="6">
        <f t="shared" si="68"/>
        <v>2.4803240739856847E-2</v>
      </c>
      <c r="N120" s="7">
        <f t="shared" si="69"/>
        <v>35.716666665393859</v>
      </c>
      <c r="O120" s="7"/>
      <c r="P120" s="7"/>
      <c r="Q120" s="23"/>
      <c r="R120" s="23"/>
      <c r="S120" s="35">
        <f t="shared" si="70"/>
        <v>1</v>
      </c>
      <c r="T120" s="50" t="str">
        <f t="shared" si="71"/>
        <v>NorthBound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15:56:22-0600',mode:absolute,to:'2016-10-23 18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0" s="52" t="str">
        <f t="shared" si="73"/>
        <v>N</v>
      </c>
      <c r="X120" s="171">
        <f t="shared" si="81"/>
        <v>1</v>
      </c>
      <c r="Y120" s="67">
        <f t="shared" si="74"/>
        <v>5.57E-2</v>
      </c>
      <c r="Z120" s="67">
        <f t="shared" si="75"/>
        <v>23.329499999999999</v>
      </c>
      <c r="AA120" s="67">
        <f t="shared" si="76"/>
        <v>23.273799999999998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77"/>
        <v>0207-23</v>
      </c>
      <c r="AE120" s="91" t="str">
        <f t="shared" si="78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120" s="88" t="str">
        <f t="shared" si="79"/>
        <v>"C:\Program Files (x86)\AstroGrep\AstroGrep.exe" /spath="%USERPROFILE%\AppData\Local\Temp\OnboardLogs" /stypes="app*4016*20161023*" /stext=" 23:.+((SYSTEM_STATE.+slice.+state.+changed )|(ment ac)|(system.+state.+changed )|(\[timeout)|(PRM\|1\|D)|(kpr)|(kdp)|(\|lc)|(penalty))" /e /r /s</v>
      </c>
      <c r="AG120" s="1" t="str">
        <f t="shared" si="80"/>
        <v>EC</v>
      </c>
      <c r="AH120" s="92" t="str">
        <f t="shared" si="65"/>
        <v>"%USERPROFILE%\Documents\GitHub\eaglep3\Utilities\RefineRTDCRunTimes.py" --tripid 207-23 --locoid 4016 --swversion DE.1.0.7.0 --startMP 204:557 --initTime 2016-10-23T16:56:22 --startdatetime 2016-10-23T17:00:16 --delay 1 --endMP 204:233295 --enddatetime 2016-10-23T17:35:59 --enforcementcount 0 &gt;&gt;C:\Users\stu\Documents\GitHub\eaglep3-reporting\EC\2016-10-23-refined-times.txt</v>
      </c>
      <c r="AI12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{"issue":{"subject":"","project_id":79,"tracker_id":40,"status_id":1,"priority_id":2,"assigned_to_id":23,"start_date":"2016-10-23","description":"","custom_fields":[{"id":1,"name":"Subdivision","value":"EC"},{"id":4,"name":"Milepost","value":"23.3295"},{"id":17,"name":"Train ID","value":"207-23"},{"id":16,"name":"Locomotive ID","value":"4016"},{"id":130,"name":"Impact","value":""},{"id":150,"name":"Time of Event (Mountain Time)","value":"17:35:59"},{"id":151,"name":"Denver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563</v>
      </c>
      <c r="B121" s="7">
        <v>4015</v>
      </c>
      <c r="C121" s="22" t="s">
        <v>99</v>
      </c>
      <c r="D121" s="22" t="s">
        <v>254</v>
      </c>
      <c r="E121" s="13">
        <v>42666.742939814816</v>
      </c>
      <c r="F121" s="13">
        <v>42666.747685185182</v>
      </c>
      <c r="G121" s="7">
        <v>1</v>
      </c>
      <c r="H121" s="13" t="s">
        <v>716</v>
      </c>
      <c r="I121" s="13">
        <v>42666.775185185186</v>
      </c>
      <c r="J121" s="7">
        <v>0</v>
      </c>
      <c r="K121" s="112" t="str">
        <f t="shared" si="67"/>
        <v>4015/4016</v>
      </c>
      <c r="L121" s="22" t="str">
        <f>VLOOKUP(A121,'Trips&amp;Operators'!$C$1:$E$10000,3,FALSE)</f>
        <v>MOSES</v>
      </c>
      <c r="M121" s="6">
        <f t="shared" si="68"/>
        <v>2.7500000003783498E-2</v>
      </c>
      <c r="N121" s="7">
        <f t="shared" si="69"/>
        <v>39.600000005448237</v>
      </c>
      <c r="O121" s="7"/>
      <c r="P121" s="7"/>
      <c r="Q121" s="23"/>
      <c r="R121" s="23"/>
      <c r="S121" s="35">
        <f t="shared" si="70"/>
        <v>1</v>
      </c>
      <c r="T121" s="50" t="str">
        <f t="shared" si="71"/>
        <v>Southbound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16:49:50-0600',mode:absolute,to:'2016-10-23 19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1" s="52" t="str">
        <f t="shared" si="73"/>
        <v>N</v>
      </c>
      <c r="X121" s="171">
        <f t="shared" si="81"/>
        <v>1</v>
      </c>
      <c r="Y121" s="67">
        <f t="shared" si="74"/>
        <v>23.297699999999999</v>
      </c>
      <c r="Z121" s="67">
        <f t="shared" si="75"/>
        <v>1.37E-2</v>
      </c>
      <c r="AA121" s="67">
        <f t="shared" si="76"/>
        <v>23.283999999999999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77"/>
        <v>0208-23</v>
      </c>
      <c r="AE121" s="91" t="str">
        <f t="shared" si="78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121" s="88" t="str">
        <f t="shared" si="79"/>
        <v>"C:\Program Files (x86)\AstroGrep\AstroGrep.exe" /spath="%USERPROFILE%\AppData\Local\Temp\OnboardLogs" /stypes="app*4015*20161024*" /stext=" 00:.+((SYSTEM_STATE.+slice.+state.+changed )|(ment ac)|(system.+state.+changed )|(\[timeout)|(PRM\|1\|D)|(kpr)|(kdp)|(\|lc)|(penalty))" /e /r /s</v>
      </c>
      <c r="AG121" s="1" t="str">
        <f t="shared" si="80"/>
        <v>EC</v>
      </c>
      <c r="AH121" s="92" t="str">
        <f t="shared" si="65"/>
        <v>"%USERPROFILE%\Documents\GitHub\eaglep3\Utilities\RefineRTDCRunTimes.py" --tripid 208-23 --locoid 4015 --swversion DE.1.0.7.0 --startMP 204:232977 --initTime 2016-10-23T17:49:50 --startdatetime 2016-10-23T17:56:40 --delay 1 --endMP 204:137 --enddatetime 2016-10-23T18:36:16 --enforcementcount 0 &gt;&gt;C:\Users\stu\Documents\GitHub\eaglep3-reporting\EC\2016-10-23-refined-times.txt</v>
      </c>
      <c r="AI12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{"issue":{"subject":"","project_id":79,"tracker_id":40,"status_id":1,"priority_id":2,"assigned_to_id":23,"start_date":"2016-10-23","description":"","custom_fields":[{"id":1,"name":"Subdivision","value":"EC"},{"id":4,"name":"Milepost","value":"0.0137"},{"id":17,"name":"Train ID","value":"208-23"},{"id":16,"name":"Locomotive ID","value":"4015"},{"id":130,"name":"Impact","value":""},{"id":150,"name":"Time of Event (Mountain Time)","value":"18:36:16"},{"id":151,"name":"Denver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560</v>
      </c>
      <c r="B122" s="7">
        <v>4025</v>
      </c>
      <c r="C122" s="22" t="s">
        <v>99</v>
      </c>
      <c r="D122" s="22" t="s">
        <v>389</v>
      </c>
      <c r="E122" s="13">
        <v>42666.718032407407</v>
      </c>
      <c r="F122" s="13">
        <v>42666.719664351855</v>
      </c>
      <c r="G122" s="7">
        <v>1</v>
      </c>
      <c r="H122" s="13" t="s">
        <v>311</v>
      </c>
      <c r="I122" s="13">
        <v>42666.745057870372</v>
      </c>
      <c r="J122" s="7">
        <v>0</v>
      </c>
      <c r="K122" s="112" t="str">
        <f t="shared" si="67"/>
        <v>4025/4026</v>
      </c>
      <c r="L122" s="22" t="str">
        <f>VLOOKUP(A122,'Trips&amp;Operators'!$C$1:$E$10000,3,FALSE)</f>
        <v>LEVERE</v>
      </c>
      <c r="M122" s="6">
        <f t="shared" si="68"/>
        <v>2.5393518517375924E-2</v>
      </c>
      <c r="N122" s="7">
        <f t="shared" si="69"/>
        <v>36.56666666502133</v>
      </c>
      <c r="O122" s="7"/>
      <c r="P122" s="7"/>
      <c r="Q122" s="23"/>
      <c r="R122" s="23"/>
      <c r="S122" s="35">
        <f t="shared" si="70"/>
        <v>1</v>
      </c>
      <c r="T122" s="50" t="str">
        <f t="shared" si="71"/>
        <v>NorthBound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16:13:58-0600',mode:absolute,to:'2016-10-23 18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2" s="52" t="str">
        <f t="shared" si="73"/>
        <v>N</v>
      </c>
      <c r="X122" s="171">
        <f t="shared" si="81"/>
        <v>1</v>
      </c>
      <c r="Y122" s="67">
        <f t="shared" si="74"/>
        <v>4.7699999999999999E-2</v>
      </c>
      <c r="Z122" s="67">
        <f t="shared" si="75"/>
        <v>23.330200000000001</v>
      </c>
      <c r="AA122" s="67">
        <f t="shared" si="76"/>
        <v>23.282500000000002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77"/>
        <v>0209-23</v>
      </c>
      <c r="AE122" s="91" t="str">
        <f t="shared" si="78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22" s="88" t="str">
        <f t="shared" si="79"/>
        <v>"C:\Program Files (x86)\AstroGrep\AstroGrep.exe" /spath="%USERPROFILE%\AppData\Local\Temp\OnboardLogs" /stypes="app*4025*20161023*" /stext=" 23:.+((SYSTEM_STATE.+slice.+state.+changed )|(ment ac)|(system.+state.+changed )|(\[timeout)|(PRM\|1\|D)|(kpr)|(kdp)|(\|lc)|(penalty))" /e /r /s</v>
      </c>
      <c r="AG122" s="1" t="str">
        <f t="shared" si="80"/>
        <v>EC</v>
      </c>
      <c r="AH122" s="92" t="str">
        <f t="shared" si="65"/>
        <v>"%USERPROFILE%\Documents\GitHub\eaglep3\Utilities\RefineRTDCRunTimes.py" --tripid 209-23 --locoid 4025 --swversion DE.1.0.7.0 --startMP 204:477 --initTime 2016-10-23T17:13:58 --startdatetime 2016-10-23T17:16:19 --delay 1 --endMP 204:233302 --enddatetime 2016-10-23T17:52:53 --enforcementcount 0 &gt;&gt;C:\Users\stu\Documents\GitHub\eaglep3-reporting\EC\2016-10-23-refined-times.txt</v>
      </c>
      <c r="AI12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{"issue":{"subject":"","project_id":79,"tracker_id":40,"status_id":1,"priority_id":2,"assigned_to_id":23,"start_date":"2016-10-23","description":"","custom_fields":[{"id":1,"name":"Subdivision","value":"EC"},{"id":4,"name":"Milepost","value":"23.3302"},{"id":17,"name":"Train ID","value":"209-23"},{"id":16,"name":"Locomotive ID","value":"4025"},{"id":130,"name":"Impact","value":""},{"id":150,"name":"Time of Event (Mountain Time)","value":"17:52:53"},{"id":151,"name":"Denver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565</v>
      </c>
      <c r="B123" s="7">
        <v>4026</v>
      </c>
      <c r="C123" s="22" t="s">
        <v>99</v>
      </c>
      <c r="D123" s="22" t="s">
        <v>399</v>
      </c>
      <c r="E123" s="13">
        <v>42666.752025462964</v>
      </c>
      <c r="F123" s="13">
        <v>42666.758009259262</v>
      </c>
      <c r="G123" s="7">
        <v>1</v>
      </c>
      <c r="H123" s="13" t="s">
        <v>220</v>
      </c>
      <c r="I123" s="13">
        <v>42666.785567129627</v>
      </c>
      <c r="J123" s="7">
        <v>0</v>
      </c>
      <c r="K123" s="112" t="str">
        <f t="shared" si="67"/>
        <v>4025/4026</v>
      </c>
      <c r="L123" s="22" t="str">
        <f>VLOOKUP(A123,'Trips&amp;Operators'!$C$1:$E$10000,3,FALSE)</f>
        <v>LEVERE</v>
      </c>
      <c r="M123" s="6">
        <f t="shared" si="68"/>
        <v>2.7557870365853887E-2</v>
      </c>
      <c r="N123" s="7">
        <f t="shared" si="69"/>
        <v>39.683333326829597</v>
      </c>
      <c r="O123" s="7"/>
      <c r="P123" s="7"/>
      <c r="Q123" s="23"/>
      <c r="R123" s="23"/>
      <c r="S123" s="35">
        <f t="shared" si="70"/>
        <v>1</v>
      </c>
      <c r="T123" s="50" t="str">
        <f t="shared" si="71"/>
        <v>Southbound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17:02:55-0600',mode:absolute,to:'2016-10-23 19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3" s="52" t="str">
        <f t="shared" si="73"/>
        <v>N</v>
      </c>
      <c r="X123" s="171">
        <f t="shared" si="81"/>
        <v>1</v>
      </c>
      <c r="Y123" s="67">
        <f t="shared" si="74"/>
        <v>23.297899999999998</v>
      </c>
      <c r="Z123" s="67">
        <f t="shared" si="75"/>
        <v>1.4500000000000001E-2</v>
      </c>
      <c r="AA123" s="67">
        <f t="shared" si="76"/>
        <v>23.283399999999997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77"/>
        <v>0210-23</v>
      </c>
      <c r="AE123" s="91" t="str">
        <f t="shared" si="78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23" s="88" t="str">
        <f t="shared" si="79"/>
        <v>"C:\Program Files (x86)\AstroGrep\AstroGrep.exe" /spath="%USERPROFILE%\AppData\Local\Temp\OnboardLogs" /stypes="app*4026*20161024*" /stext=" 00:.+((SYSTEM_STATE.+slice.+state.+changed )|(ment ac)|(system.+state.+changed )|(\[timeout)|(PRM\|1\|D)|(kpr)|(kdp)|(\|lc)|(penalty))" /e /r /s</v>
      </c>
      <c r="AG123" s="1" t="str">
        <f t="shared" si="80"/>
        <v>EC</v>
      </c>
      <c r="AH123" s="92" t="str">
        <f t="shared" si="65"/>
        <v>"%USERPROFILE%\Documents\GitHub\eaglep3\Utilities\RefineRTDCRunTimes.py" --tripid 210-23 --locoid 4026 --swversion DE.1.0.7.0 --startMP 204:232979 --initTime 2016-10-23T18:02:55 --startdatetime 2016-10-23T18:11:32 --delay 1 --endMP 204:145 --enddatetime 2016-10-23T18:51:13 --enforcementcount 0 &gt;&gt;C:\Users\stu\Documents\GitHub\eaglep3-reporting\EC\2016-10-23-refined-times.txt</v>
      </c>
      <c r="AI12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ID","value":"210-23"},{"id":16,"name":"Locomotive ID","value":"4026"},{"id":130,"name":"Impact","value":""},{"id":150,"name":"Time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561</v>
      </c>
      <c r="B124" s="7">
        <v>4027</v>
      </c>
      <c r="C124" s="22" t="s">
        <v>99</v>
      </c>
      <c r="D124" s="22" t="s">
        <v>717</v>
      </c>
      <c r="E124" s="13">
        <v>42666.725682870368</v>
      </c>
      <c r="F124" s="13">
        <v>42666.729375000003</v>
      </c>
      <c r="G124" s="7">
        <v>1</v>
      </c>
      <c r="H124" s="13" t="s">
        <v>357</v>
      </c>
      <c r="I124" s="13">
        <v>42666.755613425928</v>
      </c>
      <c r="J124" s="7">
        <v>0</v>
      </c>
      <c r="K124" s="112" t="str">
        <f t="shared" si="67"/>
        <v>4027/4028</v>
      </c>
      <c r="L124" s="22" t="str">
        <f>VLOOKUP(A124,'Trips&amp;Operators'!$C$1:$E$10000,3,FALSE)</f>
        <v>YOUNG</v>
      </c>
      <c r="M124" s="6">
        <f t="shared" si="68"/>
        <v>2.6238425925839692E-2</v>
      </c>
      <c r="N124" s="7">
        <f t="shared" si="69"/>
        <v>37.783333333209157</v>
      </c>
      <c r="O124" s="7"/>
      <c r="P124" s="7"/>
      <c r="Q124" s="23"/>
      <c r="R124" s="23"/>
      <c r="S124" s="35">
        <f t="shared" si="70"/>
        <v>1</v>
      </c>
      <c r="T124" s="50" t="str">
        <f t="shared" si="71"/>
        <v>NorthBound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16:24:59-0600',mode:absolute,to:'2016-10-23 19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4" s="52" t="str">
        <f t="shared" si="73"/>
        <v>N</v>
      </c>
      <c r="X124" s="171">
        <f t="shared" si="81"/>
        <v>1</v>
      </c>
      <c r="Y124" s="67">
        <f t="shared" si="74"/>
        <v>4.2599999999999999E-2</v>
      </c>
      <c r="Z124" s="67">
        <f t="shared" si="75"/>
        <v>23.330500000000001</v>
      </c>
      <c r="AA124" s="67">
        <f t="shared" si="76"/>
        <v>23.2879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77"/>
        <v>0211-23</v>
      </c>
      <c r="AE124" s="91" t="str">
        <f t="shared" si="78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124" s="88" t="str">
        <f t="shared" si="79"/>
        <v>"C:\Program Files (x86)\AstroGrep\AstroGrep.exe" /spath="%USERPROFILE%\AppData\Local\Temp\OnboardLogs" /stypes="app*4027*20161024*" /stext=" 00:.+((SYSTEM_STATE.+slice.+state.+changed )|(ment ac)|(system.+state.+changed )|(\[timeout)|(PRM\|1\|D)|(kpr)|(kdp)|(\|lc)|(penalty))" /e /r /s</v>
      </c>
      <c r="AG124" s="1" t="str">
        <f t="shared" si="80"/>
        <v>EC</v>
      </c>
      <c r="AH124" s="92" t="str">
        <f t="shared" si="65"/>
        <v>"%USERPROFILE%\Documents\GitHub\eaglep3\Utilities\RefineRTDCRunTimes.py" --tripid 211-23 --locoid 4027 --swversion DE.1.0.7.0 --startMP 204:426 --initTime 2016-10-23T17:24:59 --startdatetime 2016-10-23T17:30:18 --delay 1 --endMP 204:233305 --enddatetime 2016-10-23T18:08:05 --enforcementcount 0 &gt;&gt;C:\Users\stu\Documents\GitHub\eaglep3-reporting\EC\2016-10-23-refined-times.txt</v>
      </c>
      <c r="AI12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{"issue":{"subject":"","project_id":79,"tracker_id":40,"status_id":1,"priority_id":2,"assigned_to_id":23,"start_date":"2016-10-23","description":"","custom_fields":[{"id":1,"name":"Subdivision","value":"EC"},{"id":4,"name":"Milepost","value":"23.3305"},{"id":17,"name":"Train ID","value":"211-23"},{"id":16,"name":"Locomotive ID","value":"4027"},{"id":130,"name":"Impact","value":""},{"id":150,"name":"Time of Event (Mountain Time)","value":"18:08:05"},{"id":151,"name":"Denver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568</v>
      </c>
      <c r="B125" s="7">
        <v>4028</v>
      </c>
      <c r="C125" s="22" t="s">
        <v>99</v>
      </c>
      <c r="D125" s="22" t="s">
        <v>401</v>
      </c>
      <c r="E125" s="13">
        <v>42666.761157407411</v>
      </c>
      <c r="F125" s="13">
        <v>42666.76834490741</v>
      </c>
      <c r="G125" s="7">
        <v>1</v>
      </c>
      <c r="H125" s="13" t="s">
        <v>718</v>
      </c>
      <c r="I125" s="13">
        <v>42666.79892361111</v>
      </c>
      <c r="J125" s="7">
        <v>0</v>
      </c>
      <c r="K125" s="112" t="str">
        <f t="shared" si="67"/>
        <v>4027/4028</v>
      </c>
      <c r="L125" s="22" t="str">
        <f>VLOOKUP(A125,'Trips&amp;Operators'!$C$1:$E$10000,3,FALSE)</f>
        <v>YOUNG</v>
      </c>
      <c r="M125" s="6">
        <f t="shared" si="68"/>
        <v>3.0578703699575271E-2</v>
      </c>
      <c r="N125" s="7">
        <f t="shared" si="69"/>
        <v>44.033333327388391</v>
      </c>
      <c r="O125" s="7"/>
      <c r="P125" s="7"/>
      <c r="Q125" s="23"/>
      <c r="R125" s="23"/>
      <c r="S125" s="35">
        <f t="shared" si="70"/>
        <v>1</v>
      </c>
      <c r="T125" s="50" t="str">
        <f t="shared" si="71"/>
        <v>Southbound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17:16:04-0600',mode:absolute,to:'2016-10-23 20:10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5" s="52" t="str">
        <f t="shared" si="73"/>
        <v>N</v>
      </c>
      <c r="X125" s="171">
        <f t="shared" si="81"/>
        <v>1</v>
      </c>
      <c r="Y125" s="67">
        <f t="shared" si="74"/>
        <v>23.299199999999999</v>
      </c>
      <c r="Z125" s="67">
        <f t="shared" si="75"/>
        <v>1.2E-2</v>
      </c>
      <c r="AA125" s="67">
        <f t="shared" si="76"/>
        <v>23.287199999999999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77"/>
        <v>0212-23</v>
      </c>
      <c r="AE125" s="91" t="str">
        <f t="shared" si="78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125" s="88" t="str">
        <f t="shared" si="79"/>
        <v>"C:\Program Files (x86)\AstroGrep\AstroGrep.exe" /spath="%USERPROFILE%\AppData\Local\Temp\OnboardLogs" /stypes="app*4028*20161024*" /stext=" 01:.+((SYSTEM_STATE.+slice.+state.+changed )|(ment ac)|(system.+state.+changed )|(\[timeout)|(PRM\|1\|D)|(kpr)|(kdp)|(\|lc)|(penalty))" /e /r /s</v>
      </c>
      <c r="AG125" s="1" t="str">
        <f t="shared" si="80"/>
        <v>EC</v>
      </c>
      <c r="AH125" s="92" t="str">
        <f t="shared" si="65"/>
        <v>"%USERPROFILE%\Documents\GitHub\eaglep3\Utilities\RefineRTDCRunTimes.py" --tripid 212-23 --locoid 4028 --swversion DE.1.0.7.0 --startMP 204:232992 --initTime 2016-10-23T18:16:04 --startdatetime 2016-10-23T18:26:25 --delay 1 --endMP 204:120 --enddatetime 2016-10-23T19:10:27 --enforcementcount 0 &gt;&gt;C:\Users\stu\Documents\GitHub\eaglep3-reporting\EC\2016-10-23-refined-times.txt</v>
      </c>
      <c r="AI12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{"issue":{"subject":"","project_id":79,"tracker_id":40,"status_id":1,"priority_id":2,"assigned_to_id":23,"start_date":"2016-10-23","description":"","custom_fields":[{"id":1,"name":"Subdivision","value":"EC"},{"id":4,"name":"Milepost","value":"0.012"},{"id":17,"name":"Train ID","value":"212-23"},{"id":16,"name":"Locomotive ID","value":"4028"},{"id":130,"name":"Impact","value":""},{"id":150,"name":"Time of Event (Mountain Time)","value":"19:10:27"},{"id":151,"name":"Denver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430</v>
      </c>
      <c r="B126" s="7">
        <v>4018</v>
      </c>
      <c r="C126" s="22" t="s">
        <v>99</v>
      </c>
      <c r="D126" s="22" t="s">
        <v>719</v>
      </c>
      <c r="E126" s="13">
        <v>42666.734918981485</v>
      </c>
      <c r="F126" s="13">
        <v>42666.740023148152</v>
      </c>
      <c r="G126" s="7">
        <v>1</v>
      </c>
      <c r="H126" s="13" t="s">
        <v>720</v>
      </c>
      <c r="I126" s="13">
        <v>42666.764965277776</v>
      </c>
      <c r="J126" s="7">
        <v>0</v>
      </c>
      <c r="K126" s="112" t="str">
        <f t="shared" si="67"/>
        <v>4017/4018</v>
      </c>
      <c r="L126" s="22" t="str">
        <f>VLOOKUP(A126,'Trips&amp;Operators'!$C$1:$E$10000,3,FALSE)</f>
        <v>BERLING</v>
      </c>
      <c r="M126" s="6">
        <f t="shared" si="68"/>
        <v>2.4942129624832887E-2</v>
      </c>
      <c r="N126" s="7">
        <f t="shared" si="69"/>
        <v>35.916666659759358</v>
      </c>
      <c r="O126" s="7"/>
      <c r="P126" s="7"/>
      <c r="Q126" s="23"/>
      <c r="R126" s="23"/>
      <c r="S126" s="35">
        <f t="shared" si="70"/>
        <v>1</v>
      </c>
      <c r="T126" s="50" t="str">
        <f t="shared" si="71"/>
        <v>NorthBound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16:38:17-0600',mode:absolute,to:'2016-10-23 19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6" s="52" t="str">
        <f t="shared" si="73"/>
        <v>N</v>
      </c>
      <c r="X126" s="171">
        <f t="shared" si="81"/>
        <v>1</v>
      </c>
      <c r="Y126" s="67">
        <f t="shared" si="74"/>
        <v>4.3700000000000003E-2</v>
      </c>
      <c r="Z126" s="67">
        <f t="shared" si="75"/>
        <v>23.311299999999999</v>
      </c>
      <c r="AA126" s="67">
        <f t="shared" si="76"/>
        <v>23.267599999999998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77"/>
        <v>0213-23</v>
      </c>
      <c r="AE126" s="91" t="str">
        <f t="shared" si="78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26" s="88" t="str">
        <f t="shared" si="79"/>
        <v>"C:\Program Files (x86)\AstroGrep\AstroGrep.exe" /spath="%USERPROFILE%\AppData\Local\Temp\OnboardLogs" /stypes="app*4018*20161024*" /stext=" 00:.+((SYSTEM_STATE.+slice.+state.+changed )|(ment ac)|(system.+state.+changed )|(\[timeout)|(PRM\|1\|D)|(kpr)|(kdp)|(\|lc)|(penalty))" /e /r /s</v>
      </c>
      <c r="AG126" s="1" t="str">
        <f t="shared" si="80"/>
        <v>EC</v>
      </c>
      <c r="AH126" s="92" t="str">
        <f t="shared" si="65"/>
        <v>"%USERPROFILE%\Documents\GitHub\eaglep3\Utilities\RefineRTDCRunTimes.py" --tripid 213-23 --locoid 4018 --swversion DE.1.0.7.0 --startMP 204:437 --initTime 2016-10-23T17:38:17 --startdatetime 2016-10-23T17:45:38 --delay 1 --endMP 204:233113 --enddatetime 2016-10-23T18:21:33 --enforcementcount 0 &gt;&gt;C:\Users\stu\Documents\GitHub\eaglep3-reporting\EC\2016-10-23-refined-times.txt</v>
      </c>
      <c r="AI12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{"issue":{"subject":"","project_id":79,"tracker_id":40,"status_id":1,"priority_id":2,"assigned_to_id":23,"start_date":"2016-10-23","description":"","custom_fields":[{"id":1,"name":"Subdivision","value":"EC"},{"id":4,"name":"Milepost","value":"23.3113"},{"id":17,"name":"Train ID","value":"213-23"},{"id":16,"name":"Locomotive ID","value":"4018"},{"id":130,"name":"Impact","value":""},{"id":150,"name":"Time of Event (Mountain Time)","value":"18:21:33"},{"id":151,"name":"Denver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570</v>
      </c>
      <c r="B127" s="7">
        <v>4017</v>
      </c>
      <c r="C127" s="22" t="s">
        <v>99</v>
      </c>
      <c r="D127" s="22" t="s">
        <v>721</v>
      </c>
      <c r="E127" s="13">
        <v>42666.774328703701</v>
      </c>
      <c r="F127" s="13">
        <v>42666.778831018521</v>
      </c>
      <c r="G127" s="7">
        <v>1</v>
      </c>
      <c r="H127" s="13" t="s">
        <v>267</v>
      </c>
      <c r="I127" s="13">
        <v>42666.805879629632</v>
      </c>
      <c r="J127" s="7">
        <v>0</v>
      </c>
      <c r="K127" s="112" t="str">
        <f t="shared" si="67"/>
        <v>4017/4018</v>
      </c>
      <c r="L127" s="22" t="str">
        <f>VLOOKUP(A127,'Trips&amp;Operators'!$C$1:$E$10000,3,FALSE)</f>
        <v>BERLING</v>
      </c>
      <c r="M127" s="6">
        <f t="shared" si="68"/>
        <v>2.7048611111240461E-2</v>
      </c>
      <c r="N127" s="7">
        <f t="shared" si="69"/>
        <v>38.950000000186265</v>
      </c>
      <c r="O127" s="7"/>
      <c r="P127" s="7"/>
      <c r="Q127" s="23"/>
      <c r="R127" s="23"/>
      <c r="S127" s="35">
        <f t="shared" si="70"/>
        <v>1</v>
      </c>
      <c r="T127" s="50" t="str">
        <f t="shared" si="71"/>
        <v>Southbound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17:35:02-0600',mode:absolute,to:'2016-10-23 20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7" s="52" t="str">
        <f t="shared" si="73"/>
        <v>N</v>
      </c>
      <c r="X127" s="171">
        <f t="shared" si="81"/>
        <v>1</v>
      </c>
      <c r="Y127" s="67">
        <f t="shared" si="74"/>
        <v>23.28</v>
      </c>
      <c r="Z127" s="67">
        <f t="shared" si="75"/>
        <v>1.3899999999999999E-2</v>
      </c>
      <c r="AA127" s="67">
        <f t="shared" si="76"/>
        <v>23.266100000000002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77"/>
        <v>0214-23</v>
      </c>
      <c r="AE127" s="91" t="str">
        <f t="shared" si="78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127" s="88" t="str">
        <f t="shared" si="79"/>
        <v>"C:\Program Files (x86)\AstroGrep\AstroGrep.exe" /spath="%USERPROFILE%\AppData\Local\Temp\OnboardLogs" /stypes="app*4017*20161024*" /stext=" 01:.+((SYSTEM_STATE.+slice.+state.+changed )|(ment ac)|(system.+state.+changed )|(\[timeout)|(PRM\|1\|D)|(kpr)|(kdp)|(\|lc)|(penalty))" /e /r /s</v>
      </c>
      <c r="AG127" s="1" t="str">
        <f t="shared" si="80"/>
        <v>EC</v>
      </c>
      <c r="AH127" s="92" t="str">
        <f t="shared" si="65"/>
        <v>"%USERPROFILE%\Documents\GitHub\eaglep3\Utilities\RefineRTDCRunTimes.py" --tripid 214-23 --locoid 4017 --swversion DE.1.0.7.0 --startMP 204:232800 --initTime 2016-10-23T18:35:02 --startdatetime 2016-10-23T18:41:31 --delay 1 --endMP 204:139 --enddatetime 2016-10-23T19:20:28 --enforcementcount 0 &gt;&gt;C:\Users\stu\Documents\GitHub\eaglep3-reporting\EC\2016-10-23-refined-times.txt</v>
      </c>
      <c r="AI12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ID","value":"214-23"},{"id":16,"name":"Locomotive ID","value":"4017"},{"id":130,"name":"Impact","value":""},{"id":150,"name":"Time of Event (Mountain Time)","value":"19:20:28"},{"id":151,"name":"Denver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564</v>
      </c>
      <c r="B128" s="7">
        <v>4009</v>
      </c>
      <c r="C128" s="22" t="s">
        <v>99</v>
      </c>
      <c r="D128" s="22" t="s">
        <v>722</v>
      </c>
      <c r="E128" s="13">
        <v>42666.74486111111</v>
      </c>
      <c r="F128" s="13">
        <v>42666.750208333331</v>
      </c>
      <c r="G128" s="7">
        <v>1</v>
      </c>
      <c r="H128" s="13" t="s">
        <v>723</v>
      </c>
      <c r="I128" s="13">
        <v>42666.775694444441</v>
      </c>
      <c r="J128" s="7">
        <v>0</v>
      </c>
      <c r="K128" s="112" t="str">
        <f t="shared" si="67"/>
        <v>4009/4010</v>
      </c>
      <c r="L128" s="22" t="str">
        <f>VLOOKUP(A128,'Trips&amp;Operators'!$C$1:$E$10000,3,FALSE)</f>
        <v>SHOOK</v>
      </c>
      <c r="M128" s="6">
        <f t="shared" si="68"/>
        <v>2.548611110978527E-2</v>
      </c>
      <c r="N128" s="7">
        <f t="shared" si="69"/>
        <v>36.699999998090789</v>
      </c>
      <c r="O128" s="7"/>
      <c r="P128" s="7"/>
      <c r="Q128" s="23"/>
      <c r="R128" s="23"/>
      <c r="S128" s="35">
        <f t="shared" si="70"/>
        <v>1</v>
      </c>
      <c r="T128" s="50" t="str">
        <f t="shared" si="71"/>
        <v>NorthBound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16:52:36-0600',mode:absolute,to:'2016-10-23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8" s="52" t="str">
        <f t="shared" si="73"/>
        <v>N</v>
      </c>
      <c r="X128" s="171">
        <f t="shared" si="81"/>
        <v>1</v>
      </c>
      <c r="Y128" s="67">
        <f t="shared" si="74"/>
        <v>5.0599999999999999E-2</v>
      </c>
      <c r="Z128" s="67">
        <f t="shared" si="75"/>
        <v>23.335899999999999</v>
      </c>
      <c r="AA128" s="67">
        <f t="shared" si="76"/>
        <v>23.285299999999999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77"/>
        <v>0215-23</v>
      </c>
      <c r="AE128" s="91" t="str">
        <f t="shared" si="78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128" s="88" t="str">
        <f t="shared" si="79"/>
        <v>"C:\Program Files (x86)\AstroGrep\AstroGrep.exe" /spath="%USERPROFILE%\AppData\Local\Temp\OnboardLogs" /stypes="app*4009*20161024*" /stext=" 00:.+((SYSTEM_STATE.+slice.+state.+changed )|(ment ac)|(system.+state.+changed )|(\[timeout)|(PRM\|1\|D)|(kpr)|(kdp)|(\|lc)|(penalty))" /e /r /s</v>
      </c>
      <c r="AG128" s="1" t="str">
        <f t="shared" si="80"/>
        <v>EC</v>
      </c>
      <c r="AH128" s="92" t="str">
        <f t="shared" si="65"/>
        <v>"%USERPROFILE%\Documents\GitHub\eaglep3\Utilities\RefineRTDCRunTimes.py" --tripid 215-23 --locoid 4009 --swversion DE.1.0.7.0 --startMP 204:506 --initTime 2016-10-23T17:52:36 --startdatetime 2016-10-23T18:00:18 --delay 1 --endMP 204:233359 --enddatetime 2016-10-23T18:37:00 --enforcementcount 0 &gt;&gt;C:\Users\stu\Documents\GitHub\eaglep3-reporting\EC\2016-10-23-refined-times.txt</v>
      </c>
      <c r="AI12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{"issue":{"subject":"","project_id":79,"tracker_id":40,"status_id":1,"priority_id":2,"assigned_to_id":23,"start_date":"2016-10-23","description":"","custom_fields":[{"id":1,"name":"Subdivision","value":"EC"},{"id":4,"name":"Milepost","value":"23.3359"},{"id":17,"name":"Train ID","value":"215-23"},{"id":16,"name":"Locomotive ID","value":"4009"},{"id":130,"name":"Impact","value":""},{"id":150,"name":"Time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573</v>
      </c>
      <c r="B129" s="7">
        <v>4010</v>
      </c>
      <c r="C129" s="22" t="s">
        <v>99</v>
      </c>
      <c r="D129" s="22" t="s">
        <v>724</v>
      </c>
      <c r="E129" s="13">
        <v>42666.78396990741</v>
      </c>
      <c r="F129" s="13">
        <v>42666.789085648146</v>
      </c>
      <c r="G129" s="7">
        <v>1</v>
      </c>
      <c r="H129" s="13" t="s">
        <v>725</v>
      </c>
      <c r="I129" s="13">
        <v>42666.816400462965</v>
      </c>
      <c r="J129" s="7">
        <v>0</v>
      </c>
      <c r="K129" s="112" t="str">
        <f t="shared" si="67"/>
        <v>4009/4010</v>
      </c>
      <c r="L129" s="22" t="str">
        <f>VLOOKUP(A129,'Trips&amp;Operators'!$C$1:$E$10000,3,FALSE)</f>
        <v>SHOOK</v>
      </c>
      <c r="M129" s="6">
        <f t="shared" si="68"/>
        <v>2.7314814818964805E-2</v>
      </c>
      <c r="N129" s="7">
        <f t="shared" si="69"/>
        <v>39.33333333930932</v>
      </c>
      <c r="O129" s="7"/>
      <c r="P129" s="7"/>
      <c r="Q129" s="23"/>
      <c r="R129" s="23"/>
      <c r="S129" s="35">
        <f t="shared" si="70"/>
        <v>1</v>
      </c>
      <c r="T129" s="50" t="str">
        <f t="shared" si="71"/>
        <v>Southbound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17:48:55-0600',mode:absolute,to:'2016-10-23 20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9" s="52" t="str">
        <f t="shared" si="73"/>
        <v>N</v>
      </c>
      <c r="X129" s="171">
        <f t="shared" si="81"/>
        <v>1</v>
      </c>
      <c r="Y129" s="67">
        <f t="shared" si="74"/>
        <v>23.302499999999998</v>
      </c>
      <c r="Z129" s="67">
        <f t="shared" si="75"/>
        <v>1.5699999999999999E-2</v>
      </c>
      <c r="AA129" s="67">
        <f t="shared" si="76"/>
        <v>23.286799999999999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77"/>
        <v>0216-23</v>
      </c>
      <c r="AE129" s="91" t="str">
        <f t="shared" si="78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29" s="88" t="str">
        <f t="shared" si="79"/>
        <v>"C:\Program Files (x86)\AstroGrep\AstroGrep.exe" /spath="%USERPROFILE%\AppData\Local\Temp\OnboardLogs" /stypes="app*4010*20161024*" /stext=" 01:.+((SYSTEM_STATE.+slice.+state.+changed )|(ment ac)|(system.+state.+changed )|(\[timeout)|(PRM\|1\|D)|(kpr)|(kdp)|(\|lc)|(penalty))" /e /r /s</v>
      </c>
      <c r="AG129" s="1" t="str">
        <f t="shared" si="80"/>
        <v>EC</v>
      </c>
      <c r="AH129" s="92" t="str">
        <f t="shared" si="65"/>
        <v>"%USERPROFILE%\Documents\GitHub\eaglep3\Utilities\RefineRTDCRunTimes.py" --tripid 216-23 --locoid 4010 --swversion DE.1.0.7.0 --startMP 204:233025 --initTime 2016-10-23T18:48:55 --startdatetime 2016-10-23T18:56:17 --delay 1 --endMP 204:157 --enddatetime 2016-10-23T19:35:37 --enforcementcount 0 &gt;&gt;C:\Users\stu\Documents\GitHub\eaglep3-reporting\EC\2016-10-23-refined-times.txt</v>
      </c>
      <c r="AI12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{"issue":{"subject":"","project_id":79,"tracker_id":40,"status_id":1,"priority_id":2,"assigned_to_id":23,"start_date":"2016-10-23","description":"","custom_fields":[{"id":1,"name":"Subdivision","value":"EC"},{"id":4,"name":"Milepost","value":"0.0157"},{"id":17,"name":"Train ID","value":"216-23"},{"id":16,"name":"Locomotive ID","value":"4010"},{"id":130,"name":"Impact","value":""},{"id":150,"name":"Time of Event (Mountain Time)","value":"19:35:37"},{"id":151,"name":"Denver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566</v>
      </c>
      <c r="B130" s="7">
        <v>4040</v>
      </c>
      <c r="C130" s="22" t="s">
        <v>99</v>
      </c>
      <c r="D130" s="22" t="s">
        <v>238</v>
      </c>
      <c r="E130" s="13">
        <v>42666.755590277775</v>
      </c>
      <c r="F130" s="13">
        <v>42666.760567129626</v>
      </c>
      <c r="G130" s="7">
        <v>1</v>
      </c>
      <c r="H130" s="13" t="s">
        <v>364</v>
      </c>
      <c r="I130" s="13">
        <v>42666.784814814811</v>
      </c>
      <c r="J130" s="7">
        <v>0</v>
      </c>
      <c r="K130" s="112" t="str">
        <f t="shared" si="67"/>
        <v>4039/4040</v>
      </c>
      <c r="L130" s="22" t="str">
        <f>VLOOKUP(A130,'Trips&amp;Operators'!$C$1:$E$10000,3,FALSE)</f>
        <v>NEWELL</v>
      </c>
      <c r="M130" s="6">
        <f t="shared" si="68"/>
        <v>2.4247685185400769E-2</v>
      </c>
      <c r="N130" s="7">
        <f t="shared" si="69"/>
        <v>34.916666666977108</v>
      </c>
      <c r="O130" s="7"/>
      <c r="P130" s="7"/>
      <c r="Q130" s="23"/>
      <c r="R130" s="23"/>
      <c r="S130" s="35">
        <f t="shared" si="70"/>
        <v>1</v>
      </c>
      <c r="T130" s="50" t="str">
        <f t="shared" si="71"/>
        <v>NorthBound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17:08:03-0600',mode:absolute,to:'2016-10-23 19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0" s="52" t="str">
        <f t="shared" si="73"/>
        <v>N</v>
      </c>
      <c r="X130" s="171">
        <f t="shared" si="81"/>
        <v>1</v>
      </c>
      <c r="Y130" s="67">
        <f t="shared" si="74"/>
        <v>4.6899999999999997E-2</v>
      </c>
      <c r="Z130" s="67">
        <f t="shared" si="75"/>
        <v>23.3323</v>
      </c>
      <c r="AA130" s="67">
        <f t="shared" si="76"/>
        <v>23.285399999999999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77"/>
        <v>0217-23</v>
      </c>
      <c r="AE130" s="91" t="str">
        <f t="shared" si="78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30" s="88" t="str">
        <f t="shared" si="79"/>
        <v>"C:\Program Files (x86)\AstroGrep\AstroGrep.exe" /spath="%USERPROFILE%\AppData\Local\Temp\OnboardLogs" /stypes="app*4040*20161024*" /stext=" 00:.+((SYSTEM_STATE.+slice.+state.+changed )|(ment ac)|(system.+state.+changed )|(\[timeout)|(PRM\|1\|D)|(kpr)|(kdp)|(\|lc)|(penalty))" /e /r /s</v>
      </c>
      <c r="AG130" s="1" t="str">
        <f t="shared" si="80"/>
        <v>EC</v>
      </c>
      <c r="AH130" s="92" t="str">
        <f t="shared" si="65"/>
        <v>"%USERPROFILE%\Documents\GitHub\eaglep3\Utilities\RefineRTDCRunTimes.py" --tripid 217-23 --locoid 4040 --swversion DE.1.0.7.0 --startMP 204:469 --initTime 2016-10-23T18:08:03 --startdatetime 2016-10-23T18:15:13 --delay 1 --endMP 204:233323 --enddatetime 2016-10-23T18:50:08 --enforcementcount 0 &gt;&gt;C:\Users\stu\Documents\GitHub\eaglep3-reporting\EC\2016-10-23-refined-times.txt</v>
      </c>
      <c r="AI13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{"issue":{"subject":"","project_id":79,"tracker_id":40,"status_id":1,"priority_id":2,"assigned_to_id":23,"start_date":"2016-10-23","description":"","custom_fields":[{"id":1,"name":"Subdivision","value":"EC"},{"id":4,"name":"Milepost","value":"23.3323"},{"id":17,"name":"Train ID","value":"217-23"},{"id":16,"name":"Locomotive ID","value":"4040"},{"id":130,"name":"Impact","value":""},{"id":150,"name":"Time of Event (Mountain Time)","value":"18:50:08"},{"id":151,"name":"Denver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575</v>
      </c>
      <c r="B131" s="7">
        <v>4039</v>
      </c>
      <c r="C131" s="22" t="s">
        <v>99</v>
      </c>
      <c r="D131" s="22" t="s">
        <v>308</v>
      </c>
      <c r="E131" s="13">
        <v>42666.791481481479</v>
      </c>
      <c r="F131" s="13">
        <v>42666.799618055556</v>
      </c>
      <c r="G131" s="7">
        <v>1</v>
      </c>
      <c r="H131" s="13" t="s">
        <v>222</v>
      </c>
      <c r="I131" s="13">
        <v>42666.825810185182</v>
      </c>
      <c r="J131" s="7">
        <v>0</v>
      </c>
      <c r="K131" s="112" t="str">
        <f t="shared" si="67"/>
        <v>4039/4040</v>
      </c>
      <c r="L131" s="22" t="str">
        <f>VLOOKUP(A131,'Trips&amp;Operators'!$C$1:$E$10000,3,FALSE)</f>
        <v>NEWELL</v>
      </c>
      <c r="M131" s="6">
        <f t="shared" si="68"/>
        <v>2.619212962599704E-2</v>
      </c>
      <c r="N131" s="7">
        <f t="shared" si="69"/>
        <v>37.716666661435738</v>
      </c>
      <c r="O131" s="7"/>
      <c r="P131" s="7"/>
      <c r="Q131" s="23"/>
      <c r="R131" s="23"/>
      <c r="S131" s="35">
        <f t="shared" si="70"/>
        <v>1</v>
      </c>
      <c r="T131" s="50" t="str">
        <f t="shared" si="71"/>
        <v>Southbound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17:59:44-0600',mode:absolute,to:'2016-10-23 20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1" s="52" t="str">
        <f t="shared" si="73"/>
        <v>N</v>
      </c>
      <c r="X131" s="171">
        <f t="shared" si="81"/>
        <v>1</v>
      </c>
      <c r="Y131" s="67">
        <f t="shared" si="74"/>
        <v>23.299299999999999</v>
      </c>
      <c r="Z131" s="67">
        <f t="shared" si="75"/>
        <v>1.49E-2</v>
      </c>
      <c r="AA131" s="67">
        <f t="shared" si="76"/>
        <v>23.284399999999998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77"/>
        <v>0218-23</v>
      </c>
      <c r="AE131" s="91" t="str">
        <f t="shared" si="78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31" s="88" t="str">
        <f t="shared" si="79"/>
        <v>"C:\Program Files (x86)\AstroGrep\AstroGrep.exe" /spath="%USERPROFILE%\AppData\Local\Temp\OnboardLogs" /stypes="app*4039*20161024*" /stext=" 01:.+((SYSTEM_STATE.+slice.+state.+changed )|(ment ac)|(system.+state.+changed )|(\[timeout)|(PRM\|1\|D)|(kpr)|(kdp)|(\|lc)|(penalty))" /e /r /s</v>
      </c>
      <c r="AG131" s="1" t="str">
        <f t="shared" si="80"/>
        <v>EC</v>
      </c>
      <c r="AH131" s="92" t="str">
        <f t="shared" si="65"/>
        <v>"%USERPROFILE%\Documents\GitHub\eaglep3\Utilities\RefineRTDCRunTimes.py" --tripid 218-23 --locoid 4039 --swversion DE.1.0.7.0 --startMP 204:232993 --initTime 2016-10-23T18:59:44 --startdatetime 2016-10-23T19:11:27 --delay 1 --endMP 204:149 --enddatetime 2016-10-23T19:49:10 --enforcementcount 0 &gt;&gt;C:\Users\stu\Documents\GitHub\eaglep3-reporting\EC\2016-10-23-refined-times.txt</v>
      </c>
      <c r="AI13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ID","value":"218-23"},{"id":16,"name":"Locomotive ID","value":"4039"},{"id":130,"name":"Impact","value":""},{"id":150,"name":"Time of Event (Mountain Time)","value":"19:49:10"},{"id":151,"name":"Denver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569</v>
      </c>
      <c r="B132" s="7">
        <v>4046</v>
      </c>
      <c r="C132" s="22" t="s">
        <v>99</v>
      </c>
      <c r="D132" s="22" t="s">
        <v>361</v>
      </c>
      <c r="E132" s="13">
        <v>42666.767604166664</v>
      </c>
      <c r="F132" s="13">
        <v>42666.77107638889</v>
      </c>
      <c r="G132" s="7">
        <v>4</v>
      </c>
      <c r="H132" s="13" t="s">
        <v>726</v>
      </c>
      <c r="I132" s="13">
        <v>42666.796678240738</v>
      </c>
      <c r="J132" s="7">
        <v>0</v>
      </c>
      <c r="K132" s="112" t="str">
        <f t="shared" si="67"/>
        <v>4045/4046</v>
      </c>
      <c r="L132" s="22" t="str">
        <f>VLOOKUP(A132,'Trips&amp;Operators'!$C$1:$E$10000,3,FALSE)</f>
        <v>CHANDLER</v>
      </c>
      <c r="M132" s="6">
        <f t="shared" si="68"/>
        <v>2.5601851848477963E-2</v>
      </c>
      <c r="N132" s="7">
        <f t="shared" si="69"/>
        <v>36.866666661808267</v>
      </c>
      <c r="O132" s="7"/>
      <c r="P132" s="7"/>
      <c r="Q132" s="23"/>
      <c r="R132" s="23"/>
      <c r="S132" s="35">
        <f t="shared" si="70"/>
        <v>1</v>
      </c>
      <c r="T132" s="50" t="str">
        <f t="shared" si="71"/>
        <v>NorthBound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17:25:21-0600',mode:absolute,to:'2016-10-23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2" s="52" t="str">
        <f t="shared" si="73"/>
        <v>N</v>
      </c>
      <c r="X132" s="171">
        <f t="shared" si="81"/>
        <v>1</v>
      </c>
      <c r="Y132" s="67">
        <f t="shared" si="74"/>
        <v>4.7800000000000002E-2</v>
      </c>
      <c r="Z132" s="67">
        <f t="shared" si="75"/>
        <v>23.326799999999999</v>
      </c>
      <c r="AA132" s="67">
        <f t="shared" si="76"/>
        <v>23.279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77"/>
        <v>0219-23</v>
      </c>
      <c r="AE132" s="91" t="str">
        <f t="shared" si="78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32" s="88" t="str">
        <f t="shared" si="79"/>
        <v>"C:\Program Files (x86)\AstroGrep\AstroGrep.exe" /spath="%USERPROFILE%\AppData\Local\Temp\OnboardLogs" /stypes="app*4046*20161024*" /stext=" 01:.+((SYSTEM_STATE.+slice.+state.+changed )|(ment ac)|(system.+state.+changed )|(\[timeout)|(PRM\|1\|D)|(kpr)|(kdp)|(\|lc)|(penalty))" /e /r /s</v>
      </c>
      <c r="AG132" s="1" t="str">
        <f t="shared" si="80"/>
        <v>EC</v>
      </c>
      <c r="AH132" s="92" t="str">
        <f t="shared" si="65"/>
        <v>"%USERPROFILE%\Documents\GitHub\eaglep3\Utilities\RefineRTDCRunTimes.py" --tripid 219-23 --locoid 4046 --swversion DE.1.0.7.0 --startMP 204:478 --initTime 2016-10-23T18:25:21 --startdatetime 2016-10-23T18:30:21 --delay 4 --endMP 204:233268 --enddatetime 2016-10-23T19:07:13 --enforcementcount 0 &gt;&gt;C:\Users\stu\Documents\GitHub\eaglep3-reporting\EC\2016-10-23-refined-times.txt</v>
      </c>
      <c r="AI13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{"issue":{"subject":"","project_id":79,"tracker_id":40,"status_id":1,"priority_id":2,"assigned_to_id":23,"start_date":"2016-10-23","description":"","custom_fields":[{"id":1,"name":"Subdivision","value":"EC"},{"id":4,"name":"Milepost","value":"23.3268"},{"id":17,"name":"Train ID","value":"219-23"},{"id":16,"name":"Locomotive ID","value":"4046"},{"id":130,"name":"Impact","value":""},{"id":150,"name":"Time of Event (Mountain Time)","value":"19:07:13"},{"id":151,"name":"Denver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578</v>
      </c>
      <c r="B133" s="7">
        <v>4045</v>
      </c>
      <c r="C133" s="22" t="s">
        <v>99</v>
      </c>
      <c r="D133" s="22" t="s">
        <v>365</v>
      </c>
      <c r="E133" s="13">
        <v>42666.808287037034</v>
      </c>
      <c r="F133" s="13">
        <v>42666.810162037036</v>
      </c>
      <c r="G133" s="7">
        <v>1</v>
      </c>
      <c r="H133" s="13" t="s">
        <v>322</v>
      </c>
      <c r="I133" s="13">
        <v>42666.838703703703</v>
      </c>
      <c r="J133" s="7">
        <v>0</v>
      </c>
      <c r="K133" s="112" t="str">
        <f t="shared" si="67"/>
        <v>4045/4046</v>
      </c>
      <c r="L133" s="22" t="str">
        <f>VLOOKUP(A133,'Trips&amp;Operators'!$C$1:$E$10000,3,FALSE)</f>
        <v>CHANDLER</v>
      </c>
      <c r="M133" s="6">
        <f t="shared" si="68"/>
        <v>2.8541666666569654E-2</v>
      </c>
      <c r="N133" s="7">
        <f t="shared" si="69"/>
        <v>41.099999999860302</v>
      </c>
      <c r="O133" s="7"/>
      <c r="P133" s="7"/>
      <c r="Q133" s="23"/>
      <c r="R133" s="23"/>
      <c r="S133" s="35">
        <f t="shared" si="70"/>
        <v>1</v>
      </c>
      <c r="T133" s="50" t="str">
        <f t="shared" si="71"/>
        <v>Southbound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18:23:56-0600',mode:absolute,to:'2016-10-23 21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3" s="52" t="str">
        <f t="shared" si="73"/>
        <v>N</v>
      </c>
      <c r="X133" s="171">
        <f t="shared" si="81"/>
        <v>1</v>
      </c>
      <c r="Y133" s="67">
        <f t="shared" si="74"/>
        <v>23.296900000000001</v>
      </c>
      <c r="Z133" s="67">
        <f t="shared" si="75"/>
        <v>1.6299999999999999E-2</v>
      </c>
      <c r="AA133" s="67">
        <f t="shared" si="76"/>
        <v>23.2806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77"/>
        <v>0220-23</v>
      </c>
      <c r="AE133" s="91" t="str">
        <f t="shared" si="78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33" s="88" t="str">
        <f t="shared" si="79"/>
        <v>"C:\Program Files (x86)\AstroGrep\AstroGrep.exe" /spath="%USERPROFILE%\AppData\Local\Temp\OnboardLogs" /stypes="app*4045*20161024*" /stext=" 02:.+((SYSTEM_STATE.+slice.+state.+changed )|(ment ac)|(system.+state.+changed )|(\[timeout)|(PRM\|1\|D)|(kpr)|(kdp)|(\|lc)|(penalty))" /e /r /s</v>
      </c>
      <c r="AG133" s="1" t="str">
        <f t="shared" si="80"/>
        <v>EC</v>
      </c>
      <c r="AH133" s="92" t="str">
        <f t="shared" si="65"/>
        <v>"%USERPROFILE%\Documents\GitHub\eaglep3\Utilities\RefineRTDCRunTimes.py" --tripid 220-23 --locoid 4045 --swversion DE.1.0.7.0 --startMP 204:232969 --initTime 2016-10-23T19:23:56 --startdatetime 2016-10-23T19:26:38 --delay 1 --endMP 204:163 --enddatetime 2016-10-23T20:07:44 --enforcementcount 0 &gt;&gt;C:\Users\stu\Documents\GitHub\eaglep3-reporting\EC\2016-10-23-refined-times.txt</v>
      </c>
      <c r="AI13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{"issue":{"subject":"","project_id":79,"tracker_id":40,"status_id":1,"priority_id":2,"assigned_to_id":23,"start_date":"2016-10-23","description":"","custom_fields":[{"id":1,"name":"Subdivision","value":"EC"},{"id":4,"name":"Milepost","value":"0.0163"},{"id":17,"name":"Train ID","value":"220-23"},{"id":16,"name":"Locomotive ID","value":"4045"},{"id":130,"name":"Impact","value":""},{"id":150,"name":"Time of Event (Mountain Time)","value":"20:07:44"},{"id":151,"name":"Denver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574</v>
      </c>
      <c r="B134" s="7">
        <v>4025</v>
      </c>
      <c r="C134" s="22" t="s">
        <v>99</v>
      </c>
      <c r="D134" s="22" t="s">
        <v>239</v>
      </c>
      <c r="E134" s="13">
        <v>42666.786979166667</v>
      </c>
      <c r="F134" s="13">
        <v>42666.792013888888</v>
      </c>
      <c r="G134" s="7">
        <v>1</v>
      </c>
      <c r="H134" s="13" t="s">
        <v>358</v>
      </c>
      <c r="I134" s="13">
        <v>42666.819004629629</v>
      </c>
      <c r="J134" s="7">
        <v>0</v>
      </c>
      <c r="K134" s="112" t="str">
        <f t="shared" si="67"/>
        <v>4025/4026</v>
      </c>
      <c r="L134" s="22" t="str">
        <f>VLOOKUP(A134,'Trips&amp;Operators'!$C$1:$E$10000,3,FALSE)</f>
        <v>LEVERE</v>
      </c>
      <c r="M134" s="6">
        <f t="shared" si="68"/>
        <v>2.6990740741894115E-2</v>
      </c>
      <c r="N134" s="7">
        <f t="shared" si="69"/>
        <v>38.866666668327525</v>
      </c>
      <c r="O134" s="7"/>
      <c r="P134" s="7"/>
      <c r="Q134" s="23"/>
      <c r="R134" s="23"/>
      <c r="S134" s="35">
        <f t="shared" si="70"/>
        <v>1</v>
      </c>
      <c r="T134" s="50" t="str">
        <f t="shared" si="71"/>
        <v>NorthBound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17:53:15-0600',mode:absolute,to:'2016-10-23 20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4" s="52" t="str">
        <f t="shared" si="73"/>
        <v>N</v>
      </c>
      <c r="X134" s="171">
        <f t="shared" si="81"/>
        <v>1</v>
      </c>
      <c r="Y134" s="67">
        <f t="shared" si="74"/>
        <v>4.5100000000000001E-2</v>
      </c>
      <c r="Z134" s="67">
        <f t="shared" si="75"/>
        <v>23.329799999999999</v>
      </c>
      <c r="AA134" s="67">
        <f t="shared" si="76"/>
        <v>23.284699999999997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77"/>
        <v>0221-23</v>
      </c>
      <c r="AE134" s="91" t="str">
        <f t="shared" si="78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34" s="88" t="str">
        <f t="shared" si="79"/>
        <v>"C:\Program Files (x86)\AstroGrep\AstroGrep.exe" /spath="%USERPROFILE%\AppData\Local\Temp\OnboardLogs" /stypes="app*4025*20161024*" /stext=" 01:.+((SYSTEM_STATE.+slice.+state.+changed )|(ment ac)|(system.+state.+changed )|(\[timeout)|(PRM\|1\|D)|(kpr)|(kdp)|(\|lc)|(penalty))" /e /r /s</v>
      </c>
      <c r="AG134" s="1" t="str">
        <f t="shared" si="80"/>
        <v>EC</v>
      </c>
      <c r="AH134" s="92" t="str">
        <f t="shared" si="65"/>
        <v>"%USERPROFILE%\Documents\GitHub\eaglep3\Utilities\RefineRTDCRunTimes.py" --tripid 221-23 --locoid 4025 --swversion DE.1.0.7.0 --startMP 204:451 --initTime 2016-10-23T18:53:15 --startdatetime 2016-10-23T19:00:30 --delay 1 --endMP 204:233298 --enddatetime 2016-10-23T19:39:22 --enforcementcount 0 &gt;&gt;C:\Users\stu\Documents\GitHub\eaglep3-reporting\EC\2016-10-23-refined-times.txt</v>
      </c>
      <c r="AI13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{"issue":{"subject":"","project_id":79,"tracker_id":40,"status_id":1,"priority_id":2,"assigned_to_id":23,"start_date":"2016-10-23","description":"","custom_fields":[{"id":1,"name":"Subdivision","value":"EC"},{"id":4,"name":"Milepost","value":"23.3298"},{"id":17,"name":"Train ID","value":"221-23"},{"id":16,"name":"Locomotive ID","value":"4025"},{"id":130,"name":"Impact","value":""},{"id":150,"name":"Time of Event (Mountain Time)","value":"19:39:22"},{"id":151,"name":"Denver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583</v>
      </c>
      <c r="B135" s="7">
        <v>4026</v>
      </c>
      <c r="C135" s="22" t="s">
        <v>99</v>
      </c>
      <c r="D135" s="22" t="s">
        <v>637</v>
      </c>
      <c r="E135" s="13">
        <v>42666.827372685184</v>
      </c>
      <c r="F135" s="13">
        <v>42666.830787037034</v>
      </c>
      <c r="G135" s="7">
        <v>1</v>
      </c>
      <c r="H135" s="13" t="s">
        <v>263</v>
      </c>
      <c r="I135" s="13">
        <v>42666.858946759261</v>
      </c>
      <c r="J135" s="7">
        <v>0</v>
      </c>
      <c r="K135" s="112" t="str">
        <f t="shared" si="67"/>
        <v>4025/4026</v>
      </c>
      <c r="L135" s="22" t="str">
        <f>VLOOKUP(A135,'Trips&amp;Operators'!$C$1:$E$10000,3,FALSE)</f>
        <v>LEVERE</v>
      </c>
      <c r="M135" s="6">
        <f t="shared" si="68"/>
        <v>2.8159722227428574E-2</v>
      </c>
      <c r="N135" s="7">
        <f t="shared" si="69"/>
        <v>40.550000007497147</v>
      </c>
      <c r="O135" s="7"/>
      <c r="P135" s="7"/>
      <c r="Q135" s="23"/>
      <c r="R135" s="23"/>
      <c r="S135" s="35">
        <f t="shared" si="70"/>
        <v>1</v>
      </c>
      <c r="T135" s="50" t="str">
        <f t="shared" si="71"/>
        <v>Southbound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18:51:25-0600',mode:absolute,to:'2016-10-23 21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5" s="52" t="str">
        <f t="shared" si="73"/>
        <v>N</v>
      </c>
      <c r="X135" s="171">
        <f t="shared" si="81"/>
        <v>1</v>
      </c>
      <c r="Y135" s="67">
        <f t="shared" si="74"/>
        <v>23.298100000000002</v>
      </c>
      <c r="Z135" s="67">
        <f t="shared" si="75"/>
        <v>1.5599999999999999E-2</v>
      </c>
      <c r="AA135" s="67">
        <f t="shared" si="76"/>
        <v>23.282500000000002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77"/>
        <v>0222-23</v>
      </c>
      <c r="AE135" s="91" t="str">
        <f t="shared" si="78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35" s="88" t="str">
        <f t="shared" si="79"/>
        <v>"C:\Program Files (x86)\AstroGrep\AstroGrep.exe" /spath="%USERPROFILE%\AppData\Local\Temp\OnboardLogs" /stypes="app*4026*20161024*" /stext=" 02:.+((SYSTEM_STATE.+slice.+state.+changed )|(ment ac)|(system.+state.+changed )|(\[timeout)|(PRM\|1\|D)|(kpr)|(kdp)|(\|lc)|(penalty))" /e /r /s</v>
      </c>
      <c r="AG135" s="1" t="str">
        <f t="shared" si="80"/>
        <v>EC</v>
      </c>
      <c r="AH135" s="92" t="str">
        <f t="shared" si="65"/>
        <v>"%USERPROFILE%\Documents\GitHub\eaglep3\Utilities\RefineRTDCRunTimes.py" --tripid 222-23 --locoid 4026 --swversion DE.1.0.7.0 --startMP 204:232981 --initTime 2016-10-23T19:51:25 --startdatetime 2016-10-23T19:56:20 --delay 1 --endMP 204:156 --enddatetime 2016-10-23T20:36:53 --enforcementcount 0 &gt;&gt;C:\Users\stu\Documents\GitHub\eaglep3-reporting\EC\2016-10-23-refined-times.txt</v>
      </c>
      <c r="AI13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{"issue":{"subject":"","project_id":79,"tracker_id":40,"status_id":1,"priority_id":2,"assigned_to_id":23,"start_date":"2016-10-23","description":"","custom_fields":[{"id":1,"name":"Subdivision","value":"EC"},{"id":4,"name":"Milepost","value":"0.0156"},{"id":17,"name":"Train ID","value":"222-23"},{"id":16,"name":"Locomotive ID","value":"4026"},{"id":130,"name":"Impact","value":""},{"id":150,"name":"Time of Event (Mountain Time)","value":"20:36:53"},{"id":151,"name":"Denver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579</v>
      </c>
      <c r="B136" s="7">
        <v>4018</v>
      </c>
      <c r="C136" s="22" t="s">
        <v>99</v>
      </c>
      <c r="D136" s="22" t="s">
        <v>234</v>
      </c>
      <c r="E136" s="13">
        <v>42666.808368055557</v>
      </c>
      <c r="F136" s="13">
        <v>42666.812685185185</v>
      </c>
      <c r="G136" s="7">
        <v>1</v>
      </c>
      <c r="H136" s="13" t="s">
        <v>385</v>
      </c>
      <c r="I136" s="13">
        <v>42666.837673611109</v>
      </c>
      <c r="J136" s="7">
        <v>0</v>
      </c>
      <c r="K136" s="112" t="str">
        <f t="shared" si="67"/>
        <v>4017/4018</v>
      </c>
      <c r="L136" s="22" t="str">
        <f>VLOOKUP(A136,'Trips&amp;Operators'!$C$1:$E$10000,3,FALSE)</f>
        <v>BERLING</v>
      </c>
      <c r="M136" s="6">
        <f t="shared" si="68"/>
        <v>2.4988425924675539E-2</v>
      </c>
      <c r="N136" s="7">
        <f t="shared" si="69"/>
        <v>35.983333331532776</v>
      </c>
      <c r="O136" s="7"/>
      <c r="P136" s="7"/>
      <c r="Q136" s="23"/>
      <c r="R136" s="23"/>
      <c r="S136" s="35">
        <f t="shared" si="70"/>
        <v>1</v>
      </c>
      <c r="T136" s="50" t="str">
        <f t="shared" si="71"/>
        <v>NorthBound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18:24:03-0600',mode:absolute,to:'2016-10-23 21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6" s="52" t="str">
        <f t="shared" si="73"/>
        <v>N</v>
      </c>
      <c r="X136" s="171">
        <f t="shared" si="81"/>
        <v>1</v>
      </c>
      <c r="Y136" s="67">
        <f t="shared" si="74"/>
        <v>4.4600000000000001E-2</v>
      </c>
      <c r="Z136" s="67">
        <f t="shared" si="75"/>
        <v>23.3325</v>
      </c>
      <c r="AA136" s="67">
        <f t="shared" si="76"/>
        <v>23.2879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77"/>
        <v>0223-23</v>
      </c>
      <c r="AE136" s="91" t="str">
        <f t="shared" si="78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36" s="88" t="str">
        <f t="shared" si="79"/>
        <v>"C:\Program Files (x86)\AstroGrep\AstroGrep.exe" /spath="%USERPROFILE%\AppData\Local\Temp\OnboardLogs" /stypes="app*4018*20161024*" /stext=" 02:.+((SYSTEM_STATE.+slice.+state.+changed )|(ment ac)|(system.+state.+changed )|(\[timeout)|(PRM\|1\|D)|(kpr)|(kdp)|(\|lc)|(penalty))" /e /r /s</v>
      </c>
      <c r="AG136" s="1" t="str">
        <f t="shared" si="80"/>
        <v>EC</v>
      </c>
      <c r="AH136" s="92" t="str">
        <f t="shared" si="65"/>
        <v>"%USERPROFILE%\Documents\GitHub\eaglep3\Utilities\RefineRTDCRunTimes.py" --tripid 223-23 --locoid 4018 --swversion DE.1.0.7.0 --startMP 204:446 --initTime 2016-10-23T19:24:03 --startdatetime 2016-10-23T19:30:16 --delay 1 --endMP 204:233325 --enddatetime 2016-10-23T20:06:15 --enforcementcount 0 &gt;&gt;C:\Users\stu\Documents\GitHub\eaglep3-reporting\EC\2016-10-23-refined-times.txt</v>
      </c>
      <c r="AI13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{"issue":{"subject":"","project_id":79,"tracker_id":40,"status_id":1,"priority_id":2,"assigned_to_id":23,"start_date":"2016-10-23","description":"","custom_fields":[{"id":1,"name":"Subdivision","value":"EC"},{"id":4,"name":"Milepost","value":"23.3325"},{"id":17,"name":"Train ID","value":"223-23"},{"id":16,"name":"Locomotive ID","value":"4018"},{"id":130,"name":"Impact","value":""},{"id":150,"name":"Time of Event (Mountain Time)","value":"20:06:15"},{"id":151,"name":"Denver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584</v>
      </c>
      <c r="B137" s="7">
        <v>4017</v>
      </c>
      <c r="C137" s="22" t="s">
        <v>99</v>
      </c>
      <c r="D137" s="22" t="s">
        <v>256</v>
      </c>
      <c r="E137" s="13">
        <v>42666.848900462966</v>
      </c>
      <c r="F137" s="13">
        <v>42666.851736111108</v>
      </c>
      <c r="G137" s="7">
        <v>1</v>
      </c>
      <c r="H137" s="13" t="s">
        <v>267</v>
      </c>
      <c r="I137" s="13">
        <v>42666.87809027778</v>
      </c>
      <c r="J137" s="7">
        <v>0</v>
      </c>
      <c r="K137" s="112" t="str">
        <f t="shared" si="67"/>
        <v>4017/4018</v>
      </c>
      <c r="L137" s="22" t="str">
        <f>VLOOKUP(A137,'Trips&amp;Operators'!$C$1:$E$10000,3,FALSE)</f>
        <v>BERLING</v>
      </c>
      <c r="M137" s="6">
        <f t="shared" si="68"/>
        <v>2.6354166671808343E-2</v>
      </c>
      <c r="N137" s="7">
        <f t="shared" si="69"/>
        <v>37.950000007404014</v>
      </c>
      <c r="O137" s="7"/>
      <c r="P137" s="7"/>
      <c r="Q137" s="23"/>
      <c r="R137" s="23"/>
      <c r="S137" s="35">
        <f t="shared" si="70"/>
        <v>1</v>
      </c>
      <c r="T137" s="50" t="str">
        <f t="shared" si="71"/>
        <v>Southbound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19:22:25-0600',mode:absolute,to:'2016-10-23 22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7" s="52" t="str">
        <f t="shared" si="73"/>
        <v>N</v>
      </c>
      <c r="X137" s="171">
        <f t="shared" si="81"/>
        <v>1</v>
      </c>
      <c r="Y137" s="67">
        <f t="shared" si="74"/>
        <v>23.299399999999999</v>
      </c>
      <c r="Z137" s="67">
        <f t="shared" si="75"/>
        <v>1.3899999999999999E-2</v>
      </c>
      <c r="AA137" s="67">
        <f t="shared" si="76"/>
        <v>23.285499999999999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77"/>
        <v>0224-23</v>
      </c>
      <c r="AE137" s="91" t="str">
        <f t="shared" si="78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137" s="88" t="str">
        <f t="shared" si="79"/>
        <v>"C:\Program Files (x86)\AstroGrep\AstroGrep.exe" /spath="%USERPROFILE%\AppData\Local\Temp\OnboardLogs" /stypes="app*4017*20161024*" /stext=" 03:.+((SYSTEM_STATE.+slice.+state.+changed )|(ment ac)|(system.+state.+changed )|(\[timeout)|(PRM\|1\|D)|(kpr)|(kdp)|(\|lc)|(penalty))" /e /r /s</v>
      </c>
      <c r="AG137" s="1" t="str">
        <f t="shared" si="80"/>
        <v>EC</v>
      </c>
      <c r="AH137" s="92" t="str">
        <f t="shared" si="65"/>
        <v>"%USERPROFILE%\Documents\GitHub\eaglep3\Utilities\RefineRTDCRunTimes.py" --tripid 224-23 --locoid 4017 --swversion DE.1.0.7.0 --startMP 204:232994 --initTime 2016-10-23T20:22:25 --startdatetime 2016-10-23T20:26:30 --delay 1 --endMP 204:139 --enddatetime 2016-10-23T21:04:27 --enforcementcount 0 &gt;&gt;C:\Users\stu\Documents\GitHub\eaglep3-reporting\EC\2016-10-23-refined-times.txt</v>
      </c>
      <c r="AI13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ID","value":"224-23"},{"id":16,"name":"Locomotive ID","value":"4017"},{"id":130,"name":"Impact","value":""},{"id":150,"name":"Time of Event (Mountain Time)","value":"21:04:27"},{"id":151,"name":"Denver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582</v>
      </c>
      <c r="B138" s="7">
        <v>4040</v>
      </c>
      <c r="C138" s="22" t="s">
        <v>99</v>
      </c>
      <c r="D138" s="22" t="s">
        <v>392</v>
      </c>
      <c r="E138" s="13">
        <v>42666.826793981483</v>
      </c>
      <c r="F138" s="13">
        <v>42666.833483796298</v>
      </c>
      <c r="G138" s="7">
        <v>1</v>
      </c>
      <c r="H138" s="13" t="s">
        <v>183</v>
      </c>
      <c r="I138" s="13">
        <v>42666.857719907406</v>
      </c>
      <c r="J138" s="7">
        <v>0</v>
      </c>
      <c r="K138" s="112" t="str">
        <f t="shared" si="67"/>
        <v>4039/4040</v>
      </c>
      <c r="L138" s="22" t="str">
        <f>VLOOKUP(A138,'Trips&amp;Operators'!$C$1:$E$10000,3,FALSE)</f>
        <v>NEWELL</v>
      </c>
      <c r="M138" s="6">
        <f t="shared" si="68"/>
        <v>2.4236111108621117E-2</v>
      </c>
      <c r="N138" s="7">
        <f t="shared" si="69"/>
        <v>34.899999996414408</v>
      </c>
      <c r="O138" s="7"/>
      <c r="P138" s="7"/>
      <c r="Q138" s="23"/>
      <c r="R138" s="23"/>
      <c r="S138" s="35">
        <f t="shared" si="70"/>
        <v>1</v>
      </c>
      <c r="T138" s="50" t="str">
        <f t="shared" si="71"/>
        <v>NorthBound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18:50:35-0600',mode:absolute,to:'2016-10-23 21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8" s="52" t="str">
        <f t="shared" si="73"/>
        <v>N</v>
      </c>
      <c r="X138" s="171">
        <f t="shared" si="81"/>
        <v>1</v>
      </c>
      <c r="Y138" s="67">
        <f t="shared" si="74"/>
        <v>4.5699999999999998E-2</v>
      </c>
      <c r="Z138" s="67">
        <f t="shared" si="75"/>
        <v>23.331199999999999</v>
      </c>
      <c r="AA138" s="67">
        <f t="shared" si="76"/>
        <v>23.285499999999999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77"/>
        <v>0225-23</v>
      </c>
      <c r="AE138" s="91" t="str">
        <f t="shared" si="78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38" s="88" t="str">
        <f t="shared" si="79"/>
        <v>"C:\Program Files (x86)\AstroGrep\AstroGrep.exe" /spath="%USERPROFILE%\AppData\Local\Temp\OnboardLogs" /stypes="app*4040*20161024*" /stext=" 02:.+((SYSTEM_STATE.+slice.+state.+changed )|(ment ac)|(system.+state.+changed )|(\[timeout)|(PRM\|1\|D)|(kpr)|(kdp)|(\|lc)|(penalty))" /e /r /s</v>
      </c>
      <c r="AG138" s="1" t="str">
        <f t="shared" si="80"/>
        <v>EC</v>
      </c>
      <c r="AH138" s="92" t="str">
        <f t="shared" si="65"/>
        <v>"%USERPROFILE%\Documents\GitHub\eaglep3\Utilities\RefineRTDCRunTimes.py" --tripid 225-23 --locoid 4040 --swversion DE.1.0.7.0 --startMP 204:457 --initTime 2016-10-23T19:50:35 --startdatetime 2016-10-23T20:00:13 --delay 1 --endMP 204:233312 --enddatetime 2016-10-23T20:35:07 --enforcementcount 0 &gt;&gt;C:\Users\stu\Documents\GitHub\eaglep3-reporting\EC\2016-10-23-refined-times.txt</v>
      </c>
      <c r="AI13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{"issue":{"subject":"","project_id":79,"tracker_id":40,"status_id":1,"priority_id":2,"assigned_to_id":23,"start_date":"2016-10-23","description":"","custom_fields":[{"id":1,"name":"Subdivision","value":"EC"},{"id":4,"name":"Milepost","value":"23.3312"},{"id":17,"name":"Train ID","value":"225-23"},{"id":16,"name":"Locomotive ID","value":"4040"},{"id":130,"name":"Impact","value":""},{"id":150,"name":"Time of Event (Mountain Time)","value":"20:35:07"},{"id":151,"name":"Denver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586</v>
      </c>
      <c r="B139" s="7">
        <v>4039</v>
      </c>
      <c r="C139" s="22" t="s">
        <v>99</v>
      </c>
      <c r="D139" s="22" t="s">
        <v>355</v>
      </c>
      <c r="E139" s="13">
        <v>42666.859930555554</v>
      </c>
      <c r="F139" s="13">
        <v>42666.872407407405</v>
      </c>
      <c r="G139" s="7">
        <v>1</v>
      </c>
      <c r="H139" s="13" t="s">
        <v>176</v>
      </c>
      <c r="I139" s="13">
        <v>42666.898622685185</v>
      </c>
      <c r="J139" s="7">
        <v>0</v>
      </c>
      <c r="K139" s="112" t="str">
        <f t="shared" si="67"/>
        <v>4039/4040</v>
      </c>
      <c r="L139" s="22" t="str">
        <f>VLOOKUP(A139,'Trips&amp;Operators'!$C$1:$E$10000,3,FALSE)</f>
        <v>NEWELL</v>
      </c>
      <c r="M139" s="6">
        <f t="shared" si="68"/>
        <v>2.6215277779556345E-2</v>
      </c>
      <c r="N139" s="7">
        <f t="shared" si="69"/>
        <v>37.750000002561137</v>
      </c>
      <c r="O139" s="7"/>
      <c r="P139" s="7"/>
      <c r="Q139" s="23"/>
      <c r="R139" s="23"/>
      <c r="S139" s="35">
        <f t="shared" si="70"/>
        <v>1</v>
      </c>
      <c r="T139" s="50" t="str">
        <f t="shared" si="71"/>
        <v>Southbound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19:38:18-0600',mode:absolute,to:'2016-10-23 22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9" s="52" t="str">
        <f t="shared" si="73"/>
        <v>N</v>
      </c>
      <c r="X139" s="171">
        <f t="shared" si="81"/>
        <v>1</v>
      </c>
      <c r="Y139" s="67">
        <f t="shared" si="74"/>
        <v>23.298500000000001</v>
      </c>
      <c r="Z139" s="67">
        <f t="shared" si="75"/>
        <v>1.47E-2</v>
      </c>
      <c r="AA139" s="67">
        <f t="shared" si="76"/>
        <v>23.283799999999999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77"/>
        <v>0226-23</v>
      </c>
      <c r="AE139" s="91" t="str">
        <f t="shared" si="78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39" s="88" t="str">
        <f t="shared" si="79"/>
        <v>"C:\Program Files (x86)\AstroGrep\AstroGrep.exe" /spath="%USERPROFILE%\AppData\Local\Temp\OnboardLogs" /stypes="app*4039*20161024*" /stext=" 03:.+((SYSTEM_STATE.+slice.+state.+changed )|(ment ac)|(system.+state.+changed )|(\[timeout)|(PRM\|1\|D)|(kpr)|(kdp)|(\|lc)|(penalty))" /e /r /s</v>
      </c>
      <c r="AG139" s="1" t="str">
        <f t="shared" si="80"/>
        <v>EC</v>
      </c>
      <c r="AH139" s="92" t="str">
        <f t="shared" si="65"/>
        <v>"%USERPROFILE%\Documents\GitHub\eaglep3\Utilities\RefineRTDCRunTimes.py" --tripid 226-23 --locoid 4039 --swversion DE.1.0.7.0 --startMP 204:232985 --initTime 2016-10-23T20:38:18 --startdatetime 2016-10-23T20:56:16 --delay 1 --endMP 204:147 --enddatetime 2016-10-23T21:34:01 --enforcementcount 0 &gt;&gt;C:\Users\stu\Documents\GitHub\eaglep3-reporting\EC\2016-10-23-refined-times.txt</v>
      </c>
      <c r="AI13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{"issue":{"subject":"","project_id":79,"tracker_id":40,"status_id":1,"priority_id":2,"assigned_to_id":23,"start_date":"2016-10-23","description":"","custom_fields":[{"id":1,"name":"Subdivision","value":"EC"},{"id":4,"name":"Milepost","value":"0.0147"},{"id":17,"name":"Train ID","value":"226-23"},{"id":16,"name":"Locomotive ID","value":"4039"},{"id":130,"name":"Impact","value":""},{"id":150,"name":"Time of Event (Mountain Time)","value":"21:34:01"},{"id":151,"name":"Denver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585</v>
      </c>
      <c r="B140" s="7">
        <v>4046</v>
      </c>
      <c r="C140" s="22" t="s">
        <v>99</v>
      </c>
      <c r="D140" s="22" t="s">
        <v>727</v>
      </c>
      <c r="E140" s="13">
        <v>42666.85229166667</v>
      </c>
      <c r="F140" s="13">
        <v>42666.854363425926</v>
      </c>
      <c r="G140" s="7">
        <v>1</v>
      </c>
      <c r="H140" s="13" t="s">
        <v>394</v>
      </c>
      <c r="I140" s="13">
        <v>42666.880416666667</v>
      </c>
      <c r="J140" s="7">
        <v>0</v>
      </c>
      <c r="K140" s="112" t="str">
        <f t="shared" ref="K140:K170" si="82">IF(ISEVEN(B140),(B140-1)&amp;"/"&amp;B140,B140&amp;"/"&amp;(B140+1))</f>
        <v>4045/4046</v>
      </c>
      <c r="L140" s="22" t="str">
        <f>VLOOKUP(A140,'Trips&amp;Operators'!$C$1:$E$10000,3,FALSE)</f>
        <v>CHANDLER</v>
      </c>
      <c r="M140" s="6">
        <f t="shared" ref="M140:M170" si="83">I140-F140</f>
        <v>2.6053240741021E-2</v>
      </c>
      <c r="N140" s="7">
        <f t="shared" ref="N140:N170" si="84">24*60*SUM($M140:$M140)</f>
        <v>37.51666666707024</v>
      </c>
      <c r="O140" s="7"/>
      <c r="P140" s="7"/>
      <c r="Q140" s="23"/>
      <c r="R140" s="23"/>
      <c r="S140" s="35">
        <f t="shared" ref="S140:S170" si="85">SUM(U140:U140)/IF(AG140="EC",12,1)</f>
        <v>1</v>
      </c>
      <c r="T140" s="50" t="str">
        <f t="shared" ref="T140:T170" si="86">IF(ISEVEN(LEFT(AD140,4)),"Southbound","NorthBound")</f>
        <v>NorthBound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170" si="87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https://search-rtdc-monitor-bjffxe2xuh6vdkpspy63sjmuny.us-east-1.es.amazonaws.com/_plugin/kibana/#/discover/Steve-Slow-Train-Analysis-(2080s-and-2083s)?_g=(refreshInterval:(display:Off,section:0,value:0),time:(from:'2016-10-23 19:27:18-0600',mode:absolute,to:'2016-10-23 22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0" s="52" t="str">
        <f t="shared" ref="W140:W170" si="88">IF(AA140&lt;IF(AG140="EC",23,5.65),"Y","N")</f>
        <v>N</v>
      </c>
      <c r="X140" s="171">
        <f t="shared" ref="X140:X170" si="89">VALUE(LEFT(AD140,4))-VALUE(LEFT(AD139,4))</f>
        <v>1</v>
      </c>
      <c r="Y140" s="67">
        <f t="shared" ref="Y140:Y170" si="90">RIGHT(D140,LEN(D140)-4)/10000</f>
        <v>4.7500000000000001E-2</v>
      </c>
      <c r="Z140" s="67">
        <f t="shared" ref="Z140:Z170" si="91">RIGHT(H140,LEN(H140)-4)/10000</f>
        <v>23.331399999999999</v>
      </c>
      <c r="AA140" s="67">
        <f t="shared" ref="AA140:AA170" si="92">ABS(Z140-Y140)</f>
        <v>23.283899999999999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ref="AD140:AD170" si="93">IF(LEN(A140)=6,"0"&amp;A140,A140)</f>
        <v>0227-23</v>
      </c>
      <c r="AE140" s="91" t="str">
        <f t="shared" ref="AE140:AE170" si="94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40" s="88" t="str">
        <f t="shared" ref="AF140:AF170" si="95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/stypes="app*4046*20161024*" /stext=" 03:.+((SYSTEM_STATE.+slice.+state.+changed )|(ment ac)|(system.+state.+changed )|(\[timeout)|(PRM\|1\|D)|(kpr)|(kdp)|(\|lc)|(penalty))" /e /r /s</v>
      </c>
      <c r="AG140" s="1" t="str">
        <f t="shared" ref="AG140:AG170" si="96">IFERROR(IF(VALUE(LEFT(AD140,2))&lt;=2,"EC",IF(OR(VALUE(LEFT(AD140,2))=8,VALUE(LEFT(AD140,2))=18),"NW","Other")),"Other")</f>
        <v>EC</v>
      </c>
      <c r="AH140" s="92" t="str">
        <f t="shared" si="65"/>
        <v>"%USERPROFILE%\Documents\GitHub\eaglep3\Utilities\RefineRTDCRunTimes.py" --tripid 227-23 --locoid 4046 --swversion DE.1.0.7.0 --startMP 204:475 --initTime 2016-10-23T20:27:18 --startdatetime 2016-10-23T20:30:17 --delay 1 --endMP 204:233314 --enddatetime 2016-10-23T21:07:48 --enforcementcount 0 &gt;&gt;C:\Users\stu\Documents\GitHub\eaglep3-reporting\EC\2016-10-23-refined-times.txt</v>
      </c>
      <c r="AI14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{"issue":{"subject":"","project_id":79,"tracker_id":40,"status_id":1,"priority_id":2,"assigned_to_id":23,"start_date":"2016-10-23","description":"","custom_fields":[{"id":1,"name":"Subdivision","value":"EC"},{"id":4,"name":"Milepost","value":"23.3314"},{"id":17,"name":"Train ID","value":"227-23"},{"id":16,"name":"Locomotive ID","value":"4046"},{"id":130,"name":"Impact","value":""},{"id":150,"name":"Time of Event (Mountain Time)","value":"21:07:48"},{"id":151,"name":"Denver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590</v>
      </c>
      <c r="B141" s="7">
        <v>4045</v>
      </c>
      <c r="C141" s="22" t="s">
        <v>99</v>
      </c>
      <c r="D141" s="22" t="s">
        <v>274</v>
      </c>
      <c r="E141" s="13">
        <v>42666.891631944447</v>
      </c>
      <c r="F141" s="13">
        <v>42666.893518518518</v>
      </c>
      <c r="G141" s="7">
        <v>1</v>
      </c>
      <c r="H141" s="13" t="s">
        <v>222</v>
      </c>
      <c r="I141" s="13">
        <v>42666.922199074077</v>
      </c>
      <c r="J141" s="7">
        <v>0</v>
      </c>
      <c r="K141" s="112" t="str">
        <f t="shared" si="82"/>
        <v>4045/4046</v>
      </c>
      <c r="L141" s="22" t="str">
        <f>VLOOKUP(A141,'Trips&amp;Operators'!$C$1:$E$10000,3,FALSE)</f>
        <v>CHANDLER</v>
      </c>
      <c r="M141" s="6">
        <f t="shared" si="83"/>
        <v>2.8680555558821652E-2</v>
      </c>
      <c r="N141" s="7">
        <f t="shared" si="84"/>
        <v>41.300000004703179</v>
      </c>
      <c r="O141" s="7"/>
      <c r="P141" s="7"/>
      <c r="Q141" s="23"/>
      <c r="R141" s="23"/>
      <c r="S141" s="35">
        <f t="shared" si="85"/>
        <v>1</v>
      </c>
      <c r="T141" s="50" t="str">
        <f t="shared" si="86"/>
        <v>Southbound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20:23:57-0600',mode:absolute,to:'2016-10-23 23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1" s="52" t="str">
        <f t="shared" si="88"/>
        <v>N</v>
      </c>
      <c r="X141" s="171">
        <f t="shared" si="89"/>
        <v>1</v>
      </c>
      <c r="Y141" s="67">
        <f t="shared" si="90"/>
        <v>23.298300000000001</v>
      </c>
      <c r="Z141" s="67">
        <f t="shared" si="91"/>
        <v>1.49E-2</v>
      </c>
      <c r="AA141" s="67">
        <f t="shared" si="92"/>
        <v>23.2834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93"/>
        <v>0228-23</v>
      </c>
      <c r="AE141" s="91" t="str">
        <f t="shared" si="94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41" s="88" t="str">
        <f t="shared" si="95"/>
        <v>"C:\Program Files (x86)\AstroGrep\AstroGrep.exe" /spath="%USERPROFILE%\AppData\Local\Temp\OnboardLogs" /stypes="app*4045*20161024*" /stext=" 04:.+((SYSTEM_STATE.+slice.+state.+changed )|(ment ac)|(system.+state.+changed )|(\[timeout)|(PRM\|1\|D)|(kpr)|(kdp)|(\|lc)|(penalty))" /e /r /s</v>
      </c>
      <c r="AG141" s="1" t="str">
        <f t="shared" si="96"/>
        <v>EC</v>
      </c>
      <c r="AH141" s="92" t="str">
        <f t="shared" ref="AH141:AH203" si="9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228-23 --locoid 4045 --swversion DE.1.0.7.0 --startMP 204:232983 --initTime 2016-10-23T21:23:57 --startdatetime 2016-10-23T21:26:40 --delay 1 --endMP 204:149 --enddatetime 2016-10-23T22:07:58 --enforcementcount 0 &gt;&gt;C:\Users\stu\Documents\GitHub\eaglep3-reporting\EC\2016-10-23-refined-times.txt</v>
      </c>
      <c r="AI141" s="122" t="str">
        <f t="shared" ref="AI141:AI203" si="9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ID","value":"228-23"},{"id":16,"name":"Locomotive ID","value":"4045"},{"id":130,"name":"Impact","value":""},{"id":150,"name":"Time of Event (Mountain Time)","value":"22:07:58"},{"id":151,"name":"Denver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588</v>
      </c>
      <c r="B142" s="7">
        <v>4025</v>
      </c>
      <c r="C142" s="22" t="s">
        <v>99</v>
      </c>
      <c r="D142" s="22" t="s">
        <v>230</v>
      </c>
      <c r="E142" s="13">
        <v>42666.870127314818</v>
      </c>
      <c r="F142" s="13">
        <v>42666.875509259262</v>
      </c>
      <c r="G142" s="7">
        <v>2</v>
      </c>
      <c r="H142" s="13" t="s">
        <v>269</v>
      </c>
      <c r="I142" s="13">
        <v>42666.901886574073</v>
      </c>
      <c r="J142" s="7">
        <v>0</v>
      </c>
      <c r="K142" s="112" t="str">
        <f t="shared" si="82"/>
        <v>4025/4026</v>
      </c>
      <c r="L142" s="22" t="str">
        <f>VLOOKUP(A142,'Trips&amp;Operators'!$C$1:$E$10000,3,FALSE)</f>
        <v>LEVERE</v>
      </c>
      <c r="M142" s="6">
        <f t="shared" si="83"/>
        <v>2.6377314810815733E-2</v>
      </c>
      <c r="N142" s="7">
        <f t="shared" si="84"/>
        <v>37.983333327574655</v>
      </c>
      <c r="O142" s="7"/>
      <c r="P142" s="7"/>
      <c r="Q142" s="23"/>
      <c r="R142" s="23"/>
      <c r="S142" s="35">
        <f t="shared" si="85"/>
        <v>1</v>
      </c>
      <c r="T142" s="50" t="str">
        <f t="shared" si="86"/>
        <v>NorthBound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19:52:59-0600',mode:absolute,to:'2016-10-23 22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2" s="52" t="str">
        <f t="shared" si="88"/>
        <v>N</v>
      </c>
      <c r="X142" s="171">
        <f t="shared" si="89"/>
        <v>1</v>
      </c>
      <c r="Y142" s="67">
        <f t="shared" si="90"/>
        <v>4.5499999999999999E-2</v>
      </c>
      <c r="Z142" s="67">
        <f t="shared" si="91"/>
        <v>23.330400000000001</v>
      </c>
      <c r="AA142" s="67">
        <f t="shared" si="92"/>
        <v>23.2849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93"/>
        <v>0229-23</v>
      </c>
      <c r="AE142" s="91" t="str">
        <f t="shared" si="94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42" s="88" t="str">
        <f t="shared" si="95"/>
        <v>"C:\Program Files (x86)\AstroGrep\AstroGrep.exe" /spath="%USERPROFILE%\AppData\Local\Temp\OnboardLogs" /stypes="app*4025*20161024*" /stext=" 03:.+((SYSTEM_STATE.+slice.+state.+changed )|(ment ac)|(system.+state.+changed )|(\[timeout)|(PRM\|1\|D)|(kpr)|(kdp)|(\|lc)|(penalty))" /e /r /s</v>
      </c>
      <c r="AG142" s="1" t="str">
        <f t="shared" si="96"/>
        <v>EC</v>
      </c>
      <c r="AH142" s="92" t="str">
        <f t="shared" si="97"/>
        <v>"%USERPROFILE%\Documents\GitHub\eaglep3\Utilities\RefineRTDCRunTimes.py" --tripid 229-23 --locoid 4025 --swversion DE.1.0.7.0 --startMP 204:455 --initTime 2016-10-23T20:52:59 --startdatetime 2016-10-23T21:00:44 --delay 2 --endMP 204:233304 --enddatetime 2016-10-23T21:38:43 --enforcementcount 0 &gt;&gt;C:\Users\stu\Documents\GitHub\eaglep3-reporting\EC\2016-10-23-refined-times.txt</v>
      </c>
      <c r="AI142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{"issue":{"subject":"","project_id":79,"tracker_id":40,"status_id":1,"priority_id":2,"assigned_to_id":23,"start_date":"2016-10-23","description":"","custom_fields":[{"id":1,"name":"Subdivision","value":"EC"},{"id":4,"name":"Milepost","value":"23.3304"},{"id":17,"name":"Train ID","value":"229-23"},{"id":16,"name":"Locomotive ID","value":"4025"},{"id":130,"name":"Impact","value":""},{"id":150,"name":"Time of Event (Mountain Time)","value":"21:38:43"},{"id":151,"name":"Denver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594</v>
      </c>
      <c r="B143" s="7">
        <v>4026</v>
      </c>
      <c r="C143" s="22" t="s">
        <v>99</v>
      </c>
      <c r="D143" s="22" t="s">
        <v>399</v>
      </c>
      <c r="E143" s="13">
        <v>42666.910486111112</v>
      </c>
      <c r="F143" s="13">
        <v>42666.914270833331</v>
      </c>
      <c r="G143" s="7">
        <v>1</v>
      </c>
      <c r="H143" s="13" t="s">
        <v>323</v>
      </c>
      <c r="I143" s="13">
        <v>42666.942407407405</v>
      </c>
      <c r="J143" s="7">
        <v>0</v>
      </c>
      <c r="K143" s="112" t="str">
        <f t="shared" si="82"/>
        <v>4025/4026</v>
      </c>
      <c r="L143" s="22" t="str">
        <f>VLOOKUP(A143,'Trips&amp;Operators'!$C$1:$E$10000,3,FALSE)</f>
        <v>LEVERE</v>
      </c>
      <c r="M143" s="6">
        <f t="shared" si="83"/>
        <v>2.8136574073869269E-2</v>
      </c>
      <c r="N143" s="7">
        <f t="shared" si="84"/>
        <v>40.516666666371748</v>
      </c>
      <c r="O143" s="7"/>
      <c r="P143" s="7"/>
      <c r="Q143" s="23"/>
      <c r="R143" s="23"/>
      <c r="S143" s="35">
        <f t="shared" si="85"/>
        <v>1</v>
      </c>
      <c r="T143" s="50" t="str">
        <f t="shared" si="86"/>
        <v>Southbound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20:51:06-0600',mode:absolute,to:'2016-10-23 23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3" s="52" t="str">
        <f t="shared" si="88"/>
        <v>N</v>
      </c>
      <c r="X143" s="171">
        <f t="shared" si="89"/>
        <v>1</v>
      </c>
      <c r="Y143" s="67">
        <f t="shared" si="90"/>
        <v>23.297899999999998</v>
      </c>
      <c r="Z143" s="67">
        <f t="shared" si="91"/>
        <v>1.3599999999999999E-2</v>
      </c>
      <c r="AA143" s="67">
        <f t="shared" si="92"/>
        <v>23.284299999999998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93"/>
        <v>0230-23</v>
      </c>
      <c r="AE143" s="91" t="str">
        <f t="shared" si="94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43" s="88" t="str">
        <f t="shared" si="95"/>
        <v>"C:\Program Files (x86)\AstroGrep\AstroGrep.exe" /spath="%USERPROFILE%\AppData\Local\Temp\OnboardLogs" /stypes="app*4026*20161024*" /stext=" 04:.+((SYSTEM_STATE.+slice.+state.+changed )|(ment ac)|(system.+state.+changed )|(\[timeout)|(PRM\|1\|D)|(kpr)|(kdp)|(\|lc)|(penalty))" /e /r /s</v>
      </c>
      <c r="AG143" s="1" t="str">
        <f t="shared" si="96"/>
        <v>EC</v>
      </c>
      <c r="AH143" s="92" t="str">
        <f t="shared" si="97"/>
        <v>"%USERPROFILE%\Documents\GitHub\eaglep3\Utilities\RefineRTDCRunTimes.py" --tripid 230-23 --locoid 4026 --swversion DE.1.0.7.0 --startMP 204:232979 --initTime 2016-10-23T21:51:06 --startdatetime 2016-10-23T21:56:33 --delay 1 --endMP 204:136 --enddatetime 2016-10-23T22:37:04 --enforcementcount 0 &gt;&gt;C:\Users\stu\Documents\GitHub\eaglep3-reporting\EC\2016-10-23-refined-times.txt</v>
      </c>
      <c r="AI143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{"issue":{"subject":"","project_id":79,"tracker_id":40,"status_id":1,"priority_id":2,"assigned_to_id":23,"start_date":"2016-10-23","description":"","custom_fields":[{"id":1,"name":"Subdivision","value":"EC"},{"id":4,"name":"Milepost","value":"0.0136"},{"id":17,"name":"Train ID","value":"230-23"},{"id":16,"name":"Locomotive ID","value":"4026"},{"id":130,"name":"Impact","value":""},{"id":150,"name":"Time of Event (Mountain Time)","value":"22:37:04"},{"id":151,"name":"Denver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589</v>
      </c>
      <c r="B144" s="7">
        <v>4018</v>
      </c>
      <c r="C144" s="22" t="s">
        <v>99</v>
      </c>
      <c r="D144" s="22" t="s">
        <v>261</v>
      </c>
      <c r="E144" s="13">
        <v>42666.890520833331</v>
      </c>
      <c r="F144" s="13">
        <v>42666.896018518521</v>
      </c>
      <c r="G144" s="7">
        <v>1</v>
      </c>
      <c r="H144" s="13" t="s">
        <v>651</v>
      </c>
      <c r="I144" s="13">
        <v>42666.921493055554</v>
      </c>
      <c r="J144" s="7">
        <v>0</v>
      </c>
      <c r="K144" s="112" t="str">
        <f t="shared" si="82"/>
        <v>4017/4018</v>
      </c>
      <c r="L144" s="22" t="str">
        <f>VLOOKUP(A144,'Trips&amp;Operators'!$C$1:$E$10000,3,FALSE)</f>
        <v>BERLING</v>
      </c>
      <c r="M144" s="6">
        <f t="shared" si="83"/>
        <v>2.5474537033005618E-2</v>
      </c>
      <c r="N144" s="7">
        <f t="shared" si="84"/>
        <v>36.683333327528089</v>
      </c>
      <c r="O144" s="7"/>
      <c r="P144" s="7"/>
      <c r="Q144" s="23"/>
      <c r="R144" s="23"/>
      <c r="S144" s="35">
        <f t="shared" si="85"/>
        <v>1</v>
      </c>
      <c r="T144" s="50" t="str">
        <f t="shared" si="86"/>
        <v>NorthBound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20:22:21-0600',mode:absolute,to:'2016-10-23 23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4" s="52" t="str">
        <f t="shared" si="88"/>
        <v>N</v>
      </c>
      <c r="X144" s="171">
        <f t="shared" si="89"/>
        <v>1</v>
      </c>
      <c r="Y144" s="67">
        <f t="shared" si="90"/>
        <v>4.4400000000000002E-2</v>
      </c>
      <c r="Z144" s="67">
        <f t="shared" si="91"/>
        <v>23.331499999999998</v>
      </c>
      <c r="AA144" s="67">
        <f t="shared" si="92"/>
        <v>23.287099999999999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93"/>
        <v>0231-23</v>
      </c>
      <c r="AE144" s="91" t="str">
        <f t="shared" si="94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44" s="88" t="str">
        <f t="shared" si="95"/>
        <v>"C:\Program Files (x86)\AstroGrep\AstroGrep.exe" /spath="%USERPROFILE%\AppData\Local\Temp\OnboardLogs" /stypes="app*4018*20161024*" /stext=" 04:.+((SYSTEM_STATE.+slice.+state.+changed )|(ment ac)|(system.+state.+changed )|(\[timeout)|(PRM\|1\|D)|(kpr)|(kdp)|(\|lc)|(penalty))" /e /r /s</v>
      </c>
      <c r="AG144" s="1" t="str">
        <f t="shared" si="96"/>
        <v>EC</v>
      </c>
      <c r="AH144" s="92" t="str">
        <f t="shared" si="97"/>
        <v>"%USERPROFILE%\Documents\GitHub\eaglep3\Utilities\RefineRTDCRunTimes.py" --tripid 231-23 --locoid 4018 --swversion DE.1.0.7.0 --startMP 204:444 --initTime 2016-10-23T21:22:21 --startdatetime 2016-10-23T21:30:16 --delay 1 --endMP 204:233315 --enddatetime 2016-10-23T22:06:57 --enforcementcount 0 &gt;&gt;C:\Users\stu\Documents\GitHub\eaglep3-reporting\EC\2016-10-23-refined-times.txt</v>
      </c>
      <c r="AI144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{"issue":{"subject":"","project_id":79,"tracker_id":40,"status_id":1,"priority_id":2,"assigned_to_id":23,"start_date":"2016-10-23","description":"","custom_fields":[{"id":1,"name":"Subdivision","value":"EC"},{"id":4,"name":"Milepost","value":"23.3315"},{"id":17,"name":"Train ID","value":"231-23"},{"id":16,"name":"Locomotive ID","value":"4018"},{"id":130,"name":"Impact","value":""},{"id":150,"name":"Time of Event (Mountain Time)","value":"22:06:57"},{"id":151,"name":"Denver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596</v>
      </c>
      <c r="B145" s="7">
        <v>4017</v>
      </c>
      <c r="C145" s="22" t="s">
        <v>99</v>
      </c>
      <c r="D145" s="22" t="s">
        <v>637</v>
      </c>
      <c r="E145" s="13">
        <v>42666.926759259259</v>
      </c>
      <c r="F145" s="13">
        <v>42666.935185185182</v>
      </c>
      <c r="G145" s="7">
        <v>1</v>
      </c>
      <c r="H145" s="13" t="s">
        <v>728</v>
      </c>
      <c r="I145" s="13">
        <v>42666.963425925926</v>
      </c>
      <c r="J145" s="7">
        <v>0</v>
      </c>
      <c r="K145" s="112" t="str">
        <f t="shared" si="82"/>
        <v>4017/4018</v>
      </c>
      <c r="L145" s="22" t="str">
        <f>VLOOKUP(A145,'Trips&amp;Operators'!$C$1:$E$10000,3,FALSE)</f>
        <v>BERLING</v>
      </c>
      <c r="M145" s="6">
        <f t="shared" si="83"/>
        <v>2.8240740743058268E-2</v>
      </c>
      <c r="N145" s="7">
        <f t="shared" si="84"/>
        <v>40.666666670003906</v>
      </c>
      <c r="O145" s="7"/>
      <c r="P145" s="7"/>
      <c r="Q145" s="23"/>
      <c r="R145" s="23"/>
      <c r="S145" s="35">
        <f t="shared" si="85"/>
        <v>1</v>
      </c>
      <c r="T145" s="50" t="str">
        <f t="shared" si="86"/>
        <v>Southbound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21:14:32-0600',mode:absolute,to:'2016-10-24 00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5" s="52" t="str">
        <f t="shared" si="88"/>
        <v>N</v>
      </c>
      <c r="X145" s="171">
        <f t="shared" si="89"/>
        <v>1</v>
      </c>
      <c r="Y145" s="67">
        <f t="shared" si="90"/>
        <v>23.298100000000002</v>
      </c>
      <c r="Z145" s="67">
        <f t="shared" si="91"/>
        <v>1.14E-2</v>
      </c>
      <c r="AA145" s="67">
        <f t="shared" si="92"/>
        <v>23.286700000000003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93"/>
        <v>0232-23</v>
      </c>
      <c r="AE145" s="91" t="str">
        <f t="shared" si="94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145" s="88" t="str">
        <f t="shared" si="95"/>
        <v>"C:\Program Files (x86)\AstroGrep\AstroGrep.exe" /spath="%USERPROFILE%\AppData\Local\Temp\OnboardLogs" /stypes="app*4017*20161024*" /stext=" 05:.+((SYSTEM_STATE.+slice.+state.+changed )|(ment ac)|(system.+state.+changed )|(\[timeout)|(PRM\|1\|D)|(kpr)|(kdp)|(\|lc)|(penalty))" /e /r /s</v>
      </c>
      <c r="AG145" s="1" t="str">
        <f t="shared" si="96"/>
        <v>EC</v>
      </c>
      <c r="AH145" s="92" t="str">
        <f t="shared" si="97"/>
        <v>"%USERPROFILE%\Documents\GitHub\eaglep3\Utilities\RefineRTDCRunTimes.py" --tripid 232-23 --locoid 4017 --swversion DE.1.0.7.0 --startMP 204:232981 --initTime 2016-10-23T22:14:32 --startdatetime 2016-10-23T22:26:40 --delay 1 --endMP 204:114 --enddatetime 2016-10-23T23:07:20 --enforcementcount 0 &gt;&gt;C:\Users\stu\Documents\GitHub\eaglep3-reporting\EC\2016-10-23-refined-times.txt</v>
      </c>
      <c r="AI145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{"issue":{"subject":"","project_id":79,"tracker_id":40,"status_id":1,"priority_id":2,"assigned_to_id":23,"start_date":"2016-10-23","description":"","custom_fields":[{"id":1,"name":"Subdivision","value":"EC"},{"id":4,"name":"Milepost","value":"0.0114"},{"id":17,"name":"Train ID","value":"232-23"},{"id":16,"name":"Locomotive ID","value":"4017"},{"id":130,"name":"Impact","value":""},{"id":150,"name":"Time of Event (Mountain Time)","value":"23:07:20"},{"id":151,"name":"Denver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7" t="s">
        <v>592</v>
      </c>
      <c r="B146" s="7">
        <v>4040</v>
      </c>
      <c r="C146" s="22" t="s">
        <v>99</v>
      </c>
      <c r="D146" s="22" t="s">
        <v>229</v>
      </c>
      <c r="E146" s="13">
        <v>42666.906006944446</v>
      </c>
      <c r="F146" s="13">
        <v>42666.916828703703</v>
      </c>
      <c r="G146" s="7">
        <v>1</v>
      </c>
      <c r="H146" s="13" t="s">
        <v>357</v>
      </c>
      <c r="I146" s="13">
        <v>42666.940844907411</v>
      </c>
      <c r="J146" s="7">
        <v>0</v>
      </c>
      <c r="K146" s="112" t="str">
        <f t="shared" si="82"/>
        <v>4039/4040</v>
      </c>
      <c r="L146" s="22" t="str">
        <f>VLOOKUP(A146,'Trips&amp;Operators'!$C$1:$E$10000,3,FALSE)</f>
        <v>NEWELL</v>
      </c>
      <c r="M146" s="6">
        <f t="shared" si="83"/>
        <v>2.4016203708015382E-2</v>
      </c>
      <c r="N146" s="7">
        <f t="shared" si="84"/>
        <v>34.58333333954215</v>
      </c>
      <c r="O146" s="7"/>
      <c r="P146" s="7"/>
      <c r="Q146" s="23"/>
      <c r="R146" s="23"/>
      <c r="S146" s="35">
        <f t="shared" si="85"/>
        <v>1</v>
      </c>
      <c r="T146" s="50" t="str">
        <f t="shared" si="86"/>
        <v>NorthBound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20:44:39-0600',mode:absolute,to:'2016-10-23 23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6" s="52" t="str">
        <f t="shared" si="88"/>
        <v>N</v>
      </c>
      <c r="X146" s="171">
        <f t="shared" si="89"/>
        <v>1</v>
      </c>
      <c r="Y146" s="67">
        <f t="shared" si="90"/>
        <v>4.6399999999999997E-2</v>
      </c>
      <c r="Z146" s="67">
        <f t="shared" si="91"/>
        <v>23.330500000000001</v>
      </c>
      <c r="AA146" s="67">
        <f t="shared" si="92"/>
        <v>23.284100000000002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93"/>
        <v>0233-23</v>
      </c>
      <c r="AE146" s="91" t="str">
        <f t="shared" si="94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46" s="88" t="str">
        <f t="shared" si="95"/>
        <v>"C:\Program Files (x86)\AstroGrep\AstroGrep.exe" /spath="%USERPROFILE%\AppData\Local\Temp\OnboardLogs" /stypes="app*4040*20161024*" /stext=" 04:.+((SYSTEM_STATE.+slice.+state.+changed )|(ment ac)|(system.+state.+changed )|(\[timeout)|(PRM\|1\|D)|(kpr)|(kdp)|(\|lc)|(penalty))" /e /r /s</v>
      </c>
      <c r="AG146" s="1" t="str">
        <f t="shared" si="96"/>
        <v>EC</v>
      </c>
      <c r="AH146" s="92" t="str">
        <f t="shared" si="97"/>
        <v>"%USERPROFILE%\Documents\GitHub\eaglep3\Utilities\RefineRTDCRunTimes.py" --tripid 233-23 --locoid 4040 --swversion DE.1.0.7.0 --startMP 204:464 --initTime 2016-10-23T21:44:39 --startdatetime 2016-10-23T22:00:14 --delay 1 --endMP 204:233305 --enddatetime 2016-10-23T22:34:49 --enforcementcount 0 &gt;&gt;C:\Users\stu\Documents\GitHub\eaglep3-reporting\EC\2016-10-23-refined-times.txt</v>
      </c>
      <c r="AI146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{"issue":{"subject":"","project_id":79,"tracker_id":40,"status_id":1,"priority_id":2,"assigned_to_id":23,"start_date":"2016-10-23","description":"","custom_fields":[{"id":1,"name":"Subdivision","value":"EC"},{"id":4,"name":"Milepost","value":"23.3305"},{"id":17,"name":"Train ID","value":"233-23"},{"id":16,"name":"Locomotive ID","value":"4040"},{"id":130,"name":"Impact","value":""},{"id":150,"name":"Time of Event (Mountain Time)","value":"22:34:49"},{"id":151,"name":"Denver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599</v>
      </c>
      <c r="B147" s="7">
        <v>4039</v>
      </c>
      <c r="C147" s="22" t="s">
        <v>99</v>
      </c>
      <c r="D147" s="22" t="s">
        <v>276</v>
      </c>
      <c r="E147" s="13">
        <v>42666.948935185188</v>
      </c>
      <c r="F147" s="13">
        <v>42666.956331018519</v>
      </c>
      <c r="G147" s="7">
        <v>1</v>
      </c>
      <c r="H147" s="13" t="s">
        <v>263</v>
      </c>
      <c r="I147" s="13">
        <v>42666.981805555559</v>
      </c>
      <c r="J147" s="7">
        <v>0</v>
      </c>
      <c r="K147" s="112" t="str">
        <f t="shared" si="82"/>
        <v>4039/4040</v>
      </c>
      <c r="L147" s="22" t="str">
        <f>VLOOKUP(A147,'Trips&amp;Operators'!$C$1:$E$10000,3,FALSE)</f>
        <v>NEWELL</v>
      </c>
      <c r="M147" s="6">
        <f t="shared" si="83"/>
        <v>2.5474537040281575E-2</v>
      </c>
      <c r="N147" s="7">
        <f t="shared" si="84"/>
        <v>36.683333338005468</v>
      </c>
      <c r="O147" s="7"/>
      <c r="P147" s="7"/>
      <c r="Q147" s="23"/>
      <c r="R147" s="23"/>
      <c r="S147" s="35">
        <f t="shared" si="85"/>
        <v>1</v>
      </c>
      <c r="T147" s="50" t="str">
        <f t="shared" si="86"/>
        <v>Southbound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21:46:28-0600',mode:absolute,to:'2016-10-24 00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7" s="52" t="str">
        <f t="shared" si="88"/>
        <v>N</v>
      </c>
      <c r="X147" s="171">
        <f t="shared" si="89"/>
        <v>1</v>
      </c>
      <c r="Y147" s="67">
        <f t="shared" si="90"/>
        <v>23.2986</v>
      </c>
      <c r="Z147" s="67">
        <f t="shared" si="91"/>
        <v>1.5599999999999999E-2</v>
      </c>
      <c r="AA147" s="67">
        <f t="shared" si="92"/>
        <v>23.283000000000001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93"/>
        <v>0234-23</v>
      </c>
      <c r="AE147" s="91" t="str">
        <f t="shared" si="94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47" s="88" t="str">
        <f t="shared" si="95"/>
        <v>"C:\Program Files (x86)\AstroGrep\AstroGrep.exe" /spath="%USERPROFILE%\AppData\Local\Temp\OnboardLogs" /stypes="app*4039*20161024*" /stext=" 05:.+((SYSTEM_STATE.+slice.+state.+changed )|(ment ac)|(system.+state.+changed )|(\[timeout)|(PRM\|1\|D)|(kpr)|(kdp)|(\|lc)|(penalty))" /e /r /s</v>
      </c>
      <c r="AG147" s="1" t="str">
        <f t="shared" si="96"/>
        <v>EC</v>
      </c>
      <c r="AH147" s="92" t="str">
        <f t="shared" si="97"/>
        <v>"%USERPROFILE%\Documents\GitHub\eaglep3\Utilities\RefineRTDCRunTimes.py" --tripid 234-23 --locoid 4039 --swversion DE.1.0.7.0 --startMP 204:232986 --initTime 2016-10-23T22:46:28 --startdatetime 2016-10-23T22:57:07 --delay 1 --endMP 204:156 --enddatetime 2016-10-23T23:33:48 --enforcementcount 0 &gt;&gt;C:\Users\stu\Documents\GitHub\eaglep3-reporting\EC\2016-10-23-refined-times.txt</v>
      </c>
      <c r="AI147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{"issue":{"subject":"","project_id":79,"tracker_id":40,"status_id":1,"priority_id":2,"assigned_to_id":23,"start_date":"2016-10-23","description":"","custom_fields":[{"id":1,"name":"Subdivision","value":"EC"},{"id":4,"name":"Milepost","value":"0.0156"},{"id":17,"name":"Train ID","value":"234-23"},{"id":16,"name":"Locomotive ID","value":"4039"},{"id":130,"name":"Impact","value":""},{"id":150,"name":"Time of Event (Mountain Time)","value":"23:33:48"},{"id":151,"name":"Denver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597</v>
      </c>
      <c r="B148" s="7">
        <v>4046</v>
      </c>
      <c r="C148" s="22" t="s">
        <v>99</v>
      </c>
      <c r="D148" s="22" t="s">
        <v>321</v>
      </c>
      <c r="E148" s="13">
        <v>42666.93509259259</v>
      </c>
      <c r="F148" s="13">
        <v>42666.937719907408</v>
      </c>
      <c r="G148" s="7">
        <v>1</v>
      </c>
      <c r="H148" s="13" t="s">
        <v>632</v>
      </c>
      <c r="I148" s="13">
        <v>42666.962812500002</v>
      </c>
      <c r="J148" s="7">
        <v>0</v>
      </c>
      <c r="K148" s="112" t="str">
        <f t="shared" si="82"/>
        <v>4045/4046</v>
      </c>
      <c r="L148" s="22" t="str">
        <f>VLOOKUP(A148,'Trips&amp;Operators'!$C$1:$E$10000,3,FALSE)</f>
        <v>CHANDLER</v>
      </c>
      <c r="M148" s="6">
        <f t="shared" si="83"/>
        <v>2.5092592593864538E-2</v>
      </c>
      <c r="N148" s="7">
        <f t="shared" si="84"/>
        <v>36.133333335164934</v>
      </c>
      <c r="O148" s="7"/>
      <c r="P148" s="7"/>
      <c r="Q148" s="23"/>
      <c r="R148" s="23"/>
      <c r="S148" s="35">
        <f t="shared" si="85"/>
        <v>1</v>
      </c>
      <c r="T148" s="50" t="str">
        <f t="shared" si="86"/>
        <v>NorthBound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21:26:32-0600',mode:absolute,to:'2016-10-24 00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8" s="52" t="str">
        <f t="shared" si="88"/>
        <v>N</v>
      </c>
      <c r="X148" s="171">
        <f t="shared" si="89"/>
        <v>1</v>
      </c>
      <c r="Y148" s="67">
        <f t="shared" si="90"/>
        <v>4.6699999999999998E-2</v>
      </c>
      <c r="Z148" s="67">
        <f t="shared" si="91"/>
        <v>23.327400000000001</v>
      </c>
      <c r="AA148" s="67">
        <f t="shared" si="92"/>
        <v>23.2807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93"/>
        <v>0235-23</v>
      </c>
      <c r="AE148" s="91" t="str">
        <f t="shared" si="94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48" s="88" t="str">
        <f t="shared" si="95"/>
        <v>"C:\Program Files (x86)\AstroGrep\AstroGrep.exe" /spath="%USERPROFILE%\AppData\Local\Temp\OnboardLogs" /stypes="app*4046*20161024*" /stext=" 05:.+((SYSTEM_STATE.+slice.+state.+changed )|(ment ac)|(system.+state.+changed )|(\[timeout)|(PRM\|1\|D)|(kpr)|(kdp)|(\|lc)|(penalty))" /e /r /s</v>
      </c>
      <c r="AG148" s="1" t="str">
        <f t="shared" si="96"/>
        <v>EC</v>
      </c>
      <c r="AH148" s="92" t="str">
        <f t="shared" si="97"/>
        <v>"%USERPROFILE%\Documents\GitHub\eaglep3\Utilities\RefineRTDCRunTimes.py" --tripid 235-23 --locoid 4046 --swversion DE.1.0.7.0 --startMP 204:467 --initTime 2016-10-23T22:26:32 --startdatetime 2016-10-23T22:30:19 --delay 1 --endMP 204:233274 --enddatetime 2016-10-23T23:06:27 --enforcementcount 0 &gt;&gt;C:\Users\stu\Documents\GitHub\eaglep3-reporting\EC\2016-10-23-refined-times.txt</v>
      </c>
      <c r="AI148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{"issue":{"subject":"","project_id":79,"tracker_id":40,"status_id":1,"priority_id":2,"assigned_to_id":23,"start_date":"2016-10-23","description":"","custom_fields":[{"id":1,"name":"Subdivision","value":"EC"},{"id":4,"name":"Milepost","value":"23.3274"},{"id":17,"name":"Train ID","value":"235-23"},{"id":16,"name":"Locomotive ID","value":"4046"},{"id":130,"name":"Impact","value":""},{"id":150,"name":"Time of Event (Mountain Time)","value":"23:06:27"},{"id":151,"name":"Denver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432</v>
      </c>
      <c r="B149" s="7">
        <v>4045</v>
      </c>
      <c r="C149" s="22" t="s">
        <v>99</v>
      </c>
      <c r="D149" s="22" t="s">
        <v>729</v>
      </c>
      <c r="E149" s="13">
        <v>42666.978645833333</v>
      </c>
      <c r="F149" s="13">
        <v>42666.97965277778</v>
      </c>
      <c r="G149" s="7">
        <v>0</v>
      </c>
      <c r="H149" s="13" t="s">
        <v>730</v>
      </c>
      <c r="I149" s="13">
        <v>42667.007106481484</v>
      </c>
      <c r="J149" s="7">
        <v>0</v>
      </c>
      <c r="K149" s="112" t="str">
        <f t="shared" si="82"/>
        <v>4045/4046</v>
      </c>
      <c r="L149" s="22" t="str">
        <f>VLOOKUP(A149,'Trips&amp;Operators'!$C$1:$E$10000,3,FALSE)</f>
        <v>CHANDLER</v>
      </c>
      <c r="M149" s="6">
        <f t="shared" si="83"/>
        <v>2.7453703703940846E-2</v>
      </c>
      <c r="N149" s="7">
        <f t="shared" si="84"/>
        <v>39.533333333674818</v>
      </c>
      <c r="O149" s="7"/>
      <c r="P149" s="7"/>
      <c r="Q149" s="23"/>
      <c r="R149" s="23"/>
      <c r="S149" s="35">
        <f t="shared" si="85"/>
        <v>1</v>
      </c>
      <c r="T149" s="50" t="str">
        <f t="shared" si="86"/>
        <v>Southbound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22:29:15-0600',mode:absolute,to:'2016-10-24 01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9" s="52" t="str">
        <f t="shared" si="88"/>
        <v>N</v>
      </c>
      <c r="X149" s="171">
        <f t="shared" si="89"/>
        <v>1</v>
      </c>
      <c r="Y149" s="67">
        <f t="shared" si="90"/>
        <v>23.295300000000001</v>
      </c>
      <c r="Z149" s="67">
        <f t="shared" si="91"/>
        <v>0.1003</v>
      </c>
      <c r="AA149" s="67">
        <f t="shared" si="92"/>
        <v>23.195</v>
      </c>
      <c r="AB149" s="64" t="str">
        <f>VLOOKUP(A149,Enforcements!$C$7:$K$21,8,0)</f>
        <v>Form based authority (4)</v>
      </c>
      <c r="AC149" s="60" t="str">
        <f>VLOOKUP(A149,Enforcements!$C$7:$E$21,3,0)</f>
        <v>TRACK WARRANT AUTHORITY</v>
      </c>
      <c r="AD149" s="61" t="str">
        <f t="shared" si="93"/>
        <v>0236-23</v>
      </c>
      <c r="AE149" s="91" t="str">
        <f t="shared" si="94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49" s="88" t="str">
        <f t="shared" si="95"/>
        <v>"C:\Program Files (x86)\AstroGrep\AstroGrep.exe" /spath="%USERPROFILE%\AppData\Local\Temp\OnboardLogs" /stypes="app*4045*20161024*" /stext=" 06:.+((SYSTEM_STATE.+slice.+state.+changed )|(ment ac)|(system.+state.+changed )|(\[timeout)|(PRM\|1\|D)|(kpr)|(kdp)|(\|lc)|(penalty))" /e /r /s</v>
      </c>
      <c r="AG149" s="1" t="str">
        <f t="shared" si="96"/>
        <v>EC</v>
      </c>
      <c r="AH149" s="92" t="str">
        <f t="shared" si="97"/>
        <v>"%USERPROFILE%\Documents\GitHub\eaglep3\Utilities\RefineRTDCRunTimes.py" --tripid 236-23 --locoid 4045 --swversion DE.1.0.7.0 --startMP 204:232953 --initTime 2016-10-23T23:29:15 --startdatetime 2016-10-23T23:30:42 --delay 0 --endMP 204:1003 --enddatetime 2016-10-24T00:10:14 --enforcementcount 0 &gt;&gt;C:\Users\stu\Documents\GitHub\eaglep3-reporting\EC\2016-10-23-refined-times.txt</v>
      </c>
      <c r="AI149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{"issue":{"subject":"","project_id":79,"tracker_id":40,"status_id":1,"priority_id":2,"assigned_to_id":23,"start_date":"2016-10-24","description":"","custom_fields":[{"id":1,"name":"Subdivision","value":"EC"},{"id":4,"name":"Milepost","value":"0.1003"},{"id":17,"name":"Train ID","value":"236-23"},{"id":16,"name":"Locomotive ID","value":"4045"},{"id":130,"name":"Impact","value":""},{"id":150,"name":"Time of Event (Mountain Time)","value":"00:10:14"},{"id":151,"name":"Denver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600</v>
      </c>
      <c r="B150" s="7">
        <v>4025</v>
      </c>
      <c r="C150" s="22" t="s">
        <v>99</v>
      </c>
      <c r="D150" s="22" t="s">
        <v>275</v>
      </c>
      <c r="E150" s="13">
        <v>42666.951145833336</v>
      </c>
      <c r="F150" s="13">
        <v>42666.958749999998</v>
      </c>
      <c r="G150" s="7">
        <v>1</v>
      </c>
      <c r="H150" s="13" t="s">
        <v>630</v>
      </c>
      <c r="I150" s="13">
        <v>42666.985127314816</v>
      </c>
      <c r="J150" s="7">
        <v>0</v>
      </c>
      <c r="K150" s="112" t="str">
        <f t="shared" si="82"/>
        <v>4025/4026</v>
      </c>
      <c r="L150" s="22" t="str">
        <f>VLOOKUP(A150,'Trips&amp;Operators'!$C$1:$E$10000,3,FALSE)</f>
        <v>LEVERE</v>
      </c>
      <c r="M150" s="6">
        <f t="shared" si="83"/>
        <v>2.6377314818091691E-2</v>
      </c>
      <c r="N150" s="7">
        <f t="shared" si="84"/>
        <v>37.983333338052034</v>
      </c>
      <c r="O150" s="7"/>
      <c r="P150" s="7"/>
      <c r="Q150" s="23"/>
      <c r="R150" s="23"/>
      <c r="S150" s="35">
        <f t="shared" si="85"/>
        <v>1</v>
      </c>
      <c r="T150" s="50" t="str">
        <f t="shared" si="86"/>
        <v>NorthBound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21:49:39-0600',mode:absolute,to:'2016-10-24 00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0" s="52" t="str">
        <f t="shared" si="88"/>
        <v>N</v>
      </c>
      <c r="X150" s="171">
        <f t="shared" si="89"/>
        <v>1</v>
      </c>
      <c r="Y150" s="67">
        <f t="shared" si="90"/>
        <v>4.4900000000000002E-2</v>
      </c>
      <c r="Z150" s="67">
        <f t="shared" si="91"/>
        <v>23.328199999999999</v>
      </c>
      <c r="AA150" s="67">
        <f t="shared" si="92"/>
        <v>23.283300000000001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93"/>
        <v>0237-23</v>
      </c>
      <c r="AE150" s="91" t="str">
        <f t="shared" si="94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50" s="88" t="str">
        <f t="shared" si="95"/>
        <v>"C:\Program Files (x86)\AstroGrep\AstroGrep.exe" /spath="%USERPROFILE%\AppData\Local\Temp\OnboardLogs" /stypes="app*4025*20161024*" /stext=" 05:.+((SYSTEM_STATE.+slice.+state.+changed )|(ment ac)|(system.+state.+changed )|(\[timeout)|(PRM\|1\|D)|(kpr)|(kdp)|(\|lc)|(penalty))" /e /r /s</v>
      </c>
      <c r="AG150" s="1" t="str">
        <f t="shared" si="96"/>
        <v>EC</v>
      </c>
      <c r="AH150" s="92" t="str">
        <f t="shared" si="97"/>
        <v>"%USERPROFILE%\Documents\GitHub\eaglep3\Utilities\RefineRTDCRunTimes.py" --tripid 237-23 --locoid 4025 --swversion DE.1.0.7.0 --startMP 204:449 --initTime 2016-10-23T22:49:39 --startdatetime 2016-10-23T23:00:36 --delay 1 --endMP 204:233282 --enddatetime 2016-10-23T23:38:35 --enforcementcount 0 &gt;&gt;C:\Users\stu\Documents\GitHub\eaglep3-reporting\EC\2016-10-23-refined-times.txt</v>
      </c>
      <c r="AI150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{"issue":{"subject":"","project_id":79,"tracker_id":40,"status_id":1,"priority_id":2,"assigned_to_id":23,"start_date":"2016-10-23","description":"","custom_fields":[{"id":1,"name":"Subdivision","value":"EC"},{"id":4,"name":"Milepost","value":"23.3282"},{"id":17,"name":"Train ID","value":"237-23"},{"id":16,"name":"Locomotive ID","value":"4025"},{"id":130,"name":"Impact","value":""},{"id":150,"name":"Time of Event (Mountain Time)","value":"23:38:35"},{"id":151,"name":"Denver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603</v>
      </c>
      <c r="B151" s="7">
        <v>4026</v>
      </c>
      <c r="C151" s="22" t="s">
        <v>99</v>
      </c>
      <c r="D151" s="22" t="s">
        <v>362</v>
      </c>
      <c r="E151" s="13">
        <v>42666.993692129632</v>
      </c>
      <c r="F151" s="13">
        <v>42666.997476851851</v>
      </c>
      <c r="G151" s="7">
        <v>1</v>
      </c>
      <c r="H151" s="13" t="s">
        <v>222</v>
      </c>
      <c r="I151" s="13">
        <v>42667.025416666664</v>
      </c>
      <c r="J151" s="7">
        <v>0</v>
      </c>
      <c r="K151" s="112" t="str">
        <f t="shared" si="82"/>
        <v>4025/4026</v>
      </c>
      <c r="L151" s="22" t="str">
        <f>VLOOKUP(A151,'Trips&amp;Operators'!$C$1:$E$10000,3,FALSE)</f>
        <v>LEVERE</v>
      </c>
      <c r="M151" s="6">
        <f t="shared" si="83"/>
        <v>2.7939814812270924E-2</v>
      </c>
      <c r="N151" s="7">
        <f t="shared" si="84"/>
        <v>40.233333329670131</v>
      </c>
      <c r="O151" s="7"/>
      <c r="P151" s="7"/>
      <c r="Q151" s="23"/>
      <c r="R151" s="23"/>
      <c r="S151" s="35">
        <f t="shared" si="85"/>
        <v>1</v>
      </c>
      <c r="T151" s="50" t="str">
        <f t="shared" si="86"/>
        <v>Southbound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22:50:55-0600',mode:absolute,to:'2016-10-24 01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1" s="52" t="str">
        <f t="shared" si="88"/>
        <v>N</v>
      </c>
      <c r="X151" s="171">
        <f t="shared" si="89"/>
        <v>1</v>
      </c>
      <c r="Y151" s="67">
        <f t="shared" si="90"/>
        <v>23.296299999999999</v>
      </c>
      <c r="Z151" s="67">
        <f t="shared" si="91"/>
        <v>1.49E-2</v>
      </c>
      <c r="AA151" s="67">
        <f t="shared" si="92"/>
        <v>23.281399999999998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93"/>
        <v>0238-23</v>
      </c>
      <c r="AE151" s="91" t="str">
        <f t="shared" si="94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51" s="88" t="str">
        <f t="shared" si="95"/>
        <v>"C:\Program Files (x86)\AstroGrep\AstroGrep.exe" /spath="%USERPROFILE%\AppData\Local\Temp\OnboardLogs" /stypes="app*4026*20161024*" /stext=" 06:.+((SYSTEM_STATE.+slice.+state.+changed )|(ment ac)|(system.+state.+changed )|(\[timeout)|(PRM\|1\|D)|(kpr)|(kdp)|(\|lc)|(penalty))" /e /r /s</v>
      </c>
      <c r="AG151" s="1" t="str">
        <f t="shared" si="96"/>
        <v>EC</v>
      </c>
      <c r="AH151" s="92" t="str">
        <f t="shared" si="97"/>
        <v>"%USERPROFILE%\Documents\GitHub\eaglep3\Utilities\RefineRTDCRunTimes.py" --tripid 238-23 --locoid 4026 --swversion DE.1.0.7.0 --startMP 204:232963 --initTime 2016-10-23T23:50:55 --startdatetime 2016-10-23T23:56:22 --delay 1 --endMP 204:149 --enddatetime 2016-10-24T00:36:36 --enforcementcount 0 &gt;&gt;C:\Users\stu\Documents\GitHub\eaglep3-reporting\EC\2016-10-23-refined-times.txt</v>
      </c>
      <c r="AI151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{"issue":{"subject":"","project_id":79,"tracker_id":40,"status_id":1,"priority_id":2,"assigned_to_id":23,"start_date":"2016-10-24","description":"","custom_fields":[{"id":1,"name":"Subdivision","value":"EC"},{"id":4,"name":"Milepost","value":"0.0149"},{"id":17,"name":"Train ID","value":"238-23"},{"id":16,"name":"Locomotive ID","value":"4026"},{"id":130,"name":"Impact","value":""},{"id":150,"name":"Time of Event (Mountain Time)","value":"00:36:36"},{"id":151,"name":"Denver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601</v>
      </c>
      <c r="B152" s="7">
        <v>4018</v>
      </c>
      <c r="C152" s="22" t="s">
        <v>99</v>
      </c>
      <c r="D152" s="22" t="s">
        <v>234</v>
      </c>
      <c r="E152" s="13">
        <v>42666.974398148152</v>
      </c>
      <c r="F152" s="13">
        <v>42666.979409722226</v>
      </c>
      <c r="G152" s="7">
        <v>1</v>
      </c>
      <c r="H152" s="13" t="s">
        <v>360</v>
      </c>
      <c r="I152" s="13">
        <v>42667.005196759259</v>
      </c>
      <c r="J152" s="7">
        <v>0</v>
      </c>
      <c r="K152" s="112" t="str">
        <f t="shared" si="82"/>
        <v>4017/4018</v>
      </c>
      <c r="L152" s="22" t="str">
        <f>VLOOKUP(A152,'Trips&amp;Operators'!$C$1:$E$10000,3,FALSE)</f>
        <v>BERLING</v>
      </c>
      <c r="M152" s="6">
        <f t="shared" si="83"/>
        <v>2.5787037033296656E-2</v>
      </c>
      <c r="N152" s="7">
        <f t="shared" si="84"/>
        <v>37.133333327947184</v>
      </c>
      <c r="O152" s="7"/>
      <c r="P152" s="7"/>
      <c r="Q152" s="23"/>
      <c r="R152" s="23"/>
      <c r="S152" s="35">
        <f t="shared" si="85"/>
        <v>1</v>
      </c>
      <c r="T152" s="50" t="str">
        <f t="shared" si="86"/>
        <v>NorthBound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22:23:08-0600',mode:absolute,to:'2016-10-24 01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2" s="52" t="str">
        <f t="shared" si="88"/>
        <v>N</v>
      </c>
      <c r="X152" s="171">
        <f t="shared" si="89"/>
        <v>1</v>
      </c>
      <c r="Y152" s="67">
        <f t="shared" si="90"/>
        <v>4.4600000000000001E-2</v>
      </c>
      <c r="Z152" s="67">
        <f t="shared" si="91"/>
        <v>23.3307</v>
      </c>
      <c r="AA152" s="67">
        <f t="shared" si="92"/>
        <v>23.286100000000001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93"/>
        <v>0239-23</v>
      </c>
      <c r="AE152" s="91" t="str">
        <f t="shared" si="94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52" s="88" t="str">
        <f t="shared" si="95"/>
        <v>"C:\Program Files (x86)\AstroGrep\AstroGrep.exe" /spath="%USERPROFILE%\AppData\Local\Temp\OnboardLogs" /stypes="app*4018*20161024*" /stext=" 06:.+((SYSTEM_STATE.+slice.+state.+changed )|(ment ac)|(system.+state.+changed )|(\[timeout)|(PRM\|1\|D)|(kpr)|(kdp)|(\|lc)|(penalty))" /e /r /s</v>
      </c>
      <c r="AG152" s="1" t="str">
        <f t="shared" si="96"/>
        <v>EC</v>
      </c>
      <c r="AH152" s="92" t="str">
        <f t="shared" si="97"/>
        <v>"%USERPROFILE%\Documents\GitHub\eaglep3\Utilities\RefineRTDCRunTimes.py" --tripid 239-23 --locoid 4018 --swversion DE.1.0.7.0 --startMP 204:446 --initTime 2016-10-23T23:23:08 --startdatetime 2016-10-23T23:30:21 --delay 1 --endMP 204:233307 --enddatetime 2016-10-24T00:07:29 --enforcementcount 0 &gt;&gt;C:\Users\stu\Documents\GitHub\eaglep3-reporting\EC\2016-10-23-refined-times.txt</v>
      </c>
      <c r="AI152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{"issue":{"subject":"","project_id":79,"tracker_id":40,"status_id":1,"priority_id":2,"assigned_to_id":23,"start_date":"2016-10-24","description":"","custom_fields":[{"id":1,"name":"Subdivision","value":"EC"},{"id":4,"name":"Milepost","value":"23.3307"},{"id":17,"name":"Train ID","value":"239-23"},{"id":16,"name":"Locomotive ID","value":"4018"},{"id":130,"name":"Impact","value":""},{"id":150,"name":"Time of Event (Mountain Time)","value":"00:07:29"},{"id":151,"name":"Denver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604</v>
      </c>
      <c r="B153" s="7">
        <v>4017</v>
      </c>
      <c r="C153" s="22" t="s">
        <v>99</v>
      </c>
      <c r="D153" s="22" t="s">
        <v>278</v>
      </c>
      <c r="E153" s="13">
        <v>42667.012118055558</v>
      </c>
      <c r="F153" s="13">
        <v>42667.018263888887</v>
      </c>
      <c r="G153" s="7">
        <v>1</v>
      </c>
      <c r="H153" s="13" t="s">
        <v>222</v>
      </c>
      <c r="I153" s="13">
        <v>42667.045682870368</v>
      </c>
      <c r="J153" s="7">
        <v>0</v>
      </c>
      <c r="K153" s="112" t="str">
        <f t="shared" si="82"/>
        <v>4017/4018</v>
      </c>
      <c r="L153" s="22" t="str">
        <f>VLOOKUP(A153,'Trips&amp;Operators'!$C$1:$E$10000,3,FALSE)</f>
        <v>BERLING</v>
      </c>
      <c r="M153" s="6">
        <f t="shared" si="83"/>
        <v>2.7418981480877846E-2</v>
      </c>
      <c r="N153" s="7">
        <f t="shared" si="84"/>
        <v>39.483333332464099</v>
      </c>
      <c r="O153" s="7"/>
      <c r="P153" s="7"/>
      <c r="Q153" s="23"/>
      <c r="R153" s="23"/>
      <c r="S153" s="35">
        <f t="shared" si="85"/>
        <v>1</v>
      </c>
      <c r="T153" s="50" t="str">
        <f t="shared" si="86"/>
        <v>Southbound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23:17:27-0600',mode:absolute,to:'2016-10-24 02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3" s="52" t="str">
        <f t="shared" si="88"/>
        <v>N</v>
      </c>
      <c r="X153" s="171">
        <f t="shared" si="89"/>
        <v>1</v>
      </c>
      <c r="Y153" s="67">
        <f t="shared" si="90"/>
        <v>23.298999999999999</v>
      </c>
      <c r="Z153" s="67">
        <f t="shared" si="91"/>
        <v>1.49E-2</v>
      </c>
      <c r="AA153" s="67">
        <f t="shared" si="92"/>
        <v>23.284099999999999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93"/>
        <v>0240-23</v>
      </c>
      <c r="AE153" s="91" t="str">
        <f t="shared" si="94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153" s="88" t="str">
        <f t="shared" si="95"/>
        <v>"C:\Program Files (x86)\AstroGrep\AstroGrep.exe" /spath="%USERPROFILE%\AppData\Local\Temp\OnboardLogs" /stypes="app*4017*20161024*" /stext=" 07:.+((SYSTEM_STATE.+slice.+state.+changed )|(ment ac)|(system.+state.+changed )|(\[timeout)|(PRM\|1\|D)|(kpr)|(kdp)|(\|lc)|(penalty))" /e /r /s</v>
      </c>
      <c r="AG153" s="1" t="str">
        <f t="shared" si="96"/>
        <v>EC</v>
      </c>
      <c r="AH153" s="92" t="str">
        <f t="shared" si="97"/>
        <v>"%USERPROFILE%\Documents\GitHub\eaglep3\Utilities\RefineRTDCRunTimes.py" --tripid 240-23 --locoid 4017 --swversion DE.1.0.7.0 --startMP 204:232990 --initTime 2016-10-24T00:17:27 --startdatetime 2016-10-24T00:26:18 --delay 1 --endMP 204:149 --enddatetime 2016-10-24T01:05:47 --enforcementcount 0 &gt;&gt;C:\Users\stu\Documents\GitHub\eaglep3-reporting\EC\2016-10-23-refined-times.txt</v>
      </c>
      <c r="AI153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{"issue":{"subject":"","project_id":79,"tracker_id":40,"status_id":1,"priority_id":2,"assigned_to_id":23,"start_date":"2016-10-24","description":"","custom_fields":[{"id":1,"name":"Subdivision","value":"EC"},{"id":4,"name":"Milepost","value":"0.0149"},{"id":17,"name":"Train ID","value":"240-23"},{"id":16,"name":"Locomotive ID","value":"4017"},{"id":130,"name":"Impact","value":""},{"id":150,"name":"Time of Event (Mountain Time)","value":"01:05:47"},{"id":151,"name":"Denver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602</v>
      </c>
      <c r="B154" s="7">
        <v>4040</v>
      </c>
      <c r="C154" s="22" t="s">
        <v>99</v>
      </c>
      <c r="D154" s="22" t="s">
        <v>392</v>
      </c>
      <c r="E154" s="13">
        <v>42666.984097222223</v>
      </c>
      <c r="F154" s="13">
        <v>42667.000162037039</v>
      </c>
      <c r="G154" s="7">
        <v>1</v>
      </c>
      <c r="H154" s="13" t="s">
        <v>394</v>
      </c>
      <c r="I154" s="13">
        <v>42667.024375000001</v>
      </c>
      <c r="J154" s="7">
        <v>0</v>
      </c>
      <c r="K154" s="112" t="str">
        <f t="shared" si="82"/>
        <v>4039/4040</v>
      </c>
      <c r="L154" s="22" t="str">
        <f>VLOOKUP(A154,'Trips&amp;Operators'!$C$1:$E$10000,3,FALSE)</f>
        <v>NEWELL</v>
      </c>
      <c r="M154" s="6">
        <f t="shared" si="83"/>
        <v>2.421296296233777E-2</v>
      </c>
      <c r="N154" s="7">
        <f t="shared" si="84"/>
        <v>34.866666665766388</v>
      </c>
      <c r="O154" s="7"/>
      <c r="P154" s="7"/>
      <c r="Q154" s="23"/>
      <c r="R154" s="23"/>
      <c r="S154" s="35">
        <f t="shared" si="85"/>
        <v>1</v>
      </c>
      <c r="T154" s="50" t="str">
        <f t="shared" si="86"/>
        <v>NorthBound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22:37:06-0600',mode:absolute,to:'2016-10-24 01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4" s="52" t="str">
        <f t="shared" si="88"/>
        <v>N</v>
      </c>
      <c r="X154" s="171">
        <f t="shared" si="89"/>
        <v>1</v>
      </c>
      <c r="Y154" s="67">
        <f t="shared" si="90"/>
        <v>4.5699999999999998E-2</v>
      </c>
      <c r="Z154" s="67">
        <f t="shared" si="91"/>
        <v>23.331399999999999</v>
      </c>
      <c r="AA154" s="67">
        <f t="shared" si="92"/>
        <v>23.285699999999999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93"/>
        <v>0241-23</v>
      </c>
      <c r="AE154" s="91" t="str">
        <f t="shared" si="94"/>
        <v>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 &amp; aws s3 cp s3://rtdc.mdm.uploadarchive.raw/RTDC4040/ "%USERPROFILE%\AppData\Local\Temp\OnboardLogs"\RTDC4040\2016-10-25 --exclude "*" --recursive --include "*20161025*" &amp; "%USERPROFILE%\Documents\GitHub\mrs-test-scripts\Headless Mode &amp; Sideloading\WalkAndUnGZ.bat" "%USERPROFILE%\AppData\Local\Temp\OnboardLogs"\RTDC4040\2016-10-25</v>
      </c>
      <c r="AF154" s="88" t="str">
        <f t="shared" si="95"/>
        <v>"C:\Program Files (x86)\AstroGrep\AstroGrep.exe" /spath="%USERPROFILE%\AppData\Local\Temp\OnboardLogs" /stypes="app*4040*20161024*" /stext=" 06:.+((SYSTEM_STATE.+slice.+state.+changed )|(ment ac)|(system.+state.+changed )|(\[timeout)|(PRM\|1\|D)|(kpr)|(kdp)|(\|lc)|(penalty))" /e /r /s</v>
      </c>
      <c r="AG154" s="1" t="str">
        <f t="shared" si="96"/>
        <v>EC</v>
      </c>
      <c r="AH154" s="92" t="str">
        <f t="shared" si="97"/>
        <v>"%USERPROFILE%\Documents\GitHub\eaglep3\Utilities\RefineRTDCRunTimes.py" --tripid 241-23 --locoid 4040 --swversion DE.1.0.7.0 --startMP 204:457 --initTime 2016-10-23T23:37:06 --startdatetime 2016-10-24T00:00:14 --delay 1 --endMP 204:233314 --enddatetime 2016-10-24T00:35:06 --enforcementcount 0 &gt;&gt;C:\Users\stu\Documents\GitHub\eaglep3-reporting\EC\2016-10-23-refined-times.txt</v>
      </c>
      <c r="AI154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{"issue":{"subject":"","project_id":79,"tracker_id":40,"status_id":1,"priority_id":2,"assigned_to_id":23,"start_date":"2016-10-24","description":"","custom_fields":[{"id":1,"name":"Subdivision","value":"EC"},{"id":4,"name":"Milepost","value":"23.3314"},{"id":17,"name":"Train ID","value":"241-23"},{"id":16,"name":"Locomotive ID","value":"4040"},{"id":130,"name":"Impact","value":""},{"id":150,"name":"Time of Event (Mountain Time)","value":"00:35:06"},{"id":151,"name":"Denver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607</v>
      </c>
      <c r="B155" s="7">
        <v>4039</v>
      </c>
      <c r="C155" s="22" t="s">
        <v>99</v>
      </c>
      <c r="D155" s="22" t="s">
        <v>635</v>
      </c>
      <c r="E155" s="13">
        <v>42667.034375000003</v>
      </c>
      <c r="F155" s="13">
        <v>42667.039050925923</v>
      </c>
      <c r="G155" s="7">
        <v>0</v>
      </c>
      <c r="H155" s="13" t="s">
        <v>731</v>
      </c>
      <c r="I155" s="13">
        <v>42667.064849537041</v>
      </c>
      <c r="J155" s="7">
        <v>0</v>
      </c>
      <c r="K155" s="112" t="str">
        <f t="shared" si="82"/>
        <v>4039/4040</v>
      </c>
      <c r="L155" s="22" t="str">
        <f>VLOOKUP(A155,'Trips&amp;Operators'!$C$1:$E$10000,3,FALSE)</f>
        <v>NEWELL</v>
      </c>
      <c r="M155" s="6">
        <f t="shared" si="83"/>
        <v>2.5798611117352266E-2</v>
      </c>
      <c r="N155" s="7">
        <f t="shared" si="84"/>
        <v>37.150000008987263</v>
      </c>
      <c r="O155" s="7"/>
      <c r="P155" s="7"/>
      <c r="Q155" s="23"/>
      <c r="R155" s="23"/>
      <c r="S155" s="35">
        <f t="shared" si="85"/>
        <v>1</v>
      </c>
      <c r="T155" s="50" t="str">
        <f t="shared" si="86"/>
        <v>Southbound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23:49:30-0600',mode:absolute,to:'2016-10-24 02:33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5" s="52" t="str">
        <f t="shared" si="88"/>
        <v>N</v>
      </c>
      <c r="X155" s="171">
        <f t="shared" si="89"/>
        <v>1</v>
      </c>
      <c r="Y155" s="67">
        <f t="shared" si="90"/>
        <v>23.298200000000001</v>
      </c>
      <c r="Z155" s="67">
        <f t="shared" si="91"/>
        <v>1.89E-2</v>
      </c>
      <c r="AA155" s="67">
        <f t="shared" si="92"/>
        <v>23.279300000000003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93"/>
        <v>0242-23</v>
      </c>
      <c r="AE155" s="91" t="str">
        <f t="shared" si="94"/>
        <v>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 &amp; aws s3 cp s3://rtdc.mdm.uploadarchive.raw/RTDC4039/ "%USERPROFILE%\AppData\Local\Temp\OnboardLogs"\RTDC4039\2016-10-25 --exclude "*" --recursive --include "*20161025*" &amp; "%USERPROFILE%\Documents\GitHub\mrs-test-scripts\Headless Mode &amp; Sideloading\WalkAndUnGZ.bat" "%USERPROFILE%\AppData\Local\Temp\OnboardLogs"\RTDC4039\2016-10-25</v>
      </c>
      <c r="AF155" s="88" t="str">
        <f t="shared" si="95"/>
        <v>"C:\Program Files (x86)\AstroGrep\AstroGrep.exe" /spath="%USERPROFILE%\AppData\Local\Temp\OnboardLogs" /stypes="app*4039*20161024*" /stext=" 07:.+((SYSTEM_STATE.+slice.+state.+changed )|(ment ac)|(system.+state.+changed )|(\[timeout)|(PRM\|1\|D)|(kpr)|(kdp)|(\|lc)|(penalty))" /e /r /s</v>
      </c>
      <c r="AG155" s="1" t="str">
        <f t="shared" si="96"/>
        <v>EC</v>
      </c>
      <c r="AH155" s="92" t="str">
        <f t="shared" si="97"/>
        <v>"%USERPROFILE%\Documents\GitHub\eaglep3\Utilities\RefineRTDCRunTimes.py" --tripid 242-23 --locoid 4039 --swversion DE.1.0.7.0 --startMP 204:232982 --initTime 2016-10-24T00:49:30 --startdatetime 2016-10-24T00:56:14 --delay 0 --endMP 204:189 --enddatetime 2016-10-24T01:33:23 --enforcementcount 0 &gt;&gt;C:\Users\stu\Documents\GitHub\eaglep3-reporting\EC\2016-10-23-refined-times.txt</v>
      </c>
      <c r="AI155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{"issue":{"subject":"","project_id":79,"tracker_id":40,"status_id":1,"priority_id":2,"assigned_to_id":23,"start_date":"2016-10-24","description":"","custom_fields":[{"id":1,"name":"Subdivision","value":"EC"},{"id":4,"name":"Milepost","value":"0.0189"},{"id":17,"name":"Train ID","value":"242-23"},{"id":16,"name":"Locomotive ID","value":"4039"},{"id":130,"name":"Impact","value":""},{"id":150,"name":"Time of Event (Mountain Time)","value":"01:33:23"},{"id":151,"name":"Denver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605</v>
      </c>
      <c r="B156" s="7">
        <v>4042</v>
      </c>
      <c r="C156" s="22" t="s">
        <v>99</v>
      </c>
      <c r="D156" s="22" t="s">
        <v>232</v>
      </c>
      <c r="E156" s="13">
        <v>42667.017685185187</v>
      </c>
      <c r="F156" s="13">
        <v>42667.021087962959</v>
      </c>
      <c r="G156" s="7">
        <v>1</v>
      </c>
      <c r="H156" s="13" t="s">
        <v>630</v>
      </c>
      <c r="I156" s="13">
        <v>42667.045844907407</v>
      </c>
      <c r="J156" s="7">
        <v>0</v>
      </c>
      <c r="K156" s="112" t="str">
        <f t="shared" si="82"/>
        <v>4041/4042</v>
      </c>
      <c r="L156" s="22" t="str">
        <f>VLOOKUP(A156,'Trips&amp;Operators'!$C$1:$E$10000,3,FALSE)</f>
        <v>CHANDLER</v>
      </c>
      <c r="M156" s="6">
        <f t="shared" si="83"/>
        <v>2.4756944447290152E-2</v>
      </c>
      <c r="N156" s="7">
        <f t="shared" si="84"/>
        <v>35.650000004097819</v>
      </c>
      <c r="O156" s="7"/>
      <c r="P156" s="7"/>
      <c r="Q156" s="23"/>
      <c r="R156" s="23"/>
      <c r="S156" s="35">
        <f t="shared" si="85"/>
        <v>1</v>
      </c>
      <c r="T156" s="50" t="str">
        <f t="shared" si="86"/>
        <v>NorthBound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23:25:28-0600',mode:absolute,to:'2016-10-24 02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6" s="52" t="str">
        <f t="shared" si="88"/>
        <v>N</v>
      </c>
      <c r="X156" s="171">
        <f t="shared" si="89"/>
        <v>1</v>
      </c>
      <c r="Y156" s="67">
        <f t="shared" si="90"/>
        <v>4.6600000000000003E-2</v>
      </c>
      <c r="Z156" s="67">
        <f t="shared" si="91"/>
        <v>23.328199999999999</v>
      </c>
      <c r="AA156" s="67">
        <f t="shared" si="92"/>
        <v>23.281599999999997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93"/>
        <v>0243-23</v>
      </c>
      <c r="AE156" s="91" t="str">
        <f t="shared" si="94"/>
        <v>aws s3 cp s3://rtdc.mdm.uploadarchive.raw/RTDC4042/ "%USERPROFILE%\AppData\Local\Temp\OnboardLogs"\RTDC4042\2016-10-24 --exclude "*" --recursive --include "*20161024*" &amp; "%USERPROFILE%\Documents\GitHub\mrs-test-scripts\Headless Mode &amp; Sideloading\WalkAndUnGZ.bat" "%USERPROFILE%\AppData\Local\Temp\OnboardLogs"\RTDC4042\2016-10-24 &amp; 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</v>
      </c>
      <c r="AF156" s="88" t="str">
        <f t="shared" si="95"/>
        <v>"C:\Program Files (x86)\AstroGrep\AstroGrep.exe" /spath="%USERPROFILE%\AppData\Local\Temp\OnboardLogs" /stypes="app*4042*20161024*" /stext=" 07:.+((SYSTEM_STATE.+slice.+state.+changed )|(ment ac)|(system.+state.+changed )|(\[timeout)|(PRM\|1\|D)|(kpr)|(kdp)|(\|lc)|(penalty))" /e /r /s</v>
      </c>
      <c r="AG156" s="1" t="str">
        <f t="shared" si="96"/>
        <v>EC</v>
      </c>
      <c r="AH156" s="92" t="str">
        <f t="shared" si="97"/>
        <v>"%USERPROFILE%\Documents\GitHub\eaglep3\Utilities\RefineRTDCRunTimes.py" --tripid 243-23 --locoid 4042 --swversion DE.1.0.7.0 --startMP 204:466 --initTime 2016-10-24T00:25:28 --startdatetime 2016-10-24T00:30:22 --delay 1 --endMP 204:233282 --enddatetime 2016-10-24T01:06:01 --enforcementcount 0 &gt;&gt;C:\Users\stu\Documents\GitHub\eaglep3-reporting\EC\2016-10-23-refined-times.txt</v>
      </c>
      <c r="AI156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{"issue":{"subject":"","project_id":79,"tracker_id":40,"status_id":1,"priority_id":2,"assigned_to_id":23,"start_date":"2016-10-24","description":"","custom_fields":[{"id":1,"name":"Subdivision","value":"EC"},{"id":4,"name":"Milepost","value":"23.3282"},{"id":17,"name":"Train ID","value":"243-23"},{"id":16,"name":"Locomotive ID","value":"4042"},{"id":130,"name":"Impact","value":""},{"id":150,"name":"Time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609</v>
      </c>
      <c r="B157" s="7">
        <v>4041</v>
      </c>
      <c r="C157" s="22" t="s">
        <v>99</v>
      </c>
      <c r="D157" s="22" t="s">
        <v>391</v>
      </c>
      <c r="E157" s="13">
        <v>42667.058321759258</v>
      </c>
      <c r="F157" s="13">
        <v>42667.060312499998</v>
      </c>
      <c r="G157" s="7">
        <v>2</v>
      </c>
      <c r="H157" s="13" t="s">
        <v>732</v>
      </c>
      <c r="I157" s="13">
        <v>42667.086631944447</v>
      </c>
      <c r="J157" s="7">
        <v>0</v>
      </c>
      <c r="K157" s="112" t="str">
        <f t="shared" si="82"/>
        <v>4041/4042</v>
      </c>
      <c r="L157" s="22" t="str">
        <f>VLOOKUP(A157,'Trips&amp;Operators'!$C$1:$E$10000,3,FALSE)</f>
        <v>CHANDLER</v>
      </c>
      <c r="M157" s="6">
        <f t="shared" si="83"/>
        <v>2.6319444448745344E-2</v>
      </c>
      <c r="N157" s="7">
        <f t="shared" si="84"/>
        <v>37.900000006193295</v>
      </c>
      <c r="O157" s="7"/>
      <c r="P157" s="7"/>
      <c r="Q157" s="23"/>
      <c r="R157" s="23"/>
      <c r="S157" s="35">
        <f t="shared" si="85"/>
        <v>1</v>
      </c>
      <c r="T157" s="50" t="str">
        <f t="shared" si="86"/>
        <v>Southbound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https://search-rtdc-monitor-bjffxe2xuh6vdkpspy63sjmuny.us-east-1.es.amazonaws.com/_plugin/kibana/#/discover/Steve-Slow-Train-Analysis-(2080s-and-2083s)?_g=(refreshInterval:(display:Off,section:0,value:0),time:(from:'2016-10-24 00:23:59-0600',mode:absolute,to:'2016-10-24 03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7" s="52" t="str">
        <f t="shared" si="88"/>
        <v>N</v>
      </c>
      <c r="X157" s="171">
        <f t="shared" si="89"/>
        <v>1</v>
      </c>
      <c r="Y157" s="67">
        <f t="shared" si="90"/>
        <v>23.296099999999999</v>
      </c>
      <c r="Z157" s="67">
        <f t="shared" si="91"/>
        <v>9.1999999999999998E-2</v>
      </c>
      <c r="AA157" s="67">
        <f t="shared" si="92"/>
        <v>23.2041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93"/>
        <v>0244-23</v>
      </c>
      <c r="AE157" s="91" t="str">
        <f t="shared" si="94"/>
        <v>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 &amp; 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</v>
      </c>
      <c r="AF157" s="88" t="str">
        <f t="shared" si="95"/>
        <v>"C:\Program Files (x86)\AstroGrep\AstroGrep.exe" /spath="%USERPROFILE%\AppData\Local\Temp\OnboardLogs" /stypes="app*4041*20161024*" /stext=" 08:.+((SYSTEM_STATE.+slice.+state.+changed )|(ment ac)|(system.+state.+changed )|(\[timeout)|(PRM\|1\|D)|(kpr)|(kdp)|(\|lc)|(penalty))" /e /r /s</v>
      </c>
      <c r="AG157" s="1" t="str">
        <f t="shared" si="96"/>
        <v>EC</v>
      </c>
      <c r="AH157" s="92" t="str">
        <f t="shared" si="97"/>
        <v>"%USERPROFILE%\Documents\GitHub\eaglep3\Utilities\RefineRTDCRunTimes.py" --tripid 244-23 --locoid 4041 --swversion DE.1.0.7.0 --startMP 204:232961 --initTime 2016-10-24T01:23:59 --startdatetime 2016-10-24T01:26:51 --delay 2 --endMP 204:920 --enddatetime 2016-10-24T02:04:45 --enforcementcount 0 &gt;&gt;C:\Users\stu\Documents\GitHub\eaglep3-reporting\EC\2016-10-23-refined-times.txt</v>
      </c>
      <c r="AI157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{"issue":{"subject":"","project_id":79,"tracker_id":40,"status_id":1,"priority_id":2,"assigned_to_id":23,"start_date":"2016-10-24","description":"","custom_fields":[{"id":1,"name":"Subdivision","value":"EC"},{"id":4,"name":"Milepost","value":"0.092"},{"id":17,"name":"Train ID","value":"244-23"},{"id":16,"name":"Locomotive ID","value":"4041"},{"id":130,"name":"Impact","value":""},{"id":150,"name":"Time of Event (Mountain Time)","value":"02:04:45"},{"id":151,"name":"Denver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455</v>
      </c>
      <c r="B158" s="7">
        <v>4043</v>
      </c>
      <c r="C158" s="22" t="s">
        <v>99</v>
      </c>
      <c r="D158" s="22" t="s">
        <v>653</v>
      </c>
      <c r="E158" s="13">
        <v>42666.236388888887</v>
      </c>
      <c r="F158" s="13">
        <v>42666.238182870373</v>
      </c>
      <c r="G158" s="7">
        <v>1</v>
      </c>
      <c r="H158" s="13" t="s">
        <v>654</v>
      </c>
      <c r="I158" s="13">
        <v>42666.24732638889</v>
      </c>
      <c r="J158" s="7">
        <v>0</v>
      </c>
      <c r="K158" s="112" t="str">
        <f t="shared" si="82"/>
        <v>4043/4044</v>
      </c>
      <c r="L158" s="22" t="str">
        <f>VLOOKUP(A158,'Trips&amp;Operators'!$C$1:$E$10000,3,FALSE)</f>
        <v>STARKS</v>
      </c>
      <c r="M158" s="6">
        <f t="shared" si="83"/>
        <v>9.1435185167938471E-3</v>
      </c>
      <c r="N158" s="7">
        <f t="shared" si="84"/>
        <v>13.16666666418314</v>
      </c>
      <c r="O158" s="7"/>
      <c r="P158" s="7"/>
      <c r="Q158" s="23"/>
      <c r="R158" s="23"/>
      <c r="S158" s="35">
        <f t="shared" si="85"/>
        <v>1</v>
      </c>
      <c r="T158" s="50" t="str">
        <f t="shared" si="86"/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04:40:24-0600',mode:absolute,to:'2016-10-23 06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8" s="52" t="str">
        <f t="shared" si="88"/>
        <v>N</v>
      </c>
      <c r="X158" s="171">
        <f t="shared" si="89"/>
        <v>1556</v>
      </c>
      <c r="Y158" s="67">
        <f t="shared" si="90"/>
        <v>5.8619000000000003</v>
      </c>
      <c r="Z158" s="67">
        <f t="shared" si="91"/>
        <v>7.3099999999999998E-2</v>
      </c>
      <c r="AA158" s="67">
        <f t="shared" si="92"/>
        <v>5.7888000000000002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93"/>
        <v>1800-23</v>
      </c>
      <c r="AE158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58" s="88" t="str">
        <f t="shared" si="95"/>
        <v>"C:\Program Files (x86)\AstroGrep\AstroGrep.exe" /spath="%USERPROFILE%\AppData\Local\Temp\OnboardLogs" /stypes="app*4043*20161023*" /stext=" 11:.+((SYSTEM_STATE.+slice.+state.+changed )|(ment ac)|(system.+state.+changed )|(\[timeout)|(PRM\|1\|D)|(kpr)|(kdp)|(\|lc)|(penalty))" /e /r /s</v>
      </c>
      <c r="AG158" s="1" t="str">
        <f t="shared" si="96"/>
        <v>NW</v>
      </c>
      <c r="AH158" s="92" t="str">
        <f t="shared" si="97"/>
        <v>"%USERPROFILE%\Documents\GitHub\eaglep3\Utilities\RefineRTDCRunTimes.py" --tripid 1800-23 --locoid 4043 --swversion DE.1.0.7.0 --startMP 300:58619 --initTime 2016-10-23T05:40:24 --startdatetime 2016-10-23T05:42:59 --delay 1 --endMP 204:731 --enddatetime 2016-10-23T05:56:09 --enforcementcount 0 &gt;&gt;C:\Users\stu\Documents\GitHub\eaglep3-reporting\EC\2016-10-23-refined-times.txt</v>
      </c>
      <c r="AI158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{"issue":{"subject":"","project_id":79,"tracker_id":40,"status_id":1,"priority_id":2,"assigned_to_id":23,"start_date":"2016-10-23","description":"","custom_fields":[{"id":1,"name":"Subdivision","value":"NW"},{"id":4,"name":"Milepost","value":"0.0731"},{"id":17,"name":"Train ID","value":"1800-23"},{"id":16,"name":"Locomotive ID","value":"4043"},{"id":130,"name":"Impact","value":""},{"id":150,"name":"Time of Event (Mountain Time)","value":"05:56:09"},{"id":151,"name":"Denver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457</v>
      </c>
      <c r="B159" s="7">
        <v>4044</v>
      </c>
      <c r="C159" s="22" t="s">
        <v>99</v>
      </c>
      <c r="D159" s="22" t="s">
        <v>655</v>
      </c>
      <c r="E159" s="13">
        <v>42666.249768518515</v>
      </c>
      <c r="F159" s="13">
        <v>42666.264780092592</v>
      </c>
      <c r="G159" s="7">
        <v>1</v>
      </c>
      <c r="H159" s="13" t="s">
        <v>369</v>
      </c>
      <c r="I159" s="13">
        <v>42666.274236111109</v>
      </c>
      <c r="J159" s="7">
        <v>0</v>
      </c>
      <c r="K159" s="112" t="str">
        <f t="shared" si="82"/>
        <v>4043/4044</v>
      </c>
      <c r="L159" s="22" t="str">
        <f>VLOOKUP(A159,'Trips&amp;Operators'!$C$1:$E$10000,3,FALSE)</f>
        <v>STARKS</v>
      </c>
      <c r="M159" s="6">
        <f t="shared" si="83"/>
        <v>9.4560185170848854E-3</v>
      </c>
      <c r="N159" s="7">
        <f t="shared" si="84"/>
        <v>13.616666664602235</v>
      </c>
      <c r="O159" s="7"/>
      <c r="P159" s="7"/>
      <c r="Q159" s="23"/>
      <c r="R159" s="23"/>
      <c r="S159" s="35">
        <f t="shared" si="85"/>
        <v>1</v>
      </c>
      <c r="T159" s="50" t="str">
        <f t="shared" si="86"/>
        <v>NorthBound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04:59:40-0600',mode:absolute,to:'2016-10-23 07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9" s="52" t="str">
        <f t="shared" si="88"/>
        <v>N</v>
      </c>
      <c r="X159" s="171">
        <f t="shared" si="89"/>
        <v>1</v>
      </c>
      <c r="Y159" s="67">
        <f t="shared" si="90"/>
        <v>0.1014</v>
      </c>
      <c r="Z159" s="67">
        <f t="shared" si="91"/>
        <v>5.8921999999999999</v>
      </c>
      <c r="AA159" s="67">
        <f t="shared" si="92"/>
        <v>5.7907999999999999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93"/>
        <v>1801-23</v>
      </c>
      <c r="AE159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59" s="88" t="str">
        <f t="shared" si="95"/>
        <v>"C:\Program Files (x86)\AstroGrep\AstroGrep.exe" /spath="%USERPROFILE%\AppData\Local\Temp\OnboardLogs" /stypes="app*4044*20161023*" /stext=" 12:.+((SYSTEM_STATE.+slice.+state.+changed )|(ment ac)|(system.+state.+changed )|(\[timeout)|(PRM\|1\|D)|(kpr)|(kdp)|(\|lc)|(penalty))" /e /r /s</v>
      </c>
      <c r="AG159" s="1" t="str">
        <f t="shared" si="96"/>
        <v>NW</v>
      </c>
      <c r="AH159" s="92" t="str">
        <f t="shared" si="97"/>
        <v>"%USERPROFILE%\Documents\GitHub\eaglep3\Utilities\RefineRTDCRunTimes.py" --tripid 1801-23 --locoid 4044 --swversion DE.1.0.7.0 --startMP 204:1014 --initTime 2016-10-23T05:59:40 --startdatetime 2016-10-23T06:21:17 --delay 1 --endMP 300:58922 --enddatetime 2016-10-23T06:34:54 --enforcementcount 0 &gt;&gt;C:\Users\stu\Documents\GitHub\eaglep3-reporting\EC\2016-10-23-refined-times.txt</v>
      </c>
      <c r="AI159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{"issue":{"subject":"","project_id":79,"tracker_id":40,"status_id":1,"priority_id":2,"assigned_to_id":23,"start_date":"2016-10-23","description":"","custom_fields":[{"id":1,"name":"Subdivision","value":"NW"},{"id":4,"name":"Milepost","value":"5.8922"},{"id":17,"name":"Train ID","value":"1801-23"},{"id":16,"name":"Locomotive ID","value":"4044"},{"id":130,"name":"Impact","value":""},{"id":150,"name":"Time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463</v>
      </c>
      <c r="B160" s="7">
        <v>4043</v>
      </c>
      <c r="C160" s="22" t="s">
        <v>99</v>
      </c>
      <c r="D160" s="22" t="s">
        <v>656</v>
      </c>
      <c r="E160" s="13">
        <v>42666.275289351855</v>
      </c>
      <c r="F160" s="13">
        <v>42666.276562500003</v>
      </c>
      <c r="G160" s="7">
        <v>1</v>
      </c>
      <c r="H160" s="13" t="s">
        <v>654</v>
      </c>
      <c r="I160" s="13">
        <v>42666.28875</v>
      </c>
      <c r="J160" s="7">
        <v>0</v>
      </c>
      <c r="K160" s="112" t="str">
        <f t="shared" si="82"/>
        <v>4043/4044</v>
      </c>
      <c r="L160" s="22" t="str">
        <f>VLOOKUP(A160,'Trips&amp;Operators'!$C$1:$E$10000,3,FALSE)</f>
        <v>STARKS</v>
      </c>
      <c r="M160" s="6">
        <f t="shared" si="83"/>
        <v>1.2187499996798579E-2</v>
      </c>
      <c r="N160" s="7">
        <f t="shared" si="84"/>
        <v>17.549999995389953</v>
      </c>
      <c r="O160" s="7"/>
      <c r="P160" s="7"/>
      <c r="Q160" s="23"/>
      <c r="R160" s="23"/>
      <c r="S160" s="35">
        <f t="shared" si="85"/>
        <v>1</v>
      </c>
      <c r="T160" s="50" t="str">
        <f t="shared" si="86"/>
        <v>Southbound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05:36:25-0600',mode:absolute,to:'2016-10-23 07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0" s="52" t="str">
        <f t="shared" si="88"/>
        <v>N</v>
      </c>
      <c r="X160" s="171">
        <f t="shared" si="89"/>
        <v>1</v>
      </c>
      <c r="Y160" s="67">
        <f t="shared" si="90"/>
        <v>5.8623000000000003</v>
      </c>
      <c r="Z160" s="67">
        <f t="shared" si="91"/>
        <v>7.3099999999999998E-2</v>
      </c>
      <c r="AA160" s="67">
        <f t="shared" si="92"/>
        <v>5.7892000000000001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93"/>
        <v>1802-23</v>
      </c>
      <c r="AE160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0" s="88" t="str">
        <f t="shared" si="95"/>
        <v>"C:\Program Files (x86)\AstroGrep\AstroGrep.exe" /spath="%USERPROFILE%\AppData\Local\Temp\OnboardLogs" /stypes="app*4043*20161023*" /stext=" 12:.+((SYSTEM_STATE.+slice.+state.+changed )|(ment ac)|(system.+state.+changed )|(\[timeout)|(PRM\|1\|D)|(kpr)|(kdp)|(\|lc)|(penalty))" /e /r /s</v>
      </c>
      <c r="AG160" s="1" t="str">
        <f t="shared" si="96"/>
        <v>NW</v>
      </c>
      <c r="AH160" s="92" t="str">
        <f t="shared" si="97"/>
        <v>"%USERPROFILE%\Documents\GitHub\eaglep3\Utilities\RefineRTDCRunTimes.py" --tripid 1802-23 --locoid 4043 --swversion DE.1.0.7.0 --startMP 300:58623 --initTime 2016-10-23T06:36:25 --startdatetime 2016-10-23T06:38:15 --delay 1 --endMP 204:731 --enddatetime 2016-10-23T06:55:48 --enforcementcount 0 &gt;&gt;C:\Users\stu\Documents\GitHub\eaglep3-reporting\EC\2016-10-23-refined-times.txt</v>
      </c>
      <c r="AI160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{"issue":{"subject":"","project_id":79,"tracker_id":40,"status_id":1,"priority_id":2,"assigned_to_id":23,"start_date":"2016-10-23","description":"","custom_fields":[{"id":1,"name":"Subdivision","value":"NW"},{"id":4,"name":"Milepost","value":"0.0731"},{"id":17,"name":"Train ID","value":"1802-23"},{"id":16,"name":"Locomotive ID","value":"4043"},{"id":130,"name":"Impact","value":""},{"id":150,"name":"Time of Event (Mountain Time)","value":"06:55:48"},{"id":151,"name":"Denver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414</v>
      </c>
      <c r="B161" s="7">
        <v>4044</v>
      </c>
      <c r="C161" s="22" t="s">
        <v>99</v>
      </c>
      <c r="D161" s="22" t="s">
        <v>657</v>
      </c>
      <c r="E161" s="13">
        <v>42666.290370370371</v>
      </c>
      <c r="F161" s="13">
        <v>42666.306469907409</v>
      </c>
      <c r="G161" s="7">
        <v>1</v>
      </c>
      <c r="H161" s="13" t="s">
        <v>658</v>
      </c>
      <c r="I161" s="13">
        <v>42666.316168981481</v>
      </c>
      <c r="J161" s="7">
        <v>0</v>
      </c>
      <c r="K161" s="112" t="str">
        <f t="shared" si="82"/>
        <v>4043/4044</v>
      </c>
      <c r="L161" s="22" t="str">
        <f>VLOOKUP(A161,'Trips&amp;Operators'!$C$1:$E$10000,3,FALSE)</f>
        <v>STARKS</v>
      </c>
      <c r="M161" s="6">
        <f t="shared" si="83"/>
        <v>9.6990740712499246E-3</v>
      </c>
      <c r="N161" s="7">
        <f t="shared" si="84"/>
        <v>13.966666662599891</v>
      </c>
      <c r="O161" s="7"/>
      <c r="P161" s="7"/>
      <c r="Q161" s="23"/>
      <c r="R161" s="23"/>
      <c r="S161" s="35">
        <f t="shared" si="85"/>
        <v>1</v>
      </c>
      <c r="T161" s="50" t="str">
        <f t="shared" si="86"/>
        <v>NorthBound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05:58:08-0600',mode:absolute,to:'2016-10-23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1" s="52" t="str">
        <f t="shared" si="88"/>
        <v>N</v>
      </c>
      <c r="X161" s="171">
        <f t="shared" si="89"/>
        <v>1</v>
      </c>
      <c r="Y161" s="67">
        <f t="shared" si="90"/>
        <v>0.1007</v>
      </c>
      <c r="Z161" s="67">
        <f t="shared" si="91"/>
        <v>5.8935000000000004</v>
      </c>
      <c r="AA161" s="67">
        <f t="shared" si="92"/>
        <v>5.7928000000000006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93"/>
        <v>1803-23</v>
      </c>
      <c r="AE161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1" s="88" t="str">
        <f t="shared" si="95"/>
        <v>"C:\Program Files (x86)\AstroGrep\AstroGrep.exe" /spath="%USERPROFILE%\AppData\Local\Temp\OnboardLogs" /stypes="app*4044*20161023*" /stext=" 13:.+((SYSTEM_STATE.+slice.+state.+changed )|(ment ac)|(system.+state.+changed )|(\[timeout)|(PRM\|1\|D)|(kpr)|(kdp)|(\|lc)|(penalty))" /e /r /s</v>
      </c>
      <c r="AG161" s="1" t="str">
        <f t="shared" si="96"/>
        <v>NW</v>
      </c>
      <c r="AH161" s="92" t="str">
        <f t="shared" si="97"/>
        <v>"%USERPROFILE%\Documents\GitHub\eaglep3\Utilities\RefineRTDCRunTimes.py" --tripid 1803-23 --locoid 4044 --swversion DE.1.0.7.0 --startMP 204:1007 --initTime 2016-10-23T06:58:08 --startdatetime 2016-10-23T07:21:19 --delay 1 --endMP 300:58935 --enddatetime 2016-10-23T07:35:17 --enforcementcount 0 &gt;&gt;C:\Users\stu\Documents\GitHub\eaglep3-reporting\EC\2016-10-23-refined-times.txt</v>
      </c>
      <c r="AI161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{"issue":{"subject":"","project_id":79,"tracker_id":40,"status_id":1,"priority_id":2,"assigned_to_id":23,"start_date":"2016-10-23","description":"","custom_fields":[{"id":1,"name":"Subdivision","value":"NW"},{"id":4,"name":"Milepost","value":"5.8935"},{"id":17,"name":"Train ID","value":"1803-23"},{"id":16,"name":"Locomotive ID","value":"4044"},{"id":130,"name":"Impact","value":""},{"id":150,"name":"Time of Event (Mountain Time)","value":"07:35:17"},{"id":151,"name":"Denver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471</v>
      </c>
      <c r="B162" s="7">
        <v>4043</v>
      </c>
      <c r="C162" s="22" t="s">
        <v>99</v>
      </c>
      <c r="D162" s="22" t="s">
        <v>653</v>
      </c>
      <c r="E162" s="13">
        <v>42666.317569444444</v>
      </c>
      <c r="F162" s="13">
        <v>42666.318831018521</v>
      </c>
      <c r="G162" s="7">
        <v>1</v>
      </c>
      <c r="H162" s="13" t="s">
        <v>659</v>
      </c>
      <c r="I162" s="13">
        <v>42666.330312500002</v>
      </c>
      <c r="J162" s="7">
        <v>0</v>
      </c>
      <c r="K162" s="112" t="str">
        <f t="shared" si="82"/>
        <v>4043/4044</v>
      </c>
      <c r="L162" s="22" t="str">
        <f>VLOOKUP(A162,'Trips&amp;Operators'!$C$1:$E$10000,3,FALSE)</f>
        <v>STARKS</v>
      </c>
      <c r="M162" s="6">
        <f t="shared" si="83"/>
        <v>1.1481481480586808E-2</v>
      </c>
      <c r="N162" s="7">
        <f t="shared" si="84"/>
        <v>16.533333332045004</v>
      </c>
      <c r="O162" s="7"/>
      <c r="P162" s="7"/>
      <c r="Q162" s="23"/>
      <c r="R162" s="23"/>
      <c r="S162" s="35">
        <f t="shared" si="85"/>
        <v>1</v>
      </c>
      <c r="T162" s="50" t="str">
        <f t="shared" si="86"/>
        <v>Southbound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06:37:18-0600',mode:absolute,to:'2016-10-23 08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2" s="52" t="str">
        <f t="shared" si="88"/>
        <v>N</v>
      </c>
      <c r="X162" s="171">
        <f t="shared" si="89"/>
        <v>1</v>
      </c>
      <c r="Y162" s="67">
        <f t="shared" si="90"/>
        <v>5.8619000000000003</v>
      </c>
      <c r="Z162" s="67">
        <f t="shared" si="91"/>
        <v>7.0099999999999996E-2</v>
      </c>
      <c r="AA162" s="67">
        <f t="shared" si="92"/>
        <v>5.7918000000000003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93"/>
        <v>1804-23</v>
      </c>
      <c r="AE162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2" s="88" t="str">
        <f t="shared" si="95"/>
        <v>"C:\Program Files (x86)\AstroGrep\AstroGrep.exe" /spath="%USERPROFILE%\AppData\Local\Temp\OnboardLogs" /stypes="app*4043*20161023*" /stext=" 13:.+((SYSTEM_STATE.+slice.+state.+changed )|(ment ac)|(system.+state.+changed )|(\[timeout)|(PRM\|1\|D)|(kpr)|(kdp)|(\|lc)|(penalty))" /e /r /s</v>
      </c>
      <c r="AG162" s="1" t="str">
        <f t="shared" si="96"/>
        <v>NW</v>
      </c>
      <c r="AH162" s="92" t="str">
        <f t="shared" si="97"/>
        <v>"%USERPROFILE%\Documents\GitHub\eaglep3\Utilities\RefineRTDCRunTimes.py" --tripid 1804-23 --locoid 4043 --swversion DE.1.0.7.0 --startMP 300:58619 --initTime 2016-10-23T07:37:18 --startdatetime 2016-10-23T07:39:07 --delay 1 --endMP 204:701 --enddatetime 2016-10-23T07:55:39 --enforcementcount 0 &gt;&gt;C:\Users\stu\Documents\GitHub\eaglep3-reporting\EC\2016-10-23-refined-times.txt</v>
      </c>
      <c r="AI162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{"issue":{"subject":"","project_id":79,"tracker_id":40,"status_id":1,"priority_id":2,"assigned_to_id":23,"start_date":"2016-10-23","description":"","custom_fields":[{"id":1,"name":"Subdivision","value":"NW"},{"id":4,"name":"Milepost","value":"0.0701"},{"id":17,"name":"Train ID","value":"1804-23"},{"id":16,"name":"Locomotive ID","value":"4043"},{"id":130,"name":"Impact","value":""},{"id":150,"name":"Time of Event (Mountain Time)","value":"07:55:39"},{"id":151,"name":"Denver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415</v>
      </c>
      <c r="B163" s="7">
        <v>4044</v>
      </c>
      <c r="C163" s="22" t="s">
        <v>99</v>
      </c>
      <c r="D163" s="22" t="s">
        <v>660</v>
      </c>
      <c r="E163" s="13">
        <v>42666.346585648149</v>
      </c>
      <c r="F163" s="13">
        <v>42666.348136574074</v>
      </c>
      <c r="G163" s="7">
        <v>1</v>
      </c>
      <c r="H163" s="13" t="s">
        <v>327</v>
      </c>
      <c r="I163" s="13">
        <v>42666.358159722222</v>
      </c>
      <c r="J163" s="7">
        <v>0</v>
      </c>
      <c r="K163" s="112" t="str">
        <f t="shared" si="82"/>
        <v>4043/4044</v>
      </c>
      <c r="L163" s="22" t="str">
        <f>VLOOKUP(A163,'Trips&amp;Operators'!$C$1:$E$10000,3,FALSE)</f>
        <v>STARKS</v>
      </c>
      <c r="M163" s="6">
        <f t="shared" si="83"/>
        <v>1.0023148148320615E-2</v>
      </c>
      <c r="N163" s="7">
        <f t="shared" si="84"/>
        <v>14.433333333581686</v>
      </c>
      <c r="O163" s="7"/>
      <c r="P163" s="7"/>
      <c r="Q163" s="23"/>
      <c r="R163" s="23"/>
      <c r="S163" s="35">
        <f t="shared" si="85"/>
        <v>1</v>
      </c>
      <c r="T163" s="50" t="str">
        <f t="shared" si="86"/>
        <v>NorthBound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07:19:05-0600',mode:absolute,to:'2016-10-23 09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3" s="52" t="str">
        <f t="shared" si="88"/>
        <v>N</v>
      </c>
      <c r="X163" s="171">
        <f t="shared" si="89"/>
        <v>1</v>
      </c>
      <c r="Y163" s="67">
        <f t="shared" si="90"/>
        <v>9.8799999999999999E-2</v>
      </c>
      <c r="Z163" s="67">
        <f t="shared" si="91"/>
        <v>5.8924000000000003</v>
      </c>
      <c r="AA163" s="67">
        <f t="shared" si="92"/>
        <v>5.7936000000000005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93"/>
        <v>1805-23</v>
      </c>
      <c r="AE163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3" s="88" t="str">
        <f t="shared" si="95"/>
        <v>"C:\Program Files (x86)\AstroGrep\AstroGrep.exe" /spath="%USERPROFILE%\AppData\Local\Temp\OnboardLogs" /stypes="app*4044*20161023*" /stext=" 14:.+((SYSTEM_STATE.+slice.+state.+changed )|(ment ac)|(system.+state.+changed )|(\[timeout)|(PRM\|1\|D)|(kpr)|(kdp)|(\|lc)|(penalty))" /e /r /s</v>
      </c>
      <c r="AG163" s="1" t="str">
        <f t="shared" si="96"/>
        <v>NW</v>
      </c>
      <c r="AH163" s="92" t="str">
        <f t="shared" si="97"/>
        <v>"%USERPROFILE%\Documents\GitHub\eaglep3\Utilities\RefineRTDCRunTimes.py" --tripid 1805-23 --locoid 4044 --swversion DE.1.0.7.0 --startMP 204:988 --initTime 2016-10-23T08:19:05 --startdatetime 2016-10-23T08:21:19 --delay 1 --endMP 300:58924 --enddatetime 2016-10-23T08:35:45 --enforcementcount 0 &gt;&gt;C:\Users\stu\Documents\GitHub\eaglep3-reporting\EC\2016-10-23-refined-times.txt</v>
      </c>
      <c r="AI163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{"issue":{"subject":"","project_id":79,"tracker_id":40,"status_id":1,"priority_id":2,"assigned_to_id":23,"start_date":"2016-10-23","description":"","custom_fields":[{"id":1,"name":"Subdivision","value":"NW"},{"id":4,"name":"Milepost","value":"5.8924"},{"id":17,"name":"Train ID","value":"1805-23"},{"id":16,"name":"Locomotive ID","value":"4044"},{"id":130,"name":"Impact","value":""},{"id":150,"name":"Time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416</v>
      </c>
      <c r="B164" s="7">
        <v>4043</v>
      </c>
      <c r="C164" s="22" t="s">
        <v>99</v>
      </c>
      <c r="D164" s="22" t="s">
        <v>661</v>
      </c>
      <c r="E164" s="13">
        <v>42666.359178240738</v>
      </c>
      <c r="F164" s="13">
        <v>42666.360601851855</v>
      </c>
      <c r="G164" s="7">
        <v>1</v>
      </c>
      <c r="H164" s="13" t="s">
        <v>662</v>
      </c>
      <c r="I164" s="13">
        <v>42666.371678240743</v>
      </c>
      <c r="J164" s="7">
        <v>0</v>
      </c>
      <c r="K164" s="112" t="str">
        <f t="shared" si="82"/>
        <v>4043/4044</v>
      </c>
      <c r="L164" s="22" t="str">
        <f>VLOOKUP(A164,'Trips&amp;Operators'!$C$1:$E$10000,3,FALSE)</f>
        <v>STARKS</v>
      </c>
      <c r="M164" s="6">
        <f t="shared" si="83"/>
        <v>1.1076388887886424E-2</v>
      </c>
      <c r="N164" s="7">
        <f t="shared" si="84"/>
        <v>15.94999999855645</v>
      </c>
      <c r="O164" s="7"/>
      <c r="P164" s="7"/>
      <c r="Q164" s="23"/>
      <c r="R164" s="23"/>
      <c r="S164" s="35">
        <f t="shared" si="85"/>
        <v>1</v>
      </c>
      <c r="T164" s="50" t="str">
        <f t="shared" si="86"/>
        <v>Southbound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07:37:13-0600',mode:absolute,to:'2016-10-23 09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4" s="52" t="str">
        <f t="shared" si="88"/>
        <v>N</v>
      </c>
      <c r="X164" s="171">
        <f t="shared" si="89"/>
        <v>1</v>
      </c>
      <c r="Y164" s="67">
        <f t="shared" si="90"/>
        <v>5.8604000000000003</v>
      </c>
      <c r="Z164" s="67">
        <f t="shared" si="91"/>
        <v>8.2000000000000003E-2</v>
      </c>
      <c r="AA164" s="67">
        <f t="shared" si="92"/>
        <v>5.7784000000000004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93"/>
        <v>1806-23</v>
      </c>
      <c r="AE164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4" s="88" t="str">
        <f t="shared" si="95"/>
        <v>"C:\Program Files (x86)\AstroGrep\AstroGrep.exe" /spath="%USERPROFILE%\AppData\Local\Temp\OnboardLogs" /stypes="app*4043*20161023*" /stext=" 14:.+((SYSTEM_STATE.+slice.+state.+changed )|(ment ac)|(system.+state.+changed )|(\[timeout)|(PRM\|1\|D)|(kpr)|(kdp)|(\|lc)|(penalty))" /e /r /s</v>
      </c>
      <c r="AG164" s="1" t="str">
        <f t="shared" si="96"/>
        <v>NW</v>
      </c>
      <c r="AH164" s="92" t="str">
        <f t="shared" si="97"/>
        <v>"%USERPROFILE%\Documents\GitHub\eaglep3\Utilities\RefineRTDCRunTimes.py" --tripid 1806-23 --locoid 4043 --swversion DE.1.0.7.0 --startMP 300:58604 --initTime 2016-10-23T08:37:13 --startdatetime 2016-10-23T08:39:16 --delay 1 --endMP 204:820 --enddatetime 2016-10-23T08:55:13 --enforcementcount 0 &gt;&gt;C:\Users\stu\Documents\GitHub\eaglep3-reporting\EC\2016-10-23-refined-times.txt</v>
      </c>
      <c r="AI164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{"issue":{"subject":"","project_id":79,"tracker_id":40,"status_id":1,"priority_id":2,"assigned_to_id":23,"start_date":"2016-10-23","description":"","custom_fields":[{"id":1,"name":"Subdivision","value":"NW"},{"id":4,"name":"Milepost","value":"0.082"},{"id":17,"name":"Train ID","value":"1806-23"},{"id":16,"name":"Locomotive ID","value":"4043"},{"id":130,"name":"Impact","value":""},{"id":150,"name":"Time of Event (Mountain Time)","value":"08:55:13"},{"id":151,"name":"Denver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485</v>
      </c>
      <c r="B165" s="7">
        <v>4044</v>
      </c>
      <c r="C165" s="22" t="s">
        <v>99</v>
      </c>
      <c r="D165" s="22" t="s">
        <v>663</v>
      </c>
      <c r="E165" s="13">
        <v>42666.387337962966</v>
      </c>
      <c r="F165" s="13">
        <v>42666.389745370368</v>
      </c>
      <c r="G165" s="7">
        <v>1</v>
      </c>
      <c r="H165" s="13" t="s">
        <v>664</v>
      </c>
      <c r="I165" s="13">
        <v>42666.399293981478</v>
      </c>
      <c r="J165" s="7">
        <v>0</v>
      </c>
      <c r="K165" s="112" t="str">
        <f t="shared" si="82"/>
        <v>4043/4044</v>
      </c>
      <c r="L165" s="22" t="str">
        <f>VLOOKUP(A165,'Trips&amp;Operators'!$C$1:$E$10000,3,FALSE)</f>
        <v>STARKS</v>
      </c>
      <c r="M165" s="6">
        <f t="shared" si="83"/>
        <v>9.5486111094942316E-3</v>
      </c>
      <c r="N165" s="7">
        <f t="shared" si="84"/>
        <v>13.749999997671694</v>
      </c>
      <c r="O165" s="7"/>
      <c r="P165" s="7"/>
      <c r="Q165" s="23"/>
      <c r="R165" s="23"/>
      <c r="S165" s="35">
        <f t="shared" si="85"/>
        <v>1</v>
      </c>
      <c r="T165" s="50" t="str">
        <f t="shared" si="86"/>
        <v>NorthBound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08:17:46-0600',mode:absolute,to:'2016-10-23 10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5" s="52" t="str">
        <f t="shared" si="88"/>
        <v>N</v>
      </c>
      <c r="X165" s="171">
        <f t="shared" si="89"/>
        <v>1</v>
      </c>
      <c r="Y165" s="67">
        <f t="shared" si="90"/>
        <v>0.11119999999999999</v>
      </c>
      <c r="Z165" s="67">
        <f t="shared" si="91"/>
        <v>5.8930999999999996</v>
      </c>
      <c r="AA165" s="67">
        <f t="shared" si="92"/>
        <v>5.7818999999999994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93"/>
        <v>1807-23</v>
      </c>
      <c r="AE165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5" s="88" t="str">
        <f t="shared" si="95"/>
        <v>"C:\Program Files (x86)\AstroGrep\AstroGrep.exe" /spath="%USERPROFILE%\AppData\Local\Temp\OnboardLogs" /stypes="app*4044*20161023*" /stext=" 15:.+((SYSTEM_STATE.+slice.+state.+changed )|(ment ac)|(system.+state.+changed )|(\[timeout)|(PRM\|1\|D)|(kpr)|(kdp)|(\|lc)|(penalty))" /e /r /s</v>
      </c>
      <c r="AG165" s="1" t="str">
        <f t="shared" si="96"/>
        <v>NW</v>
      </c>
      <c r="AH165" s="92" t="str">
        <f t="shared" si="97"/>
        <v>"%USERPROFILE%\Documents\GitHub\eaglep3\Utilities\RefineRTDCRunTimes.py" --tripid 1807-23 --locoid 4044 --swversion DE.1.0.7.0 --startMP 204:1112 --initTime 2016-10-23T09:17:46 --startdatetime 2016-10-23T09:21:14 --delay 1 --endMP 300:58931 --enddatetime 2016-10-23T09:34:59 --enforcementcount 0 &gt;&gt;C:\Users\stu\Documents\GitHub\eaglep3-reporting\EC\2016-10-23-refined-times.txt</v>
      </c>
      <c r="AI165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{"issue":{"subject":"","project_id":79,"tracker_id":40,"status_id":1,"priority_id":2,"assigned_to_id":23,"start_date":"2016-10-23","description":"","custom_fields":[{"id":1,"name":"Subdivision","value":"NW"},{"id":4,"name":"Milepost","value":"5.8931"},{"id":17,"name":"Train ID","value":"1807-23"},{"id":16,"name":"Locomotive ID","value":"4044"},{"id":130,"name":"Impact","value":""},{"id":150,"name":"Time of Event (Mountain Time)","value":"09:34:59"},{"id":151,"name":"Denver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7" t="s">
        <v>488</v>
      </c>
      <c r="B166" s="7">
        <v>4043</v>
      </c>
      <c r="C166" s="22" t="s">
        <v>99</v>
      </c>
      <c r="D166" s="22" t="s">
        <v>665</v>
      </c>
      <c r="E166" s="13">
        <v>42666.400185185186</v>
      </c>
      <c r="F166" s="13">
        <v>42666.401388888888</v>
      </c>
      <c r="G166" s="7">
        <v>1</v>
      </c>
      <c r="H166" s="13" t="s">
        <v>654</v>
      </c>
      <c r="I166" s="13">
        <v>42666.413391203707</v>
      </c>
      <c r="J166" s="7">
        <v>0</v>
      </c>
      <c r="K166" s="112" t="str">
        <f t="shared" si="82"/>
        <v>4043/4044</v>
      </c>
      <c r="L166" s="22" t="str">
        <f>VLOOKUP(A166,'Trips&amp;Operators'!$C$1:$E$10000,3,FALSE)</f>
        <v>STARKS</v>
      </c>
      <c r="M166" s="6">
        <f t="shared" si="83"/>
        <v>1.2002314819255844E-2</v>
      </c>
      <c r="N166" s="7">
        <f t="shared" si="84"/>
        <v>17.283333339728415</v>
      </c>
      <c r="O166" s="7"/>
      <c r="P166" s="7"/>
      <c r="Q166" s="23"/>
      <c r="R166" s="23"/>
      <c r="S166" s="35">
        <f t="shared" si="85"/>
        <v>1</v>
      </c>
      <c r="T166" s="50" t="str">
        <f t="shared" si="86"/>
        <v>Southbound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08:36:16-0600',mode:absolute,to:'2016-10-23 10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6" s="52" t="str">
        <f t="shared" si="88"/>
        <v>N</v>
      </c>
      <c r="X166" s="171">
        <f t="shared" si="89"/>
        <v>1</v>
      </c>
      <c r="Y166" s="67">
        <f t="shared" si="90"/>
        <v>5.8628</v>
      </c>
      <c r="Z166" s="67">
        <f t="shared" si="91"/>
        <v>7.3099999999999998E-2</v>
      </c>
      <c r="AA166" s="67">
        <f t="shared" si="92"/>
        <v>5.7896999999999998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93"/>
        <v>1808-23</v>
      </c>
      <c r="AE166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6" s="88" t="str">
        <f t="shared" si="95"/>
        <v>"C:\Program Files (x86)\AstroGrep\AstroGrep.exe" /spath="%USERPROFILE%\AppData\Local\Temp\OnboardLogs" /stypes="app*4043*20161023*" /stext=" 15:.+((SYSTEM_STATE.+slice.+state.+changed )|(ment ac)|(system.+state.+changed )|(\[timeout)|(PRM\|1\|D)|(kpr)|(kdp)|(\|lc)|(penalty))" /e /r /s</v>
      </c>
      <c r="AG166" s="1" t="str">
        <f t="shared" si="96"/>
        <v>NW</v>
      </c>
      <c r="AH166" s="92" t="str">
        <f t="shared" si="97"/>
        <v>"%USERPROFILE%\Documents\GitHub\eaglep3\Utilities\RefineRTDCRunTimes.py" --tripid 1808-23 --locoid 4043 --swversion DE.1.0.7.0 --startMP 300:58628 --initTime 2016-10-23T09:36:16 --startdatetime 2016-10-23T09:38:00 --delay 1 --endMP 204:731 --enddatetime 2016-10-23T09:55:17 --enforcementcount 0 &gt;&gt;C:\Users\stu\Documents\GitHub\eaglep3-reporting\EC\2016-10-23-refined-times.txt</v>
      </c>
      <c r="AI166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{"issue":{"subject":"","project_id":79,"tracker_id":40,"status_id":1,"priority_id":2,"assigned_to_id":23,"start_date":"2016-10-23","description":"","custom_fields":[{"id":1,"name":"Subdivision","value":"NW"},{"id":4,"name":"Milepost","value":"0.0731"},{"id":17,"name":"Train ID","value":"1808-23"},{"id":16,"name":"Locomotive ID","value":"4043"},{"id":130,"name":"Impact","value":""},{"id":150,"name":"Time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495</v>
      </c>
      <c r="B167" s="7">
        <v>4044</v>
      </c>
      <c r="C167" s="22" t="s">
        <v>99</v>
      </c>
      <c r="D167" s="22" t="s">
        <v>666</v>
      </c>
      <c r="E167" s="13">
        <v>42666.427835648145</v>
      </c>
      <c r="F167" s="13">
        <v>42666.431423611109</v>
      </c>
      <c r="G167" s="7">
        <v>2</v>
      </c>
      <c r="H167" s="13" t="s">
        <v>280</v>
      </c>
      <c r="I167" s="13">
        <v>42666.440868055557</v>
      </c>
      <c r="J167" s="7">
        <v>0</v>
      </c>
      <c r="K167" s="112" t="str">
        <f t="shared" si="82"/>
        <v>4043/4044</v>
      </c>
      <c r="L167" s="22" t="str">
        <f>VLOOKUP(A167,'Trips&amp;Operators'!$C$1:$E$10000,3,FALSE)</f>
        <v>STARKS</v>
      </c>
      <c r="M167" s="6">
        <f t="shared" si="83"/>
        <v>9.4444444475811906E-3</v>
      </c>
      <c r="N167" s="7">
        <f t="shared" si="84"/>
        <v>13.600000004516914</v>
      </c>
      <c r="O167" s="7"/>
      <c r="P167" s="7"/>
      <c r="Q167" s="23"/>
      <c r="R167" s="23"/>
      <c r="S167" s="35">
        <f t="shared" si="85"/>
        <v>1</v>
      </c>
      <c r="T167" s="50" t="str">
        <f t="shared" si="86"/>
        <v>NorthBound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09:16:05-0600',mode:absolute,to:'2016-10-23 11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7" s="52" t="str">
        <f t="shared" si="88"/>
        <v>N</v>
      </c>
      <c r="X167" s="171">
        <f t="shared" si="89"/>
        <v>1</v>
      </c>
      <c r="Y167" s="67">
        <f t="shared" si="90"/>
        <v>9.9299999999999999E-2</v>
      </c>
      <c r="Z167" s="67">
        <f t="shared" si="91"/>
        <v>5.8928000000000003</v>
      </c>
      <c r="AA167" s="67">
        <f t="shared" si="92"/>
        <v>5.7934999999999999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93"/>
        <v>1809-23</v>
      </c>
      <c r="AE167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7" s="88" t="str">
        <f t="shared" si="95"/>
        <v>"C:\Program Files (x86)\AstroGrep\AstroGrep.exe" /spath="%USERPROFILE%\AppData\Local\Temp\OnboardLogs" /stypes="app*4044*20161023*" /stext=" 16:.+((SYSTEM_STATE.+slice.+state.+changed )|(ment ac)|(system.+state.+changed )|(\[timeout)|(PRM\|1\|D)|(kpr)|(kdp)|(\|lc)|(penalty))" /e /r /s</v>
      </c>
      <c r="AG167" s="1" t="str">
        <f t="shared" si="96"/>
        <v>NW</v>
      </c>
      <c r="AH167" s="92" t="str">
        <f t="shared" si="97"/>
        <v>"%USERPROFILE%\Documents\GitHub\eaglep3\Utilities\RefineRTDCRunTimes.py" --tripid 1809-23 --locoid 4044 --swversion DE.1.0.7.0 --startMP 204:993 --initTime 2016-10-23T10:16:05 --startdatetime 2016-10-23T10:21:15 --delay 2 --endMP 300:58928 --enddatetime 2016-10-23T10:34:51 --enforcementcount 0 &gt;&gt;C:\Users\stu\Documents\GitHub\eaglep3-reporting\EC\2016-10-23-refined-times.txt</v>
      </c>
      <c r="AI167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{"issue":{"subject":"","project_id":79,"tracker_id":40,"status_id":1,"priority_id":2,"assigned_to_id":23,"start_date":"2016-10-23","description":"","custom_fields":[{"id":1,"name":"Subdivision","value":"NW"},{"id":4,"name":"Milepost","value":"5.8928"},{"id":17,"name":"Train ID","value":"1809-23"},{"id":16,"name":"Locomotive ID","value":"4044"},{"id":130,"name":"Impact","value":""},{"id":150,"name":"Time of Event (Mountain Time)","value":"10:34:51"},{"id":151,"name":"Denver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498</v>
      </c>
      <c r="B168" s="7">
        <v>4043</v>
      </c>
      <c r="C168" s="22" t="s">
        <v>99</v>
      </c>
      <c r="D168" s="22" t="s">
        <v>279</v>
      </c>
      <c r="E168" s="13">
        <v>42666.441759259258</v>
      </c>
      <c r="F168" s="13">
        <v>42666.443194444444</v>
      </c>
      <c r="G168" s="7">
        <v>1</v>
      </c>
      <c r="H168" s="13" t="s">
        <v>668</v>
      </c>
      <c r="I168" s="13">
        <v>42666.455428240741</v>
      </c>
      <c r="J168" s="7">
        <v>0</v>
      </c>
      <c r="K168" s="112" t="str">
        <f t="shared" si="82"/>
        <v>4043/4044</v>
      </c>
      <c r="L168" s="22" t="str">
        <f>VLOOKUP(A168,'Trips&amp;Operators'!$C$1:$E$10000,3,FALSE)</f>
        <v>STARKS</v>
      </c>
      <c r="M168" s="6">
        <f t="shared" si="83"/>
        <v>1.2233796296641231E-2</v>
      </c>
      <c r="N168" s="7">
        <f t="shared" si="84"/>
        <v>17.616666667163372</v>
      </c>
      <c r="O168" s="7"/>
      <c r="P168" s="7"/>
      <c r="Q168" s="23"/>
      <c r="R168" s="23"/>
      <c r="S168" s="35">
        <f t="shared" si="85"/>
        <v>1</v>
      </c>
      <c r="T168" s="50" t="str">
        <f t="shared" si="86"/>
        <v>Southbound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09:36:08-0600',mode:absolute,to:'2016-10-23 11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8" s="52" t="str">
        <f t="shared" si="88"/>
        <v>N</v>
      </c>
      <c r="X168" s="171">
        <f t="shared" si="89"/>
        <v>1</v>
      </c>
      <c r="Y168" s="67">
        <f t="shared" si="90"/>
        <v>5.8613</v>
      </c>
      <c r="Z168" s="67">
        <f t="shared" si="91"/>
        <v>7.3300000000000004E-2</v>
      </c>
      <c r="AA168" s="67">
        <f t="shared" si="92"/>
        <v>5.7880000000000003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93"/>
        <v>1810-23</v>
      </c>
      <c r="AE168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8" s="88" t="str">
        <f t="shared" si="95"/>
        <v>"C:\Program Files (x86)\AstroGrep\AstroGrep.exe" /spath="%USERPROFILE%\AppData\Local\Temp\OnboardLogs" /stypes="app*4043*20161023*" /stext=" 16:.+((SYSTEM_STATE.+slice.+state.+changed )|(ment ac)|(system.+state.+changed )|(\[timeout)|(PRM\|1\|D)|(kpr)|(kdp)|(\|lc)|(penalty))" /e /r /s</v>
      </c>
      <c r="AG168" s="1" t="str">
        <f t="shared" si="96"/>
        <v>NW</v>
      </c>
      <c r="AH168" s="92" t="str">
        <f t="shared" si="97"/>
        <v>"%USERPROFILE%\Documents\GitHub\eaglep3\Utilities\RefineRTDCRunTimes.py" --tripid 1810-23 --locoid 4043 --swversion DE.1.0.7.0 --startMP 300:58613 --initTime 2016-10-23T10:36:08 --startdatetime 2016-10-23T10:38:12 --delay 1 --endMP 204:733 --enddatetime 2016-10-23T10:55:49 --enforcementcount 0 &gt;&gt;C:\Users\stu\Documents\GitHub\eaglep3-reporting\EC\2016-10-23-refined-times.txt</v>
      </c>
      <c r="AI168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{"issue":{"subject":"","project_id":79,"tracker_id":40,"status_id":1,"priority_id":2,"assigned_to_id":23,"start_date":"2016-10-23","description":"","custom_fields":[{"id":1,"name":"Subdivision","value":"NW"},{"id":4,"name":"Milepost","value":"0.0733"},{"id":17,"name":"Train ID","value":"1810-23"},{"id":16,"name":"Locomotive ID","value":"4043"},{"id":130,"name":"Impact","value":""},{"id":150,"name":"Time of Event (Mountain Time)","value":"10:55:49"},{"id":151,"name":"Denver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x14ac:dyDescent="0.25">
      <c r="A169" s="37" t="s">
        <v>505</v>
      </c>
      <c r="B169" s="7">
        <v>4044</v>
      </c>
      <c r="C169" s="22" t="s">
        <v>99</v>
      </c>
      <c r="D169" s="22" t="s">
        <v>669</v>
      </c>
      <c r="E169" s="13">
        <v>42666.47111111111</v>
      </c>
      <c r="F169" s="13">
        <v>42666.473194444443</v>
      </c>
      <c r="G169" s="7">
        <v>1</v>
      </c>
      <c r="H169" s="13" t="s">
        <v>326</v>
      </c>
      <c r="I169" s="13">
        <v>42666.482592592591</v>
      </c>
      <c r="J169" s="7">
        <v>0</v>
      </c>
      <c r="K169" s="112" t="str">
        <f t="shared" si="82"/>
        <v>4043/4044</v>
      </c>
      <c r="L169" s="22" t="str">
        <f>VLOOKUP(A169,'Trips&amp;Operators'!$C$1:$E$10000,3,FALSE)</f>
        <v>STARKS</v>
      </c>
      <c r="M169" s="6">
        <f t="shared" si="83"/>
        <v>9.3981481477385387E-3</v>
      </c>
      <c r="N169" s="7">
        <f t="shared" si="84"/>
        <v>13.533333332743496</v>
      </c>
      <c r="O169" s="7"/>
      <c r="P169" s="7"/>
      <c r="Q169" s="23"/>
      <c r="R169" s="23"/>
      <c r="S169" s="35">
        <f t="shared" si="85"/>
        <v>1</v>
      </c>
      <c r="T169" s="50" t="str">
        <f t="shared" si="86"/>
        <v>NorthBound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10:18:24-0600',mode:absolute,to:'2016-10-23 12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9" s="52" t="str">
        <f t="shared" si="88"/>
        <v>N</v>
      </c>
      <c r="X169" s="171">
        <f t="shared" si="89"/>
        <v>1</v>
      </c>
      <c r="Y169" s="67">
        <f t="shared" si="90"/>
        <v>0.1011</v>
      </c>
      <c r="Z169" s="67">
        <f t="shared" si="91"/>
        <v>5.8929</v>
      </c>
      <c r="AA169" s="67">
        <f t="shared" si="92"/>
        <v>5.7918000000000003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93"/>
        <v>1811-23</v>
      </c>
      <c r="AE169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9" s="88" t="str">
        <f t="shared" si="95"/>
        <v>"C:\Program Files (x86)\AstroGrep\AstroGrep.exe" /spath="%USERPROFILE%\AppData\Local\Temp\OnboardLogs" /stypes="app*4044*20161023*" /stext=" 17:.+((SYSTEM_STATE.+slice.+state.+changed )|(ment ac)|(system.+state.+changed )|(\[timeout)|(PRM\|1\|D)|(kpr)|(kdp)|(\|lc)|(penalty))" /e /r /s</v>
      </c>
      <c r="AG169" s="1" t="str">
        <f t="shared" si="96"/>
        <v>NW</v>
      </c>
      <c r="AH169" s="92" t="str">
        <f t="shared" si="97"/>
        <v>"%USERPROFILE%\Documents\GitHub\eaglep3\Utilities\RefineRTDCRunTimes.py" --tripid 1811-23 --locoid 4044 --swversion DE.1.0.7.0 --startMP 204:1011 --initTime 2016-10-23T11:18:24 --startdatetime 2016-10-23T11:21:24 --delay 1 --endMP 300:58929 --enddatetime 2016-10-23T11:34:56 --enforcementcount 0 &gt;&gt;C:\Users\stu\Documents\GitHub\eaglep3-reporting\EC\2016-10-23-refined-times.txt</v>
      </c>
      <c r="AI169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{"issue":{"subject":"","project_id":79,"tracker_id":40,"status_id":1,"priority_id":2,"assigned_to_id":23,"start_date":"2016-10-23","description":"","custom_fields":[{"id":1,"name":"Subdivision","value":"NW"},{"id":4,"name":"Milepost","value":"5.8929"},{"id":17,"name":"Train ID","value":"1811-23"},{"id":16,"name":"Locomotive ID","value":"4044"},{"id":130,"name":"Impact","value":""},{"id":150,"name":"Time of Event (Mountain Time)","value":"11:34:56"},{"id":151,"name":"Denver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419</v>
      </c>
      <c r="B170" s="7">
        <v>4043</v>
      </c>
      <c r="C170" s="22" t="s">
        <v>99</v>
      </c>
      <c r="D170" s="22" t="s">
        <v>665</v>
      </c>
      <c r="E170" s="13">
        <v>42666.484189814815</v>
      </c>
      <c r="F170" s="13">
        <v>42666.485462962963</v>
      </c>
      <c r="G170" s="7">
        <v>1</v>
      </c>
      <c r="H170" s="13" t="s">
        <v>396</v>
      </c>
      <c r="I170" s="13">
        <v>42666.496296296296</v>
      </c>
      <c r="J170" s="7">
        <v>0</v>
      </c>
      <c r="K170" s="112" t="str">
        <f t="shared" si="82"/>
        <v>4043/4044</v>
      </c>
      <c r="L170" s="22" t="str">
        <f>VLOOKUP(A170,'Trips&amp;Operators'!$C$1:$E$10000,3,FALSE)</f>
        <v>STARKS</v>
      </c>
      <c r="M170" s="6">
        <f t="shared" si="83"/>
        <v>1.0833333333721384E-2</v>
      </c>
      <c r="N170" s="7">
        <f t="shared" si="84"/>
        <v>15.600000000558794</v>
      </c>
      <c r="O170" s="7"/>
      <c r="P170" s="7"/>
      <c r="Q170" s="23"/>
      <c r="R170" s="23"/>
      <c r="S170" s="35">
        <f t="shared" si="85"/>
        <v>1</v>
      </c>
      <c r="T170" s="50" t="str">
        <f t="shared" si="86"/>
        <v>Southbound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10:37:14-0600',mode:absolute,to:'2016-10-23 12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0" s="52" t="str">
        <f t="shared" si="88"/>
        <v>N</v>
      </c>
      <c r="X170" s="171">
        <f t="shared" si="89"/>
        <v>1</v>
      </c>
      <c r="Y170" s="67">
        <f t="shared" si="90"/>
        <v>5.8628</v>
      </c>
      <c r="Z170" s="67">
        <f t="shared" si="91"/>
        <v>7.5200000000000003E-2</v>
      </c>
      <c r="AA170" s="67">
        <f t="shared" si="92"/>
        <v>5.7876000000000003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93"/>
        <v>1812-23</v>
      </c>
      <c r="AE170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0" s="88" t="str">
        <f t="shared" si="95"/>
        <v>"C:\Program Files (x86)\AstroGrep\AstroGrep.exe" /spath="%USERPROFILE%\AppData\Local\Temp\OnboardLogs" /stypes="app*4043*20161023*" /stext=" 17:.+((SYSTEM_STATE.+slice.+state.+changed )|(ment ac)|(system.+state.+changed )|(\[timeout)|(PRM\|1\|D)|(kpr)|(kdp)|(\|lc)|(penalty))" /e /r /s</v>
      </c>
      <c r="AG170" s="1" t="str">
        <f t="shared" si="96"/>
        <v>NW</v>
      </c>
      <c r="AH170" s="92" t="str">
        <f t="shared" si="97"/>
        <v>"%USERPROFILE%\Documents\GitHub\eaglep3\Utilities\RefineRTDCRunTimes.py" --tripid 1812-23 --locoid 4043 --swversion DE.1.0.7.0 --startMP 300:58628 --initTime 2016-10-23T11:37:14 --startdatetime 2016-10-23T11:39:04 --delay 1 --endMP 204:752 --enddatetime 2016-10-23T11:54:40 --enforcementcount 0 &gt;&gt;C:\Users\stu\Documents\GitHub\eaglep3-reporting\EC\2016-10-23-refined-times.txt</v>
      </c>
      <c r="AI170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{"issue":{"subject":"","project_id":79,"tracker_id":40,"status_id":1,"priority_id":2,"assigned_to_id":23,"start_date":"2016-10-23","description":"","custom_fields":[{"id":1,"name":"Subdivision","value":"NW"},{"id":4,"name":"Milepost","value":"0.0752"},{"id":17,"name":"Train ID","value":"1812-23"},{"id":16,"name":"Locomotive ID","value":"4043"},{"id":130,"name":"Impact","value":""},{"id":150,"name":"Time of Event (Mountain Time)","value":"11:54:40"},{"id":151,"name":"Denver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513</v>
      </c>
      <c r="B171" s="7">
        <v>4044</v>
      </c>
      <c r="C171" s="22" t="s">
        <v>99</v>
      </c>
      <c r="D171" s="22" t="s">
        <v>670</v>
      </c>
      <c r="E171" s="13">
        <v>42666.512662037036</v>
      </c>
      <c r="F171" s="13">
        <v>42666.514780092592</v>
      </c>
      <c r="G171" s="7">
        <v>1</v>
      </c>
      <c r="H171" s="13" t="s">
        <v>671</v>
      </c>
      <c r="I171" s="13">
        <v>42666.523969907408</v>
      </c>
      <c r="J171" s="7">
        <v>0</v>
      </c>
      <c r="K171" s="112" t="str">
        <f t="shared" ref="K171:K202" si="99">IF(ISEVEN(B171),(B171-1)&amp;"/"&amp;B171,B171&amp;"/"&amp;(B171+1))</f>
        <v>4043/4044</v>
      </c>
      <c r="L171" s="22" t="str">
        <f>VLOOKUP(A171,'Trips&amp;Operators'!$C$1:$E$10000,3,FALSE)</f>
        <v>STARKS</v>
      </c>
      <c r="M171" s="6">
        <f t="shared" ref="M171:M202" si="100">I171-F171</f>
        <v>9.189814816636499E-3</v>
      </c>
      <c r="N171" s="7">
        <f t="shared" ref="N171:N202" si="101">24*60*SUM($M171:$M171)</f>
        <v>13.233333335956559</v>
      </c>
      <c r="O171" s="7"/>
      <c r="P171" s="7"/>
      <c r="Q171" s="23"/>
      <c r="R171" s="23"/>
      <c r="S171" s="35">
        <f t="shared" ref="S171:S202" si="102">SUM(U171:U171)/IF(AG171="EC",12,1)</f>
        <v>1</v>
      </c>
      <c r="T171" s="50" t="str">
        <f t="shared" ref="T171:T202" si="103">IF(ISEVEN(LEFT(AD171,4)),"Southbound","NorthBound")</f>
        <v>NorthBound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ref="V171:V202" si="104"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https://search-rtdc-monitor-bjffxe2xuh6vdkpspy63sjmuny.us-east-1.es.amazonaws.com/_plugin/kibana/#/discover/Steve-Slow-Train-Analysis-(2080s-and-2083s)?_g=(refreshInterval:(display:Off,section:0,value:0),time:(from:'2016-10-23 11:18:14-0600',mode:absolute,to:'2016-10-23 13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1" s="52" t="str">
        <f t="shared" ref="W171:W202" si="105">IF(AA171&lt;IF(AG171="EC",23,5.65),"Y","N")</f>
        <v>N</v>
      </c>
      <c r="X171" s="171">
        <f t="shared" ref="X171:X202" si="106">VALUE(LEFT(AD171,4))-VALUE(LEFT(AD170,4))</f>
        <v>1</v>
      </c>
      <c r="Y171" s="67">
        <f t="shared" ref="Y171:Y202" si="107">RIGHT(D171,LEN(D171)-4)/10000</f>
        <v>0.1053</v>
      </c>
      <c r="Z171" s="67">
        <f t="shared" ref="Z171:Z202" si="108">RIGHT(H171,LEN(H171)-4)/10000</f>
        <v>5.8933</v>
      </c>
      <c r="AA171" s="67">
        <f t="shared" ref="AA171:AA202" si="109">ABS(Z171-Y171)</f>
        <v>5.7880000000000003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ref="AD171:AD202" si="110">IF(LEN(A171)=6,"0"&amp;A171,A171)</f>
        <v>1813-23</v>
      </c>
      <c r="AE171" s="91" t="str">
        <f t="shared" ref="AE171:AE202" si="111"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1" s="88" t="str">
        <f t="shared" ref="AF171:AF202" si="112"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/stypes="app*4044*20161023*" /stext=" 18:.+((SYSTEM_STATE.+slice.+state.+changed )|(ment ac)|(system.+state.+changed )|(\[timeout)|(PRM\|1\|D)|(kpr)|(kdp)|(\|lc)|(penalty))" /e /r /s</v>
      </c>
      <c r="AG171" s="1" t="str">
        <f t="shared" ref="AG171:AG202" si="113">IFERROR(IF(VALUE(LEFT(AD171,2))&lt;=2,"EC",IF(OR(VALUE(LEFT(AD171,2))=8,VALUE(LEFT(AD171,2))=18),"NW","Other")),"Other")</f>
        <v>NW</v>
      </c>
      <c r="AH171" s="92" t="str">
        <f t="shared" si="97"/>
        <v>"%USERPROFILE%\Documents\GitHub\eaglep3\Utilities\RefineRTDCRunTimes.py" --tripid 1813-23 --locoid 4044 --swversion DE.1.0.7.0 --startMP 204:1053 --initTime 2016-10-23T12:18:14 --startdatetime 2016-10-23T12:21:17 --delay 1 --endMP 300:58933 --enddatetime 2016-10-23T12:34:31 --enforcementcount 0 &gt;&gt;C:\Users\stu\Documents\GitHub\eaglep3-reporting\EC\2016-10-23-refined-times.txt</v>
      </c>
      <c r="AI171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{"issue":{"subject":"","project_id":79,"tracker_id":40,"status_id":1,"priority_id":2,"assigned_to_id":23,"start_date":"2016-10-23","description":"","custom_fields":[{"id":1,"name":"Subdivision","value":"NW"},{"id":4,"name":"Milepost","value":"5.8933"},{"id":17,"name":"Train ID","value":"1813-23"},{"id":16,"name":"Locomotive ID","value":"4044"},{"id":130,"name":"Impact","value":""},{"id":150,"name":"Time of Event (Mountain Time)","value":"12:34:31"},{"id":151,"name":"Denver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516</v>
      </c>
      <c r="B172" s="7">
        <v>4043</v>
      </c>
      <c r="C172" s="22" t="s">
        <v>99</v>
      </c>
      <c r="D172" s="22" t="s">
        <v>653</v>
      </c>
      <c r="E172" s="13">
        <v>42666.524745370371</v>
      </c>
      <c r="F172" s="13">
        <v>42666.526192129626</v>
      </c>
      <c r="G172" s="7">
        <v>1</v>
      </c>
      <c r="H172" s="13" t="s">
        <v>672</v>
      </c>
      <c r="I172" s="13">
        <v>42666.538460648146</v>
      </c>
      <c r="J172" s="7">
        <v>0</v>
      </c>
      <c r="K172" s="112" t="str">
        <f t="shared" si="99"/>
        <v>4043/4044</v>
      </c>
      <c r="L172" s="22" t="str">
        <f>VLOOKUP(A172,'Trips&amp;Operators'!$C$1:$E$10000,3,FALSE)</f>
        <v>STARKS</v>
      </c>
      <c r="M172" s="6">
        <f t="shared" si="100"/>
        <v>1.226851851970423E-2</v>
      </c>
      <c r="N172" s="7">
        <f t="shared" si="101"/>
        <v>17.666666668374091</v>
      </c>
      <c r="O172" s="7"/>
      <c r="P172" s="7"/>
      <c r="Q172" s="23"/>
      <c r="R172" s="23"/>
      <c r="S172" s="35">
        <f t="shared" si="102"/>
        <v>1</v>
      </c>
      <c r="T172" s="50" t="str">
        <f t="shared" si="103"/>
        <v>Southbound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11:35:38-0600',mode:absolute,to:'2016-10-23 13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2" s="52" t="str">
        <f t="shared" si="105"/>
        <v>N</v>
      </c>
      <c r="X172" s="171">
        <f t="shared" si="106"/>
        <v>1</v>
      </c>
      <c r="Y172" s="67">
        <f t="shared" si="107"/>
        <v>5.8619000000000003</v>
      </c>
      <c r="Z172" s="67">
        <f t="shared" si="108"/>
        <v>7.2599999999999998E-2</v>
      </c>
      <c r="AA172" s="67">
        <f t="shared" si="109"/>
        <v>5.7893000000000008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110"/>
        <v>1814-23</v>
      </c>
      <c r="AE172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2" s="88" t="str">
        <f t="shared" si="112"/>
        <v>"C:\Program Files (x86)\AstroGrep\AstroGrep.exe" /spath="%USERPROFILE%\AppData\Local\Temp\OnboardLogs" /stypes="app*4043*20161023*" /stext=" 18:.+((SYSTEM_STATE.+slice.+state.+changed )|(ment ac)|(system.+state.+changed )|(\[timeout)|(PRM\|1\|D)|(kpr)|(kdp)|(\|lc)|(penalty))" /e /r /s</v>
      </c>
      <c r="AG172" s="1" t="str">
        <f t="shared" si="113"/>
        <v>NW</v>
      </c>
      <c r="AH172" s="92" t="str">
        <f t="shared" si="97"/>
        <v>"%USERPROFILE%\Documents\GitHub\eaglep3\Utilities\RefineRTDCRunTimes.py" --tripid 1814-23 --locoid 4043 --swversion DE.1.0.7.0 --startMP 300:58619 --initTime 2016-10-23T12:35:38 --startdatetime 2016-10-23T12:37:43 --delay 1 --endMP 204:726 --enddatetime 2016-10-23T12:55:23 --enforcementcount 0 &gt;&gt;C:\Users\stu\Documents\GitHub\eaglep3-reporting\EC\2016-10-23-refined-times.txt</v>
      </c>
      <c r="AI172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{"issue":{"subject":"","project_id":79,"tracker_id":40,"status_id":1,"priority_id":2,"assigned_to_id":23,"start_date":"2016-10-23","description":"","custom_fields":[{"id":1,"name":"Subdivision","value":"NW"},{"id":4,"name":"Milepost","value":"0.0726"},{"id":17,"name":"Train ID","value":"1814-23"},{"id":16,"name":"Locomotive ID","value":"4043"},{"id":130,"name":"Impact","value":""},{"id":150,"name":"Time of Event (Mountain Time)","value":"12:55:23"},{"id":151,"name":"Denver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522</v>
      </c>
      <c r="B173" s="7">
        <v>4044</v>
      </c>
      <c r="C173" s="22" t="s">
        <v>99</v>
      </c>
      <c r="D173" s="22" t="s">
        <v>655</v>
      </c>
      <c r="E173" s="13">
        <v>42666.554467592592</v>
      </c>
      <c r="F173" s="13">
        <v>42666.556435185186</v>
      </c>
      <c r="G173" s="7">
        <v>1</v>
      </c>
      <c r="H173" s="13" t="s">
        <v>658</v>
      </c>
      <c r="I173" s="13">
        <v>42666.565937500003</v>
      </c>
      <c r="J173" s="7">
        <v>0</v>
      </c>
      <c r="K173" s="112" t="str">
        <f t="shared" si="99"/>
        <v>4043/4044</v>
      </c>
      <c r="L173" s="22" t="str">
        <f>VLOOKUP(A173,'Trips&amp;Operators'!$C$1:$E$10000,3,FALSE)</f>
        <v>STARKS</v>
      </c>
      <c r="M173" s="6">
        <f t="shared" si="100"/>
        <v>9.5023148169275373E-3</v>
      </c>
      <c r="N173" s="7">
        <f t="shared" si="101"/>
        <v>13.683333336375654</v>
      </c>
      <c r="O173" s="7"/>
      <c r="P173" s="7"/>
      <c r="Q173" s="23"/>
      <c r="R173" s="23"/>
      <c r="S173" s="35">
        <f t="shared" si="102"/>
        <v>1</v>
      </c>
      <c r="T173" s="50" t="str">
        <f t="shared" si="103"/>
        <v>NorthBound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12:18:26-0600',mode:absolute,to:'2016-10-23 14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3" s="52" t="str">
        <f t="shared" si="105"/>
        <v>N</v>
      </c>
      <c r="X173" s="171">
        <f t="shared" si="106"/>
        <v>1</v>
      </c>
      <c r="Y173" s="67">
        <f t="shared" si="107"/>
        <v>0.1014</v>
      </c>
      <c r="Z173" s="67">
        <f t="shared" si="108"/>
        <v>5.8935000000000004</v>
      </c>
      <c r="AA173" s="67">
        <f t="shared" si="109"/>
        <v>5.7921000000000005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110"/>
        <v>1815-23</v>
      </c>
      <c r="AE173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3" s="88" t="str">
        <f t="shared" si="112"/>
        <v>"C:\Program Files (x86)\AstroGrep\AstroGrep.exe" /spath="%USERPROFILE%\AppData\Local\Temp\OnboardLogs" /stypes="app*4044*20161023*" /stext=" 19:.+((SYSTEM_STATE.+slice.+state.+changed )|(ment ac)|(system.+state.+changed )|(\[timeout)|(PRM\|1\|D)|(kpr)|(kdp)|(\|lc)|(penalty))" /e /r /s</v>
      </c>
      <c r="AG173" s="1" t="str">
        <f t="shared" si="113"/>
        <v>NW</v>
      </c>
      <c r="AH173" s="92" t="str">
        <f t="shared" si="97"/>
        <v>"%USERPROFILE%\Documents\GitHub\eaglep3\Utilities\RefineRTDCRunTimes.py" --tripid 1815-23 --locoid 4044 --swversion DE.1.0.7.0 --startMP 204:1014 --initTime 2016-10-23T13:18:26 --startdatetime 2016-10-23T13:21:16 --delay 1 --endMP 300:58935 --enddatetime 2016-10-23T13:34:57 --enforcementcount 0 &gt;&gt;C:\Users\stu\Documents\GitHub\eaglep3-reporting\EC\2016-10-23-refined-times.txt</v>
      </c>
      <c r="AI173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{"issue":{"subject":"","project_id":79,"tracker_id":40,"status_id":1,"priority_id":2,"assigned_to_id":23,"start_date":"2016-10-23","description":"","custom_fields":[{"id":1,"name":"Subdivision","value":"NW"},{"id":4,"name":"Milepost","value":"5.8935"},{"id":17,"name":"Train ID","value":"1815-23"},{"id":16,"name":"Locomotive ID","value":"4044"},{"id":130,"name":"Impact","value":""},{"id":150,"name":"Time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526</v>
      </c>
      <c r="B174" s="7">
        <v>4043</v>
      </c>
      <c r="C174" s="22" t="s">
        <v>99</v>
      </c>
      <c r="D174" s="22" t="s">
        <v>673</v>
      </c>
      <c r="E174" s="13">
        <v>42666.568425925929</v>
      </c>
      <c r="F174" s="13">
        <v>42666.569502314815</v>
      </c>
      <c r="G174" s="7">
        <v>0</v>
      </c>
      <c r="H174" s="13" t="s">
        <v>674</v>
      </c>
      <c r="I174" s="13">
        <v>42666.580138888887</v>
      </c>
      <c r="J174" s="7">
        <v>0</v>
      </c>
      <c r="K174" s="112" t="str">
        <f t="shared" si="99"/>
        <v>4043/4044</v>
      </c>
      <c r="L174" s="22" t="str">
        <f>VLOOKUP(A174,'Trips&amp;Operators'!$C$1:$E$10000,3,FALSE)</f>
        <v>STARKS</v>
      </c>
      <c r="M174" s="6">
        <f t="shared" si="100"/>
        <v>1.063657407212304E-2</v>
      </c>
      <c r="N174" s="7">
        <f t="shared" si="101"/>
        <v>15.316666663857177</v>
      </c>
      <c r="O174" s="7"/>
      <c r="P174" s="7"/>
      <c r="Q174" s="23"/>
      <c r="R174" s="23"/>
      <c r="S174" s="35">
        <f t="shared" si="102"/>
        <v>1</v>
      </c>
      <c r="T174" s="50" t="str">
        <f t="shared" si="103"/>
        <v>Southbound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12:38:32-0600',mode:absolute,to:'2016-10-23 14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4" s="52" t="str">
        <f t="shared" si="105"/>
        <v>N</v>
      </c>
      <c r="X174" s="171">
        <f t="shared" si="106"/>
        <v>1</v>
      </c>
      <c r="Y174" s="67">
        <f t="shared" si="107"/>
        <v>5.8624000000000001</v>
      </c>
      <c r="Z174" s="67">
        <f t="shared" si="108"/>
        <v>7.3599999999999999E-2</v>
      </c>
      <c r="AA174" s="67">
        <f t="shared" si="109"/>
        <v>5.7888000000000002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110"/>
        <v>1816-23</v>
      </c>
      <c r="AE174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4" s="88" t="str">
        <f t="shared" si="112"/>
        <v>"C:\Program Files (x86)\AstroGrep\AstroGrep.exe" /spath="%USERPROFILE%\AppData\Local\Temp\OnboardLogs" /stypes="app*4043*20161023*" /stext=" 19:.+((SYSTEM_STATE.+slice.+state.+changed )|(ment ac)|(system.+state.+changed )|(\[timeout)|(PRM\|1\|D)|(kpr)|(kdp)|(\|lc)|(penalty))" /e /r /s</v>
      </c>
      <c r="AG174" s="1" t="str">
        <f t="shared" si="113"/>
        <v>NW</v>
      </c>
      <c r="AH174" s="92" t="str">
        <f t="shared" si="97"/>
        <v>"%USERPROFILE%\Documents\GitHub\eaglep3\Utilities\RefineRTDCRunTimes.py" --tripid 1816-23 --locoid 4043 --swversion DE.1.0.7.0 --startMP 300:58624 --initTime 2016-10-23T13:38:32 --startdatetime 2016-10-23T13:40:05 --delay 0 --endMP 204:736 --enddatetime 2016-10-23T13:55:24 --enforcementcount 0 &gt;&gt;C:\Users\stu\Documents\GitHub\eaglep3-reporting\EC\2016-10-23-refined-times.txt</v>
      </c>
      <c r="AI174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{"issue":{"subject":"","project_id":79,"tracker_id":40,"status_id":1,"priority_id":2,"assigned_to_id":23,"start_date":"2016-10-23","description":"","custom_fields":[{"id":1,"name":"Subdivision","value":"NW"},{"id":4,"name":"Milepost","value":"0.0736"},{"id":17,"name":"Train ID","value":"1816-23"},{"id":16,"name":"Locomotive ID","value":"4043"},{"id":130,"name":"Impact","value":""},{"id":150,"name":"Time of Event (Mountain Time)","value":"13:55:24"},{"id":151,"name":"Denver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422</v>
      </c>
      <c r="B175" s="7">
        <v>4044</v>
      </c>
      <c r="C175" s="22" t="s">
        <v>99</v>
      </c>
      <c r="D175" s="22" t="s">
        <v>675</v>
      </c>
      <c r="E175" s="13">
        <v>42666.59165509259</v>
      </c>
      <c r="F175" s="13">
        <v>42666.598657407405</v>
      </c>
      <c r="G175" s="7">
        <v>3</v>
      </c>
      <c r="H175" s="13" t="s">
        <v>398</v>
      </c>
      <c r="I175" s="13">
        <v>42666.6091087963</v>
      </c>
      <c r="J175" s="7">
        <v>0</v>
      </c>
      <c r="K175" s="112" t="str">
        <f t="shared" si="99"/>
        <v>4043/4044</v>
      </c>
      <c r="L175" s="22" t="str">
        <f>VLOOKUP(A175,'Trips&amp;Operators'!$C$1:$E$10000,3,FALSE)</f>
        <v>ADANE</v>
      </c>
      <c r="M175" s="6">
        <f t="shared" si="100"/>
        <v>1.0451388894580305E-2</v>
      </c>
      <c r="N175" s="7">
        <f t="shared" si="101"/>
        <v>15.050000008195639</v>
      </c>
      <c r="O175" s="7"/>
      <c r="P175" s="7"/>
      <c r="Q175" s="23"/>
      <c r="R175" s="23"/>
      <c r="S175" s="35">
        <f t="shared" si="102"/>
        <v>1</v>
      </c>
      <c r="T175" s="50" t="str">
        <f t="shared" si="103"/>
        <v>NorthBound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13:11:59-0600',mode:absolute,to:'2016-10-23 15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5" s="52" t="str">
        <f t="shared" si="105"/>
        <v>N</v>
      </c>
      <c r="X175" s="171">
        <f t="shared" si="106"/>
        <v>1</v>
      </c>
      <c r="Y175" s="67">
        <f t="shared" si="107"/>
        <v>0.10199999999999999</v>
      </c>
      <c r="Z175" s="67">
        <f t="shared" si="108"/>
        <v>5.8975</v>
      </c>
      <c r="AA175" s="67">
        <f t="shared" si="109"/>
        <v>5.7954999999999997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110"/>
        <v>1817-23</v>
      </c>
      <c r="AE175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5" s="88" t="str">
        <f t="shared" si="112"/>
        <v>"C:\Program Files (x86)\AstroGrep\AstroGrep.exe" /spath="%USERPROFILE%\AppData\Local\Temp\OnboardLogs" /stypes="app*4044*20161023*" /stext=" 20:.+((SYSTEM_STATE.+slice.+state.+changed )|(ment ac)|(system.+state.+changed )|(\[timeout)|(PRM\|1\|D)|(kpr)|(kdp)|(\|lc)|(penalty))" /e /r /s</v>
      </c>
      <c r="AG175" s="1" t="str">
        <f t="shared" si="113"/>
        <v>NW</v>
      </c>
      <c r="AH175" s="92" t="str">
        <f t="shared" si="97"/>
        <v>"%USERPROFILE%\Documents\GitHub\eaglep3\Utilities\RefineRTDCRunTimes.py" --tripid 1817-23 --locoid 4044 --swversion DE.1.0.7.0 --startMP 204:1020 --initTime 2016-10-23T14:11:59 --startdatetime 2016-10-23T14:22:04 --delay 3 --endMP 300:58975 --enddatetime 2016-10-23T14:37:07 --enforcementcount 0 &gt;&gt;C:\Users\stu\Documents\GitHub\eaglep3-reporting\EC\2016-10-23-refined-times.txt</v>
      </c>
      <c r="AI175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{"issue":{"subject":"","project_id":79,"tracker_id":40,"status_id":1,"priority_id":2,"assigned_to_id":23,"start_date":"2016-10-23","description":"","custom_fields":[{"id":1,"name":"Subdivision","value":"NW"},{"id":4,"name":"Milepost","value":"5.8975"},{"id":17,"name":"Train ID","value":"1817-23"},{"id":16,"name":"Locomotive ID","value":"4044"},{"id":130,"name":"Impact","value":""},{"id":150,"name":"Time of Event (Mountain Time)","value":"14:37:07"},{"id":151,"name":"Denver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535</v>
      </c>
      <c r="B176" s="7">
        <v>4043</v>
      </c>
      <c r="C176" s="22" t="s">
        <v>99</v>
      </c>
      <c r="D176" s="22" t="s">
        <v>676</v>
      </c>
      <c r="E176" s="13">
        <v>42666.611562500002</v>
      </c>
      <c r="F176" s="13">
        <v>42666.613252314812</v>
      </c>
      <c r="G176" s="7">
        <v>1</v>
      </c>
      <c r="H176" s="13" t="s">
        <v>677</v>
      </c>
      <c r="I176" s="13">
        <v>42666.622476851851</v>
      </c>
      <c r="J176" s="7">
        <v>0</v>
      </c>
      <c r="K176" s="112" t="str">
        <f t="shared" si="99"/>
        <v>4043/4044</v>
      </c>
      <c r="L176" s="22" t="str">
        <f>VLOOKUP(A176,'Trips&amp;Operators'!$C$1:$E$10000,3,FALSE)</f>
        <v>ADANE</v>
      </c>
      <c r="M176" s="6">
        <f t="shared" si="100"/>
        <v>9.2245370396994986E-3</v>
      </c>
      <c r="N176" s="7">
        <f t="shared" si="101"/>
        <v>13.283333337167278</v>
      </c>
      <c r="O176" s="7"/>
      <c r="P176" s="7"/>
      <c r="Q176" s="23"/>
      <c r="R176" s="23"/>
      <c r="S176" s="35">
        <f t="shared" si="102"/>
        <v>1</v>
      </c>
      <c r="T176" s="50" t="str">
        <f t="shared" si="103"/>
        <v>Southbound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13:40:39-0600',mode:absolute,to:'2016-10-23 15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6" s="52" t="str">
        <f t="shared" si="105"/>
        <v>N</v>
      </c>
      <c r="X176" s="171">
        <f t="shared" si="106"/>
        <v>1</v>
      </c>
      <c r="Y176" s="67">
        <f t="shared" si="107"/>
        <v>5.8661000000000003</v>
      </c>
      <c r="Z176" s="67">
        <f t="shared" si="108"/>
        <v>7.0800000000000002E-2</v>
      </c>
      <c r="AA176" s="67">
        <f t="shared" si="109"/>
        <v>5.7953000000000001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110"/>
        <v>1818-23</v>
      </c>
      <c r="AE176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6" s="88" t="str">
        <f t="shared" si="112"/>
        <v>"C:\Program Files (x86)\AstroGrep\AstroGrep.exe" /spath="%USERPROFILE%\AppData\Local\Temp\OnboardLogs" /stypes="app*4043*20161023*" /stext=" 20:.+((SYSTEM_STATE.+slice.+state.+changed )|(ment ac)|(system.+state.+changed )|(\[timeout)|(PRM\|1\|D)|(kpr)|(kdp)|(\|lc)|(penalty))" /e /r /s</v>
      </c>
      <c r="AG176" s="1" t="str">
        <f t="shared" si="113"/>
        <v>NW</v>
      </c>
      <c r="AH176" s="92" t="str">
        <f t="shared" si="97"/>
        <v>"%USERPROFILE%\Documents\GitHub\eaglep3\Utilities\RefineRTDCRunTimes.py" --tripid 1818-23 --locoid 4043 --swversion DE.1.0.7.0 --startMP 300:58661 --initTime 2016-10-23T14:40:39 --startdatetime 2016-10-23T14:43:05 --delay 1 --endMP 204:708 --enddatetime 2016-10-23T14:56:22 --enforcementcount 0 &gt;&gt;C:\Users\stu\Documents\GitHub\eaglep3-reporting\EC\2016-10-23-refined-times.txt</v>
      </c>
      <c r="AI176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{"issue":{"subject":"","project_id":79,"tracker_id":40,"status_id":1,"priority_id":2,"assigned_to_id":23,"start_date":"2016-10-23","description":"","custom_fields":[{"id":1,"name":"Subdivision","value":"NW"},{"id":4,"name":"Milepost","value":"0.0708"},{"id":17,"name":"Train ID","value":"1818-23"},{"id":16,"name":"Locomotive ID","value":"4043"},{"id":130,"name":"Impact","value":""},{"id":150,"name":"Time of Event (Mountain Time)","value":"14:56:22"},{"id":151,"name":"Denver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540</v>
      </c>
      <c r="B177" s="7">
        <v>4044</v>
      </c>
      <c r="C177" s="22" t="s">
        <v>99</v>
      </c>
      <c r="D177" s="22" t="s">
        <v>678</v>
      </c>
      <c r="E177" s="13">
        <v>42666.63758101852</v>
      </c>
      <c r="F177" s="13">
        <v>42666.652395833335</v>
      </c>
      <c r="G177" s="7">
        <v>1</v>
      </c>
      <c r="H177" s="13" t="s">
        <v>679</v>
      </c>
      <c r="I177" s="13">
        <v>42666.667233796295</v>
      </c>
      <c r="J177" s="7">
        <v>0</v>
      </c>
      <c r="K177" s="112" t="str">
        <f t="shared" si="99"/>
        <v>4043/4044</v>
      </c>
      <c r="L177" s="22" t="str">
        <f>VLOOKUP(A177,'Trips&amp;Operators'!$C$1:$E$10000,3,FALSE)</f>
        <v>ADANE</v>
      </c>
      <c r="M177" s="6">
        <f t="shared" si="100"/>
        <v>1.4837962960882578E-2</v>
      </c>
      <c r="N177" s="7">
        <f t="shared" si="101"/>
        <v>21.366666663670912</v>
      </c>
      <c r="O177" s="7"/>
      <c r="P177" s="7"/>
      <c r="Q177" s="23"/>
      <c r="R177" s="23"/>
      <c r="S177" s="35">
        <f t="shared" si="102"/>
        <v>1</v>
      </c>
      <c r="T177" s="50" t="str">
        <f t="shared" si="103"/>
        <v>NorthBound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14:18:07-0600',mode:absolute,to:'2016-10-23 17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7" s="52" t="str">
        <f t="shared" si="105"/>
        <v>N</v>
      </c>
      <c r="X177" s="171">
        <f t="shared" si="106"/>
        <v>1</v>
      </c>
      <c r="Y177" s="67">
        <f t="shared" si="107"/>
        <v>9.74E-2</v>
      </c>
      <c r="Z177" s="67">
        <f t="shared" si="108"/>
        <v>5.8954000000000004</v>
      </c>
      <c r="AA177" s="67">
        <f t="shared" si="109"/>
        <v>5.798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110"/>
        <v>1819-23</v>
      </c>
      <c r="AE177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7" s="88" t="str">
        <f t="shared" si="112"/>
        <v>"C:\Program Files (x86)\AstroGrep\AstroGrep.exe" /spath="%USERPROFILE%\AppData\Local\Temp\OnboardLogs" /stypes="app*4044*20161023*" /stext=" 22:.+((SYSTEM_STATE.+slice.+state.+changed )|(ment ac)|(system.+state.+changed )|(\[timeout)|(PRM\|1\|D)|(kpr)|(kdp)|(\|lc)|(penalty))" /e /r /s</v>
      </c>
      <c r="AG177" s="1" t="str">
        <f t="shared" si="113"/>
        <v>NW</v>
      </c>
      <c r="AH177" s="92" t="str">
        <f t="shared" si="97"/>
        <v>"%USERPROFILE%\Documents\GitHub\eaglep3\Utilities\RefineRTDCRunTimes.py" --tripid 1819-23 --locoid 4044 --swversion DE.1.0.7.0 --startMP 204:974 --initTime 2016-10-23T15:18:07 --startdatetime 2016-10-23T15:39:27 --delay 1 --endMP 300:58954 --enddatetime 2016-10-23T16:00:49 --enforcementcount 0 &gt;&gt;C:\Users\stu\Documents\GitHub\eaglep3-reporting\EC\2016-10-23-refined-times.txt</v>
      </c>
      <c r="AI177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{"issue":{"subject":"","project_id":79,"tracker_id":40,"status_id":1,"priority_id":2,"assigned_to_id":23,"start_date":"2016-10-23","description":"","custom_fields":[{"id":1,"name":"Subdivision","value":"NW"},{"id":4,"name":"Milepost","value":"5.8954"},{"id":17,"name":"Train ID","value":"1819-23"},{"id":16,"name":"Locomotive ID","value":"4044"},{"id":130,"name":"Impact","value":""},{"id":150,"name":"Time of Event (Mountain Time)","value":"16:00:49"},{"id":151,"name":"Denver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424</v>
      </c>
      <c r="B178" s="7">
        <v>4043</v>
      </c>
      <c r="C178" s="22" t="s">
        <v>99</v>
      </c>
      <c r="D178" s="22" t="s">
        <v>682</v>
      </c>
      <c r="E178" s="13">
        <v>42666.651145833333</v>
      </c>
      <c r="F178" s="13">
        <v>42666.652395833335</v>
      </c>
      <c r="G178" s="7">
        <v>1</v>
      </c>
      <c r="H178" s="13" t="s">
        <v>683</v>
      </c>
      <c r="I178" s="13">
        <v>42666.667233796295</v>
      </c>
      <c r="J178" s="7">
        <v>0</v>
      </c>
      <c r="K178" s="112" t="str">
        <f t="shared" si="99"/>
        <v>4043/4044</v>
      </c>
      <c r="L178" s="22" t="str">
        <f>VLOOKUP(A178,'Trips&amp;Operators'!$C$1:$E$10000,3,FALSE)</f>
        <v>ADANE</v>
      </c>
      <c r="M178" s="6">
        <f t="shared" si="100"/>
        <v>1.4837962960882578E-2</v>
      </c>
      <c r="N178" s="7">
        <f t="shared" si="101"/>
        <v>21.366666663670912</v>
      </c>
      <c r="O178" s="7"/>
      <c r="P178" s="7"/>
      <c r="Q178" s="23"/>
      <c r="R178" s="23"/>
      <c r="S178" s="35">
        <f t="shared" si="102"/>
        <v>1</v>
      </c>
      <c r="T178" s="50" t="str">
        <f t="shared" si="103"/>
        <v>Southbound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14:37:39-0600',mode:absolute,to:'2016-10-23 17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8" s="52" t="str">
        <f t="shared" si="105"/>
        <v>N</v>
      </c>
      <c r="X178" s="171">
        <f t="shared" si="106"/>
        <v>1</v>
      </c>
      <c r="Y178" s="67">
        <f t="shared" si="107"/>
        <v>5.8638000000000003</v>
      </c>
      <c r="Z178" s="67">
        <f t="shared" si="108"/>
        <v>6.3799999999999996E-2</v>
      </c>
      <c r="AA178" s="67">
        <f t="shared" si="109"/>
        <v>5.8000000000000007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110"/>
        <v>1820-23</v>
      </c>
      <c r="AE178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8" s="88" t="str">
        <f t="shared" si="112"/>
        <v>"C:\Program Files (x86)\AstroGrep\AstroGrep.exe" /spath="%USERPROFILE%\AppData\Local\Temp\OnboardLogs" /stypes="app*4043*20161023*" /stext=" 22:.+((SYSTEM_STATE.+slice.+state.+changed )|(ment ac)|(system.+state.+changed )|(\[timeout)|(PRM\|1\|D)|(kpr)|(kdp)|(\|lc)|(penalty))" /e /r /s</v>
      </c>
      <c r="AG178" s="1" t="str">
        <f t="shared" si="113"/>
        <v>NW</v>
      </c>
      <c r="AH178" s="92" t="str">
        <f t="shared" si="97"/>
        <v>"%USERPROFILE%\Documents\GitHub\eaglep3\Utilities\RefineRTDCRunTimes.py" --tripid 1820-23 --locoid 4043 --swversion DE.1.0.7.0 --startMP 300:58638 --initTime 2016-10-23T15:37:39 --startdatetime 2016-10-23T15:39:27 --delay 1 --endMP 204:638 --enddatetime 2016-10-23T16:00:49 --enforcementcount 0 &gt;&gt;C:\Users\stu\Documents\GitHub\eaglep3-reporting\EC\2016-10-23-refined-times.txt</v>
      </c>
      <c r="AI178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{"issue":{"subject":"","project_id":79,"tracker_id":40,"status_id":1,"priority_id":2,"assigned_to_id":23,"start_date":"2016-10-23","description":"","custom_fields":[{"id":1,"name":"Subdivision","value":"NW"},{"id":4,"name":"Milepost","value":"0.0638"},{"id":17,"name":"Train ID","value":"1820-23"},{"id":16,"name":"Locomotive ID","value":"4043"},{"id":130,"name":"Impact","value":""},{"id":150,"name":"Time of Event (Mountain Time)","value":"16:00:49"},{"id":151,"name":"Denver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548</v>
      </c>
      <c r="B179" s="7">
        <v>4044</v>
      </c>
      <c r="C179" s="22" t="s">
        <v>99</v>
      </c>
      <c r="D179" s="22" t="s">
        <v>684</v>
      </c>
      <c r="E179" s="13">
        <v>42666.679548611108</v>
      </c>
      <c r="F179" s="13">
        <v>42666.682604166665</v>
      </c>
      <c r="G179" s="7">
        <v>3</v>
      </c>
      <c r="H179" s="13" t="s">
        <v>369</v>
      </c>
      <c r="I179" s="13">
        <v>42666.693680555552</v>
      </c>
      <c r="J179" s="7">
        <v>0</v>
      </c>
      <c r="K179" s="112" t="str">
        <f t="shared" si="99"/>
        <v>4043/4044</v>
      </c>
      <c r="L179" s="22" t="str">
        <f>VLOOKUP(A179,'Trips&amp;Operators'!$C$1:$E$10000,3,FALSE)</f>
        <v>JACKSON</v>
      </c>
      <c r="M179" s="6">
        <f t="shared" si="100"/>
        <v>1.1076388887886424E-2</v>
      </c>
      <c r="N179" s="7">
        <f t="shared" si="101"/>
        <v>15.94999999855645</v>
      </c>
      <c r="O179" s="7"/>
      <c r="P179" s="7"/>
      <c r="Q179" s="23"/>
      <c r="R179" s="23"/>
      <c r="S179" s="35">
        <f t="shared" si="102"/>
        <v>1</v>
      </c>
      <c r="T179" s="50" t="str">
        <f t="shared" si="103"/>
        <v>NorthBound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15:18:33-0600',mode:absolute,to:'2016-10-23 17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9" s="52" t="str">
        <f t="shared" si="105"/>
        <v>N</v>
      </c>
      <c r="X179" s="171">
        <f t="shared" si="106"/>
        <v>1</v>
      </c>
      <c r="Y179" s="67">
        <f t="shared" si="107"/>
        <v>9.2700000000000005E-2</v>
      </c>
      <c r="Z179" s="67">
        <f t="shared" si="108"/>
        <v>5.8921999999999999</v>
      </c>
      <c r="AA179" s="67">
        <f t="shared" si="109"/>
        <v>5.7995000000000001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110"/>
        <v>1821-23</v>
      </c>
      <c r="AE179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9" s="88" t="str">
        <f t="shared" si="112"/>
        <v>"C:\Program Files (x86)\AstroGrep\AstroGrep.exe" /spath="%USERPROFILE%\AppData\Local\Temp\OnboardLogs" /stypes="app*4044*20161023*" /stext=" 22:.+((SYSTEM_STATE.+slice.+state.+changed )|(ment ac)|(system.+state.+changed )|(\[timeout)|(PRM\|1\|D)|(kpr)|(kdp)|(\|lc)|(penalty))" /e /r /s</v>
      </c>
      <c r="AG179" s="1" t="str">
        <f t="shared" si="113"/>
        <v>NW</v>
      </c>
      <c r="AH179" s="92" t="str">
        <f t="shared" si="97"/>
        <v>"%USERPROFILE%\Documents\GitHub\eaglep3\Utilities\RefineRTDCRunTimes.py" --tripid 1821-23 --locoid 4044 --swversion DE.1.0.7.0 --startMP 204:927 --initTime 2016-10-23T16:18:33 --startdatetime 2016-10-23T16:22:57 --delay 3 --endMP 300:58922 --enddatetime 2016-10-23T16:38:54 --enforcementcount 0 &gt;&gt;C:\Users\stu\Documents\GitHub\eaglep3-reporting\EC\2016-10-23-refined-times.txt</v>
      </c>
      <c r="AI179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{"issue":{"subject":"","project_id":79,"tracker_id":40,"status_id":1,"priority_id":2,"assigned_to_id":23,"start_date":"2016-10-23","description":"","custom_fields":[{"id":1,"name":"Subdivision","value":"NW"},{"id":4,"name":"Milepost","value":"5.8922"},{"id":17,"name":"Train ID","value":"1821-23"},{"id":16,"name":"Locomotive ID","value":"4044"},{"id":130,"name":"Impact","value":""},{"id":150,"name":"Time of Event (Mountain Time)","value":"16:38:54"},{"id":151,"name":"Denver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553</v>
      </c>
      <c r="B180" s="7">
        <v>4043</v>
      </c>
      <c r="C180" s="22" t="s">
        <v>99</v>
      </c>
      <c r="D180" s="22" t="s">
        <v>685</v>
      </c>
      <c r="E180" s="13">
        <v>42666.695347222223</v>
      </c>
      <c r="F180" s="13">
        <v>42666.697199074071</v>
      </c>
      <c r="G180" s="7">
        <v>1</v>
      </c>
      <c r="H180" s="13" t="s">
        <v>328</v>
      </c>
      <c r="I180" s="13">
        <v>42666.707384259258</v>
      </c>
      <c r="J180" s="7">
        <v>0</v>
      </c>
      <c r="K180" s="112" t="str">
        <f t="shared" si="99"/>
        <v>4043/4044</v>
      </c>
      <c r="L180" s="22" t="str">
        <f>VLOOKUP(A180,'Trips&amp;Operators'!$C$1:$E$10000,3,FALSE)</f>
        <v>JACKSON</v>
      </c>
      <c r="M180" s="6">
        <f t="shared" si="100"/>
        <v>1.0185185186855961E-2</v>
      </c>
      <c r="N180" s="7">
        <f t="shared" si="101"/>
        <v>14.666666669072583</v>
      </c>
      <c r="O180" s="7"/>
      <c r="P180" s="7"/>
      <c r="Q180" s="23"/>
      <c r="R180" s="23"/>
      <c r="S180" s="35">
        <f t="shared" si="102"/>
        <v>1</v>
      </c>
      <c r="T180" s="50" t="str">
        <f t="shared" si="103"/>
        <v>Southbound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15:41:18-0600',mode:absolute,to:'2016-10-23 17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0" s="52" t="str">
        <f t="shared" si="105"/>
        <v>N</v>
      </c>
      <c r="X180" s="171">
        <f t="shared" si="106"/>
        <v>1</v>
      </c>
      <c r="Y180" s="67">
        <f t="shared" si="107"/>
        <v>5.8611000000000004</v>
      </c>
      <c r="Z180" s="67">
        <f t="shared" si="108"/>
        <v>7.4700000000000003E-2</v>
      </c>
      <c r="AA180" s="67">
        <f t="shared" si="109"/>
        <v>5.7864000000000004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110"/>
        <v>1822-23</v>
      </c>
      <c r="AE180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0" s="88" t="str">
        <f t="shared" si="112"/>
        <v>"C:\Program Files (x86)\AstroGrep\AstroGrep.exe" /spath="%USERPROFILE%\AppData\Local\Temp\OnboardLogs" /stypes="app*4043*20161023*" /stext=" 22:.+((SYSTEM_STATE.+slice.+state.+changed )|(ment ac)|(system.+state.+changed )|(\[timeout)|(PRM\|1\|D)|(kpr)|(kdp)|(\|lc)|(penalty))" /e /r /s</v>
      </c>
      <c r="AG180" s="1" t="str">
        <f t="shared" si="113"/>
        <v>NW</v>
      </c>
      <c r="AH180" s="92" t="str">
        <f t="shared" si="97"/>
        <v>"%USERPROFILE%\Documents\GitHub\eaglep3\Utilities\RefineRTDCRunTimes.py" --tripid 1822-23 --locoid 4043 --swversion DE.1.0.7.0 --startMP 300:58611 --initTime 2016-10-23T16:41:18 --startdatetime 2016-10-23T16:43:58 --delay 1 --endMP 204:747 --enddatetime 2016-10-23T16:58:38 --enforcementcount 0 &gt;&gt;C:\Users\stu\Documents\GitHub\eaglep3-reporting\EC\2016-10-23-refined-times.txt</v>
      </c>
      <c r="AI180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{"issue":{"subject":"","project_id":79,"tracker_id":40,"status_id":1,"priority_id":2,"assigned_to_id":23,"start_date":"2016-10-23","description":"","custom_fields":[{"id":1,"name":"Subdivision","value":"NW"},{"id":4,"name":"Milepost","value":"0.0747"},{"id":17,"name":"Train ID","value":"1822-23"},{"id":16,"name":"Locomotive ID","value":"4043"},{"id":130,"name":"Impact","value":""},{"id":150,"name":"Time of Event (Mountain Time)","value":"16:58:38"},{"id":151,"name":"Denver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558</v>
      </c>
      <c r="B181" s="7">
        <v>4044</v>
      </c>
      <c r="C181" s="22" t="s">
        <v>99</v>
      </c>
      <c r="D181" s="22" t="s">
        <v>395</v>
      </c>
      <c r="E181" s="13">
        <v>42666.712546296294</v>
      </c>
      <c r="F181" s="13">
        <v>42666.723368055558</v>
      </c>
      <c r="G181" s="7">
        <v>1</v>
      </c>
      <c r="H181" s="13" t="s">
        <v>658</v>
      </c>
      <c r="I181" s="13">
        <v>42666.733414351853</v>
      </c>
      <c r="J181" s="7">
        <v>0</v>
      </c>
      <c r="K181" s="112" t="str">
        <f t="shared" si="99"/>
        <v>4043/4044</v>
      </c>
      <c r="L181" s="22" t="str">
        <f>VLOOKUP(A181,'Trips&amp;Operators'!$C$1:$E$10000,3,FALSE)</f>
        <v>JACKSON</v>
      </c>
      <c r="M181" s="6">
        <f t="shared" si="100"/>
        <v>1.0046296294603962E-2</v>
      </c>
      <c r="N181" s="7">
        <f t="shared" si="101"/>
        <v>14.466666664229706</v>
      </c>
      <c r="O181" s="7"/>
      <c r="P181" s="7"/>
      <c r="Q181" s="23"/>
      <c r="R181" s="23"/>
      <c r="S181" s="35">
        <f t="shared" si="102"/>
        <v>1</v>
      </c>
      <c r="T181" s="50" t="str">
        <f t="shared" si="103"/>
        <v>NorthBound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16:06:04-0600',mode:absolute,to:'2016-10-23 18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1" s="52" t="str">
        <f t="shared" si="105"/>
        <v>N</v>
      </c>
      <c r="X181" s="171">
        <f t="shared" si="106"/>
        <v>1</v>
      </c>
      <c r="Y181" s="67">
        <f t="shared" si="107"/>
        <v>0.1028</v>
      </c>
      <c r="Z181" s="67">
        <f t="shared" si="108"/>
        <v>5.8935000000000004</v>
      </c>
      <c r="AA181" s="67">
        <f t="shared" si="109"/>
        <v>5.7907000000000002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10"/>
        <v>1823-23</v>
      </c>
      <c r="AE181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81" s="88" t="str">
        <f t="shared" si="112"/>
        <v>"C:\Program Files (x86)\AstroGrep\AstroGrep.exe" /spath="%USERPROFILE%\AppData\Local\Temp\OnboardLogs" /stypes="app*4044*20161023*" /stext=" 23:.+((SYSTEM_STATE.+slice.+state.+changed )|(ment ac)|(system.+state.+changed )|(\[timeout)|(PRM\|1\|D)|(kpr)|(kdp)|(\|lc)|(penalty))" /e /r /s</v>
      </c>
      <c r="AG181" s="1" t="str">
        <f t="shared" si="113"/>
        <v>NW</v>
      </c>
      <c r="AH181" s="92" t="str">
        <f t="shared" si="97"/>
        <v>"%USERPROFILE%\Documents\GitHub\eaglep3\Utilities\RefineRTDCRunTimes.py" --tripid 1823-23 --locoid 4044 --swversion DE.1.0.7.0 --startMP 204:1028 --initTime 2016-10-23T17:06:04 --startdatetime 2016-10-23T17:21:39 --delay 1 --endMP 300:58935 --enddatetime 2016-10-23T17:36:07 --enforcementcount 0 &gt;&gt;C:\Users\stu\Documents\GitHub\eaglep3-reporting\EC\2016-10-23-refined-times.txt</v>
      </c>
      <c r="AI181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{"issue":{"subject":"","project_id":79,"tracker_id":40,"status_id":1,"priority_id":2,"assigned_to_id":23,"start_date":"2016-10-23","description":"","custom_fields":[{"id":1,"name":"Subdivision","value":"NW"},{"id":4,"name":"Milepost","value":"5.8935"},{"id":17,"name":"Train ID","value":"1823-23"},{"id":16,"name":"Locomotive ID","value":"4044"},{"id":130,"name":"Impact","value":""},{"id":150,"name":"Time of Event (Mountain Time)","value":"17:36:07"},{"id":151,"name":"Denver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428</v>
      </c>
      <c r="B182" s="7">
        <v>4043</v>
      </c>
      <c r="C182" s="22" t="s">
        <v>99</v>
      </c>
      <c r="D182" s="22" t="s">
        <v>653</v>
      </c>
      <c r="E182" s="13">
        <v>42666.735833333332</v>
      </c>
      <c r="F182" s="13">
        <v>42666.737546296295</v>
      </c>
      <c r="G182" s="7">
        <v>1</v>
      </c>
      <c r="H182" s="13" t="s">
        <v>686</v>
      </c>
      <c r="I182" s="13">
        <v>42666.749328703707</v>
      </c>
      <c r="J182" s="7">
        <v>0</v>
      </c>
      <c r="K182" s="112" t="str">
        <f t="shared" si="99"/>
        <v>4043/4044</v>
      </c>
      <c r="L182" s="22" t="str">
        <f>VLOOKUP(A182,'Trips&amp;Operators'!$C$1:$E$10000,3,FALSE)</f>
        <v>JACKSON</v>
      </c>
      <c r="M182" s="6">
        <f t="shared" si="100"/>
        <v>1.1782407411374152E-2</v>
      </c>
      <c r="N182" s="7">
        <f t="shared" si="101"/>
        <v>16.966666672378778</v>
      </c>
      <c r="O182" s="7"/>
      <c r="P182" s="7"/>
      <c r="Q182" s="23"/>
      <c r="R182" s="23"/>
      <c r="S182" s="35">
        <f t="shared" si="102"/>
        <v>1</v>
      </c>
      <c r="T182" s="50" t="str">
        <f t="shared" si="103"/>
        <v>Southbound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16:39:36-0600',mode:absolute,to:'2016-10-23 18:59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2" s="52" t="str">
        <f t="shared" si="105"/>
        <v>N</v>
      </c>
      <c r="X182" s="171">
        <f t="shared" si="106"/>
        <v>1</v>
      </c>
      <c r="Y182" s="67">
        <f t="shared" si="107"/>
        <v>5.8619000000000003</v>
      </c>
      <c r="Z182" s="67">
        <f t="shared" si="108"/>
        <v>7.0999999999999994E-2</v>
      </c>
      <c r="AA182" s="67">
        <f t="shared" si="109"/>
        <v>5.7909000000000006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10"/>
        <v>1824-23</v>
      </c>
      <c r="AE182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2" s="88" t="str">
        <f t="shared" si="112"/>
        <v>"C:\Program Files (x86)\AstroGrep\AstroGrep.exe" /spath="%USERPROFILE%\AppData\Local\Temp\OnboardLogs" /stypes="app*4043*20161023*" /stext=" 23:.+((SYSTEM_STATE.+slice.+state.+changed )|(ment ac)|(system.+state.+changed )|(\[timeout)|(PRM\|1\|D)|(kpr)|(kdp)|(\|lc)|(penalty))" /e /r /s</v>
      </c>
      <c r="AG182" s="1" t="str">
        <f t="shared" si="113"/>
        <v>NW</v>
      </c>
      <c r="AH182" s="92" t="str">
        <f t="shared" si="97"/>
        <v>"%USERPROFILE%\Documents\GitHub\eaglep3\Utilities\RefineRTDCRunTimes.py" --tripid 1824-23 --locoid 4043 --swversion DE.1.0.7.0 --startMP 300:58619 --initTime 2016-10-23T17:39:36 --startdatetime 2016-10-23T17:42:04 --delay 1 --endMP 204:710 --enddatetime 2016-10-23T17:59:02 --enforcementcount 0 &gt;&gt;C:\Users\stu\Documents\GitHub\eaglep3-reporting\EC\2016-10-23-refined-times.txt</v>
      </c>
      <c r="AI182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{"issue":{"subject":"","project_id":79,"tracker_id":40,"status_id":1,"priority_id":2,"assigned_to_id":23,"start_date":"2016-10-23","description":"","custom_fields":[{"id":1,"name":"Subdivision","value":"NW"},{"id":4,"name":"Milepost","value":"0.071"},{"id":17,"name":"Train ID","value":"1824-23"},{"id":16,"name":"Locomotive ID","value":"4043"},{"id":130,"name":"Impact","value":""},{"id":150,"name":"Time of Event (Mountain Time)","value":"17:59:02"},{"id":151,"name":"Denver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567</v>
      </c>
      <c r="B183" s="7">
        <v>4044</v>
      </c>
      <c r="C183" s="22" t="s">
        <v>99</v>
      </c>
      <c r="D183" s="22" t="s">
        <v>687</v>
      </c>
      <c r="E183" s="13">
        <v>42666.759004629632</v>
      </c>
      <c r="F183" s="13">
        <v>42666.76494212963</v>
      </c>
      <c r="G183" s="7">
        <v>1</v>
      </c>
      <c r="H183" s="13" t="s">
        <v>326</v>
      </c>
      <c r="I183" s="13">
        <v>42666.775092592594</v>
      </c>
      <c r="J183" s="7">
        <v>0</v>
      </c>
      <c r="K183" s="112" t="str">
        <f t="shared" si="99"/>
        <v>4043/4044</v>
      </c>
      <c r="L183" s="22" t="str">
        <f>VLOOKUP(A183,'Trips&amp;Operators'!$C$1:$E$10000,3,FALSE)</f>
        <v>JACKSON</v>
      </c>
      <c r="M183" s="6">
        <f t="shared" si="100"/>
        <v>1.0150462963792961E-2</v>
      </c>
      <c r="N183" s="7">
        <f t="shared" si="101"/>
        <v>14.616666667861864</v>
      </c>
      <c r="O183" s="7"/>
      <c r="P183" s="7"/>
      <c r="Q183" s="23"/>
      <c r="R183" s="23"/>
      <c r="S183" s="35">
        <f t="shared" si="102"/>
        <v>1</v>
      </c>
      <c r="T183" s="50" t="str">
        <f t="shared" si="103"/>
        <v>NorthBound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17:12:58-0600',mode:absolute,to:'2016-10-23 19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3" s="52" t="str">
        <f t="shared" si="105"/>
        <v>N</v>
      </c>
      <c r="X183" s="171">
        <f t="shared" si="106"/>
        <v>1</v>
      </c>
      <c r="Y183" s="67">
        <f t="shared" si="107"/>
        <v>9.9000000000000005E-2</v>
      </c>
      <c r="Z183" s="67">
        <f t="shared" si="108"/>
        <v>5.8929</v>
      </c>
      <c r="AA183" s="67">
        <f t="shared" si="109"/>
        <v>5.7938999999999998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10"/>
        <v>1825-23</v>
      </c>
      <c r="AE183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83" s="88" t="str">
        <f t="shared" si="112"/>
        <v>"C:\Program Files (x86)\AstroGrep\AstroGrep.exe" /spath="%USERPROFILE%\AppData\Local\Temp\OnboardLogs" /stypes="app*4044*20161024*" /stext=" 00:.+((SYSTEM_STATE.+slice.+state.+changed )|(ment ac)|(system.+state.+changed )|(\[timeout)|(PRM\|1\|D)|(kpr)|(kdp)|(\|lc)|(penalty))" /e /r /s</v>
      </c>
      <c r="AG183" s="1" t="str">
        <f t="shared" si="113"/>
        <v>NW</v>
      </c>
      <c r="AH183" s="92" t="str">
        <f t="shared" si="97"/>
        <v>"%USERPROFILE%\Documents\GitHub\eaglep3\Utilities\RefineRTDCRunTimes.py" --tripid 1825-23 --locoid 4044 --swversion DE.1.0.7.0 --startMP 204:990 --initTime 2016-10-23T18:12:58 --startdatetime 2016-10-23T18:21:31 --delay 1 --endMP 300:58929 --enddatetime 2016-10-23T18:36:08 --enforcementcount 0 &gt;&gt;C:\Users\stu\Documents\GitHub\eaglep3-reporting\EC\2016-10-23-refined-times.txt</v>
      </c>
      <c r="AI183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{"issue":{"subject":"","project_id":79,"tracker_id":40,"status_id":1,"priority_id":2,"assigned_to_id":23,"start_date":"2016-10-23","description":"","custom_fields":[{"id":1,"name":"Subdivision","value":"NW"},{"id":4,"name":"Milepost","value":"5.8929"},{"id":17,"name":"Train ID","value":"1825-23"},{"id":16,"name":"Locomotive ID","value":"4044"},{"id":130,"name":"Impact","value":""},{"id":150,"name":"Time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571</v>
      </c>
      <c r="B184" s="7">
        <v>4043</v>
      </c>
      <c r="C184" s="22" t="s">
        <v>99</v>
      </c>
      <c r="D184" s="22" t="s">
        <v>653</v>
      </c>
      <c r="E184" s="13">
        <v>42666.777025462965</v>
      </c>
      <c r="F184" s="13">
        <v>42666.77884259259</v>
      </c>
      <c r="G184" s="7">
        <v>1</v>
      </c>
      <c r="H184" s="13" t="s">
        <v>688</v>
      </c>
      <c r="I184" s="13">
        <v>42666.791747685187</v>
      </c>
      <c r="J184" s="7">
        <v>0</v>
      </c>
      <c r="K184" s="112" t="str">
        <f t="shared" si="99"/>
        <v>4043/4044</v>
      </c>
      <c r="L184" s="22" t="str">
        <f>VLOOKUP(A184,'Trips&amp;Operators'!$C$1:$E$10000,3,FALSE)</f>
        <v>JACKSON</v>
      </c>
      <c r="M184" s="6">
        <f t="shared" si="100"/>
        <v>1.2905092597065959E-2</v>
      </c>
      <c r="N184" s="7">
        <f t="shared" si="101"/>
        <v>18.583333339774981</v>
      </c>
      <c r="O184" s="7"/>
      <c r="P184" s="7"/>
      <c r="Q184" s="23"/>
      <c r="R184" s="23"/>
      <c r="S184" s="35">
        <f t="shared" si="102"/>
        <v>1</v>
      </c>
      <c r="T184" s="50" t="str">
        <f t="shared" si="103"/>
        <v>Southbound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17:38:55-0600',mode:absolute,to:'2016-10-23 20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4" s="52" t="str">
        <f t="shared" si="105"/>
        <v>N</v>
      </c>
      <c r="X184" s="171">
        <f t="shared" si="106"/>
        <v>1</v>
      </c>
      <c r="Y184" s="67">
        <f t="shared" si="107"/>
        <v>5.8619000000000003</v>
      </c>
      <c r="Z184" s="67">
        <f t="shared" si="108"/>
        <v>6.9400000000000003E-2</v>
      </c>
      <c r="AA184" s="67">
        <f t="shared" si="109"/>
        <v>5.7925000000000004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110"/>
        <v>1826-23</v>
      </c>
      <c r="AE184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4" s="88" t="str">
        <f t="shared" si="112"/>
        <v>"C:\Program Files (x86)\AstroGrep\AstroGrep.exe" /spath="%USERPROFILE%\AppData\Local\Temp\OnboardLogs" /stypes="app*4043*20161024*" /stext=" 01:.+((SYSTEM_STATE.+slice.+state.+changed )|(ment ac)|(system.+state.+changed )|(\[timeout)|(PRM\|1\|D)|(kpr)|(kdp)|(\|lc)|(penalty))" /e /r /s</v>
      </c>
      <c r="AG184" s="1" t="str">
        <f t="shared" si="113"/>
        <v>NW</v>
      </c>
      <c r="AH184" s="92" t="str">
        <f t="shared" si="97"/>
        <v>"%USERPROFILE%\Documents\GitHub\eaglep3\Utilities\RefineRTDCRunTimes.py" --tripid 1826-23 --locoid 4043 --swversion DE.1.0.7.0 --startMP 300:58619 --initTime 2016-10-23T18:38:55 --startdatetime 2016-10-23T18:41:32 --delay 1 --endMP 204:694 --enddatetime 2016-10-23T19:00:07 --enforcementcount 0 &gt;&gt;C:\Users\stu\Documents\GitHub\eaglep3-reporting\EC\2016-10-23-refined-times.txt</v>
      </c>
      <c r="AI184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{"issue":{"subject":"","project_id":79,"tracker_id":40,"status_id":1,"priority_id":2,"assigned_to_id":23,"start_date":"2016-10-23","description":"","custom_fields":[{"id":1,"name":"Subdivision","value":"NW"},{"id":4,"name":"Milepost","value":"0.0694"},{"id":17,"name":"Train ID","value":"1826-23"},{"id":16,"name":"Locomotive ID","value":"4043"},{"id":130,"name":"Impact","value":""},{"id":150,"name":"Time of Event (Mountain Time)","value":"19:00:07"},{"id":151,"name":"Denver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577</v>
      </c>
      <c r="B185" s="7">
        <v>4044</v>
      </c>
      <c r="C185" s="22" t="s">
        <v>99</v>
      </c>
      <c r="D185" s="22" t="s">
        <v>689</v>
      </c>
      <c r="E185" s="13">
        <v>42666.807743055557</v>
      </c>
      <c r="F185" s="13">
        <v>42666.809108796297</v>
      </c>
      <c r="G185" s="7">
        <v>1</v>
      </c>
      <c r="H185" s="13" t="s">
        <v>690</v>
      </c>
      <c r="I185" s="13">
        <v>42666.818356481483</v>
      </c>
      <c r="J185" s="7">
        <v>0</v>
      </c>
      <c r="K185" s="112" t="str">
        <f t="shared" si="99"/>
        <v>4043/4044</v>
      </c>
      <c r="L185" s="22" t="str">
        <f>VLOOKUP(A185,'Trips&amp;Operators'!$C$1:$E$10000,3,FALSE)</f>
        <v>ADANE</v>
      </c>
      <c r="M185" s="6">
        <f t="shared" si="100"/>
        <v>9.2476851859828457E-3</v>
      </c>
      <c r="N185" s="7">
        <f t="shared" si="101"/>
        <v>13.316666667815298</v>
      </c>
      <c r="O185" s="7"/>
      <c r="P185" s="7"/>
      <c r="Q185" s="23"/>
      <c r="R185" s="23"/>
      <c r="S185" s="35">
        <f t="shared" si="102"/>
        <v>1</v>
      </c>
      <c r="T185" s="50" t="str">
        <f t="shared" si="103"/>
        <v>NorthBound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18:23:09-0600',mode:absolute,to:'2016-10-23 20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5" s="52" t="str">
        <f t="shared" si="105"/>
        <v>N</v>
      </c>
      <c r="X185" s="171">
        <f t="shared" si="106"/>
        <v>1</v>
      </c>
      <c r="Y185" s="67">
        <f t="shared" si="107"/>
        <v>9.7900000000000001E-2</v>
      </c>
      <c r="Z185" s="67">
        <f t="shared" si="108"/>
        <v>5.8944000000000001</v>
      </c>
      <c r="AA185" s="67">
        <f t="shared" si="109"/>
        <v>5.7965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10"/>
        <v>1827-23</v>
      </c>
      <c r="AE185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85" s="88" t="str">
        <f t="shared" si="112"/>
        <v>"C:\Program Files (x86)\AstroGrep\AstroGrep.exe" /spath="%USERPROFILE%\AppData\Local\Temp\OnboardLogs" /stypes="app*4044*20161024*" /stext=" 01:.+((SYSTEM_STATE.+slice.+state.+changed )|(ment ac)|(system.+state.+changed )|(\[timeout)|(PRM\|1\|D)|(kpr)|(kdp)|(\|lc)|(penalty))" /e /r /s</v>
      </c>
      <c r="AG185" s="1" t="str">
        <f t="shared" si="113"/>
        <v>NW</v>
      </c>
      <c r="AH185" s="92" t="str">
        <f t="shared" si="97"/>
        <v>"%USERPROFILE%\Documents\GitHub\eaglep3\Utilities\RefineRTDCRunTimes.py" --tripid 1827-23 --locoid 4044 --swversion DE.1.0.7.0 --startMP 204:979 --initTime 2016-10-23T19:23:09 --startdatetime 2016-10-23T19:25:07 --delay 1 --endMP 300:58944 --enddatetime 2016-10-23T19:38:26 --enforcementcount 0 &gt;&gt;C:\Users\stu\Documents\GitHub\eaglep3-reporting\EC\2016-10-23-refined-times.txt</v>
      </c>
      <c r="AI185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{"issue":{"subject":"","project_id":79,"tracker_id":40,"status_id":1,"priority_id":2,"assigned_to_id":23,"start_date":"2016-10-23","description":"","custom_fields":[{"id":1,"name":"Subdivision","value":"NW"},{"id":4,"name":"Milepost","value":"5.8944"},{"id":17,"name":"Train ID","value":"1827-23"},{"id":16,"name":"Locomotive ID","value":"4044"},{"id":130,"name":"Impact","value":""},{"id":150,"name":"Time of Event (Mountain Time)","value":"19:38:26"},{"id":151,"name":"Denver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581</v>
      </c>
      <c r="B186" s="7">
        <v>4043</v>
      </c>
      <c r="C186" s="22" t="s">
        <v>99</v>
      </c>
      <c r="D186" s="22" t="s">
        <v>691</v>
      </c>
      <c r="E186" s="13">
        <v>42666.819351851853</v>
      </c>
      <c r="F186" s="13">
        <v>42666.820914351854</v>
      </c>
      <c r="G186" s="7">
        <v>1</v>
      </c>
      <c r="H186" s="13" t="s">
        <v>692</v>
      </c>
      <c r="I186" s="13">
        <v>42666.832037037035</v>
      </c>
      <c r="J186" s="7">
        <v>0</v>
      </c>
      <c r="K186" s="112" t="str">
        <f t="shared" si="99"/>
        <v>4043/4044</v>
      </c>
      <c r="L186" s="22" t="str">
        <f>VLOOKUP(A186,'Trips&amp;Operators'!$C$1:$E$10000,3,FALSE)</f>
        <v>ADANE</v>
      </c>
      <c r="M186" s="6">
        <f t="shared" si="100"/>
        <v>1.1122685180453118E-2</v>
      </c>
      <c r="N186" s="7">
        <f t="shared" si="101"/>
        <v>16.01666665985249</v>
      </c>
      <c r="O186" s="7"/>
      <c r="P186" s="7"/>
      <c r="Q186" s="23"/>
      <c r="R186" s="23"/>
      <c r="S186" s="35">
        <f t="shared" si="102"/>
        <v>1</v>
      </c>
      <c r="T186" s="50" t="str">
        <f t="shared" si="103"/>
        <v>Southbound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18:39:52-0600',mode:absolute,to:'2016-10-23 20:58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6" s="52" t="str">
        <f t="shared" si="105"/>
        <v>N</v>
      </c>
      <c r="X186" s="171">
        <f t="shared" si="106"/>
        <v>1</v>
      </c>
      <c r="Y186" s="67">
        <f t="shared" si="107"/>
        <v>5.8635999999999999</v>
      </c>
      <c r="Z186" s="67">
        <f t="shared" si="108"/>
        <v>6.54E-2</v>
      </c>
      <c r="AA186" s="67">
        <f t="shared" si="109"/>
        <v>5.7981999999999996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10"/>
        <v>1828-23</v>
      </c>
      <c r="AE186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6" s="88" t="str">
        <f t="shared" si="112"/>
        <v>"C:\Program Files (x86)\AstroGrep\AstroGrep.exe" /spath="%USERPROFILE%\AppData\Local\Temp\OnboardLogs" /stypes="app*4043*20161024*" /stext=" 01:.+((SYSTEM_STATE.+slice.+state.+changed )|(ment ac)|(system.+state.+changed )|(\[timeout)|(PRM\|1\|D)|(kpr)|(kdp)|(\|lc)|(penalty))" /e /r /s</v>
      </c>
      <c r="AG186" s="1" t="str">
        <f t="shared" si="113"/>
        <v>NW</v>
      </c>
      <c r="AH186" s="92" t="str">
        <f t="shared" si="97"/>
        <v>"%USERPROFILE%\Documents\GitHub\eaglep3\Utilities\RefineRTDCRunTimes.py" --tripid 1828-23 --locoid 4043 --swversion DE.1.0.7.0 --startMP 300:58636 --initTime 2016-10-23T19:39:52 --startdatetime 2016-10-23T19:42:07 --delay 1 --endMP 204:654 --enddatetime 2016-10-23T19:58:08 --enforcementcount 0 &gt;&gt;C:\Users\stu\Documents\GitHub\eaglep3-reporting\EC\2016-10-23-refined-times.txt</v>
      </c>
      <c r="AI186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{"issue":{"subject":"","project_id":79,"tracker_id":40,"status_id":1,"priority_id":2,"assigned_to_id":23,"start_date":"2016-10-23","description":"","custom_fields":[{"id":1,"name":"Subdivision","value":"NW"},{"id":4,"name":"Milepost","value":"0.0654"},{"id":17,"name":"Train ID","value":"1828-23"},{"id":16,"name":"Locomotive ID","value":"4043"},{"id":130,"name":"Impact","value":""},{"id":150,"name":"Time of Event (Mountain Time)","value":"19:58:08"},{"id":151,"name":"Denver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431</v>
      </c>
      <c r="B187" s="7">
        <v>4044</v>
      </c>
      <c r="C187" s="22" t="s">
        <v>99</v>
      </c>
      <c r="D187" s="22" t="s">
        <v>693</v>
      </c>
      <c r="E187" s="13">
        <v>42666.838020833333</v>
      </c>
      <c r="F187" s="13">
        <v>42666.848229166666</v>
      </c>
      <c r="G187" s="7">
        <v>2</v>
      </c>
      <c r="H187" s="13" t="s">
        <v>694</v>
      </c>
      <c r="I187" s="13">
        <v>42666.858472222222</v>
      </c>
      <c r="J187" s="7">
        <v>0</v>
      </c>
      <c r="K187" s="112" t="str">
        <f t="shared" si="99"/>
        <v>4043/4044</v>
      </c>
      <c r="L187" s="22" t="str">
        <f>VLOOKUP(A187,'Trips&amp;Operators'!$C$1:$E$10000,3,FALSE)</f>
        <v>JACKSON</v>
      </c>
      <c r="M187" s="6">
        <f t="shared" si="100"/>
        <v>1.0243055556202307E-2</v>
      </c>
      <c r="N187" s="7">
        <f t="shared" si="101"/>
        <v>14.750000000931323</v>
      </c>
      <c r="O187" s="7"/>
      <c r="P187" s="7"/>
      <c r="Q187" s="23"/>
      <c r="R187" s="23"/>
      <c r="S187" s="35">
        <f t="shared" si="102"/>
        <v>1</v>
      </c>
      <c r="T187" s="50" t="str">
        <f t="shared" si="103"/>
        <v>NorthBound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19:06:45-0600',mode:absolute,to:'2016-10-23 21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7" s="52" t="str">
        <f t="shared" si="105"/>
        <v>N</v>
      </c>
      <c r="X187" s="171">
        <f t="shared" si="106"/>
        <v>1</v>
      </c>
      <c r="Y187" s="67">
        <f t="shared" si="107"/>
        <v>9.2999999999999999E-2</v>
      </c>
      <c r="Z187" s="67">
        <f t="shared" si="108"/>
        <v>5.8956</v>
      </c>
      <c r="AA187" s="67">
        <f t="shared" si="109"/>
        <v>5.8026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10"/>
        <v>1829-23</v>
      </c>
      <c r="AE187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87" s="88" t="str">
        <f t="shared" si="112"/>
        <v>"C:\Program Files (x86)\AstroGrep\AstroGrep.exe" /spath="%USERPROFILE%\AppData\Local\Temp\OnboardLogs" /stypes="app*4044*20161024*" /stext=" 02:.+((SYSTEM_STATE.+slice.+state.+changed )|(ment ac)|(system.+state.+changed )|(\[timeout)|(PRM\|1\|D)|(kpr)|(kdp)|(\|lc)|(penalty))" /e /r /s</v>
      </c>
      <c r="AG187" s="1" t="str">
        <f t="shared" si="113"/>
        <v>NW</v>
      </c>
      <c r="AH187" s="92" t="str">
        <f t="shared" si="97"/>
        <v>"%USERPROFILE%\Documents\GitHub\eaglep3\Utilities\RefineRTDCRunTimes.py" --tripid 1829-23 --locoid 4044 --swversion DE.1.0.7.0 --startMP 204:930 --initTime 2016-10-23T20:06:45 --startdatetime 2016-10-23T20:21:27 --delay 2 --endMP 300:58956 --enddatetime 2016-10-23T20:36:12 --enforcementcount 0 &gt;&gt;C:\Users\stu\Documents\GitHub\eaglep3-reporting\EC\2016-10-23-refined-times.txt</v>
      </c>
      <c r="AI187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{"issue":{"subject":"","project_id":79,"tracker_id":40,"status_id":1,"priority_id":2,"assigned_to_id":23,"start_date":"2016-10-23","description":"","custom_fields":[{"id":1,"name":"Subdivision","value":"NW"},{"id":4,"name":"Milepost","value":"5.8956"},{"id":17,"name":"Train ID","value":"1829-23"},{"id":16,"name":"Locomotive ID","value":"4044"},{"id":130,"name":"Impact","value":""},{"id":150,"name":"Time of Event (Mountain Time)","value":"20:36:12"},{"id":151,"name":"Denver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587</v>
      </c>
      <c r="B188" s="7">
        <v>4043</v>
      </c>
      <c r="C188" s="22" t="s">
        <v>99</v>
      </c>
      <c r="D188" s="22" t="s">
        <v>695</v>
      </c>
      <c r="E188" s="13">
        <v>42666.860671296294</v>
      </c>
      <c r="F188" s="13">
        <v>42666.862800925926</v>
      </c>
      <c r="G188" s="7">
        <v>1</v>
      </c>
      <c r="H188" s="13" t="s">
        <v>236</v>
      </c>
      <c r="I188" s="13">
        <v>42666.886423611111</v>
      </c>
      <c r="J188" s="7">
        <v>0</v>
      </c>
      <c r="K188" s="112" t="str">
        <f t="shared" si="99"/>
        <v>4043/4044</v>
      </c>
      <c r="L188" s="22" t="str">
        <f>VLOOKUP(A188,'Trips&amp;Operators'!$C$1:$E$10000,3,FALSE)</f>
        <v>JACKSON</v>
      </c>
      <c r="M188" s="6">
        <f t="shared" si="100"/>
        <v>2.3622685184818693E-2</v>
      </c>
      <c r="N188" s="7">
        <f t="shared" si="101"/>
        <v>34.016666666138917</v>
      </c>
      <c r="O188" s="7"/>
      <c r="P188" s="7"/>
      <c r="Q188" s="23"/>
      <c r="R188" s="23" t="s">
        <v>768</v>
      </c>
      <c r="S188" s="35">
        <f t="shared" si="102"/>
        <v>1</v>
      </c>
      <c r="T188" s="50" t="str">
        <f t="shared" si="103"/>
        <v>Southbound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19:39:22-0600',mode:absolute,to:'2016-10-23 22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8" s="52" t="str">
        <f t="shared" si="105"/>
        <v>N</v>
      </c>
      <c r="X188" s="171">
        <f t="shared" si="106"/>
        <v>1</v>
      </c>
      <c r="Y188" s="67">
        <f t="shared" si="107"/>
        <v>5.8643000000000001</v>
      </c>
      <c r="Z188" s="67">
        <f t="shared" si="108"/>
        <v>1.6E-2</v>
      </c>
      <c r="AA188" s="67">
        <f t="shared" si="109"/>
        <v>5.8483000000000001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110"/>
        <v>1830-23</v>
      </c>
      <c r="AE188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8" s="88" t="str">
        <f t="shared" si="112"/>
        <v>"C:\Program Files (x86)\AstroGrep\AstroGrep.exe" /spath="%USERPROFILE%\AppData\Local\Temp\OnboardLogs" /stypes="app*4043*20161024*" /stext=" 03:.+((SYSTEM_STATE.+slice.+state.+changed )|(ment ac)|(system.+state.+changed )|(\[timeout)|(PRM\|1\|D)|(kpr)|(kdp)|(\|lc)|(penalty))" /e /r /s</v>
      </c>
      <c r="AG188" s="1" t="str">
        <f t="shared" si="113"/>
        <v>NW</v>
      </c>
      <c r="AH188" s="92" t="str">
        <f t="shared" si="97"/>
        <v>"%USERPROFILE%\Documents\GitHub\eaglep3\Utilities\RefineRTDCRunTimes.py" --tripid 1830-23 --locoid 4043 --swversion DE.1.0.7.0 --startMP 300:58643 --initTime 2016-10-23T20:39:22 --startdatetime 2016-10-23T20:42:26 --delay 1 --endMP 204:160 --enddatetime 2016-10-23T21:16:27 --enforcementcount 0 &gt;&gt;C:\Users\stu\Documents\GitHub\eaglep3-reporting\EC\2016-10-23-refined-times.txt</v>
      </c>
      <c r="AI188" s="122" t="str">
        <f t="shared" si="98"/>
        <v>echo {"issue":{"subject":"Mechanical - braking issues","project_id":79,"tracker_id":40,"status_id":1,"priority_id":2,"assigned_to_id":23,"start_date":"2016-10-23","description":"","custom_fields":[{"id":1,"name":"Subdivision","value":"NW"},{"id":4,"name":"Milepost","value":"0.016"},{"id":17,"name":"Train ID","value":"1830-23"},{"id":16,"name":"Locomotive ID","value":"4043"},{"id":130,"name":"Impact","value":""},{"id":150,"name":"Time of Event (Mountain Time)","value":"21:16:27"},{"id":151,"name":"Denver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591</v>
      </c>
      <c r="B189" s="7">
        <v>4042</v>
      </c>
      <c r="C189" s="22" t="s">
        <v>99</v>
      </c>
      <c r="D189" s="22" t="s">
        <v>696</v>
      </c>
      <c r="E189" s="13">
        <v>42666.892337962963</v>
      </c>
      <c r="F189" s="13">
        <v>42666.895219907405</v>
      </c>
      <c r="G189" s="7">
        <v>1</v>
      </c>
      <c r="H189" s="13" t="s">
        <v>397</v>
      </c>
      <c r="I189" s="13">
        <v>42666.905972222223</v>
      </c>
      <c r="J189" s="7">
        <v>0</v>
      </c>
      <c r="K189" s="112" t="str">
        <f t="shared" si="99"/>
        <v>4041/4042</v>
      </c>
      <c r="L189" s="22" t="str">
        <f>VLOOKUP(A189,'Trips&amp;Operators'!$C$1:$E$10000,3,FALSE)</f>
        <v>DELGADO</v>
      </c>
      <c r="M189" s="6">
        <f t="shared" si="100"/>
        <v>1.0752314818091691E-2</v>
      </c>
      <c r="N189" s="7">
        <f t="shared" si="101"/>
        <v>15.483333338052034</v>
      </c>
      <c r="O189" s="7"/>
      <c r="P189" s="7"/>
      <c r="Q189" s="23"/>
      <c r="R189" s="23"/>
      <c r="S189" s="35">
        <f t="shared" si="102"/>
        <v>1</v>
      </c>
      <c r="T189" s="50" t="str">
        <f t="shared" si="103"/>
        <v>NorthBound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20:24:58-0600',mode:absolute,to:'2016-10-23 22:44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9" s="52" t="str">
        <f t="shared" si="105"/>
        <v>N</v>
      </c>
      <c r="X189" s="171">
        <f t="shared" si="106"/>
        <v>1</v>
      </c>
      <c r="Y189" s="67">
        <f t="shared" si="107"/>
        <v>9.8100000000000007E-2</v>
      </c>
      <c r="Z189" s="67">
        <f t="shared" si="108"/>
        <v>5.8917999999999999</v>
      </c>
      <c r="AA189" s="67">
        <f t="shared" si="109"/>
        <v>5.7937000000000003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10"/>
        <v>1831-23</v>
      </c>
      <c r="AE189" s="91" t="str">
        <f t="shared" si="111"/>
        <v>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 &amp; aws s3 cp s3://rtdc.mdm.uploadarchive.raw/RTDC4042/ "%USERPROFILE%\AppData\Local\Temp\OnboardLogs"\RTDC4042\2016-10-24 --exclude "*" --recursive --include "*20161024*" &amp; "%USERPROFILE%\Documents\GitHub\mrs-test-scripts\Headless Mode &amp; Sideloading\WalkAndUnGZ.bat" "%USERPROFILE%\AppData\Local\Temp\OnboardLogs"\RTDC4042\2016-10-24</v>
      </c>
      <c r="AF189" s="88" t="str">
        <f t="shared" si="112"/>
        <v>"C:\Program Files (x86)\AstroGrep\AstroGrep.exe" /spath="%USERPROFILE%\AppData\Local\Temp\OnboardLogs" /stypes="app*4042*20161024*" /stext=" 03:.+((SYSTEM_STATE.+slice.+state.+changed )|(ment ac)|(system.+state.+changed )|(\[timeout)|(PRM\|1\|D)|(kpr)|(kdp)|(\|lc)|(penalty))" /e /r /s</v>
      </c>
      <c r="AG189" s="1" t="str">
        <f t="shared" si="113"/>
        <v>NW</v>
      </c>
      <c r="AH189" s="92" t="str">
        <f t="shared" si="97"/>
        <v>"%USERPROFILE%\Documents\GitHub\eaglep3\Utilities\RefineRTDCRunTimes.py" --tripid 1831-23 --locoid 4042 --swversion DE.1.0.7.0 --startMP 204:981 --initTime 2016-10-23T21:24:58 --startdatetime 2016-10-23T21:29:07 --delay 1 --endMP 300:58918 --enddatetime 2016-10-23T21:44:36 --enforcementcount 0 &gt;&gt;C:\Users\stu\Documents\GitHub\eaglep3-reporting\EC\2016-10-23-refined-times.txt</v>
      </c>
      <c r="AI189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{"issue":{"subject":"","project_id":79,"tracker_id":40,"status_id":1,"priority_id":2,"assigned_to_id":23,"start_date":"2016-10-23","description":"","custom_fields":[{"id":1,"name":"Subdivision","value":"NW"},{"id":4,"name":"Milepost","value":"5.8918"},{"id":17,"name":"Train ID","value":"1831-23"},{"id":16,"name":"Locomotive ID","value":"4042"},{"id":130,"name":"Impact","value":""},{"id":150,"name":"Time of Event (Mountain Time)","value":"21:44:36"},{"id":151,"name":"Denver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593</v>
      </c>
      <c r="B190" s="7">
        <v>4041</v>
      </c>
      <c r="C190" s="22" t="s">
        <v>99</v>
      </c>
      <c r="D190" s="22" t="s">
        <v>325</v>
      </c>
      <c r="E190" s="13">
        <v>42666.90693287037</v>
      </c>
      <c r="F190" s="13">
        <v>42666.908206018517</v>
      </c>
      <c r="G190" s="7">
        <v>0</v>
      </c>
      <c r="H190" s="13" t="s">
        <v>697</v>
      </c>
      <c r="I190" s="13">
        <v>42666.919131944444</v>
      </c>
      <c r="J190" s="7">
        <v>0</v>
      </c>
      <c r="K190" s="112" t="str">
        <f t="shared" si="99"/>
        <v>4041/4042</v>
      </c>
      <c r="L190" s="22" t="str">
        <f>VLOOKUP(A190,'Trips&amp;Operators'!$C$1:$E$10000,3,FALSE)</f>
        <v>DELGADO</v>
      </c>
      <c r="M190" s="6">
        <f t="shared" si="100"/>
        <v>1.0925925926130731E-2</v>
      </c>
      <c r="N190" s="7">
        <f t="shared" si="101"/>
        <v>15.733333333628252</v>
      </c>
      <c r="O190" s="7"/>
      <c r="P190" s="7"/>
      <c r="Q190" s="23"/>
      <c r="R190" s="23"/>
      <c r="S190" s="35">
        <f t="shared" si="102"/>
        <v>1</v>
      </c>
      <c r="T190" s="50" t="str">
        <f t="shared" si="103"/>
        <v>Southbound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20:45:59-0600',mode:absolute,to:'2016-10-23 23:03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0" s="52" t="str">
        <f t="shared" si="105"/>
        <v>N</v>
      </c>
      <c r="X190" s="171">
        <f t="shared" si="106"/>
        <v>1</v>
      </c>
      <c r="Y190" s="67">
        <f t="shared" si="107"/>
        <v>5.8609</v>
      </c>
      <c r="Z190" s="67">
        <f t="shared" si="108"/>
        <v>9.35E-2</v>
      </c>
      <c r="AA190" s="67">
        <f t="shared" si="109"/>
        <v>5.7674000000000003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110"/>
        <v>1832-23</v>
      </c>
      <c r="AE190" s="91" t="str">
        <f t="shared" si="111"/>
        <v>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 &amp; 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</v>
      </c>
      <c r="AF190" s="88" t="str">
        <f t="shared" si="112"/>
        <v>"C:\Program Files (x86)\AstroGrep\AstroGrep.exe" /spath="%USERPROFILE%\AppData\Local\Temp\OnboardLogs" /stypes="app*4041*20161024*" /stext=" 04:.+((SYSTEM_STATE.+slice.+state.+changed )|(ment ac)|(system.+state.+changed )|(\[timeout)|(PRM\|1\|D)|(kpr)|(kdp)|(\|lc)|(penalty))" /e /r /s</v>
      </c>
      <c r="AG190" s="1" t="str">
        <f t="shared" si="113"/>
        <v>NW</v>
      </c>
      <c r="AH190" s="92" t="str">
        <f t="shared" si="97"/>
        <v>"%USERPROFILE%\Documents\GitHub\eaglep3\Utilities\RefineRTDCRunTimes.py" --tripid 1832-23 --locoid 4041 --swversion DE.1.0.7.0 --startMP 300:58609 --initTime 2016-10-23T21:45:59 --startdatetime 2016-10-23T21:47:49 --delay 0 --endMP 204:935 --enddatetime 2016-10-23T22:03:33 --enforcementcount 0 &gt;&gt;C:\Users\stu\Documents\GitHub\eaglep3-reporting\EC\2016-10-23-refined-times.txt</v>
      </c>
      <c r="AI190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{"issue":{"subject":"","project_id":79,"tracker_id":40,"status_id":1,"priority_id":2,"assigned_to_id":23,"start_date":"2016-10-23","description":"","custom_fields":[{"id":1,"name":"Subdivision","value":"NW"},{"id":4,"name":"Milepost","value":"0.0935"},{"id":17,"name":"Train ID","value":"1832-23"},{"id":16,"name":"Locomotive ID","value":"4041"},{"id":130,"name":"Impact","value":""},{"id":150,"name":"Time of Event (Mountain Time)","value":"22:03:33"},{"id":151,"name":"Denver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595</v>
      </c>
      <c r="B191" s="7">
        <v>4044</v>
      </c>
      <c r="C191" s="22" t="s">
        <v>99</v>
      </c>
      <c r="D191" s="22" t="s">
        <v>698</v>
      </c>
      <c r="E191" s="13">
        <v>42666.923645833333</v>
      </c>
      <c r="F191" s="13">
        <v>42666.931817129633</v>
      </c>
      <c r="G191" s="7">
        <v>3</v>
      </c>
      <c r="H191" s="13" t="s">
        <v>690</v>
      </c>
      <c r="I191" s="13">
        <v>42666.94327546296</v>
      </c>
      <c r="J191" s="7">
        <v>0</v>
      </c>
      <c r="K191" s="112" t="str">
        <f t="shared" si="99"/>
        <v>4043/4044</v>
      </c>
      <c r="L191" s="22" t="str">
        <f>VLOOKUP(A191,'Trips&amp;Operators'!$C$1:$E$10000,3,FALSE)</f>
        <v>JACKSON</v>
      </c>
      <c r="M191" s="6">
        <f t="shared" si="100"/>
        <v>1.1458333327027503E-2</v>
      </c>
      <c r="N191" s="7">
        <f t="shared" si="101"/>
        <v>16.499999990919605</v>
      </c>
      <c r="O191" s="7"/>
      <c r="P191" s="7"/>
      <c r="Q191" s="23"/>
      <c r="R191" s="23"/>
      <c r="S191" s="35">
        <f t="shared" si="102"/>
        <v>1</v>
      </c>
      <c r="T191" s="50" t="str">
        <f t="shared" si="103"/>
        <v>NorthBound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21:10:03-0600',mode:absolute,to:'2016-10-23 23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1" s="52" t="str">
        <f t="shared" si="105"/>
        <v>N</v>
      </c>
      <c r="X191" s="171">
        <f t="shared" si="106"/>
        <v>1</v>
      </c>
      <c r="Y191" s="67">
        <f t="shared" si="107"/>
        <v>4.4999999999999998E-2</v>
      </c>
      <c r="Z191" s="67">
        <f t="shared" si="108"/>
        <v>5.8944000000000001</v>
      </c>
      <c r="AA191" s="67">
        <f t="shared" si="109"/>
        <v>5.8494000000000002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110"/>
        <v>1833-23</v>
      </c>
      <c r="AE191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91" s="88" t="str">
        <f t="shared" si="112"/>
        <v>"C:\Program Files (x86)\AstroGrep\AstroGrep.exe" /spath="%USERPROFILE%\AppData\Local\Temp\OnboardLogs" /stypes="app*4044*20161024*" /stext=" 04:.+((SYSTEM_STATE.+slice.+state.+changed )|(ment ac)|(system.+state.+changed )|(\[timeout)|(PRM\|1\|D)|(kpr)|(kdp)|(\|lc)|(penalty))" /e /r /s</v>
      </c>
      <c r="AG191" s="1" t="str">
        <f t="shared" si="113"/>
        <v>NW</v>
      </c>
      <c r="AH191" s="92" t="str">
        <f t="shared" si="97"/>
        <v>"%USERPROFILE%\Documents\GitHub\eaglep3\Utilities\RefineRTDCRunTimes.py" --tripid 1833-23 --locoid 4044 --swversion DE.1.0.7.0 --startMP 204:450 --initTime 2016-10-23T22:10:03 --startdatetime 2016-10-23T22:21:49 --delay 3 --endMP 300:58944 --enddatetime 2016-10-23T22:38:19 --enforcementcount 0 &gt;&gt;C:\Users\stu\Documents\GitHub\eaglep3-reporting\EC\2016-10-23-refined-times.txt</v>
      </c>
      <c r="AI191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{"issue":{"subject":"","project_id":79,"tracker_id":40,"status_id":1,"priority_id":2,"assigned_to_id":23,"start_date":"2016-10-23","description":"","custom_fields":[{"id":1,"name":"Subdivision","value":"NW"},{"id":4,"name":"Milepost","value":"5.8944"},{"id":17,"name":"Train ID","value":"1833-23"},{"id":16,"name":"Locomotive ID","value":"4044"},{"id":130,"name":"Impact","value":""},{"id":150,"name":"Time of Event (Mountain Time)","value":"22:38:19"},{"id":151,"name":"Denver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433</v>
      </c>
      <c r="B192" s="7">
        <v>4028</v>
      </c>
      <c r="C192" s="22" t="s">
        <v>99</v>
      </c>
      <c r="D192" s="22" t="s">
        <v>733</v>
      </c>
      <c r="E192" s="13">
        <v>42666.114861111113</v>
      </c>
      <c r="F192" s="13">
        <v>25568.708333333332</v>
      </c>
      <c r="G192" s="7">
        <v>6</v>
      </c>
      <c r="H192" s="13" t="s">
        <v>734</v>
      </c>
      <c r="I192" s="13">
        <v>25568.708333333332</v>
      </c>
      <c r="J192" s="7">
        <v>0</v>
      </c>
      <c r="K192" s="112" t="str">
        <f t="shared" si="99"/>
        <v>4027/4028</v>
      </c>
      <c r="L192" s="22" t="str">
        <f>VLOOKUP(A192,'Trips&amp;Operators'!$C$1:$E$10000,3,FALSE)</f>
        <v>ROBINSON</v>
      </c>
      <c r="M192" s="6">
        <f t="shared" si="100"/>
        <v>0</v>
      </c>
      <c r="N192" s="7">
        <f t="shared" si="101"/>
        <v>0</v>
      </c>
      <c r="O192" s="7"/>
      <c r="P192" s="7"/>
      <c r="Q192" s="23"/>
      <c r="R192" s="23"/>
      <c r="S192" s="35">
        <f t="shared" si="102"/>
        <v>0</v>
      </c>
      <c r="T192" s="50" t="str">
        <f t="shared" si="103"/>
        <v>Southbound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01:45:24-0600',mode:absolute,to:'1969-12-31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2" s="52" t="str">
        <f t="shared" si="105"/>
        <v>Y</v>
      </c>
      <c r="X192" s="171">
        <f t="shared" si="106"/>
        <v>-1531</v>
      </c>
      <c r="Y192" s="67">
        <f t="shared" si="107"/>
        <v>2.3043999999999998</v>
      </c>
      <c r="Z192" s="67">
        <f t="shared" si="108"/>
        <v>2.1303000000000001</v>
      </c>
      <c r="AA192" s="67">
        <f t="shared" si="109"/>
        <v>0.1740999999999997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110"/>
        <v>0302-23</v>
      </c>
      <c r="AE192" s="91" t="str">
        <f t="shared" si="111"/>
        <v>aws s3 cp s3://rtdc.mdm.uploadarchive.raw/RTDC4028/ "%USERPROFILE%\AppData\Local\Temp\OnboardLogs"\RTDC4028\1969-12-31 --exclude "*" --recursive --include "*19691231*" &amp; "%USERPROFILE%\Documents\GitHub\mrs-test-scripts\Headless Mode &amp; Sideloading\WalkAndUnGZ.bat" "%USERPROFILE%\AppData\Local\Temp\OnboardLogs"\RTDC4028\1969-12-31 &amp; aws s3 cp s3://rtdc.mdm.uploadarchive.raw/RTDC4028/ "%USERPROFILE%\AppData\Local\Temp\OnboardLogs"\RTDC4028\1970-01-01 --exclude "*" --recursive --include "*19700101*" &amp; "%USERPROFILE%\Documents\GitHub\mrs-test-scripts\Headless Mode &amp; Sideloading\WalkAndUnGZ.bat" "%USERPROFILE%\AppData\Local\Temp\OnboardLogs"\RTDC4028\1970-01-01</v>
      </c>
      <c r="AF192" s="88" t="str">
        <f t="shared" si="112"/>
        <v>"C:\Program Files (x86)\AstroGrep\AstroGrep.exe" /spath="%USERPROFILE%\AppData\Local\Temp\OnboardLogs" /stypes="app*4028*19691231*" /stext=" 23:.+((SYSTEM_STATE.+slice.+state.+changed )|(ment ac)|(system.+state.+changed )|(\[timeout)|(PRM\|1\|D)|(kpr)|(kdp)|(\|lc)|(penalty))" /e /r /s</v>
      </c>
      <c r="AG192" s="1" t="str">
        <f t="shared" si="113"/>
        <v>Other</v>
      </c>
      <c r="AH192" s="92" t="str">
        <f t="shared" si="97"/>
        <v>"%USERPROFILE%\Documents\GitHub\eaglep3\Utilities\RefineRTDCRunTimes.py" --tripid 302-23 --locoid 4028 --swversion DE.1.0.7.0 --startMP 300:23044 --initTime 2016-10-23T02:45:24 --startdatetime 1969-12-31T17:00:00 --delay 6 --endMP 300:21303 --enddatetime 1969-12-31T17:00:00 --enforcementcount 0 &gt;&gt;C:\Users\stu\Documents\GitHub\eaglep3-reporting\EC\2016-10-23-refined-times.txt</v>
      </c>
      <c r="AI192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{"issue":{"subject":"","project_id":79,"tracker_id":40,"status_id":1,"priority_id":2,"assigned_to_id":23,"start_date":"1969-12-31","description":"","custom_fields":[{"id":1,"name":"Subdivision","value":"Other"},{"id":4,"name":"Milepost","value":"2.1303"},{"id":17,"name":"Train ID","value":"302-23"},{"id":16,"name":"Locomotive ID","value":"4028"},{"id":130,"name":"Impact","value":""},{"id":150,"name":"Time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572</v>
      </c>
      <c r="B193" s="7">
        <v>4016</v>
      </c>
      <c r="C193" s="22" t="s">
        <v>99</v>
      </c>
      <c r="D193" s="22" t="s">
        <v>735</v>
      </c>
      <c r="E193" s="13">
        <v>42666.777916666666</v>
      </c>
      <c r="F193" s="13">
        <v>25568.708333333332</v>
      </c>
      <c r="G193" s="7">
        <v>1</v>
      </c>
      <c r="H193" s="13" t="s">
        <v>736</v>
      </c>
      <c r="I193" s="13">
        <v>25568.708333333332</v>
      </c>
      <c r="J193" s="7">
        <v>0</v>
      </c>
      <c r="K193" s="112" t="str">
        <f t="shared" si="99"/>
        <v>4015/4016</v>
      </c>
      <c r="L193" s="22" t="str">
        <f>VLOOKUP(A193,'Trips&amp;Operators'!$C$1:$E$10000,3,FALSE)</f>
        <v>MOSES</v>
      </c>
      <c r="M193" s="6">
        <f t="shared" si="100"/>
        <v>0</v>
      </c>
      <c r="N193" s="7">
        <f t="shared" si="101"/>
        <v>0</v>
      </c>
      <c r="O193" s="7"/>
      <c r="P193" s="7"/>
      <c r="Q193" s="23"/>
      <c r="R193" s="23"/>
      <c r="S193" s="35">
        <f t="shared" si="102"/>
        <v>1</v>
      </c>
      <c r="T193" s="50" t="str">
        <f t="shared" si="103"/>
        <v>NorthBound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17:40:12-0600',mode:absolute,to:'1969-12-31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3" s="52" t="str">
        <f t="shared" si="105"/>
        <v>Y</v>
      </c>
      <c r="X193" s="171">
        <f t="shared" si="106"/>
        <v>1</v>
      </c>
      <c r="Y193" s="67">
        <f t="shared" si="107"/>
        <v>4.24E-2</v>
      </c>
      <c r="Z193" s="67">
        <f t="shared" si="108"/>
        <v>2.6983999999999999</v>
      </c>
      <c r="AA193" s="67">
        <f t="shared" si="109"/>
        <v>2.6559999999999997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10"/>
        <v>0303-23</v>
      </c>
      <c r="AE193" s="91" t="str">
        <f t="shared" si="11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193" s="88" t="str">
        <f t="shared" si="112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193" s="1" t="str">
        <f t="shared" si="113"/>
        <v>Other</v>
      </c>
      <c r="AH193" s="92" t="str">
        <f t="shared" si="97"/>
        <v>"%USERPROFILE%\Documents\GitHub\eaglep3\Utilities\RefineRTDCRunTimes.py" --tripid 303-23 --locoid 4016 --swversion DE.1.0.7.0 --startMP 204:424 --initTime 2016-10-23T18:40:12 --startdatetime 1969-12-31T17:00:00 --delay 1 --endMP 300:26984 --enddatetime 1969-12-31T17:00:00 --enforcementcount 0 &gt;&gt;C:\Users\stu\Documents\GitHub\eaglep3-reporting\EC\2016-10-23-refined-times.txt</v>
      </c>
      <c r="AI193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{"issue":{"subject":"","project_id":79,"tracker_id":40,"status_id":1,"priority_id":2,"assigned_to_id":23,"start_date":"1969-12-31","description":"","custom_fields":[{"id":1,"name":"Subdivision","value":"Other"},{"id":4,"name":"Milepost","value":"2.6984"},{"id":17,"name":"Train ID","value":"303-23"},{"id":16,"name":"Locomotive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436</v>
      </c>
      <c r="B194" s="7">
        <v>4010</v>
      </c>
      <c r="C194" s="22" t="s">
        <v>99</v>
      </c>
      <c r="D194" s="22" t="s">
        <v>737</v>
      </c>
      <c r="E194" s="13">
        <v>42666.140821759262</v>
      </c>
      <c r="F194" s="13">
        <v>42666.142164351855</v>
      </c>
      <c r="G194" s="7">
        <v>1</v>
      </c>
      <c r="H194" s="13" t="s">
        <v>738</v>
      </c>
      <c r="I194" s="13">
        <v>42666.148634259262</v>
      </c>
      <c r="J194" s="7">
        <v>0</v>
      </c>
      <c r="K194" s="112" t="str">
        <f t="shared" si="99"/>
        <v>4009/4010</v>
      </c>
      <c r="L194" s="22" t="str">
        <f>VLOOKUP(A194,'Trips&amp;Operators'!$C$1:$E$10000,3,FALSE)</f>
        <v>ACKERMAN</v>
      </c>
      <c r="M194" s="6">
        <f t="shared" si="100"/>
        <v>6.4699074064265005E-3</v>
      </c>
      <c r="N194" s="7">
        <f t="shared" si="101"/>
        <v>9.3166666652541608</v>
      </c>
      <c r="O194" s="7"/>
      <c r="P194" s="7"/>
      <c r="Q194" s="23"/>
      <c r="R194" s="23"/>
      <c r="S194" s="35">
        <f t="shared" si="102"/>
        <v>1</v>
      </c>
      <c r="T194" s="50" t="str">
        <f t="shared" si="103"/>
        <v>Southbound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02:22:47-0600',mode:absolute,to:'2016-10-23 04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4" s="52" t="str">
        <f t="shared" si="105"/>
        <v>Y</v>
      </c>
      <c r="X194" s="171">
        <f t="shared" si="106"/>
        <v>1</v>
      </c>
      <c r="Y194" s="67">
        <f t="shared" si="107"/>
        <v>2.2477999999999998</v>
      </c>
      <c r="Z194" s="67">
        <f t="shared" si="108"/>
        <v>8.5000000000000006E-3</v>
      </c>
      <c r="AA194" s="67">
        <f t="shared" si="109"/>
        <v>2.2392999999999996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10"/>
        <v>0304-23</v>
      </c>
      <c r="AE194" s="91" t="str">
        <f t="shared" si="111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94" s="88" t="str">
        <f t="shared" si="112"/>
        <v>"C:\Program Files (x86)\AstroGrep\AstroGrep.exe" /spath="%USERPROFILE%\AppData\Local\Temp\OnboardLogs" /stypes="app*4010*20161023*" /stext=" 09:.+((SYSTEM_STATE.+slice.+state.+changed )|(ment ac)|(system.+state.+changed )|(\[timeout)|(PRM\|1\|D)|(kpr)|(kdp)|(\|lc)|(penalty))" /e /r /s</v>
      </c>
      <c r="AG194" s="1" t="str">
        <f t="shared" si="113"/>
        <v>Other</v>
      </c>
      <c r="AH194" s="92" t="str">
        <f t="shared" si="97"/>
        <v>"%USERPROFILE%\Documents\GitHub\eaglep3\Utilities\RefineRTDCRunTimes.py" --tripid 304-23 --locoid 4010 --swversion DE.1.0.7.0 --startMP 300:22478 --initTime 2016-10-23T03:22:47 --startdatetime 2016-10-23T03:24:43 --delay 1 --endMP 204:85 --enddatetime 2016-10-23T03:34:02 --enforcementcount 0 &gt;&gt;C:\Users\stu\Documents\GitHub\eaglep3-reporting\EC\2016-10-23-refined-times.txt</v>
      </c>
      <c r="AI194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{"issue":{"subject":"","project_id":79,"tracker_id":40,"status_id":1,"priority_id":2,"assigned_to_id":23,"start_date":"2016-10-23","description":"","custom_fields":[{"id":1,"name":"Subdivision","value":"Other"},{"id":4,"name":"Milepost","value":"0.0085"},{"id":17,"name":"Train ID","value":"304-23"},{"id":16,"name":"Locomotive ID","value":"4010"},{"id":130,"name":"Impact","value":""},{"id":150,"name":"Time of Event (Mountain Time)","value":"03:34:02"},{"id":151,"name":"Denver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576</v>
      </c>
      <c r="B195" s="7">
        <v>4027</v>
      </c>
      <c r="C195" s="22" t="s">
        <v>99</v>
      </c>
      <c r="D195" s="22" t="s">
        <v>739</v>
      </c>
      <c r="E195" s="13">
        <v>42666.800717592596</v>
      </c>
      <c r="F195" s="13">
        <v>42666.801874999997</v>
      </c>
      <c r="G195" s="7">
        <v>1</v>
      </c>
      <c r="H195" s="13" t="s">
        <v>740</v>
      </c>
      <c r="I195" s="13">
        <v>42666.812314814815</v>
      </c>
      <c r="J195" s="7">
        <v>0</v>
      </c>
      <c r="K195" s="112" t="str">
        <f t="shared" si="99"/>
        <v>4027/4028</v>
      </c>
      <c r="L195" s="22" t="str">
        <f>VLOOKUP(A195,'Trips&amp;Operators'!$C$1:$E$10000,3,FALSE)</f>
        <v>YOUNG</v>
      </c>
      <c r="M195" s="6">
        <f t="shared" si="100"/>
        <v>1.0439814817800652E-2</v>
      </c>
      <c r="N195" s="7">
        <f t="shared" si="101"/>
        <v>15.033333337632939</v>
      </c>
      <c r="O195" s="7"/>
      <c r="P195" s="7"/>
      <c r="Q195" s="23"/>
      <c r="R195" s="23"/>
      <c r="S195" s="35">
        <f t="shared" si="102"/>
        <v>1</v>
      </c>
      <c r="T195" s="50" t="str">
        <f t="shared" si="103"/>
        <v>NorthBound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18:13:02-0600',mode:absolute,to:'2016-10-23 20:29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5" s="52" t="str">
        <f t="shared" si="105"/>
        <v>Y</v>
      </c>
      <c r="X195" s="171">
        <f t="shared" si="106"/>
        <v>1</v>
      </c>
      <c r="Y195" s="67">
        <f t="shared" si="107"/>
        <v>4.0800000000000003E-2</v>
      </c>
      <c r="Z195" s="67">
        <f t="shared" si="108"/>
        <v>2.8656000000000001</v>
      </c>
      <c r="AA195" s="67">
        <f t="shared" si="109"/>
        <v>2.8248000000000002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10"/>
        <v>0305-23</v>
      </c>
      <c r="AE195" s="91" t="str">
        <f t="shared" si="111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195" s="88" t="str">
        <f t="shared" si="112"/>
        <v>"C:\Program Files (x86)\AstroGrep\AstroGrep.exe" /spath="%USERPROFILE%\AppData\Local\Temp\OnboardLogs" /stypes="app*4027*20161024*" /stext=" 01:.+((SYSTEM_STATE.+slice.+state.+changed )|(ment ac)|(system.+state.+changed )|(\[timeout)|(PRM\|1\|D)|(kpr)|(kdp)|(\|lc)|(penalty))" /e /r /s</v>
      </c>
      <c r="AG195" s="1" t="str">
        <f t="shared" si="113"/>
        <v>Other</v>
      </c>
      <c r="AH195" s="92" t="str">
        <f t="shared" si="97"/>
        <v>"%USERPROFILE%\Documents\GitHub\eaglep3\Utilities\RefineRTDCRunTimes.py" --tripid 305-23 --locoid 4027 --swversion DE.1.0.7.0 --startMP 204:408 --initTime 2016-10-23T19:13:02 --startdatetime 2016-10-23T19:14:42 --delay 1 --endMP 300:28656 --enddatetime 2016-10-23T19:29:44 --enforcementcount 0 &gt;&gt;C:\Users\stu\Documents\GitHub\eaglep3-reporting\EC\2016-10-23-refined-times.txt</v>
      </c>
      <c r="AI195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{"issue":{"subject":"","project_id":79,"tracker_id":40,"status_id":1,"priority_id":2,"assigned_to_id":23,"start_date":"2016-10-23","description":"","custom_fields":[{"id":1,"name":"Subdivision","value":"Other"},{"id":4,"name":"Milepost","value":"2.8656"},{"id":17,"name":"Train ID","value":"305-23"},{"id":16,"name":"Locomotive ID","value":"4027"},{"id":130,"name":"Impact","value":""},{"id":150,"name":"Time of Event (Mountain Time)","value":"19:29:44"},{"id":151,"name":"Denver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438</v>
      </c>
      <c r="B196" s="7">
        <v>4021</v>
      </c>
      <c r="C196" s="22" t="s">
        <v>99</v>
      </c>
      <c r="D196" s="22" t="s">
        <v>741</v>
      </c>
      <c r="E196" s="13">
        <v>42666.162476851852</v>
      </c>
      <c r="F196" s="13">
        <v>42666.163831018515</v>
      </c>
      <c r="G196" s="7">
        <v>1</v>
      </c>
      <c r="H196" s="13" t="s">
        <v>182</v>
      </c>
      <c r="I196" s="13">
        <v>42666.169907407406</v>
      </c>
      <c r="J196" s="7">
        <v>0</v>
      </c>
      <c r="K196" s="112" t="str">
        <f t="shared" si="99"/>
        <v>4021/4022</v>
      </c>
      <c r="L196" s="22" t="str">
        <f>VLOOKUP(A196,'Trips&amp;Operators'!$C$1:$E$10000,3,FALSE)</f>
        <v>MAELZER</v>
      </c>
      <c r="M196" s="6">
        <f t="shared" si="100"/>
        <v>6.0763888905057684E-3</v>
      </c>
      <c r="N196" s="7">
        <f t="shared" si="101"/>
        <v>8.7500000023283064</v>
      </c>
      <c r="O196" s="7"/>
      <c r="P196" s="7"/>
      <c r="Q196" s="23"/>
      <c r="R196" s="23"/>
      <c r="S196" s="35">
        <f t="shared" si="102"/>
        <v>1</v>
      </c>
      <c r="T196" s="50" t="str">
        <f t="shared" si="103"/>
        <v>Southbound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02:53:58-0600',mode:absolute,to:'2016-10-23 05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6" s="52" t="str">
        <f t="shared" si="105"/>
        <v>Y</v>
      </c>
      <c r="X196" s="171">
        <f t="shared" si="106"/>
        <v>1</v>
      </c>
      <c r="Y196" s="67">
        <f t="shared" si="107"/>
        <v>2.3288000000000002</v>
      </c>
      <c r="Z196" s="67">
        <f t="shared" si="108"/>
        <v>1.41E-2</v>
      </c>
      <c r="AA196" s="67">
        <f t="shared" si="109"/>
        <v>2.3147000000000002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10"/>
        <v>0306-23</v>
      </c>
      <c r="AE196" s="91" t="str">
        <f t="shared" si="111"/>
        <v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v>
      </c>
      <c r="AF196" s="88" t="str">
        <f t="shared" si="112"/>
        <v>"C:\Program Files (x86)\AstroGrep\AstroGrep.exe" /spath="%USERPROFILE%\AppData\Local\Temp\OnboardLogs" /stypes="app*4021*20161023*" /stext=" 10:.+((SYSTEM_STATE.+slice.+state.+changed )|(ment ac)|(system.+state.+changed )|(\[timeout)|(PRM\|1\|D)|(kpr)|(kdp)|(\|lc)|(penalty))" /e /r /s</v>
      </c>
      <c r="AG196" s="1" t="str">
        <f t="shared" si="113"/>
        <v>Other</v>
      </c>
      <c r="AH196" s="92" t="str">
        <f t="shared" si="97"/>
        <v>"%USERPROFILE%\Documents\GitHub\eaglep3\Utilities\RefineRTDCRunTimes.py" --tripid 306-23 --locoid 4021 --swversion DE.1.0.7.0 --startMP 300:23288 --initTime 2016-10-23T03:53:58 --startdatetime 2016-10-23T03:55:55 --delay 1 --endMP 204:141 --enddatetime 2016-10-23T04:04:40 --enforcementcount 0 &gt;&gt;C:\Users\stu\Documents\GitHub\eaglep3-reporting\EC\2016-10-23-refined-times.txt</v>
      </c>
      <c r="AI196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{"issue":{"subject":"","project_id":79,"tracker_id":40,"status_id":1,"priority_id":2,"assigned_to_id":23,"start_date":"2016-10-23","description":"","custom_fields":[{"id":1,"name":"Subdivision","value":"Other"},{"id":4,"name":"Milepost","value":"0.0141"},{"id":17,"name":"Train ID","value":"306-23"},{"id":16,"name":"Locomotive ID","value":"4021"},{"id":130,"name":"Impact","value":""},{"id":150,"name":"Time of Event (Mountain Time)","value":"04:04:40"},{"id":151,"name":"Denver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580</v>
      </c>
      <c r="B197" s="7">
        <v>4009</v>
      </c>
      <c r="C197" s="22" t="s">
        <v>99</v>
      </c>
      <c r="D197" s="22" t="s">
        <v>742</v>
      </c>
      <c r="E197" s="13">
        <v>42666.81827546296</v>
      </c>
      <c r="F197" s="13">
        <v>25568.708333333332</v>
      </c>
      <c r="G197" s="7">
        <v>1</v>
      </c>
      <c r="H197" s="13" t="s">
        <v>743</v>
      </c>
      <c r="I197" s="13">
        <v>25568.708333333332</v>
      </c>
      <c r="J197" s="7">
        <v>0</v>
      </c>
      <c r="K197" s="112" t="str">
        <f t="shared" si="99"/>
        <v>4009/4010</v>
      </c>
      <c r="L197" s="22" t="str">
        <f>VLOOKUP(A197,'Trips&amp;Operators'!$C$1:$E$10000,3,FALSE)</f>
        <v>SHOOK</v>
      </c>
      <c r="M197" s="6">
        <f t="shared" si="100"/>
        <v>0</v>
      </c>
      <c r="N197" s="7">
        <f t="shared" si="101"/>
        <v>0</v>
      </c>
      <c r="O197" s="7"/>
      <c r="P197" s="7"/>
      <c r="Q197" s="23"/>
      <c r="R197" s="23"/>
      <c r="S197" s="35">
        <f t="shared" si="102"/>
        <v>1</v>
      </c>
      <c r="T197" s="50" t="str">
        <f t="shared" si="103"/>
        <v>NorthBound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18:38:19-0600',mode:absolute,to:'1969-12-31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7" s="52" t="str">
        <f t="shared" si="105"/>
        <v>Y</v>
      </c>
      <c r="X197" s="171">
        <f t="shared" si="106"/>
        <v>1</v>
      </c>
      <c r="Y197" s="67">
        <f t="shared" si="107"/>
        <v>4.5900000000000003E-2</v>
      </c>
      <c r="Z197" s="67">
        <f t="shared" si="108"/>
        <v>2.6905999999999999</v>
      </c>
      <c r="AA197" s="67">
        <f t="shared" si="109"/>
        <v>2.6446999999999998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10"/>
        <v>0307-23</v>
      </c>
      <c r="AE197" s="91" t="str">
        <f t="shared" si="11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197" s="88" t="str">
        <f t="shared" si="112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197" s="1" t="str">
        <f t="shared" si="113"/>
        <v>Other</v>
      </c>
      <c r="AH197" s="92" t="str">
        <f t="shared" si="97"/>
        <v>"%USERPROFILE%\Documents\GitHub\eaglep3\Utilities\RefineRTDCRunTimes.py" --tripid 307-23 --locoid 4009 --swversion DE.1.0.7.0 --startMP 204:459 --initTime 2016-10-23T19:38:19 --startdatetime 1969-12-31T17:00:00 --delay 1 --endMP 300:26906 --enddatetime 1969-12-31T17:00:00 --enforcementcount 0 &gt;&gt;C:\Users\stu\Documents\GitHub\eaglep3-reporting\EC\2016-10-23-refined-times.txt</v>
      </c>
      <c r="AI197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{"issue":{"subject":"","project_id":79,"tracker_id":40,"status_id":1,"priority_id":2,"assigned_to_id":23,"start_date":"1969-12-31","description":"","custom_fields":[{"id":1,"name":"Subdivision","value":"Other"},{"id":4,"name":"Milepost","value":"2.6906"},{"id":17,"name":"Train ID","value":"307-23"},{"id":16,"name":"Locomotive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439</v>
      </c>
      <c r="B198" s="7">
        <v>4045</v>
      </c>
      <c r="C198" s="22" t="s">
        <v>99</v>
      </c>
      <c r="D198" s="22" t="s">
        <v>744</v>
      </c>
      <c r="E198" s="13">
        <v>42666.171307870369</v>
      </c>
      <c r="F198" s="13">
        <v>42666.172719907408</v>
      </c>
      <c r="G198" s="7">
        <v>1</v>
      </c>
      <c r="H198" s="13" t="s">
        <v>623</v>
      </c>
      <c r="I198" s="13">
        <v>42666.183807870373</v>
      </c>
      <c r="J198" s="7">
        <v>0</v>
      </c>
      <c r="K198" s="112" t="str">
        <f t="shared" si="99"/>
        <v>4045/4046</v>
      </c>
      <c r="L198" s="22" t="str">
        <f>VLOOKUP(A198,'Trips&amp;Operators'!$C$1:$E$10000,3,FALSE)</f>
        <v>DAVIS</v>
      </c>
      <c r="M198" s="6">
        <f t="shared" si="100"/>
        <v>1.1087962964666076E-2</v>
      </c>
      <c r="N198" s="7">
        <f t="shared" si="101"/>
        <v>15.966666669119149</v>
      </c>
      <c r="O198" s="7"/>
      <c r="P198" s="7"/>
      <c r="Q198" s="23"/>
      <c r="R198" s="23"/>
      <c r="S198" s="35">
        <f t="shared" si="102"/>
        <v>1</v>
      </c>
      <c r="T198" s="50" t="str">
        <f t="shared" si="103"/>
        <v>Southbound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03:06:41-0600',mode:absolute,to:'2016-10-23 05:24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8" s="52" t="str">
        <f t="shared" si="105"/>
        <v>Y</v>
      </c>
      <c r="X198" s="171">
        <f t="shared" si="106"/>
        <v>1</v>
      </c>
      <c r="Y198" s="67">
        <f t="shared" si="107"/>
        <v>2.3458999999999999</v>
      </c>
      <c r="Z198" s="67">
        <f t="shared" si="108"/>
        <v>6.1899999999999997E-2</v>
      </c>
      <c r="AA198" s="67">
        <f t="shared" si="109"/>
        <v>2.2839999999999998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110"/>
        <v>0308-23</v>
      </c>
      <c r="AE198" s="91" t="str">
        <f t="shared" si="111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98" s="88" t="str">
        <f t="shared" si="112"/>
        <v>"C:\Program Files (x86)\AstroGrep\AstroGrep.exe" /spath="%USERPROFILE%\AppData\Local\Temp\OnboardLogs" /stypes="app*4045*20161023*" /stext=" 10:.+((SYSTEM_STATE.+slice.+state.+changed )|(ment ac)|(system.+state.+changed )|(\[timeout)|(PRM\|1\|D)|(kpr)|(kdp)|(\|lc)|(penalty))" /e /r /s</v>
      </c>
      <c r="AG198" s="1" t="str">
        <f t="shared" si="113"/>
        <v>Other</v>
      </c>
      <c r="AH198" s="92" t="str">
        <f t="shared" si="97"/>
        <v>"%USERPROFILE%\Documents\GitHub\eaglep3\Utilities\RefineRTDCRunTimes.py" --tripid 308-23 --locoid 4045 --swversion DE.1.0.7.0 --startMP 300:23459 --initTime 2016-10-23T04:06:41 --startdatetime 2016-10-23T04:08:43 --delay 1 --endMP 204:619 --enddatetime 2016-10-23T04:24:41 --enforcementcount 0 &gt;&gt;C:\Users\stu\Documents\GitHub\eaglep3-reporting\EC\2016-10-23-refined-times.txt</v>
      </c>
      <c r="AI198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{"issue":{"subject":"","project_id":79,"tracker_id":40,"status_id":1,"priority_id":2,"assigned_to_id":23,"start_date":"2016-10-23","description":"","custom_fields":[{"id":1,"name":"Subdivision","value":"Other"},{"id":4,"name":"Milepost","value":"0.0619"},{"id":17,"name":"Train ID","value":"308-23"},{"id":16,"name":"Locomotive ID","value":"4045"},{"id":130,"name":"Impact","value":""},{"id":150,"name":"Time of Event (Mountain Time)","value":"04:24:41"},{"id":151,"name":"Denver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606</v>
      </c>
      <c r="B199" s="7">
        <v>4025</v>
      </c>
      <c r="C199" s="22" t="s">
        <v>99</v>
      </c>
      <c r="D199" s="22" t="s">
        <v>321</v>
      </c>
      <c r="E199" s="13">
        <v>42667.027928240743</v>
      </c>
      <c r="F199" s="13">
        <v>42667.029918981483</v>
      </c>
      <c r="G199" s="7">
        <v>1</v>
      </c>
      <c r="H199" s="13" t="s">
        <v>745</v>
      </c>
      <c r="I199" s="13">
        <v>42667.043310185189</v>
      </c>
      <c r="J199" s="7">
        <v>0</v>
      </c>
      <c r="K199" s="112" t="str">
        <f t="shared" si="99"/>
        <v>4025/4026</v>
      </c>
      <c r="L199" s="22" t="str">
        <f>VLOOKUP(A199,'Trips&amp;Operators'!$C$1:$E$10000,3,FALSE)</f>
        <v>LEVERE</v>
      </c>
      <c r="M199" s="6">
        <f t="shared" si="100"/>
        <v>1.3391203705396038E-2</v>
      </c>
      <c r="N199" s="7">
        <f t="shared" si="101"/>
        <v>19.283333335770294</v>
      </c>
      <c r="O199" s="7"/>
      <c r="P199" s="7"/>
      <c r="Q199" s="23"/>
      <c r="R199" s="23"/>
      <c r="S199" s="35">
        <f t="shared" si="102"/>
        <v>1</v>
      </c>
      <c r="T199" s="50" t="str">
        <f t="shared" si="103"/>
        <v>NorthBound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23:40:13-0600',mode:absolute,to:'2016-10-24 02:02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2" t="str">
        <f t="shared" si="105"/>
        <v>Y</v>
      </c>
      <c r="X199" s="171">
        <f t="shared" si="106"/>
        <v>1</v>
      </c>
      <c r="Y199" s="67">
        <f t="shared" si="107"/>
        <v>4.6699999999999998E-2</v>
      </c>
      <c r="Z199" s="67">
        <f t="shared" si="108"/>
        <v>3.1145999999999998</v>
      </c>
      <c r="AA199" s="67">
        <f t="shared" si="109"/>
        <v>3.0678999999999998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10"/>
        <v>0309-23</v>
      </c>
      <c r="AE199" s="91" t="str">
        <f t="shared" si="111"/>
        <v>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 &amp; aws s3 cp s3://rtdc.mdm.uploadarchive.raw/RTDC4025/ "%USERPROFILE%\AppData\Local\Temp\OnboardLogs"\RTDC4025\2016-10-25 --exclude "*" --recursive --include "*20161025*" &amp; "%USERPROFILE%\Documents\GitHub\mrs-test-scripts\Headless Mode &amp; Sideloading\WalkAndUnGZ.bat" "%USERPROFILE%\AppData\Local\Temp\OnboardLogs"\RTDC4025\2016-10-25</v>
      </c>
      <c r="AF199" s="88" t="str">
        <f t="shared" si="112"/>
        <v>"C:\Program Files (x86)\AstroGrep\AstroGrep.exe" /spath="%USERPROFILE%\AppData\Local\Temp\OnboardLogs" /stypes="app*4025*20161024*" /stext=" 07:.+((SYSTEM_STATE.+slice.+state.+changed )|(ment ac)|(system.+state.+changed )|(\[timeout)|(PRM\|1\|D)|(kpr)|(kdp)|(\|lc)|(penalty))" /e /r /s</v>
      </c>
      <c r="AG199" s="1" t="str">
        <f t="shared" si="113"/>
        <v>Other</v>
      </c>
      <c r="AH199" s="92" t="str">
        <f t="shared" si="97"/>
        <v>"%USERPROFILE%\Documents\GitHub\eaglep3\Utilities\RefineRTDCRunTimes.py" --tripid 309-23 --locoid 4025 --swversion DE.1.0.7.0 --startMP 204:467 --initTime 2016-10-24T00:40:13 --startdatetime 2016-10-24T00:43:05 --delay 1 --endMP 300:31146 --enddatetime 2016-10-24T01:02:22 --enforcementcount 0 &gt;&gt;C:\Users\stu\Documents\GitHub\eaglep3-reporting\EC\2016-10-23-refined-times.txt</v>
      </c>
      <c r="AI199" s="122" t="str">
        <f t="shared" si="98"/>
        <v>echo {"issue":{"subject":"","project_id":79,"tracker_id":40,"status_id":1,"priority_id":2,"assigned_to_id":23,"start_date":"2016-10-24","description":"","custom_fields":[{"id":1,"name":"Subdivision","value":"Other"},{"id":4,"name":"Milepost","value":"3.1146"},{"id":17,"name":"Train ID","value":"309-23"},{"id":16,"name":"Locomotive ID","value":"4025"},{"id":130,"name":"Impact","value":""},{"id":150,"name":"Time of Event (Mountain Time)","value":"01:02:22"},{"id":151,"name":"Denver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443</v>
      </c>
      <c r="B200" s="7">
        <v>4026</v>
      </c>
      <c r="C200" s="22" t="s">
        <v>99</v>
      </c>
      <c r="D200" s="22" t="s">
        <v>746</v>
      </c>
      <c r="E200" s="13">
        <v>42666.178912037038</v>
      </c>
      <c r="F200" s="13">
        <v>42666.180185185185</v>
      </c>
      <c r="G200" s="7">
        <v>1</v>
      </c>
      <c r="H200" s="13" t="s">
        <v>277</v>
      </c>
      <c r="I200" s="13">
        <v>42666.185578703706</v>
      </c>
      <c r="J200" s="7">
        <v>0</v>
      </c>
      <c r="K200" s="112" t="str">
        <f t="shared" si="99"/>
        <v>4025/4026</v>
      </c>
      <c r="L200" s="22" t="str">
        <f>VLOOKUP(A200,'Trips&amp;Operators'!$C$1:$E$10000,3,FALSE)</f>
        <v>MALAVE</v>
      </c>
      <c r="M200" s="6">
        <f t="shared" si="100"/>
        <v>5.393518520577345E-3</v>
      </c>
      <c r="N200" s="7">
        <f t="shared" si="101"/>
        <v>7.7666666696313769</v>
      </c>
      <c r="O200" s="7"/>
      <c r="P200" s="7"/>
      <c r="Q200" s="23"/>
      <c r="R200" s="23"/>
      <c r="S200" s="35">
        <f t="shared" si="102"/>
        <v>1</v>
      </c>
      <c r="T200" s="50" t="str">
        <f t="shared" si="103"/>
        <v>Southbound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03:17:38-0600',mode:absolute,to:'2016-10-23 05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0" s="52" t="str">
        <f t="shared" si="105"/>
        <v>Y</v>
      </c>
      <c r="X200" s="171">
        <f t="shared" si="106"/>
        <v>1</v>
      </c>
      <c r="Y200" s="67">
        <f t="shared" si="107"/>
        <v>2.3445999999999998</v>
      </c>
      <c r="Z200" s="67">
        <f t="shared" si="108"/>
        <v>1.38E-2</v>
      </c>
      <c r="AA200" s="67">
        <f t="shared" si="109"/>
        <v>2.3308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10"/>
        <v>0310-23</v>
      </c>
      <c r="AE200" s="91" t="str">
        <f t="shared" si="111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200" s="88" t="str">
        <f t="shared" si="112"/>
        <v>"C:\Program Files (x86)\AstroGrep\AstroGrep.exe" /spath="%USERPROFILE%\AppData\Local\Temp\OnboardLogs" /stypes="app*4026*20161023*" /stext=" 10:.+((SYSTEM_STATE.+slice.+state.+changed )|(ment ac)|(system.+state.+changed )|(\[timeout)|(PRM\|1\|D)|(kpr)|(kdp)|(\|lc)|(penalty))" /e /r /s</v>
      </c>
      <c r="AG200" s="1" t="str">
        <f t="shared" si="113"/>
        <v>Other</v>
      </c>
      <c r="AH200" s="92" t="str">
        <f t="shared" si="97"/>
        <v>"%USERPROFILE%\Documents\GitHub\eaglep3\Utilities\RefineRTDCRunTimes.py" --tripid 310-23 --locoid 4026 --swversion DE.1.0.7.0 --startMP 300:23446 --initTime 2016-10-23T04:17:38 --startdatetime 2016-10-23T04:19:28 --delay 1 --endMP 204:138 --enddatetime 2016-10-23T04:27:14 --enforcementcount 0 &gt;&gt;C:\Users\stu\Documents\GitHub\eaglep3-reporting\EC\2016-10-23-refined-times.txt</v>
      </c>
      <c r="AI200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{"issue":{"subject":"","project_id":79,"tracker_id":40,"status_id":1,"priority_id":2,"assigned_to_id":23,"start_date":"2016-10-23","description":"","custom_fields":[{"id":1,"name":"Subdivision","value":"Other"},{"id":4,"name":"Milepost","value":"0.0138"},{"id":17,"name":"Train ID","value":"310-23"},{"id":16,"name":"Locomotive ID","value":"4026"},{"id":130,"name":"Impact","value":""},{"id":150,"name":"Time of Event (Mountain Time)","value":"04:27:14"},{"id":151,"name":"Denver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608</v>
      </c>
      <c r="B201" s="7">
        <v>4018</v>
      </c>
      <c r="C201" s="22" t="s">
        <v>99</v>
      </c>
      <c r="D201" s="22" t="s">
        <v>221</v>
      </c>
      <c r="E201" s="13">
        <v>42667.047118055554</v>
      </c>
      <c r="F201" s="13">
        <v>25568.708333333332</v>
      </c>
      <c r="G201" s="7">
        <v>1</v>
      </c>
      <c r="H201" s="13" t="s">
        <v>747</v>
      </c>
      <c r="I201" s="13">
        <v>25568.708333333332</v>
      </c>
      <c r="J201" s="7">
        <v>0</v>
      </c>
      <c r="K201" s="112" t="str">
        <f t="shared" si="99"/>
        <v>4017/4018</v>
      </c>
      <c r="L201" s="22" t="str">
        <f>VLOOKUP(A201,'Trips&amp;Operators'!$C$1:$E$10000,3,FALSE)</f>
        <v>BERLING</v>
      </c>
      <c r="M201" s="6">
        <f t="shared" si="100"/>
        <v>0</v>
      </c>
      <c r="N201" s="7">
        <f t="shared" si="101"/>
        <v>0</v>
      </c>
      <c r="O201" s="7"/>
      <c r="P201" s="7"/>
      <c r="Q201" s="23"/>
      <c r="R201" s="23"/>
      <c r="S201" s="35">
        <f t="shared" si="102"/>
        <v>1</v>
      </c>
      <c r="T201" s="50" t="str">
        <f t="shared" si="103"/>
        <v>NorthBound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https://search-rtdc-monitor-bjffxe2xuh6vdkpspy63sjmuny.us-east-1.es.amazonaws.com/_plugin/kibana/#/discover/Steve-Slow-Train-Analysis-(2080s-and-2083s)?_g=(refreshInterval:(display:Off,section:0,value:0),time:(from:'2016-10-24 00:07:51-0600',mode:absolute,to:'1969-12-31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1" s="52" t="str">
        <f t="shared" si="105"/>
        <v>Y</v>
      </c>
      <c r="X201" s="171">
        <f t="shared" si="106"/>
        <v>1</v>
      </c>
      <c r="Y201" s="67">
        <f t="shared" si="107"/>
        <v>4.58E-2</v>
      </c>
      <c r="Z201" s="67">
        <f t="shared" si="108"/>
        <v>2.3308</v>
      </c>
      <c r="AA201" s="67">
        <f t="shared" si="109"/>
        <v>2.2850000000000001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10"/>
        <v>0311-23</v>
      </c>
      <c r="AE201" s="91" t="str">
        <f t="shared" si="11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1" s="88" t="str">
        <f t="shared" si="112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01" s="1" t="str">
        <f t="shared" si="113"/>
        <v>Other</v>
      </c>
      <c r="AH201" s="92" t="str">
        <f t="shared" si="97"/>
        <v>"%USERPROFILE%\Documents\GitHub\eaglep3\Utilities\RefineRTDCRunTimes.py" --tripid 311-23 --locoid 4018 --swversion DE.1.0.7.0 --startMP 204:458 --initTime 2016-10-24T01:07:51 --startdatetime 1969-12-31T17:00:00 --delay 1 --endMP 300:23308 --enddatetime 1969-12-31T17:00:00 --enforcementcount 0 &gt;&gt;C:\Users\stu\Documents\GitHub\eaglep3-reporting\EC\2016-10-23-refined-times.txt</v>
      </c>
      <c r="AI201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ID","value":"311-23"},{"id":16,"name":"Locomotive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383</v>
      </c>
      <c r="B202" s="7">
        <v>4042</v>
      </c>
      <c r="C202" s="22" t="s">
        <v>99</v>
      </c>
      <c r="D202" s="22" t="s">
        <v>301</v>
      </c>
      <c r="E202" s="13">
        <v>42666.09039351852</v>
      </c>
      <c r="F202" s="13">
        <v>25568.708333333332</v>
      </c>
      <c r="G202" s="7">
        <v>1</v>
      </c>
      <c r="H202" s="13" t="s">
        <v>405</v>
      </c>
      <c r="I202" s="13">
        <v>25568.708333333332</v>
      </c>
      <c r="J202" s="7">
        <v>0</v>
      </c>
      <c r="K202" s="112" t="str">
        <f t="shared" si="99"/>
        <v>4041/4042</v>
      </c>
      <c r="L202" s="22" t="str">
        <f>VLOOKUP(A202,'Trips&amp;Operators'!$C$1:$E$10000,3,FALSE)</f>
        <v>ARVIDSON</v>
      </c>
      <c r="M202" s="6">
        <f t="shared" si="100"/>
        <v>0</v>
      </c>
      <c r="N202" s="7">
        <f t="shared" si="101"/>
        <v>0</v>
      </c>
      <c r="O202" s="7"/>
      <c r="P202" s="7"/>
      <c r="Q202" s="23"/>
      <c r="R202" s="23"/>
      <c r="S202" s="35">
        <f t="shared" si="102"/>
        <v>1</v>
      </c>
      <c r="T202" s="50" t="str">
        <f t="shared" si="103"/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01:10:10-0600',mode:absolute,to:'1969-12-31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 t="shared" si="105"/>
        <v>Y</v>
      </c>
      <c r="X202" s="171">
        <f t="shared" si="106"/>
        <v>2</v>
      </c>
      <c r="Y202" s="67">
        <f t="shared" si="107"/>
        <v>4.6199999999999998E-2</v>
      </c>
      <c r="Z202" s="67">
        <f t="shared" si="108"/>
        <v>2.2966000000000002</v>
      </c>
      <c r="AA202" s="67">
        <f t="shared" si="109"/>
        <v>2.2504000000000004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10"/>
        <v>0313-22</v>
      </c>
      <c r="AE202" s="91" t="str">
        <f t="shared" si="11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2" s="88" t="str">
        <f t="shared" si="112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2" s="1" t="str">
        <f t="shared" si="113"/>
        <v>Other</v>
      </c>
      <c r="AH202" s="92" t="str">
        <f t="shared" si="97"/>
        <v>"%USERPROFILE%\Documents\GitHub\eaglep3\Utilities\RefineRTDCRunTimes.py" --tripid 313-22 --locoid 4042 --swversion DE.1.0.7.0 --startMP 204:462 --initTime 2016-10-23T02:10:10 --startdatetime 1969-12-31T17:00:00 --delay 1 --endMP 300:22966 --enddatetime 1969-12-31T17:00:00 --enforcementcount 0 &gt;&gt;C:\Users\stu\Documents\GitHub\eaglep3-reporting\EC\2016-10-23-refined-times.txt</v>
      </c>
      <c r="AI202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{"issue":{"subject":"","project_id":79,"tracker_id":40,"status_id":1,"priority_id":2,"assigned_to_id":23,"start_date":"1969-12-31","description":"","custom_fields":[{"id":1,"name":"Subdivision","value":"Other"},{"id":4,"name":"Milepost","value":"2.2966"},{"id":17,"name":"Train ID","value":"313-22"},{"id":16,"name":"Locomotive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610</v>
      </c>
      <c r="B203" s="7">
        <v>4040</v>
      </c>
      <c r="C203" s="22" t="s">
        <v>99</v>
      </c>
      <c r="D203" s="22" t="s">
        <v>239</v>
      </c>
      <c r="E203" s="13">
        <v>42667.067766203705</v>
      </c>
      <c r="F203" s="13">
        <v>25568.708333333332</v>
      </c>
      <c r="G203" s="7">
        <v>1</v>
      </c>
      <c r="H203" s="13" t="s">
        <v>368</v>
      </c>
      <c r="I203" s="13">
        <v>25568.708333333332</v>
      </c>
      <c r="J203" s="7">
        <v>0</v>
      </c>
      <c r="K203" s="112" t="str">
        <f t="shared" ref="K203:K210" si="114">IF(ISEVEN(B203),(B203-1)&amp;"/"&amp;B203,B203&amp;"/"&amp;(B203+1))</f>
        <v>4039/4040</v>
      </c>
      <c r="L203" s="22" t="str">
        <f>VLOOKUP(A203,'Trips&amp;Operators'!$C$1:$E$10000,3,FALSE)</f>
        <v>NEWELL</v>
      </c>
      <c r="M203" s="6">
        <f t="shared" ref="M203:M210" si="115">I203-F203</f>
        <v>0</v>
      </c>
      <c r="N203" s="7">
        <f t="shared" ref="N203:N210" si="116">24*60*SUM($M203:$M203)</f>
        <v>0</v>
      </c>
      <c r="O203" s="7"/>
      <c r="P203" s="7"/>
      <c r="Q203" s="23"/>
      <c r="R203" s="23"/>
      <c r="S203" s="35">
        <f t="shared" ref="S203:S210" si="117">SUM(U203:U203)/IF(AG203="EC",12,1)</f>
        <v>1</v>
      </c>
      <c r="T203" s="50" t="str">
        <f t="shared" ref="T203:T210" si="118">IF(ISEVEN(LEFT(AD203,4)),"Southbound","NorthBound")</f>
        <v>NorthBound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10" si="119"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https://search-rtdc-monitor-bjffxe2xuh6vdkpspy63sjmuny.us-east-1.es.amazonaws.com/_plugin/kibana/#/discover/Steve-Slow-Train-Analysis-(2080s-and-2083s)?_g=(refreshInterval:(display:Off,section:0,value:0),time:(from:'2016-10-24 00:37:35-0600',mode:absolute,to:'1969-12-31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3" s="52" t="str">
        <f t="shared" ref="W203:W210" si="120">IF(AA203&lt;IF(AG203="EC",23,5.65),"Y","N")</f>
        <v>Y</v>
      </c>
      <c r="X203" s="171">
        <f t="shared" ref="X203:X210" si="121">VALUE(LEFT(AD203,4))-VALUE(LEFT(AD202,4))</f>
        <v>0</v>
      </c>
      <c r="Y203" s="67">
        <f t="shared" ref="Y203:Y210" si="122">RIGHT(D203,LEN(D203)-4)/10000</f>
        <v>4.5100000000000001E-2</v>
      </c>
      <c r="Z203" s="67">
        <f t="shared" ref="Z203:Z210" si="123">RIGHT(H203,LEN(H203)-4)/10000</f>
        <v>2.3306</v>
      </c>
      <c r="AA203" s="67">
        <f t="shared" ref="AA203:AA234" si="124">ABS(Z203-Y203)</f>
        <v>2.2854999999999999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ref="AD203:AD210" si="125">IF(LEN(A203)=6,"0"&amp;A203,A203)</f>
        <v>0313-23</v>
      </c>
      <c r="AE203" s="91" t="str">
        <f t="shared" ref="AE203:AE210" si="126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3" s="88" t="str">
        <f t="shared" ref="AF203:AF210" si="127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03" s="1" t="str">
        <f t="shared" ref="AG203:AG210" si="128">IFERROR(IF(VALUE(LEFT(AD203,2))&lt;=2,"EC",IF(OR(VALUE(LEFT(AD203,2))=8,VALUE(LEFT(AD203,2))=18),"NW","Other")),"Other")</f>
        <v>Other</v>
      </c>
      <c r="AH203" s="92" t="str">
        <f t="shared" si="97"/>
        <v>"%USERPROFILE%\Documents\GitHub\eaglep3\Utilities\RefineRTDCRunTimes.py" --tripid 313-23 --locoid 4040 --swversion DE.1.0.7.0 --startMP 204:451 --initTime 2016-10-24T01:37:35 --startdatetime 1969-12-31T17:00:00 --delay 1 --endMP 300:23306 --enddatetime 1969-12-31T17:00:00 --enforcementcount 0 &gt;&gt;C:\Users\stu\Documents\GitHub\eaglep3-reporting\EC\2016-10-23-refined-times.txt</v>
      </c>
      <c r="AI203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ID","value":"313-23"},{"id":16,"name":"Locomotive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384</v>
      </c>
      <c r="B204" s="7">
        <v>4011</v>
      </c>
      <c r="C204" s="22" t="s">
        <v>99</v>
      </c>
      <c r="D204" s="22" t="s">
        <v>239</v>
      </c>
      <c r="E204" s="13">
        <v>42666.110347222224</v>
      </c>
      <c r="F204" s="13">
        <v>25568.708333333332</v>
      </c>
      <c r="G204" s="7">
        <v>1</v>
      </c>
      <c r="H204" s="13" t="s">
        <v>406</v>
      </c>
      <c r="I204" s="13">
        <v>25568.708333333332</v>
      </c>
      <c r="J204" s="7">
        <v>0</v>
      </c>
      <c r="K204" s="112" t="str">
        <f t="shared" si="114"/>
        <v>4011/4012</v>
      </c>
      <c r="L204" s="22" t="str">
        <f>VLOOKUP(A204,'Trips&amp;Operators'!$C$1:$E$10000,3,FALSE)</f>
        <v>BRANDNER</v>
      </c>
      <c r="M204" s="6">
        <f t="shared" si="115"/>
        <v>0</v>
      </c>
      <c r="N204" s="7">
        <f t="shared" si="116"/>
        <v>0</v>
      </c>
      <c r="O204" s="7"/>
      <c r="P204" s="7"/>
      <c r="Q204" s="23"/>
      <c r="R204" s="23"/>
      <c r="S204" s="35">
        <f t="shared" si="117"/>
        <v>1</v>
      </c>
      <c r="T204" s="50" t="str">
        <f t="shared" si="118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01:38:54-0600',mode:absolute,to:'1969-12-31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4" s="52" t="str">
        <f t="shared" si="120"/>
        <v>Y</v>
      </c>
      <c r="X204" s="171">
        <f t="shared" si="121"/>
        <v>2</v>
      </c>
      <c r="Y204" s="67">
        <f t="shared" si="122"/>
        <v>4.5100000000000001E-2</v>
      </c>
      <c r="Z204" s="67">
        <f t="shared" si="123"/>
        <v>2.3298999999999999</v>
      </c>
      <c r="AA204" s="67">
        <f t="shared" si="124"/>
        <v>2.2847999999999997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25"/>
        <v>0315-22</v>
      </c>
      <c r="AE204" s="91" t="str">
        <f t="shared" si="126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4" s="88" t="str">
        <f t="shared" si="127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04" s="1" t="str">
        <f t="shared" si="128"/>
        <v>Other</v>
      </c>
      <c r="AH204" s="92" t="str">
        <f t="shared" ref="AH204:AH210" si="12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315-22 --locoid 4011 --swversion DE.1.0.7.0 --startMP 204:451 --initTime 2016-10-23T02:38:54 --startdatetime 1969-12-31T17:00:00 --delay 1 --endMP 300:23299 --enddatetime 1969-12-31T17:00:00 --enforcementcount 0 &gt;&gt;C:\Users\stu\Documents\GitHub\eaglep3-reporting\EC\2016-10-23-refined-times.txt</v>
      </c>
      <c r="AI204" s="122" t="str">
        <f t="shared" ref="AI204:AI210" si="13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ID","value":"315-22"},{"id":16,"name":"Locomotive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451</v>
      </c>
      <c r="B205" s="7">
        <v>4044</v>
      </c>
      <c r="C205" s="22" t="s">
        <v>99</v>
      </c>
      <c r="D205" s="22" t="s">
        <v>701</v>
      </c>
      <c r="E205" s="13">
        <v>42666.223379629628</v>
      </c>
      <c r="F205" s="13">
        <v>42666.227094907408</v>
      </c>
      <c r="G205" s="7">
        <v>5</v>
      </c>
      <c r="H205" s="13" t="s">
        <v>671</v>
      </c>
      <c r="I205" s="13">
        <v>42666.232175925928</v>
      </c>
      <c r="J205" s="7">
        <v>0</v>
      </c>
      <c r="K205" s="112" t="str">
        <f t="shared" si="114"/>
        <v>4043/4044</v>
      </c>
      <c r="L205" s="22" t="str">
        <f>VLOOKUP(A205,'Trips&amp;Operators'!$C$1:$E$10000,3,FALSE)</f>
        <v>STARKS</v>
      </c>
      <c r="M205" s="6">
        <f t="shared" si="115"/>
        <v>5.0810185202863067E-3</v>
      </c>
      <c r="N205" s="7">
        <f t="shared" si="116"/>
        <v>7.3166666692122817</v>
      </c>
      <c r="O205" s="7"/>
      <c r="P205" s="7"/>
      <c r="Q205" s="23"/>
      <c r="R205" s="23"/>
      <c r="S205" s="35">
        <f t="shared" si="117"/>
        <v>0</v>
      </c>
      <c r="T205" s="50" t="str">
        <f t="shared" si="118"/>
        <v>NorthBound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04:21:40-0600',mode:absolute,to:'2016-10-23 06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5" s="52" t="str">
        <f t="shared" si="120"/>
        <v>Y</v>
      </c>
      <c r="X205" s="171">
        <f t="shared" si="121"/>
        <v>1586</v>
      </c>
      <c r="Y205" s="67">
        <f t="shared" si="122"/>
        <v>2.9893000000000001</v>
      </c>
      <c r="Z205" s="67">
        <f t="shared" si="123"/>
        <v>5.8933</v>
      </c>
      <c r="AA205" s="67">
        <f t="shared" si="124"/>
        <v>2.9039999999999999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125"/>
        <v>1901-23</v>
      </c>
      <c r="AE205" s="91" t="str">
        <f t="shared" si="126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205" s="88" t="str">
        <f t="shared" si="127"/>
        <v>"C:\Program Files (x86)\AstroGrep\AstroGrep.exe" /spath="%USERPROFILE%\AppData\Local\Temp\OnboardLogs" /stypes="app*4044*20161023*" /stext=" 11:.+((SYSTEM_STATE.+slice.+state.+changed )|(ment ac)|(system.+state.+changed )|(\[timeout)|(PRM\|1\|D)|(kpr)|(kdp)|(\|lc)|(penalty))" /e /r /s</v>
      </c>
      <c r="AG205" s="1" t="str">
        <f t="shared" si="128"/>
        <v>Other</v>
      </c>
      <c r="AH205" s="92" t="str">
        <f t="shared" si="129"/>
        <v>"%USERPROFILE%\Documents\GitHub\eaglep3\Utilities\RefineRTDCRunTimes.py" --tripid 1901-23 --locoid 4044 --swversion DE.1.0.7.0 --startMP 300:29893 --initTime 2016-10-23T05:21:40 --startdatetime 2016-10-23T05:27:01 --delay 5 --endMP 300:58933 --enddatetime 2016-10-23T05:34:20 --enforcementcount 0 &gt;&gt;C:\Users\stu\Documents\GitHub\eaglep3-reporting\EC\2016-10-23-refined-times.txt</v>
      </c>
      <c r="AI205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{"issue":{"subject":"","project_id":79,"tracker_id":40,"status_id":1,"priority_id":2,"assigned_to_id":23,"start_date":"2016-10-23","description":"","custom_fields":[{"id":1,"name":"Subdivision","value":"Other"},{"id":4,"name":"Milepost","value":"5.8933"},{"id":17,"name":"Train ID","value":"1901-23"},{"id":16,"name":"Locomotive ID","value":"4044"},{"id":130,"name":"Impact","value":""},{"id":150,"name":"Time of Event (Mountain Time)","value":"05:34:20"},{"id":151,"name":"Denver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598</v>
      </c>
      <c r="B206" s="7">
        <v>4043</v>
      </c>
      <c r="C206" s="22" t="s">
        <v>99</v>
      </c>
      <c r="D206" s="22" t="s">
        <v>691</v>
      </c>
      <c r="E206" s="13">
        <v>42666.9452662037</v>
      </c>
      <c r="F206" s="13">
        <v>42666.947997685187</v>
      </c>
      <c r="G206" s="7">
        <v>1</v>
      </c>
      <c r="H206" s="13" t="s">
        <v>702</v>
      </c>
      <c r="I206" s="13">
        <v>42666.9534375</v>
      </c>
      <c r="J206" s="7">
        <v>0</v>
      </c>
      <c r="K206" s="112" t="str">
        <f t="shared" si="114"/>
        <v>4043/4044</v>
      </c>
      <c r="L206" s="22" t="str">
        <f>VLOOKUP(A206,'Trips&amp;Operators'!$C$1:$E$10000,3,FALSE)</f>
        <v>JACKSON</v>
      </c>
      <c r="M206" s="6">
        <f t="shared" si="115"/>
        <v>5.4398148131440394E-3</v>
      </c>
      <c r="N206" s="7">
        <f t="shared" si="116"/>
        <v>7.8333333309274167</v>
      </c>
      <c r="O206" s="7"/>
      <c r="P206" s="7"/>
      <c r="Q206" s="23"/>
      <c r="R206" s="23"/>
      <c r="S206" s="35">
        <f t="shared" si="117"/>
        <v>0</v>
      </c>
      <c r="T206" s="50" t="str">
        <f t="shared" si="118"/>
        <v>Southbound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21:41:11-0600',mode:absolute,to:'2016-10-23 23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6" s="52" t="str">
        <f t="shared" si="120"/>
        <v>Y</v>
      </c>
      <c r="X206" s="171">
        <f t="shared" si="121"/>
        <v>1</v>
      </c>
      <c r="Y206" s="67">
        <f t="shared" si="122"/>
        <v>5.8635999999999999</v>
      </c>
      <c r="Z206" s="67">
        <f t="shared" si="123"/>
        <v>2.1444999999999999</v>
      </c>
      <c r="AA206" s="67">
        <f t="shared" si="124"/>
        <v>3.7191000000000001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125"/>
        <v>1902-23</v>
      </c>
      <c r="AE206" s="91" t="str">
        <f t="shared" si="126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206" s="88" t="str">
        <f t="shared" si="127"/>
        <v>"C:\Program Files (x86)\AstroGrep\AstroGrep.exe" /spath="%USERPROFILE%\AppData\Local\Temp\OnboardLogs" /stypes="app*4043*20161024*" /stext=" 04:.+((SYSTEM_STATE.+slice.+state.+changed )|(ment ac)|(system.+state.+changed )|(\[timeout)|(PRM\|1\|D)|(kpr)|(kdp)|(\|lc)|(penalty))" /e /r /s</v>
      </c>
      <c r="AG206" s="1" t="str">
        <f t="shared" si="128"/>
        <v>Other</v>
      </c>
      <c r="AH206" s="92" t="str">
        <f t="shared" si="129"/>
        <v>"%USERPROFILE%\Documents\GitHub\eaglep3\Utilities\RefineRTDCRunTimes.py" --tripid 1902-23 --locoid 4043 --swversion DE.1.0.7.0 --startMP 300:58636 --initTime 2016-10-23T22:41:11 --startdatetime 2016-10-23T22:45:07 --delay 1 --endMP 300:21445 --enddatetime 2016-10-23T22:52:57 --enforcementcount 0 &gt;&gt;C:\Users\stu\Documents\GitHub\eaglep3-reporting\EC\2016-10-23-refined-times.txt</v>
      </c>
      <c r="AI206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{"issue":{"subject":"","project_id":79,"tracker_id":40,"status_id":1,"priority_id":2,"assigned_to_id":23,"start_date":"2016-10-23","description":"","custom_fields":[{"id":1,"name":"Subdivision","value":"Other"},{"id":4,"name":"Milepost","value":"2.1445"},{"id":17,"name":"Train ID","value":"1902-23"},{"id":16,"name":"Locomotive ID","value":"4043"},{"id":130,"name":"Impact","value":""},{"id":150,"name":"Time of Event (Mountain Time)","value":"22:52:57"},{"id":151,"name":"Denver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501</v>
      </c>
      <c r="B207" s="7">
        <v>4005</v>
      </c>
      <c r="C207" s="22" t="s">
        <v>99</v>
      </c>
      <c r="D207" s="22" t="s">
        <v>748</v>
      </c>
      <c r="E207" s="13">
        <v>42666.458124999997</v>
      </c>
      <c r="F207" s="13">
        <v>42666.461226851854</v>
      </c>
      <c r="G207" s="7">
        <v>4</v>
      </c>
      <c r="H207" s="13" t="s">
        <v>749</v>
      </c>
      <c r="I207" s="13">
        <v>42666.467094907406</v>
      </c>
      <c r="J207" s="7">
        <v>0</v>
      </c>
      <c r="K207" s="112" t="str">
        <f t="shared" si="114"/>
        <v>4005/4006</v>
      </c>
      <c r="L207" s="22" t="str">
        <f>VLOOKUP(A207,'Trips&amp;Operators'!$C$1:$E$10000,3,FALSE)</f>
        <v>BRUDER</v>
      </c>
      <c r="M207" s="6">
        <f t="shared" si="115"/>
        <v>5.8680555521277711E-3</v>
      </c>
      <c r="N207" s="7">
        <f t="shared" si="116"/>
        <v>8.4499999950639904</v>
      </c>
      <c r="O207" s="7"/>
      <c r="P207" s="7"/>
      <c r="Q207" s="23"/>
      <c r="R207" s="23"/>
      <c r="S207" s="35">
        <f t="shared" si="117"/>
        <v>0</v>
      </c>
      <c r="T207" s="50" t="e">
        <f t="shared" si="118"/>
        <v>#VALUE!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09:59:42-0600',mode:absolute,to:'2016-10-23 12:12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07" s="52" t="str">
        <f t="shared" si="120"/>
        <v>Y</v>
      </c>
      <c r="X207" s="171" t="e">
        <f t="shared" si="121"/>
        <v>#VALUE!</v>
      </c>
      <c r="Y207" s="67">
        <f t="shared" si="122"/>
        <v>2.3502000000000001</v>
      </c>
      <c r="Z207" s="67">
        <f t="shared" si="123"/>
        <v>8.6699999999999999E-2</v>
      </c>
      <c r="AA207" s="67">
        <f t="shared" si="124"/>
        <v>2.2635000000000001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25"/>
        <v>50-23</v>
      </c>
      <c r="AE207" s="91" t="str">
        <f t="shared" si="126"/>
        <v>aws s3 cp s3://rtdc.mdm.uploadarchive.raw/RTDC4005/ "%USERPROFILE%\AppData\Local\Temp\OnboardLogs"\RTDC4005\2016-10-23 --exclude "*" --recursive --include "*20161023*" &amp; "%USERPROFILE%\Documents\GitHub\mrs-test-scripts\Headless Mode &amp; Sideloading\WalkAndUnGZ.bat" "%USERPROFILE%\AppData\Local\Temp\OnboardLogs"\RTDC4005\2016-10-23 &amp; aws s3 cp s3://rtdc.mdm.uploadarchive.raw/RTDC4005/ "%USERPROFILE%\AppData\Local\Temp\OnboardLogs"\RTDC4005\2016-10-24 --exclude "*" --recursive --include "*20161024*" &amp; "%USERPROFILE%\Documents\GitHub\mrs-test-scripts\Headless Mode &amp; Sideloading\WalkAndUnGZ.bat" "%USERPROFILE%\AppData\Local\Temp\OnboardLogs"\RTDC4005\2016-10-24</v>
      </c>
      <c r="AF207" s="88" t="str">
        <f t="shared" si="127"/>
        <v>"C:\Program Files (x86)\AstroGrep\AstroGrep.exe" /spath="%USERPROFILE%\AppData\Local\Temp\OnboardLogs" /stypes="app*4005*20161023*" /stext=" 17:.+((SYSTEM_STATE.+slice.+state.+changed )|(ment ac)|(system.+state.+changed )|(\[timeout)|(PRM\|1\|D)|(kpr)|(kdp)|(\|lc)|(penalty))" /e /r /s</v>
      </c>
      <c r="AG207" s="1" t="str">
        <f t="shared" si="128"/>
        <v>Other</v>
      </c>
      <c r="AH207" s="92" t="str">
        <f t="shared" si="129"/>
        <v>"%USERPROFILE%\Documents\GitHub\eaglep3\Utilities\RefineRTDCRunTimes.py" --tripid 50-23 --locoid 4005 --swversion DE.1.0.7.0 --startMP 300:23502 --initTime 2016-10-23T10:59:42 --startdatetime 2016-10-23T11:04:10 --delay 4 --endMP 204:867 --enddatetime 2016-10-23T11:12:37 --enforcementcount 0 &gt;&gt;C:\Users\stu\Documents\GitHub\eaglep3-reporting\EC\2016-10-23-refined-times.txt</v>
      </c>
      <c r="AI207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{"issue":{"subject":"","project_id":79,"tracker_id":40,"status_id":1,"priority_id":2,"assigned_to_id":23,"start_date":"2016-10-23","description":"","custom_fields":[{"id":1,"name":"Subdivision","value":"Other"},{"id":4,"name":"Milepost","value":"0.0867"},{"id":17,"name":"Train ID","value":"50-23"},{"id":16,"name":"Locomotive ID","value":"4005"},{"id":130,"name":"Impact","value":""},{"id":150,"name":"Time of Event (Mountain Time)","value":"11:12:37"},{"id":151,"name":"Denver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420</v>
      </c>
      <c r="B208" s="7">
        <v>4006</v>
      </c>
      <c r="C208" s="22" t="s">
        <v>99</v>
      </c>
      <c r="D208" s="22" t="s">
        <v>750</v>
      </c>
      <c r="E208" s="13">
        <v>42666.497048611112</v>
      </c>
      <c r="F208" s="13">
        <v>25568.708333333332</v>
      </c>
      <c r="G208" s="7">
        <v>1</v>
      </c>
      <c r="H208" s="13" t="s">
        <v>751</v>
      </c>
      <c r="I208" s="13">
        <v>25568.708333333332</v>
      </c>
      <c r="J208" s="7">
        <v>0</v>
      </c>
      <c r="K208" s="112" t="str">
        <f t="shared" si="114"/>
        <v>4005/4006</v>
      </c>
      <c r="L208" s="22" t="str">
        <f>VLOOKUP(A208,'Trips&amp;Operators'!$C$1:$E$10000,3,FALSE)</f>
        <v>MALAVE</v>
      </c>
      <c r="M208" s="6">
        <f t="shared" si="115"/>
        <v>0</v>
      </c>
      <c r="N208" s="7">
        <f t="shared" si="116"/>
        <v>0</v>
      </c>
      <c r="O208" s="7"/>
      <c r="P208" s="7"/>
      <c r="Q208" s="23"/>
      <c r="R208" s="23"/>
      <c r="S208" s="35">
        <f t="shared" si="117"/>
        <v>0</v>
      </c>
      <c r="T208" s="50" t="e">
        <f t="shared" si="118"/>
        <v>#VALUE!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10:55:45-0600',mode:absolute,to:'1969-12-31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08" s="52" t="str">
        <f t="shared" si="120"/>
        <v>Y</v>
      </c>
      <c r="X208" s="171" t="e">
        <f t="shared" si="121"/>
        <v>#VALUE!</v>
      </c>
      <c r="Y208" s="67">
        <f t="shared" si="122"/>
        <v>0.11749999999999999</v>
      </c>
      <c r="Z208" s="67">
        <f t="shared" si="123"/>
        <v>2.4218000000000002</v>
      </c>
      <c r="AA208" s="67">
        <f t="shared" si="124"/>
        <v>2.3043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25"/>
        <v>51-23</v>
      </c>
      <c r="AE208" s="91" t="str">
        <f t="shared" si="126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08" s="88" t="str">
        <f t="shared" si="127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08" s="1" t="str">
        <f t="shared" si="128"/>
        <v>Other</v>
      </c>
      <c r="AH208" s="92" t="str">
        <f t="shared" si="129"/>
        <v>"%USERPROFILE%\Documents\GitHub\eaglep3\Utilities\RefineRTDCRunTimes.py" --tripid 51-23 --locoid 4006 --swversion DE.1.0.7.0 --startMP 204:1175 --initTime 2016-10-23T11:55:45 --startdatetime 1969-12-31T17:00:00 --delay 1 --endMP 300:24218 --enddatetime 1969-12-31T17:00:00 --enforcementcount 0 &gt;&gt;C:\Users\stu\Documents\GitHub\eaglep3-reporting\EC\2016-10-23-refined-times.txt</v>
      </c>
      <c r="AI208" s="122" t="str">
        <f t="shared" si="130"/>
        <v>echo {"issue":{"subject":"","project_id":79,"tracker_id":40,"status_id":1,"priority_id":2,"assigned_to_id":23,"start_date":"1969-12-31","description":"","custom_fields":[{"id":1,"name":"Subdivision","value":"Other"},{"id":4,"name":"Milepost","value":"2.4218"},{"id":17,"name":"Train ID","value":"51-23"},{"id":16,"name":"Locomotive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429</v>
      </c>
      <c r="B209" s="7">
        <v>4041</v>
      </c>
      <c r="C209" s="22" t="s">
        <v>99</v>
      </c>
      <c r="D209" s="22" t="s">
        <v>752</v>
      </c>
      <c r="E209" s="13">
        <v>42666.757418981484</v>
      </c>
      <c r="F209" s="13">
        <v>42666.758391203701</v>
      </c>
      <c r="G209" s="7">
        <v>1</v>
      </c>
      <c r="H209" s="13" t="s">
        <v>753</v>
      </c>
      <c r="I209" s="13">
        <v>42666.765960648147</v>
      </c>
      <c r="J209" s="7">
        <v>0</v>
      </c>
      <c r="K209" s="112" t="str">
        <f t="shared" si="114"/>
        <v>4041/4042</v>
      </c>
      <c r="L209" s="22" t="str">
        <f>VLOOKUP(A209,'Trips&amp;Operators'!$C$1:$E$10000,3,FALSE)</f>
        <v>DELGADO</v>
      </c>
      <c r="M209" s="6">
        <f t="shared" si="115"/>
        <v>7.5694444458349608E-3</v>
      </c>
      <c r="N209" s="7">
        <f t="shared" si="116"/>
        <v>10.900000002002344</v>
      </c>
      <c r="O209" s="7"/>
      <c r="P209" s="7"/>
      <c r="Q209" s="23"/>
      <c r="R209" s="23"/>
      <c r="S209" s="35">
        <f t="shared" si="117"/>
        <v>0</v>
      </c>
      <c r="T209" s="50" t="e">
        <f t="shared" si="118"/>
        <v>#VALUE!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17:10:41-0600',mode:absolute,to:'2016-10-23 19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9" s="52" t="str">
        <f t="shared" si="120"/>
        <v>Y</v>
      </c>
      <c r="X209" s="171" t="e">
        <f t="shared" si="121"/>
        <v>#VALUE!</v>
      </c>
      <c r="Y209" s="67">
        <f t="shared" si="122"/>
        <v>2.5600999999999998</v>
      </c>
      <c r="Z209" s="67">
        <f t="shared" si="123"/>
        <v>9.2600000000000002E-2</v>
      </c>
      <c r="AA209" s="67">
        <f t="shared" si="124"/>
        <v>2.4674999999999998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25"/>
        <v>60-23</v>
      </c>
      <c r="AE209" s="91" t="str">
        <f t="shared" si="126"/>
        <v>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 &amp; 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</v>
      </c>
      <c r="AF209" s="88" t="str">
        <f t="shared" si="127"/>
        <v>"C:\Program Files (x86)\AstroGrep\AstroGrep.exe" /spath="%USERPROFILE%\AppData\Local\Temp\OnboardLogs" /stypes="app*4041*20161024*" /stext=" 00:.+((SYSTEM_STATE.+slice.+state.+changed )|(ment ac)|(system.+state.+changed )|(\[timeout)|(PRM\|1\|D)|(kpr)|(kdp)|(\|lc)|(penalty))" /e /r /s</v>
      </c>
      <c r="AG209" s="1" t="str">
        <f t="shared" si="128"/>
        <v>Other</v>
      </c>
      <c r="AH209" s="92" t="str">
        <f t="shared" si="129"/>
        <v>"%USERPROFILE%\Documents\GitHub\eaglep3\Utilities\RefineRTDCRunTimes.py" --tripid 60-23 --locoid 4041 --swversion DE.1.0.7.0 --startMP 300:25601 --initTime 2016-10-23T18:10:41 --startdatetime 2016-10-23T18:12:05 --delay 1 --endMP 204:926 --enddatetime 2016-10-23T18:22:59 --enforcementcount 0 &gt;&gt;C:\Users\stu\Documents\GitHub\eaglep3-reporting\EC\2016-10-23-refined-times.txt</v>
      </c>
      <c r="AI209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{"issue":{"subject":"","project_id":79,"tracker_id":40,"status_id":1,"priority_id":2,"assigned_to_id":23,"start_date":"2016-10-23","description":"","custom_fields":[{"id":1,"name":"Subdivision","value":"Other"},{"id":4,"name":"Milepost","value":"0.0926"},{"id":17,"name":"Train ID","value":"60-23"},{"id":16,"name":"Locomotive ID","value":"4041"},{"id":130,"name":"Impact","value":""},{"id":150,"name":"Time of Event (Mountain Time)","value":"18:22:59"},{"id":151,"name":"Denver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557</v>
      </c>
      <c r="B210" s="7">
        <v>4022</v>
      </c>
      <c r="C210" s="22" t="s">
        <v>99</v>
      </c>
      <c r="D210" s="22" t="s">
        <v>754</v>
      </c>
      <c r="E210" s="13">
        <v>42666.709583333337</v>
      </c>
      <c r="F210" s="13">
        <v>42666.72587962963</v>
      </c>
      <c r="G210" s="7">
        <v>1</v>
      </c>
      <c r="H210" s="13" t="s">
        <v>755</v>
      </c>
      <c r="I210" s="13">
        <v>42666.731620370374</v>
      </c>
      <c r="J210" s="7">
        <v>0</v>
      </c>
      <c r="K210" s="112" t="str">
        <f t="shared" si="114"/>
        <v>4021/4022</v>
      </c>
      <c r="L210" s="22" t="str">
        <f>VLOOKUP(A210,'Trips&amp;Operators'!$C$1:$E$10000,3,FALSE)</f>
        <v>HAITHCOX</v>
      </c>
      <c r="M210" s="6">
        <f t="shared" si="115"/>
        <v>5.7407407439313829E-3</v>
      </c>
      <c r="N210" s="7">
        <f t="shared" si="116"/>
        <v>8.2666666712611914</v>
      </c>
      <c r="O210" s="7"/>
      <c r="P210" s="7"/>
      <c r="Q210" s="23"/>
      <c r="R210" s="23"/>
      <c r="S210" s="35">
        <f t="shared" si="117"/>
        <v>0</v>
      </c>
      <c r="T210" s="50" t="e">
        <f t="shared" si="118"/>
        <v>#VALUE!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16:01:48-0600',mode:absolute,to:'2016-10-23 18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0" s="52" t="str">
        <f t="shared" si="120"/>
        <v>Y</v>
      </c>
      <c r="X210" s="171" t="e">
        <f t="shared" si="121"/>
        <v>#VALUE!</v>
      </c>
      <c r="Y210" s="67">
        <f t="shared" si="122"/>
        <v>0.1464</v>
      </c>
      <c r="Z210" s="67">
        <f t="shared" si="123"/>
        <v>2.1082999999999998</v>
      </c>
      <c r="AA210" s="67">
        <f t="shared" si="124"/>
        <v>1.9618999999999998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25"/>
        <v>63-23</v>
      </c>
      <c r="AE210" s="91" t="str">
        <f t="shared" si="126"/>
        <v>aws s3 cp s3://rtdc.mdm.uploadarchive.raw/RTDC4022/ "%USERPROFILE%\AppData\Local\Temp\OnboardLogs"\RTDC4022\2016-10-23 --exclude "*" --recursive --include "*20161023*" &amp; "%USERPROFILE%\Documents\GitHub\mrs-test-scripts\Headless Mode &amp; Sideloading\WalkAndUnGZ.bat" "%USERPROFILE%\AppData\Local\Temp\OnboardLogs"\RTDC4022\2016-10-23 &amp; 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</v>
      </c>
      <c r="AF210" s="88" t="str">
        <f t="shared" si="127"/>
        <v>"C:\Program Files (x86)\AstroGrep\AstroGrep.exe" /spath="%USERPROFILE%\AppData\Local\Temp\OnboardLogs" /stypes="app*4022*20161023*" /stext=" 23:.+((SYSTEM_STATE.+slice.+state.+changed )|(ment ac)|(system.+state.+changed )|(\[timeout)|(PRM\|1\|D)|(kpr)|(kdp)|(\|lc)|(penalty))" /e /r /s</v>
      </c>
      <c r="AG210" s="1" t="str">
        <f t="shared" si="128"/>
        <v>Other</v>
      </c>
      <c r="AH210" s="92" t="str">
        <f t="shared" si="129"/>
        <v>"%USERPROFILE%\Documents\GitHub\eaglep3\Utilities\RefineRTDCRunTimes.py" --tripid 63-23 --locoid 4022 --swversion DE.1.0.7.0 --startMP 204:1464 --initTime 2016-10-23T17:01:48 --startdatetime 2016-10-23T17:25:16 --delay 1 --endMP 300:21083 --enddatetime 2016-10-23T17:33:32 --enforcementcount 0 &gt;&gt;C:\Users\stu\Documents\GitHub\eaglep3-reporting\EC\2016-10-23-refined-times.txt</v>
      </c>
      <c r="AI210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{"issue":{"subject":"","project_id":79,"tracker_id":40,"status_id":1,"priority_id":2,"assigned_to_id":23,"start_date":"2016-10-23","description":"","custom_fields":[{"id":1,"name":"Subdivision","value":"Other"},{"id":4,"name":"Milepost","value":"2.1083"},{"id":17,"name":"Train ID","value":"63-23"},{"id":16,"name":"Locomotive ID","value":"4022"},{"id":130,"name":"Impact","value":""},{"id":150,"name":"Time of Event (Mountain Time)","value":"17:33:32"},{"id":151,"name":"Denver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</row>
    <row r="213" spans="1:9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</row>
    <row r="214" spans="1:91" s="21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91" s="21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91" s="21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</sheetData>
  <autoFilter ref="A12:AG278">
    <sortState ref="A13:AG280">
      <sortCondition ref="AG13:AG212"/>
      <sortCondition ref="AD13:AD212"/>
    </sortState>
  </autoFilter>
  <sortState ref="A13:AH200">
    <sortCondition ref="AG13:AG200"/>
    <sortCondition ref="AD13:AD200"/>
  </sortState>
  <mergeCells count="1">
    <mergeCell ref="A11:P11"/>
  </mergeCells>
  <conditionalFormatting sqref="W11:W12 W279:X1048576 W13:X210">
    <cfRule type="cellIs" dxfId="12" priority="344" operator="equal">
      <formula>"Y"</formula>
    </cfRule>
  </conditionalFormatting>
  <conditionalFormatting sqref="X279:X1048576 X13:X210">
    <cfRule type="cellIs" dxfId="11" priority="327" operator="greaterThan">
      <formula>1</formula>
    </cfRule>
  </conditionalFormatting>
  <conditionalFormatting sqref="X279:X1048576 X12:X210">
    <cfRule type="cellIs" dxfId="10" priority="324" operator="equal">
      <formula>0</formula>
    </cfRule>
  </conditionalFormatting>
  <conditionalFormatting sqref="A13:S210">
    <cfRule type="expression" dxfId="9" priority="318" stopIfTrue="1">
      <formula>$P13&gt;0</formula>
    </cfRule>
    <cfRule type="expression" dxfId="8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AK13:AK210</xm:sqref>
        </x14:dataValidation>
        <x14:dataValidation type="list" allowBlank="1" showInputMessage="1" showErrorMessage="1">
          <x14:formula1>
            <xm:f>'Redmine List Values'!$C$2:$C$14</xm:f>
          </x14:formula1>
          <xm:sqref>AL13:AL210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36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1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28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- 2016-10-23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42666.478310185186</v>
      </c>
      <c r="B7" s="31" t="s">
        <v>282</v>
      </c>
      <c r="C7" s="31" t="s">
        <v>418</v>
      </c>
      <c r="D7" s="31" t="s">
        <v>312</v>
      </c>
      <c r="E7" s="31" t="s">
        <v>155</v>
      </c>
      <c r="F7" s="47">
        <v>0</v>
      </c>
      <c r="G7" s="47">
        <v>77</v>
      </c>
      <c r="H7" s="47">
        <v>63185</v>
      </c>
      <c r="I7" s="47">
        <v>63167</v>
      </c>
      <c r="J7" s="31" t="s">
        <v>154</v>
      </c>
      <c r="K7" s="47">
        <v>63309</v>
      </c>
      <c r="L7" s="157" t="s">
        <v>51</v>
      </c>
      <c r="M7" s="158">
        <f t="shared" ref="M7:M35" si="0">CONVERT((I7-K7)/10000,"mi","ft")*IF(L7="Increasing Mileposts (1)",-1,1)</f>
        <v>-74.975999999999999</v>
      </c>
      <c r="N7" s="159" t="str">
        <f>VLOOKUP(C7,'Trips&amp;Operators'!$C$1:$E$99999,3,FALSE)</f>
        <v>MALAVE</v>
      </c>
      <c r="O7" s="184" t="s">
        <v>240</v>
      </c>
      <c r="P7" s="160" t="s">
        <v>769</v>
      </c>
      <c r="Q7" s="31"/>
      <c r="R7" s="100" t="str">
        <f>VLOOKUP(C7,'Train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7" s="103" t="str">
        <f>VLOOKUP(C7,'Train Runs'!$A$13:$AE$10022,22,0)</f>
        <v>https://search-rtdc-monitor-bjffxe2xuh6vdkpspy63sjmuny.us-east-1.es.amazonaws.com/_plugin/kibana/#/discover/Steve-Slow-Train-Analysis-(2080s-and-2083s)?_g=(refreshInterval:(display:Off,section:0,value:0),time:(from:'2016-10-23 10:05:12-0600',mode:absolute,to:'2016-10-23 12:44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7" s="105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/stypes="*4015*201610231*" /stext=" 17:.+((SYSTEM_STATE.+slice.+state.+changed )|(ment ac)|(system.+state.+changed )|(\[timeout)|(PRM\|1\|D)|(kpr)|(kdp)|(\|lc)|(penalty))" /e /r /s</v>
      </c>
      <c r="U7" s="9" t="str">
        <f t="shared" ref="U7:U35" si="2">MID(B7,13,4)</f>
        <v>4015</v>
      </c>
      <c r="V7" s="36">
        <f t="shared" ref="V7:V35" si="3">A7+6/24</f>
        <v>42666.728310185186</v>
      </c>
      <c r="W7" s="50" t="str">
        <f t="shared" ref="W7:W35" si="4">IF(VALUE(LEFT(IF(LEN(C7)=6,"0"&amp;C7,C7),2))&lt;=2,"EC",IF(OR(VALUE(LEFT(IF(LEN(C7)=6,"0"&amp;C7,C7),2))=8,VALUE(LEFT(IF(LEN(C7)=6,"0"&amp;C7,C7),2))=18),"NW","Other"))</f>
        <v>EC</v>
      </c>
      <c r="X7" s="50" t="str">
        <f t="shared" ref="X7:X36" si="5">IF(AND(E7="TRACK WARRANT AUTHORITY",G7&lt;10),"OMIT","KEEP")</f>
        <v>KEEP</v>
      </c>
      <c r="Y7" s="122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arrival","project_id":79,"tracker_id":40,"status_id":1,"priority_id":2,"assigned_to_id":23,"start_date":"2016-10-23","description":"","custom_fields":[{"id":1,"name":"Subdivision","value":"EC"},{"id":4,"name":"Milepost","value":"6.3309"},{"id":17,"name":"Train ID","value":"152-23"},{"id":16,"name":"Locomotive ID","value":"4015"},{"id":130,"name":"Impact","value":""},{"id":150,"name":"Time of Event (Mountain Time)","value":"11:28:46"},{"id":151,"name":"Denver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"%USERPROFILE%\AppData\Local\Temp\OnboardLogs"\RTDC4015\*4015*201610231* | grep -SE "((Enforcement Ac)|(PRM))" -</v>
      </c>
    </row>
    <row r="8" spans="1:29" s="1" customFormat="1" x14ac:dyDescent="0.25">
      <c r="A8" s="36">
        <v>42666.231412037036</v>
      </c>
      <c r="B8" s="31" t="s">
        <v>408</v>
      </c>
      <c r="C8" s="31" t="s">
        <v>409</v>
      </c>
      <c r="D8" s="31" t="s">
        <v>49</v>
      </c>
      <c r="E8" s="31" t="s">
        <v>155</v>
      </c>
      <c r="F8" s="47">
        <v>0</v>
      </c>
      <c r="G8" s="47">
        <v>388</v>
      </c>
      <c r="H8" s="47">
        <v>79021</v>
      </c>
      <c r="I8" s="47">
        <v>78335</v>
      </c>
      <c r="J8" s="31" t="s">
        <v>154</v>
      </c>
      <c r="K8" s="47">
        <v>78469</v>
      </c>
      <c r="L8" s="157" t="s">
        <v>51</v>
      </c>
      <c r="M8" s="158">
        <f t="shared" si="0"/>
        <v>-70.751999999999995</v>
      </c>
      <c r="N8" s="159" t="str">
        <f>VLOOKUP(C8,'Trips&amp;Operators'!$C$1:$E$99999,3,FALSE)</f>
        <v>MAELZER</v>
      </c>
      <c r="O8" s="184" t="s">
        <v>240</v>
      </c>
      <c r="P8" s="160" t="s">
        <v>769</v>
      </c>
      <c r="Q8" s="31"/>
      <c r="R8" s="100" t="str">
        <f>VLOOKUP(C8,'Train Runs'!$A$13:$AE$10022,31,0)</f>
        <v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v>
      </c>
      <c r="S8" s="103" t="str">
        <f>VLOOKUP(C8,'Train Runs'!$A$13:$AE$10022,22,0)</f>
        <v>https://search-rtdc-monitor-bjffxe2xuh6vdkpspy63sjmuny.us-east-1.es.amazonaws.com/_plugin/kibana/#/discover/Steve-Slow-Train-Analysis-(2080s-and-2083s)?_g=(refreshInterval:(display:Off,section:0,value:0),time:(from:'2016-10-23 04:05:06-0600',mode:absolute,to:'2016-10-23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8" s="105" t="str">
        <f t="shared" si="1"/>
        <v>"C:\Program Files (x86)\AstroGrep\AstroGrep.exe" /spath="%USERPROFILE%\AppData\Local\Temp\OnboardLogs" /stypes="*4021*201610231*" /stext=" 11:.+((SYSTEM_STATE.+slice.+state.+changed )|(ment ac)|(system.+state.+changed )|(\[timeout)|(PRM\|1\|D)|(kpr)|(kdp)|(\|lc)|(penalty))" /e /r /s</v>
      </c>
      <c r="U8" s="9" t="str">
        <f t="shared" si="2"/>
        <v>4021</v>
      </c>
      <c r="V8" s="36">
        <f t="shared" si="3"/>
        <v>42666.481412037036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arrival","project_id":79,"tracker_id":40,"status_id":1,"priority_id":2,"assigned_to_id":23,"start_date":"2016-10-23","description":"","custom_fields":[{"id":1,"name":"Subdivision","value":"EC"},{"id":4,"name":"Milepost","value":"7.8469"},{"id":17,"name":"Train ID","value":"106-23"},{"id":16,"name":"Locomotive ID","value":"4021"},{"id":130,"name":"Impact","value":""},{"id":150,"name":"Time of Event (Mountain Time)","value":"05:33:14"},{"id":151,"name":"Denver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"%USERPROFILE%\AppData\Local\Temp\OnboardLogs"\RTDC4021\*4021*201610231* | grep -SE "((Enforcement Ac)|(PRM))" -</v>
      </c>
    </row>
    <row r="9" spans="1:29" s="1" customFormat="1" x14ac:dyDescent="0.25">
      <c r="A9" s="36">
        <v>42666.415578703702</v>
      </c>
      <c r="B9" s="31" t="s">
        <v>248</v>
      </c>
      <c r="C9" s="31" t="s">
        <v>417</v>
      </c>
      <c r="D9" s="31" t="s">
        <v>98</v>
      </c>
      <c r="E9" s="31" t="s">
        <v>155</v>
      </c>
      <c r="F9" s="47">
        <v>0</v>
      </c>
      <c r="G9" s="47">
        <v>333</v>
      </c>
      <c r="H9" s="47">
        <v>109105</v>
      </c>
      <c r="I9" s="47">
        <v>108742</v>
      </c>
      <c r="J9" s="31" t="s">
        <v>154</v>
      </c>
      <c r="K9" s="47">
        <v>109135</v>
      </c>
      <c r="L9" s="157" t="s">
        <v>51</v>
      </c>
      <c r="M9" s="158">
        <f t="shared" si="0"/>
        <v>-207.50399999999999</v>
      </c>
      <c r="N9" s="159" t="str">
        <f>VLOOKUP(C9,'Trips&amp;Operators'!$C$1:$E$99999,3,FALSE)</f>
        <v>ROBINSON</v>
      </c>
      <c r="O9" s="184" t="s">
        <v>240</v>
      </c>
      <c r="P9" s="160" t="s">
        <v>769</v>
      </c>
      <c r="Q9" s="31"/>
      <c r="R9" s="100" t="str">
        <f>VLOOKUP(C9,'Train Runs'!$A$13:$AE$10022,31,0)</f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S9" s="103" t="str">
        <f>VLOOKUP(C9,'Train Runs'!$A$13:$AE$10022,22,0)</f>
        <v>https://search-rtdc-monitor-bjffxe2xuh6vdkpspy63sjmuny.us-east-1.es.amazonaws.com/_plugin/kibana/#/discover/Steve-Slow-Train-Analysis-(2080s-and-2083s)?_g=(refreshInterval:(display:Off,section:0,value:0),time:(from:'2016-10-23 08:22:21-0600',mode:absolute,to:'2016-10-23 11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9" s="105" t="str">
        <f t="shared" si="1"/>
        <v>"C:\Program Files (x86)\AstroGrep\AstroGrep.exe" /spath="%USERPROFILE%\AppData\Local\Temp\OnboardLogs" /stypes="*4028*201610231*" /stext=" 15:.+((SYSTEM_STATE.+slice.+state.+changed )|(ment ac)|(system.+state.+changed )|(\[timeout)|(PRM\|1\|D)|(kpr)|(kdp)|(\|lc)|(penalty))" /e /r /s</v>
      </c>
      <c r="U9" s="9" t="str">
        <f t="shared" si="2"/>
        <v>4028</v>
      </c>
      <c r="V9" s="36">
        <f t="shared" si="3"/>
        <v>42666.665578703702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arrival","project_id":79,"tracker_id":40,"status_id":1,"priority_id":2,"assigned_to_id":23,"start_date":"2016-10-23","description":"","custom_fields":[{"id":1,"name":"Subdivision","value":"EC"},{"id":4,"name":"Milepost","value":"10.9135"},{"id":17,"name":"Train ID","value":"142-23"},{"id":16,"name":"Locomotive ID","value":"4028"},{"id":130,"name":"Impact","value":""},{"id":150,"name":"Time of Event (Mountain Time)","value":"09:58:26"},{"id":151,"name":"Denver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"%USERPROFILE%\AppData\Local\Temp\OnboardLogs"\RTDC4028\*4028*201610231* | grep -SE "((Enforcement Ac)|(PRM))" -</v>
      </c>
    </row>
    <row r="10" spans="1:29" s="1" customFormat="1" x14ac:dyDescent="0.25">
      <c r="A10" s="36">
        <v>42666.261423611111</v>
      </c>
      <c r="B10" s="31" t="s">
        <v>282</v>
      </c>
      <c r="C10" s="31" t="s">
        <v>410</v>
      </c>
      <c r="D10" s="31" t="s">
        <v>49</v>
      </c>
      <c r="E10" s="31" t="s">
        <v>241</v>
      </c>
      <c r="F10" s="47">
        <v>200</v>
      </c>
      <c r="G10" s="47">
        <v>268</v>
      </c>
      <c r="H10" s="47">
        <v>6116</v>
      </c>
      <c r="I10" s="47">
        <v>5615</v>
      </c>
      <c r="J10" s="31" t="s">
        <v>242</v>
      </c>
      <c r="K10" s="47">
        <v>5457</v>
      </c>
      <c r="L10" s="157" t="s">
        <v>51</v>
      </c>
      <c r="M10" s="158">
        <f t="shared" si="0"/>
        <v>83.424000000000007</v>
      </c>
      <c r="N10" s="159" t="str">
        <f>VLOOKUP(C10,'Trips&amp;Operators'!$C$1:$E$99999,3,FALSE)</f>
        <v>MALAVE</v>
      </c>
      <c r="O10" s="184" t="s">
        <v>240</v>
      </c>
      <c r="P10" s="160"/>
      <c r="Q10" s="31"/>
      <c r="R10" s="100" t="str">
        <f>VLOOKUP(C10,'Train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10" s="103" t="str">
        <f>VLOOKUP(C10,'Train Runs'!$A$13:$AE$10022,22,0)</f>
        <v>https://search-rtdc-monitor-bjffxe2xuh6vdkpspy63sjmuny.us-east-1.es.amazonaws.com/_plugin/kibana/#/discover/Steve-Slow-Train-Analysis-(2080s-and-2083s)?_g=(refreshInterval:(display:Off,section:0,value:0),time:(from:'2016-10-23 04:35:53-0600',mode:absolute,to:'2016-10-23 07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0" s="105" t="str">
        <f t="shared" si="1"/>
        <v>"C:\Program Files (x86)\AstroGrep\AstroGrep.exe" /spath="%USERPROFILE%\AppData\Local\Temp\OnboardLogs" /stypes="*4015*201610231*" /stext=" 12:.+((SYSTEM_STATE.+slice.+state.+changed )|(ment ac)|(system.+state.+changed )|(\[timeout)|(PRM\|1\|D)|(kpr)|(kdp)|(\|lc)|(penalty))" /e /r /s</v>
      </c>
      <c r="U10" s="9" t="str">
        <f t="shared" si="2"/>
        <v>4015</v>
      </c>
      <c r="V10" s="36">
        <f t="shared" si="3"/>
        <v>42666.511423611111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{"issue":{"subject":"","project_id":79,"tracker_id":40,"status_id":1,"priority_id":2,"assigned_to_id":23,"start_date":"2016-10-23","description":"","custom_fields":[{"id":1,"name":"Subdivision","value":"EC"},{"id":4,"name":"Milepost","value":"0.5457"},{"id":17,"name":"Train ID","value":"110-23"},{"id":16,"name":"Locomotive ID","value":"4015"},{"id":130,"name":"Impact","value":""},{"id":150,"name":"Time of Event (Mountain Time)","value":"06:16:27"},{"id":151,"name":"Denver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"%USERPROFILE%\AppData\Local\Temp\OnboardLogs"\RTDC4015\*4015*201610231* | grep -SE "((Enforcement Ac)|(PRM))" -</v>
      </c>
    </row>
    <row r="11" spans="1:29" s="1" customFormat="1" x14ac:dyDescent="0.25">
      <c r="A11" s="36">
        <v>42666.306990740741</v>
      </c>
      <c r="B11" s="31" t="s">
        <v>188</v>
      </c>
      <c r="C11" s="31" t="s">
        <v>413</v>
      </c>
      <c r="D11" s="31" t="s">
        <v>49</v>
      </c>
      <c r="E11" s="31" t="s">
        <v>244</v>
      </c>
      <c r="F11" s="47">
        <v>0</v>
      </c>
      <c r="G11" s="47">
        <v>179</v>
      </c>
      <c r="H11" s="47">
        <v>27709</v>
      </c>
      <c r="I11" s="47">
        <v>27936</v>
      </c>
      <c r="J11" s="31" t="s">
        <v>245</v>
      </c>
      <c r="K11" s="47">
        <v>28054</v>
      </c>
      <c r="L11" s="157" t="s">
        <v>50</v>
      </c>
      <c r="M11" s="158">
        <f t="shared" si="0"/>
        <v>62.304000000000002</v>
      </c>
      <c r="N11" s="159" t="str">
        <f>VLOOKUP(C11,'Trips&amp;Operators'!$C$1:$E$99999,3,FALSE)</f>
        <v>YORK</v>
      </c>
      <c r="O11" s="184" t="s">
        <v>302</v>
      </c>
      <c r="P11" s="160" t="s">
        <v>772</v>
      </c>
      <c r="Q11" s="31"/>
      <c r="R11" s="100" t="str">
        <f>VLOOKUP(C11,'Train Runs'!$A$13:$AE$10022,31,0)</f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S11" s="103" t="str">
        <f>VLOOKUP(C11,'Train Runs'!$A$13:$AE$10022,22,0)</f>
        <v>https://search-rtdc-monitor-bjffxe2xuh6vdkpspy63sjmuny.us-east-1.es.amazonaws.com/_plugin/kibana/#/discover/Steve-Slow-Train-Analysis-(2080s-and-2083s)?_g=(refreshInterval:(display:Off,section:0,value:0),time:(from:'2016-10-23 06:06:01-0600',mode:absolute,to:'2016-10-23 08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1" s="105" t="str">
        <f t="shared" si="1"/>
        <v>"C:\Program Files (x86)\AstroGrep\AstroGrep.exe" /spath="%USERPROFILE%\AppData\Local\Temp\OnboardLogs" /stypes="*4018*201610231*" /stext=" 13:.+((SYSTEM_STATE.+slice.+state.+changed )|(ment ac)|(system.+state.+changed )|(\[timeout)|(PRM\|1\|D)|(kpr)|(kdp)|(\|lc)|(penalty))" /e /r /s</v>
      </c>
      <c r="U11" s="9" t="str">
        <f t="shared" si="2"/>
        <v>4018</v>
      </c>
      <c r="V11" s="36">
        <f t="shared" si="3"/>
        <v>42666.556990740741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{"issue":{"subject":"Wi-MAX outage","project_id":79,"tracker_id":40,"status_id":1,"priority_id":2,"assigned_to_id":23,"start_date":"2016-10-23","description":"http://stevetu21.github.io/eaglep3/load_kml.html?kml=http://rtdc.gmaps-snips.s3.amazonaws.com/d303b0ad-be61-4b71-a3f5-49528ced1d1b.kml","custom_fields":[{"id":1,"name":"Subdivision","value":"EC"},{"id":4,"name":"Milepost","value":"2.8054"},{"id":17,"name":"Train ID","value":"129-23"},{"id":16,"name":"Locomotive ID","value":"4018"},{"id":130,"name":"Impact","value":"Enforcement"},{"id":150,"name":"Time of Event (Mountain Time)","value":"07:22:04"},{"id":151,"name":"Denver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1" s="53" t="s">
        <v>771</v>
      </c>
      <c r="AA11" s="53" t="s">
        <v>126</v>
      </c>
      <c r="AB11" s="53" t="s">
        <v>139</v>
      </c>
      <c r="AC11" s="141" t="str">
        <f t="shared" si="7"/>
        <v>grep -hSE -A100 "Enforcement Action" "%USERPROFILE%\AppData\Local\Temp\OnboardLogs"\RTDC4018\*4018*201610231* | grep -SE "((Enforcement Ac)|(PRM))" -</v>
      </c>
    </row>
    <row r="12" spans="1:29" s="1" customFormat="1" x14ac:dyDescent="0.25">
      <c r="A12" s="36">
        <v>42666.467881944445</v>
      </c>
      <c r="B12" s="31" t="s">
        <v>282</v>
      </c>
      <c r="C12" s="31" t="s">
        <v>418</v>
      </c>
      <c r="D12" s="31" t="s">
        <v>98</v>
      </c>
      <c r="E12" s="31" t="s">
        <v>244</v>
      </c>
      <c r="F12" s="47">
        <v>200</v>
      </c>
      <c r="G12" s="47">
        <v>264</v>
      </c>
      <c r="H12" s="47">
        <v>153398</v>
      </c>
      <c r="I12" s="47">
        <v>152528</v>
      </c>
      <c r="J12" s="31" t="s">
        <v>245</v>
      </c>
      <c r="K12" s="47">
        <v>157300</v>
      </c>
      <c r="L12" s="157" t="s">
        <v>51</v>
      </c>
      <c r="M12" s="158">
        <f t="shared" si="0"/>
        <v>-2519.616</v>
      </c>
      <c r="N12" s="159" t="str">
        <f>VLOOKUP(C12,'Trips&amp;Operators'!$C$1:$E$99999,3,FALSE)</f>
        <v>MALAVE</v>
      </c>
      <c r="O12" s="184" t="s">
        <v>240</v>
      </c>
      <c r="P12" s="160" t="s">
        <v>770</v>
      </c>
      <c r="Q12" s="31"/>
      <c r="R12" s="100" t="str">
        <f>VLOOKUP(C12,'Train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12" s="103" t="str">
        <f>VLOOKUP(C12,'Train Runs'!$A$13:$AE$10022,22,0)</f>
        <v>https://search-rtdc-monitor-bjffxe2xuh6vdkpspy63sjmuny.us-east-1.es.amazonaws.com/_plugin/kibana/#/discover/Steve-Slow-Train-Analysis-(2080s-and-2083s)?_g=(refreshInterval:(display:Off,section:0,value:0),time:(from:'2016-10-23 10:05:12-0600',mode:absolute,to:'2016-10-23 12:44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2" s="105" t="str">
        <f t="shared" si="1"/>
        <v>"C:\Program Files (x86)\AstroGrep\AstroGrep.exe" /spath="%USERPROFILE%\AppData\Local\Temp\OnboardLogs" /stypes="*4015*201610231*" /stext=" 17:.+((SYSTEM_STATE.+slice.+state.+changed )|(ment ac)|(system.+state.+changed )|(\[timeout)|(PRM\|1\|D)|(kpr)|(kdp)|(\|lc)|(penalty))" /e /r /s</v>
      </c>
      <c r="U12" s="9" t="str">
        <f t="shared" si="2"/>
        <v>4015</v>
      </c>
      <c r="V12" s="36">
        <f t="shared" si="3"/>
        <v>42666.717881944445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Overspeed","project_id":79,"tracker_id":40,"status_id":1,"priority_id":2,"assigned_to_id":23,"start_date":"2016-10-23","description":"","custom_fields":[{"id":1,"name":"Subdivision","value":"EC"},{"id":4,"name":"Milepost","value":"15.73"},{"id":17,"name":"Train ID","value":"152-23"},{"id":16,"name":"Locomotive ID","value":"4015"},{"id":130,"name":"Impact","value":""},{"id":150,"name":"Time of Event (Mountain Time)","value":"11:13:45"},{"id":151,"name":"Denver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"%USERPROFILE%\AppData\Local\Temp\OnboardLogs"\RTDC4015\*4015*201610231* | grep -SE "((Enforcement Ac)|(PRM))" -</v>
      </c>
    </row>
    <row r="13" spans="1:29" s="1" customFormat="1" x14ac:dyDescent="0.25">
      <c r="A13" s="36">
        <v>42666.244432870371</v>
      </c>
      <c r="B13" s="31" t="s">
        <v>408</v>
      </c>
      <c r="C13" s="31" t="s">
        <v>409</v>
      </c>
      <c r="D13" s="31" t="s">
        <v>49</v>
      </c>
      <c r="E13" s="31" t="s">
        <v>246</v>
      </c>
      <c r="F13" s="47">
        <v>0</v>
      </c>
      <c r="G13" s="47">
        <v>37</v>
      </c>
      <c r="H13" s="47">
        <v>136</v>
      </c>
      <c r="I13" s="47">
        <v>114</v>
      </c>
      <c r="J13" s="31" t="s">
        <v>247</v>
      </c>
      <c r="K13" s="47">
        <v>1</v>
      </c>
      <c r="L13" s="157" t="s">
        <v>51</v>
      </c>
      <c r="M13" s="158">
        <f t="shared" si="0"/>
        <v>59.664000000000001</v>
      </c>
      <c r="N13" s="159" t="str">
        <f>VLOOKUP(C13,'Trips&amp;Operators'!$C$1:$E$99999,3,FALSE)</f>
        <v>MAELZER</v>
      </c>
      <c r="O13" s="184" t="s">
        <v>240</v>
      </c>
      <c r="P13" s="160"/>
      <c r="Q13" s="31"/>
      <c r="R13" s="100" t="str">
        <f>VLOOKUP(C13,'Train Runs'!$A$13:$AE$10022,31,0)</f>
        <v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v>
      </c>
      <c r="S13" s="103" t="str">
        <f>VLOOKUP(C13,'Train Runs'!$A$13:$AE$10022,22,0)</f>
        <v>https://search-rtdc-monitor-bjffxe2xuh6vdkpspy63sjmuny.us-east-1.es.amazonaws.com/_plugin/kibana/#/discover/Steve-Slow-Train-Analysis-(2080s-and-2083s)?_g=(refreshInterval:(display:Off,section:0,value:0),time:(from:'2016-10-23 04:05:06-0600',mode:absolute,to:'2016-10-23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3" s="105" t="str">
        <f t="shared" si="1"/>
        <v>"C:\Program Files (x86)\AstroGrep\AstroGrep.exe" /spath="%USERPROFILE%\AppData\Local\Temp\OnboardLogs" /stypes="*4021*201610231*" /stext=" 11:.+((SYSTEM_STATE.+slice.+state.+changed )|(ment ac)|(system.+state.+changed )|(\[timeout)|(PRM\|1\|D)|(kpr)|(kdp)|(\|lc)|(penalty))" /e /r /s</v>
      </c>
      <c r="U13" s="9" t="str">
        <f t="shared" si="2"/>
        <v>4021</v>
      </c>
      <c r="V13" s="36">
        <f t="shared" si="3"/>
        <v>42666.494432870371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ID","value":"106-23"},{"id":16,"name":"Locomotive ID","value":"4021"},{"id":130,"name":"Impact","value":""},{"id":150,"name":"Time of Event (Mountain Time)","value":"05:51:59"},{"id":151,"name":"Denver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"%USERPROFILE%\AppData\Local\Temp\OnboardLogs"\RTDC4021\*4021*201610231* | grep -SE "((Enforcement Ac)|(PRM))" -</v>
      </c>
    </row>
    <row r="14" spans="1:29" s="1" customFormat="1" x14ac:dyDescent="0.25">
      <c r="A14" s="36">
        <v>42666.273657407408</v>
      </c>
      <c r="B14" s="31" t="s">
        <v>411</v>
      </c>
      <c r="C14" s="31" t="s">
        <v>412</v>
      </c>
      <c r="D14" s="31" t="s">
        <v>49</v>
      </c>
      <c r="E14" s="31" t="s">
        <v>246</v>
      </c>
      <c r="F14" s="47">
        <v>0</v>
      </c>
      <c r="G14" s="47">
        <v>51</v>
      </c>
      <c r="H14" s="47">
        <v>181</v>
      </c>
      <c r="I14" s="47">
        <v>132</v>
      </c>
      <c r="J14" s="31" t="s">
        <v>247</v>
      </c>
      <c r="K14" s="47">
        <v>1</v>
      </c>
      <c r="L14" s="157" t="s">
        <v>51</v>
      </c>
      <c r="M14" s="158">
        <f t="shared" si="0"/>
        <v>69.168000000000006</v>
      </c>
      <c r="N14" s="159" t="str">
        <f>VLOOKUP(C14,'Trips&amp;Operators'!$C$1:$E$99999,3,FALSE)</f>
        <v>STAMBAUGH</v>
      </c>
      <c r="O14" s="184" t="s">
        <v>240</v>
      </c>
      <c r="P14" s="160"/>
      <c r="Q14" s="31"/>
      <c r="R14" s="100" t="str">
        <f>VLOOKUP(C14,'Train Runs'!$A$13:$AE$10022,31,0)</f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S14" s="103" t="str">
        <f>VLOOKUP(C14,'Train Runs'!$A$13:$AE$10022,22,0)</f>
        <v>https://search-rtdc-monitor-bjffxe2xuh6vdkpspy63sjmuny.us-east-1.es.amazonaws.com/_plugin/kibana/#/discover/Steve-Slow-Train-Analysis-(2080s-and-2083s)?_g=(refreshInterval:(display:Off,section:0,value:0),time:(from:'2016-10-23 04:49:44-0600',mode:absolute,to:'2016-10-23 07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 t="shared" si="1"/>
        <v>"C:\Program Files (x86)\AstroGrep\AstroGrep.exe" /spath="%USERPROFILE%\AppData\Local\Temp\OnboardLogs" /stypes="*4026*201610231*" /stext=" 12:.+((SYSTEM_STATE.+slice.+state.+changed )|(ment ac)|(system.+state.+changed )|(\[timeout)|(PRM\|1\|D)|(kpr)|(kdp)|(\|lc)|(penalty))" /e /r /s</v>
      </c>
      <c r="U14" s="9" t="str">
        <f t="shared" si="2"/>
        <v>4026</v>
      </c>
      <c r="V14" s="36">
        <f t="shared" si="3"/>
        <v>42666.523657407408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ID","value":"112-23"},{"id":16,"name":"Locomotive ID","value":"4026"},{"id":130,"name":"Impact","value":""},{"id":150,"name":"Time of Event (Mountain Time)","value":"06:34:04"},{"id":151,"name":"Denver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"%USERPROFILE%\AppData\Local\Temp\OnboardLogs"\RTDC4026\*4026*201610231* | grep -SE "((Enforcement Ac)|(PRM))" -</v>
      </c>
    </row>
    <row r="15" spans="1:29" s="1" customFormat="1" x14ac:dyDescent="0.25">
      <c r="A15" s="36">
        <v>42666.556550925925</v>
      </c>
      <c r="B15" s="31" t="s">
        <v>282</v>
      </c>
      <c r="C15" s="31" t="s">
        <v>421</v>
      </c>
      <c r="D15" s="31" t="s">
        <v>49</v>
      </c>
      <c r="E15" s="31" t="s">
        <v>246</v>
      </c>
      <c r="F15" s="47">
        <v>0</v>
      </c>
      <c r="G15" s="47">
        <v>71</v>
      </c>
      <c r="H15" s="47">
        <v>236</v>
      </c>
      <c r="I15" s="47">
        <v>178</v>
      </c>
      <c r="J15" s="31" t="s">
        <v>247</v>
      </c>
      <c r="K15" s="47">
        <v>1</v>
      </c>
      <c r="L15" s="157" t="s">
        <v>51</v>
      </c>
      <c r="M15" s="158">
        <f t="shared" si="0"/>
        <v>93.456000000000003</v>
      </c>
      <c r="N15" s="159" t="str">
        <f>VLOOKUP(C15,'Trips&amp;Operators'!$C$1:$E$99999,3,FALSE)</f>
        <v>MOSES</v>
      </c>
      <c r="O15" s="184" t="s">
        <v>240</v>
      </c>
      <c r="P15" s="160"/>
      <c r="Q15" s="31"/>
      <c r="R15" s="100" t="str">
        <f>VLOOKUP(C15,'Train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15" s="103" t="str">
        <f>VLOOKUP(C15,'Train Runs'!$A$13:$AE$10022,22,0)</f>
        <v>https://search-rtdc-monitor-bjffxe2xuh6vdkpspy63sjmuny.us-east-1.es.amazonaws.com/_plugin/kibana/#/discover/Steve-Slow-Train-Analysis-(2080s-and-2083s)?_g=(refreshInterval:(display:Off,section:0,value:0),time:(from:'2016-10-23 11:38:54-0600',mode:absolute,to:'2016-10-23 14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5" s="105" t="str">
        <f t="shared" si="1"/>
        <v>"C:\Program Files (x86)\AstroGrep\AstroGrep.exe" /spath="%USERPROFILE%\AppData\Local\Temp\OnboardLogs" /stypes="*4015*201610231*" /stext=" 19:.+((SYSTEM_STATE.+slice.+state.+changed )|(ment ac)|(system.+state.+changed )|(\[timeout)|(PRM\|1\|D)|(kpr)|(kdp)|(\|lc)|(penalty))" /e /r /s</v>
      </c>
      <c r="U15" s="9" t="str">
        <f t="shared" si="2"/>
        <v>4015</v>
      </c>
      <c r="V15" s="36">
        <f t="shared" si="3"/>
        <v>42666.806550925925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ID","value":"166-23"},{"id":16,"name":"Locomotive ID","value":"4015"},{"id":130,"name":"Impact","value":""},{"id":150,"name":"Time of Event (Mountain Time)","value":"13:21:26"},{"id":151,"name":"Denver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"%USERPROFILE%\AppData\Local\Temp\OnboardLogs"\RTDC4015\*4015*201610231* | grep -SE "((Enforcement Ac)|(PRM))" -</v>
      </c>
    </row>
    <row r="16" spans="1:29" s="1" customFormat="1" x14ac:dyDescent="0.25">
      <c r="A16" s="36">
        <v>42666.607997685183</v>
      </c>
      <c r="B16" s="31" t="s">
        <v>213</v>
      </c>
      <c r="C16" s="31" t="s">
        <v>423</v>
      </c>
      <c r="D16" s="31" t="s">
        <v>49</v>
      </c>
      <c r="E16" s="31" t="s">
        <v>246</v>
      </c>
      <c r="F16" s="47">
        <v>0</v>
      </c>
      <c r="G16" s="47">
        <v>83</v>
      </c>
      <c r="H16" s="47">
        <v>291</v>
      </c>
      <c r="I16" s="47">
        <v>207</v>
      </c>
      <c r="J16" s="31" t="s">
        <v>247</v>
      </c>
      <c r="K16" s="47">
        <v>1</v>
      </c>
      <c r="L16" s="157" t="s">
        <v>51</v>
      </c>
      <c r="M16" s="158">
        <f t="shared" si="0"/>
        <v>108.768</v>
      </c>
      <c r="N16" s="159" t="str">
        <f>VLOOKUP(C16,'Trips&amp;Operators'!$C$1:$E$99999,3,FALSE)</f>
        <v>BARTLETT</v>
      </c>
      <c r="O16" s="184" t="s">
        <v>240</v>
      </c>
      <c r="P16" s="160"/>
      <c r="Q16" s="31"/>
      <c r="R16" s="100" t="str">
        <f>VLOOKUP(C16,'Train Runs'!$A$13:$AE$10022,31,0)</f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S16" s="103" t="str">
        <f>VLOOKUP(C16,'Train Runs'!$A$13:$AE$10022,22,0)</f>
        <v>https://search-rtdc-monitor-bjffxe2xuh6vdkpspy63sjmuny.us-east-1.es.amazonaws.com/_plugin/kibana/#/discover/Steve-Slow-Train-Analysis-(2080s-and-2083s)?_g=(refreshInterval:(display:Off,section:0,value:0),time:(from:'2016-10-23 12:41:10-0600',mode:absolute,to:'2016-10-23 15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6" s="105" t="str">
        <f t="shared" si="1"/>
        <v>"C:\Program Files (x86)\AstroGrep\AstroGrep.exe" /spath="%USERPROFILE%\AppData\Local\Temp\OnboardLogs" /stypes="*4039*201610232*" /stext=" 20:.+((SYSTEM_STATE.+slice.+state.+changed )|(ment ac)|(system.+state.+changed )|(\[timeout)|(PRM\|1\|D)|(kpr)|(kdp)|(\|lc)|(penalty))" /e /r /s</v>
      </c>
      <c r="U16" s="9" t="str">
        <f t="shared" si="2"/>
        <v>4039</v>
      </c>
      <c r="V16" s="36">
        <f t="shared" si="3"/>
        <v>42666.857997685183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ID","value":"176-23"},{"id":16,"name":"Locomotive ID","value":"4039"},{"id":130,"name":"Impact","value":""},{"id":150,"name":"Time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"%USERPROFILE%\AppData\Local\Temp\OnboardLogs"\RTDC4039\*4039*201610232* | grep -SE "((Enforcement Ac)|(PRM))" -</v>
      </c>
    </row>
    <row r="17" spans="1:30" s="1" customFormat="1" x14ac:dyDescent="0.25">
      <c r="A17" s="36">
        <v>42666.680104166669</v>
      </c>
      <c r="B17" s="31" t="s">
        <v>213</v>
      </c>
      <c r="C17" s="31" t="s">
        <v>425</v>
      </c>
      <c r="D17" s="31" t="s">
        <v>49</v>
      </c>
      <c r="E17" s="31" t="s">
        <v>246</v>
      </c>
      <c r="F17" s="47">
        <v>0</v>
      </c>
      <c r="G17" s="47">
        <v>55</v>
      </c>
      <c r="H17" s="47">
        <v>200</v>
      </c>
      <c r="I17" s="47">
        <v>154</v>
      </c>
      <c r="J17" s="31" t="s">
        <v>247</v>
      </c>
      <c r="K17" s="47">
        <v>1</v>
      </c>
      <c r="L17" s="157" t="s">
        <v>51</v>
      </c>
      <c r="M17" s="158">
        <f t="shared" si="0"/>
        <v>80.784000000000006</v>
      </c>
      <c r="N17" s="159" t="str">
        <f>VLOOKUP(C17,'Trips&amp;Operators'!$C$1:$E$99999,3,FALSE)</f>
        <v>BARTLETT</v>
      </c>
      <c r="O17" s="184" t="s">
        <v>240</v>
      </c>
      <c r="P17" s="160"/>
      <c r="Q17" s="31"/>
      <c r="R17" s="100" t="str">
        <f>VLOOKUP(C17,'Train Runs'!$A$13:$AE$10022,31,0)</f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S17" s="103" t="str">
        <f>VLOOKUP(C17,'Train Runs'!$A$13:$AE$10022,22,0)</f>
        <v>https://search-rtdc-monitor-bjffxe2xuh6vdkpspy63sjmuny.us-east-1.es.amazonaws.com/_plugin/kibana/#/discover/Steve-Slow-Train-Analysis-(2080s-and-2083s)?_g=(refreshInterval:(display:Off,section:0,value:0),time:(from:'2016-10-23 14:23:54-0600',mode:absolute,to:'2016-10-23 17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7" s="105" t="str">
        <f t="shared" si="1"/>
        <v>"C:\Program Files (x86)\AstroGrep\AstroGrep.exe" /spath="%USERPROFILE%\AppData\Local\Temp\OnboardLogs" /stypes="*4039*201610232*" /stext=" 22:.+((SYSTEM_STATE.+slice.+state.+changed )|(ment ac)|(system.+state.+changed )|(\[timeout)|(PRM\|1\|D)|(kpr)|(kdp)|(\|lc)|(penalty))" /e /r /s</v>
      </c>
      <c r="U17" s="9" t="str">
        <f t="shared" si="2"/>
        <v>4039</v>
      </c>
      <c r="V17" s="36">
        <f t="shared" si="3"/>
        <v>42666.930104166669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ID","value":"190-23"},{"id":16,"name":"Locomotive ID","value":"4039"},{"id":130,"name":"Impact","value":""},{"id":150,"name":"Time of Event (Mountain Time)","value":"16:19:21"},{"id":151,"name":"Denver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"%USERPROFILE%\AppData\Local\Temp\OnboardLogs"\RTDC4039\*4039*201610232* | grep -SE "((Enforcement Ac)|(PRM))" -</v>
      </c>
    </row>
    <row r="18" spans="1:30" s="1" customFormat="1" x14ac:dyDescent="0.25">
      <c r="A18" s="36">
        <v>42666.701770833337</v>
      </c>
      <c r="B18" s="31" t="s">
        <v>282</v>
      </c>
      <c r="C18" s="31" t="s">
        <v>426</v>
      </c>
      <c r="D18" s="31" t="s">
        <v>49</v>
      </c>
      <c r="E18" s="31" t="s">
        <v>246</v>
      </c>
      <c r="F18" s="47">
        <v>0</v>
      </c>
      <c r="G18" s="47">
        <v>79</v>
      </c>
      <c r="H18" s="47">
        <v>287</v>
      </c>
      <c r="I18" s="47">
        <v>211</v>
      </c>
      <c r="J18" s="31" t="s">
        <v>247</v>
      </c>
      <c r="K18" s="47">
        <v>1</v>
      </c>
      <c r="L18" s="157" t="s">
        <v>51</v>
      </c>
      <c r="M18" s="158">
        <f t="shared" si="0"/>
        <v>110.88</v>
      </c>
      <c r="N18" s="159" t="str">
        <f>VLOOKUP(C18,'Trips&amp;Operators'!$C$1:$E$99999,3,FALSE)</f>
        <v>MOSES</v>
      </c>
      <c r="O18" s="184" t="s">
        <v>240</v>
      </c>
      <c r="P18" s="160"/>
      <c r="Q18" s="31"/>
      <c r="R18" s="100" t="str">
        <f>VLOOKUP(C18,'Train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18" s="103" t="str">
        <f>VLOOKUP(C18,'Train Runs'!$A$13:$AE$10022,22,0)</f>
        <v>https://search-rtdc-monitor-bjffxe2xuh6vdkpspy63sjmuny.us-east-1.es.amazonaws.com/_plugin/kibana/#/discover/Steve-Slow-Train-Analysis-(2080s-and-2083s)?_g=(refreshInterval:(display:Off,section:0,value:0),time:(from:'2016-10-23 15:08:06-0600',mode:absolute,to:'2016-10-23 17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8" s="105" t="str">
        <f t="shared" si="1"/>
        <v>"C:\Program Files (x86)\AstroGrep\AstroGrep.exe" /spath="%USERPROFILE%\AppData\Local\Temp\OnboardLogs" /stypes="*4015*201610232*" /stext=" 22:.+((SYSTEM_STATE.+slice.+state.+changed )|(ment ac)|(system.+state.+changed )|(\[timeout)|(PRM\|1\|D)|(kpr)|(kdp)|(\|lc)|(penalty))" /e /r /s</v>
      </c>
      <c r="U18" s="9" t="str">
        <f t="shared" si="2"/>
        <v>4015</v>
      </c>
      <c r="V18" s="36">
        <f t="shared" si="3"/>
        <v>42666.951770833337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ID","value":"194-23"},{"id":16,"name":"Locomotive ID","value":"4015"},{"id":130,"name":"Impact","value":""},{"id":150,"name":"Time of Event (Mountain Time)","value":"16:50:33"},{"id":151,"name":"Denver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"%USERPROFILE%\AppData\Local\Temp\OnboardLogs"\RTDC4015\*4015*201610232* | grep -SE "((Enforcement Ac)|(PRM))" -</v>
      </c>
    </row>
    <row r="19" spans="1:30" s="1" customFormat="1" x14ac:dyDescent="0.25">
      <c r="A19" s="36">
        <v>42666.742581018516</v>
      </c>
      <c r="B19" s="31" t="s">
        <v>193</v>
      </c>
      <c r="C19" s="31" t="s">
        <v>427</v>
      </c>
      <c r="D19" s="31" t="s">
        <v>49</v>
      </c>
      <c r="E19" s="31" t="s">
        <v>246</v>
      </c>
      <c r="F19" s="47">
        <v>0</v>
      </c>
      <c r="G19" s="47">
        <v>61</v>
      </c>
      <c r="H19" s="47">
        <v>223</v>
      </c>
      <c r="I19" s="47">
        <v>169</v>
      </c>
      <c r="J19" s="31" t="s">
        <v>247</v>
      </c>
      <c r="K19" s="47">
        <v>1</v>
      </c>
      <c r="L19" s="157" t="s">
        <v>51</v>
      </c>
      <c r="M19" s="158">
        <f t="shared" si="0"/>
        <v>88.703999999999994</v>
      </c>
      <c r="N19" s="159" t="str">
        <f>VLOOKUP(C19,'Trips&amp;Operators'!$C$1:$E$99999,3,FALSE)</f>
        <v>STEWART</v>
      </c>
      <c r="O19" s="184" t="s">
        <v>240</v>
      </c>
      <c r="P19" s="160"/>
      <c r="Q19" s="31"/>
      <c r="R19" s="100" t="str">
        <f>VLOOKUP(C19,'Train Runs'!$A$13:$AE$10022,31,0)</f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S19" s="103" t="str">
        <f>VLOOKUP(C19,'Train Runs'!$A$13:$AE$10022,22,0)</f>
        <v>https://search-rtdc-monitor-bjffxe2xuh6vdkpspy63sjmuny.us-east-1.es.amazonaws.com/_plugin/kibana/#/discover/Steve-Slow-Train-Analysis-(2080s-and-2083s)?_g=(refreshInterval:(display:Off,section:0,value:0),time:(from:'2016-10-23 16:07:30-0600',mode:absolute,to:'2016-10-23 18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9" s="105" t="str">
        <f t="shared" si="1"/>
        <v>"C:\Program Files (x86)\AstroGrep\AstroGrep.exe" /spath="%USERPROFILE%\AppData\Local\Temp\OnboardLogs" /stypes="*4010*201610232*" /stext=" 23:.+((SYSTEM_STATE.+slice.+state.+changed )|(ment ac)|(system.+state.+changed )|(\[timeout)|(PRM\|1\|D)|(kpr)|(kdp)|(\|lc)|(penalty))" /e /r /s</v>
      </c>
      <c r="U19" s="9" t="str">
        <f t="shared" si="2"/>
        <v>4010</v>
      </c>
      <c r="V19" s="36">
        <f t="shared" si="3"/>
        <v>42666.992581018516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ID","value":"202-23"},{"id":16,"name":"Locomotive ID","value":"4010"},{"id":130,"name":"Impact","value":""},{"id":150,"name":"Time of Event (Mountain Time)","value":"17:49:19"},{"id":151,"name":"Denver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"%USERPROFILE%\AppData\Local\Temp\OnboardLogs"\RTDC4010\*4010*201610232* | grep -SE "((Enforcement Ac)|(PRM))" -</v>
      </c>
    </row>
    <row r="20" spans="1:30" x14ac:dyDescent="0.25">
      <c r="A20" s="36">
        <v>42666.204108796293</v>
      </c>
      <c r="B20" s="31" t="s">
        <v>330</v>
      </c>
      <c r="C20" s="31" t="s">
        <v>407</v>
      </c>
      <c r="D20" s="31" t="s">
        <v>49</v>
      </c>
      <c r="E20" s="31" t="s">
        <v>246</v>
      </c>
      <c r="F20" s="47">
        <v>0</v>
      </c>
      <c r="G20" s="47">
        <v>11</v>
      </c>
      <c r="H20" s="47">
        <v>850</v>
      </c>
      <c r="I20" s="47">
        <v>845</v>
      </c>
      <c r="J20" s="31" t="s">
        <v>247</v>
      </c>
      <c r="K20" s="47">
        <v>839</v>
      </c>
      <c r="L20" s="157" t="s">
        <v>51</v>
      </c>
      <c r="M20" s="158">
        <f t="shared" si="0"/>
        <v>3.1680000000000001</v>
      </c>
      <c r="N20" s="159" t="str">
        <f>VLOOKUP(C20,'Trips&amp;Operators'!$C$1:$E$99999,3,FALSE)</f>
        <v>YOUNG</v>
      </c>
      <c r="O20" s="184" t="s">
        <v>240</v>
      </c>
      <c r="P20" s="160"/>
      <c r="Q20" s="31"/>
      <c r="R20" s="100" t="str">
        <f>VLOOKUP(C20,'Train Runs'!$A$13:$AE$10022,31,0)</f>
        <v>aws s3 cp s3://rtdc.mdm.uploadarchive.raw/RTDC4013/ "%USERPROFILE%\AppData\Local\Temp\OnboardLogs"\RTDC4013\2016-10-23 --exclude "*" --recursive --include "*20161023*" &amp; "%USERPROFILE%\Documents\GitHub\mrs-test-scripts\Headless Mode &amp; Sideloading\WalkAndUnGZ.bat" "%USERPROFILE%\AppData\Local\Temp\OnboardLogs"\RTDC4013\2016-10-23 &amp; 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</v>
      </c>
      <c r="S20" s="103" t="str">
        <f>VLOOKUP(C20,'Train Runs'!$A$13:$AE$10022,22,0)</f>
        <v>https://search-rtdc-monitor-bjffxe2xuh6vdkpspy63sjmuny.us-east-1.es.amazonaws.com/_plugin/kibana/#/discover/Steve-Slow-Train-Analysis-(2080s-and-2083s)?_g=(refreshInterval:(display:Off,section:0,value:0),time:(from:'2016-10-23 03:06:57-0600',mode:absolute,to:'2016-10-23 05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0" s="105" t="str">
        <f t="shared" si="1"/>
        <v>"C:\Program Files (x86)\AstroGrep\AstroGrep.exe" /spath="%USERPROFILE%\AppData\Local\Temp\OnboardLogs" /stypes="*4013*201610231*" /stext=" 10:.+((SYSTEM_STATE.+slice.+state.+changed )|(ment ac)|(system.+state.+changed )|(\[timeout)|(PRM\|1\|D)|(kpr)|(kdp)|(\|lc)|(penalty))" /e /r /s</v>
      </c>
      <c r="U20" s="9" t="str">
        <f t="shared" si="2"/>
        <v>4013</v>
      </c>
      <c r="V20" s="36">
        <f t="shared" si="3"/>
        <v>42666.454108796293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{"issue":{"subject":"","project_id":79,"tracker_id":40,"status_id":1,"priority_id":2,"assigned_to_id":23,"start_date":"2016-10-23","description":"","custom_fields":[{"id":1,"name":"Subdivision","value":"EC"},{"id":4,"name":"Milepost","value":"0.0839"},{"id":17,"name":"Train ID","value":"102-23"},{"id":16,"name":"Locomotive ID","value":"4013"},{"id":130,"name":"Impact","value":""},{"id":150,"name":"Time of Event (Mountain Time)","value":"04:53:55"},{"id":151,"name":"Denver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"%USERPROFILE%\AppData\Local\Temp\OnboardLogs"\RTDC4013\*4013*201610231* | grep -SE "((Enforcement Ac)|(PRM))" -</v>
      </c>
      <c r="AD20" s="1"/>
    </row>
    <row r="21" spans="1:30" s="1" customFormat="1" x14ac:dyDescent="0.25">
      <c r="A21" s="36">
        <v>42667.007118055553</v>
      </c>
      <c r="B21" s="31" t="s">
        <v>329</v>
      </c>
      <c r="C21" s="31" t="s">
        <v>432</v>
      </c>
      <c r="D21" s="31" t="s">
        <v>49</v>
      </c>
      <c r="E21" s="31" t="s">
        <v>246</v>
      </c>
      <c r="F21" s="47">
        <v>0</v>
      </c>
      <c r="G21" s="47">
        <v>54</v>
      </c>
      <c r="H21" s="47">
        <v>1024</v>
      </c>
      <c r="I21" s="47">
        <v>971</v>
      </c>
      <c r="J21" s="31" t="s">
        <v>247</v>
      </c>
      <c r="K21" s="47">
        <v>839</v>
      </c>
      <c r="L21" s="157" t="s">
        <v>51</v>
      </c>
      <c r="M21" s="158">
        <f t="shared" si="0"/>
        <v>69.695999999999998</v>
      </c>
      <c r="N21" s="159" t="str">
        <f>VLOOKUP(C21,'Trips&amp;Operators'!$C$1:$E$99999,3,FALSE)</f>
        <v>CHANDLER</v>
      </c>
      <c r="O21" s="184" t="s">
        <v>240</v>
      </c>
      <c r="P21" s="160"/>
      <c r="Q21" s="31"/>
      <c r="R21" s="100" t="str">
        <f>VLOOKUP(C21,'Train Runs'!$A$13:$AE$10022,31,0)</f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S21" s="103" t="str">
        <f>VLOOKUP(C21,'Train Runs'!$A$13:$AE$10022,22,0)</f>
        <v>https://search-rtdc-monitor-bjffxe2xuh6vdkpspy63sjmuny.us-east-1.es.amazonaws.com/_plugin/kibana/#/discover/Steve-Slow-Train-Analysis-(2080s-and-2083s)?_g=(refreshInterval:(display:Off,section:0,value:0),time:(from:'2016-10-23 22:29:15-0600',mode:absolute,to:'2016-10-24 01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 t="shared" si="1"/>
        <v>"C:\Program Files (x86)\AstroGrep\AstroGrep.exe" /spath="%USERPROFILE%\AppData\Local\Temp\OnboardLogs" /stypes="*4045*201610240*" /stext=" 06:.+((SYSTEM_STATE.+slice.+state.+changed )|(ment ac)|(system.+state.+changed )|(\[timeout)|(PRM\|1\|D)|(kpr)|(kdp)|(\|lc)|(penalty))" /e /r /s</v>
      </c>
      <c r="U21" s="9" t="str">
        <f t="shared" si="2"/>
        <v>4045</v>
      </c>
      <c r="V21" s="36">
        <f t="shared" si="3"/>
        <v>42667.257118055553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{"issue":{"subject":"","project_id":79,"tracker_id":40,"status_id":1,"priority_id":2,"assigned_to_id":23,"start_date":"2016-10-24","description":"","custom_fields":[{"id":1,"name":"Subdivision","value":"EC"},{"id":4,"name":"Milepost","value":"0.0839"},{"id":17,"name":"Train ID","value":"236-23"},{"id":16,"name":"Locomotive ID","value":"4045"},{"id":130,"name":"Impact","value":""},{"id":150,"name":"Time of Event (Mountain Time)","value":"00:10:15"},{"id":151,"name":"Denver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"%USERPROFILE%\AppData\Local\Temp\OnboardLogs"\RTDC4045\*4045*201610240* | grep -SE "((Enforcement Ac)|(PRM))" -</v>
      </c>
    </row>
    <row r="22" spans="1:30" x14ac:dyDescent="0.25">
      <c r="A22" s="36">
        <v>42666.764965277776</v>
      </c>
      <c r="B22" s="31" t="s">
        <v>188</v>
      </c>
      <c r="C22" s="31" t="s">
        <v>430</v>
      </c>
      <c r="D22" s="31" t="s">
        <v>49</v>
      </c>
      <c r="E22" s="31" t="s">
        <v>246</v>
      </c>
      <c r="F22" s="47">
        <v>0</v>
      </c>
      <c r="G22" s="47">
        <v>113</v>
      </c>
      <c r="H22" s="47">
        <v>233032</v>
      </c>
      <c r="I22" s="47">
        <v>233145</v>
      </c>
      <c r="J22" s="31" t="s">
        <v>247</v>
      </c>
      <c r="K22" s="47">
        <v>233491</v>
      </c>
      <c r="L22" s="157" t="s">
        <v>50</v>
      </c>
      <c r="M22" s="158">
        <f t="shared" si="0"/>
        <v>182.68799999999999</v>
      </c>
      <c r="N22" s="159" t="str">
        <f>VLOOKUP(C22,'Trips&amp;Operators'!$C$1:$E$99999,3,FALSE)</f>
        <v>BERLING</v>
      </c>
      <c r="O22" s="184" t="s">
        <v>240</v>
      </c>
      <c r="P22" s="160"/>
      <c r="Q22" s="31"/>
      <c r="R22" s="100" t="str">
        <f>VLOOKUP(C22,'Train Runs'!$A$13:$AE$10022,31,0)</f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S22" s="103" t="str">
        <f>VLOOKUP(C22,'Train Runs'!$A$13:$AE$10022,22,0)</f>
        <v>https://search-rtdc-monitor-bjffxe2xuh6vdkpspy63sjmuny.us-east-1.es.amazonaws.com/_plugin/kibana/#/discover/Steve-Slow-Train-Analysis-(2080s-and-2083s)?_g=(refreshInterval:(display:Off,section:0,value:0),time:(from:'2016-10-23 16:38:17-0600',mode:absolute,to:'2016-10-23 19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2" s="105" t="str">
        <f t="shared" si="1"/>
        <v>"C:\Program Files (x86)\AstroGrep\AstroGrep.exe" /spath="%USERPROFILE%\AppData\Local\Temp\OnboardLogs" /stypes="*4018*201610240*" /stext=" 00:.+((SYSTEM_STATE.+slice.+state.+changed )|(ment ac)|(system.+state.+changed )|(\[timeout)|(PRM\|1\|D)|(kpr)|(kdp)|(\|lc)|(penalty))" /e /r /s</v>
      </c>
      <c r="U22" s="9" t="str">
        <f t="shared" si="2"/>
        <v>4018</v>
      </c>
      <c r="V22" s="36">
        <f t="shared" si="3"/>
        <v>42667.014965277776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{"issue":{"subject":"","project_id":79,"tracker_id":40,"status_id":1,"priority_id":2,"assigned_to_id":23,"start_date":"2016-10-23","description":"","custom_fields":[{"id":1,"name":"Subdivision","value":"EC"},{"id":4,"name":"Milepost","value":"23.3491"},{"id":17,"name":"Train ID","value":"213-23"},{"id":16,"name":"Locomotive ID","value":"4018"},{"id":130,"name":"Impact","value":""},{"id":150,"name":"Time of Event (Mountain Time)","value":"18:21:33"},{"id":151,"name":"Denver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"%USERPROFILE%\AppData\Local\Temp\OnboardLogs"\RTDC4018\*4018*201610240* | grep -SE "((Enforcement Ac)|(PRM))" -</v>
      </c>
      <c r="AD22" s="1"/>
    </row>
    <row r="23" spans="1:30" x14ac:dyDescent="0.25">
      <c r="A23" s="36">
        <v>42666.743819444448</v>
      </c>
      <c r="B23" s="31" t="s">
        <v>211</v>
      </c>
      <c r="C23" s="31" t="s">
        <v>428</v>
      </c>
      <c r="D23" s="31" t="s">
        <v>49</v>
      </c>
      <c r="E23" s="31" t="s">
        <v>241</v>
      </c>
      <c r="F23" s="47">
        <v>150</v>
      </c>
      <c r="G23" s="47">
        <v>211</v>
      </c>
      <c r="H23" s="47">
        <v>15668</v>
      </c>
      <c r="I23" s="47">
        <v>15260</v>
      </c>
      <c r="J23" s="31" t="s">
        <v>242</v>
      </c>
      <c r="K23" s="47">
        <v>14977</v>
      </c>
      <c r="L23" s="157" t="s">
        <v>51</v>
      </c>
      <c r="M23" s="158">
        <f t="shared" si="0"/>
        <v>149.42400000000001</v>
      </c>
      <c r="N23" s="159" t="str">
        <f>VLOOKUP(C23,'Trips&amp;Operators'!$C$1:$E$99999,3,FALSE)</f>
        <v>JACKSON</v>
      </c>
      <c r="O23" s="184" t="s">
        <v>240</v>
      </c>
      <c r="P23" s="160"/>
      <c r="Q23" s="31"/>
      <c r="R23" s="100" t="str">
        <f>VLOOKUP(C23,'Train Runs'!$A$13:$AE$10022,31,0)</f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S23" s="103" t="str">
        <f>VLOOKUP(C23,'Train Runs'!$A$13:$AE$10022,22,0)</f>
        <v>https://search-rtdc-monitor-bjffxe2xuh6vdkpspy63sjmuny.us-east-1.es.amazonaws.com/_plugin/kibana/#/discover/Steve-Slow-Train-Analysis-(2080s-and-2083s)?_g=(refreshInterval:(display:Off,section:0,value:0),time:(from:'2016-10-23 16:39:36-0600',mode:absolute,to:'2016-10-23 18:59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3" s="105" t="str">
        <f t="shared" si="1"/>
        <v>"C:\Program Files (x86)\AstroGrep\AstroGrep.exe" /spath="%USERPROFILE%\AppData\Local\Temp\OnboardLogs" /stypes="*4043*201610232*" /stext=" 23:.+((SYSTEM_STATE.+slice.+state.+changed )|(ment ac)|(system.+state.+changed )|(\[timeout)|(PRM\|1\|D)|(kpr)|(kdp)|(\|lc)|(penalty))" /e /r /s</v>
      </c>
      <c r="U23" s="9" t="str">
        <f t="shared" si="2"/>
        <v>4043</v>
      </c>
      <c r="V23" s="36">
        <f t="shared" si="3"/>
        <v>42666.993819444448</v>
      </c>
      <c r="W23" s="50" t="str">
        <f t="shared" si="4"/>
        <v>NW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{"issue":{"subject":"","project_id":79,"tracker_id":40,"status_id":1,"priority_id":2,"assigned_to_id":23,"start_date":"2016-10-23","description":"","custom_fields":[{"id":1,"name":"Subdivision","value":"NW"},{"id":4,"name":"Milepost","value":"1.4977"},{"id":17,"name":"Train ID","value":"1824-23"},{"id":16,"name":"Locomotive ID","value":"4043"},{"id":130,"name":"Impact","value":""},{"id":150,"name":"Time of Event (Mountain Time)","value":"17:51:06"},{"id":151,"name":"Denver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"%USERPROFILE%\AppData\Local\Temp\OnboardLogs"\RTDC4043\*4043*201610232* | grep -SE "((Enforcement Ac)|(PRM))" -</v>
      </c>
      <c r="AD23" s="1"/>
    </row>
    <row r="24" spans="1:30" x14ac:dyDescent="0.25">
      <c r="A24" s="36">
        <v>42666.659560185188</v>
      </c>
      <c r="B24" s="31" t="s">
        <v>211</v>
      </c>
      <c r="C24" s="31" t="s">
        <v>424</v>
      </c>
      <c r="D24" s="31" t="s">
        <v>49</v>
      </c>
      <c r="E24" s="31" t="s">
        <v>241</v>
      </c>
      <c r="F24" s="47">
        <v>300</v>
      </c>
      <c r="G24" s="47">
        <v>363</v>
      </c>
      <c r="H24" s="47">
        <v>24730</v>
      </c>
      <c r="I24" s="47">
        <v>23817</v>
      </c>
      <c r="J24" s="31" t="s">
        <v>242</v>
      </c>
      <c r="K24" s="47">
        <v>23561</v>
      </c>
      <c r="L24" s="157" t="s">
        <v>51</v>
      </c>
      <c r="M24" s="158">
        <f t="shared" si="0"/>
        <v>135.16800000000001</v>
      </c>
      <c r="N24" s="159" t="str">
        <f>VLOOKUP(C24,'Trips&amp;Operators'!$C$1:$E$99999,3,FALSE)</f>
        <v>ADANE</v>
      </c>
      <c r="O24" s="184" t="s">
        <v>240</v>
      </c>
      <c r="P24" s="160"/>
      <c r="Q24" s="31"/>
      <c r="R24" s="100" t="str">
        <f>VLOOKUP(C24,'Train Runs'!$A$13:$AE$10022,31,0)</f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S24" s="103" t="str">
        <f>VLOOKUP(C24,'Train Runs'!$A$13:$AE$10022,22,0)</f>
        <v>https://search-rtdc-monitor-bjffxe2xuh6vdkpspy63sjmuny.us-east-1.es.amazonaws.com/_plugin/kibana/#/discover/Steve-Slow-Train-Analysis-(2080s-and-2083s)?_g=(refreshInterval:(display:Off,section:0,value:0),time:(from:'2016-10-23 14:37:39-0600',mode:absolute,to:'2016-10-23 17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4" s="105" t="str">
        <f t="shared" si="1"/>
        <v>"C:\Program Files (x86)\AstroGrep\AstroGrep.exe" /spath="%USERPROFILE%\AppData\Local\Temp\OnboardLogs" /stypes="*4043*201610232*" /stext=" 21:.+((SYSTEM_STATE.+slice.+state.+changed )|(ment ac)|(system.+state.+changed )|(\[timeout)|(PRM\|1\|D)|(kpr)|(kdp)|(\|lc)|(penalty))" /e /r /s</v>
      </c>
      <c r="U24" s="9" t="str">
        <f t="shared" si="2"/>
        <v>4043</v>
      </c>
      <c r="V24" s="36">
        <f t="shared" si="3"/>
        <v>42666.909560185188</v>
      </c>
      <c r="W24" s="50" t="str">
        <f t="shared" si="4"/>
        <v>NW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{"issue":{"subject":"","project_id":79,"tracker_id":40,"status_id":1,"priority_id":2,"assigned_to_id":23,"start_date":"2016-10-23","description":"","custom_fields":[{"id":1,"name":"Subdivision","value":"NW"},{"id":4,"name":"Milepost","value":"2.3561"},{"id":17,"name":"Train ID","value":"1820-23"},{"id":16,"name":"Locomotive ID","value":"4043"},{"id":130,"name":"Impact","value":""},{"id":150,"name":"Time of Event (Mountain Time)","value":"15:49:46"},{"id":151,"name":"Denver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"%USERPROFILE%\AppData\Local\Temp\OnboardLogs"\RTDC4043\*4043*201610232* | grep -SE "((Enforcement Ac)|(PRM))" -</v>
      </c>
      <c r="AD24" s="1"/>
    </row>
    <row r="25" spans="1:30" ht="15" customHeight="1" x14ac:dyDescent="0.25">
      <c r="A25" s="36">
        <v>42666.604988425926</v>
      </c>
      <c r="B25" s="31" t="s">
        <v>196</v>
      </c>
      <c r="C25" s="31" t="s">
        <v>422</v>
      </c>
      <c r="D25" s="31" t="s">
        <v>98</v>
      </c>
      <c r="E25" s="31" t="s">
        <v>241</v>
      </c>
      <c r="F25" s="47">
        <v>400</v>
      </c>
      <c r="G25" s="47">
        <v>450</v>
      </c>
      <c r="H25" s="47">
        <v>43407</v>
      </c>
      <c r="I25" s="47">
        <v>44733</v>
      </c>
      <c r="J25" s="31" t="s">
        <v>242</v>
      </c>
      <c r="K25" s="47">
        <v>41797</v>
      </c>
      <c r="L25" s="157" t="s">
        <v>50</v>
      </c>
      <c r="M25" s="158">
        <f t="shared" si="0"/>
        <v>-1550.2080000000001</v>
      </c>
      <c r="N25" s="159" t="str">
        <f>VLOOKUP(C25,'Trips&amp;Operators'!$C$1:$E$99999,3,FALSE)</f>
        <v>ADANE</v>
      </c>
      <c r="O25" s="184" t="s">
        <v>240</v>
      </c>
      <c r="P25" s="160"/>
      <c r="Q25" s="31"/>
      <c r="R25" s="100" t="str">
        <f>VLOOKUP(C25,'Train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25" s="103" t="str">
        <f>VLOOKUP(C25,'Train Runs'!$A$13:$AE$10022,22,0)</f>
        <v>https://search-rtdc-monitor-bjffxe2xuh6vdkpspy63sjmuny.us-east-1.es.amazonaws.com/_plugin/kibana/#/discover/Steve-Slow-Train-Analysis-(2080s-and-2083s)?_g=(refreshInterval:(display:Off,section:0,value:0),time:(from:'2016-10-23 13:11:59-0600',mode:absolute,to:'2016-10-23 15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5" s="105" t="str">
        <f t="shared" si="1"/>
        <v>"C:\Program Files (x86)\AstroGrep\AstroGrep.exe" /spath="%USERPROFILE%\AppData\Local\Temp\OnboardLogs" /stypes="*4044*201610232*" /stext=" 20:.+((SYSTEM_STATE.+slice.+state.+changed )|(ment ac)|(system.+state.+changed )|(\[timeout)|(PRM\|1\|D)|(kpr)|(kdp)|(\|lc)|(penalty))" /e /r /s</v>
      </c>
      <c r="U25" s="9" t="str">
        <f t="shared" si="2"/>
        <v>4044</v>
      </c>
      <c r="V25" s="36">
        <f t="shared" si="3"/>
        <v>42666.854988425926</v>
      </c>
      <c r="W25" s="50" t="str">
        <f t="shared" si="4"/>
        <v>NW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{"issue":{"subject":"","project_id":79,"tracker_id":40,"status_id":1,"priority_id":2,"assigned_to_id":23,"start_date":"2016-10-23","description":"","custom_fields":[{"id":1,"name":"Subdivision","value":"NW"},{"id":4,"name":"Milepost","value":"4.1797"},{"id":17,"name":"Train ID","value":"1817-23"},{"id":16,"name":"Locomotive ID","value":"4044"},{"id":130,"name":"Impact","value":""},{"id":150,"name":"Time of Event (Mountain Time)","value":"14:31:11"},{"id":151,"name":"Denver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"%USERPROFILE%\AppData\Local\Temp\OnboardLogs"\RTDC4044\*4044*201610232* | grep -SE "((Enforcement Ac)|(PRM))" -</v>
      </c>
      <c r="AD25" s="1"/>
    </row>
    <row r="26" spans="1:30" x14ac:dyDescent="0.25">
      <c r="A26" s="36">
        <v>42666.314282407409</v>
      </c>
      <c r="B26" s="31" t="s">
        <v>196</v>
      </c>
      <c r="C26" s="31" t="s">
        <v>414</v>
      </c>
      <c r="D26" s="31" t="s">
        <v>49</v>
      </c>
      <c r="E26" s="31" t="s">
        <v>241</v>
      </c>
      <c r="F26" s="47">
        <v>150</v>
      </c>
      <c r="G26" s="47">
        <v>304</v>
      </c>
      <c r="H26" s="47">
        <v>56298</v>
      </c>
      <c r="I26" s="47">
        <v>56891</v>
      </c>
      <c r="J26" s="31" t="s">
        <v>242</v>
      </c>
      <c r="K26" s="47">
        <v>57008</v>
      </c>
      <c r="L26" s="157" t="s">
        <v>50</v>
      </c>
      <c r="M26" s="158">
        <f t="shared" si="0"/>
        <v>61.776000000000003</v>
      </c>
      <c r="N26" s="159" t="str">
        <f>VLOOKUP(C26,'Trips&amp;Operators'!$C$1:$E$99999,3,FALSE)</f>
        <v>STARKS</v>
      </c>
      <c r="O26" s="184" t="s">
        <v>240</v>
      </c>
      <c r="P26" s="160"/>
      <c r="Q26" s="31"/>
      <c r="R26" s="100" t="str">
        <f>VLOOKUP(C26,'Train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26" s="103" t="str">
        <f>VLOOKUP(C26,'Train Runs'!$A$13:$AE$10022,22,0)</f>
        <v>https://search-rtdc-monitor-bjffxe2xuh6vdkpspy63sjmuny.us-east-1.es.amazonaws.com/_plugin/kibana/#/discover/Steve-Slow-Train-Analysis-(2080s-and-2083s)?_g=(refreshInterval:(display:Off,section:0,value:0),time:(from:'2016-10-23 05:58:08-0600',mode:absolute,to:'2016-10-23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6" s="105" t="str">
        <f t="shared" si="1"/>
        <v>"C:\Program Files (x86)\AstroGrep\AstroGrep.exe" /spath="%USERPROFILE%\AppData\Local\Temp\OnboardLogs" /stypes="*4044*201610231*" /stext=" 13:.+((SYSTEM_STATE.+slice.+state.+changed )|(ment ac)|(system.+state.+changed )|(\[timeout)|(PRM\|1\|D)|(kpr)|(kdp)|(\|lc)|(penalty))" /e /r /s</v>
      </c>
      <c r="U26" s="9" t="str">
        <f t="shared" si="2"/>
        <v>4044</v>
      </c>
      <c r="V26" s="36">
        <f t="shared" si="3"/>
        <v>42666.564282407409</v>
      </c>
      <c r="W26" s="50" t="str">
        <f t="shared" si="4"/>
        <v>NW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{"issue":{"subject":"","project_id":79,"tracker_id":40,"status_id":1,"priority_id":2,"assigned_to_id":23,"start_date":"2016-10-23","description":"","custom_fields":[{"id":1,"name":"Subdivision","value":"NW"},{"id":4,"name":"Milepost","value":"5.7008"},{"id":17,"name":"Train ID","value":"1803-23"},{"id":16,"name":"Locomotive ID","value":"4044"},{"id":130,"name":"Impact","value":""},{"id":150,"name":"Time of Event (Mountain Time)","value":"07:32:34"},{"id":151,"name":"Denver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"%USERPROFILE%\AppData\Local\Temp\OnboardLogs"\RTDC4044\*4044*201610231* | grep -SE "((Enforcement Ac)|(PRM))" -</v>
      </c>
      <c r="AD26" s="1"/>
    </row>
    <row r="27" spans="1:30" x14ac:dyDescent="0.25">
      <c r="A27" s="36">
        <v>42666.35596064815</v>
      </c>
      <c r="B27" s="31" t="s">
        <v>196</v>
      </c>
      <c r="C27" s="31" t="s">
        <v>415</v>
      </c>
      <c r="D27" s="31" t="s">
        <v>49</v>
      </c>
      <c r="E27" s="31" t="s">
        <v>241</v>
      </c>
      <c r="F27" s="47">
        <v>150</v>
      </c>
      <c r="G27" s="47">
        <v>315</v>
      </c>
      <c r="H27" s="47">
        <v>56181</v>
      </c>
      <c r="I27" s="47">
        <v>56781</v>
      </c>
      <c r="J27" s="31" t="s">
        <v>242</v>
      </c>
      <c r="K27" s="47">
        <v>57008</v>
      </c>
      <c r="L27" s="157" t="s">
        <v>50</v>
      </c>
      <c r="M27" s="158">
        <f t="shared" si="0"/>
        <v>119.85599999999999</v>
      </c>
      <c r="N27" s="159" t="str">
        <f>VLOOKUP(C27,'Trips&amp;Operators'!$C$1:$E$99999,3,FALSE)</f>
        <v>STARKS</v>
      </c>
      <c r="O27" s="184" t="s">
        <v>240</v>
      </c>
      <c r="P27" s="160"/>
      <c r="Q27" s="31"/>
      <c r="R27" s="100" t="str">
        <f>VLOOKUP(C27,'Train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27" s="103" t="str">
        <f>VLOOKUP(C27,'Train Runs'!$A$13:$AE$10022,22,0)</f>
        <v>https://search-rtdc-monitor-bjffxe2xuh6vdkpspy63sjmuny.us-east-1.es.amazonaws.com/_plugin/kibana/#/discover/Steve-Slow-Train-Analysis-(2080s-and-2083s)?_g=(refreshInterval:(display:Off,section:0,value:0),time:(from:'2016-10-23 07:19:05-0600',mode:absolute,to:'2016-10-23 09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7" s="105" t="str">
        <f t="shared" si="1"/>
        <v>"C:\Program Files (x86)\AstroGrep\AstroGrep.exe" /spath="%USERPROFILE%\AppData\Local\Temp\OnboardLogs" /stypes="*4044*201610231*" /stext=" 14:.+((SYSTEM_STATE.+slice.+state.+changed )|(ment ac)|(system.+state.+changed )|(\[timeout)|(PRM\|1\|D)|(kpr)|(kdp)|(\|lc)|(penalty))" /e /r /s</v>
      </c>
      <c r="U27" s="9" t="str">
        <f t="shared" si="2"/>
        <v>4044</v>
      </c>
      <c r="V27" s="36">
        <f t="shared" si="3"/>
        <v>42666.60596064815</v>
      </c>
      <c r="W27" s="50" t="str">
        <f t="shared" si="4"/>
        <v>NW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{"issue":{"subject":"","project_id":79,"tracker_id":40,"status_id":1,"priority_id":2,"assigned_to_id":23,"start_date":"2016-10-23","description":"","custom_fields":[{"id":1,"name":"Subdivision","value":"NW"},{"id":4,"name":"Milepost","value":"5.7008"},{"id":17,"name":"Train ID","value":"1805-23"},{"id":16,"name":"Locomotive ID","value":"4044"},{"id":130,"name":"Impact","value":""},{"id":150,"name":"Time of Event (Mountain Time)","value":"08:32:35"},{"id":151,"name":"Denver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"%USERPROFILE%\AppData\Local\Temp\OnboardLogs"\RTDC4044\*4044*201610231* | grep -SE "((Enforcement Ac)|(PRM))" -</v>
      </c>
      <c r="AD27" s="1"/>
    </row>
    <row r="28" spans="1:30" x14ac:dyDescent="0.25">
      <c r="A28" s="36">
        <v>42666.606909722221</v>
      </c>
      <c r="B28" s="31" t="s">
        <v>196</v>
      </c>
      <c r="C28" s="31" t="s">
        <v>422</v>
      </c>
      <c r="D28" s="31" t="s">
        <v>49</v>
      </c>
      <c r="E28" s="31" t="s">
        <v>241</v>
      </c>
      <c r="F28" s="47">
        <v>150</v>
      </c>
      <c r="G28" s="47">
        <v>378</v>
      </c>
      <c r="H28" s="47">
        <v>55406</v>
      </c>
      <c r="I28" s="47">
        <v>56376</v>
      </c>
      <c r="J28" s="31" t="s">
        <v>242</v>
      </c>
      <c r="K28" s="47">
        <v>57008</v>
      </c>
      <c r="L28" s="157" t="s">
        <v>50</v>
      </c>
      <c r="M28" s="158">
        <f t="shared" si="0"/>
        <v>333.69600000000003</v>
      </c>
      <c r="N28" s="159" t="str">
        <f>VLOOKUP(C28,'Trips&amp;Operators'!$C$1:$E$99999,3,FALSE)</f>
        <v>ADANE</v>
      </c>
      <c r="O28" s="184" t="s">
        <v>240</v>
      </c>
      <c r="P28" s="160"/>
      <c r="Q28" s="31"/>
      <c r="R28" s="100" t="str">
        <f>VLOOKUP(C28,'Train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28" s="103" t="str">
        <f>VLOOKUP(C28,'Train Runs'!$A$13:$AE$10022,22,0)</f>
        <v>https://search-rtdc-monitor-bjffxe2xuh6vdkpspy63sjmuny.us-east-1.es.amazonaws.com/_plugin/kibana/#/discover/Steve-Slow-Train-Analysis-(2080s-and-2083s)?_g=(refreshInterval:(display:Off,section:0,value:0),time:(from:'2016-10-23 13:11:59-0600',mode:absolute,to:'2016-10-23 15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8" s="105" t="str">
        <f t="shared" si="1"/>
        <v>"C:\Program Files (x86)\AstroGrep\AstroGrep.exe" /spath="%USERPROFILE%\AppData\Local\Temp\OnboardLogs" /stypes="*4044*201610232*" /stext=" 20:.+((SYSTEM_STATE.+slice.+state.+changed )|(ment ac)|(system.+state.+changed )|(\[timeout)|(PRM\|1\|D)|(kpr)|(kdp)|(\|lc)|(penalty))" /e /r /s</v>
      </c>
      <c r="U28" s="9" t="str">
        <f t="shared" si="2"/>
        <v>4044</v>
      </c>
      <c r="V28" s="36">
        <f t="shared" si="3"/>
        <v>42666.856909722221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{"issue":{"subject":"","project_id":79,"tracker_id":40,"status_id":1,"priority_id":2,"assigned_to_id":23,"start_date":"2016-10-23","description":"","custom_fields":[{"id":1,"name":"Subdivision","value":"NW"},{"id":4,"name":"Milepost","value":"5.7008"},{"id":17,"name":"Train ID","value":"1817-23"},{"id":16,"name":"Locomotive ID","value":"4044"},{"id":130,"name":"Impact","value":""},{"id":150,"name":"Time of Event (Mountain Time)","value":"14:33:57"},{"id":151,"name":"Denver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"%USERPROFILE%\AppData\Local\Temp\OnboardLogs"\RTDC4044\*4044*201610232* | grep -SE "((Enforcement Ac)|(PRM))" -</v>
      </c>
      <c r="AD28" s="1"/>
    </row>
    <row r="29" spans="1:30" x14ac:dyDescent="0.25">
      <c r="A29" s="36">
        <v>42666.371678240743</v>
      </c>
      <c r="B29" s="31" t="s">
        <v>211</v>
      </c>
      <c r="C29" s="31" t="s">
        <v>416</v>
      </c>
      <c r="D29" s="31" t="s">
        <v>49</v>
      </c>
      <c r="E29" s="31" t="s">
        <v>246</v>
      </c>
      <c r="F29" s="47">
        <v>0</v>
      </c>
      <c r="G29" s="47">
        <v>64</v>
      </c>
      <c r="H29" s="47">
        <v>867</v>
      </c>
      <c r="I29" s="47">
        <v>794</v>
      </c>
      <c r="J29" s="31" t="s">
        <v>247</v>
      </c>
      <c r="K29" s="47">
        <v>575</v>
      </c>
      <c r="L29" s="157" t="s">
        <v>51</v>
      </c>
      <c r="M29" s="158">
        <f t="shared" si="0"/>
        <v>115.63200000000001</v>
      </c>
      <c r="N29" s="159" t="str">
        <f>VLOOKUP(C29,'Trips&amp;Operators'!$C$1:$E$99999,3,FALSE)</f>
        <v>STARKS</v>
      </c>
      <c r="O29" s="184" t="s">
        <v>240</v>
      </c>
      <c r="P29" s="160"/>
      <c r="Q29" s="31"/>
      <c r="R29" s="100" t="str">
        <f>VLOOKUP(C29,'Train Runs'!$A$13:$AE$10022,31,0)</f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S29" s="103" t="str">
        <f>VLOOKUP(C29,'Train Runs'!$A$13:$AE$10022,22,0)</f>
        <v>https://search-rtdc-monitor-bjffxe2xuh6vdkpspy63sjmuny.us-east-1.es.amazonaws.com/_plugin/kibana/#/discover/Steve-Slow-Train-Analysis-(2080s-and-2083s)?_g=(refreshInterval:(display:Off,section:0,value:0),time:(from:'2016-10-23 07:37:13-0600',mode:absolute,to:'2016-10-23 09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9" s="105" t="str">
        <f t="shared" si="1"/>
        <v>"C:\Program Files (x86)\AstroGrep\AstroGrep.exe" /spath="%USERPROFILE%\AppData\Local\Temp\OnboardLogs" /stypes="*4043*201610231*" /stext=" 14:.+((SYSTEM_STATE.+slice.+state.+changed )|(ment ac)|(system.+state.+changed )|(\[timeout)|(PRM\|1\|D)|(kpr)|(kdp)|(\|lc)|(penalty))" /e /r /s</v>
      </c>
      <c r="U29" s="9" t="str">
        <f t="shared" si="2"/>
        <v>4043</v>
      </c>
      <c r="V29" s="36">
        <f t="shared" si="3"/>
        <v>42666.621678240743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{"issue":{"subject":"","project_id":79,"tracker_id":40,"status_id":1,"priority_id":2,"assigned_to_id":23,"start_date":"2016-10-23","description":"","custom_fields":[{"id":1,"name":"Subdivision","value":"NW"},{"id":4,"name":"Milepost","value":"0.0575"},{"id":17,"name":"Train ID","value":"1806-23"},{"id":16,"name":"Locomotive ID","value":"4043"},{"id":130,"name":"Impact","value":""},{"id":150,"name":"Time of Event (Mountain Time)","value":"08:55:13"},{"id":151,"name":"Denver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"%USERPROFILE%\AppData\Local\Temp\OnboardLogs"\RTDC4043\*4043*201610231* | grep -SE "((Enforcement Ac)|(PRM))" -</v>
      </c>
      <c r="AD29" s="1"/>
    </row>
    <row r="30" spans="1:30" x14ac:dyDescent="0.25">
      <c r="A30" s="36">
        <v>42666.496296296296</v>
      </c>
      <c r="B30" s="31" t="s">
        <v>211</v>
      </c>
      <c r="C30" s="31" t="s">
        <v>419</v>
      </c>
      <c r="D30" s="31" t="s">
        <v>49</v>
      </c>
      <c r="E30" s="31" t="s">
        <v>246</v>
      </c>
      <c r="F30" s="47">
        <v>0</v>
      </c>
      <c r="G30" s="47">
        <v>58</v>
      </c>
      <c r="H30" s="47">
        <v>783</v>
      </c>
      <c r="I30" s="47">
        <v>727</v>
      </c>
      <c r="J30" s="31" t="s">
        <v>247</v>
      </c>
      <c r="K30" s="47">
        <v>575</v>
      </c>
      <c r="L30" s="157" t="s">
        <v>51</v>
      </c>
      <c r="M30" s="158">
        <f t="shared" si="0"/>
        <v>80.256</v>
      </c>
      <c r="N30" s="159" t="str">
        <f>VLOOKUP(C30,'Trips&amp;Operators'!$C$1:$E$99999,3,FALSE)</f>
        <v>STARKS</v>
      </c>
      <c r="O30" s="184" t="s">
        <v>240</v>
      </c>
      <c r="P30" s="160"/>
      <c r="Q30" s="31"/>
      <c r="R30" s="100" t="str">
        <f>VLOOKUP(C30,'Train Runs'!$A$13:$AE$10022,31,0)</f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S30" s="103" t="str">
        <f>VLOOKUP(C30,'Train Runs'!$A$13:$AE$10022,22,0)</f>
        <v>https://search-rtdc-monitor-bjffxe2xuh6vdkpspy63sjmuny.us-east-1.es.amazonaws.com/_plugin/kibana/#/discover/Steve-Slow-Train-Analysis-(2080s-and-2083s)?_g=(refreshInterval:(display:Off,section:0,value:0),time:(from:'2016-10-23 10:37:14-0600',mode:absolute,to:'2016-10-23 12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0" s="105" t="str">
        <f t="shared" si="1"/>
        <v>"C:\Program Files (x86)\AstroGrep\AstroGrep.exe" /spath="%USERPROFILE%\AppData\Local\Temp\OnboardLogs" /stypes="*4043*201610231*" /stext=" 17:.+((SYSTEM_STATE.+slice.+state.+changed )|(ment ac)|(system.+state.+changed )|(\[timeout)|(PRM\|1\|D)|(kpr)|(kdp)|(\|lc)|(penalty))" /e /r /s</v>
      </c>
      <c r="U30" s="9" t="str">
        <f t="shared" si="2"/>
        <v>4043</v>
      </c>
      <c r="V30" s="36">
        <f t="shared" si="3"/>
        <v>42666.746296296296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{"issue":{"subject":"","project_id":79,"tracker_id":40,"status_id":1,"priority_id":2,"assigned_to_id":23,"start_date":"2016-10-23","description":"","custom_fields":[{"id":1,"name":"Subdivision","value":"NW"},{"id":4,"name":"Milepost","value":"0.0575"},{"id":17,"name":"Train ID","value":"1812-23"},{"id":16,"name":"Locomotive ID","value":"4043"},{"id":130,"name":"Impact","value":""},{"id":150,"name":"Time of Event (Mountain Time)","value":"11:54:40"},{"id":151,"name":"Denver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"%USERPROFILE%\AppData\Local\Temp\OnboardLogs"\RTDC4043\*4043*201610231* | grep -SE "((Enforcement Ac)|(PRM))" -</v>
      </c>
      <c r="AD30" s="1"/>
    </row>
    <row r="31" spans="1:30" ht="15" customHeight="1" x14ac:dyDescent="0.25">
      <c r="A31" s="36">
        <v>42666.6091087963</v>
      </c>
      <c r="B31" s="31" t="s">
        <v>196</v>
      </c>
      <c r="C31" s="31" t="s">
        <v>422</v>
      </c>
      <c r="D31" s="31" t="s">
        <v>49</v>
      </c>
      <c r="E31" s="31" t="s">
        <v>246</v>
      </c>
      <c r="F31" s="47">
        <v>0</v>
      </c>
      <c r="G31" s="47">
        <v>109</v>
      </c>
      <c r="H31" s="47">
        <v>58577</v>
      </c>
      <c r="I31" s="47">
        <v>58679</v>
      </c>
      <c r="J31" s="31" t="s">
        <v>247</v>
      </c>
      <c r="K31" s="47">
        <v>59058</v>
      </c>
      <c r="L31" s="157" t="s">
        <v>50</v>
      </c>
      <c r="M31" s="158">
        <f t="shared" si="0"/>
        <v>200.11199999999999</v>
      </c>
      <c r="N31" s="159" t="str">
        <f>VLOOKUP(C31,'Trips&amp;Operators'!$C$1:$E$99999,3,FALSE)</f>
        <v>ADANE</v>
      </c>
      <c r="O31" s="184" t="s">
        <v>240</v>
      </c>
      <c r="P31" s="160"/>
      <c r="Q31" s="31"/>
      <c r="R31" s="100" t="str">
        <f>VLOOKUP(C31,'Train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31" s="103" t="str">
        <f>VLOOKUP(C31,'Train Runs'!$A$13:$AE$10022,22,0)</f>
        <v>https://search-rtdc-monitor-bjffxe2xuh6vdkpspy63sjmuny.us-east-1.es.amazonaws.com/_plugin/kibana/#/discover/Steve-Slow-Train-Analysis-(2080s-and-2083s)?_g=(refreshInterval:(display:Off,section:0,value:0),time:(from:'2016-10-23 13:11:59-0600',mode:absolute,to:'2016-10-23 15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1" s="105" t="str">
        <f t="shared" si="1"/>
        <v>"C:\Program Files (x86)\AstroGrep\AstroGrep.exe" /spath="%USERPROFILE%\AppData\Local\Temp\OnboardLogs" /stypes="*4044*201610232*" /stext=" 20:.+((SYSTEM_STATE.+slice.+state.+changed )|(ment ac)|(system.+state.+changed )|(\[timeout)|(PRM\|1\|D)|(kpr)|(kdp)|(\|lc)|(penalty))" /e /r /s</v>
      </c>
      <c r="U31" s="9" t="str">
        <f t="shared" si="2"/>
        <v>4044</v>
      </c>
      <c r="V31" s="36">
        <f t="shared" si="3"/>
        <v>42666.8591087963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{"issue":{"subject":"","project_id":79,"tracker_id":40,"status_id":1,"priority_id":2,"assigned_to_id":23,"start_date":"2016-10-23","description":"","custom_fields":[{"id":1,"name":"Subdivision","value":"NW"},{"id":4,"name":"Milepost","value":"5.9058"},{"id":17,"name":"Train ID","value":"1817-23"},{"id":16,"name":"Locomotive ID","value":"4044"},{"id":130,"name":"Impact","value":""},{"id":150,"name":"Time of Event (Mountain Time)","value":"14:37:07"},{"id":151,"name":"Denver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"%USERPROFILE%\AppData\Local\Temp\OnboardLogs"\RTDC4044\*4044*201610232* | grep -SE "((Enforcement Ac)|(PRM))" -</v>
      </c>
      <c r="AD31" s="1"/>
    </row>
    <row r="32" spans="1:30" x14ac:dyDescent="0.25">
      <c r="A32" s="36">
        <v>42666.858472222222</v>
      </c>
      <c r="B32" s="31" t="s">
        <v>196</v>
      </c>
      <c r="C32" s="31" t="s">
        <v>431</v>
      </c>
      <c r="D32" s="31" t="s">
        <v>49</v>
      </c>
      <c r="E32" s="31" t="s">
        <v>246</v>
      </c>
      <c r="F32" s="47">
        <v>0</v>
      </c>
      <c r="G32" s="47">
        <v>51</v>
      </c>
      <c r="H32" s="47">
        <v>58867</v>
      </c>
      <c r="I32" s="47">
        <v>58910</v>
      </c>
      <c r="J32" s="31" t="s">
        <v>247</v>
      </c>
      <c r="K32" s="47">
        <v>59058</v>
      </c>
      <c r="L32" s="157" t="s">
        <v>50</v>
      </c>
      <c r="M32" s="158">
        <f t="shared" si="0"/>
        <v>78.144000000000005</v>
      </c>
      <c r="N32" s="159" t="str">
        <f>VLOOKUP(C32,'Trips&amp;Operators'!$C$1:$E$99999,3,FALSE)</f>
        <v>JACKSON</v>
      </c>
      <c r="O32" s="184" t="s">
        <v>240</v>
      </c>
      <c r="P32" s="160"/>
      <c r="Q32" s="31"/>
      <c r="R32" s="100" t="str">
        <f>VLOOKUP(C32,'Train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32" s="103" t="str">
        <f>VLOOKUP(C32,'Train Runs'!$A$13:$AE$10022,22,0)</f>
        <v>https://search-rtdc-monitor-bjffxe2xuh6vdkpspy63sjmuny.us-east-1.es.amazonaws.com/_plugin/kibana/#/discover/Steve-Slow-Train-Analysis-(2080s-and-2083s)?_g=(refreshInterval:(display:Off,section:0,value:0),time:(from:'2016-10-23 19:06:45-0600',mode:absolute,to:'2016-10-23 21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2" s="105" t="str">
        <f t="shared" si="1"/>
        <v>"C:\Program Files (x86)\AstroGrep\AstroGrep.exe" /spath="%USERPROFILE%\AppData\Local\Temp\OnboardLogs" /stypes="*4044*201610240*" /stext=" 02:.+((SYSTEM_STATE.+slice.+state.+changed )|(ment ac)|(system.+state.+changed )|(\[timeout)|(PRM\|1\|D)|(kpr)|(kdp)|(\|lc)|(penalty))" /e /r /s</v>
      </c>
      <c r="U32" s="9" t="str">
        <f t="shared" si="2"/>
        <v>4044</v>
      </c>
      <c r="V32" s="36">
        <f t="shared" si="3"/>
        <v>42667.108472222222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{"issue":{"subject":"","project_id":79,"tracker_id":40,"status_id":1,"priority_id":2,"assigned_to_id":23,"start_date":"2016-10-23","description":"","custom_fields":[{"id":1,"name":"Subdivision","value":"NW"},{"id":4,"name":"Milepost","value":"5.9058"},{"id":17,"name":"Train ID","value":"1829-23"},{"id":16,"name":"Locomotive ID","value":"4044"},{"id":130,"name":"Impact","value":""},{"id":150,"name":"Time of Event (Mountain Time)","value":"20:36:12"},{"id":151,"name":"Denver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"%USERPROFILE%\AppData\Local\Temp\OnboardLogs"\RTDC4044\*4044*201610240* | grep -SE "((Enforcement Ac)|(PRM))" -</v>
      </c>
      <c r="AD32" s="1"/>
    </row>
    <row r="33" spans="1:30" ht="15" customHeight="1" x14ac:dyDescent="0.25">
      <c r="A33" s="36">
        <v>42666.760011574072</v>
      </c>
      <c r="B33" s="31" t="s">
        <v>253</v>
      </c>
      <c r="C33" s="31" t="s">
        <v>429</v>
      </c>
      <c r="D33" s="31" t="s">
        <v>49</v>
      </c>
      <c r="E33" s="31" t="s">
        <v>155</v>
      </c>
      <c r="F33" s="47">
        <v>0</v>
      </c>
      <c r="G33" s="47">
        <v>323</v>
      </c>
      <c r="H33" s="47">
        <v>16610</v>
      </c>
      <c r="I33" s="47">
        <v>16074</v>
      </c>
      <c r="J33" s="31" t="s">
        <v>154</v>
      </c>
      <c r="K33" s="47">
        <v>15777</v>
      </c>
      <c r="L33" s="157" t="s">
        <v>51</v>
      </c>
      <c r="M33" s="158">
        <f t="shared" si="0"/>
        <v>156.816</v>
      </c>
      <c r="N33" s="159" t="str">
        <f>VLOOKUP(C33,'Trips&amp;Operators'!$C$1:$E$99999,3,FALSE)</f>
        <v>DELGADO</v>
      </c>
      <c r="O33" s="184" t="s">
        <v>240</v>
      </c>
      <c r="P33" s="160"/>
      <c r="Q33" s="31"/>
      <c r="R33" s="100" t="str">
        <f>VLOOKUP(C33,'Train Runs'!$A$13:$AE$10022,31,0)</f>
        <v>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 &amp; 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</v>
      </c>
      <c r="S33" s="103" t="str">
        <f>VLOOKUP(C33,'Train Runs'!$A$13:$AE$10022,22,0)</f>
        <v>https://search-rtdc-monitor-bjffxe2xuh6vdkpspy63sjmuny.us-east-1.es.amazonaws.com/_plugin/kibana/#/discover/Steve-Slow-Train-Analysis-(2080s-and-2083s)?_g=(refreshInterval:(display:Off,section:0,value:0),time:(from:'2016-10-23 17:10:41-0600',mode:absolute,to:'2016-10-23 19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3" s="105" t="str">
        <f t="shared" si="1"/>
        <v>"C:\Program Files (x86)\AstroGrep\AstroGrep.exe" /spath="%USERPROFILE%\AppData\Local\Temp\OnboardLogs" /stypes="*4041*201610240*" /stext=" 00:.+((SYSTEM_STATE.+slice.+state.+changed )|(ment ac)|(system.+state.+changed )|(\[timeout)|(PRM\|1\|D)|(kpr)|(kdp)|(\|lc)|(penalty))" /e /r /s</v>
      </c>
      <c r="U33" s="9" t="str">
        <f t="shared" si="2"/>
        <v>4041</v>
      </c>
      <c r="V33" s="36">
        <f t="shared" si="3"/>
        <v>42667.010011574072</v>
      </c>
      <c r="W33" s="50" t="str">
        <f t="shared" si="4"/>
        <v>Other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{"issue":{"subject":"","project_id":79,"tracker_id":40,"status_id":1,"priority_id":2,"assigned_to_id":23,"start_date":"2016-10-23","description":"","custom_fields":[{"id":1,"name":"Subdivision","value":"Other"},{"id":4,"name":"Milepost","value":"1.5777"},{"id":17,"name":"Train ID","value":"60-23"},{"id":16,"name":"Locomotive ID","value":"4041"},{"id":130,"name":"Impact","value":""},{"id":150,"name":"Time of Event (Mountain Time)","value":"18:14:25"},{"id":151,"name":"Denver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"%USERPROFILE%\AppData\Local\Temp\OnboardLogs"\RTDC4041\*4041*201610240* | grep -SE "((Enforcement Ac)|(PRM))" -</v>
      </c>
      <c r="AD33" s="1"/>
    </row>
    <row r="34" spans="1:30" x14ac:dyDescent="0.25">
      <c r="A34" s="36">
        <v>42666.499583333331</v>
      </c>
      <c r="B34" s="31" t="s">
        <v>376</v>
      </c>
      <c r="C34" s="31" t="s">
        <v>420</v>
      </c>
      <c r="D34" s="31" t="s">
        <v>98</v>
      </c>
      <c r="E34" s="31" t="s">
        <v>241</v>
      </c>
      <c r="F34" s="47">
        <v>150</v>
      </c>
      <c r="G34" s="47">
        <v>204</v>
      </c>
      <c r="H34" s="47">
        <v>5054</v>
      </c>
      <c r="I34" s="47">
        <v>5431</v>
      </c>
      <c r="J34" s="31" t="s">
        <v>242</v>
      </c>
      <c r="K34" s="47">
        <v>825</v>
      </c>
      <c r="L34" s="157" t="s">
        <v>50</v>
      </c>
      <c r="M34" s="158">
        <f t="shared" si="0"/>
        <v>-2431.9679999999998</v>
      </c>
      <c r="N34" s="159" t="str">
        <f>VLOOKUP(C34,'Trips&amp;Operators'!$C$1:$E$99999,3,FALSE)</f>
        <v>MALAVE</v>
      </c>
      <c r="O34" s="184" t="s">
        <v>240</v>
      </c>
      <c r="P34" s="160"/>
      <c r="Q34" s="31"/>
      <c r="R34" s="100" t="str">
        <f>VLOOKUP(C34,'Train Runs'!$A$13:$AE$10022,31,0)</f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S34" s="103" t="str">
        <f>VLOOKUP(C34,'Train Runs'!$A$13:$AE$10022,22,0)</f>
        <v>https://search-rtdc-monitor-bjffxe2xuh6vdkpspy63sjmuny.us-east-1.es.amazonaws.com/_plugin/kibana/#/discover/Steve-Slow-Train-Analysis-(2080s-and-2083s)?_g=(refreshInterval:(display:Off,section:0,value:0),time:(from:'2016-10-23 10:55:45-0600',mode:absolute,to:'1969-12-31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34" s="105" t="str">
        <f t="shared" si="1"/>
        <v>"C:\Program Files (x86)\AstroGrep\AstroGrep.exe" /spath="%USERPROFILE%\AppData\Local\Temp\OnboardLogs" /stypes="*4006*201610231*" /stext=" 17:.+((SYSTEM_STATE.+slice.+state.+changed )|(ment ac)|(system.+state.+changed )|(\[timeout)|(PRM\|1\|D)|(kpr)|(kdp)|(\|lc)|(penalty))" /e /r /s</v>
      </c>
      <c r="U34" s="9" t="str">
        <f t="shared" si="2"/>
        <v>4006</v>
      </c>
      <c r="V34" s="36">
        <f t="shared" si="3"/>
        <v>42666.749583333331</v>
      </c>
      <c r="W34" s="50" t="str">
        <f t="shared" si="4"/>
        <v>Other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{"issue":{"subject":"","project_id":79,"tracker_id":40,"status_id":1,"priority_id":2,"assigned_to_id":23,"start_date":"2016-10-23","description":"","custom_fields":[{"id":1,"name":"Subdivision","value":"Other"},{"id":4,"name":"Milepost","value":"0.0825"},{"id":17,"name":"Train ID","value":"51-23"},{"id":16,"name":"Locomotive ID","value":"4006"},{"id":130,"name":"Impact","value":""},{"id":150,"name":"Time of Event (Mountain Time)","value":"11:59:24"},{"id":151,"name":"Denver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"%USERPROFILE%\AppData\Local\Temp\OnboardLogs"\RTDC4006\*4006*201610231* | grep -SE "((Enforcement Ac)|(PRM))" -</v>
      </c>
      <c r="AD34" s="1"/>
    </row>
    <row r="35" spans="1:30" x14ac:dyDescent="0.25">
      <c r="A35" s="36">
        <v>42666.766851851855</v>
      </c>
      <c r="B35" s="31" t="s">
        <v>253</v>
      </c>
      <c r="C35" s="31" t="s">
        <v>429</v>
      </c>
      <c r="D35" s="31" t="s">
        <v>49</v>
      </c>
      <c r="E35" s="31" t="s">
        <v>246</v>
      </c>
      <c r="F35" s="47">
        <v>0</v>
      </c>
      <c r="G35" s="47">
        <v>23</v>
      </c>
      <c r="H35" s="47">
        <v>909</v>
      </c>
      <c r="I35" s="47">
        <v>894</v>
      </c>
      <c r="J35" s="31" t="s">
        <v>247</v>
      </c>
      <c r="K35" s="47">
        <v>839</v>
      </c>
      <c r="L35" s="157" t="s">
        <v>51</v>
      </c>
      <c r="M35" s="158">
        <f t="shared" si="0"/>
        <v>29.04</v>
      </c>
      <c r="N35" s="159" t="str">
        <f>VLOOKUP(C35,'Trips&amp;Operators'!$C$1:$E$99999,3,FALSE)</f>
        <v>DELGADO</v>
      </c>
      <c r="O35" s="184" t="s">
        <v>240</v>
      </c>
      <c r="P35" s="160"/>
      <c r="Q35" s="31"/>
      <c r="R35" s="100" t="str">
        <f>VLOOKUP(C35,'Train Runs'!$A$13:$AE$10022,31,0)</f>
        <v>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 &amp; 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</v>
      </c>
      <c r="S35" s="103" t="str">
        <f>VLOOKUP(C35,'Train Runs'!$A$13:$AE$10022,22,0)</f>
        <v>https://search-rtdc-monitor-bjffxe2xuh6vdkpspy63sjmuny.us-east-1.es.amazonaws.com/_plugin/kibana/#/discover/Steve-Slow-Train-Analysis-(2080s-and-2083s)?_g=(refreshInterval:(display:Off,section:0,value:0),time:(from:'2016-10-23 17:10:41-0600',mode:absolute,to:'2016-10-23 19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5" s="105" t="str">
        <f t="shared" si="1"/>
        <v>"C:\Program Files (x86)\AstroGrep\AstroGrep.exe" /spath="%USERPROFILE%\AppData\Local\Temp\OnboardLogs" /stypes="*4041*201610240*" /stext=" 00:.+((SYSTEM_STATE.+slice.+state.+changed )|(ment ac)|(system.+state.+changed )|(\[timeout)|(PRM\|1\|D)|(kpr)|(kdp)|(\|lc)|(penalty))" /e /r /s</v>
      </c>
      <c r="U35" s="9" t="str">
        <f t="shared" si="2"/>
        <v>4041</v>
      </c>
      <c r="V35" s="36">
        <f t="shared" si="3"/>
        <v>42667.016851851855</v>
      </c>
      <c r="W35" s="50" t="str">
        <f t="shared" si="4"/>
        <v>Other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{"issue":{"subject":"","project_id":79,"tracker_id":40,"status_id":1,"priority_id":2,"assigned_to_id":23,"start_date":"2016-10-23","description":"","custom_fields":[{"id":1,"name":"Subdivision","value":"Other"},{"id":4,"name":"Milepost","value":"0.0839"},{"id":17,"name":"Train ID","value":"60-23"},{"id":16,"name":"Locomotive ID","value":"4041"},{"id":130,"name":"Impact","value":""},{"id":150,"name":"Time of Event (Mountain Time)","value":"18:24:16"},{"id":151,"name":"Denver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"%USERPROFILE%\AppData\Local\Temp\OnboardLogs"\RTDC4041\*4041*201610240* | grep -SE "((Enforcement Ac)|(PRM))" -</v>
      </c>
      <c r="AD35" s="1"/>
    </row>
    <row r="36" spans="1:30" x14ac:dyDescent="0.25">
      <c r="A36"/>
      <c r="D36"/>
      <c r="E36"/>
      <c r="F36"/>
      <c r="G36"/>
      <c r="H36"/>
      <c r="I36"/>
      <c r="J36" s="31" t="s">
        <v>245</v>
      </c>
      <c r="K36"/>
      <c r="L36"/>
      <c r="M36"/>
      <c r="N36"/>
      <c r="O36"/>
      <c r="P36"/>
      <c r="Q36" s="31"/>
      <c r="R36"/>
      <c r="S36"/>
      <c r="T36"/>
      <c r="V36"/>
      <c r="X36" s="50" t="str">
        <f t="shared" si="5"/>
        <v>KEEP</v>
      </c>
      <c r="AC36"/>
    </row>
  </sheetData>
  <autoFilter ref="A6:AC3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37:O1048576">
    <cfRule type="cellIs" dxfId="5" priority="17" operator="equal">
      <formula>"Y"</formula>
    </cfRule>
  </conditionalFormatting>
  <conditionalFormatting sqref="O2:O3">
    <cfRule type="cellIs" dxfId="4" priority="8" operator="equal">
      <formula>"Y"</formula>
    </cfRule>
  </conditionalFormatting>
  <conditionalFormatting sqref="O7:O35">
    <cfRule type="cellIs" dxfId="3" priority="2" operator="equal">
      <formula>"Y"</formula>
    </cfRule>
  </conditionalFormatting>
  <conditionalFormatting sqref="J36 A7:P35">
    <cfRule type="expression" dxfId="2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AB7:AB35</xm:sqref>
        </x14:dataValidation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2016-10-23</v>
      </c>
      <c r="C1" s="186"/>
      <c r="D1" s="186"/>
      <c r="E1" s="186"/>
      <c r="F1" s="186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/>
      <c r="B3" s="47" t="str">
        <f>A3&amp;"-"&amp;IF(DAY(Variables!$A$2)&lt;10,0,"")&amp;DAY(Variables!$A$2)</f>
        <v>-23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3" s="31" t="e">
        <f>VLOOKUP(B3,'Train Runs'!$A$13:$A$100019,1,FALSE)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-23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4" s="31" t="e">
        <f>VLOOKUP(B4,'Train Runs'!$A$13:$A$100019,1,FALSE)</f>
        <v>#N/A</v>
      </c>
      <c r="K4" s="21" t="e">
        <f t="shared" si="1"/>
        <v>#N/A</v>
      </c>
    </row>
    <row r="5" spans="1:11" x14ac:dyDescent="0.25">
      <c r="A5" s="178"/>
      <c r="B5" s="47" t="str">
        <f>A5&amp;"-"&amp;IF(DAY(Variables!$A$2)&lt;10,0,"")&amp;DAY(Variables!$A$2)</f>
        <v>-23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5" s="31" t="e">
        <f>VLOOKUP(B5,'Train Runs'!$A$13:$A$100019,1,FALSE)</f>
        <v>#N/A</v>
      </c>
      <c r="K5" s="21" t="e">
        <f t="shared" si="1"/>
        <v>#N/A</v>
      </c>
    </row>
    <row r="6" spans="1:11" x14ac:dyDescent="0.25">
      <c r="A6" s="178"/>
      <c r="B6" s="47" t="str">
        <f>A6&amp;"-"&amp;IF(DAY(Variables!$A$2)&lt;10,0,"")&amp;DAY(Variables!$A$2)</f>
        <v>-23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6" s="31" t="e">
        <f>VLOOKUP(B6,'Train Runs'!$A$13:$A$100019,1,FALSE)</f>
        <v>#N/A</v>
      </c>
      <c r="K6" s="21" t="e">
        <f t="shared" si="1"/>
        <v>#N/A</v>
      </c>
    </row>
    <row r="7" spans="1:11" x14ac:dyDescent="0.25">
      <c r="A7" s="178"/>
      <c r="B7" s="47" t="str">
        <f>A7&amp;"-"&amp;IF(DAY(Variables!$A$2)&lt;10,0,"")&amp;DAY(Variables!$A$2)</f>
        <v>-23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7" s="31" t="e">
        <f>VLOOKUP(B7,'Train Runs'!$A$13:$A$100019,1,FALSE)</f>
        <v>#N/A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-23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8" s="31" t="e">
        <f>VLOOKUP(B8,'Train Runs'!$A$13:$A$100019,1,FALSE)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-23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9" s="31" t="e">
        <f>VLOOKUP(B9,'Train Runs'!$A$13:$A$100019,1,FALSE)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-23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0" s="31" t="e">
        <f>VLOOKUP(B10,'Train Runs'!$A$13:$A$100019,1,FALSE)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-23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1" s="31" t="e">
        <f>VLOOKUP(B11,'Train Runs'!$A$13:$A$100019,1,FALSE)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-23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2" s="31" t="e">
        <f>VLOOKUP(B12,'Train Runs'!$A$13:$A$100019,1,FALSE)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-23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3" s="31" t="e">
        <f>VLOOKUP(B13,'Train Runs'!$A$13:$A$100019,1,FALSE)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-23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4" s="31" t="e">
        <f>VLOOKUP(B14,'Train Runs'!$A$13:$A$100019,1,FALSE)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-23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5" s="31" t="e">
        <f>VLOOKUP(B15,'Train Runs'!$A$13:$A$100019,1,FALSE)</f>
        <v>#N/A</v>
      </c>
      <c r="K15" s="21" t="e">
        <f t="shared" si="1"/>
        <v>#N/A</v>
      </c>
    </row>
    <row r="16" spans="1:11" x14ac:dyDescent="0.25">
      <c r="A16" s="178"/>
      <c r="B16" s="47" t="str">
        <f>A16&amp;"-"&amp;IF(DAY(Variables!$A$2)&lt;10,0,"")&amp;DAY(Variables!$A$2)</f>
        <v>-23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6" s="31" t="e">
        <f>VLOOKUP(B16,'Train Runs'!$A$13:$A$100019,1,FALSE)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42666.034155092595</v>
      </c>
      <c r="B2" s="21" t="s">
        <v>370</v>
      </c>
      <c r="C2" s="21" t="s">
        <v>377</v>
      </c>
      <c r="D2" s="21">
        <v>2360000</v>
      </c>
      <c r="E2" s="21" t="s">
        <v>374</v>
      </c>
      <c r="F2" s="21" t="str">
        <f t="shared" ref="F2:F65" si="0">B2</f>
        <v>rtdc.l.rtdc.4011:itc</v>
      </c>
      <c r="G2" s="8">
        <f t="shared" ref="G2:G65" si="1">A2</f>
        <v>42666.034155092595</v>
      </c>
    </row>
    <row r="3" spans="1:7" x14ac:dyDescent="0.25">
      <c r="A3" s="8">
        <v>42666.038136574076</v>
      </c>
      <c r="B3" s="21" t="s">
        <v>313</v>
      </c>
      <c r="C3" s="21" t="s">
        <v>378</v>
      </c>
      <c r="D3" s="21">
        <v>1800000</v>
      </c>
      <c r="E3" s="21" t="s">
        <v>209</v>
      </c>
      <c r="F3" s="21" t="str">
        <f t="shared" si="0"/>
        <v>rtdc.l.rtdc.4037:itc</v>
      </c>
      <c r="G3" s="8">
        <f t="shared" si="1"/>
        <v>42666.038136574076</v>
      </c>
    </row>
    <row r="4" spans="1:7" x14ac:dyDescent="0.25">
      <c r="A4" s="8">
        <v>42666.046712962961</v>
      </c>
      <c r="B4" s="21" t="s">
        <v>271</v>
      </c>
      <c r="C4" s="21" t="s">
        <v>379</v>
      </c>
      <c r="D4" s="21">
        <v>1810000</v>
      </c>
      <c r="E4" s="21" t="s">
        <v>318</v>
      </c>
      <c r="F4" s="21" t="str">
        <f t="shared" si="0"/>
        <v>rtdc.l.rtdc.4053:itc</v>
      </c>
      <c r="G4" s="8">
        <f t="shared" si="1"/>
        <v>42666.046712962961</v>
      </c>
    </row>
    <row r="5" spans="1:7" x14ac:dyDescent="0.25">
      <c r="A5" s="8">
        <v>42666.054224537038</v>
      </c>
      <c r="B5" s="21" t="s">
        <v>253</v>
      </c>
      <c r="C5" s="21" t="s">
        <v>380</v>
      </c>
      <c r="D5" s="21">
        <v>2260000</v>
      </c>
      <c r="E5" s="21" t="s">
        <v>375</v>
      </c>
      <c r="F5" s="21" t="str">
        <f t="shared" si="0"/>
        <v>rtdc.l.rtdc.4041:itc</v>
      </c>
      <c r="G5" s="8">
        <f t="shared" si="1"/>
        <v>42666.054224537038</v>
      </c>
    </row>
    <row r="6" spans="1:7" x14ac:dyDescent="0.25">
      <c r="A6" s="8">
        <v>42666.056134259263</v>
      </c>
      <c r="B6" s="21" t="s">
        <v>253</v>
      </c>
      <c r="C6" s="21" t="s">
        <v>380</v>
      </c>
      <c r="D6" s="21">
        <v>2260000</v>
      </c>
      <c r="E6" s="21" t="s">
        <v>375</v>
      </c>
      <c r="F6" s="21" t="str">
        <f t="shared" si="0"/>
        <v>rtdc.l.rtdc.4041:itc</v>
      </c>
      <c r="G6" s="8">
        <f t="shared" si="1"/>
        <v>42666.056134259263</v>
      </c>
    </row>
    <row r="7" spans="1:7" x14ac:dyDescent="0.25">
      <c r="A7" s="8">
        <v>42666.072164351855</v>
      </c>
      <c r="B7" s="21" t="s">
        <v>316</v>
      </c>
      <c r="C7" s="21" t="s">
        <v>381</v>
      </c>
      <c r="D7" s="21">
        <v>1800000</v>
      </c>
      <c r="E7" s="21" t="s">
        <v>209</v>
      </c>
      <c r="F7" s="21" t="str">
        <f t="shared" si="0"/>
        <v>rtdc.l.rtdc.4038:itc</v>
      </c>
      <c r="G7" s="8">
        <f t="shared" si="1"/>
        <v>42666.072164351855</v>
      </c>
    </row>
    <row r="8" spans="1:7" x14ac:dyDescent="0.25">
      <c r="A8" s="8">
        <v>42666.077187499999</v>
      </c>
      <c r="B8" s="21" t="s">
        <v>260</v>
      </c>
      <c r="C8" s="21" t="s">
        <v>382</v>
      </c>
      <c r="D8" s="21">
        <v>2360000</v>
      </c>
      <c r="E8" s="21" t="s">
        <v>374</v>
      </c>
      <c r="F8" s="21" t="str">
        <f t="shared" si="0"/>
        <v>rtdc.l.rtdc.4012:itc</v>
      </c>
      <c r="G8" s="8">
        <f t="shared" si="1"/>
        <v>42666.077187499999</v>
      </c>
    </row>
    <row r="9" spans="1:7" ht="15.75" thickBot="1" x14ac:dyDescent="0.3">
      <c r="A9" s="25">
        <v>42666.090810185182</v>
      </c>
      <c r="B9" s="21" t="s">
        <v>252</v>
      </c>
      <c r="C9" s="21" t="s">
        <v>383</v>
      </c>
      <c r="D9" s="21">
        <v>2260000</v>
      </c>
      <c r="E9" s="21" t="s">
        <v>375</v>
      </c>
      <c r="F9" s="21" t="str">
        <f t="shared" si="0"/>
        <v>rtdc.l.rtdc.4042:itc</v>
      </c>
      <c r="G9" s="8">
        <f t="shared" si="1"/>
        <v>42666.090810185182</v>
      </c>
    </row>
    <row r="10" spans="1:7" x14ac:dyDescent="0.25">
      <c r="A10" s="8">
        <v>42666.110706018517</v>
      </c>
      <c r="B10" s="21" t="s">
        <v>370</v>
      </c>
      <c r="C10" s="21" t="s">
        <v>384</v>
      </c>
      <c r="D10" s="21">
        <v>2360000</v>
      </c>
      <c r="E10" s="21" t="s">
        <v>374</v>
      </c>
      <c r="F10" s="21" t="str">
        <f t="shared" si="0"/>
        <v>rtdc.l.rtdc.4011:itc</v>
      </c>
      <c r="G10" s="8">
        <f t="shared" si="1"/>
        <v>42666.110706018517</v>
      </c>
    </row>
    <row r="11" spans="1:7" x14ac:dyDescent="0.25">
      <c r="A11" s="8">
        <v>42666.118703703702</v>
      </c>
      <c r="B11" s="21" t="s">
        <v>248</v>
      </c>
      <c r="C11" s="21" t="s">
        <v>433</v>
      </c>
      <c r="D11" s="21">
        <v>2140000</v>
      </c>
      <c r="E11" s="21" t="s">
        <v>434</v>
      </c>
      <c r="F11" s="21" t="str">
        <f t="shared" si="0"/>
        <v>rtdc.l.rtdc.4028:itc</v>
      </c>
      <c r="G11" s="8">
        <f t="shared" si="1"/>
        <v>42666.118703703702</v>
      </c>
    </row>
    <row r="12" spans="1:7" x14ac:dyDescent="0.25">
      <c r="A12" s="8">
        <v>42666.138796296298</v>
      </c>
      <c r="B12" s="21" t="s">
        <v>331</v>
      </c>
      <c r="C12" s="21" t="s">
        <v>435</v>
      </c>
      <c r="D12" s="21">
        <v>2140000</v>
      </c>
      <c r="E12" s="21" t="s">
        <v>434</v>
      </c>
      <c r="F12" s="21" t="str">
        <f t="shared" si="0"/>
        <v>rtdc.l.rtdc.4014:itc</v>
      </c>
      <c r="G12" s="8">
        <f t="shared" si="1"/>
        <v>42666.138796296298</v>
      </c>
    </row>
    <row r="13" spans="1:7" x14ac:dyDescent="0.25">
      <c r="A13" s="8">
        <v>42666.141365740739</v>
      </c>
      <c r="B13" s="21" t="s">
        <v>193</v>
      </c>
      <c r="C13" s="21" t="s">
        <v>436</v>
      </c>
      <c r="D13" s="21">
        <v>1260000</v>
      </c>
      <c r="E13" s="21" t="s">
        <v>371</v>
      </c>
      <c r="F13" s="21" t="str">
        <f t="shared" si="0"/>
        <v>rtdc.l.rtdc.4010:itc</v>
      </c>
      <c r="G13" s="8">
        <f t="shared" si="1"/>
        <v>42666.141365740739</v>
      </c>
    </row>
    <row r="14" spans="1:7" x14ac:dyDescent="0.25">
      <c r="A14" s="8">
        <v>42666.153807870367</v>
      </c>
      <c r="B14" s="21" t="s">
        <v>188</v>
      </c>
      <c r="C14" s="21" t="s">
        <v>437</v>
      </c>
      <c r="D14" s="21">
        <v>1260000</v>
      </c>
      <c r="E14" s="21" t="s">
        <v>371</v>
      </c>
      <c r="F14" s="21" t="str">
        <f t="shared" si="0"/>
        <v>rtdc.l.rtdc.4018:itc</v>
      </c>
      <c r="G14" s="8">
        <f t="shared" si="1"/>
        <v>42666.153807870367</v>
      </c>
    </row>
    <row r="15" spans="1:7" x14ac:dyDescent="0.25">
      <c r="A15" s="8">
        <v>42666.162928240738</v>
      </c>
      <c r="B15" s="21" t="s">
        <v>408</v>
      </c>
      <c r="C15" s="21" t="s">
        <v>438</v>
      </c>
      <c r="D15" s="21">
        <v>2010000</v>
      </c>
      <c r="E15" s="21" t="s">
        <v>303</v>
      </c>
      <c r="F15" s="21" t="str">
        <f t="shared" si="0"/>
        <v>rtdc.l.rtdc.4021:itc</v>
      </c>
      <c r="G15" s="8">
        <f t="shared" si="1"/>
        <v>42666.162928240738</v>
      </c>
    </row>
    <row r="16" spans="1:7" x14ac:dyDescent="0.25">
      <c r="A16" s="8">
        <v>42666.171840277777</v>
      </c>
      <c r="B16" s="21" t="s">
        <v>329</v>
      </c>
      <c r="C16" s="21" t="s">
        <v>439</v>
      </c>
      <c r="D16" s="21">
        <v>1990000</v>
      </c>
      <c r="E16" s="21" t="s">
        <v>335</v>
      </c>
      <c r="F16" s="21" t="str">
        <f t="shared" si="0"/>
        <v>rtdc.l.rtdc.4045:itc</v>
      </c>
      <c r="G16" s="8">
        <f t="shared" si="1"/>
        <v>42666.171840277777</v>
      </c>
    </row>
    <row r="17" spans="1:7" x14ac:dyDescent="0.25">
      <c r="A17" s="8">
        <v>42666.171944444446</v>
      </c>
      <c r="B17" s="21" t="s">
        <v>330</v>
      </c>
      <c r="C17" s="21" t="s">
        <v>407</v>
      </c>
      <c r="D17" s="21">
        <v>140000</v>
      </c>
      <c r="E17" s="21" t="s">
        <v>306</v>
      </c>
      <c r="F17" s="21" t="str">
        <f t="shared" si="0"/>
        <v>rtdc.l.rtdc.4013:itc</v>
      </c>
      <c r="G17" s="8">
        <f t="shared" si="1"/>
        <v>42666.171944444446</v>
      </c>
    </row>
    <row r="18" spans="1:7" x14ac:dyDescent="0.25">
      <c r="A18" s="8">
        <v>42666.174062500002</v>
      </c>
      <c r="B18" s="21" t="s">
        <v>440</v>
      </c>
      <c r="C18" s="21" t="s">
        <v>441</v>
      </c>
      <c r="D18" s="21">
        <v>2010000</v>
      </c>
      <c r="E18" s="21" t="s">
        <v>303</v>
      </c>
      <c r="F18" s="21" t="str">
        <f t="shared" si="0"/>
        <v>rtdc.l.rtdc.4040:itc</v>
      </c>
      <c r="G18" s="8">
        <f t="shared" si="1"/>
        <v>42666.174062500002</v>
      </c>
    </row>
    <row r="19" spans="1:7" x14ac:dyDescent="0.25">
      <c r="A19" s="8">
        <v>42666.178773148145</v>
      </c>
      <c r="B19" s="21" t="s">
        <v>411</v>
      </c>
      <c r="C19" s="21" t="s">
        <v>442</v>
      </c>
      <c r="D19" s="21">
        <v>1310000</v>
      </c>
      <c r="E19" s="21" t="s">
        <v>336</v>
      </c>
      <c r="F19" s="21" t="str">
        <f t="shared" si="0"/>
        <v>rtdc.l.rtdc.4026:itc</v>
      </c>
      <c r="G19" s="8">
        <f t="shared" si="1"/>
        <v>42666.178773148145</v>
      </c>
    </row>
    <row r="20" spans="1:7" x14ac:dyDescent="0.25">
      <c r="A20" s="8">
        <v>42666.179282407407</v>
      </c>
      <c r="B20" s="21" t="s">
        <v>411</v>
      </c>
      <c r="C20" s="21" t="s">
        <v>443</v>
      </c>
      <c r="D20" s="21">
        <v>1310000</v>
      </c>
      <c r="E20" s="21" t="s">
        <v>336</v>
      </c>
      <c r="F20" s="21" t="str">
        <f t="shared" si="0"/>
        <v>rtdc.l.rtdc.4026:itc</v>
      </c>
      <c r="G20" s="8">
        <f t="shared" si="1"/>
        <v>42666.179282407407</v>
      </c>
    </row>
    <row r="21" spans="1:7" x14ac:dyDescent="0.25">
      <c r="A21" s="8">
        <v>42666.18645833333</v>
      </c>
      <c r="B21" s="21" t="s">
        <v>198</v>
      </c>
      <c r="C21" s="21" t="s">
        <v>444</v>
      </c>
      <c r="D21" s="21">
        <v>1990000</v>
      </c>
      <c r="E21" s="21" t="s">
        <v>335</v>
      </c>
      <c r="F21" s="21" t="str">
        <f t="shared" si="0"/>
        <v>rtdc.l.rtdc.4046:itc</v>
      </c>
      <c r="G21" s="8">
        <f t="shared" si="1"/>
        <v>42666.18645833333</v>
      </c>
    </row>
    <row r="22" spans="1:7" x14ac:dyDescent="0.25">
      <c r="A22" s="27">
        <v>42666.19027777778</v>
      </c>
      <c r="B22" s="21" t="s">
        <v>193</v>
      </c>
      <c r="C22" s="21" t="s">
        <v>445</v>
      </c>
      <c r="D22" s="21">
        <v>1260000</v>
      </c>
      <c r="E22" s="21" t="s">
        <v>371</v>
      </c>
      <c r="F22" s="21" t="str">
        <f t="shared" si="0"/>
        <v>rtdc.l.rtdc.4010:itc</v>
      </c>
      <c r="G22" s="8">
        <f t="shared" si="1"/>
        <v>42666.19027777778</v>
      </c>
    </row>
    <row r="23" spans="1:7" x14ac:dyDescent="0.25">
      <c r="A23" s="8">
        <v>42666.191354166665</v>
      </c>
      <c r="B23" s="21" t="s">
        <v>281</v>
      </c>
      <c r="C23" s="21" t="s">
        <v>442</v>
      </c>
      <c r="D23" s="21">
        <v>1310000</v>
      </c>
      <c r="E23" s="21" t="s">
        <v>336</v>
      </c>
      <c r="F23" s="21" t="str">
        <f t="shared" si="0"/>
        <v>rtdc.l.rtdc.4016:itc</v>
      </c>
      <c r="G23" s="8">
        <f t="shared" si="1"/>
        <v>42666.191354166665</v>
      </c>
    </row>
    <row r="24" spans="1:7" x14ac:dyDescent="0.25">
      <c r="A24" s="8">
        <v>42666.195092592592</v>
      </c>
      <c r="B24" s="21" t="s">
        <v>281</v>
      </c>
      <c r="C24" s="21" t="s">
        <v>442</v>
      </c>
      <c r="D24" s="21">
        <v>1310000</v>
      </c>
      <c r="E24" s="21" t="s">
        <v>336</v>
      </c>
      <c r="F24" s="21" t="str">
        <f t="shared" si="0"/>
        <v>rtdc.l.rtdc.4016:itc</v>
      </c>
      <c r="G24" s="8">
        <f t="shared" si="1"/>
        <v>42666.195092592592</v>
      </c>
    </row>
    <row r="25" spans="1:7" x14ac:dyDescent="0.25">
      <c r="A25" s="8">
        <v>42666.204212962963</v>
      </c>
      <c r="B25" s="21" t="s">
        <v>446</v>
      </c>
      <c r="C25" s="21" t="s">
        <v>447</v>
      </c>
      <c r="D25" s="21">
        <v>2000000</v>
      </c>
      <c r="E25" s="21" t="s">
        <v>448</v>
      </c>
      <c r="F25" s="21" t="str">
        <f t="shared" si="0"/>
        <v>rtdc.l.rtdc.4025:itc</v>
      </c>
      <c r="G25" s="8">
        <f t="shared" si="1"/>
        <v>42666.204212962963</v>
      </c>
    </row>
    <row r="26" spans="1:7" x14ac:dyDescent="0.25">
      <c r="A26" s="8">
        <v>42666.212141203701</v>
      </c>
      <c r="B26" s="21" t="s">
        <v>333</v>
      </c>
      <c r="C26" s="21" t="s">
        <v>449</v>
      </c>
      <c r="D26" s="21">
        <v>2140000</v>
      </c>
      <c r="E26" s="21" t="s">
        <v>434</v>
      </c>
      <c r="F26" s="21" t="str">
        <f t="shared" si="0"/>
        <v>rtdc.l.rtdc.4027:itc</v>
      </c>
      <c r="G26" s="8">
        <f t="shared" si="1"/>
        <v>42666.212141203701</v>
      </c>
    </row>
    <row r="27" spans="1:7" x14ac:dyDescent="0.25">
      <c r="A27" s="8">
        <v>42666.212280092594</v>
      </c>
      <c r="B27" s="21" t="s">
        <v>408</v>
      </c>
      <c r="C27" s="21" t="s">
        <v>409</v>
      </c>
      <c r="D27" s="21">
        <v>2010000</v>
      </c>
      <c r="E27" s="21" t="s">
        <v>303</v>
      </c>
      <c r="F27" s="21" t="str">
        <f t="shared" si="0"/>
        <v>rtdc.l.rtdc.4021:itc</v>
      </c>
      <c r="G27" s="8">
        <f t="shared" si="1"/>
        <v>42666.212280092594</v>
      </c>
    </row>
    <row r="28" spans="1:7" x14ac:dyDescent="0.25">
      <c r="A28" s="8">
        <v>42666.213229166664</v>
      </c>
      <c r="B28" s="21" t="s">
        <v>333</v>
      </c>
      <c r="C28" s="21" t="s">
        <v>449</v>
      </c>
      <c r="D28" s="21">
        <v>2140000</v>
      </c>
      <c r="E28" s="21" t="s">
        <v>434</v>
      </c>
      <c r="F28" s="21" t="str">
        <f t="shared" si="0"/>
        <v>rtdc.l.rtdc.4027:itc</v>
      </c>
      <c r="G28" s="8">
        <f t="shared" si="1"/>
        <v>42666.213229166664</v>
      </c>
    </row>
    <row r="29" spans="1:7" x14ac:dyDescent="0.25">
      <c r="A29" s="8">
        <v>42666.214988425927</v>
      </c>
      <c r="B29" s="21" t="s">
        <v>333</v>
      </c>
      <c r="C29" s="21" t="s">
        <v>449</v>
      </c>
      <c r="D29" s="21">
        <v>2140000</v>
      </c>
      <c r="E29" s="21" t="s">
        <v>434</v>
      </c>
      <c r="F29" s="21" t="str">
        <f t="shared" si="0"/>
        <v>rtdc.l.rtdc.4027:itc</v>
      </c>
      <c r="G29" s="8">
        <f t="shared" si="1"/>
        <v>42666.214988425927</v>
      </c>
    </row>
    <row r="30" spans="1:7" x14ac:dyDescent="0.25">
      <c r="A30" s="8">
        <v>42666.219629629632</v>
      </c>
      <c r="B30" s="21" t="s">
        <v>329</v>
      </c>
      <c r="C30" s="21" t="s">
        <v>450</v>
      </c>
      <c r="D30" s="21">
        <v>1990000</v>
      </c>
      <c r="E30" s="21" t="s">
        <v>335</v>
      </c>
      <c r="F30" s="21" t="str">
        <f t="shared" si="0"/>
        <v>rtdc.l.rtdc.4045:itc</v>
      </c>
      <c r="G30" s="8">
        <f t="shared" si="1"/>
        <v>42666.219629629632</v>
      </c>
    </row>
    <row r="31" spans="1:7" x14ac:dyDescent="0.25">
      <c r="A31" s="8">
        <v>42666.222280092596</v>
      </c>
      <c r="B31" s="21" t="s">
        <v>196</v>
      </c>
      <c r="C31" s="21" t="s">
        <v>451</v>
      </c>
      <c r="D31" s="21">
        <v>1110000</v>
      </c>
      <c r="E31" s="21" t="s">
        <v>452</v>
      </c>
      <c r="F31" s="21" t="str">
        <f t="shared" si="0"/>
        <v>rtdc.l.rtdc.4044:itc</v>
      </c>
      <c r="G31" s="8">
        <f t="shared" si="1"/>
        <v>42666.222280092596</v>
      </c>
    </row>
    <row r="32" spans="1:7" x14ac:dyDescent="0.25">
      <c r="A32" s="8">
        <v>42666.223819444444</v>
      </c>
      <c r="B32" s="21" t="s">
        <v>196</v>
      </c>
      <c r="C32" s="21" t="s">
        <v>451</v>
      </c>
      <c r="D32" s="21">
        <v>1110000</v>
      </c>
      <c r="E32" s="21" t="s">
        <v>452</v>
      </c>
      <c r="F32" s="21" t="str">
        <f t="shared" si="0"/>
        <v>rtdc.l.rtdc.4044:itc</v>
      </c>
      <c r="G32" s="8">
        <f t="shared" si="1"/>
        <v>42666.223819444444</v>
      </c>
    </row>
    <row r="33" spans="1:7" x14ac:dyDescent="0.25">
      <c r="A33" s="8">
        <v>42666.225069444445</v>
      </c>
      <c r="B33" s="21" t="s">
        <v>188</v>
      </c>
      <c r="C33" s="21" t="s">
        <v>453</v>
      </c>
      <c r="D33" s="21">
        <v>1830000</v>
      </c>
      <c r="E33" s="21" t="s">
        <v>315</v>
      </c>
      <c r="F33" s="21" t="str">
        <f t="shared" si="0"/>
        <v>rtdc.l.rtdc.4018:itc</v>
      </c>
      <c r="G33" s="8">
        <f t="shared" si="1"/>
        <v>42666.225069444445</v>
      </c>
    </row>
    <row r="34" spans="1:7" x14ac:dyDescent="0.25">
      <c r="A34" s="8">
        <v>42666.233622685184</v>
      </c>
      <c r="B34" s="21" t="s">
        <v>194</v>
      </c>
      <c r="C34" s="21" t="s">
        <v>454</v>
      </c>
      <c r="D34" s="21">
        <v>1260000</v>
      </c>
      <c r="E34" s="21" t="s">
        <v>371</v>
      </c>
      <c r="F34" s="21" t="str">
        <f t="shared" si="0"/>
        <v>rtdc.l.rtdc.4009:itc</v>
      </c>
      <c r="G34" s="8">
        <f t="shared" si="1"/>
        <v>42666.233622685184</v>
      </c>
    </row>
    <row r="35" spans="1:7" x14ac:dyDescent="0.25">
      <c r="A35" s="8">
        <v>42666.233831018515</v>
      </c>
      <c r="B35" s="21" t="s">
        <v>282</v>
      </c>
      <c r="C35" s="21" t="s">
        <v>410</v>
      </c>
      <c r="D35" s="21">
        <v>1310000</v>
      </c>
      <c r="E35" s="21" t="s">
        <v>336</v>
      </c>
      <c r="F35" s="21" t="str">
        <f t="shared" si="0"/>
        <v>rtdc.l.rtdc.4015:itc</v>
      </c>
      <c r="G35" s="8">
        <f t="shared" si="1"/>
        <v>42666.233831018515</v>
      </c>
    </row>
    <row r="36" spans="1:7" x14ac:dyDescent="0.25">
      <c r="A36" s="8">
        <v>42666.234131944446</v>
      </c>
      <c r="B36" s="21" t="s">
        <v>211</v>
      </c>
      <c r="C36" s="21" t="s">
        <v>455</v>
      </c>
      <c r="D36" s="21">
        <v>1110000</v>
      </c>
      <c r="E36" s="21" t="s">
        <v>452</v>
      </c>
      <c r="F36" s="21" t="str">
        <f t="shared" si="0"/>
        <v>rtdc.l.rtdc.4043:itc</v>
      </c>
      <c r="G36" s="8">
        <f t="shared" si="1"/>
        <v>42666.234131944446</v>
      </c>
    </row>
    <row r="37" spans="1:7" x14ac:dyDescent="0.25">
      <c r="A37" s="8">
        <v>42666.23574074074</v>
      </c>
      <c r="B37" s="21" t="s">
        <v>211</v>
      </c>
      <c r="C37" s="21" t="s">
        <v>455</v>
      </c>
      <c r="D37" s="21">
        <v>1110000</v>
      </c>
      <c r="E37" s="21" t="s">
        <v>452</v>
      </c>
      <c r="F37" s="21" t="str">
        <f t="shared" si="0"/>
        <v>rtdc.l.rtdc.4043:itc</v>
      </c>
      <c r="G37" s="8">
        <f t="shared" si="1"/>
        <v>42666.23574074074</v>
      </c>
    </row>
    <row r="38" spans="1:7" x14ac:dyDescent="0.25">
      <c r="A38" s="8">
        <v>42666.236712962964</v>
      </c>
      <c r="B38" s="21" t="s">
        <v>211</v>
      </c>
      <c r="C38" s="21" t="s">
        <v>455</v>
      </c>
      <c r="D38" s="21">
        <v>1110000</v>
      </c>
      <c r="E38" s="21" t="s">
        <v>452</v>
      </c>
      <c r="F38" s="21" t="str">
        <f t="shared" si="0"/>
        <v>rtdc.l.rtdc.4043:itc</v>
      </c>
      <c r="G38" s="8">
        <f t="shared" si="1"/>
        <v>42666.236712962964</v>
      </c>
    </row>
    <row r="39" spans="1:7" x14ac:dyDescent="0.25">
      <c r="A39" s="8">
        <v>42666.243402777778</v>
      </c>
      <c r="B39" s="21" t="s">
        <v>411</v>
      </c>
      <c r="C39" s="21" t="s">
        <v>412</v>
      </c>
      <c r="D39" s="21">
        <v>2000000</v>
      </c>
      <c r="E39" s="21" t="s">
        <v>448</v>
      </c>
      <c r="F39" s="21" t="str">
        <f t="shared" si="0"/>
        <v>rtdc.l.rtdc.4026:itc</v>
      </c>
      <c r="G39" s="8">
        <f t="shared" si="1"/>
        <v>42666.243402777778</v>
      </c>
    </row>
    <row r="40" spans="1:7" x14ac:dyDescent="0.25">
      <c r="A40" s="8">
        <v>42666.247847222221</v>
      </c>
      <c r="B40" s="26" t="s">
        <v>440</v>
      </c>
      <c r="C40" s="21" t="s">
        <v>456</v>
      </c>
      <c r="D40" s="21">
        <v>2010000</v>
      </c>
      <c r="E40" s="21" t="s">
        <v>303</v>
      </c>
      <c r="F40" s="21" t="str">
        <f t="shared" si="0"/>
        <v>rtdc.l.rtdc.4040:itc</v>
      </c>
      <c r="G40" s="8">
        <f t="shared" si="1"/>
        <v>42666.247847222221</v>
      </c>
    </row>
    <row r="41" spans="1:7" x14ac:dyDescent="0.25">
      <c r="A41" s="8">
        <v>42666.248981481483</v>
      </c>
      <c r="B41" s="21" t="s">
        <v>440</v>
      </c>
      <c r="C41" s="21" t="s">
        <v>456</v>
      </c>
      <c r="D41" s="21">
        <v>2010000</v>
      </c>
      <c r="E41" s="21" t="s">
        <v>303</v>
      </c>
      <c r="F41" s="21" t="str">
        <f t="shared" si="0"/>
        <v>rtdc.l.rtdc.4040:itc</v>
      </c>
      <c r="G41" s="8">
        <f t="shared" si="1"/>
        <v>42666.248981481483</v>
      </c>
    </row>
    <row r="42" spans="1:7" x14ac:dyDescent="0.25">
      <c r="A42" s="8">
        <v>42666.250138888892</v>
      </c>
      <c r="B42" s="21" t="s">
        <v>196</v>
      </c>
      <c r="C42" s="21" t="s">
        <v>457</v>
      </c>
      <c r="D42" s="21">
        <v>1110000</v>
      </c>
      <c r="E42" s="21" t="s">
        <v>452</v>
      </c>
      <c r="F42" s="21" t="str">
        <f t="shared" si="0"/>
        <v>rtdc.l.rtdc.4044:itc</v>
      </c>
      <c r="G42" s="8">
        <f t="shared" si="1"/>
        <v>42666.250138888892</v>
      </c>
    </row>
    <row r="43" spans="1:7" x14ac:dyDescent="0.25">
      <c r="A43" s="8">
        <v>42666.251307870371</v>
      </c>
      <c r="B43" s="21" t="s">
        <v>248</v>
      </c>
      <c r="C43" s="21" t="s">
        <v>458</v>
      </c>
      <c r="D43" s="21">
        <v>2140000</v>
      </c>
      <c r="E43" s="21" t="s">
        <v>434</v>
      </c>
      <c r="F43" s="21" t="str">
        <f t="shared" si="0"/>
        <v>rtdc.l.rtdc.4028:itc</v>
      </c>
      <c r="G43" s="8">
        <f t="shared" si="1"/>
        <v>42666.251307870371</v>
      </c>
    </row>
    <row r="44" spans="1:7" x14ac:dyDescent="0.25">
      <c r="A44" s="8">
        <v>42666.255416666667</v>
      </c>
      <c r="B44" s="21" t="s">
        <v>243</v>
      </c>
      <c r="C44" s="21" t="s">
        <v>459</v>
      </c>
      <c r="D44" s="21">
        <v>1830000</v>
      </c>
      <c r="E44" s="21" t="s">
        <v>315</v>
      </c>
      <c r="F44" s="21" t="str">
        <f t="shared" si="0"/>
        <v>rtdc.l.rtdc.4017:itc</v>
      </c>
      <c r="G44" s="8">
        <f t="shared" si="1"/>
        <v>42666.255416666667</v>
      </c>
    </row>
    <row r="45" spans="1:7" x14ac:dyDescent="0.25">
      <c r="A45" s="8">
        <v>42666.256504629629</v>
      </c>
      <c r="B45" s="21" t="s">
        <v>198</v>
      </c>
      <c r="C45" s="21" t="s">
        <v>460</v>
      </c>
      <c r="D45" s="21">
        <v>1990000</v>
      </c>
      <c r="E45" s="21" t="s">
        <v>335</v>
      </c>
      <c r="F45" s="21" t="str">
        <f t="shared" si="0"/>
        <v>rtdc.l.rtdc.4046:itc</v>
      </c>
      <c r="G45" s="8">
        <f t="shared" si="1"/>
        <v>42666.256504629629</v>
      </c>
    </row>
    <row r="46" spans="1:7" x14ac:dyDescent="0.25">
      <c r="A46" s="8">
        <v>42666.269560185188</v>
      </c>
      <c r="B46" s="21" t="s">
        <v>281</v>
      </c>
      <c r="C46" s="21" t="s">
        <v>461</v>
      </c>
      <c r="D46" s="21">
        <v>1310000</v>
      </c>
      <c r="E46" s="21" t="s">
        <v>336</v>
      </c>
      <c r="F46" s="21" t="str">
        <f t="shared" si="0"/>
        <v>rtdc.l.rtdc.4016:itc</v>
      </c>
      <c r="G46" s="8">
        <f t="shared" si="1"/>
        <v>42666.269560185188</v>
      </c>
    </row>
    <row r="47" spans="1:7" x14ac:dyDescent="0.25">
      <c r="A47" s="8">
        <v>42666.272013888891</v>
      </c>
      <c r="B47" s="21" t="s">
        <v>193</v>
      </c>
      <c r="C47" s="21" t="s">
        <v>462</v>
      </c>
      <c r="D47" s="21">
        <v>1260000</v>
      </c>
      <c r="E47" s="21" t="s">
        <v>371</v>
      </c>
      <c r="F47" s="21" t="str">
        <f t="shared" si="0"/>
        <v>rtdc.l.rtdc.4010:itc</v>
      </c>
      <c r="G47" s="8">
        <f t="shared" si="1"/>
        <v>42666.272013888891</v>
      </c>
    </row>
    <row r="48" spans="1:7" x14ac:dyDescent="0.25">
      <c r="A48" s="8">
        <v>42666.275671296295</v>
      </c>
      <c r="B48" s="21" t="s">
        <v>211</v>
      </c>
      <c r="C48" s="21" t="s">
        <v>463</v>
      </c>
      <c r="D48" s="21">
        <v>1110000</v>
      </c>
      <c r="E48" s="21" t="s">
        <v>452</v>
      </c>
      <c r="F48" s="21" t="str">
        <f t="shared" si="0"/>
        <v>rtdc.l.rtdc.4043:itc</v>
      </c>
      <c r="G48" s="8">
        <f t="shared" si="1"/>
        <v>42666.275671296295</v>
      </c>
    </row>
    <row r="49" spans="1:7" x14ac:dyDescent="0.25">
      <c r="A49" s="8">
        <v>42666.275902777779</v>
      </c>
      <c r="B49" s="21" t="s">
        <v>446</v>
      </c>
      <c r="C49" s="21" t="s">
        <v>464</v>
      </c>
      <c r="D49" s="21">
        <v>2000000</v>
      </c>
      <c r="E49" s="21" t="s">
        <v>448</v>
      </c>
      <c r="F49" s="21" t="str">
        <f t="shared" si="0"/>
        <v>rtdc.l.rtdc.4025:itc</v>
      </c>
      <c r="G49" s="8">
        <f t="shared" si="1"/>
        <v>42666.275902777779</v>
      </c>
    </row>
    <row r="50" spans="1:7" x14ac:dyDescent="0.25">
      <c r="A50" s="8">
        <v>42666.282777777778</v>
      </c>
      <c r="B50" s="21" t="s">
        <v>213</v>
      </c>
      <c r="C50" s="21" t="s">
        <v>465</v>
      </c>
      <c r="D50" s="21">
        <v>2010000</v>
      </c>
      <c r="E50" s="21" t="s">
        <v>303</v>
      </c>
      <c r="F50" s="21" t="str">
        <f t="shared" si="0"/>
        <v>rtdc.l.rtdc.4039:itc</v>
      </c>
      <c r="G50" s="8">
        <f t="shared" si="1"/>
        <v>42666.282777777778</v>
      </c>
    </row>
    <row r="51" spans="1:7" x14ac:dyDescent="0.25">
      <c r="A51" s="8">
        <v>42666.287314814814</v>
      </c>
      <c r="B51" s="21" t="s">
        <v>333</v>
      </c>
      <c r="C51" s="21" t="s">
        <v>466</v>
      </c>
      <c r="D51" s="21">
        <v>2140000</v>
      </c>
      <c r="E51" s="21" t="s">
        <v>434</v>
      </c>
      <c r="F51" s="21" t="str">
        <f t="shared" si="0"/>
        <v>rtdc.l.rtdc.4027:itc</v>
      </c>
      <c r="G51" s="8">
        <f t="shared" si="1"/>
        <v>42666.287314814814</v>
      </c>
    </row>
    <row r="52" spans="1:7" x14ac:dyDescent="0.25">
      <c r="A52" s="8">
        <v>42666.29074074074</v>
      </c>
      <c r="B52" s="21" t="s">
        <v>196</v>
      </c>
      <c r="C52" s="21" t="s">
        <v>414</v>
      </c>
      <c r="D52" s="21">
        <v>1110000</v>
      </c>
      <c r="E52" s="21" t="s">
        <v>452</v>
      </c>
      <c r="F52" s="21" t="str">
        <f t="shared" si="0"/>
        <v>rtdc.l.rtdc.4044:itc</v>
      </c>
      <c r="G52" s="8">
        <f t="shared" si="1"/>
        <v>42666.29074074074</v>
      </c>
    </row>
    <row r="53" spans="1:7" x14ac:dyDescent="0.25">
      <c r="A53" s="8">
        <v>42666.292523148149</v>
      </c>
      <c r="B53" s="21" t="s">
        <v>329</v>
      </c>
      <c r="C53" s="21" t="s">
        <v>467</v>
      </c>
      <c r="D53" s="21">
        <v>1990000</v>
      </c>
      <c r="E53" s="21" t="s">
        <v>335</v>
      </c>
      <c r="F53" s="21" t="str">
        <f t="shared" si="0"/>
        <v>rtdc.l.rtdc.4045:itc</v>
      </c>
      <c r="G53" s="8">
        <f t="shared" si="1"/>
        <v>42666.292523148149</v>
      </c>
    </row>
    <row r="54" spans="1:7" x14ac:dyDescent="0.25">
      <c r="A54" s="8">
        <v>42666.29614583333</v>
      </c>
      <c r="B54" s="21" t="s">
        <v>188</v>
      </c>
      <c r="C54" s="21" t="s">
        <v>413</v>
      </c>
      <c r="D54" s="21">
        <v>1830000</v>
      </c>
      <c r="E54" s="21" t="s">
        <v>315</v>
      </c>
      <c r="F54" s="21" t="str">
        <f t="shared" si="0"/>
        <v>rtdc.l.rtdc.4018:itc</v>
      </c>
      <c r="G54" s="8">
        <f t="shared" si="1"/>
        <v>42666.29614583333</v>
      </c>
    </row>
    <row r="55" spans="1:7" x14ac:dyDescent="0.25">
      <c r="A55" s="8">
        <v>42666.298298611109</v>
      </c>
      <c r="B55" s="21" t="s">
        <v>333</v>
      </c>
      <c r="C55" s="21" t="s">
        <v>466</v>
      </c>
      <c r="D55" s="21">
        <v>2140000</v>
      </c>
      <c r="E55" s="21" t="s">
        <v>434</v>
      </c>
      <c r="F55" s="21" t="str">
        <f t="shared" si="0"/>
        <v>rtdc.l.rtdc.4027:itc</v>
      </c>
      <c r="G55" s="8">
        <f t="shared" si="1"/>
        <v>42666.298298611109</v>
      </c>
    </row>
    <row r="56" spans="1:7" x14ac:dyDescent="0.25">
      <c r="A56" s="8">
        <v>42666.30777777778</v>
      </c>
      <c r="B56" s="21" t="s">
        <v>282</v>
      </c>
      <c r="C56" s="21" t="s">
        <v>468</v>
      </c>
      <c r="D56" s="21">
        <v>1310000</v>
      </c>
      <c r="E56" s="21" t="s">
        <v>336</v>
      </c>
      <c r="F56" s="21" t="str">
        <f t="shared" si="0"/>
        <v>rtdc.l.rtdc.4015:itc</v>
      </c>
      <c r="G56" s="8">
        <f t="shared" si="1"/>
        <v>42666.30777777778</v>
      </c>
    </row>
    <row r="57" spans="1:7" x14ac:dyDescent="0.25">
      <c r="A57" s="8">
        <v>42666.307974537034</v>
      </c>
      <c r="B57" s="21" t="s">
        <v>194</v>
      </c>
      <c r="C57" s="21" t="s">
        <v>469</v>
      </c>
      <c r="D57" s="21">
        <v>1260000</v>
      </c>
      <c r="E57" s="21" t="s">
        <v>371</v>
      </c>
      <c r="F57" s="21" t="str">
        <f t="shared" si="0"/>
        <v>rtdc.l.rtdc.4009:itc</v>
      </c>
      <c r="G57" s="8">
        <f t="shared" si="1"/>
        <v>42666.307974537034</v>
      </c>
    </row>
    <row r="58" spans="1:7" x14ac:dyDescent="0.25">
      <c r="A58" s="8">
        <v>42666.317152777781</v>
      </c>
      <c r="B58" s="21" t="s">
        <v>411</v>
      </c>
      <c r="C58" s="21" t="s">
        <v>470</v>
      </c>
      <c r="D58" s="21">
        <v>2000000</v>
      </c>
      <c r="E58" s="21" t="s">
        <v>448</v>
      </c>
      <c r="F58" s="21" t="str">
        <f t="shared" si="0"/>
        <v>rtdc.l.rtdc.4026:itc</v>
      </c>
      <c r="G58" s="8">
        <f t="shared" si="1"/>
        <v>42666.317152777781</v>
      </c>
    </row>
    <row r="59" spans="1:7" x14ac:dyDescent="0.25">
      <c r="A59" s="8">
        <v>42666.318020833336</v>
      </c>
      <c r="B59" s="21" t="s">
        <v>211</v>
      </c>
      <c r="C59" s="21" t="s">
        <v>471</v>
      </c>
      <c r="D59" s="21">
        <v>1110000</v>
      </c>
      <c r="E59" s="21" t="s">
        <v>452</v>
      </c>
      <c r="F59" s="21" t="str">
        <f t="shared" si="0"/>
        <v>rtdc.l.rtdc.4043:itc</v>
      </c>
      <c r="G59" s="8">
        <f t="shared" si="1"/>
        <v>42666.318020833336</v>
      </c>
    </row>
    <row r="60" spans="1:7" x14ac:dyDescent="0.25">
      <c r="A60" s="8">
        <v>42666.318136574075</v>
      </c>
      <c r="B60" s="21" t="s">
        <v>440</v>
      </c>
      <c r="C60" s="21" t="s">
        <v>472</v>
      </c>
      <c r="D60" s="21">
        <v>2010000</v>
      </c>
      <c r="E60" s="21" t="s">
        <v>303</v>
      </c>
      <c r="F60" s="21" t="str">
        <f t="shared" si="0"/>
        <v>rtdc.l.rtdc.4040:itc</v>
      </c>
      <c r="G60" s="8">
        <f t="shared" si="1"/>
        <v>42666.318136574075</v>
      </c>
    </row>
    <row r="61" spans="1:7" x14ac:dyDescent="0.25">
      <c r="A61" s="8">
        <v>42666.321828703702</v>
      </c>
      <c r="B61" s="21" t="s">
        <v>248</v>
      </c>
      <c r="C61" s="21" t="s">
        <v>473</v>
      </c>
      <c r="D61" s="21">
        <v>2140000</v>
      </c>
      <c r="E61" s="21" t="s">
        <v>434</v>
      </c>
      <c r="F61" s="21" t="str">
        <f t="shared" si="0"/>
        <v>rtdc.l.rtdc.4028:itc</v>
      </c>
      <c r="G61" s="8">
        <f t="shared" si="1"/>
        <v>42666.321828703702</v>
      </c>
    </row>
    <row r="62" spans="1:7" x14ac:dyDescent="0.25">
      <c r="A62" s="8">
        <v>42666.3281712963</v>
      </c>
      <c r="B62" s="21" t="s">
        <v>243</v>
      </c>
      <c r="C62" s="21" t="s">
        <v>474</v>
      </c>
      <c r="D62" s="21">
        <v>1830000</v>
      </c>
      <c r="E62" s="21" t="s">
        <v>315</v>
      </c>
      <c r="F62" s="21" t="str">
        <f t="shared" si="0"/>
        <v>rtdc.l.rtdc.4017:itc</v>
      </c>
      <c r="G62" s="8">
        <f t="shared" si="1"/>
        <v>42666.3281712963</v>
      </c>
    </row>
    <row r="63" spans="1:7" x14ac:dyDescent="0.25">
      <c r="A63" s="8">
        <v>42666.329675925925</v>
      </c>
      <c r="B63" s="21" t="s">
        <v>198</v>
      </c>
      <c r="C63" s="21" t="s">
        <v>475</v>
      </c>
      <c r="D63" s="21">
        <v>1990000</v>
      </c>
      <c r="E63" s="21" t="s">
        <v>335</v>
      </c>
      <c r="F63" s="21" t="str">
        <f t="shared" si="0"/>
        <v>rtdc.l.rtdc.4046:itc</v>
      </c>
      <c r="G63" s="8">
        <f t="shared" si="1"/>
        <v>42666.329675925925</v>
      </c>
    </row>
    <row r="64" spans="1:7" x14ac:dyDescent="0.25">
      <c r="A64" s="27">
        <v>42666.341770833336</v>
      </c>
      <c r="B64" s="21" t="s">
        <v>281</v>
      </c>
      <c r="C64" s="21" t="s">
        <v>476</v>
      </c>
      <c r="D64" s="21">
        <v>1310000</v>
      </c>
      <c r="E64" s="21" t="s">
        <v>336</v>
      </c>
      <c r="F64" s="21" t="str">
        <f t="shared" si="0"/>
        <v>rtdc.l.rtdc.4016:itc</v>
      </c>
      <c r="G64" s="8">
        <f t="shared" si="1"/>
        <v>42666.341770833336</v>
      </c>
    </row>
    <row r="65" spans="1:7" x14ac:dyDescent="0.25">
      <c r="A65" s="8">
        <v>42666.345694444448</v>
      </c>
      <c r="B65" s="21" t="s">
        <v>193</v>
      </c>
      <c r="C65" s="21" t="s">
        <v>477</v>
      </c>
      <c r="D65" s="21">
        <v>1260000</v>
      </c>
      <c r="E65" s="21" t="s">
        <v>371</v>
      </c>
      <c r="F65" s="21" t="str">
        <f t="shared" si="0"/>
        <v>rtdc.l.rtdc.4010:itc</v>
      </c>
      <c r="G65" s="8">
        <f t="shared" si="1"/>
        <v>42666.345694444448</v>
      </c>
    </row>
    <row r="66" spans="1:7" x14ac:dyDescent="0.25">
      <c r="A66" s="8">
        <v>42666.346145833333</v>
      </c>
      <c r="B66" s="21" t="s">
        <v>196</v>
      </c>
      <c r="C66" s="21" t="s">
        <v>416</v>
      </c>
      <c r="D66" s="21">
        <v>1110000</v>
      </c>
      <c r="E66" s="21" t="s">
        <v>452</v>
      </c>
      <c r="F66" s="21" t="str">
        <f t="shared" ref="F66:F129" si="2">B66</f>
        <v>rtdc.l.rtdc.4044:itc</v>
      </c>
      <c r="G66" s="8">
        <f t="shared" ref="G66:G129" si="3">A66</f>
        <v>42666.346145833333</v>
      </c>
    </row>
    <row r="67" spans="1:7" x14ac:dyDescent="0.25">
      <c r="A67" s="8">
        <v>42666.347013888888</v>
      </c>
      <c r="B67" s="21" t="s">
        <v>196</v>
      </c>
      <c r="C67" s="21" t="s">
        <v>415</v>
      </c>
      <c r="D67" s="21">
        <v>1110000</v>
      </c>
      <c r="E67" s="21" t="s">
        <v>452</v>
      </c>
      <c r="F67" s="21" t="str">
        <f t="shared" si="2"/>
        <v>rtdc.l.rtdc.4044:itc</v>
      </c>
      <c r="G67" s="8">
        <f t="shared" si="3"/>
        <v>42666.347013888888</v>
      </c>
    </row>
    <row r="68" spans="1:7" x14ac:dyDescent="0.25">
      <c r="A68" s="8">
        <v>42666.350451388891</v>
      </c>
      <c r="B68" s="21" t="s">
        <v>446</v>
      </c>
      <c r="C68" s="21" t="s">
        <v>478</v>
      </c>
      <c r="D68" s="21">
        <v>2000000</v>
      </c>
      <c r="E68" s="21" t="s">
        <v>448</v>
      </c>
      <c r="F68" s="21" t="str">
        <f t="shared" si="2"/>
        <v>rtdc.l.rtdc.4025:itc</v>
      </c>
      <c r="G68" s="8">
        <f t="shared" si="3"/>
        <v>42666.350451388891</v>
      </c>
    </row>
    <row r="69" spans="1:7" x14ac:dyDescent="0.25">
      <c r="A69" s="8">
        <v>42666.357349537036</v>
      </c>
      <c r="B69" s="21" t="s">
        <v>213</v>
      </c>
      <c r="C69" s="21" t="s">
        <v>479</v>
      </c>
      <c r="D69" s="21">
        <v>2010000</v>
      </c>
      <c r="E69" s="21" t="s">
        <v>303</v>
      </c>
      <c r="F69" s="21" t="str">
        <f t="shared" si="2"/>
        <v>rtdc.l.rtdc.4039:itc</v>
      </c>
      <c r="G69" s="8">
        <f t="shared" si="3"/>
        <v>42666.357349537036</v>
      </c>
    </row>
    <row r="70" spans="1:7" x14ac:dyDescent="0.25">
      <c r="A70" s="8">
        <v>42666.358877314815</v>
      </c>
      <c r="B70" s="21" t="s">
        <v>333</v>
      </c>
      <c r="C70" s="21" t="s">
        <v>480</v>
      </c>
      <c r="D70" s="21">
        <v>2140000</v>
      </c>
      <c r="E70" s="21" t="s">
        <v>434</v>
      </c>
      <c r="F70" s="21" t="str">
        <f t="shared" si="2"/>
        <v>rtdc.l.rtdc.4027:itc</v>
      </c>
      <c r="G70" s="8">
        <f t="shared" si="3"/>
        <v>42666.358877314815</v>
      </c>
    </row>
    <row r="71" spans="1:7" x14ac:dyDescent="0.25">
      <c r="A71" s="8">
        <v>42666.359618055554</v>
      </c>
      <c r="B71" s="21" t="s">
        <v>211</v>
      </c>
      <c r="C71" s="21" t="s">
        <v>416</v>
      </c>
      <c r="D71" s="21">
        <v>1110000</v>
      </c>
      <c r="E71" s="21" t="s">
        <v>452</v>
      </c>
      <c r="F71" s="21" t="str">
        <f t="shared" si="2"/>
        <v>rtdc.l.rtdc.4043:itc</v>
      </c>
      <c r="G71" s="8">
        <f t="shared" si="3"/>
        <v>42666.359618055554</v>
      </c>
    </row>
    <row r="72" spans="1:7" x14ac:dyDescent="0.25">
      <c r="A72" s="8">
        <v>42666.370532407411</v>
      </c>
      <c r="B72" s="21" t="s">
        <v>329</v>
      </c>
      <c r="C72" s="21" t="s">
        <v>481</v>
      </c>
      <c r="D72" s="21">
        <v>1990000</v>
      </c>
      <c r="E72" s="21" t="s">
        <v>335</v>
      </c>
      <c r="F72" s="21" t="str">
        <f t="shared" si="2"/>
        <v>rtdc.l.rtdc.4045:itc</v>
      </c>
      <c r="G72" s="8">
        <f t="shared" si="3"/>
        <v>42666.370532407411</v>
      </c>
    </row>
    <row r="73" spans="1:7" x14ac:dyDescent="0.25">
      <c r="A73" s="8">
        <v>42666.372615740744</v>
      </c>
      <c r="B73" s="21" t="s">
        <v>188</v>
      </c>
      <c r="C73" s="21" t="s">
        <v>482</v>
      </c>
      <c r="D73" s="21">
        <v>1830000</v>
      </c>
      <c r="E73" s="21" t="s">
        <v>315</v>
      </c>
      <c r="F73" s="21" t="str">
        <f t="shared" si="2"/>
        <v>rtdc.l.rtdc.4018:itc</v>
      </c>
      <c r="G73" s="8">
        <f t="shared" si="3"/>
        <v>42666.372615740744</v>
      </c>
    </row>
    <row r="74" spans="1:7" x14ac:dyDescent="0.25">
      <c r="A74" s="8">
        <v>42666.380428240744</v>
      </c>
      <c r="B74" s="21" t="s">
        <v>194</v>
      </c>
      <c r="C74" s="21" t="s">
        <v>483</v>
      </c>
      <c r="D74" s="21">
        <v>1260000</v>
      </c>
      <c r="E74" s="21" t="s">
        <v>371</v>
      </c>
      <c r="F74" s="21" t="str">
        <f t="shared" si="2"/>
        <v>rtdc.l.rtdc.4009:itc</v>
      </c>
      <c r="G74" s="8">
        <f t="shared" si="3"/>
        <v>42666.380428240744</v>
      </c>
    </row>
    <row r="75" spans="1:7" x14ac:dyDescent="0.25">
      <c r="A75" s="8">
        <v>42666.380509259259</v>
      </c>
      <c r="B75" s="21" t="s">
        <v>282</v>
      </c>
      <c r="C75" s="21" t="s">
        <v>484</v>
      </c>
      <c r="D75" s="21">
        <v>1310000</v>
      </c>
      <c r="E75" s="21" t="s">
        <v>336</v>
      </c>
      <c r="F75" s="21" t="str">
        <f t="shared" si="2"/>
        <v>rtdc.l.rtdc.4015:itc</v>
      </c>
      <c r="G75" s="8">
        <f t="shared" si="3"/>
        <v>42666.380509259259</v>
      </c>
    </row>
    <row r="76" spans="1:7" x14ac:dyDescent="0.25">
      <c r="A76" s="8">
        <v>42666.387719907405</v>
      </c>
      <c r="B76" s="21" t="s">
        <v>196</v>
      </c>
      <c r="C76" s="21" t="s">
        <v>485</v>
      </c>
      <c r="D76" s="21">
        <v>1110000</v>
      </c>
      <c r="E76" s="21" t="s">
        <v>452</v>
      </c>
      <c r="F76" s="21" t="str">
        <f t="shared" si="2"/>
        <v>rtdc.l.rtdc.4044:itc</v>
      </c>
      <c r="G76" s="8">
        <f t="shared" si="3"/>
        <v>42666.387719907405</v>
      </c>
    </row>
    <row r="77" spans="1:7" x14ac:dyDescent="0.25">
      <c r="A77" s="8">
        <v>42666.390011574076</v>
      </c>
      <c r="B77" s="21" t="s">
        <v>411</v>
      </c>
      <c r="C77" s="21" t="s">
        <v>486</v>
      </c>
      <c r="D77" s="21">
        <v>2000000</v>
      </c>
      <c r="E77" s="21" t="s">
        <v>448</v>
      </c>
      <c r="F77" s="21" t="str">
        <f t="shared" si="2"/>
        <v>rtdc.l.rtdc.4026:itc</v>
      </c>
      <c r="G77" s="8">
        <f t="shared" si="3"/>
        <v>42666.390011574076</v>
      </c>
    </row>
    <row r="78" spans="1:7" x14ac:dyDescent="0.25">
      <c r="A78" s="8">
        <v>42666.390706018516</v>
      </c>
      <c r="B78" s="21" t="s">
        <v>440</v>
      </c>
      <c r="C78" s="21" t="s">
        <v>487</v>
      </c>
      <c r="D78" s="21">
        <v>2010000</v>
      </c>
      <c r="E78" s="21" t="s">
        <v>303</v>
      </c>
      <c r="F78" s="21" t="str">
        <f t="shared" si="2"/>
        <v>rtdc.l.rtdc.4040:itc</v>
      </c>
      <c r="G78" s="8">
        <f t="shared" si="3"/>
        <v>42666.390706018516</v>
      </c>
    </row>
    <row r="79" spans="1:7" x14ac:dyDescent="0.25">
      <c r="A79" s="8">
        <v>42666.390949074077</v>
      </c>
      <c r="B79" s="21" t="s">
        <v>248</v>
      </c>
      <c r="C79" s="21" t="s">
        <v>417</v>
      </c>
      <c r="D79" s="21">
        <v>2140000</v>
      </c>
      <c r="E79" s="21" t="s">
        <v>434</v>
      </c>
      <c r="F79" s="21" t="str">
        <f t="shared" si="2"/>
        <v>rtdc.l.rtdc.4028:itc</v>
      </c>
      <c r="G79" s="8">
        <f t="shared" si="3"/>
        <v>42666.390949074077</v>
      </c>
    </row>
    <row r="80" spans="1:7" x14ac:dyDescent="0.25">
      <c r="A80" s="8">
        <v>42666.400601851848</v>
      </c>
      <c r="B80" s="21" t="s">
        <v>211</v>
      </c>
      <c r="C80" s="21" t="s">
        <v>488</v>
      </c>
      <c r="D80" s="21">
        <v>1110000</v>
      </c>
      <c r="E80" s="21" t="s">
        <v>452</v>
      </c>
      <c r="F80" s="21" t="str">
        <f t="shared" si="2"/>
        <v>rtdc.l.rtdc.4043:itc</v>
      </c>
      <c r="G80" s="8">
        <f t="shared" si="3"/>
        <v>42666.400601851848</v>
      </c>
    </row>
    <row r="81" spans="1:7" x14ac:dyDescent="0.25">
      <c r="A81" s="8">
        <v>42666.401354166665</v>
      </c>
      <c r="B81" s="21" t="s">
        <v>243</v>
      </c>
      <c r="C81" s="21" t="s">
        <v>489</v>
      </c>
      <c r="D81" s="21">
        <v>1830000</v>
      </c>
      <c r="E81" s="21" t="s">
        <v>315</v>
      </c>
      <c r="F81" s="21" t="str">
        <f t="shared" si="2"/>
        <v>rtdc.l.rtdc.4017:itc</v>
      </c>
      <c r="G81" s="8">
        <f t="shared" si="3"/>
        <v>42666.401354166665</v>
      </c>
    </row>
    <row r="82" spans="1:7" x14ac:dyDescent="0.25">
      <c r="A82" s="8">
        <v>42666.401863425926</v>
      </c>
      <c r="B82" s="21" t="s">
        <v>198</v>
      </c>
      <c r="C82" s="21" t="s">
        <v>490</v>
      </c>
      <c r="D82" s="21">
        <v>1990000</v>
      </c>
      <c r="E82" s="21" t="s">
        <v>335</v>
      </c>
      <c r="F82" s="21" t="str">
        <f t="shared" si="2"/>
        <v>rtdc.l.rtdc.4046:itc</v>
      </c>
      <c r="G82" s="8">
        <f t="shared" si="3"/>
        <v>42666.401863425926</v>
      </c>
    </row>
    <row r="83" spans="1:7" x14ac:dyDescent="0.25">
      <c r="A83" s="8">
        <v>42666.415173611109</v>
      </c>
      <c r="B83" s="21" t="s">
        <v>281</v>
      </c>
      <c r="C83" s="21" t="s">
        <v>491</v>
      </c>
      <c r="D83" s="21">
        <v>1310000</v>
      </c>
      <c r="E83" s="21" t="s">
        <v>336</v>
      </c>
      <c r="F83" s="21" t="str">
        <f t="shared" si="2"/>
        <v>rtdc.l.rtdc.4016:itc</v>
      </c>
      <c r="G83" s="8">
        <f t="shared" si="3"/>
        <v>42666.415173611109</v>
      </c>
    </row>
    <row r="84" spans="1:7" x14ac:dyDescent="0.25">
      <c r="A84" s="8">
        <v>42666.418495370373</v>
      </c>
      <c r="B84" s="21" t="s">
        <v>193</v>
      </c>
      <c r="C84" s="21" t="s">
        <v>492</v>
      </c>
      <c r="D84" s="21">
        <v>1260000</v>
      </c>
      <c r="E84" s="21" t="s">
        <v>371</v>
      </c>
      <c r="F84" s="21" t="str">
        <f t="shared" si="2"/>
        <v>rtdc.l.rtdc.4010:itc</v>
      </c>
      <c r="G84" s="8">
        <f t="shared" si="3"/>
        <v>42666.418495370373</v>
      </c>
    </row>
    <row r="85" spans="1:7" x14ac:dyDescent="0.25">
      <c r="A85" s="8">
        <v>42666.423379629632</v>
      </c>
      <c r="B85" s="21" t="s">
        <v>446</v>
      </c>
      <c r="C85" s="21" t="s">
        <v>493</v>
      </c>
      <c r="D85" s="21">
        <v>2000000</v>
      </c>
      <c r="E85" s="21" t="s">
        <v>448</v>
      </c>
      <c r="F85" s="21" t="str">
        <f t="shared" si="2"/>
        <v>rtdc.l.rtdc.4025:itc</v>
      </c>
      <c r="G85" s="8">
        <f t="shared" si="3"/>
        <v>42666.423379629632</v>
      </c>
    </row>
    <row r="86" spans="1:7" x14ac:dyDescent="0.25">
      <c r="A86" s="8">
        <v>42666.426863425928</v>
      </c>
      <c r="B86" s="21" t="s">
        <v>213</v>
      </c>
      <c r="C86" s="21" t="s">
        <v>494</v>
      </c>
      <c r="D86" s="21">
        <v>2010000</v>
      </c>
      <c r="E86" s="21" t="s">
        <v>303</v>
      </c>
      <c r="F86" s="21" t="str">
        <f t="shared" si="2"/>
        <v>rtdc.l.rtdc.4039:itc</v>
      </c>
      <c r="G86" s="8">
        <f t="shared" si="3"/>
        <v>42666.426863425928</v>
      </c>
    </row>
    <row r="87" spans="1:7" x14ac:dyDescent="0.25">
      <c r="A87" s="8">
        <v>42666.429398148146</v>
      </c>
      <c r="B87" s="21" t="s">
        <v>196</v>
      </c>
      <c r="C87" s="21" t="s">
        <v>495</v>
      </c>
      <c r="D87" s="21">
        <v>1110000</v>
      </c>
      <c r="E87" s="21" t="s">
        <v>452</v>
      </c>
      <c r="F87" s="21" t="str">
        <f t="shared" si="2"/>
        <v>rtdc.l.rtdc.4044:itc</v>
      </c>
      <c r="G87" s="8">
        <f t="shared" si="3"/>
        <v>42666.429398148146</v>
      </c>
    </row>
    <row r="88" spans="1:7" x14ac:dyDescent="0.25">
      <c r="A88" s="8">
        <v>42666.434629629628</v>
      </c>
      <c r="B88" s="21" t="s">
        <v>333</v>
      </c>
      <c r="C88" s="21" t="s">
        <v>496</v>
      </c>
      <c r="D88" s="21">
        <v>930000</v>
      </c>
      <c r="E88" s="21" t="s">
        <v>338</v>
      </c>
      <c r="F88" s="21" t="str">
        <f t="shared" si="2"/>
        <v>rtdc.l.rtdc.4027:itc</v>
      </c>
      <c r="G88" s="8">
        <f t="shared" si="3"/>
        <v>42666.434629629628</v>
      </c>
    </row>
    <row r="89" spans="1:7" x14ac:dyDescent="0.25">
      <c r="A89" s="8">
        <v>42666.441412037035</v>
      </c>
      <c r="B89" s="21" t="s">
        <v>329</v>
      </c>
      <c r="C89" s="21" t="s">
        <v>497</v>
      </c>
      <c r="D89" s="21">
        <v>1990000</v>
      </c>
      <c r="E89" s="21" t="s">
        <v>335</v>
      </c>
      <c r="F89" s="21" t="str">
        <f t="shared" si="2"/>
        <v>rtdc.l.rtdc.4045:itc</v>
      </c>
      <c r="G89" s="8">
        <f t="shared" si="3"/>
        <v>42666.441412037035</v>
      </c>
    </row>
    <row r="90" spans="1:7" x14ac:dyDescent="0.25">
      <c r="A90" s="8">
        <v>42666.442164351851</v>
      </c>
      <c r="B90" s="21" t="s">
        <v>211</v>
      </c>
      <c r="C90" s="21" t="s">
        <v>498</v>
      </c>
      <c r="D90" s="21">
        <v>1110000</v>
      </c>
      <c r="E90" s="21" t="s">
        <v>452</v>
      </c>
      <c r="F90" s="21" t="str">
        <f t="shared" si="2"/>
        <v>rtdc.l.rtdc.4043:itc</v>
      </c>
      <c r="G90" s="8">
        <f t="shared" si="3"/>
        <v>42666.442164351851</v>
      </c>
    </row>
    <row r="91" spans="1:7" x14ac:dyDescent="0.25">
      <c r="A91" s="8">
        <v>42666.442280092589</v>
      </c>
      <c r="B91" s="21" t="s">
        <v>188</v>
      </c>
      <c r="C91" s="21" t="s">
        <v>499</v>
      </c>
      <c r="D91" s="21">
        <v>1830000</v>
      </c>
      <c r="E91" s="21" t="s">
        <v>315</v>
      </c>
      <c r="F91" s="21" t="str">
        <f t="shared" si="2"/>
        <v>rtdc.l.rtdc.4018:itc</v>
      </c>
      <c r="G91" s="8">
        <f t="shared" si="3"/>
        <v>42666.442280092589</v>
      </c>
    </row>
    <row r="92" spans="1:7" x14ac:dyDescent="0.25">
      <c r="A92" s="8">
        <v>42666.454039351855</v>
      </c>
      <c r="B92" s="21" t="s">
        <v>194</v>
      </c>
      <c r="C92" s="21" t="s">
        <v>500</v>
      </c>
      <c r="D92" s="21">
        <v>880000</v>
      </c>
      <c r="E92" s="21" t="s">
        <v>337</v>
      </c>
      <c r="F92" s="21" t="str">
        <f t="shared" si="2"/>
        <v>rtdc.l.rtdc.4009:itc</v>
      </c>
      <c r="G92" s="8">
        <f t="shared" si="3"/>
        <v>42666.454039351855</v>
      </c>
    </row>
    <row r="93" spans="1:7" x14ac:dyDescent="0.25">
      <c r="A93" s="8">
        <v>42666.454386574071</v>
      </c>
      <c r="B93" s="21" t="s">
        <v>282</v>
      </c>
      <c r="C93" s="21" t="s">
        <v>418</v>
      </c>
      <c r="D93" s="21">
        <v>1310000</v>
      </c>
      <c r="E93" s="21" t="s">
        <v>336</v>
      </c>
      <c r="F93" s="21" t="str">
        <f t="shared" si="2"/>
        <v>rtdc.l.rtdc.4015:itc</v>
      </c>
      <c r="G93" s="8">
        <f t="shared" si="3"/>
        <v>42666.454386574071</v>
      </c>
    </row>
    <row r="94" spans="1:7" x14ac:dyDescent="0.25">
      <c r="A94" s="8">
        <v>42666.458877314813</v>
      </c>
      <c r="B94" s="21" t="s">
        <v>314</v>
      </c>
      <c r="C94" s="21" t="s">
        <v>501</v>
      </c>
      <c r="D94" s="21">
        <v>1770000</v>
      </c>
      <c r="E94" s="21" t="s">
        <v>373</v>
      </c>
      <c r="F94" s="21" t="str">
        <f t="shared" si="2"/>
        <v>rtdc.l.rtdc.4005:itc</v>
      </c>
      <c r="G94" s="8">
        <f t="shared" si="3"/>
        <v>42666.458877314813</v>
      </c>
    </row>
    <row r="95" spans="1:7" x14ac:dyDescent="0.25">
      <c r="A95" s="8">
        <v>42666.463113425925</v>
      </c>
      <c r="B95" s="21" t="s">
        <v>411</v>
      </c>
      <c r="C95" s="21" t="s">
        <v>502</v>
      </c>
      <c r="D95" s="21">
        <v>2000000</v>
      </c>
      <c r="E95" s="21" t="s">
        <v>448</v>
      </c>
      <c r="F95" s="21" t="str">
        <f t="shared" si="2"/>
        <v>rtdc.l.rtdc.4026:itc</v>
      </c>
      <c r="G95" s="8">
        <f t="shared" si="3"/>
        <v>42666.463113425925</v>
      </c>
    </row>
    <row r="96" spans="1:7" x14ac:dyDescent="0.25">
      <c r="A96" s="8">
        <v>42666.464189814818</v>
      </c>
      <c r="B96" s="21" t="s">
        <v>440</v>
      </c>
      <c r="C96" s="21" t="s">
        <v>503</v>
      </c>
      <c r="D96" s="21">
        <v>1280000</v>
      </c>
      <c r="E96" s="21" t="s">
        <v>372</v>
      </c>
      <c r="F96" s="21" t="str">
        <f t="shared" si="2"/>
        <v>rtdc.l.rtdc.4040:itc</v>
      </c>
      <c r="G96" s="8">
        <f t="shared" si="3"/>
        <v>42666.464189814818</v>
      </c>
    </row>
    <row r="97" spans="1:7" x14ac:dyDescent="0.25">
      <c r="A97" s="8">
        <v>42666.466145833336</v>
      </c>
      <c r="B97" s="21" t="s">
        <v>282</v>
      </c>
      <c r="C97" s="21" t="s">
        <v>418</v>
      </c>
      <c r="D97" s="21">
        <v>1310000</v>
      </c>
      <c r="E97" s="21" t="s">
        <v>336</v>
      </c>
      <c r="F97" s="21" t="str">
        <f t="shared" si="2"/>
        <v>rtdc.l.rtdc.4015:itc</v>
      </c>
      <c r="G97" s="8">
        <f t="shared" si="3"/>
        <v>42666.466145833336</v>
      </c>
    </row>
    <row r="98" spans="1:7" x14ac:dyDescent="0.25">
      <c r="A98" s="8">
        <v>42666.471226851849</v>
      </c>
      <c r="B98" s="21" t="s">
        <v>248</v>
      </c>
      <c r="C98" s="21" t="s">
        <v>504</v>
      </c>
      <c r="D98" s="21">
        <v>930000</v>
      </c>
      <c r="E98" s="21" t="s">
        <v>338</v>
      </c>
      <c r="F98" s="21" t="str">
        <f t="shared" si="2"/>
        <v>rtdc.l.rtdc.4028:itc</v>
      </c>
      <c r="G98" s="8">
        <f t="shared" si="3"/>
        <v>42666.471226851849</v>
      </c>
    </row>
    <row r="99" spans="1:7" x14ac:dyDescent="0.25">
      <c r="A99" s="8">
        <v>42666.471539351849</v>
      </c>
      <c r="B99" s="21" t="s">
        <v>196</v>
      </c>
      <c r="C99" s="21" t="s">
        <v>505</v>
      </c>
      <c r="D99" s="21">
        <v>1110000</v>
      </c>
      <c r="E99" s="21" t="s">
        <v>452</v>
      </c>
      <c r="F99" s="21" t="str">
        <f t="shared" si="2"/>
        <v>rtdc.l.rtdc.4044:itc</v>
      </c>
      <c r="G99" s="8">
        <f t="shared" si="3"/>
        <v>42666.471539351849</v>
      </c>
    </row>
    <row r="100" spans="1:7" x14ac:dyDescent="0.25">
      <c r="A100" s="8">
        <v>42666.473530092589</v>
      </c>
      <c r="B100" s="21" t="s">
        <v>243</v>
      </c>
      <c r="C100" s="21" t="s">
        <v>506</v>
      </c>
      <c r="D100" s="21">
        <v>1830000</v>
      </c>
      <c r="E100" s="21" t="s">
        <v>315</v>
      </c>
      <c r="F100" s="21" t="str">
        <f t="shared" si="2"/>
        <v>rtdc.l.rtdc.4017:itc</v>
      </c>
      <c r="G100" s="8">
        <f t="shared" si="3"/>
        <v>42666.473530092589</v>
      </c>
    </row>
    <row r="101" spans="1:7" x14ac:dyDescent="0.25">
      <c r="A101" s="8">
        <v>42666.477280092593</v>
      </c>
      <c r="B101" s="21" t="s">
        <v>198</v>
      </c>
      <c r="C101" s="21" t="s">
        <v>507</v>
      </c>
      <c r="D101" s="21">
        <v>1770000</v>
      </c>
      <c r="E101" s="21" t="s">
        <v>373</v>
      </c>
      <c r="F101" s="21" t="str">
        <f t="shared" si="2"/>
        <v>rtdc.l.rtdc.4046:itc</v>
      </c>
      <c r="G101" s="8">
        <f t="shared" si="3"/>
        <v>42666.477280092593</v>
      </c>
    </row>
    <row r="102" spans="1:7" x14ac:dyDescent="0.25">
      <c r="A102" s="8">
        <v>42666.4846412037</v>
      </c>
      <c r="B102" s="21" t="s">
        <v>211</v>
      </c>
      <c r="C102" s="21" t="s">
        <v>419</v>
      </c>
      <c r="D102" s="21">
        <v>1110000</v>
      </c>
      <c r="E102" s="21" t="s">
        <v>452</v>
      </c>
      <c r="F102" s="21" t="str">
        <f t="shared" si="2"/>
        <v>rtdc.l.rtdc.4043:itc</v>
      </c>
      <c r="G102" s="8">
        <f t="shared" si="3"/>
        <v>42666.4846412037</v>
      </c>
    </row>
    <row r="103" spans="1:7" x14ac:dyDescent="0.25">
      <c r="A103" s="8">
        <v>42666.491932870369</v>
      </c>
      <c r="B103" s="21" t="s">
        <v>281</v>
      </c>
      <c r="C103" s="21" t="s">
        <v>508</v>
      </c>
      <c r="D103" s="21">
        <v>2040000</v>
      </c>
      <c r="E103" s="21" t="s">
        <v>305</v>
      </c>
      <c r="F103" s="21" t="str">
        <f t="shared" si="2"/>
        <v>rtdc.l.rtdc.4016:itc</v>
      </c>
      <c r="G103" s="8">
        <f t="shared" si="3"/>
        <v>42666.491932870369</v>
      </c>
    </row>
    <row r="104" spans="1:7" x14ac:dyDescent="0.25">
      <c r="A104" s="8">
        <v>42666.49428240741</v>
      </c>
      <c r="B104" s="21" t="s">
        <v>193</v>
      </c>
      <c r="C104" s="21" t="s">
        <v>509</v>
      </c>
      <c r="D104" s="21">
        <v>880000</v>
      </c>
      <c r="E104" s="21" t="s">
        <v>337</v>
      </c>
      <c r="F104" s="21" t="str">
        <f t="shared" si="2"/>
        <v>rtdc.l.rtdc.4010:itc</v>
      </c>
      <c r="G104" s="8">
        <f t="shared" si="3"/>
        <v>42666.49428240741</v>
      </c>
    </row>
    <row r="105" spans="1:7" x14ac:dyDescent="0.25">
      <c r="A105" s="8">
        <v>42666.497476851851</v>
      </c>
      <c r="B105" s="21" t="s">
        <v>376</v>
      </c>
      <c r="C105" s="21" t="s">
        <v>420</v>
      </c>
      <c r="D105" s="21">
        <v>1310000</v>
      </c>
      <c r="E105" s="21" t="s">
        <v>336</v>
      </c>
      <c r="F105" s="21" t="str">
        <f t="shared" si="2"/>
        <v>rtdc.l.rtdc.4006:itc</v>
      </c>
      <c r="G105" s="8">
        <f t="shared" si="3"/>
        <v>42666.497476851851</v>
      </c>
    </row>
    <row r="106" spans="1:7" x14ac:dyDescent="0.25">
      <c r="A106" s="8">
        <v>42666.497662037036</v>
      </c>
      <c r="B106" s="21" t="s">
        <v>213</v>
      </c>
      <c r="C106" s="21" t="s">
        <v>510</v>
      </c>
      <c r="D106" s="21">
        <v>1280000</v>
      </c>
      <c r="E106" s="21" t="s">
        <v>372</v>
      </c>
      <c r="F106" s="21" t="str">
        <f t="shared" si="2"/>
        <v>rtdc.l.rtdc.4039:itc</v>
      </c>
      <c r="G106" s="8">
        <f t="shared" si="3"/>
        <v>42666.497662037036</v>
      </c>
    </row>
    <row r="107" spans="1:7" x14ac:dyDescent="0.25">
      <c r="A107" s="8">
        <v>42666.497708333336</v>
      </c>
      <c r="B107" s="21" t="s">
        <v>446</v>
      </c>
      <c r="C107" s="21" t="s">
        <v>511</v>
      </c>
      <c r="D107" s="21">
        <v>1140000</v>
      </c>
      <c r="E107" s="21" t="s">
        <v>306</v>
      </c>
      <c r="F107" s="21" t="str">
        <f t="shared" si="2"/>
        <v>rtdc.l.rtdc.4025:itc</v>
      </c>
      <c r="G107" s="8">
        <f t="shared" si="3"/>
        <v>42666.497708333336</v>
      </c>
    </row>
    <row r="108" spans="1:7" x14ac:dyDescent="0.25">
      <c r="A108" s="8">
        <v>42666.508437500001</v>
      </c>
      <c r="B108" s="21" t="s">
        <v>333</v>
      </c>
      <c r="C108" s="21" t="s">
        <v>512</v>
      </c>
      <c r="D108" s="21">
        <v>930000</v>
      </c>
      <c r="E108" s="21" t="s">
        <v>338</v>
      </c>
      <c r="F108" s="21" t="str">
        <f t="shared" si="2"/>
        <v>rtdc.l.rtdc.4027:itc</v>
      </c>
      <c r="G108" s="8">
        <f t="shared" si="3"/>
        <v>42666.508437500001</v>
      </c>
    </row>
    <row r="109" spans="1:7" x14ac:dyDescent="0.25">
      <c r="A109" s="8">
        <v>42666.513136574074</v>
      </c>
      <c r="B109" s="21" t="s">
        <v>196</v>
      </c>
      <c r="C109" s="21" t="s">
        <v>513</v>
      </c>
      <c r="D109" s="21">
        <v>1110000</v>
      </c>
      <c r="E109" s="21" t="s">
        <v>452</v>
      </c>
      <c r="F109" s="21" t="str">
        <f t="shared" si="2"/>
        <v>rtdc.l.rtdc.4044:itc</v>
      </c>
      <c r="G109" s="8">
        <f t="shared" si="3"/>
        <v>42666.513136574074</v>
      </c>
    </row>
    <row r="110" spans="1:7" x14ac:dyDescent="0.25">
      <c r="A110" s="8">
        <v>42666.514178240737</v>
      </c>
      <c r="B110" s="21" t="s">
        <v>329</v>
      </c>
      <c r="C110" s="21" t="s">
        <v>514</v>
      </c>
      <c r="D110" s="21">
        <v>1770000</v>
      </c>
      <c r="E110" s="21" t="s">
        <v>373</v>
      </c>
      <c r="F110" s="21" t="str">
        <f t="shared" si="2"/>
        <v>rtdc.l.rtdc.4045:itc</v>
      </c>
      <c r="G110" s="8">
        <f t="shared" si="3"/>
        <v>42666.514178240737</v>
      </c>
    </row>
    <row r="111" spans="1:7" x14ac:dyDescent="0.25">
      <c r="A111" s="8">
        <v>42666.515289351853</v>
      </c>
      <c r="B111" s="21" t="s">
        <v>188</v>
      </c>
      <c r="C111" s="21" t="s">
        <v>515</v>
      </c>
      <c r="D111" s="21">
        <v>2020000</v>
      </c>
      <c r="E111" s="21" t="s">
        <v>317</v>
      </c>
      <c r="F111" s="21" t="str">
        <f t="shared" si="2"/>
        <v>rtdc.l.rtdc.4018:itc</v>
      </c>
      <c r="G111" s="8">
        <f t="shared" si="3"/>
        <v>42666.515289351853</v>
      </c>
    </row>
    <row r="112" spans="1:7" x14ac:dyDescent="0.25">
      <c r="A112" s="8">
        <v>42666.525196759256</v>
      </c>
      <c r="B112" s="21" t="s">
        <v>211</v>
      </c>
      <c r="C112" s="21" t="s">
        <v>516</v>
      </c>
      <c r="D112" s="21">
        <v>1110000</v>
      </c>
      <c r="E112" s="21" t="s">
        <v>452</v>
      </c>
      <c r="F112" s="21" t="str">
        <f t="shared" si="2"/>
        <v>rtdc.l.rtdc.4043:itc</v>
      </c>
      <c r="G112" s="8">
        <f t="shared" si="3"/>
        <v>42666.525196759256</v>
      </c>
    </row>
    <row r="113" spans="1:7" x14ac:dyDescent="0.25">
      <c r="A113" s="8">
        <v>42666.527962962966</v>
      </c>
      <c r="B113" s="21" t="s">
        <v>194</v>
      </c>
      <c r="C113" s="21" t="s">
        <v>517</v>
      </c>
      <c r="D113" s="21">
        <v>880000</v>
      </c>
      <c r="E113" s="21" t="s">
        <v>337</v>
      </c>
      <c r="F113" s="21" t="str">
        <f t="shared" si="2"/>
        <v>rtdc.l.rtdc.4009:itc</v>
      </c>
      <c r="G113" s="8">
        <f t="shared" si="3"/>
        <v>42666.527962962966</v>
      </c>
    </row>
    <row r="114" spans="1:7" x14ac:dyDescent="0.25">
      <c r="A114" s="8">
        <v>42666.528252314813</v>
      </c>
      <c r="B114" s="21" t="s">
        <v>282</v>
      </c>
      <c r="C114" s="21" t="s">
        <v>421</v>
      </c>
      <c r="D114" s="21">
        <v>2040000</v>
      </c>
      <c r="E114" s="21" t="s">
        <v>305</v>
      </c>
      <c r="F114" s="21" t="str">
        <f t="shared" si="2"/>
        <v>rtdc.l.rtdc.4015:itc</v>
      </c>
      <c r="G114" s="8">
        <f t="shared" si="3"/>
        <v>42666.528252314813</v>
      </c>
    </row>
    <row r="115" spans="1:7" x14ac:dyDescent="0.25">
      <c r="A115" s="8">
        <v>42666.535150462965</v>
      </c>
      <c r="B115" s="21" t="s">
        <v>411</v>
      </c>
      <c r="C115" s="21" t="s">
        <v>518</v>
      </c>
      <c r="D115" s="21">
        <v>1140000</v>
      </c>
      <c r="E115" s="21" t="s">
        <v>306</v>
      </c>
      <c r="F115" s="21" t="str">
        <f t="shared" si="2"/>
        <v>rtdc.l.rtdc.4026:itc</v>
      </c>
      <c r="G115" s="8">
        <f t="shared" si="3"/>
        <v>42666.535150462965</v>
      </c>
    </row>
    <row r="116" spans="1:7" x14ac:dyDescent="0.25">
      <c r="A116" s="8">
        <v>42666.536620370367</v>
      </c>
      <c r="B116" s="21" t="s">
        <v>440</v>
      </c>
      <c r="C116" s="21" t="s">
        <v>519</v>
      </c>
      <c r="D116" s="21">
        <v>1280000</v>
      </c>
      <c r="E116" s="21" t="s">
        <v>372</v>
      </c>
      <c r="F116" s="21" t="str">
        <f t="shared" si="2"/>
        <v>rtdc.l.rtdc.4040:itc</v>
      </c>
      <c r="G116" s="8">
        <f t="shared" si="3"/>
        <v>42666.536620370367</v>
      </c>
    </row>
    <row r="117" spans="1:7" x14ac:dyDescent="0.25">
      <c r="A117" s="8">
        <v>42666.544803240744</v>
      </c>
      <c r="B117" s="21" t="s">
        <v>248</v>
      </c>
      <c r="C117" s="21" t="s">
        <v>520</v>
      </c>
      <c r="D117" s="21">
        <v>930000</v>
      </c>
      <c r="E117" s="21" t="s">
        <v>338</v>
      </c>
      <c r="F117" s="21" t="str">
        <f t="shared" si="2"/>
        <v>rtdc.l.rtdc.4028:itc</v>
      </c>
      <c r="G117" s="8">
        <f t="shared" si="3"/>
        <v>42666.544803240744</v>
      </c>
    </row>
    <row r="118" spans="1:7" x14ac:dyDescent="0.25">
      <c r="A118" s="8">
        <v>42666.546782407408</v>
      </c>
      <c r="B118" s="21" t="s">
        <v>198</v>
      </c>
      <c r="C118" s="21" t="s">
        <v>521</v>
      </c>
      <c r="D118" s="21">
        <v>1770000</v>
      </c>
      <c r="E118" s="21" t="s">
        <v>373</v>
      </c>
      <c r="F118" s="21" t="str">
        <f t="shared" si="2"/>
        <v>rtdc.l.rtdc.4046:itc</v>
      </c>
      <c r="G118" s="8">
        <f t="shared" si="3"/>
        <v>42666.546782407408</v>
      </c>
    </row>
    <row r="119" spans="1:7" x14ac:dyDescent="0.25">
      <c r="A119" s="8">
        <v>42666.555104166669</v>
      </c>
      <c r="B119" s="21" t="s">
        <v>196</v>
      </c>
      <c r="C119" s="21" t="s">
        <v>522</v>
      </c>
      <c r="D119" s="21">
        <v>1110000</v>
      </c>
      <c r="E119" s="21" t="s">
        <v>452</v>
      </c>
      <c r="F119" s="21" t="str">
        <f t="shared" si="2"/>
        <v>rtdc.l.rtdc.4044:itc</v>
      </c>
      <c r="G119" s="8">
        <f t="shared" si="3"/>
        <v>42666.555104166669</v>
      </c>
    </row>
    <row r="120" spans="1:7" x14ac:dyDescent="0.25">
      <c r="A120" s="8">
        <v>42666.556574074071</v>
      </c>
      <c r="B120" s="21" t="s">
        <v>243</v>
      </c>
      <c r="C120" s="21" t="s">
        <v>523</v>
      </c>
      <c r="D120" s="21">
        <v>2020000</v>
      </c>
      <c r="E120" s="21" t="s">
        <v>317</v>
      </c>
      <c r="F120" s="21" t="str">
        <f t="shared" si="2"/>
        <v>rtdc.l.rtdc.4017:itc</v>
      </c>
      <c r="G120" s="8">
        <f t="shared" si="3"/>
        <v>42666.556574074071</v>
      </c>
    </row>
    <row r="121" spans="1:7" x14ac:dyDescent="0.25">
      <c r="A121" s="8">
        <v>42666.562685185185</v>
      </c>
      <c r="B121" s="21" t="s">
        <v>281</v>
      </c>
      <c r="C121" s="21" t="s">
        <v>524</v>
      </c>
      <c r="D121" s="21">
        <v>2040000</v>
      </c>
      <c r="E121" s="21" t="s">
        <v>305</v>
      </c>
      <c r="F121" s="21" t="str">
        <f t="shared" si="2"/>
        <v>rtdc.l.rtdc.4016:itc</v>
      </c>
      <c r="G121" s="8">
        <f t="shared" si="3"/>
        <v>42666.562685185185</v>
      </c>
    </row>
    <row r="122" spans="1:7" x14ac:dyDescent="0.25">
      <c r="A122" s="8">
        <v>42666.567256944443</v>
      </c>
      <c r="B122" s="26" t="s">
        <v>193</v>
      </c>
      <c r="C122" s="21" t="s">
        <v>525</v>
      </c>
      <c r="D122" s="21">
        <v>880000</v>
      </c>
      <c r="E122" s="21" t="s">
        <v>337</v>
      </c>
      <c r="F122" s="21" t="str">
        <f t="shared" si="2"/>
        <v>rtdc.l.rtdc.4010:itc</v>
      </c>
      <c r="G122" s="8">
        <f t="shared" si="3"/>
        <v>42666.567256944443</v>
      </c>
    </row>
    <row r="123" spans="1:7" x14ac:dyDescent="0.25">
      <c r="A123" s="8">
        <v>42666.56832175926</v>
      </c>
      <c r="B123" s="21" t="s">
        <v>248</v>
      </c>
      <c r="C123" s="21" t="s">
        <v>520</v>
      </c>
      <c r="D123" s="21">
        <v>930000</v>
      </c>
      <c r="E123" s="21" t="s">
        <v>338</v>
      </c>
      <c r="F123" s="21" t="str">
        <f t="shared" si="2"/>
        <v>rtdc.l.rtdc.4028:itc</v>
      </c>
      <c r="G123" s="8">
        <f t="shared" si="3"/>
        <v>42666.56832175926</v>
      </c>
    </row>
    <row r="124" spans="1:7" x14ac:dyDescent="0.25">
      <c r="A124" s="8">
        <v>42666.568715277775</v>
      </c>
      <c r="B124" s="21" t="s">
        <v>211</v>
      </c>
      <c r="C124" s="21" t="s">
        <v>526</v>
      </c>
      <c r="D124" s="21">
        <v>1110000</v>
      </c>
      <c r="E124" s="21" t="s">
        <v>452</v>
      </c>
      <c r="F124" s="21" t="str">
        <f t="shared" si="2"/>
        <v>rtdc.l.rtdc.4043:itc</v>
      </c>
      <c r="G124" s="8">
        <f t="shared" si="3"/>
        <v>42666.568715277775</v>
      </c>
    </row>
    <row r="125" spans="1:7" x14ac:dyDescent="0.25">
      <c r="A125" s="8">
        <v>42666.569965277777</v>
      </c>
      <c r="B125" s="21" t="s">
        <v>446</v>
      </c>
      <c r="C125" s="21" t="s">
        <v>527</v>
      </c>
      <c r="D125" s="21">
        <v>1140000</v>
      </c>
      <c r="E125" s="21" t="s">
        <v>306</v>
      </c>
      <c r="F125" s="21" t="str">
        <f t="shared" si="2"/>
        <v>rtdc.l.rtdc.4025:itc</v>
      </c>
      <c r="G125" s="8">
        <f t="shared" si="3"/>
        <v>42666.569965277777</v>
      </c>
    </row>
    <row r="126" spans="1:7" x14ac:dyDescent="0.25">
      <c r="A126" s="8">
        <v>42666.570752314816</v>
      </c>
      <c r="B126" s="21" t="s">
        <v>213</v>
      </c>
      <c r="C126" s="21" t="s">
        <v>423</v>
      </c>
      <c r="D126" s="21">
        <v>1280000</v>
      </c>
      <c r="E126" s="21" t="s">
        <v>372</v>
      </c>
      <c r="F126" s="21" t="str">
        <f t="shared" si="2"/>
        <v>rtdc.l.rtdc.4039:itc</v>
      </c>
      <c r="G126" s="8">
        <f t="shared" si="3"/>
        <v>42666.570752314816</v>
      </c>
    </row>
    <row r="127" spans="1:7" x14ac:dyDescent="0.25">
      <c r="A127" s="8">
        <v>42666.584432870368</v>
      </c>
      <c r="B127" s="21" t="s">
        <v>329</v>
      </c>
      <c r="C127" s="21" t="s">
        <v>528</v>
      </c>
      <c r="D127" s="21">
        <v>1770000</v>
      </c>
      <c r="E127" s="21" t="s">
        <v>373</v>
      </c>
      <c r="F127" s="21" t="str">
        <f t="shared" si="2"/>
        <v>rtdc.l.rtdc.4045:itc</v>
      </c>
      <c r="G127" s="8">
        <f t="shared" si="3"/>
        <v>42666.584432870368</v>
      </c>
    </row>
    <row r="128" spans="1:7" x14ac:dyDescent="0.25">
      <c r="A128" s="8">
        <v>42666.584733796299</v>
      </c>
      <c r="B128" s="21" t="s">
        <v>333</v>
      </c>
      <c r="C128" s="21" t="s">
        <v>529</v>
      </c>
      <c r="D128" s="21">
        <v>930000</v>
      </c>
      <c r="E128" s="21" t="s">
        <v>338</v>
      </c>
      <c r="F128" s="21" t="str">
        <f t="shared" si="2"/>
        <v>rtdc.l.rtdc.4027:itc</v>
      </c>
      <c r="G128" s="8">
        <f t="shared" si="3"/>
        <v>42666.584733796299</v>
      </c>
    </row>
    <row r="129" spans="1:7" x14ac:dyDescent="0.25">
      <c r="A129" s="8">
        <v>42666.588761574072</v>
      </c>
      <c r="B129" s="21" t="s">
        <v>188</v>
      </c>
      <c r="C129" s="21" t="s">
        <v>530</v>
      </c>
      <c r="D129" s="21">
        <v>2020000</v>
      </c>
      <c r="E129" s="21" t="s">
        <v>317</v>
      </c>
      <c r="F129" s="21" t="str">
        <f t="shared" si="2"/>
        <v>rtdc.l.rtdc.4018:itc</v>
      </c>
      <c r="G129" s="8">
        <f t="shared" si="3"/>
        <v>42666.588761574072</v>
      </c>
    </row>
    <row r="130" spans="1:7" x14ac:dyDescent="0.25">
      <c r="A130" s="8">
        <v>42666.593969907408</v>
      </c>
      <c r="B130" s="21" t="s">
        <v>196</v>
      </c>
      <c r="C130" s="21" t="s">
        <v>422</v>
      </c>
      <c r="D130" s="21">
        <v>1820000</v>
      </c>
      <c r="E130" s="21" t="s">
        <v>304</v>
      </c>
      <c r="F130" s="21" t="str">
        <f t="shared" ref="F130:F193" si="4">B130</f>
        <v>rtdc.l.rtdc.4044:itc</v>
      </c>
      <c r="G130" s="8">
        <f t="shared" ref="G130:G193" si="5">A130</f>
        <v>42666.593969907408</v>
      </c>
    </row>
    <row r="131" spans="1:7" x14ac:dyDescent="0.25">
      <c r="A131" s="8">
        <v>42666.598611111112</v>
      </c>
      <c r="B131" s="21" t="s">
        <v>282</v>
      </c>
      <c r="C131" s="21" t="s">
        <v>531</v>
      </c>
      <c r="D131" s="21">
        <v>2040000</v>
      </c>
      <c r="E131" s="21" t="s">
        <v>305</v>
      </c>
      <c r="F131" s="21" t="str">
        <f t="shared" si="4"/>
        <v>rtdc.l.rtdc.4015:itc</v>
      </c>
      <c r="G131" s="8">
        <f t="shared" si="5"/>
        <v>42666.598611111112</v>
      </c>
    </row>
    <row r="132" spans="1:7" x14ac:dyDescent="0.25">
      <c r="A132" s="8">
        <v>42666.600405092591</v>
      </c>
      <c r="B132" s="21" t="s">
        <v>194</v>
      </c>
      <c r="C132" s="21" t="s">
        <v>532</v>
      </c>
      <c r="D132" s="21">
        <v>880000</v>
      </c>
      <c r="E132" s="21" t="s">
        <v>337</v>
      </c>
      <c r="F132" s="21" t="str">
        <f t="shared" si="4"/>
        <v>rtdc.l.rtdc.4009:itc</v>
      </c>
      <c r="G132" s="8">
        <f t="shared" si="5"/>
        <v>42666.600405092591</v>
      </c>
    </row>
    <row r="133" spans="1:7" x14ac:dyDescent="0.25">
      <c r="A133" s="8">
        <v>42666.604259259257</v>
      </c>
      <c r="B133" s="21" t="s">
        <v>411</v>
      </c>
      <c r="C133" s="21" t="s">
        <v>533</v>
      </c>
      <c r="D133" s="21">
        <v>1140000</v>
      </c>
      <c r="E133" s="21" t="s">
        <v>306</v>
      </c>
      <c r="F133" s="21" t="str">
        <f t="shared" si="4"/>
        <v>rtdc.l.rtdc.4026:itc</v>
      </c>
      <c r="G133" s="8">
        <f t="shared" si="5"/>
        <v>42666.604259259257</v>
      </c>
    </row>
    <row r="134" spans="1:7" x14ac:dyDescent="0.25">
      <c r="A134" s="8">
        <v>42666.610717592594</v>
      </c>
      <c r="B134" s="21" t="s">
        <v>440</v>
      </c>
      <c r="C134" s="21" t="s">
        <v>534</v>
      </c>
      <c r="D134" s="21">
        <v>1280000</v>
      </c>
      <c r="E134" s="21" t="s">
        <v>372</v>
      </c>
      <c r="F134" s="21" t="str">
        <f t="shared" si="4"/>
        <v>rtdc.l.rtdc.4040:itc</v>
      </c>
      <c r="G134" s="8">
        <f t="shared" si="5"/>
        <v>42666.610717592594</v>
      </c>
    </row>
    <row r="135" spans="1:7" x14ac:dyDescent="0.25">
      <c r="A135" s="8">
        <v>42666.612187500003</v>
      </c>
      <c r="B135" s="21" t="s">
        <v>211</v>
      </c>
      <c r="C135" s="21" t="s">
        <v>535</v>
      </c>
      <c r="D135" s="21">
        <v>1820000</v>
      </c>
      <c r="E135" s="21" t="s">
        <v>304</v>
      </c>
      <c r="F135" s="21" t="str">
        <f t="shared" si="4"/>
        <v>rtdc.l.rtdc.4043:itc</v>
      </c>
      <c r="G135" s="8">
        <f t="shared" si="5"/>
        <v>42666.612187500003</v>
      </c>
    </row>
    <row r="136" spans="1:7" x14ac:dyDescent="0.25">
      <c r="A136" s="8">
        <v>42666.619432870371</v>
      </c>
      <c r="B136" s="21" t="s">
        <v>248</v>
      </c>
      <c r="C136" s="21" t="s">
        <v>536</v>
      </c>
      <c r="D136" s="21">
        <v>930000</v>
      </c>
      <c r="E136" s="21" t="s">
        <v>338</v>
      </c>
      <c r="F136" s="21" t="str">
        <f t="shared" si="4"/>
        <v>rtdc.l.rtdc.4028:itc</v>
      </c>
      <c r="G136" s="8">
        <f t="shared" si="5"/>
        <v>42666.619432870371</v>
      </c>
    </row>
    <row r="137" spans="1:7" x14ac:dyDescent="0.25">
      <c r="A137" s="8">
        <v>42666.620509259257</v>
      </c>
      <c r="B137" s="21" t="s">
        <v>198</v>
      </c>
      <c r="C137" s="21" t="s">
        <v>537</v>
      </c>
      <c r="D137" s="21">
        <v>1770000</v>
      </c>
      <c r="E137" s="21" t="s">
        <v>373</v>
      </c>
      <c r="F137" s="21" t="str">
        <f t="shared" si="4"/>
        <v>rtdc.l.rtdc.4046:itc</v>
      </c>
      <c r="G137" s="8">
        <f t="shared" si="5"/>
        <v>42666.620509259257</v>
      </c>
    </row>
    <row r="138" spans="1:7" x14ac:dyDescent="0.25">
      <c r="A138" s="8">
        <v>42666.629224537035</v>
      </c>
      <c r="B138" s="21" t="s">
        <v>243</v>
      </c>
      <c r="C138" s="21" t="s">
        <v>538</v>
      </c>
      <c r="D138" s="21">
        <v>2020000</v>
      </c>
      <c r="E138" s="21" t="s">
        <v>317</v>
      </c>
      <c r="F138" s="21" t="str">
        <f t="shared" si="4"/>
        <v>rtdc.l.rtdc.4017:itc</v>
      </c>
      <c r="G138" s="8">
        <f t="shared" si="5"/>
        <v>42666.629224537035</v>
      </c>
    </row>
    <row r="139" spans="1:7" x14ac:dyDescent="0.25">
      <c r="A139" s="8">
        <v>42666.633518518516</v>
      </c>
      <c r="B139" s="21" t="s">
        <v>281</v>
      </c>
      <c r="C139" s="21" t="s">
        <v>539</v>
      </c>
      <c r="D139" s="21">
        <v>2040000</v>
      </c>
      <c r="E139" s="21" t="s">
        <v>305</v>
      </c>
      <c r="F139" s="21" t="str">
        <f t="shared" si="4"/>
        <v>rtdc.l.rtdc.4016:itc</v>
      </c>
      <c r="G139" s="8">
        <f t="shared" si="5"/>
        <v>42666.633518518516</v>
      </c>
    </row>
    <row r="140" spans="1:7" x14ac:dyDescent="0.25">
      <c r="A140" s="8">
        <v>42666.637928240743</v>
      </c>
      <c r="B140" s="21" t="s">
        <v>196</v>
      </c>
      <c r="C140" s="21" t="s">
        <v>540</v>
      </c>
      <c r="D140" s="21">
        <v>1820000</v>
      </c>
      <c r="E140" s="21" t="s">
        <v>304</v>
      </c>
      <c r="F140" s="21" t="str">
        <f t="shared" si="4"/>
        <v>rtdc.l.rtdc.4044:itc</v>
      </c>
      <c r="G140" s="8">
        <f t="shared" si="5"/>
        <v>42666.637928240743</v>
      </c>
    </row>
    <row r="141" spans="1:7" x14ac:dyDescent="0.25">
      <c r="A141" s="8">
        <v>42666.639733796299</v>
      </c>
      <c r="B141" s="21" t="s">
        <v>193</v>
      </c>
      <c r="C141" s="21" t="s">
        <v>541</v>
      </c>
      <c r="D141" s="21">
        <v>880000</v>
      </c>
      <c r="E141" s="21" t="s">
        <v>337</v>
      </c>
      <c r="F141" s="21" t="str">
        <f t="shared" si="4"/>
        <v>rtdc.l.rtdc.4010:itc</v>
      </c>
      <c r="G141" s="8">
        <f t="shared" si="5"/>
        <v>42666.639733796299</v>
      </c>
    </row>
    <row r="142" spans="1:7" x14ac:dyDescent="0.25">
      <c r="A142" s="8">
        <v>42666.64199074074</v>
      </c>
      <c r="B142" s="21" t="s">
        <v>213</v>
      </c>
      <c r="C142" s="21" t="s">
        <v>425</v>
      </c>
      <c r="D142" s="21">
        <v>1280000</v>
      </c>
      <c r="E142" s="21" t="s">
        <v>372</v>
      </c>
      <c r="F142" s="21" t="str">
        <f t="shared" si="4"/>
        <v>rtdc.l.rtdc.4039:itc</v>
      </c>
      <c r="G142" s="8">
        <f t="shared" si="5"/>
        <v>42666.64199074074</v>
      </c>
    </row>
    <row r="143" spans="1:7" x14ac:dyDescent="0.25">
      <c r="A143" s="8">
        <v>42666.642777777779</v>
      </c>
      <c r="B143" s="21" t="s">
        <v>446</v>
      </c>
      <c r="C143" s="21" t="s">
        <v>542</v>
      </c>
      <c r="D143" s="21">
        <v>1140000</v>
      </c>
      <c r="E143" s="21" t="s">
        <v>306</v>
      </c>
      <c r="F143" s="21" t="str">
        <f t="shared" si="4"/>
        <v>rtdc.l.rtdc.4025:itc</v>
      </c>
      <c r="G143" s="8">
        <f t="shared" si="5"/>
        <v>42666.642777777779</v>
      </c>
    </row>
    <row r="144" spans="1:7" x14ac:dyDescent="0.25">
      <c r="A144" s="8">
        <v>42666.650937500002</v>
      </c>
      <c r="B144" s="21" t="s">
        <v>211</v>
      </c>
      <c r="C144" s="21" t="s">
        <v>540</v>
      </c>
      <c r="D144" s="21">
        <v>1820000</v>
      </c>
      <c r="E144" s="21" t="s">
        <v>304</v>
      </c>
      <c r="F144" s="21" t="str">
        <f t="shared" si="4"/>
        <v>rtdc.l.rtdc.4043:itc</v>
      </c>
      <c r="G144" s="8">
        <f t="shared" si="5"/>
        <v>42666.650937500002</v>
      </c>
    </row>
    <row r="145" spans="1:7" x14ac:dyDescent="0.25">
      <c r="A145" s="8">
        <v>42666.65152777778</v>
      </c>
      <c r="B145" s="21" t="s">
        <v>211</v>
      </c>
      <c r="C145" s="21" t="s">
        <v>424</v>
      </c>
      <c r="D145" s="21">
        <v>1820000</v>
      </c>
      <c r="E145" s="21" t="s">
        <v>304</v>
      </c>
      <c r="F145" s="21" t="str">
        <f t="shared" si="4"/>
        <v>rtdc.l.rtdc.4043:itc</v>
      </c>
      <c r="G145" s="8">
        <f t="shared" si="5"/>
        <v>42666.65152777778</v>
      </c>
    </row>
    <row r="146" spans="1:7" x14ac:dyDescent="0.25">
      <c r="A146" s="8">
        <v>42666.652326388888</v>
      </c>
      <c r="B146" s="21" t="s">
        <v>333</v>
      </c>
      <c r="C146" s="21" t="s">
        <v>543</v>
      </c>
      <c r="D146" s="21">
        <v>930000</v>
      </c>
      <c r="E146" s="21" t="s">
        <v>338</v>
      </c>
      <c r="F146" s="21" t="str">
        <f t="shared" si="4"/>
        <v>rtdc.l.rtdc.4027:itc</v>
      </c>
      <c r="G146" s="8">
        <f t="shared" si="5"/>
        <v>42666.652326388888</v>
      </c>
    </row>
    <row r="147" spans="1:7" x14ac:dyDescent="0.25">
      <c r="A147" s="8">
        <v>42666.65934027778</v>
      </c>
      <c r="B147" s="21" t="s">
        <v>329</v>
      </c>
      <c r="C147" s="21" t="s">
        <v>544</v>
      </c>
      <c r="D147" s="21">
        <v>1770000</v>
      </c>
      <c r="E147" s="21" t="s">
        <v>373</v>
      </c>
      <c r="F147" s="21" t="str">
        <f t="shared" si="4"/>
        <v>rtdc.l.rtdc.4045:itc</v>
      </c>
      <c r="G147" s="8">
        <f t="shared" si="5"/>
        <v>42666.65934027778</v>
      </c>
    </row>
    <row r="148" spans="1:7" x14ac:dyDescent="0.25">
      <c r="A148" s="8">
        <v>42666.661550925928</v>
      </c>
      <c r="B148" s="21" t="s">
        <v>188</v>
      </c>
      <c r="C148" s="21" t="s">
        <v>545</v>
      </c>
      <c r="D148" s="21">
        <v>2020000</v>
      </c>
      <c r="E148" s="21" t="s">
        <v>317</v>
      </c>
      <c r="F148" s="21" t="str">
        <f t="shared" si="4"/>
        <v>rtdc.l.rtdc.4018:itc</v>
      </c>
      <c r="G148" s="8">
        <f t="shared" si="5"/>
        <v>42666.661550925928</v>
      </c>
    </row>
    <row r="149" spans="1:7" x14ac:dyDescent="0.25">
      <c r="A149" s="8">
        <v>42666.672754629632</v>
      </c>
      <c r="B149" s="21" t="s">
        <v>282</v>
      </c>
      <c r="C149" s="21" t="s">
        <v>426</v>
      </c>
      <c r="D149" s="21">
        <v>2040000</v>
      </c>
      <c r="E149" s="21" t="s">
        <v>305</v>
      </c>
      <c r="F149" s="21" t="str">
        <f t="shared" si="4"/>
        <v>rtdc.l.rtdc.4015:itc</v>
      </c>
      <c r="G149" s="8">
        <f t="shared" si="5"/>
        <v>42666.672754629632</v>
      </c>
    </row>
    <row r="150" spans="1:7" x14ac:dyDescent="0.25">
      <c r="A150" s="8">
        <v>42666.673148148147</v>
      </c>
      <c r="B150" s="21" t="s">
        <v>194</v>
      </c>
      <c r="C150" s="21" t="s">
        <v>546</v>
      </c>
      <c r="D150" s="21">
        <v>880000</v>
      </c>
      <c r="E150" s="21" t="s">
        <v>337</v>
      </c>
      <c r="F150" s="21" t="str">
        <f t="shared" si="4"/>
        <v>rtdc.l.rtdc.4009:itc</v>
      </c>
      <c r="G150" s="8">
        <f t="shared" si="5"/>
        <v>42666.673148148147</v>
      </c>
    </row>
    <row r="151" spans="1:7" x14ac:dyDescent="0.25">
      <c r="A151" s="8">
        <v>42666.678368055553</v>
      </c>
      <c r="B151" s="21" t="s">
        <v>411</v>
      </c>
      <c r="C151" s="21" t="s">
        <v>547</v>
      </c>
      <c r="D151" s="21">
        <v>1140000</v>
      </c>
      <c r="E151" s="21" t="s">
        <v>306</v>
      </c>
      <c r="F151" s="21" t="str">
        <f t="shared" si="4"/>
        <v>rtdc.l.rtdc.4026:itc</v>
      </c>
      <c r="G151" s="8">
        <f t="shared" si="5"/>
        <v>42666.678368055553</v>
      </c>
    </row>
    <row r="152" spans="1:7" x14ac:dyDescent="0.25">
      <c r="A152" s="8">
        <v>42666.68141203704</v>
      </c>
      <c r="B152" s="21" t="s">
        <v>196</v>
      </c>
      <c r="C152" s="21" t="s">
        <v>548</v>
      </c>
      <c r="D152" s="21">
        <v>970000</v>
      </c>
      <c r="E152" s="21" t="s">
        <v>549</v>
      </c>
      <c r="F152" s="21" t="str">
        <f t="shared" si="4"/>
        <v>rtdc.l.rtdc.4044:itc</v>
      </c>
      <c r="G152" s="8">
        <f t="shared" si="5"/>
        <v>42666.68141203704</v>
      </c>
    </row>
    <row r="153" spans="1:7" x14ac:dyDescent="0.25">
      <c r="A153" s="8">
        <v>42666.682881944442</v>
      </c>
      <c r="B153" s="21" t="s">
        <v>440</v>
      </c>
      <c r="C153" s="21" t="s">
        <v>550</v>
      </c>
      <c r="D153" s="21">
        <v>1280000</v>
      </c>
      <c r="E153" s="21" t="s">
        <v>372</v>
      </c>
      <c r="F153" s="21" t="str">
        <f t="shared" si="4"/>
        <v>rtdc.l.rtdc.4040:itc</v>
      </c>
      <c r="G153" s="8">
        <f t="shared" si="5"/>
        <v>42666.682881944442</v>
      </c>
    </row>
    <row r="154" spans="1:7" x14ac:dyDescent="0.25">
      <c r="A154" s="8">
        <v>42666.688055555554</v>
      </c>
      <c r="B154" s="21" t="s">
        <v>248</v>
      </c>
      <c r="C154" s="21" t="s">
        <v>551</v>
      </c>
      <c r="D154" s="21">
        <v>930000</v>
      </c>
      <c r="E154" s="21" t="s">
        <v>338</v>
      </c>
      <c r="F154" s="21" t="str">
        <f t="shared" si="4"/>
        <v>rtdc.l.rtdc.4028:itc</v>
      </c>
      <c r="G154" s="8">
        <f t="shared" si="5"/>
        <v>42666.688055555554</v>
      </c>
    </row>
    <row r="155" spans="1:7" x14ac:dyDescent="0.25">
      <c r="A155" s="8">
        <v>42666.692962962959</v>
      </c>
      <c r="B155" s="21" t="s">
        <v>198</v>
      </c>
      <c r="C155" s="21" t="s">
        <v>552</v>
      </c>
      <c r="D155" s="21">
        <v>1770000</v>
      </c>
      <c r="E155" s="21" t="s">
        <v>373</v>
      </c>
      <c r="F155" s="21" t="str">
        <f t="shared" si="4"/>
        <v>rtdc.l.rtdc.4046:itc</v>
      </c>
      <c r="G155" s="8">
        <f t="shared" si="5"/>
        <v>42666.692962962959</v>
      </c>
    </row>
    <row r="156" spans="1:7" x14ac:dyDescent="0.25">
      <c r="A156" s="8">
        <v>42666.69604166667</v>
      </c>
      <c r="B156" s="21" t="s">
        <v>211</v>
      </c>
      <c r="C156" s="21" t="s">
        <v>553</v>
      </c>
      <c r="D156" s="21">
        <v>970000</v>
      </c>
      <c r="E156" s="21" t="s">
        <v>549</v>
      </c>
      <c r="F156" s="21" t="str">
        <f t="shared" si="4"/>
        <v>rtdc.l.rtdc.4043:itc</v>
      </c>
      <c r="G156" s="8">
        <f t="shared" si="5"/>
        <v>42666.69604166667</v>
      </c>
    </row>
    <row r="157" spans="1:7" x14ac:dyDescent="0.25">
      <c r="A157" s="8">
        <v>42666.701793981483</v>
      </c>
      <c r="B157" s="21" t="s">
        <v>243</v>
      </c>
      <c r="C157" s="21" t="s">
        <v>554</v>
      </c>
      <c r="D157" s="21">
        <v>2020000</v>
      </c>
      <c r="E157" s="21" t="s">
        <v>317</v>
      </c>
      <c r="F157" s="21" t="str">
        <f t="shared" si="4"/>
        <v>rtdc.l.rtdc.4017:itc</v>
      </c>
      <c r="G157" s="8">
        <f t="shared" si="5"/>
        <v>42666.701793981483</v>
      </c>
    </row>
    <row r="158" spans="1:7" x14ac:dyDescent="0.25">
      <c r="A158" s="8">
        <v>42666.706273148149</v>
      </c>
      <c r="B158" s="21" t="s">
        <v>281</v>
      </c>
      <c r="C158" s="21" t="s">
        <v>555</v>
      </c>
      <c r="D158" s="21">
        <v>2040000</v>
      </c>
      <c r="E158" s="21" t="s">
        <v>305</v>
      </c>
      <c r="F158" s="21" t="str">
        <f t="shared" si="4"/>
        <v>rtdc.l.rtdc.4016:itc</v>
      </c>
      <c r="G158" s="8">
        <f t="shared" si="5"/>
        <v>42666.706273148149</v>
      </c>
    </row>
    <row r="159" spans="1:7" x14ac:dyDescent="0.25">
      <c r="A159" s="8">
        <v>42666.710104166668</v>
      </c>
      <c r="B159" s="21" t="s">
        <v>556</v>
      </c>
      <c r="C159" s="21" t="s">
        <v>557</v>
      </c>
      <c r="D159" s="21">
        <v>2090000</v>
      </c>
      <c r="E159" s="21" t="s">
        <v>339</v>
      </c>
      <c r="F159" s="21" t="str">
        <f t="shared" si="4"/>
        <v>rtdc.l.rtdc.4022:itc</v>
      </c>
      <c r="G159" s="8">
        <f t="shared" si="5"/>
        <v>42666.710104166668</v>
      </c>
    </row>
    <row r="160" spans="1:7" x14ac:dyDescent="0.25">
      <c r="A160" s="8">
        <v>42666.713379629633</v>
      </c>
      <c r="B160" s="21" t="s">
        <v>196</v>
      </c>
      <c r="C160" s="21" t="s">
        <v>558</v>
      </c>
      <c r="D160" s="21">
        <v>970000</v>
      </c>
      <c r="E160" s="21" t="s">
        <v>549</v>
      </c>
      <c r="F160" s="21" t="str">
        <f t="shared" si="4"/>
        <v>rtdc.l.rtdc.4044:itc</v>
      </c>
      <c r="G160" s="8">
        <f t="shared" si="5"/>
        <v>42666.713379629633</v>
      </c>
    </row>
    <row r="161" spans="1:7" x14ac:dyDescent="0.25">
      <c r="A161" s="8">
        <v>42666.714189814818</v>
      </c>
      <c r="B161" s="21" t="s">
        <v>193</v>
      </c>
      <c r="C161" s="21" t="s">
        <v>427</v>
      </c>
      <c r="D161" s="21">
        <v>880000</v>
      </c>
      <c r="E161" s="21" t="s">
        <v>337</v>
      </c>
      <c r="F161" s="21" t="str">
        <f t="shared" si="4"/>
        <v>rtdc.l.rtdc.4010:itc</v>
      </c>
      <c r="G161" s="8">
        <f t="shared" si="5"/>
        <v>42666.714189814818</v>
      </c>
    </row>
    <row r="162" spans="1:7" x14ac:dyDescent="0.25">
      <c r="A162" s="8">
        <v>42666.716168981482</v>
      </c>
      <c r="B162" s="21" t="s">
        <v>213</v>
      </c>
      <c r="C162" s="21" t="s">
        <v>559</v>
      </c>
      <c r="D162" s="21">
        <v>1280000</v>
      </c>
      <c r="E162" s="21" t="s">
        <v>372</v>
      </c>
      <c r="F162" s="21" t="str">
        <f t="shared" si="4"/>
        <v>rtdc.l.rtdc.4039:itc</v>
      </c>
      <c r="G162" s="8">
        <f t="shared" si="5"/>
        <v>42666.716168981482</v>
      </c>
    </row>
    <row r="163" spans="1:7" x14ac:dyDescent="0.25">
      <c r="A163" s="8">
        <v>42666.718518518515</v>
      </c>
      <c r="B163" s="21" t="s">
        <v>446</v>
      </c>
      <c r="C163" s="21" t="s">
        <v>560</v>
      </c>
      <c r="D163" s="21">
        <v>1180000</v>
      </c>
      <c r="E163" s="21" t="s">
        <v>189</v>
      </c>
      <c r="F163" s="21" t="str">
        <f t="shared" si="4"/>
        <v>rtdc.l.rtdc.4025:itc</v>
      </c>
      <c r="G163" s="8">
        <f t="shared" si="5"/>
        <v>42666.718518518515</v>
      </c>
    </row>
    <row r="164" spans="1:7" x14ac:dyDescent="0.25">
      <c r="A164" s="8">
        <v>42666.7262962963</v>
      </c>
      <c r="B164" s="21" t="s">
        <v>333</v>
      </c>
      <c r="C164" s="21" t="s">
        <v>561</v>
      </c>
      <c r="D164" s="21">
        <v>1140000</v>
      </c>
      <c r="E164" s="21" t="s">
        <v>306</v>
      </c>
      <c r="F164" s="21" t="str">
        <f t="shared" si="4"/>
        <v>rtdc.l.rtdc.4027:itc</v>
      </c>
      <c r="G164" s="8">
        <f t="shared" si="5"/>
        <v>42666.7262962963</v>
      </c>
    </row>
    <row r="165" spans="1:7" x14ac:dyDescent="0.25">
      <c r="A165" s="8">
        <v>42666.730486111112</v>
      </c>
      <c r="B165" s="21" t="s">
        <v>329</v>
      </c>
      <c r="C165" s="21" t="s">
        <v>562</v>
      </c>
      <c r="D165" s="21">
        <v>1770000</v>
      </c>
      <c r="E165" s="21" t="s">
        <v>373</v>
      </c>
      <c r="F165" s="21" t="str">
        <f t="shared" si="4"/>
        <v>rtdc.l.rtdc.4045:itc</v>
      </c>
      <c r="G165" s="8">
        <f t="shared" si="5"/>
        <v>42666.730486111112</v>
      </c>
    </row>
    <row r="166" spans="1:7" x14ac:dyDescent="0.25">
      <c r="A166" s="8">
        <v>42666.735486111109</v>
      </c>
      <c r="B166" s="21" t="s">
        <v>188</v>
      </c>
      <c r="C166" s="21" t="s">
        <v>430</v>
      </c>
      <c r="D166" s="21">
        <v>2350000</v>
      </c>
      <c r="E166" s="21" t="s">
        <v>266</v>
      </c>
      <c r="F166" s="21" t="str">
        <f t="shared" si="4"/>
        <v>rtdc.l.rtdc.4018:itc</v>
      </c>
      <c r="G166" s="8">
        <f t="shared" si="5"/>
        <v>42666.735486111109</v>
      </c>
    </row>
    <row r="167" spans="1:7" x14ac:dyDescent="0.25">
      <c r="A167" s="8">
        <v>42666.73641203704</v>
      </c>
      <c r="B167" s="21" t="s">
        <v>211</v>
      </c>
      <c r="C167" s="21" t="s">
        <v>428</v>
      </c>
      <c r="D167" s="21">
        <v>970000</v>
      </c>
      <c r="E167" s="21" t="s">
        <v>549</v>
      </c>
      <c r="F167" s="21" t="str">
        <f t="shared" si="4"/>
        <v>rtdc.l.rtdc.4043:itc</v>
      </c>
      <c r="G167" s="8">
        <f t="shared" si="5"/>
        <v>42666.73641203704</v>
      </c>
    </row>
    <row r="168" spans="1:7" x14ac:dyDescent="0.25">
      <c r="A168" s="8">
        <v>42666.743668981479</v>
      </c>
      <c r="B168" s="21" t="s">
        <v>282</v>
      </c>
      <c r="C168" s="21" t="s">
        <v>563</v>
      </c>
      <c r="D168" s="21">
        <v>2040000</v>
      </c>
      <c r="E168" s="21" t="s">
        <v>305</v>
      </c>
      <c r="F168" s="21" t="str">
        <f t="shared" si="4"/>
        <v>rtdc.l.rtdc.4015:itc</v>
      </c>
      <c r="G168" s="8">
        <f t="shared" si="5"/>
        <v>42666.743668981479</v>
      </c>
    </row>
    <row r="169" spans="1:7" x14ac:dyDescent="0.25">
      <c r="A169" s="8">
        <v>42666.74554398148</v>
      </c>
      <c r="B169" s="21" t="s">
        <v>194</v>
      </c>
      <c r="C169" s="21" t="s">
        <v>564</v>
      </c>
      <c r="D169" s="21">
        <v>2020000</v>
      </c>
      <c r="E169" s="21" t="s">
        <v>317</v>
      </c>
      <c r="F169" s="21" t="str">
        <f t="shared" si="4"/>
        <v>rtdc.l.rtdc.4009:itc</v>
      </c>
      <c r="G169" s="8">
        <f t="shared" si="5"/>
        <v>42666.74554398148</v>
      </c>
    </row>
    <row r="170" spans="1:7" x14ac:dyDescent="0.25">
      <c r="A170" s="8">
        <v>42666.752592592595</v>
      </c>
      <c r="B170" s="21" t="s">
        <v>411</v>
      </c>
      <c r="C170" s="21" t="s">
        <v>565</v>
      </c>
      <c r="D170" s="21">
        <v>1180000</v>
      </c>
      <c r="E170" s="21" t="s">
        <v>189</v>
      </c>
      <c r="F170" s="21" t="str">
        <f t="shared" si="4"/>
        <v>rtdc.l.rtdc.4026:itc</v>
      </c>
      <c r="G170" s="8">
        <f t="shared" si="5"/>
        <v>42666.752592592595</v>
      </c>
    </row>
    <row r="171" spans="1:7" x14ac:dyDescent="0.25">
      <c r="A171" s="8">
        <v>42666.756226851852</v>
      </c>
      <c r="B171" s="21" t="s">
        <v>440</v>
      </c>
      <c r="C171" s="21" t="s">
        <v>566</v>
      </c>
      <c r="D171" s="21">
        <v>1810000</v>
      </c>
      <c r="E171" s="21" t="s">
        <v>318</v>
      </c>
      <c r="F171" s="21" t="str">
        <f t="shared" si="4"/>
        <v>rtdc.l.rtdc.4040:itc</v>
      </c>
      <c r="G171" s="8">
        <f t="shared" si="5"/>
        <v>42666.756226851852</v>
      </c>
    </row>
    <row r="172" spans="1:7" x14ac:dyDescent="0.25">
      <c r="A172" s="8">
        <v>42666.757824074077</v>
      </c>
      <c r="B172" s="21" t="s">
        <v>253</v>
      </c>
      <c r="C172" s="21" t="s">
        <v>429</v>
      </c>
      <c r="D172" s="21">
        <v>2370000</v>
      </c>
      <c r="E172" s="21" t="s">
        <v>272</v>
      </c>
      <c r="F172" s="21" t="str">
        <f t="shared" si="4"/>
        <v>rtdc.l.rtdc.4041:itc</v>
      </c>
      <c r="G172" s="8">
        <f t="shared" si="5"/>
        <v>42666.757824074077</v>
      </c>
    </row>
    <row r="173" spans="1:7" x14ac:dyDescent="0.25">
      <c r="A173" s="8">
        <v>42666.759456018517</v>
      </c>
      <c r="B173" s="21" t="s">
        <v>196</v>
      </c>
      <c r="C173" s="21" t="s">
        <v>567</v>
      </c>
      <c r="D173" s="21">
        <v>970000</v>
      </c>
      <c r="E173" s="21" t="s">
        <v>549</v>
      </c>
      <c r="F173" s="21" t="str">
        <f t="shared" si="4"/>
        <v>rtdc.l.rtdc.4044:itc</v>
      </c>
      <c r="G173" s="8">
        <f t="shared" si="5"/>
        <v>42666.759456018517</v>
      </c>
    </row>
    <row r="174" spans="1:7" x14ac:dyDescent="0.25">
      <c r="A174" s="8">
        <v>42666.761701388888</v>
      </c>
      <c r="B174" s="21" t="s">
        <v>248</v>
      </c>
      <c r="C174" s="21" t="s">
        <v>568</v>
      </c>
      <c r="D174" s="21">
        <v>1140000</v>
      </c>
      <c r="E174" s="21" t="s">
        <v>306</v>
      </c>
      <c r="F174" s="21" t="str">
        <f t="shared" si="4"/>
        <v>rtdc.l.rtdc.4028:itc</v>
      </c>
      <c r="G174" s="8">
        <f t="shared" si="5"/>
        <v>42666.761701388888</v>
      </c>
    </row>
    <row r="175" spans="1:7" x14ac:dyDescent="0.25">
      <c r="A175" s="8">
        <v>42666.768067129633</v>
      </c>
      <c r="B175" s="21" t="s">
        <v>198</v>
      </c>
      <c r="C175" s="21" t="s">
        <v>569</v>
      </c>
      <c r="D175" s="21">
        <v>1800000</v>
      </c>
      <c r="E175" s="21" t="s">
        <v>209</v>
      </c>
      <c r="F175" s="21" t="str">
        <f t="shared" si="4"/>
        <v>rtdc.l.rtdc.4046:itc</v>
      </c>
      <c r="G175" s="8">
        <f t="shared" si="5"/>
        <v>42666.768067129633</v>
      </c>
    </row>
    <row r="176" spans="1:7" x14ac:dyDescent="0.25">
      <c r="A176" s="8">
        <v>42666.774965277778</v>
      </c>
      <c r="B176" s="21" t="s">
        <v>243</v>
      </c>
      <c r="C176" s="21" t="s">
        <v>570</v>
      </c>
      <c r="D176" s="21">
        <v>2350000</v>
      </c>
      <c r="E176" s="21" t="s">
        <v>266</v>
      </c>
      <c r="F176" s="21" t="str">
        <f t="shared" si="4"/>
        <v>rtdc.l.rtdc.4017:itc</v>
      </c>
      <c r="G176" s="8">
        <f t="shared" si="5"/>
        <v>42666.774965277778</v>
      </c>
    </row>
    <row r="177" spans="1:7" x14ac:dyDescent="0.25">
      <c r="A177" s="8">
        <v>42666.777511574073</v>
      </c>
      <c r="B177" s="21" t="s">
        <v>211</v>
      </c>
      <c r="C177" s="21" t="s">
        <v>571</v>
      </c>
      <c r="D177" s="21">
        <v>970000</v>
      </c>
      <c r="E177" s="21" t="s">
        <v>549</v>
      </c>
      <c r="F177" s="21" t="str">
        <f t="shared" si="4"/>
        <v>rtdc.l.rtdc.4043:itc</v>
      </c>
      <c r="G177" s="8">
        <f t="shared" si="5"/>
        <v>42666.777511574073</v>
      </c>
    </row>
    <row r="178" spans="1:7" x14ac:dyDescent="0.25">
      <c r="A178" s="8">
        <v>42666.778229166666</v>
      </c>
      <c r="B178" s="21" t="s">
        <v>281</v>
      </c>
      <c r="C178" s="21" t="s">
        <v>572</v>
      </c>
      <c r="D178" s="21">
        <v>2040000</v>
      </c>
      <c r="E178" s="21" t="s">
        <v>305</v>
      </c>
      <c r="F178" s="21" t="str">
        <f t="shared" si="4"/>
        <v>rtdc.l.rtdc.4016:itc</v>
      </c>
      <c r="G178" s="8">
        <f t="shared" si="5"/>
        <v>42666.778229166666</v>
      </c>
    </row>
    <row r="179" spans="1:7" x14ac:dyDescent="0.25">
      <c r="A179" s="8">
        <v>42666.784490740742</v>
      </c>
      <c r="B179" s="21" t="s">
        <v>193</v>
      </c>
      <c r="C179" s="21" t="s">
        <v>573</v>
      </c>
      <c r="D179" s="21">
        <v>2020000</v>
      </c>
      <c r="E179" s="21" t="s">
        <v>317</v>
      </c>
      <c r="F179" s="21" t="str">
        <f t="shared" si="4"/>
        <v>rtdc.l.rtdc.4010:itc</v>
      </c>
      <c r="G179" s="8">
        <f t="shared" si="5"/>
        <v>42666.784490740742</v>
      </c>
    </row>
    <row r="180" spans="1:7" x14ac:dyDescent="0.25">
      <c r="A180" s="8">
        <v>42666.787511574075</v>
      </c>
      <c r="B180" s="21" t="s">
        <v>446</v>
      </c>
      <c r="C180" s="21" t="s">
        <v>574</v>
      </c>
      <c r="D180" s="21">
        <v>1180000</v>
      </c>
      <c r="E180" s="21" t="s">
        <v>189</v>
      </c>
      <c r="F180" s="21" t="str">
        <f t="shared" si="4"/>
        <v>rtdc.l.rtdc.4025:itc</v>
      </c>
      <c r="G180" s="8">
        <f t="shared" si="5"/>
        <v>42666.787511574075</v>
      </c>
    </row>
    <row r="181" spans="1:7" x14ac:dyDescent="0.25">
      <c r="A181" s="8">
        <v>42666.791909722226</v>
      </c>
      <c r="B181" s="21" t="s">
        <v>213</v>
      </c>
      <c r="C181" s="21" t="s">
        <v>575</v>
      </c>
      <c r="D181" s="21">
        <v>1810000</v>
      </c>
      <c r="E181" s="21" t="s">
        <v>318</v>
      </c>
      <c r="F181" s="21" t="str">
        <f t="shared" si="4"/>
        <v>rtdc.l.rtdc.4039:itc</v>
      </c>
      <c r="G181" s="8">
        <f t="shared" si="5"/>
        <v>42666.791909722226</v>
      </c>
    </row>
    <row r="182" spans="1:7" x14ac:dyDescent="0.25">
      <c r="A182" s="8">
        <v>42666.801041666666</v>
      </c>
      <c r="B182" s="21" t="s">
        <v>333</v>
      </c>
      <c r="C182" s="21" t="s">
        <v>576</v>
      </c>
      <c r="D182" s="21">
        <v>1140000</v>
      </c>
      <c r="E182" s="21" t="s">
        <v>306</v>
      </c>
      <c r="F182" s="21" t="str">
        <f t="shared" si="4"/>
        <v>rtdc.l.rtdc.4027:itc</v>
      </c>
      <c r="G182" s="8">
        <f t="shared" si="5"/>
        <v>42666.801041666666</v>
      </c>
    </row>
    <row r="183" spans="1:7" x14ac:dyDescent="0.25">
      <c r="A183" s="8">
        <v>42666.808263888888</v>
      </c>
      <c r="B183" s="21" t="s">
        <v>196</v>
      </c>
      <c r="C183" s="21" t="s">
        <v>577</v>
      </c>
      <c r="D183" s="21">
        <v>1820000</v>
      </c>
      <c r="E183" s="21" t="s">
        <v>304</v>
      </c>
      <c r="F183" s="21" t="str">
        <f t="shared" si="4"/>
        <v>rtdc.l.rtdc.4044:itc</v>
      </c>
      <c r="G183" s="8">
        <f t="shared" si="5"/>
        <v>42666.808263888888</v>
      </c>
    </row>
    <row r="184" spans="1:7" x14ac:dyDescent="0.25">
      <c r="A184" s="8">
        <v>42666.808715277781</v>
      </c>
      <c r="B184" s="21" t="s">
        <v>329</v>
      </c>
      <c r="C184" s="21" t="s">
        <v>578</v>
      </c>
      <c r="D184" s="21">
        <v>1800000</v>
      </c>
      <c r="E184" s="21" t="s">
        <v>209</v>
      </c>
      <c r="F184" s="21" t="str">
        <f t="shared" si="4"/>
        <v>rtdc.l.rtdc.4045:itc</v>
      </c>
      <c r="G184" s="8">
        <f t="shared" si="5"/>
        <v>42666.808715277781</v>
      </c>
    </row>
    <row r="185" spans="1:7" x14ac:dyDescent="0.25">
      <c r="A185" s="8">
        <v>42666.80878472222</v>
      </c>
      <c r="B185" s="21" t="s">
        <v>188</v>
      </c>
      <c r="C185" s="21" t="s">
        <v>579</v>
      </c>
      <c r="D185" s="21">
        <v>2350000</v>
      </c>
      <c r="E185" s="21" t="s">
        <v>266</v>
      </c>
      <c r="F185" s="21" t="str">
        <f t="shared" si="4"/>
        <v>rtdc.l.rtdc.4018:itc</v>
      </c>
      <c r="G185" s="8">
        <f t="shared" si="5"/>
        <v>42666.80878472222</v>
      </c>
    </row>
    <row r="186" spans="1:7" x14ac:dyDescent="0.25">
      <c r="A186" s="8">
        <v>42666.818692129629</v>
      </c>
      <c r="B186" s="21" t="s">
        <v>194</v>
      </c>
      <c r="C186" s="21" t="s">
        <v>580</v>
      </c>
      <c r="D186" s="21">
        <v>2020000</v>
      </c>
      <c r="E186" s="21" t="s">
        <v>317</v>
      </c>
      <c r="F186" s="21" t="str">
        <f t="shared" si="4"/>
        <v>rtdc.l.rtdc.4009:itc</v>
      </c>
      <c r="G186" s="8">
        <f t="shared" si="5"/>
        <v>42666.818692129629</v>
      </c>
    </row>
    <row r="187" spans="1:7" x14ac:dyDescent="0.25">
      <c r="A187" s="8">
        <v>42666.820023148146</v>
      </c>
      <c r="B187" s="21" t="s">
        <v>211</v>
      </c>
      <c r="C187" s="21" t="s">
        <v>581</v>
      </c>
      <c r="D187" s="21">
        <v>1820000</v>
      </c>
      <c r="E187" s="21" t="s">
        <v>304</v>
      </c>
      <c r="F187" s="21" t="str">
        <f t="shared" si="4"/>
        <v>rtdc.l.rtdc.4043:itc</v>
      </c>
      <c r="G187" s="8">
        <f t="shared" si="5"/>
        <v>42666.820023148146</v>
      </c>
    </row>
    <row r="188" spans="1:7" x14ac:dyDescent="0.25">
      <c r="A188" s="8">
        <v>42666.827152777776</v>
      </c>
      <c r="B188" s="21" t="s">
        <v>440</v>
      </c>
      <c r="C188" s="21" t="s">
        <v>582</v>
      </c>
      <c r="D188" s="21">
        <v>1810000</v>
      </c>
      <c r="E188" s="21" t="s">
        <v>318</v>
      </c>
      <c r="F188" s="21" t="str">
        <f t="shared" si="4"/>
        <v>rtdc.l.rtdc.4040:itc</v>
      </c>
      <c r="G188" s="8">
        <f t="shared" si="5"/>
        <v>42666.827152777776</v>
      </c>
    </row>
    <row r="189" spans="1:7" x14ac:dyDescent="0.25">
      <c r="A189" s="8">
        <v>42666.828032407408</v>
      </c>
      <c r="B189" s="21" t="s">
        <v>411</v>
      </c>
      <c r="C189" s="21" t="s">
        <v>583</v>
      </c>
      <c r="D189" s="21">
        <v>1180000</v>
      </c>
      <c r="E189" s="21" t="s">
        <v>189</v>
      </c>
      <c r="F189" s="21" t="str">
        <f t="shared" si="4"/>
        <v>rtdc.l.rtdc.4026:itc</v>
      </c>
      <c r="G189" s="8">
        <f t="shared" si="5"/>
        <v>42666.828032407408</v>
      </c>
    </row>
    <row r="190" spans="1:7" x14ac:dyDescent="0.25">
      <c r="A190" s="8">
        <v>42666.839143518519</v>
      </c>
      <c r="B190" s="21" t="s">
        <v>196</v>
      </c>
      <c r="C190" s="21" t="s">
        <v>431</v>
      </c>
      <c r="D190" s="21">
        <v>970000</v>
      </c>
      <c r="E190" s="21" t="s">
        <v>549</v>
      </c>
      <c r="F190" s="21" t="str">
        <f t="shared" si="4"/>
        <v>rtdc.l.rtdc.4044:itc</v>
      </c>
      <c r="G190" s="8">
        <f t="shared" si="5"/>
        <v>42666.839143518519</v>
      </c>
    </row>
    <row r="191" spans="1:7" x14ac:dyDescent="0.25">
      <c r="A191" s="8">
        <v>42666.849386574075</v>
      </c>
      <c r="B191" s="21" t="s">
        <v>243</v>
      </c>
      <c r="C191" s="21" t="s">
        <v>584</v>
      </c>
      <c r="D191" s="21">
        <v>2350000</v>
      </c>
      <c r="E191" s="21" t="s">
        <v>266</v>
      </c>
      <c r="F191" s="21" t="str">
        <f t="shared" si="4"/>
        <v>rtdc.l.rtdc.4017:itc</v>
      </c>
      <c r="G191" s="8">
        <f t="shared" si="5"/>
        <v>42666.849386574075</v>
      </c>
    </row>
    <row r="192" spans="1:7" x14ac:dyDescent="0.25">
      <c r="A192" s="8">
        <v>42666.852627314816</v>
      </c>
      <c r="B192" s="21" t="s">
        <v>198</v>
      </c>
      <c r="C192" s="21" t="s">
        <v>585</v>
      </c>
      <c r="D192" s="21">
        <v>1800000</v>
      </c>
      <c r="E192" s="21" t="s">
        <v>209</v>
      </c>
      <c r="F192" s="21" t="str">
        <f t="shared" si="4"/>
        <v>rtdc.l.rtdc.4046:itc</v>
      </c>
      <c r="G192" s="8">
        <f t="shared" si="5"/>
        <v>42666.852627314816</v>
      </c>
    </row>
    <row r="193" spans="1:7" x14ac:dyDescent="0.25">
      <c r="A193" s="8">
        <v>42666.860347222224</v>
      </c>
      <c r="B193" s="21" t="s">
        <v>213</v>
      </c>
      <c r="C193" s="21" t="s">
        <v>586</v>
      </c>
      <c r="D193" s="21">
        <v>1810000</v>
      </c>
      <c r="E193" s="21" t="s">
        <v>318</v>
      </c>
      <c r="F193" s="21" t="str">
        <f t="shared" si="4"/>
        <v>rtdc.l.rtdc.4039:itc</v>
      </c>
      <c r="G193" s="8">
        <f t="shared" si="5"/>
        <v>42666.860347222224</v>
      </c>
    </row>
    <row r="194" spans="1:7" x14ac:dyDescent="0.25">
      <c r="A194" s="8">
        <v>42666.861307870371</v>
      </c>
      <c r="B194" s="21" t="s">
        <v>211</v>
      </c>
      <c r="C194" s="21" t="s">
        <v>587</v>
      </c>
      <c r="D194" s="21">
        <v>970000</v>
      </c>
      <c r="E194" s="21" t="s">
        <v>549</v>
      </c>
      <c r="F194" s="21" t="str">
        <f t="shared" ref="F194:F235" si="6">B194</f>
        <v>rtdc.l.rtdc.4043:itc</v>
      </c>
      <c r="G194" s="8">
        <f t="shared" ref="G194:G235" si="7">A194</f>
        <v>42666.861307870371</v>
      </c>
    </row>
    <row r="195" spans="1:7" x14ac:dyDescent="0.25">
      <c r="A195" s="8">
        <v>42666.871168981481</v>
      </c>
      <c r="B195" s="21" t="s">
        <v>446</v>
      </c>
      <c r="C195" s="21" t="s">
        <v>588</v>
      </c>
      <c r="D195" s="21">
        <v>1180000</v>
      </c>
      <c r="E195" s="21" t="s">
        <v>189</v>
      </c>
      <c r="F195" s="21" t="str">
        <f t="shared" si="6"/>
        <v>rtdc.l.rtdc.4025:itc</v>
      </c>
      <c r="G195" s="8">
        <f t="shared" si="7"/>
        <v>42666.871168981481</v>
      </c>
    </row>
    <row r="196" spans="1:7" x14ac:dyDescent="0.25">
      <c r="A196" s="8">
        <v>42666.8909375</v>
      </c>
      <c r="B196" s="21" t="s">
        <v>188</v>
      </c>
      <c r="C196" s="21" t="s">
        <v>589</v>
      </c>
      <c r="D196" s="21">
        <v>2350000</v>
      </c>
      <c r="E196" s="21" t="s">
        <v>266</v>
      </c>
      <c r="F196" s="21" t="str">
        <f t="shared" si="6"/>
        <v>rtdc.l.rtdc.4018:itc</v>
      </c>
      <c r="G196" s="8">
        <f t="shared" si="7"/>
        <v>42666.8909375</v>
      </c>
    </row>
    <row r="197" spans="1:7" x14ac:dyDescent="0.25">
      <c r="A197" s="8">
        <v>42666.892002314817</v>
      </c>
      <c r="B197" s="21" t="s">
        <v>329</v>
      </c>
      <c r="C197" s="21" t="s">
        <v>590</v>
      </c>
      <c r="D197" s="21">
        <v>1800000</v>
      </c>
      <c r="E197" s="21" t="s">
        <v>209</v>
      </c>
      <c r="F197" s="21" t="str">
        <f t="shared" si="6"/>
        <v>rtdc.l.rtdc.4045:itc</v>
      </c>
      <c r="G197" s="8">
        <f t="shared" si="7"/>
        <v>42666.892002314817</v>
      </c>
    </row>
    <row r="198" spans="1:7" x14ac:dyDescent="0.25">
      <c r="A198" s="8">
        <v>42666.893206018518</v>
      </c>
      <c r="B198" s="21" t="s">
        <v>252</v>
      </c>
      <c r="C198" s="21" t="s">
        <v>591</v>
      </c>
      <c r="D198" s="21">
        <v>2370000</v>
      </c>
      <c r="E198" s="21" t="s">
        <v>272</v>
      </c>
      <c r="F198" s="21" t="str">
        <f t="shared" si="6"/>
        <v>rtdc.l.rtdc.4042:itc</v>
      </c>
      <c r="G198" s="8">
        <f t="shared" si="7"/>
        <v>42666.893206018518</v>
      </c>
    </row>
    <row r="199" spans="1:7" x14ac:dyDescent="0.25">
      <c r="A199" s="8">
        <v>42666.906354166669</v>
      </c>
      <c r="B199" s="21" t="s">
        <v>440</v>
      </c>
      <c r="C199" s="21" t="s">
        <v>592</v>
      </c>
      <c r="D199" s="21">
        <v>1810000</v>
      </c>
      <c r="E199" s="21" t="s">
        <v>318</v>
      </c>
      <c r="F199" s="21" t="str">
        <f t="shared" si="6"/>
        <v>rtdc.l.rtdc.4040:itc</v>
      </c>
      <c r="G199" s="8">
        <f t="shared" si="7"/>
        <v>42666.906354166669</v>
      </c>
    </row>
    <row r="200" spans="1:7" x14ac:dyDescent="0.25">
      <c r="A200" s="8">
        <v>42666.907256944447</v>
      </c>
      <c r="B200" s="21" t="s">
        <v>253</v>
      </c>
      <c r="C200" s="21" t="s">
        <v>593</v>
      </c>
      <c r="D200" s="21">
        <v>2370000</v>
      </c>
      <c r="E200" s="21" t="s">
        <v>272</v>
      </c>
      <c r="F200" s="21" t="str">
        <f t="shared" si="6"/>
        <v>rtdc.l.rtdc.4041:itc</v>
      </c>
      <c r="G200" s="8">
        <f t="shared" si="7"/>
        <v>42666.907256944447</v>
      </c>
    </row>
    <row r="201" spans="1:7" x14ac:dyDescent="0.25">
      <c r="A201" s="8">
        <v>42666.910995370374</v>
      </c>
      <c r="B201" s="21" t="s">
        <v>411</v>
      </c>
      <c r="C201" s="21" t="s">
        <v>594</v>
      </c>
      <c r="D201" s="21">
        <v>1180000</v>
      </c>
      <c r="E201" s="21" t="s">
        <v>189</v>
      </c>
      <c r="F201" s="21" t="str">
        <f t="shared" si="6"/>
        <v>rtdc.l.rtdc.4026:itc</v>
      </c>
      <c r="G201" s="8">
        <f t="shared" si="7"/>
        <v>42666.910995370374</v>
      </c>
    </row>
    <row r="202" spans="1:7" x14ac:dyDescent="0.25">
      <c r="A202" s="27">
        <v>42666.925138888888</v>
      </c>
      <c r="B202" s="21" t="s">
        <v>196</v>
      </c>
      <c r="C202" s="21" t="s">
        <v>595</v>
      </c>
      <c r="D202" s="21">
        <v>970000</v>
      </c>
      <c r="E202" s="21" t="s">
        <v>549</v>
      </c>
      <c r="F202" s="21" t="str">
        <f t="shared" si="6"/>
        <v>rtdc.l.rtdc.4044:itc</v>
      </c>
      <c r="G202" s="8">
        <f t="shared" si="7"/>
        <v>42666.925138888888</v>
      </c>
    </row>
    <row r="203" spans="1:7" x14ac:dyDescent="0.25">
      <c r="A203" s="8">
        <v>42666.927442129629</v>
      </c>
      <c r="B203" s="21" t="s">
        <v>243</v>
      </c>
      <c r="C203" s="21" t="s">
        <v>596</v>
      </c>
      <c r="D203" s="21">
        <v>2350000</v>
      </c>
      <c r="E203" s="21" t="s">
        <v>266</v>
      </c>
      <c r="F203" s="21" t="str">
        <f t="shared" si="6"/>
        <v>rtdc.l.rtdc.4017:itc</v>
      </c>
      <c r="G203" s="8">
        <f t="shared" si="7"/>
        <v>42666.927442129629</v>
      </c>
    </row>
    <row r="204" spans="1:7" x14ac:dyDescent="0.25">
      <c r="A204" s="8">
        <v>42666.935497685183</v>
      </c>
      <c r="B204" s="21" t="s">
        <v>198</v>
      </c>
      <c r="C204" s="21" t="s">
        <v>597</v>
      </c>
      <c r="D204" s="21">
        <v>1800000</v>
      </c>
      <c r="E204" s="21" t="s">
        <v>209</v>
      </c>
      <c r="F204" s="21" t="str">
        <f t="shared" si="6"/>
        <v>rtdc.l.rtdc.4046:itc</v>
      </c>
      <c r="G204" s="8">
        <f t="shared" si="7"/>
        <v>42666.935497685183</v>
      </c>
    </row>
    <row r="205" spans="1:7" x14ac:dyDescent="0.25">
      <c r="A205" s="8">
        <v>42666.946053240739</v>
      </c>
      <c r="B205" s="21" t="s">
        <v>211</v>
      </c>
      <c r="C205" s="21" t="s">
        <v>598</v>
      </c>
      <c r="D205" s="21">
        <v>970000</v>
      </c>
      <c r="E205" s="21" t="s">
        <v>549</v>
      </c>
      <c r="F205" s="21" t="str">
        <f t="shared" si="6"/>
        <v>rtdc.l.rtdc.4043:itc</v>
      </c>
      <c r="G205" s="8">
        <f t="shared" si="7"/>
        <v>42666.946053240739</v>
      </c>
    </row>
    <row r="206" spans="1:7" x14ac:dyDescent="0.25">
      <c r="A206" s="8">
        <v>42666.949618055558</v>
      </c>
      <c r="B206" s="21" t="s">
        <v>213</v>
      </c>
      <c r="C206" s="21" t="s">
        <v>599</v>
      </c>
      <c r="D206" s="21">
        <v>1810000</v>
      </c>
      <c r="E206" s="21" t="s">
        <v>318</v>
      </c>
      <c r="F206" s="21" t="str">
        <f t="shared" si="6"/>
        <v>rtdc.l.rtdc.4039:itc</v>
      </c>
      <c r="G206" s="8">
        <f t="shared" si="7"/>
        <v>42666.949618055558</v>
      </c>
    </row>
    <row r="207" spans="1:7" x14ac:dyDescent="0.25">
      <c r="A207" s="8">
        <v>42666.951898148145</v>
      </c>
      <c r="B207" s="21" t="s">
        <v>446</v>
      </c>
      <c r="C207" s="21" t="s">
        <v>600</v>
      </c>
      <c r="D207" s="21">
        <v>1180000</v>
      </c>
      <c r="E207" s="21" t="s">
        <v>189</v>
      </c>
      <c r="F207" s="21" t="str">
        <f t="shared" si="6"/>
        <v>rtdc.l.rtdc.4025:itc</v>
      </c>
      <c r="G207" s="8">
        <f t="shared" si="7"/>
        <v>42666.951898148145</v>
      </c>
    </row>
    <row r="208" spans="1:7" x14ac:dyDescent="0.25">
      <c r="A208" s="8">
        <v>42666.975034722222</v>
      </c>
      <c r="B208" s="21" t="s">
        <v>188</v>
      </c>
      <c r="C208" s="21" t="s">
        <v>601</v>
      </c>
      <c r="D208" s="21">
        <v>2350000</v>
      </c>
      <c r="E208" s="21" t="s">
        <v>266</v>
      </c>
      <c r="F208" s="21" t="str">
        <f t="shared" si="6"/>
        <v>rtdc.l.rtdc.4018:itc</v>
      </c>
      <c r="G208" s="8">
        <f t="shared" si="7"/>
        <v>42666.975034722222</v>
      </c>
    </row>
    <row r="209" spans="1:7" x14ac:dyDescent="0.25">
      <c r="A209" s="8">
        <v>42666.97896990741</v>
      </c>
      <c r="B209" s="21" t="s">
        <v>329</v>
      </c>
      <c r="C209" s="21" t="s">
        <v>432</v>
      </c>
      <c r="D209" s="21">
        <v>1800000</v>
      </c>
      <c r="E209" s="21" t="s">
        <v>209</v>
      </c>
      <c r="F209" s="21" t="str">
        <f t="shared" si="6"/>
        <v>rtdc.l.rtdc.4045:itc</v>
      </c>
      <c r="G209" s="8">
        <f t="shared" si="7"/>
        <v>42666.97896990741</v>
      </c>
    </row>
    <row r="210" spans="1:7" x14ac:dyDescent="0.25">
      <c r="A210" s="8">
        <v>42666.984490740739</v>
      </c>
      <c r="B210" s="21" t="s">
        <v>440</v>
      </c>
      <c r="C210" s="21" t="s">
        <v>602</v>
      </c>
      <c r="D210" s="21">
        <v>1810000</v>
      </c>
      <c r="E210" s="21" t="s">
        <v>318</v>
      </c>
      <c r="F210" s="21" t="str">
        <f t="shared" si="6"/>
        <v>rtdc.l.rtdc.4040:itc</v>
      </c>
      <c r="G210" s="8">
        <f t="shared" si="7"/>
        <v>42666.984490740739</v>
      </c>
    </row>
    <row r="211" spans="1:7" x14ac:dyDescent="0.25">
      <c r="A211" s="8">
        <v>42666.994143518517</v>
      </c>
      <c r="B211" s="21" t="s">
        <v>411</v>
      </c>
      <c r="C211" s="21" t="s">
        <v>603</v>
      </c>
      <c r="D211" s="21">
        <v>1180000</v>
      </c>
      <c r="E211" s="21" t="s">
        <v>189</v>
      </c>
      <c r="F211" s="21" t="str">
        <f t="shared" si="6"/>
        <v>rtdc.l.rtdc.4026:itc</v>
      </c>
      <c r="G211" s="8">
        <f t="shared" si="7"/>
        <v>42666.994143518517</v>
      </c>
    </row>
    <row r="212" spans="1:7" x14ac:dyDescent="0.25">
      <c r="A212" s="8">
        <v>42667.01258101852</v>
      </c>
      <c r="B212" s="21" t="s">
        <v>243</v>
      </c>
      <c r="C212" s="21" t="s">
        <v>604</v>
      </c>
      <c r="D212" s="21">
        <v>2350000</v>
      </c>
      <c r="E212" s="21" t="s">
        <v>266</v>
      </c>
      <c r="F212" s="21" t="str">
        <f t="shared" si="6"/>
        <v>rtdc.l.rtdc.4017:itc</v>
      </c>
      <c r="G212" s="8">
        <f t="shared" si="7"/>
        <v>42667.01258101852</v>
      </c>
    </row>
    <row r="213" spans="1:7" x14ac:dyDescent="0.25">
      <c r="A213" s="8">
        <v>42667.018333333333</v>
      </c>
      <c r="B213" s="21" t="s">
        <v>252</v>
      </c>
      <c r="C213" s="21" t="s">
        <v>605</v>
      </c>
      <c r="D213" s="21">
        <v>1800000</v>
      </c>
      <c r="E213" s="21" t="s">
        <v>209</v>
      </c>
      <c r="F213" s="21" t="str">
        <f t="shared" si="6"/>
        <v>rtdc.l.rtdc.4042:itc</v>
      </c>
      <c r="G213" s="8">
        <f t="shared" si="7"/>
        <v>42667.018333333333</v>
      </c>
    </row>
    <row r="214" spans="1:7" x14ac:dyDescent="0.25">
      <c r="A214" s="8">
        <v>42667.028460648151</v>
      </c>
      <c r="B214" s="21" t="s">
        <v>446</v>
      </c>
      <c r="C214" s="21" t="s">
        <v>606</v>
      </c>
      <c r="D214" s="21">
        <v>1180000</v>
      </c>
      <c r="E214" s="21" t="s">
        <v>189</v>
      </c>
      <c r="F214" s="21" t="str">
        <f t="shared" si="6"/>
        <v>rtdc.l.rtdc.4025:itc</v>
      </c>
      <c r="G214" s="8">
        <f t="shared" si="7"/>
        <v>42667.028460648151</v>
      </c>
    </row>
    <row r="215" spans="1:7" x14ac:dyDescent="0.25">
      <c r="A215" s="8">
        <v>42667.034687500003</v>
      </c>
      <c r="B215" s="21" t="s">
        <v>213</v>
      </c>
      <c r="C215" s="21" t="s">
        <v>607</v>
      </c>
      <c r="D215" s="21">
        <v>1810000</v>
      </c>
      <c r="E215" s="21" t="s">
        <v>318</v>
      </c>
      <c r="F215" s="21" t="str">
        <f t="shared" si="6"/>
        <v>rtdc.l.rtdc.4039:itc</v>
      </c>
      <c r="G215" s="8">
        <f t="shared" si="7"/>
        <v>42667.034687500003</v>
      </c>
    </row>
    <row r="216" spans="1:7" x14ac:dyDescent="0.25">
      <c r="A216" s="8">
        <v>42667.047615740739</v>
      </c>
      <c r="B216" s="21" t="s">
        <v>188</v>
      </c>
      <c r="C216" s="21" t="s">
        <v>608</v>
      </c>
      <c r="D216" s="21">
        <v>2350000</v>
      </c>
      <c r="E216" s="21" t="s">
        <v>266</v>
      </c>
      <c r="F216" s="21" t="str">
        <f t="shared" si="6"/>
        <v>rtdc.l.rtdc.4018:itc</v>
      </c>
      <c r="G216" s="8">
        <f t="shared" si="7"/>
        <v>42667.047615740739</v>
      </c>
    </row>
    <row r="217" spans="1:7" x14ac:dyDescent="0.25">
      <c r="A217" s="8">
        <v>42667.058819444443</v>
      </c>
      <c r="B217" s="21" t="s">
        <v>253</v>
      </c>
      <c r="C217" s="21" t="s">
        <v>609</v>
      </c>
      <c r="D217" s="21">
        <v>1800000</v>
      </c>
      <c r="E217" s="21" t="s">
        <v>209</v>
      </c>
      <c r="F217" s="21" t="str">
        <f t="shared" si="6"/>
        <v>rtdc.l.rtdc.4041:itc</v>
      </c>
      <c r="G217" s="8">
        <f t="shared" si="7"/>
        <v>42667.058819444443</v>
      </c>
    </row>
    <row r="218" spans="1:7" x14ac:dyDescent="0.25">
      <c r="A218" s="8">
        <v>42667.068101851852</v>
      </c>
      <c r="B218" s="21" t="s">
        <v>440</v>
      </c>
      <c r="C218" s="21" t="s">
        <v>610</v>
      </c>
      <c r="D218" s="21">
        <v>1810000</v>
      </c>
      <c r="E218" s="21" t="s">
        <v>318</v>
      </c>
      <c r="F218" s="21" t="str">
        <f t="shared" si="6"/>
        <v>rtdc.l.rtdc.4040:itc</v>
      </c>
      <c r="G218" s="8">
        <f t="shared" si="7"/>
        <v>42667.068101851852</v>
      </c>
    </row>
    <row r="219" spans="1:7" x14ac:dyDescent="0.25">
      <c r="A219" s="8">
        <v>42666.110706018517</v>
      </c>
      <c r="B219" s="21" t="s">
        <v>370</v>
      </c>
      <c r="C219" s="21" t="s">
        <v>384</v>
      </c>
      <c r="D219" s="21">
        <v>2360000</v>
      </c>
      <c r="E219" s="21" t="s">
        <v>374</v>
      </c>
      <c r="F219" s="21" t="str">
        <f t="shared" si="6"/>
        <v>rtdc.l.rtdc.4011:itc</v>
      </c>
      <c r="G219" s="8">
        <f t="shared" si="7"/>
        <v>42666.110706018517</v>
      </c>
    </row>
    <row r="220" spans="1:7" x14ac:dyDescent="0.25">
      <c r="A220" s="8">
        <v>42664.954212962963</v>
      </c>
      <c r="B220" s="21" t="s">
        <v>248</v>
      </c>
      <c r="C220" s="21" t="s">
        <v>332</v>
      </c>
      <c r="D220" s="21">
        <v>1800000</v>
      </c>
      <c r="E220" s="21" t="s">
        <v>209</v>
      </c>
      <c r="F220" s="21" t="str">
        <f t="shared" si="6"/>
        <v>rtdc.l.rtdc.4028:itc</v>
      </c>
      <c r="G220" s="8">
        <f t="shared" si="7"/>
        <v>42664.954212962963</v>
      </c>
    </row>
    <row r="221" spans="1:7" x14ac:dyDescent="0.25">
      <c r="A221" s="8">
        <v>42664.964108796295</v>
      </c>
      <c r="B221" s="21" t="s">
        <v>281</v>
      </c>
      <c r="C221" s="21" t="s">
        <v>340</v>
      </c>
      <c r="D221" s="21">
        <v>1230000</v>
      </c>
      <c r="E221" s="21" t="s">
        <v>214</v>
      </c>
      <c r="F221" s="21" t="str">
        <f t="shared" si="6"/>
        <v>rtdc.l.rtdc.4016:itc</v>
      </c>
      <c r="G221" s="8">
        <f t="shared" si="7"/>
        <v>42664.964108796295</v>
      </c>
    </row>
    <row r="222" spans="1:7" x14ac:dyDescent="0.25">
      <c r="A222" s="8">
        <v>42664.966817129629</v>
      </c>
      <c r="B222" s="21" t="s">
        <v>193</v>
      </c>
      <c r="C222" s="21" t="s">
        <v>341</v>
      </c>
      <c r="D222" s="21">
        <v>1480000</v>
      </c>
      <c r="E222" s="21" t="s">
        <v>191</v>
      </c>
      <c r="F222" s="21" t="str">
        <f t="shared" si="6"/>
        <v>rtdc.l.rtdc.4010:itc</v>
      </c>
      <c r="G222" s="8">
        <f t="shared" si="7"/>
        <v>42664.966817129629</v>
      </c>
    </row>
    <row r="223" spans="1:7" x14ac:dyDescent="0.25">
      <c r="A223" s="8">
        <v>42664.989675925928</v>
      </c>
      <c r="B223" s="21" t="s">
        <v>248</v>
      </c>
      <c r="C223" s="21" t="s">
        <v>334</v>
      </c>
      <c r="D223" s="21">
        <v>1800000</v>
      </c>
      <c r="E223" s="21" t="s">
        <v>209</v>
      </c>
      <c r="F223" s="21" t="str">
        <f t="shared" si="6"/>
        <v>rtdc.l.rtdc.4028:itc</v>
      </c>
      <c r="G223" s="8">
        <f t="shared" si="7"/>
        <v>42664.989675925928</v>
      </c>
    </row>
    <row r="224" spans="1:7" x14ac:dyDescent="0.25">
      <c r="A224" s="8">
        <v>42664.990914351853</v>
      </c>
      <c r="B224" t="s">
        <v>330</v>
      </c>
      <c r="C224" t="s">
        <v>342</v>
      </c>
      <c r="D224">
        <v>150000</v>
      </c>
      <c r="E224" t="s">
        <v>273</v>
      </c>
      <c r="F224" s="21" t="str">
        <f t="shared" si="6"/>
        <v>rtdc.l.rtdc.4013:itc</v>
      </c>
      <c r="G224" s="8">
        <f t="shared" si="7"/>
        <v>42664.990914351853</v>
      </c>
    </row>
    <row r="225" spans="1:7" x14ac:dyDescent="0.25">
      <c r="A225" s="8">
        <v>42664.994513888887</v>
      </c>
      <c r="B225" t="s">
        <v>333</v>
      </c>
      <c r="C225" t="s">
        <v>334</v>
      </c>
      <c r="D225">
        <v>1800000</v>
      </c>
      <c r="E225" t="s">
        <v>209</v>
      </c>
      <c r="F225" s="21" t="str">
        <f t="shared" si="6"/>
        <v>rtdc.l.rtdc.4027:itc</v>
      </c>
      <c r="G225" s="8">
        <f t="shared" si="7"/>
        <v>42664.994513888887</v>
      </c>
    </row>
    <row r="226" spans="1:7" x14ac:dyDescent="0.25">
      <c r="A226" s="8">
        <v>42664.997858796298</v>
      </c>
      <c r="B226" t="s">
        <v>248</v>
      </c>
      <c r="C226" t="s">
        <v>334</v>
      </c>
      <c r="D226">
        <v>1800000</v>
      </c>
      <c r="E226" t="s">
        <v>209</v>
      </c>
      <c r="F226" s="21" t="str">
        <f t="shared" si="6"/>
        <v>rtdc.l.rtdc.4028:itc</v>
      </c>
      <c r="G226" s="8">
        <f t="shared" si="7"/>
        <v>42664.997858796298</v>
      </c>
    </row>
    <row r="227" spans="1:7" x14ac:dyDescent="0.25">
      <c r="A227" s="8">
        <v>42664.9996875</v>
      </c>
      <c r="B227" t="s">
        <v>333</v>
      </c>
      <c r="C227" t="s">
        <v>334</v>
      </c>
      <c r="D227">
        <v>1800000</v>
      </c>
      <c r="E227" t="s">
        <v>209</v>
      </c>
      <c r="F227" s="21" t="str">
        <f t="shared" si="6"/>
        <v>rtdc.l.rtdc.4027:itc</v>
      </c>
      <c r="G227" s="8">
        <f t="shared" si="7"/>
        <v>42664.9996875</v>
      </c>
    </row>
    <row r="228" spans="1:7" x14ac:dyDescent="0.25">
      <c r="A228" s="8">
        <v>42665.009976851848</v>
      </c>
      <c r="B228" t="s">
        <v>282</v>
      </c>
      <c r="C228" t="s">
        <v>343</v>
      </c>
      <c r="D228">
        <v>1230000</v>
      </c>
      <c r="E228" t="s">
        <v>214</v>
      </c>
      <c r="F228" s="21" t="str">
        <f t="shared" si="6"/>
        <v>rtdc.l.rtdc.4015:itc</v>
      </c>
      <c r="G228" s="8">
        <f t="shared" si="7"/>
        <v>42665.009976851848</v>
      </c>
    </row>
    <row r="229" spans="1:7" x14ac:dyDescent="0.25">
      <c r="A229" s="8">
        <v>42665.013993055552</v>
      </c>
      <c r="B229" t="s">
        <v>194</v>
      </c>
      <c r="C229" t="s">
        <v>344</v>
      </c>
      <c r="D229">
        <v>1480000</v>
      </c>
      <c r="E229" t="s">
        <v>191</v>
      </c>
      <c r="F229" s="21" t="str">
        <f t="shared" si="6"/>
        <v>rtdc.l.rtdc.4009:itc</v>
      </c>
      <c r="G229" s="8">
        <f t="shared" si="7"/>
        <v>42665.013993055552</v>
      </c>
    </row>
    <row r="230" spans="1:7" x14ac:dyDescent="0.25">
      <c r="A230" s="8">
        <v>42665.029490740744</v>
      </c>
      <c r="B230" t="s">
        <v>248</v>
      </c>
      <c r="C230" t="s">
        <v>345</v>
      </c>
      <c r="D230">
        <v>1800000</v>
      </c>
      <c r="E230" t="s">
        <v>209</v>
      </c>
      <c r="F230" s="21" t="str">
        <f t="shared" si="6"/>
        <v>rtdc.l.rtdc.4028:itc</v>
      </c>
      <c r="G230" s="8">
        <f t="shared" si="7"/>
        <v>42665.029490740744</v>
      </c>
    </row>
    <row r="231" spans="1:7" x14ac:dyDescent="0.25">
      <c r="A231" s="8">
        <v>42665.034699074073</v>
      </c>
      <c r="B231" t="s">
        <v>331</v>
      </c>
      <c r="C231" t="s">
        <v>346</v>
      </c>
      <c r="D231">
        <v>150000</v>
      </c>
      <c r="E231" t="s">
        <v>273</v>
      </c>
      <c r="F231" s="21" t="str">
        <f t="shared" si="6"/>
        <v>rtdc.l.rtdc.4014:itc</v>
      </c>
      <c r="G231" s="8">
        <f t="shared" si="7"/>
        <v>42665.034699074073</v>
      </c>
    </row>
    <row r="232" spans="1:7" x14ac:dyDescent="0.25">
      <c r="A232" s="8">
        <v>42665.037175925929</v>
      </c>
      <c r="B232" t="s">
        <v>248</v>
      </c>
      <c r="C232" t="s">
        <v>345</v>
      </c>
      <c r="D232">
        <v>1800000</v>
      </c>
      <c r="E232" t="s">
        <v>209</v>
      </c>
      <c r="F232" s="21" t="str">
        <f t="shared" si="6"/>
        <v>rtdc.l.rtdc.4028:itc</v>
      </c>
      <c r="G232" s="8">
        <f t="shared" si="7"/>
        <v>42665.037175925929</v>
      </c>
    </row>
    <row r="233" spans="1:7" x14ac:dyDescent="0.25">
      <c r="A233" s="8">
        <v>42665.046388888892</v>
      </c>
      <c r="B233" t="s">
        <v>281</v>
      </c>
      <c r="C233" t="s">
        <v>347</v>
      </c>
      <c r="D233">
        <v>1230000</v>
      </c>
      <c r="E233" t="s">
        <v>214</v>
      </c>
      <c r="F233" s="21" t="str">
        <f t="shared" si="6"/>
        <v>rtdc.l.rtdc.4016:itc</v>
      </c>
      <c r="G233" s="8">
        <f t="shared" si="7"/>
        <v>42665.046388888892</v>
      </c>
    </row>
    <row r="234" spans="1:7" x14ac:dyDescent="0.25">
      <c r="A234" s="8">
        <v>42665.053460648145</v>
      </c>
      <c r="B234" t="s">
        <v>193</v>
      </c>
      <c r="C234" t="s">
        <v>348</v>
      </c>
      <c r="D234">
        <v>1480000</v>
      </c>
      <c r="E234" t="s">
        <v>191</v>
      </c>
      <c r="F234" s="21" t="str">
        <f t="shared" si="6"/>
        <v>rtdc.l.rtdc.4010:itc</v>
      </c>
      <c r="G234" s="8">
        <f t="shared" si="7"/>
        <v>42665.053460648145</v>
      </c>
    </row>
    <row r="235" spans="1:7" x14ac:dyDescent="0.25">
      <c r="A235" s="8">
        <v>42665.069097222222</v>
      </c>
      <c r="B235" t="s">
        <v>333</v>
      </c>
      <c r="C235" t="s">
        <v>349</v>
      </c>
      <c r="D235">
        <v>1800000</v>
      </c>
      <c r="E235" t="s">
        <v>209</v>
      </c>
      <c r="F235" s="21" t="str">
        <f t="shared" si="6"/>
        <v>rtdc.l.rtdc.4027:itc</v>
      </c>
      <c r="G235" s="8">
        <f t="shared" si="7"/>
        <v>42665.069097222222</v>
      </c>
    </row>
    <row r="236" spans="1:7" x14ac:dyDescent="0.25">
      <c r="A236" s="8">
        <v>42665.073101851849</v>
      </c>
      <c r="B236" t="s">
        <v>330</v>
      </c>
      <c r="C236" t="s">
        <v>350</v>
      </c>
      <c r="D236">
        <v>150000</v>
      </c>
      <c r="E236" t="s">
        <v>273</v>
      </c>
      <c r="F236" s="21" t="str">
        <f t="shared" ref="F236:F265" si="8">B236</f>
        <v>rtdc.l.rtdc.4013:itc</v>
      </c>
      <c r="G236" s="8">
        <f t="shared" ref="G236:G265" si="9">A236</f>
        <v>42665.073101851849</v>
      </c>
    </row>
    <row r="237" spans="1:7" x14ac:dyDescent="0.25">
      <c r="A237" s="8">
        <v>42665.091620370367</v>
      </c>
      <c r="B237" t="s">
        <v>194</v>
      </c>
      <c r="C237" t="s">
        <v>351</v>
      </c>
      <c r="D237">
        <v>1480000</v>
      </c>
      <c r="E237" t="s">
        <v>191</v>
      </c>
      <c r="F237" s="21" t="str">
        <f t="shared" si="8"/>
        <v>rtdc.l.rtdc.4009:itc</v>
      </c>
      <c r="G237" s="8">
        <f t="shared" si="9"/>
        <v>42665.091620370367</v>
      </c>
    </row>
    <row r="238" spans="1:7" x14ac:dyDescent="0.25">
      <c r="A238" s="8">
        <v>42661.934999999998</v>
      </c>
      <c r="B238" t="s">
        <v>282</v>
      </c>
      <c r="C238" t="s">
        <v>285</v>
      </c>
      <c r="D238">
        <v>2370000</v>
      </c>
      <c r="E238" t="s">
        <v>272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270</v>
      </c>
      <c r="C239" t="s">
        <v>286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264</v>
      </c>
      <c r="C240" t="s">
        <v>287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264</v>
      </c>
      <c r="C241" t="s">
        <v>288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243</v>
      </c>
      <c r="C242" t="s">
        <v>289</v>
      </c>
      <c r="D242">
        <v>1230000</v>
      </c>
      <c r="E242" t="s">
        <v>214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248</v>
      </c>
      <c r="C243" t="s">
        <v>290</v>
      </c>
      <c r="D243">
        <v>110000</v>
      </c>
      <c r="E243" t="s">
        <v>284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213</v>
      </c>
      <c r="C244" t="s">
        <v>283</v>
      </c>
      <c r="D244">
        <v>150000</v>
      </c>
      <c r="E244" t="s">
        <v>273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291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265</v>
      </c>
      <c r="C246" t="s">
        <v>292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281</v>
      </c>
      <c r="C247" t="s">
        <v>293</v>
      </c>
      <c r="D247">
        <v>2350000</v>
      </c>
      <c r="E247" t="s">
        <v>266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294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295</v>
      </c>
      <c r="D249">
        <v>1230000</v>
      </c>
      <c r="E249" t="s">
        <v>214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295</v>
      </c>
      <c r="D250">
        <v>1230000</v>
      </c>
      <c r="E250" t="s">
        <v>214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264</v>
      </c>
      <c r="C251" t="s">
        <v>296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282</v>
      </c>
      <c r="C252" t="s">
        <v>297</v>
      </c>
      <c r="D252">
        <v>2350000</v>
      </c>
      <c r="E252" t="s">
        <v>266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298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281</v>
      </c>
      <c r="C254" t="s">
        <v>299</v>
      </c>
      <c r="D254">
        <v>2350000</v>
      </c>
      <c r="E254" t="s">
        <v>266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51.9</v>
      </c>
      <c r="B2" s="165">
        <v>0.1</v>
      </c>
      <c r="C2" s="165">
        <v>23.92</v>
      </c>
      <c r="D2" s="8">
        <v>42666</v>
      </c>
      <c r="E2" s="165">
        <v>0.33</v>
      </c>
      <c r="F2" s="165" t="s">
        <v>249</v>
      </c>
      <c r="G2" s="165">
        <v>255.85</v>
      </c>
      <c r="H2" s="165">
        <v>0</v>
      </c>
      <c r="I2" s="165">
        <v>0</v>
      </c>
      <c r="J2" s="165">
        <v>1016.39</v>
      </c>
      <c r="K2" s="165" t="s">
        <v>250</v>
      </c>
      <c r="L2" s="165">
        <v>51.9</v>
      </c>
      <c r="M2" s="165">
        <v>1477202400</v>
      </c>
      <c r="N2" s="165">
        <v>9.1</v>
      </c>
      <c r="O2" s="165">
        <v>220</v>
      </c>
      <c r="P2" s="165">
        <v>2.4500000000000002</v>
      </c>
      <c r="Q2"/>
    </row>
    <row r="3" spans="1:17" x14ac:dyDescent="0.25">
      <c r="A3" s="165">
        <v>48.85</v>
      </c>
      <c r="B3" s="165">
        <v>0.1</v>
      </c>
      <c r="C3" s="165">
        <v>22.86</v>
      </c>
      <c r="D3" s="8">
        <v>42666.041666666664</v>
      </c>
      <c r="E3" s="165">
        <v>0.36</v>
      </c>
      <c r="F3" s="165" t="s">
        <v>249</v>
      </c>
      <c r="G3" s="165">
        <v>255.43</v>
      </c>
      <c r="H3" s="165">
        <v>0</v>
      </c>
      <c r="I3" s="165">
        <v>0</v>
      </c>
      <c r="J3" s="165">
        <v>1017.67</v>
      </c>
      <c r="K3" s="165" t="s">
        <v>250</v>
      </c>
      <c r="L3" s="165">
        <v>48.85</v>
      </c>
      <c r="M3" s="165">
        <v>1477206000</v>
      </c>
      <c r="N3" s="165">
        <v>9.2200000000000006</v>
      </c>
      <c r="O3" s="165">
        <v>232</v>
      </c>
      <c r="P3" s="165">
        <v>2.76</v>
      </c>
      <c r="Q3"/>
    </row>
    <row r="4" spans="1:17" x14ac:dyDescent="0.25">
      <c r="A4" s="165">
        <v>47.88</v>
      </c>
      <c r="B4" s="165">
        <v>0.12</v>
      </c>
      <c r="C4" s="165">
        <v>23.67</v>
      </c>
      <c r="D4" s="8">
        <v>42666.083333333336</v>
      </c>
      <c r="E4" s="165">
        <v>0.38</v>
      </c>
      <c r="F4" s="165" t="s">
        <v>249</v>
      </c>
      <c r="G4" s="165">
        <v>255.01</v>
      </c>
      <c r="H4" s="165">
        <v>0</v>
      </c>
      <c r="I4" s="165">
        <v>0</v>
      </c>
      <c r="J4" s="165">
        <v>1018.88</v>
      </c>
      <c r="K4" s="165" t="s">
        <v>250</v>
      </c>
      <c r="L4" s="165">
        <v>47.88</v>
      </c>
      <c r="M4" s="165">
        <v>1477209600</v>
      </c>
      <c r="N4" s="165">
        <v>9.1300000000000008</v>
      </c>
      <c r="O4" s="165">
        <v>235</v>
      </c>
      <c r="P4" s="165">
        <v>2.8</v>
      </c>
      <c r="Q4"/>
    </row>
    <row r="5" spans="1:17" x14ac:dyDescent="0.25">
      <c r="A5" s="165">
        <v>45.93</v>
      </c>
      <c r="B5" s="165">
        <v>0.12</v>
      </c>
      <c r="C5" s="165">
        <v>23.27</v>
      </c>
      <c r="D5" s="8">
        <v>42666.125</v>
      </c>
      <c r="E5" s="165">
        <v>0.4</v>
      </c>
      <c r="F5" s="165" t="s">
        <v>249</v>
      </c>
      <c r="G5" s="165">
        <v>254.59</v>
      </c>
      <c r="H5" s="165">
        <v>0</v>
      </c>
      <c r="I5" s="165">
        <v>0</v>
      </c>
      <c r="J5" s="165">
        <v>1020.06</v>
      </c>
      <c r="K5" s="165" t="s">
        <v>250</v>
      </c>
      <c r="L5" s="165">
        <v>45.93</v>
      </c>
      <c r="M5" s="165">
        <v>1477213200</v>
      </c>
      <c r="N5" s="165">
        <v>8.89</v>
      </c>
      <c r="O5" s="165">
        <v>235</v>
      </c>
      <c r="P5" s="165">
        <v>2.57</v>
      </c>
      <c r="Q5"/>
    </row>
    <row r="6" spans="1:17" x14ac:dyDescent="0.25">
      <c r="A6" s="165">
        <v>43.6</v>
      </c>
      <c r="B6" s="165">
        <v>0.13</v>
      </c>
      <c r="C6" s="165">
        <v>22.33</v>
      </c>
      <c r="D6" s="8">
        <v>42666.166666666664</v>
      </c>
      <c r="E6" s="165">
        <v>0.43</v>
      </c>
      <c r="F6" s="165" t="s">
        <v>249</v>
      </c>
      <c r="G6" s="165">
        <v>254.21</v>
      </c>
      <c r="H6" s="165">
        <v>0</v>
      </c>
      <c r="I6" s="165">
        <v>0</v>
      </c>
      <c r="J6" s="165">
        <v>1020.83</v>
      </c>
      <c r="K6" s="165" t="s">
        <v>250</v>
      </c>
      <c r="L6" s="165">
        <v>43.6</v>
      </c>
      <c r="M6" s="165">
        <v>1477216800</v>
      </c>
      <c r="N6" s="165">
        <v>8.67</v>
      </c>
      <c r="O6" s="165">
        <v>247</v>
      </c>
      <c r="P6" s="165">
        <v>0.87</v>
      </c>
      <c r="Q6"/>
    </row>
    <row r="7" spans="1:17" x14ac:dyDescent="0.25">
      <c r="A7" s="165">
        <v>42.81</v>
      </c>
      <c r="B7" s="165">
        <v>0.1</v>
      </c>
      <c r="C7" s="165">
        <v>22.77</v>
      </c>
      <c r="D7" s="8">
        <v>42666.208333333336</v>
      </c>
      <c r="E7" s="165">
        <v>0.45</v>
      </c>
      <c r="F7" s="165" t="s">
        <v>249</v>
      </c>
      <c r="G7" s="165">
        <v>253.82</v>
      </c>
      <c r="H7" s="165">
        <v>0</v>
      </c>
      <c r="I7" s="165">
        <v>0</v>
      </c>
      <c r="J7" s="165">
        <v>1021.3</v>
      </c>
      <c r="K7" s="165" t="s">
        <v>250</v>
      </c>
      <c r="L7" s="165">
        <v>42.81</v>
      </c>
      <c r="M7" s="165">
        <v>1477220400</v>
      </c>
      <c r="N7" s="165">
        <v>8.9600000000000009</v>
      </c>
      <c r="O7" s="165">
        <v>33</v>
      </c>
      <c r="P7" s="165">
        <v>0.15</v>
      </c>
      <c r="Q7"/>
    </row>
    <row r="8" spans="1:17" x14ac:dyDescent="0.25">
      <c r="A8" s="165">
        <v>42.51</v>
      </c>
      <c r="B8" s="165">
        <v>0.11</v>
      </c>
      <c r="C8" s="165">
        <v>23.11</v>
      </c>
      <c r="D8" s="8">
        <v>42666.25</v>
      </c>
      <c r="E8" s="165">
        <v>0.46</v>
      </c>
      <c r="F8" s="165" t="s">
        <v>249</v>
      </c>
      <c r="G8" s="165">
        <v>253.35</v>
      </c>
      <c r="H8" s="165">
        <v>0</v>
      </c>
      <c r="I8" s="165">
        <v>0</v>
      </c>
      <c r="J8" s="165">
        <v>1021.65</v>
      </c>
      <c r="K8" s="165" t="s">
        <v>250</v>
      </c>
      <c r="L8" s="165">
        <v>42.51</v>
      </c>
      <c r="M8" s="165">
        <v>1477224000</v>
      </c>
      <c r="N8" s="165">
        <v>8.73</v>
      </c>
      <c r="O8" s="165">
        <v>288</v>
      </c>
      <c r="P8" s="165">
        <v>1.37</v>
      </c>
      <c r="Q8"/>
    </row>
    <row r="9" spans="1:17" x14ac:dyDescent="0.25">
      <c r="A9" s="165">
        <v>42.49</v>
      </c>
      <c r="B9" s="165">
        <v>0.12</v>
      </c>
      <c r="C9" s="165">
        <v>23.68</v>
      </c>
      <c r="D9" s="8">
        <v>42666.291666666664</v>
      </c>
      <c r="E9" s="165">
        <v>0.47</v>
      </c>
      <c r="F9" s="165" t="s">
        <v>249</v>
      </c>
      <c r="G9" s="165">
        <v>252.59</v>
      </c>
      <c r="H9" s="165">
        <v>0</v>
      </c>
      <c r="I9" s="165">
        <v>0</v>
      </c>
      <c r="J9" s="165">
        <v>1022.25</v>
      </c>
      <c r="K9" s="165" t="s">
        <v>250</v>
      </c>
      <c r="L9" s="165">
        <v>42.49</v>
      </c>
      <c r="M9" s="165">
        <v>1477227600</v>
      </c>
      <c r="N9" s="165">
        <v>8.11</v>
      </c>
      <c r="O9" s="165">
        <v>57</v>
      </c>
      <c r="P9" s="165">
        <v>0.12</v>
      </c>
      <c r="Q9"/>
    </row>
    <row r="10" spans="1:17" x14ac:dyDescent="0.25">
      <c r="A10" s="165">
        <v>43.62</v>
      </c>
      <c r="B10" s="165">
        <v>0.14000000000000001</v>
      </c>
      <c r="C10" s="165">
        <v>25.28</v>
      </c>
      <c r="D10" s="8">
        <v>42666.333333333336</v>
      </c>
      <c r="E10" s="165">
        <v>0.48</v>
      </c>
      <c r="F10" s="165" t="s">
        <v>262</v>
      </c>
      <c r="G10" s="165">
        <v>251.75</v>
      </c>
      <c r="H10" s="165">
        <v>0</v>
      </c>
      <c r="I10" s="165">
        <v>0</v>
      </c>
      <c r="J10" s="165">
        <v>1022.78</v>
      </c>
      <c r="K10" s="165" t="s">
        <v>250</v>
      </c>
      <c r="L10" s="165">
        <v>43.62</v>
      </c>
      <c r="M10" s="165">
        <v>1477231200</v>
      </c>
      <c r="N10" s="165">
        <v>7.72</v>
      </c>
      <c r="O10" s="165">
        <v>195</v>
      </c>
      <c r="P10" s="165">
        <v>0.21</v>
      </c>
      <c r="Q10"/>
    </row>
    <row r="11" spans="1:17" x14ac:dyDescent="0.25">
      <c r="A11" s="165">
        <v>50.08</v>
      </c>
      <c r="B11" s="165">
        <v>0.23</v>
      </c>
      <c r="C11" s="165">
        <v>27.44</v>
      </c>
      <c r="D11" s="8">
        <v>42666.375</v>
      </c>
      <c r="E11" s="165">
        <v>0.41</v>
      </c>
      <c r="F11" s="165" t="s">
        <v>262</v>
      </c>
      <c r="G11" s="165">
        <v>251.35</v>
      </c>
      <c r="H11" s="165">
        <v>0</v>
      </c>
      <c r="I11" s="165">
        <v>0</v>
      </c>
      <c r="J11" s="165">
        <v>1022.75</v>
      </c>
      <c r="K11" s="165" t="s">
        <v>250</v>
      </c>
      <c r="L11" s="165">
        <v>50.08</v>
      </c>
      <c r="M11" s="165">
        <v>1477234800</v>
      </c>
      <c r="N11" s="165">
        <v>7.52</v>
      </c>
      <c r="O11" s="165">
        <v>64</v>
      </c>
      <c r="P11" s="165">
        <v>0.28000000000000003</v>
      </c>
      <c r="Q11"/>
    </row>
    <row r="12" spans="1:17" x14ac:dyDescent="0.25">
      <c r="A12" s="165">
        <v>55.69</v>
      </c>
      <c r="B12" s="165">
        <v>0.22</v>
      </c>
      <c r="C12" s="165">
        <v>28.58</v>
      </c>
      <c r="D12" s="8">
        <v>42666.416666666664</v>
      </c>
      <c r="E12" s="165">
        <v>0.35</v>
      </c>
      <c r="F12" s="165" t="s">
        <v>262</v>
      </c>
      <c r="G12" s="165">
        <v>251.71</v>
      </c>
      <c r="H12" s="165">
        <v>0</v>
      </c>
      <c r="I12" s="165">
        <v>0</v>
      </c>
      <c r="J12" s="165">
        <v>1022.01</v>
      </c>
      <c r="K12" s="165" t="s">
        <v>250</v>
      </c>
      <c r="L12" s="165">
        <v>55.69</v>
      </c>
      <c r="M12" s="165">
        <v>1477238400</v>
      </c>
      <c r="N12" s="165">
        <v>7.41</v>
      </c>
      <c r="O12" s="165">
        <v>66</v>
      </c>
      <c r="P12" s="165">
        <v>0.66</v>
      </c>
      <c r="Q12"/>
    </row>
    <row r="13" spans="1:17" x14ac:dyDescent="0.25">
      <c r="A13" s="165">
        <v>60.06</v>
      </c>
      <c r="B13" s="165">
        <v>0.24</v>
      </c>
      <c r="C13" s="165">
        <v>29.57</v>
      </c>
      <c r="D13" s="8">
        <v>42666.458333333336</v>
      </c>
      <c r="E13" s="165">
        <v>0.31</v>
      </c>
      <c r="F13" s="165" t="s">
        <v>262</v>
      </c>
      <c r="G13" s="165">
        <v>252.51</v>
      </c>
      <c r="H13" s="165">
        <v>0</v>
      </c>
      <c r="I13" s="165">
        <v>0</v>
      </c>
      <c r="J13" s="165">
        <v>1020.74</v>
      </c>
      <c r="K13" s="165" t="s">
        <v>250</v>
      </c>
      <c r="L13" s="165">
        <v>60.06</v>
      </c>
      <c r="M13" s="165">
        <v>1477242000</v>
      </c>
      <c r="N13" s="165">
        <v>7.42</v>
      </c>
      <c r="O13" s="165">
        <v>99</v>
      </c>
      <c r="P13" s="165">
        <v>1.1399999999999999</v>
      </c>
      <c r="Q13"/>
    </row>
    <row r="14" spans="1:17" x14ac:dyDescent="0.25">
      <c r="A14" s="165">
        <v>63.98</v>
      </c>
      <c r="B14" s="165">
        <v>0.33</v>
      </c>
      <c r="C14" s="165">
        <v>30.29</v>
      </c>
      <c r="D14" s="8">
        <v>42666.5</v>
      </c>
      <c r="E14" s="165">
        <v>0.28000000000000003</v>
      </c>
      <c r="F14" s="165" t="s">
        <v>352</v>
      </c>
      <c r="G14" s="165">
        <v>253.3</v>
      </c>
      <c r="H14" s="165">
        <v>0</v>
      </c>
      <c r="I14" s="165">
        <v>0</v>
      </c>
      <c r="J14" s="165">
        <v>1019.46</v>
      </c>
      <c r="K14" s="165" t="s">
        <v>212</v>
      </c>
      <c r="L14" s="165">
        <v>63.98</v>
      </c>
      <c r="M14" s="165">
        <v>1477245600</v>
      </c>
      <c r="N14" s="165">
        <v>7.46</v>
      </c>
      <c r="O14" s="165">
        <v>103</v>
      </c>
      <c r="P14" s="165">
        <v>1.6</v>
      </c>
      <c r="Q14"/>
    </row>
    <row r="15" spans="1:17" x14ac:dyDescent="0.25">
      <c r="A15" s="165">
        <v>67.42</v>
      </c>
      <c r="B15" s="165">
        <v>0.41</v>
      </c>
      <c r="C15" s="165">
        <v>30.37</v>
      </c>
      <c r="D15" s="8">
        <v>42666.541666666664</v>
      </c>
      <c r="E15" s="165">
        <v>0.25</v>
      </c>
      <c r="F15" s="165" t="s">
        <v>352</v>
      </c>
      <c r="G15" s="165">
        <v>253.99</v>
      </c>
      <c r="H15" s="165">
        <v>0</v>
      </c>
      <c r="I15" s="165">
        <v>0</v>
      </c>
      <c r="J15" s="165">
        <v>1018.58</v>
      </c>
      <c r="K15" s="165" t="s">
        <v>212</v>
      </c>
      <c r="L15" s="165">
        <v>67.42</v>
      </c>
      <c r="M15" s="165">
        <v>1477249200</v>
      </c>
      <c r="N15" s="165">
        <v>7.51</v>
      </c>
      <c r="O15" s="165">
        <v>71</v>
      </c>
      <c r="P15" s="165">
        <v>2.88</v>
      </c>
      <c r="Q15"/>
    </row>
    <row r="16" spans="1:17" x14ac:dyDescent="0.25">
      <c r="A16" s="165">
        <v>69.680000000000007</v>
      </c>
      <c r="B16" s="165">
        <v>0.43</v>
      </c>
      <c r="C16" s="165">
        <v>29.79</v>
      </c>
      <c r="D16" s="8">
        <v>42666.583333333336</v>
      </c>
      <c r="E16" s="165">
        <v>0.23</v>
      </c>
      <c r="F16" s="165" t="s">
        <v>352</v>
      </c>
      <c r="G16" s="165">
        <v>254.66</v>
      </c>
      <c r="H16" s="165">
        <v>0</v>
      </c>
      <c r="I16" s="165">
        <v>0</v>
      </c>
      <c r="J16" s="165">
        <v>1017.72</v>
      </c>
      <c r="K16" s="165" t="s">
        <v>212</v>
      </c>
      <c r="L16" s="165">
        <v>69.680000000000007</v>
      </c>
      <c r="M16" s="165">
        <v>1477252800</v>
      </c>
      <c r="N16" s="165">
        <v>7.52</v>
      </c>
      <c r="O16" s="165">
        <v>69</v>
      </c>
      <c r="P16" s="165">
        <v>3.97</v>
      </c>
      <c r="Q16"/>
    </row>
    <row r="17" spans="1:17" x14ac:dyDescent="0.25">
      <c r="A17" s="165">
        <v>70.849999999999994</v>
      </c>
      <c r="B17" s="165">
        <v>0.44</v>
      </c>
      <c r="C17" s="165">
        <v>29.01</v>
      </c>
      <c r="D17" s="8">
        <v>42666.625</v>
      </c>
      <c r="E17" s="165">
        <v>0.21</v>
      </c>
      <c r="F17" s="165" t="s">
        <v>352</v>
      </c>
      <c r="G17" s="165">
        <v>255.09</v>
      </c>
      <c r="H17" s="165">
        <v>0</v>
      </c>
      <c r="I17" s="165">
        <v>0</v>
      </c>
      <c r="J17" s="165">
        <v>1017.13</v>
      </c>
      <c r="K17" s="165" t="s">
        <v>212</v>
      </c>
      <c r="L17" s="165">
        <v>70.849999999999994</v>
      </c>
      <c r="M17" s="165">
        <v>1477256400</v>
      </c>
      <c r="N17" s="165">
        <v>7.54</v>
      </c>
      <c r="O17" s="165">
        <v>72</v>
      </c>
      <c r="P17" s="165">
        <v>4.46</v>
      </c>
      <c r="Q17"/>
    </row>
    <row r="18" spans="1:17" x14ac:dyDescent="0.25">
      <c r="A18" s="165">
        <v>71</v>
      </c>
      <c r="B18" s="165">
        <v>0.44</v>
      </c>
      <c r="C18" s="165">
        <v>29.35</v>
      </c>
      <c r="D18" s="8">
        <v>42666.666666666664</v>
      </c>
      <c r="E18" s="165">
        <v>0.21</v>
      </c>
      <c r="F18" s="165" t="s">
        <v>352</v>
      </c>
      <c r="G18" s="165">
        <v>255.16</v>
      </c>
      <c r="H18" s="165">
        <v>0</v>
      </c>
      <c r="I18" s="165">
        <v>0</v>
      </c>
      <c r="J18" s="165">
        <v>1016.89</v>
      </c>
      <c r="K18" s="165" t="s">
        <v>212</v>
      </c>
      <c r="L18" s="165">
        <v>71</v>
      </c>
      <c r="M18" s="165">
        <v>1477260000</v>
      </c>
      <c r="N18" s="165">
        <v>7.6</v>
      </c>
      <c r="O18" s="165">
        <v>72</v>
      </c>
      <c r="P18" s="165">
        <v>4.03</v>
      </c>
      <c r="Q18"/>
    </row>
    <row r="19" spans="1:17" x14ac:dyDescent="0.25">
      <c r="A19" s="165">
        <v>69.09</v>
      </c>
      <c r="B19" s="165">
        <v>0.45</v>
      </c>
      <c r="C19" s="165">
        <v>29.74</v>
      </c>
      <c r="D19" s="8">
        <v>42666.708333333336</v>
      </c>
      <c r="E19" s="165">
        <v>0.23</v>
      </c>
      <c r="F19" s="165" t="s">
        <v>352</v>
      </c>
      <c r="G19" s="165">
        <v>254.98</v>
      </c>
      <c r="H19" s="165">
        <v>0</v>
      </c>
      <c r="I19" s="165">
        <v>0</v>
      </c>
      <c r="J19" s="165">
        <v>1016.92</v>
      </c>
      <c r="K19" s="165" t="s">
        <v>212</v>
      </c>
      <c r="L19" s="165">
        <v>69.09</v>
      </c>
      <c r="M19" s="165">
        <v>1477263600</v>
      </c>
      <c r="N19" s="165">
        <v>7.74</v>
      </c>
      <c r="O19" s="165">
        <v>71</v>
      </c>
      <c r="P19" s="165">
        <v>3.38</v>
      </c>
      <c r="Q19"/>
    </row>
    <row r="20" spans="1:17" x14ac:dyDescent="0.25">
      <c r="A20" s="165">
        <v>64.64</v>
      </c>
      <c r="B20" s="165">
        <v>0.28000000000000003</v>
      </c>
      <c r="C20" s="165">
        <v>29.19</v>
      </c>
      <c r="D20" s="8">
        <v>42666.75</v>
      </c>
      <c r="E20" s="165">
        <v>0.26</v>
      </c>
      <c r="F20" s="165" t="s">
        <v>352</v>
      </c>
      <c r="G20" s="165">
        <v>254.8</v>
      </c>
      <c r="H20" s="165">
        <v>0</v>
      </c>
      <c r="I20" s="165">
        <v>0</v>
      </c>
      <c r="J20" s="165">
        <v>1017.16</v>
      </c>
      <c r="K20" s="165" t="s">
        <v>212</v>
      </c>
      <c r="L20" s="165">
        <v>64.64</v>
      </c>
      <c r="M20" s="165">
        <v>1477267200</v>
      </c>
      <c r="N20" s="165">
        <v>7.96</v>
      </c>
      <c r="O20" s="165">
        <v>76</v>
      </c>
      <c r="P20" s="165">
        <v>0.78</v>
      </c>
      <c r="Q20"/>
    </row>
    <row r="21" spans="1:17" x14ac:dyDescent="0.25">
      <c r="A21" s="165">
        <v>60.49</v>
      </c>
      <c r="B21" s="165">
        <v>0.28999999999999998</v>
      </c>
      <c r="C21" s="165">
        <v>29.55</v>
      </c>
      <c r="D21" s="8">
        <v>42666.791666666664</v>
      </c>
      <c r="E21" s="165">
        <v>0.31</v>
      </c>
      <c r="F21" s="165" t="s">
        <v>611</v>
      </c>
      <c r="G21" s="165">
        <v>254.71</v>
      </c>
      <c r="H21" s="165">
        <v>0</v>
      </c>
      <c r="I21" s="165">
        <v>0</v>
      </c>
      <c r="J21" s="165">
        <v>1017.54</v>
      </c>
      <c r="K21" s="165" t="s">
        <v>212</v>
      </c>
      <c r="L21" s="165">
        <v>60.49</v>
      </c>
      <c r="M21" s="165">
        <v>1477270800</v>
      </c>
      <c r="N21" s="165">
        <v>8.31</v>
      </c>
      <c r="O21" s="165">
        <v>175</v>
      </c>
      <c r="P21" s="165">
        <v>1.26</v>
      </c>
      <c r="Q21"/>
    </row>
    <row r="22" spans="1:17" x14ac:dyDescent="0.25">
      <c r="A22" s="165">
        <v>55.63</v>
      </c>
      <c r="B22" s="165">
        <v>0.23</v>
      </c>
      <c r="C22" s="165">
        <v>29.68</v>
      </c>
      <c r="D22" s="8">
        <v>42666.833333333336</v>
      </c>
      <c r="E22" s="165">
        <v>0.37</v>
      </c>
      <c r="F22" s="165" t="s">
        <v>249</v>
      </c>
      <c r="G22" s="165">
        <v>254.6</v>
      </c>
      <c r="H22" s="165">
        <v>0</v>
      </c>
      <c r="I22" s="165">
        <v>0</v>
      </c>
      <c r="J22" s="165">
        <v>1018.35</v>
      </c>
      <c r="K22" s="165" t="s">
        <v>250</v>
      </c>
      <c r="L22" s="165">
        <v>55.63</v>
      </c>
      <c r="M22" s="165">
        <v>1477274400</v>
      </c>
      <c r="N22" s="165">
        <v>8.7899999999999991</v>
      </c>
      <c r="O22" s="165">
        <v>187</v>
      </c>
      <c r="P22" s="165">
        <v>1.06</v>
      </c>
      <c r="Q22"/>
    </row>
    <row r="23" spans="1:17" x14ac:dyDescent="0.25">
      <c r="A23" s="165">
        <v>54.09</v>
      </c>
      <c r="B23" s="165">
        <v>0.25</v>
      </c>
      <c r="C23" s="165">
        <v>30.5</v>
      </c>
      <c r="D23" s="8">
        <v>42666.875</v>
      </c>
      <c r="E23" s="165">
        <v>0.4</v>
      </c>
      <c r="F23" s="165" t="s">
        <v>611</v>
      </c>
      <c r="G23" s="165">
        <v>254.34</v>
      </c>
      <c r="H23" s="165">
        <v>0</v>
      </c>
      <c r="I23" s="165">
        <v>0</v>
      </c>
      <c r="J23" s="165">
        <v>1019.13</v>
      </c>
      <c r="K23" s="165" t="s">
        <v>212</v>
      </c>
      <c r="L23" s="165">
        <v>54.09</v>
      </c>
      <c r="M23" s="165">
        <v>1477278000</v>
      </c>
      <c r="N23" s="165">
        <v>9.25</v>
      </c>
      <c r="O23" s="165">
        <v>194</v>
      </c>
      <c r="P23" s="165">
        <v>1.69</v>
      </c>
      <c r="Q23"/>
    </row>
    <row r="24" spans="1:17" x14ac:dyDescent="0.25">
      <c r="A24" s="165">
        <v>51.56</v>
      </c>
      <c r="B24" s="165">
        <v>0.39</v>
      </c>
      <c r="C24" s="165">
        <v>29.6</v>
      </c>
      <c r="D24" s="8">
        <v>42666.916666666664</v>
      </c>
      <c r="E24" s="165">
        <v>0.43</v>
      </c>
      <c r="F24" s="165" t="s">
        <v>611</v>
      </c>
      <c r="G24" s="165">
        <v>253.84</v>
      </c>
      <c r="H24" s="165">
        <v>0</v>
      </c>
      <c r="I24" s="165">
        <v>0</v>
      </c>
      <c r="J24" s="165">
        <v>1019.57</v>
      </c>
      <c r="K24" s="165" t="s">
        <v>212</v>
      </c>
      <c r="L24" s="165">
        <v>51.56</v>
      </c>
      <c r="M24" s="165">
        <v>1477281600</v>
      </c>
      <c r="N24" s="165">
        <v>8.86</v>
      </c>
      <c r="O24" s="165">
        <v>210</v>
      </c>
      <c r="P24" s="165">
        <v>1.84</v>
      </c>
      <c r="Q24"/>
    </row>
    <row r="25" spans="1:17" x14ac:dyDescent="0.25">
      <c r="A25" s="165">
        <v>50.43</v>
      </c>
      <c r="B25" s="165">
        <v>0.53</v>
      </c>
      <c r="C25" s="165">
        <v>29.09</v>
      </c>
      <c r="D25" s="8">
        <v>42666.958333333336</v>
      </c>
      <c r="E25" s="165">
        <v>0.44</v>
      </c>
      <c r="F25" s="165" t="s">
        <v>611</v>
      </c>
      <c r="G25" s="165">
        <v>253.19</v>
      </c>
      <c r="H25" s="165">
        <v>0</v>
      </c>
      <c r="I25" s="165">
        <v>0</v>
      </c>
      <c r="J25" s="165">
        <v>1019.83</v>
      </c>
      <c r="K25" s="165" t="s">
        <v>212</v>
      </c>
      <c r="L25" s="165">
        <v>50.43</v>
      </c>
      <c r="M25" s="165">
        <v>1477285200</v>
      </c>
      <c r="N25" s="165">
        <v>8.86</v>
      </c>
      <c r="O25" s="165">
        <v>215</v>
      </c>
      <c r="P25" s="165">
        <v>2.82</v>
      </c>
      <c r="Q25"/>
    </row>
    <row r="26" spans="1:17" x14ac:dyDescent="0.25">
      <c r="A26" s="165">
        <v>49.13</v>
      </c>
      <c r="B26" s="165">
        <v>0.66</v>
      </c>
      <c r="C26" s="165">
        <v>28.89</v>
      </c>
      <c r="D26" s="8">
        <v>42667</v>
      </c>
      <c r="E26" s="165">
        <v>0.45</v>
      </c>
      <c r="F26" s="165" t="s">
        <v>611</v>
      </c>
      <c r="G26" s="165">
        <v>252.54</v>
      </c>
      <c r="H26" s="165">
        <v>0</v>
      </c>
      <c r="I26" s="165">
        <v>0</v>
      </c>
      <c r="J26" s="165">
        <v>1020.16</v>
      </c>
      <c r="K26" s="165" t="s">
        <v>612</v>
      </c>
      <c r="L26" s="165">
        <v>49.13</v>
      </c>
      <c r="M26" s="165">
        <v>1477288800</v>
      </c>
      <c r="N26" s="165">
        <v>9.08</v>
      </c>
      <c r="O26" s="165">
        <v>213</v>
      </c>
      <c r="P26" s="165">
        <v>2.4900000000000002</v>
      </c>
      <c r="Q26"/>
    </row>
    <row r="27" spans="1:17" x14ac:dyDescent="0.25">
      <c r="A27" s="165">
        <v>47.74</v>
      </c>
      <c r="B27" s="165">
        <v>0.57999999999999996</v>
      </c>
      <c r="C27" s="165">
        <v>29.62</v>
      </c>
      <c r="D27" s="8">
        <v>42667.041666666664</v>
      </c>
      <c r="E27" s="165">
        <v>0.49</v>
      </c>
      <c r="F27" s="165" t="s">
        <v>611</v>
      </c>
      <c r="G27" s="165">
        <v>251.92</v>
      </c>
      <c r="H27" s="165">
        <v>0</v>
      </c>
      <c r="I27" s="165">
        <v>0</v>
      </c>
      <c r="J27" s="165">
        <v>1020.73</v>
      </c>
      <c r="K27" s="165" t="s">
        <v>212</v>
      </c>
      <c r="L27" s="165">
        <v>47.74</v>
      </c>
      <c r="M27" s="165">
        <v>1477292400</v>
      </c>
      <c r="N27" s="165">
        <v>9.18</v>
      </c>
      <c r="O27" s="165">
        <v>215</v>
      </c>
      <c r="P27" s="165">
        <v>2.52</v>
      </c>
      <c r="Q27"/>
    </row>
    <row r="28" spans="1:17" x14ac:dyDescent="0.25">
      <c r="A28" s="165">
        <v>46.64</v>
      </c>
      <c r="B28" s="165">
        <v>0.74</v>
      </c>
      <c r="C28" s="165">
        <v>29.04</v>
      </c>
      <c r="D28" s="8">
        <v>42667.083333333336</v>
      </c>
      <c r="E28" s="165">
        <v>0.5</v>
      </c>
      <c r="F28" s="165" t="s">
        <v>611</v>
      </c>
      <c r="G28" s="165">
        <v>251.3</v>
      </c>
      <c r="H28" s="165">
        <v>0</v>
      </c>
      <c r="I28" s="165">
        <v>0</v>
      </c>
      <c r="J28" s="165">
        <v>1021.27</v>
      </c>
      <c r="K28" s="165" t="s">
        <v>612</v>
      </c>
      <c r="L28" s="165">
        <v>46.64</v>
      </c>
      <c r="M28" s="165">
        <v>1477296000</v>
      </c>
      <c r="N28" s="165">
        <v>9.08</v>
      </c>
      <c r="O28" s="165">
        <v>236</v>
      </c>
      <c r="P28" s="165">
        <v>2.54</v>
      </c>
      <c r="Q28"/>
    </row>
    <row r="29" spans="1:17" x14ac:dyDescent="0.25">
      <c r="A29" s="165">
        <v>45.67</v>
      </c>
      <c r="B29" s="165">
        <v>0.76</v>
      </c>
      <c r="C29" s="165">
        <v>29.81</v>
      </c>
      <c r="D29" s="8">
        <v>42667.125</v>
      </c>
      <c r="E29" s="165">
        <v>0.54</v>
      </c>
      <c r="F29" s="165" t="s">
        <v>611</v>
      </c>
      <c r="G29" s="165">
        <v>250.68</v>
      </c>
      <c r="H29" s="165">
        <v>0</v>
      </c>
      <c r="I29" s="165">
        <v>0</v>
      </c>
      <c r="J29" s="165">
        <v>1021.77</v>
      </c>
      <c r="K29" s="165" t="s">
        <v>612</v>
      </c>
      <c r="L29" s="165">
        <v>45.67</v>
      </c>
      <c r="M29" s="165">
        <v>1477299600</v>
      </c>
      <c r="N29" s="165">
        <v>8.02</v>
      </c>
      <c r="O29" s="165">
        <v>236</v>
      </c>
      <c r="P29" s="165">
        <v>2.33</v>
      </c>
      <c r="Q29"/>
    </row>
    <row r="31" spans="1:17" x14ac:dyDescent="0.25">
      <c r="A31" s="136" t="s">
        <v>251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3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42666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259</v>
      </c>
      <c r="J17" s="33"/>
      <c r="K17" s="34"/>
      <c r="L17" s="34"/>
    </row>
    <row r="18" spans="3:13" x14ac:dyDescent="0.25">
      <c r="C18" t="s">
        <v>756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757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758</v>
      </c>
      <c r="J20" t="s">
        <v>87</v>
      </c>
      <c r="M20" s="68" t="s">
        <v>190</v>
      </c>
    </row>
    <row r="21" spans="3:13" x14ac:dyDescent="0.25">
      <c r="C21" t="s">
        <v>759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760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761</v>
      </c>
      <c r="J23" s="29" t="s">
        <v>95</v>
      </c>
      <c r="K23" s="21"/>
      <c r="M23" s="69">
        <v>-6</v>
      </c>
    </row>
    <row r="24" spans="3:13" x14ac:dyDescent="0.25">
      <c r="J24" s="21" t="s">
        <v>109</v>
      </c>
      <c r="K24" s="21"/>
      <c r="M24" s="68" t="s">
        <v>111</v>
      </c>
    </row>
    <row r="25" spans="3:13" x14ac:dyDescent="0.25">
      <c r="J25" t="s">
        <v>152</v>
      </c>
      <c r="M25" s="68" t="b">
        <v>1</v>
      </c>
    </row>
    <row r="26" spans="3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C:\Users\stu\Documents\GitHub\eaglep3-reporting\EC\2016-10-23-refined-times.txt</v>
      </c>
    </row>
    <row r="27" spans="3:13" x14ac:dyDescent="0.25">
      <c r="J27" t="s">
        <v>215</v>
      </c>
      <c r="M27" s="68" t="str">
        <f>"C:\Users\stu\Documents\GitHub\eaglep3-reporting\EC\"&amp;TEXT(A2,"YYYY-MM-DD")&amp;"-Enforcements.txt"</f>
        <v>C:\Users\stu\Documents\GitHub\eaglep3-reporting\EC\2016-10-23-Enforcements.txt</v>
      </c>
    </row>
    <row r="28" spans="3:13" x14ac:dyDescent="0.25">
      <c r="J28" t="s">
        <v>216</v>
      </c>
      <c r="M28" s="106" t="str">
        <f>"C:\Users\stu\Documents\GitHub\eaglep3-reporting\EC\"&amp;TEXT(A2,"YYYY-MM-DD")&amp;"-Runs-Refined.txt"</f>
        <v>C:\Users\stu\Documents\GitHub\eaglep3-reporting\EC\2016-10-23-Runs-Refined.txt</v>
      </c>
    </row>
    <row r="29" spans="3:13" x14ac:dyDescent="0.25">
      <c r="J29" t="s">
        <v>217</v>
      </c>
      <c r="M29" s="106" t="str">
        <f>"C:\Users\stu\Documents\GitHub\eaglep3-reporting\EC\"&amp;TEXT(A2,"YYYY-MM-DD")&amp;"-Trips.txt"</f>
        <v>C:\Users\stu\Documents\GitHub\eaglep3-reporting\EC\2016-10-23-Trips.txt</v>
      </c>
    </row>
    <row r="30" spans="3:13" x14ac:dyDescent="0.25">
      <c r="J30" t="s">
        <v>218</v>
      </c>
      <c r="M30" s="106" t="str">
        <f>"C:\Users\stu\Documents\GitHub\eaglep3-reporting\EC\"&amp;TEXT(A2,"YYYY-MM-DD")&amp;"-Weather.txt"</f>
        <v>C:\Users\stu\Documents\GitHub\eaglep3-reporting\EC\2016-10-23-Weather.txt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2016-10-24T17:32:14Z</dcterms:modified>
</cp:coreProperties>
</file>